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ilsrv-my.sharepoint.com/personal/dede_yusuf_daikinapplied_co_id/Documents/EPL-CONNECT/Form/live data/"/>
    </mc:Choice>
  </mc:AlternateContent>
  <xr:revisionPtr revIDLastSave="2" documentId="8_{64D68267-51A8-425A-8F27-83DD4B39C77C}" xr6:coauthVersionLast="47" xr6:coauthVersionMax="47" xr10:uidLastSave="{DF1C02D0-39E9-40FE-993C-6F7DAC1DBA14}"/>
  <bookViews>
    <workbookView xWindow="-108" yWindow="-108" windowWidth="23256" windowHeight="13896" firstSheet="1" activeTab="1" xr2:uid="{00000000-000D-0000-FFFF-FFFF00000000}"/>
  </bookViews>
  <sheets>
    <sheet name="EPL1" sheetId="6" state="hidden" r:id="rId1"/>
    <sheet name="EPL" sheetId="9" r:id="rId2"/>
    <sheet name="Project By Status" sheetId="26" r:id="rId3"/>
    <sheet name="Booking FC" sheetId="23" r:id="rId4"/>
    <sheet name="Pipeline" sheetId="24" r:id="rId5"/>
    <sheet name="DATA" sheetId="8" r:id="rId6"/>
    <sheet name="Industrial" sheetId="25" r:id="rId7"/>
    <sheet name="Pipeline EPL" sheetId="2" state="hidden" r:id="rId8"/>
    <sheet name="Pipeline OPS (2)" sheetId="4" state="hidden" r:id="rId9"/>
    <sheet name="EPL PARTNERSHIP" sheetId="22"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B">#REF!</definedName>
    <definedName name="\D">#REF!</definedName>
    <definedName name="\J">#REF!</definedName>
    <definedName name="\L">#REF!</definedName>
    <definedName name="\M">#REF!</definedName>
    <definedName name="\Q">#REF!</definedName>
    <definedName name="\R">#REF!</definedName>
    <definedName name="\S">#REF!</definedName>
    <definedName name="\W">#REF!</definedName>
    <definedName name="\X">#REF!</definedName>
    <definedName name="______________________________DAT12" localSheetId="1">#REF!</definedName>
    <definedName name="______________________________DAT12" localSheetId="0">#REF!</definedName>
    <definedName name="______________________________DAT12" localSheetId="7">#REF!</definedName>
    <definedName name="______________________________DAT12">#REF!</definedName>
    <definedName name="____________________________DAT1" localSheetId="1">#REF!</definedName>
    <definedName name="____________________________DAT1" localSheetId="0">#REF!</definedName>
    <definedName name="____________________________DAT1" localSheetId="7">#REF!</definedName>
    <definedName name="____________________________DAT1">#REF!</definedName>
    <definedName name="____________________________DAT10" localSheetId="1">#REF!</definedName>
    <definedName name="____________________________DAT10" localSheetId="0">#REF!</definedName>
    <definedName name="____________________________DAT10" localSheetId="7">#REF!</definedName>
    <definedName name="____________________________DAT10">#REF!</definedName>
    <definedName name="____________________________DAT11">#REF!</definedName>
    <definedName name="____________________________DAT12">#REF!</definedName>
    <definedName name="____________________________DAT13">#REF!</definedName>
    <definedName name="____________________________DAT14">#REF!</definedName>
    <definedName name="____________________________DAT15">#REF!</definedName>
    <definedName name="____________________________DAT16">#REF!</definedName>
    <definedName name="____________________________DAT17">#REF!</definedName>
    <definedName name="____________________________DAT18">#REF!</definedName>
    <definedName name="____________________________DAT19">#REF!</definedName>
    <definedName name="____________________________DAT2">#REF!</definedName>
    <definedName name="____________________________DAT20">#REF!</definedName>
    <definedName name="____________________________DAT21">#REF!</definedName>
    <definedName name="____________________________DAT22">#REF!</definedName>
    <definedName name="____________________________DAT23">#REF!</definedName>
    <definedName name="____________________________DAT24">#REF!</definedName>
    <definedName name="____________________________DAT25">#REF!</definedName>
    <definedName name="____________________________DAT26">#REF!</definedName>
    <definedName name="____________________________DAT3">#REF!</definedName>
    <definedName name="____________________________DAT4">#REF!</definedName>
    <definedName name="____________________________DAT5">#REF!</definedName>
    <definedName name="____________________________DAT6">#REF!</definedName>
    <definedName name="____________________________DAT7">#REF!</definedName>
    <definedName name="____________________________DAT8">#REF!</definedName>
    <definedName name="____________________________DAT9">#REF!</definedName>
    <definedName name="___________________________DAT12">#REF!</definedName>
    <definedName name="__________________________DAT1">#REF!</definedName>
    <definedName name="__________________________DAT10">#REF!</definedName>
    <definedName name="__________________________DAT11">#REF!</definedName>
    <definedName name="__________________________DAT12">#REF!</definedName>
    <definedName name="__________________________DAT13">#REF!</definedName>
    <definedName name="__________________________DAT14">#REF!</definedName>
    <definedName name="__________________________DAT15">#REF!</definedName>
    <definedName name="__________________________DAT16">#REF!</definedName>
    <definedName name="__________________________DAT17">#REF!</definedName>
    <definedName name="__________________________DAT18">#REF!</definedName>
    <definedName name="__________________________DAT19">#REF!</definedName>
    <definedName name="__________________________DAT2">#REF!</definedName>
    <definedName name="__________________________DAT20">#REF!</definedName>
    <definedName name="__________________________DAT21">#REF!</definedName>
    <definedName name="__________________________DAT22">#REF!</definedName>
    <definedName name="__________________________DAT23">#REF!</definedName>
    <definedName name="__________________________DAT24">#REF!</definedName>
    <definedName name="__________________________DAT25">#REF!</definedName>
    <definedName name="__________________________DAT26">#REF!</definedName>
    <definedName name="__________________________DAT3">#REF!</definedName>
    <definedName name="__________________________DAT4">#REF!</definedName>
    <definedName name="__________________________DAT5">#REF!</definedName>
    <definedName name="__________________________DAT6">#REF!</definedName>
    <definedName name="__________________________DAT7">#REF!</definedName>
    <definedName name="__________________________DAT8">#REF!</definedName>
    <definedName name="__________________________DAT9">#REF!</definedName>
    <definedName name="_________________________DAT1">#REF!</definedName>
    <definedName name="_________________________DAT10">#REF!</definedName>
    <definedName name="_________________________DAT11">#REF!</definedName>
    <definedName name="_________________________DAT12">#REF!</definedName>
    <definedName name="_________________________DAT13">#REF!</definedName>
    <definedName name="_________________________DAT14">#REF!</definedName>
    <definedName name="_________________________DAT15">#REF!</definedName>
    <definedName name="_________________________DAT16">#REF!</definedName>
    <definedName name="_________________________DAT17">#REF!</definedName>
    <definedName name="_________________________DAT18">#REF!</definedName>
    <definedName name="_________________________DAT19">#REF!</definedName>
    <definedName name="_________________________DAT2">#REF!</definedName>
    <definedName name="_________________________DAT20">#REF!</definedName>
    <definedName name="_________________________DAT21">#REF!</definedName>
    <definedName name="_________________________DAT22">#REF!</definedName>
    <definedName name="_________________________DAT23">#REF!</definedName>
    <definedName name="_________________________DAT24">#REF!</definedName>
    <definedName name="_________________________DAT25">#REF!</definedName>
    <definedName name="_________________________DAT26">#REF!</definedName>
    <definedName name="_________________________DAT3">#REF!</definedName>
    <definedName name="_________________________DAT4">#REF!</definedName>
    <definedName name="_________________________DAT5">#REF!</definedName>
    <definedName name="_________________________DAT6">#REF!</definedName>
    <definedName name="_________________________DAT7">#REF!</definedName>
    <definedName name="_________________________DAT8">#REF!</definedName>
    <definedName name="_________________________DAT9">#REF!</definedName>
    <definedName name="________________________DAT1">#REF!</definedName>
    <definedName name="________________________DAT10">#REF!</definedName>
    <definedName name="________________________DAT11">#REF!</definedName>
    <definedName name="________________________DAT12">#REF!</definedName>
    <definedName name="________________________DAT13">#REF!</definedName>
    <definedName name="________________________DAT14">#REF!</definedName>
    <definedName name="________________________DAT15">#REF!</definedName>
    <definedName name="________________________DAT16">#REF!</definedName>
    <definedName name="________________________DAT17">#REF!</definedName>
    <definedName name="________________________DAT18">#REF!</definedName>
    <definedName name="________________________DAT19">#REF!</definedName>
    <definedName name="________________________DAT2">#REF!</definedName>
    <definedName name="________________________DAT20">#REF!</definedName>
    <definedName name="________________________DAT21">#REF!</definedName>
    <definedName name="________________________DAT22">#REF!</definedName>
    <definedName name="________________________DAT23">#REF!</definedName>
    <definedName name="________________________DAT24">#REF!</definedName>
    <definedName name="________________________DAT25">#REF!</definedName>
    <definedName name="________________________DAT26">#REF!</definedName>
    <definedName name="________________________DAT3">#REF!</definedName>
    <definedName name="________________________DAT4">#REF!</definedName>
    <definedName name="________________________DAT5">#REF!</definedName>
    <definedName name="________________________DAT6">#REF!</definedName>
    <definedName name="________________________DAT7">#REF!</definedName>
    <definedName name="________________________DAT8">#REF!</definedName>
    <definedName name="________________________DAT9">#REF!</definedName>
    <definedName name="_______________________DAT1">#REF!</definedName>
    <definedName name="_______________________DAT10">#REF!</definedName>
    <definedName name="_______________________DAT11">#REF!</definedName>
    <definedName name="_______________________DAT13">#REF!</definedName>
    <definedName name="_______________________DAT14">#REF!</definedName>
    <definedName name="_______________________DAT15">#REF!</definedName>
    <definedName name="_______________________DAT16">#REF!</definedName>
    <definedName name="_______________________DAT17">#REF!</definedName>
    <definedName name="_______________________DAT18">#REF!</definedName>
    <definedName name="_______________________DAT19">#REF!</definedName>
    <definedName name="_______________________DAT2">#REF!</definedName>
    <definedName name="_______________________DAT20">#REF!</definedName>
    <definedName name="_______________________DAT21">#REF!</definedName>
    <definedName name="_______________________DAT22">#REF!</definedName>
    <definedName name="_______________________DAT23">#REF!</definedName>
    <definedName name="_______________________DAT24">#REF!</definedName>
    <definedName name="_______________________DAT25">#REF!</definedName>
    <definedName name="_______________________DAT26">#REF!</definedName>
    <definedName name="_______________________DAT3">#REF!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DAT1">#REF!</definedName>
    <definedName name="______________________DAT10">#REF!</definedName>
    <definedName name="______________________DAT11">#REF!</definedName>
    <definedName name="______________________DAT12">#REF!</definedName>
    <definedName name="______________________DAT13">#REF!</definedName>
    <definedName name="______________________DAT14">#REF!</definedName>
    <definedName name="______________________DAT15">#REF!</definedName>
    <definedName name="______________________DAT16">#REF!</definedName>
    <definedName name="______________________DAT17">#REF!</definedName>
    <definedName name="______________________DAT18">#REF!</definedName>
    <definedName name="______________________DAT19">#REF!</definedName>
    <definedName name="______________________DAT2">#REF!</definedName>
    <definedName name="______________________DAT20">#REF!</definedName>
    <definedName name="______________________DAT21">#REF!</definedName>
    <definedName name="______________________DAT22">#REF!</definedName>
    <definedName name="______________________DAT23">#REF!</definedName>
    <definedName name="______________________DAT24">#REF!</definedName>
    <definedName name="______________________DAT25">#REF!</definedName>
    <definedName name="______________________DAT26">#REF!</definedName>
    <definedName name="______________________DAT3">#REF!</definedName>
    <definedName name="______________________DAT4">#REF!</definedName>
    <definedName name="______________________DAT5">#REF!</definedName>
    <definedName name="______________________DAT6">#REF!</definedName>
    <definedName name="______________________DAT7">#REF!</definedName>
    <definedName name="______________________DAT8">#REF!</definedName>
    <definedName name="______________________DAT9">#REF!</definedName>
    <definedName name="_____________________DAT12">#REF!</definedName>
    <definedName name="____________________DAT1">#REF!</definedName>
    <definedName name="____________________DAT10">#REF!</definedName>
    <definedName name="____________________DAT11">#REF!</definedName>
    <definedName name="____________________DAT13">#REF!</definedName>
    <definedName name="____________________DAT14">#REF!</definedName>
    <definedName name="____________________DAT15">#REF!</definedName>
    <definedName name="____________________DAT16">#REF!</definedName>
    <definedName name="____________________DAT17">#REF!</definedName>
    <definedName name="____________________DAT18">#REF!</definedName>
    <definedName name="____________________DAT19">#REF!</definedName>
    <definedName name="____________________DAT2">#REF!</definedName>
    <definedName name="____________________DAT20">#REF!</definedName>
    <definedName name="____________________DAT21">#REF!</definedName>
    <definedName name="____________________DAT22">#REF!</definedName>
    <definedName name="____________________DAT23">#REF!</definedName>
    <definedName name="____________________DAT24">#REF!</definedName>
    <definedName name="____________________DAT25">#REF!</definedName>
    <definedName name="____________________DAT26">#REF!</definedName>
    <definedName name="____________________DAT3">#REF!</definedName>
    <definedName name="____________________DAT4">#REF!</definedName>
    <definedName name="____________________DAT5">#REF!</definedName>
    <definedName name="____________________DAT6">#REF!</definedName>
    <definedName name="____________________DAT7">#REF!</definedName>
    <definedName name="____________________DAT8">#REF!</definedName>
    <definedName name="____________________DAT9">#REF!</definedName>
    <definedName name="___________________DAT1">#REF!</definedName>
    <definedName name="___________________DAT10">#REF!</definedName>
    <definedName name="___________________DAT11">#REF!</definedName>
    <definedName name="___________________DAT12">#REF!</definedName>
    <definedName name="___________________DAT13">#REF!</definedName>
    <definedName name="___________________DAT14">#REF!</definedName>
    <definedName name="___________________DAT15">#REF!</definedName>
    <definedName name="___________________DAT16">#REF!</definedName>
    <definedName name="___________________DAT17">#REF!</definedName>
    <definedName name="___________________DAT18">#REF!</definedName>
    <definedName name="___________________DAT19">#REF!</definedName>
    <definedName name="___________________DAT2">#REF!</definedName>
    <definedName name="___________________DAT20">#REF!</definedName>
    <definedName name="___________________DAT21">#REF!</definedName>
    <definedName name="___________________DAT22">#REF!</definedName>
    <definedName name="___________________DAT23">#REF!</definedName>
    <definedName name="___________________DAT24">#REF!</definedName>
    <definedName name="___________________DAT25">#REF!</definedName>
    <definedName name="___________________DAT26">#REF!</definedName>
    <definedName name="___________________DAT3">#REF!</definedName>
    <definedName name="___________________DAT4">#REF!</definedName>
    <definedName name="___________________DAT5">#REF!</definedName>
    <definedName name="___________________DAT6">#REF!</definedName>
    <definedName name="___________________DAT7">#REF!</definedName>
    <definedName name="___________________DAT8">#REF!</definedName>
    <definedName name="___________________DAT9">#REF!</definedName>
    <definedName name="__________________DAT12">#REF!</definedName>
    <definedName name="_________________DAT1">#REF!</definedName>
    <definedName name="_________________DAT10">#REF!</definedName>
    <definedName name="_________________DAT11">#REF!</definedName>
    <definedName name="_________________DAT12">#REF!</definedName>
    <definedName name="_________________DAT13">#REF!</definedName>
    <definedName name="_________________DAT14">#REF!</definedName>
    <definedName name="_________________DAT15">#REF!</definedName>
    <definedName name="_________________DAT16">#REF!</definedName>
    <definedName name="_________________DAT17">#REF!</definedName>
    <definedName name="_________________DAT18">#REF!</definedName>
    <definedName name="_________________DAT19">#REF!</definedName>
    <definedName name="_________________DAT2">#REF!</definedName>
    <definedName name="_________________DAT20">#REF!</definedName>
    <definedName name="_________________DAT21">#REF!</definedName>
    <definedName name="_________________DAT22">#REF!</definedName>
    <definedName name="_________________DAT23">#REF!</definedName>
    <definedName name="_________________DAT24">#REF!</definedName>
    <definedName name="_________________DAT25">#REF!</definedName>
    <definedName name="_________________DAT26">#REF!</definedName>
    <definedName name="_________________DAT3">#REF!</definedName>
    <definedName name="_________________DAT4">#REF!</definedName>
    <definedName name="_________________DAT5">#REF!</definedName>
    <definedName name="_________________DAT6">#REF!</definedName>
    <definedName name="_________________DAT7">#REF!</definedName>
    <definedName name="_________________DAT8">#REF!</definedName>
    <definedName name="_________________DAT9">#REF!</definedName>
    <definedName name="________________DAT1">#REF!</definedName>
    <definedName name="________________DAT10">#REF!</definedName>
    <definedName name="________________DAT11">#REF!</definedName>
    <definedName name="________________DAT12">#REF!</definedName>
    <definedName name="________________DAT13">#REF!</definedName>
    <definedName name="________________DAT14">#REF!</definedName>
    <definedName name="________________DAT15">#REF!</definedName>
    <definedName name="________________DAT16">#REF!</definedName>
    <definedName name="________________DAT17">#REF!</definedName>
    <definedName name="________________DAT18">#REF!</definedName>
    <definedName name="________________DAT19">#REF!</definedName>
    <definedName name="________________DAT2">#REF!</definedName>
    <definedName name="________________DAT20">#REF!</definedName>
    <definedName name="________________DAT21">#REF!</definedName>
    <definedName name="________________DAT22">#REF!</definedName>
    <definedName name="________________DAT23">#REF!</definedName>
    <definedName name="________________DAT24">#REF!</definedName>
    <definedName name="________________DAT25">#REF!</definedName>
    <definedName name="________________DAT26">#REF!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DAT1">#REF!</definedName>
    <definedName name="_______________DAT10">#REF!</definedName>
    <definedName name="_______________DAT11">#REF!</definedName>
    <definedName name="_______________DAT12">#REF!</definedName>
    <definedName name="_______________DAT13">#REF!</definedName>
    <definedName name="_______________DAT14">#REF!</definedName>
    <definedName name="_______________DAT15">#REF!</definedName>
    <definedName name="_______________DAT16">#REF!</definedName>
    <definedName name="_______________DAT17">#REF!</definedName>
    <definedName name="_______________DAT18">#REF!</definedName>
    <definedName name="_______________DAT19">#REF!</definedName>
    <definedName name="_______________DAT2">#REF!</definedName>
    <definedName name="_______________DAT20">#REF!</definedName>
    <definedName name="_______________DAT21">#REF!</definedName>
    <definedName name="_______________DAT22">#REF!</definedName>
    <definedName name="_______________DAT23">#REF!</definedName>
    <definedName name="_______________DAT24">#REF!</definedName>
    <definedName name="_______________DAT25">#REF!</definedName>
    <definedName name="_______________DAT26">#REF!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DAT1">#REF!</definedName>
    <definedName name="______________DAT10">#REF!</definedName>
    <definedName name="______________DAT11">#REF!</definedName>
    <definedName name="______________DAT13">#REF!</definedName>
    <definedName name="______________DAT14">#REF!</definedName>
    <definedName name="______________DAT15">#REF!</definedName>
    <definedName name="______________DAT16">#REF!</definedName>
    <definedName name="______________DAT17">#REF!</definedName>
    <definedName name="______________DAT18">#REF!</definedName>
    <definedName name="______________DAT19">#REF!</definedName>
    <definedName name="______________DAT2">#REF!</definedName>
    <definedName name="______________DAT20">#REF!</definedName>
    <definedName name="______________DAT21">#REF!</definedName>
    <definedName name="______________DAT22">#REF!</definedName>
    <definedName name="______________DAT23">#REF!</definedName>
    <definedName name="______________DAT24">#REF!</definedName>
    <definedName name="______________DAT25">#REF!</definedName>
    <definedName name="______________DAT26">#REF!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DAT1">#REF!</definedName>
    <definedName name="_____________DAT10">#REF!</definedName>
    <definedName name="_____________DAT11">#REF!</definedName>
    <definedName name="_____________DAT12">#REF!</definedName>
    <definedName name="_____________DAT13">#REF!</definedName>
    <definedName name="_____________DAT14">#REF!</definedName>
    <definedName name="_____________DAT15">#REF!</definedName>
    <definedName name="_____________DAT16">#REF!</definedName>
    <definedName name="_____________DAT17">#REF!</definedName>
    <definedName name="_____________DAT18">#REF!</definedName>
    <definedName name="_____________DAT19">#REF!</definedName>
    <definedName name="_____________DAT2">#REF!</definedName>
    <definedName name="_____________DAT20">#REF!</definedName>
    <definedName name="_____________DAT21">#REF!</definedName>
    <definedName name="_____________DAT22">#REF!</definedName>
    <definedName name="_____________DAT23">#REF!</definedName>
    <definedName name="_____________DAT24">#REF!</definedName>
    <definedName name="_____________DAT25">#REF!</definedName>
    <definedName name="_____________DAT26">#REF!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DAT1">#REF!</definedName>
    <definedName name="____________DAT10">#REF!</definedName>
    <definedName name="____________DAT11">#REF!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#REF!</definedName>
    <definedName name="____________DAT20">#REF!</definedName>
    <definedName name="____________DAT21">#REF!</definedName>
    <definedName name="____________DAT22">#REF!</definedName>
    <definedName name="____________DAT23">#REF!</definedName>
    <definedName name="____________DAT24">#REF!</definedName>
    <definedName name="____________DAT25">#REF!</definedName>
    <definedName name="____________DAT26">#REF!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DAT12">#REF!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20">#REF!</definedName>
    <definedName name="__________DAT21">#REF!</definedName>
    <definedName name="__________DAT22">#REF!</definedName>
    <definedName name="__________DAT23">#REF!</definedName>
    <definedName name="__________DAT24">#REF!</definedName>
    <definedName name="__________DAT25">#REF!</definedName>
    <definedName name="__________DAT26">#REF!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20">#REF!</definedName>
    <definedName name="_________DAT21">#REF!</definedName>
    <definedName name="_________DAT22">#REF!</definedName>
    <definedName name="_________DAT23">#REF!</definedName>
    <definedName name="_________DAT24">#REF!</definedName>
    <definedName name="_________DAT25">#REF!</definedName>
    <definedName name="_________DAT26">#REF!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20">#REF!</definedName>
    <definedName name="________DAT21">#REF!</definedName>
    <definedName name="________DAT22">#REF!</definedName>
    <definedName name="________DAT23">#REF!</definedName>
    <definedName name="________DAT24">#REF!</definedName>
    <definedName name="________DAT25">#REF!</definedName>
    <definedName name="________DAT26">#REF!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1">#REF!</definedName>
    <definedName name="_______DAT22">#REF!</definedName>
    <definedName name="_______DAT23">#REF!</definedName>
    <definedName name="_______DAT24">#REF!</definedName>
    <definedName name="_______DAT25">#REF!</definedName>
    <definedName name="_______DAT26">#REF!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usd1207">'[1]FY20 YTD RES+FCT'!$H$2</definedName>
    <definedName name="___DAT1" localSheetId="1">#REF!</definedName>
    <definedName name="___DAT1" localSheetId="0">#REF!</definedName>
    <definedName name="___DAT1" localSheetId="7">#REF!</definedName>
    <definedName name="___DAT1">#REF!</definedName>
    <definedName name="___DAT10" localSheetId="1">#REF!</definedName>
    <definedName name="___DAT10" localSheetId="0">#REF!</definedName>
    <definedName name="___DAT10" localSheetId="7">#REF!</definedName>
    <definedName name="___DAT10">#REF!</definedName>
    <definedName name="___DAT11" localSheetId="1">#REF!</definedName>
    <definedName name="___DAT11" localSheetId="0">#REF!</definedName>
    <definedName name="___DAT11" localSheetId="7">#REF!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usd1207">'[1]FY20 YTD RES+FCT'!$H$2</definedName>
    <definedName name="__DAT1" localSheetId="1">#REF!</definedName>
    <definedName name="__DAT1" localSheetId="0">#REF!</definedName>
    <definedName name="__DAT1" localSheetId="7">#REF!</definedName>
    <definedName name="__DAT1">#REF!</definedName>
    <definedName name="__DAT10" localSheetId="1">#REF!</definedName>
    <definedName name="__DAT10" localSheetId="0">#REF!</definedName>
    <definedName name="__DAT10" localSheetId="7">#REF!</definedName>
    <definedName name="__DAT10">#REF!</definedName>
    <definedName name="__DAT11" localSheetId="1">#REF!</definedName>
    <definedName name="__DAT11" localSheetId="0">#REF!</definedName>
    <definedName name="__DAT11" localSheetId="7">#REF!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usd1207">'[1]FY20 YTD RES+FCT'!$H$2</definedName>
    <definedName name="_2_0000000000000機種リストA_製品分類" localSheetId="1">#REF!</definedName>
    <definedName name="_2_0000000000000機種リストA_製品分類" localSheetId="0">#REF!</definedName>
    <definedName name="_2_0000000000000機種リストA_製品分類" localSheetId="7">#REF!</definedName>
    <definedName name="_2_0000000000000機種リストA_製品分類">#REF!</definedName>
    <definedName name="_4_2_3" localSheetId="1">#REF!</definedName>
    <definedName name="_4_2_3" localSheetId="0">#REF!</definedName>
    <definedName name="_4_2_3" localSheetId="7">#REF!</definedName>
    <definedName name="_4_2_3">#REF!</definedName>
    <definedName name="_4_3" localSheetId="1">#REF!</definedName>
    <definedName name="_4_3" localSheetId="0">#REF!</definedName>
    <definedName name="_4_3" localSheetId="7">#REF!</definedName>
    <definedName name="_4_3">#REF!</definedName>
    <definedName name="_B103">#REF!</definedName>
    <definedName name="_DAT1">#REF!</definedName>
    <definedName name="_DAT10">#REF!</definedName>
    <definedName name="_DAT10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Fill">#REF!</definedName>
    <definedName name="_xlnm._FilterDatabase" localSheetId="1" hidden="1">EPL!$D$698:$D$698</definedName>
    <definedName name="_xlnm._FilterDatabase" localSheetId="9" hidden="1">'EPL PARTNERSHIP'!$H$20:$H$20</definedName>
    <definedName name="_xlnm._FilterDatabase" localSheetId="0" hidden="1">'EPL1'!$A$2:$W$67</definedName>
    <definedName name="_xlnm._FilterDatabase" localSheetId="7" hidden="1">'Pipeline EPL'!$B$2:$Q$67</definedName>
    <definedName name="_xlnm._FilterDatabase" localSheetId="8" hidden="1">'Pipeline OPS (2)'!$A$2:$AJ$849</definedName>
    <definedName name="_Key1" localSheetId="1">#REF!</definedName>
    <definedName name="_Key1" localSheetId="0">#REF!</definedName>
    <definedName name="_Key1" localSheetId="7">#REF!</definedName>
    <definedName name="_Key1">#REF!</definedName>
    <definedName name="_Key2" localSheetId="1">#REF!</definedName>
    <definedName name="_Key2" localSheetId="0">#REF!</definedName>
    <definedName name="_Key2" localSheetId="7">#REF!</definedName>
    <definedName name="_Key2">#REF!</definedName>
    <definedName name="_Order1" hidden="1">255</definedName>
    <definedName name="_Order2" hidden="1">255</definedName>
    <definedName name="_ORG2009" localSheetId="1">#REF!</definedName>
    <definedName name="_ORG2009" localSheetId="0">#REF!</definedName>
    <definedName name="_ORG2009" localSheetId="7">#REF!</definedName>
    <definedName name="_ORG2009">#REF!</definedName>
    <definedName name="_Sort" localSheetId="1">#REF!</definedName>
    <definedName name="_Sort" localSheetId="0">#REF!</definedName>
    <definedName name="_Sort" localSheetId="7">#REF!</definedName>
    <definedName name="_Sort">#REF!</definedName>
    <definedName name="_TES100" localSheetId="1">#REF!</definedName>
    <definedName name="_TES100" localSheetId="0">#REF!</definedName>
    <definedName name="_TES100" localSheetId="7">#REF!</definedName>
    <definedName name="_TES100">#REF!</definedName>
    <definedName name="_usd1207">'[1]FY20 YTD RES+FCT'!$H$2</definedName>
    <definedName name="_xlcn.WorksheetConnection_20220708PipelineDASIServiceJuly2022EPL.xlsxTable11" hidden="1">Table1[]</definedName>
    <definedName name="A" localSheetId="1">#REF!</definedName>
    <definedName name="A" localSheetId="0">#REF!</definedName>
    <definedName name="A" localSheetId="7">#REF!</definedName>
    <definedName name="A">#REF!</definedName>
    <definedName name="AAAA" localSheetId="1">#REF!</definedName>
    <definedName name="AAAA" localSheetId="0">#REF!</definedName>
    <definedName name="AAAA" localSheetId="7">#REF!</definedName>
    <definedName name="AAAA">#REF!</definedName>
    <definedName name="altro">'[2]C Travel'!$B$63</definedName>
    <definedName name="AM">[2]Menus!$F$6:$F$13</definedName>
    <definedName name="AP" localSheetId="1">#REF!</definedName>
    <definedName name="AP" localSheetId="0">#REF!</definedName>
    <definedName name="AP" localSheetId="7">#REF!</definedName>
    <definedName name="AP">#REF!</definedName>
    <definedName name="_xlnm.Auto_Open">[2]XL4Test5!$C$23</definedName>
    <definedName name="business" localSheetId="1">#REF!</definedName>
    <definedName name="business" localSheetId="0">#REF!</definedName>
    <definedName name="business" localSheetId="7">#REF!</definedName>
    <definedName name="business">#REF!</definedName>
    <definedName name="Bust">[2]XL4Test5!$C$15</definedName>
    <definedName name="Continue">[2]XL4Test5!$C$30</definedName>
    <definedName name="curr">[2]COVER!$G$3</definedName>
    <definedName name="cv" localSheetId="1">#REF!</definedName>
    <definedName name="cv" localSheetId="0">#REF!</definedName>
    <definedName name="cv" localSheetId="7">#REF!</definedName>
    <definedName name="cv">#REF!</definedName>
    <definedName name="D" localSheetId="1">#REF!</definedName>
    <definedName name="D" localSheetId="0">#REF!</definedName>
    <definedName name="D" localSheetId="7">#REF!</definedName>
    <definedName name="D">#REF!</definedName>
    <definedName name="DAIKIN">[3]Company!$D$5:$K$219</definedName>
    <definedName name="DAT" localSheetId="1">#REF!</definedName>
    <definedName name="DAT" localSheetId="0">#REF!</definedName>
    <definedName name="DAT" localSheetId="7">#REF!</definedName>
    <definedName name="DAT">#REF!</definedName>
    <definedName name="data" localSheetId="1">#REF!</definedName>
    <definedName name="data" localSheetId="0">#REF!</definedName>
    <definedName name="data" localSheetId="7">#REF!</definedName>
    <definedName name="data">#REF!</definedName>
    <definedName name="DATA1" localSheetId="1">#REF!</definedName>
    <definedName name="DATA1" localSheetId="0">#REF!</definedName>
    <definedName name="DATA1" localSheetId="7">#REF!</definedName>
    <definedName name="DATA1">#REF!</definedName>
    <definedName name="DATA2">#REF!</definedName>
    <definedName name="DATA3">#REF!</definedName>
    <definedName name="DATA4">#REF!</definedName>
    <definedName name="DATA5">#REF!</definedName>
    <definedName name="DATA6">#REF!</definedName>
    <definedName name="_xlnm.Database">#REF!</definedName>
    <definedName name="dd">#REF!</definedName>
    <definedName name="Documents_array">[2]XL4Test5!$B$2:$B$19</definedName>
    <definedName name="Dom">'[4]Budget params'!$C$5</definedName>
    <definedName name="dsad" localSheetId="1">#REF!</definedName>
    <definedName name="dsad" localSheetId="0">#REF!</definedName>
    <definedName name="dsad" localSheetId="7">#REF!</definedName>
    <definedName name="dsad">#REF!</definedName>
    <definedName name="Duct">'[4]Budget params'!$C$4</definedName>
    <definedName name="ech" localSheetId="1">#REF!</definedName>
    <definedName name="ech" localSheetId="0">#REF!</definedName>
    <definedName name="ech" localSheetId="7">#REF!</definedName>
    <definedName name="ech">#REF!</definedName>
    <definedName name="eh" localSheetId="1">#REF!</definedName>
    <definedName name="eh" localSheetId="0">#REF!</definedName>
    <definedName name="eh" localSheetId="7">#REF!</definedName>
    <definedName name="eh">#REF!</definedName>
    <definedName name="er" localSheetId="1">#REF!</definedName>
    <definedName name="er" localSheetId="0">#REF!</definedName>
    <definedName name="er" localSheetId="7">#REF!</definedName>
    <definedName name="er">#REF!</definedName>
    <definedName name="eu">#REF!</definedName>
    <definedName name="Excel_BuiltIn_Print_Area_3">#REF!</definedName>
    <definedName name="Excel_BuiltIn_Print_Titles_2">#REF!</definedName>
    <definedName name="Excel_BuiltIn_Print_Titles_4">#REF!</definedName>
    <definedName name="fdg">'[2]Monthly Stock BD'!$D$1</definedName>
    <definedName name="fy08cos">[5]LIST!$G$14</definedName>
    <definedName name="gen">'[2]CF DIL lay out'!$AH$15:$AH$17</definedName>
    <definedName name="gennaio">'[2]CF DIL lay out'!$AH$15:$AH$17</definedName>
    <definedName name="gh" localSheetId="1">#REF!</definedName>
    <definedName name="gh" localSheetId="0">#REF!</definedName>
    <definedName name="gh" localSheetId="7">#REF!</definedName>
    <definedName name="gh">#REF!</definedName>
    <definedName name="Header" localSheetId="1">#REF!</definedName>
    <definedName name="Header" localSheetId="0">#REF!</definedName>
    <definedName name="Header" localSheetId="7">#REF!</definedName>
    <definedName name="Header">#REF!</definedName>
    <definedName name="Hello">[2]XL4Test5!$A$33</definedName>
    <definedName name="hotel">'[2]C Travel'!$M$60</definedName>
    <definedName name="HTML_CodePage" hidden="1">936</definedName>
    <definedName name="HTML_Control" hidden="1">{"'S-13'!$A$1:$A$2"}</definedName>
    <definedName name="HTML_Description" hidden="1">""</definedName>
    <definedName name="HTML_Email" hidden="1">""</definedName>
    <definedName name="HTML_Header" hidden="1">"S-13"</definedName>
    <definedName name="HTML_LastUpdate" hidden="1">"97-10-6"</definedName>
    <definedName name="HTML_LineAfter" hidden="1">FALSE</definedName>
    <definedName name="HTML_LineBefore" hidden="1">FALSE</definedName>
    <definedName name="HTML_Name" hidden="1">"wangqiang"</definedName>
    <definedName name="HTML_OBDlg2" hidden="1">TRUE</definedName>
    <definedName name="HTML_OBDlg4" hidden="1">TRUE</definedName>
    <definedName name="HTML_OS" hidden="1">0</definedName>
    <definedName name="HTML_PathFile" hidden="1">"C:\My Documents\WQ\SALE\STOCK-979.XLS"</definedName>
    <definedName name="HTML_Title" hidden="1">"STO97-6"</definedName>
    <definedName name="iii" localSheetId="1">#REF!</definedName>
    <definedName name="iii" localSheetId="0">#REF!</definedName>
    <definedName name="iii" localSheetId="7">#REF!</definedName>
    <definedName name="iii">#REF!</definedName>
    <definedName name="Input_1">'[2]Monthly PL_R06'!$A$1</definedName>
    <definedName name="Input_10">'[2] FTE per month FC06'!$B$1</definedName>
    <definedName name="input_10b">'[2] FTE per month BD07'!$BE$6</definedName>
    <definedName name="Input_11">'[2]Inventory Plan SBU'!$B$1</definedName>
    <definedName name="Input_2">'[2]Monthly PL_BD07'!$A$1</definedName>
    <definedName name="Input_3" localSheetId="1">#REF!</definedName>
    <definedName name="Input_3" localSheetId="0">#REF!</definedName>
    <definedName name="Input_3" localSheetId="7">#REF!</definedName>
    <definedName name="Input_3">#REF!</definedName>
    <definedName name="Input_4">'[2]Sales Prom. &amp; Adv. '!$B$3</definedName>
    <definedName name="Input_5" localSheetId="1">#REF!</definedName>
    <definedName name="Input_5" localSheetId="0">#REF!</definedName>
    <definedName name="Input_5" localSheetId="7">#REF!</definedName>
    <definedName name="Input_5">#REF!</definedName>
    <definedName name="Input_6" localSheetId="1">#REF!</definedName>
    <definedName name="Input_6" localSheetId="0">#REF!</definedName>
    <definedName name="Input_6" localSheetId="7">#REF!</definedName>
    <definedName name="Input_6">#REF!</definedName>
    <definedName name="Input_7">'[2]Monthly Stock'!$D$1</definedName>
    <definedName name="Input_8">'[2] HC per month R05'!$B$1</definedName>
    <definedName name="Input_9">'[2] HC per month FC06'!$B$1</definedName>
    <definedName name="input_9b">'[2]HC per month BD07'!$A$1</definedName>
    <definedName name="input10b">'[2] FTE per month BD07'!$A$1</definedName>
    <definedName name="Investments">[2]Investments!$B$4</definedName>
    <definedName name="io" localSheetId="1">#REF!</definedName>
    <definedName name="io" localSheetId="0">#REF!</definedName>
    <definedName name="io" localSheetId="7">#REF!</definedName>
    <definedName name="io">#REF!</definedName>
    <definedName name="IVA">'[2]CF DIL lay out'!$AC$7</definedName>
    <definedName name="jk" localSheetId="1">#REF!</definedName>
    <definedName name="jk" localSheetId="0">#REF!</definedName>
    <definedName name="jk" localSheetId="7">#REF!</definedName>
    <definedName name="jk">#REF!</definedName>
    <definedName name="KAISHA">[3]Company!$B$3:$J$227</definedName>
    <definedName name="KFD90A251H">[6]MODELNF!$A$1048</definedName>
    <definedName name="kk" localSheetId="1">#REF!</definedName>
    <definedName name="kk" localSheetId="0">#REF!</definedName>
    <definedName name="kk" localSheetId="7">#REF!</definedName>
    <definedName name="kk">#REF!</definedName>
    <definedName name="lcu" hidden="1">{"'S-13'!$A$1:$A$2"}</definedName>
    <definedName name="liu">#REF!</definedName>
    <definedName name="lll">[2]COVER!$G$3</definedName>
    <definedName name="Main_R" localSheetId="1">[7]!Main_R</definedName>
    <definedName name="Main_R">[7]!Main_R</definedName>
    <definedName name="Market_segment">[2]Menus!$H$6:$H$20</definedName>
    <definedName name="MMM">'[2]P&amp;L-Act-Bgt -FY0304'!$C$5</definedName>
    <definedName name="monthsplit04" hidden="1">'[2]DATA GRAFIEKEN'!$B$11:$B$18</definedName>
    <definedName name="mq">'[2]P&amp;L-Act-Bgt -FY0304'!$C$5</definedName>
    <definedName name="NAME" localSheetId="1">#REF!</definedName>
    <definedName name="NAME" localSheetId="0">#REF!</definedName>
    <definedName name="NAME" localSheetId="7">#REF!</definedName>
    <definedName name="NAME">#REF!</definedName>
    <definedName name="OVERVIEW" localSheetId="1">#REF!</definedName>
    <definedName name="OVERVIEW" localSheetId="0">#REF!</definedName>
    <definedName name="OVERVIEW" localSheetId="7">#REF!</definedName>
    <definedName name="OVERVIEW">#REF!</definedName>
    <definedName name="PP" localSheetId="1">#REF!</definedName>
    <definedName name="PP" localSheetId="0">#REF!</definedName>
    <definedName name="PP" localSheetId="7">#REF!</definedName>
    <definedName name="PP">#REF!</definedName>
    <definedName name="PRESENTATION">#REF!</definedName>
    <definedName name="Preventive1">#REF!</definedName>
    <definedName name="Preventive2">#REF!</definedName>
    <definedName name="_xlnm.Print_Area">'[2]08-2003'!$A$1:$T$55</definedName>
    <definedName name="Print_Area_MI" localSheetId="1">#REF!</definedName>
    <definedName name="Print_Area_MI" localSheetId="0">#REF!</definedName>
    <definedName name="Print_Area_MI" localSheetId="7">#REF!</definedName>
    <definedName name="Print_Area_MI">#REF!</definedName>
    <definedName name="PRINT_AREA_MI1" localSheetId="1">#REF!</definedName>
    <definedName name="PRINT_AREA_MI1" localSheetId="0">#REF!</definedName>
    <definedName name="PRINT_AREA_MI1" localSheetId="7">#REF!</definedName>
    <definedName name="PRINT_AREA_MI1">#REF!</definedName>
    <definedName name="_xlnm.Print_Titles">#REF!</definedName>
    <definedName name="qr">#REF!</definedName>
    <definedName name="RATE">#REF!</definedName>
    <definedName name="RawData">#REF!</definedName>
    <definedName name="Replacement1">#REF!</definedName>
    <definedName name="Replacement2">#REF!</definedName>
    <definedName name="Retrieve_B06afterTP">#REF!</definedName>
    <definedName name="Retrieve_B06beforeTP">'[2]Retrieve PL RB 06'!$A$4:$AA$95</definedName>
    <definedName name="Retrieve_BS" localSheetId="1">#REF!</definedName>
    <definedName name="Retrieve_BS" localSheetId="0">#REF!</definedName>
    <definedName name="Retrieve_BS" localSheetId="7">#REF!</definedName>
    <definedName name="Retrieve_BS">#REF!</definedName>
    <definedName name="Retrieve_R04" localSheetId="1">#REF!</definedName>
    <definedName name="Retrieve_R04" localSheetId="0">#REF!</definedName>
    <definedName name="Retrieve_R04" localSheetId="7">#REF!</definedName>
    <definedName name="Retrieve_R04">#REF!</definedName>
    <definedName name="Retrieve_R05">'[2]Retrieve PL R05'!$A$4:$AA$95</definedName>
    <definedName name="RetrievePL_RB06" localSheetId="1">#REF!</definedName>
    <definedName name="RetrievePL_RB06" localSheetId="0">#REF!</definedName>
    <definedName name="RetrievePL_RB06" localSheetId="7">#REF!</definedName>
    <definedName name="RetrievePL_RB06">#REF!</definedName>
    <definedName name="RSX10KUY1">[8]MODEL!$A$1289</definedName>
    <definedName name="RU08KY1">[8]MODEL!$D$1320</definedName>
    <definedName name="RU10KY1">[8]MODEL!$D$1322</definedName>
    <definedName name="SAPBEXhrIndnt" hidden="1">2</definedName>
    <definedName name="SAPBEXrevision" hidden="1">1</definedName>
    <definedName name="SAPBEXsysID" hidden="1">"BW1"</definedName>
    <definedName name="SAPBEXwbID" hidden="1">"4603WPAYFGYZYBD24TKZ5JAFU"</definedName>
    <definedName name="senap" localSheetId="1">#REF!</definedName>
    <definedName name="senap" localSheetId="0">#REF!</definedName>
    <definedName name="senap" localSheetId="7">#REF!</definedName>
    <definedName name="senap">#REF!</definedName>
    <definedName name="senar" localSheetId="1">#REF!</definedName>
    <definedName name="senar" localSheetId="0">#REF!</definedName>
    <definedName name="senar" localSheetId="7">#REF!</definedName>
    <definedName name="senar">#REF!</definedName>
    <definedName name="senfa" localSheetId="1">#REF!</definedName>
    <definedName name="senfa" localSheetId="0">#REF!</definedName>
    <definedName name="senfa" localSheetId="7">#REF!</definedName>
    <definedName name="senfa">#REF!</definedName>
    <definedName name="sensales">#REF!</definedName>
    <definedName name="senstock">#REF!</definedName>
    <definedName name="SERVICE">#REF!</definedName>
    <definedName name="Sheet1">#REF!</definedName>
    <definedName name="Sheet1__2_">#REF!</definedName>
    <definedName name="Sheet1__3_">#REF!</definedName>
    <definedName name="Sky">'[4]Budget params'!$C$3</definedName>
    <definedName name="Source_factory">[2]Menus!$N$6:$N$10</definedName>
    <definedName name="Spec_In">[2]Menus!$L$6:$L$11</definedName>
    <definedName name="Specified_brand">[2]Menus!$J$6:$J$29</definedName>
    <definedName name="Split">'[4]Budget params'!$C$2</definedName>
    <definedName name="Starter">[2]Menus!$R$6:$R$7</definedName>
    <definedName name="State">[2]Menus!$D$6:$D$15</definedName>
    <definedName name="Status">[2]Menus!$A$6:$A$10</definedName>
    <definedName name="System_type">[2]Menus!$P$6:$P$12</definedName>
    <definedName name="TABLE_1" localSheetId="1">#REF!</definedName>
    <definedName name="TABLE_1" localSheetId="0">#REF!</definedName>
    <definedName name="TABLE_1" localSheetId="7">#REF!</definedName>
    <definedName name="TABLE_1">#REF!</definedName>
    <definedName name="TABLE_10_1" localSheetId="1">#REF!</definedName>
    <definedName name="TABLE_10_1" localSheetId="0">#REF!</definedName>
    <definedName name="TABLE_10_1" localSheetId="7">#REF!</definedName>
    <definedName name="TABLE_10_1">#REF!</definedName>
    <definedName name="TABLE_10_3" localSheetId="1">#REF!</definedName>
    <definedName name="TABLE_10_3" localSheetId="0">#REF!</definedName>
    <definedName name="TABLE_10_3" localSheetId="7">#REF!</definedName>
    <definedName name="TABLE_10_3">#REF!</definedName>
    <definedName name="TABLE_11_1">#REF!</definedName>
    <definedName name="TABLE_12_1">#REF!</definedName>
    <definedName name="TABLE_13_1">#REF!</definedName>
    <definedName name="TABLE_14_1">#REF!</definedName>
    <definedName name="TABLE_15_1">#REF!</definedName>
    <definedName name="TABLE_16_1">#REF!</definedName>
    <definedName name="TABLE_2_1">#REF!</definedName>
    <definedName name="TABLE_2_3">#REF!</definedName>
    <definedName name="TABLE_3">#REF!</definedName>
    <definedName name="TABLE_3_1">#REF!</definedName>
    <definedName name="TABLE_3_3">#REF!</definedName>
    <definedName name="TABLE_4_1">#REF!</definedName>
    <definedName name="TABLE_4_3">#REF!</definedName>
    <definedName name="TABLE_5_1">#REF!</definedName>
    <definedName name="TABLE_5_3">#REF!</definedName>
    <definedName name="TABLE_6_1">#REF!</definedName>
    <definedName name="TABLE_6_3">#REF!</definedName>
    <definedName name="TABLE_7_1">#REF!</definedName>
    <definedName name="TABLE_7_3">#REF!</definedName>
    <definedName name="TABLE_8_1">#REF!</definedName>
    <definedName name="TABLE_8_3">#REF!</definedName>
    <definedName name="TABLE_9_1">#REF!</definedName>
    <definedName name="TABLE_9_3">#REF!</definedName>
    <definedName name="tag">#REF!</definedName>
    <definedName name="Taguchi">#REF!</definedName>
    <definedName name="TaxTV">10%</definedName>
    <definedName name="TaxXL">5%</definedName>
    <definedName name="TEST0" localSheetId="1">#REF!</definedName>
    <definedName name="TEST0" localSheetId="0">#REF!</definedName>
    <definedName name="TEST0" localSheetId="7">#REF!</definedName>
    <definedName name="TEST0">#REF!</definedName>
    <definedName name="TEST1" localSheetId="1">#REF!</definedName>
    <definedName name="TEST1" localSheetId="0">#REF!</definedName>
    <definedName name="TEST1" localSheetId="7">#REF!</definedName>
    <definedName name="TEST1">#REF!</definedName>
    <definedName name="TEST2" localSheetId="1">#REF!</definedName>
    <definedName name="TEST2" localSheetId="0">#REF!</definedName>
    <definedName name="TEST2" localSheetId="7">#REF!</definedName>
    <definedName name="TEST2">#REF!</definedName>
    <definedName name="TEST3">#REF!</definedName>
    <definedName name="TEST4">#REF!</definedName>
    <definedName name="TEST5">#REF!</definedName>
    <definedName name="TESTHKEY">#REF!</definedName>
    <definedName name="TESTKEYS">#REF!</definedName>
    <definedName name="TESTKY">#REF!</definedName>
    <definedName name="TESTVKEY">#REF!</definedName>
    <definedName name="tg">#REF!</definedName>
    <definedName name="TGUT">#REF!</definedName>
    <definedName name="Total">'[4]Budget params'!$C$7</definedName>
    <definedName name="TRYT" localSheetId="1">[9]!Main_R</definedName>
    <definedName name="TRYT">[9]!Main_R</definedName>
    <definedName name="tt" localSheetId="1">#REF!</definedName>
    <definedName name="tt" localSheetId="0">#REF!</definedName>
    <definedName name="tt" localSheetId="7">#REF!</definedName>
    <definedName name="tt">#REF!</definedName>
    <definedName name="ty" localSheetId="1">#REF!</definedName>
    <definedName name="ty" localSheetId="0">#REF!</definedName>
    <definedName name="ty" localSheetId="7">#REF!</definedName>
    <definedName name="ty">#REF!</definedName>
    <definedName name="Units">'[4]Budget params'!$C$6</definedName>
    <definedName name="uu" localSheetId="1">#REF!</definedName>
    <definedName name="uu" localSheetId="0">#REF!</definedName>
    <definedName name="uu" localSheetId="7">#REF!</definedName>
    <definedName name="uu">#REF!</definedName>
    <definedName name="vdg" localSheetId="1">#REF!</definedName>
    <definedName name="vdg" localSheetId="0">#REF!</definedName>
    <definedName name="vdg" localSheetId="7">#REF!</definedName>
    <definedName name="vdg">#REF!</definedName>
    <definedName name="Volo_A_R_BXL">'[2]C Travel'!$B$61</definedName>
    <definedName name="volo_A_R_Giappone">'[2]C Travel'!$B$62</definedName>
    <definedName name="volo_A_R_Roma">'[2]C Travel'!$B$60</definedName>
    <definedName name="vr" localSheetId="1">#REF!</definedName>
    <definedName name="vr" localSheetId="0">#REF!</definedName>
    <definedName name="vr" localSheetId="7">#REF!</definedName>
    <definedName name="vr">#REF!</definedName>
    <definedName name="vv" localSheetId="1">#REF!</definedName>
    <definedName name="vv" localSheetId="0">#REF!</definedName>
    <definedName name="vv" localSheetId="7">#REF!</definedName>
    <definedName name="vv">#REF!</definedName>
    <definedName name="vxvx" localSheetId="1">#REF!</definedName>
    <definedName name="vxvx" localSheetId="0">#REF!</definedName>
    <definedName name="vxvx" localSheetId="7">#REF!</definedName>
    <definedName name="vxvx">#REF!</definedName>
    <definedName name="ww">#REF!</definedName>
    <definedName name="WWW">[2]COVER!$G$3</definedName>
    <definedName name="wy" localSheetId="1">#REF!</definedName>
    <definedName name="wy" localSheetId="0">#REF!</definedName>
    <definedName name="wy" localSheetId="7">#REF!</definedName>
    <definedName name="wy">#REF!</definedName>
    <definedName name="x" localSheetId="1">#REF!</definedName>
    <definedName name="x" localSheetId="0">#REF!</definedName>
    <definedName name="x" localSheetId="7">#REF!</definedName>
    <definedName name="x">#REF!</definedName>
    <definedName name="ｘｘｘｘ" localSheetId="1">#REF!</definedName>
    <definedName name="ｘｘｘｘ" localSheetId="0">#REF!</definedName>
    <definedName name="ｘｘｘｘ" localSheetId="7">#REF!</definedName>
    <definedName name="ｘｘｘｘ">#REF!</definedName>
    <definedName name="yytj" localSheetId="1">[10]!Main_R</definedName>
    <definedName name="yytj">[10]!Main_R</definedName>
    <definedName name="zojz" hidden="1">{"'S-13'!$A$1:$A$2"}</definedName>
    <definedName name="ここ" hidden="1">{"'S-13'!$A$1:$A$2"}</definedName>
    <definedName name="提成0306" hidden="1">{"'S-13'!$A$1:$A$2"}</definedName>
    <definedName name="汇率">#REF!</definedName>
    <definedName name="生产">#REF!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结构图1">#REF!</definedName>
    <definedName name="螺杆核算表">#REF!</definedName>
    <definedName name="螺通2">#REF!</definedName>
    <definedName name="进出口平衡比较">#REF!</definedName>
    <definedName name="销售">#REF!</definedName>
    <definedName name="高外気提出用">#REF!</definedName>
  </definedNames>
  <calcPr calcId="191028"/>
  <pivotCaches>
    <pivotCache cacheId="0" r:id="rId21"/>
    <pivotCache cacheId="1"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8" l="1"/>
  <c r="J601" i="9"/>
  <c r="J598" i="9"/>
  <c r="J323" i="9"/>
  <c r="J631" i="9"/>
  <c r="J693" i="9"/>
  <c r="J692" i="9"/>
  <c r="J550" i="9"/>
  <c r="J600" i="9"/>
  <c r="J428" i="9"/>
  <c r="J66" i="9"/>
  <c r="J80" i="9"/>
  <c r="J19" i="9"/>
  <c r="J605" i="9"/>
  <c r="J604" i="9"/>
  <c r="J603" i="9"/>
  <c r="J672" i="9"/>
  <c r="J649" i="9"/>
  <c r="N84" i="9"/>
  <c r="N139" i="9"/>
  <c r="N183" i="9"/>
  <c r="N184" i="9" s="1"/>
  <c r="J142" i="9"/>
  <c r="J38" i="9"/>
  <c r="J249" i="9"/>
  <c r="J276" i="9"/>
  <c r="J335" i="9"/>
  <c r="E77" i="22"/>
  <c r="A567" i="4"/>
  <c r="A568" i="4"/>
  <c r="A569" i="4"/>
  <c r="A570" i="4"/>
  <c r="A571" i="4"/>
  <c r="A572" i="4"/>
  <c r="A573" i="4"/>
  <c r="A574" i="4"/>
  <c r="A575" i="4"/>
  <c r="A576" i="4"/>
  <c r="A577" i="4"/>
  <c r="A578" i="4"/>
  <c r="A579" i="4"/>
  <c r="A580" i="4"/>
  <c r="A581" i="4"/>
  <c r="A582" i="4"/>
  <c r="A583" i="4"/>
  <c r="A584" i="4"/>
  <c r="A585" i="4"/>
  <c r="A586" i="4"/>
  <c r="A587" i="4"/>
  <c r="AI1" i="4"/>
  <c r="AH1" i="4"/>
  <c r="AG1" i="4"/>
  <c r="AF1" i="4"/>
  <c r="AE1" i="4"/>
  <c r="AD1" i="4"/>
  <c r="AC1" i="4"/>
  <c r="AB1" i="4"/>
  <c r="AA1" i="4"/>
  <c r="Z1" i="4"/>
  <c r="Y1" i="4"/>
  <c r="X1" i="4"/>
  <c r="W1" i="4"/>
  <c r="V1" i="4"/>
  <c r="U1" i="4"/>
  <c r="T1" i="4"/>
  <c r="S1" i="4"/>
  <c r="R1" i="4"/>
  <c r="Q1" i="4"/>
  <c r="P1" i="4"/>
  <c r="O1" i="4"/>
  <c r="N1" i="4"/>
  <c r="M1" i="4"/>
  <c r="L1" i="4"/>
  <c r="K1" i="4"/>
  <c r="J1" i="4"/>
  <c r="I1" i="4"/>
  <c r="H1" i="4"/>
  <c r="G1" i="4"/>
  <c r="F1" i="4"/>
  <c r="E1" i="4"/>
  <c r="L75" i="2"/>
  <c r="P61" i="2"/>
  <c r="O61" i="2"/>
  <c r="N61" i="2"/>
  <c r="M61" i="2"/>
  <c r="M62" i="2"/>
  <c r="J56" i="2"/>
  <c r="J55" i="2"/>
  <c r="J54" i="2"/>
  <c r="J53" i="2"/>
  <c r="G52" i="2"/>
  <c r="J52" i="2"/>
  <c r="J50" i="2"/>
  <c r="J46" i="2"/>
  <c r="J44" i="2"/>
  <c r="I43" i="2"/>
  <c r="G35" i="2"/>
  <c r="K32" i="2"/>
  <c r="K61" i="2"/>
  <c r="K62" i="2"/>
  <c r="L31" i="2"/>
  <c r="G28" i="2"/>
  <c r="L27" i="2"/>
  <c r="I22" i="2"/>
  <c r="I61" i="2"/>
  <c r="I62" i="2"/>
  <c r="J20" i="2"/>
  <c r="J19" i="2"/>
  <c r="J61"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P1" i="2"/>
  <c r="O1" i="2"/>
  <c r="N1" i="2"/>
  <c r="M1" i="2"/>
  <c r="K1" i="2"/>
  <c r="J1" i="2"/>
  <c r="C4" i="8"/>
  <c r="C5" i="8"/>
  <c r="C6" i="8"/>
  <c r="C7" i="8"/>
  <c r="C8" i="8"/>
  <c r="C9" i="8"/>
  <c r="C10" i="8"/>
  <c r="C11" i="8"/>
  <c r="C12" i="8"/>
  <c r="C13" i="8"/>
  <c r="C14" i="8"/>
  <c r="C15" i="8"/>
  <c r="C16" i="8"/>
  <c r="C17" i="8"/>
  <c r="C18" i="8"/>
  <c r="C19" i="8"/>
  <c r="C20" i="8"/>
  <c r="C21" i="8"/>
  <c r="C22" i="8"/>
  <c r="C23" i="8"/>
  <c r="C24" i="8"/>
  <c r="C25" i="8"/>
  <c r="U67" i="6"/>
  <c r="T67" i="6"/>
  <c r="S67" i="6"/>
  <c r="R67" i="6"/>
  <c r="Q67" i="6"/>
  <c r="P67" i="6"/>
  <c r="O67" i="6"/>
  <c r="N67" i="6"/>
  <c r="M67" i="6"/>
  <c r="L67" i="6"/>
  <c r="K67" i="6"/>
  <c r="J67" i="6"/>
  <c r="U66" i="6"/>
  <c r="T66" i="6"/>
  <c r="S66" i="6"/>
  <c r="R66" i="6"/>
  <c r="Q66" i="6"/>
  <c r="P66" i="6"/>
  <c r="O66" i="6"/>
  <c r="N66" i="6"/>
  <c r="M66" i="6"/>
  <c r="L66" i="6"/>
  <c r="K66" i="6"/>
  <c r="J66" i="6"/>
  <c r="U65" i="6"/>
  <c r="T65" i="6"/>
  <c r="S65" i="6"/>
  <c r="R65" i="6"/>
  <c r="Q65" i="6"/>
  <c r="P65" i="6"/>
  <c r="O65" i="6"/>
  <c r="N65" i="6"/>
  <c r="M65" i="6"/>
  <c r="L65" i="6"/>
  <c r="K65" i="6"/>
  <c r="J65" i="6"/>
  <c r="U64" i="6"/>
  <c r="T64" i="6"/>
  <c r="S64" i="6"/>
  <c r="R64" i="6"/>
  <c r="Q64" i="6"/>
  <c r="P64" i="6"/>
  <c r="O64" i="6"/>
  <c r="N64" i="6"/>
  <c r="M64" i="6"/>
  <c r="L64" i="6"/>
  <c r="K64" i="6"/>
  <c r="J64" i="6"/>
  <c r="U63" i="6"/>
  <c r="T63" i="6"/>
  <c r="S63" i="6"/>
  <c r="R63" i="6"/>
  <c r="Q63" i="6"/>
  <c r="P63" i="6"/>
  <c r="O63" i="6"/>
  <c r="N63" i="6"/>
  <c r="M63" i="6"/>
  <c r="L63" i="6"/>
  <c r="K63" i="6"/>
  <c r="J63" i="6"/>
  <c r="U62" i="6"/>
  <c r="T62" i="6"/>
  <c r="S62" i="6"/>
  <c r="R62" i="6"/>
  <c r="Q62" i="6"/>
  <c r="P62" i="6"/>
  <c r="O62" i="6"/>
  <c r="N62" i="6"/>
  <c r="M62" i="6"/>
  <c r="L62" i="6"/>
  <c r="K62" i="6"/>
  <c r="J62" i="6"/>
  <c r="U61" i="6"/>
  <c r="T61" i="6"/>
  <c r="S61" i="6"/>
  <c r="R61" i="6"/>
  <c r="Q61" i="6"/>
  <c r="P61" i="6"/>
  <c r="O61" i="6"/>
  <c r="N61" i="6"/>
  <c r="M61" i="6"/>
  <c r="L61" i="6"/>
  <c r="K61" i="6"/>
  <c r="J61" i="6"/>
  <c r="U60" i="6"/>
  <c r="T60" i="6"/>
  <c r="S60" i="6"/>
  <c r="R60" i="6"/>
  <c r="Q60" i="6"/>
  <c r="P60" i="6"/>
  <c r="O60" i="6"/>
  <c r="N60" i="6"/>
  <c r="M60" i="6"/>
  <c r="L60" i="6"/>
  <c r="K60" i="6"/>
  <c r="J60" i="6"/>
  <c r="U59" i="6"/>
  <c r="T59" i="6"/>
  <c r="S59" i="6"/>
  <c r="R59" i="6"/>
  <c r="Q59" i="6"/>
  <c r="P59" i="6"/>
  <c r="O59" i="6"/>
  <c r="N59" i="6"/>
  <c r="M59" i="6"/>
  <c r="L59" i="6"/>
  <c r="K59" i="6"/>
  <c r="J59" i="6"/>
  <c r="U58" i="6"/>
  <c r="T58" i="6"/>
  <c r="S58" i="6"/>
  <c r="R58" i="6"/>
  <c r="Q58" i="6"/>
  <c r="P58" i="6"/>
  <c r="O58" i="6"/>
  <c r="N58" i="6"/>
  <c r="M58" i="6"/>
  <c r="L58" i="6"/>
  <c r="K58" i="6"/>
  <c r="J58" i="6"/>
  <c r="U57" i="6"/>
  <c r="T57" i="6"/>
  <c r="S57" i="6"/>
  <c r="R57" i="6"/>
  <c r="Q57" i="6"/>
  <c r="P57" i="6"/>
  <c r="O57" i="6"/>
  <c r="N57" i="6"/>
  <c r="M57" i="6"/>
  <c r="L57" i="6"/>
  <c r="K57" i="6"/>
  <c r="J57" i="6"/>
  <c r="U56" i="6"/>
  <c r="T56" i="6"/>
  <c r="S56" i="6"/>
  <c r="R56" i="6"/>
  <c r="Q56" i="6"/>
  <c r="P56" i="6"/>
  <c r="O56" i="6"/>
  <c r="N56" i="6"/>
  <c r="M56" i="6"/>
  <c r="L56" i="6"/>
  <c r="K56" i="6"/>
  <c r="J56" i="6"/>
  <c r="U55" i="6"/>
  <c r="T55" i="6"/>
  <c r="S55" i="6"/>
  <c r="R55" i="6"/>
  <c r="Q55" i="6"/>
  <c r="P55" i="6"/>
  <c r="O55" i="6"/>
  <c r="N55" i="6"/>
  <c r="M55" i="6"/>
  <c r="L55" i="6"/>
  <c r="K55" i="6"/>
  <c r="J55" i="6"/>
  <c r="U54" i="6"/>
  <c r="T54" i="6"/>
  <c r="S54" i="6"/>
  <c r="R54" i="6"/>
  <c r="Q54" i="6"/>
  <c r="P54" i="6"/>
  <c r="O54" i="6"/>
  <c r="N54" i="6"/>
  <c r="M54" i="6"/>
  <c r="L54" i="6"/>
  <c r="K54" i="6"/>
  <c r="J54" i="6"/>
  <c r="U53" i="6"/>
  <c r="T53" i="6"/>
  <c r="S53" i="6"/>
  <c r="R53" i="6"/>
  <c r="Q53" i="6"/>
  <c r="P53" i="6"/>
  <c r="O53" i="6"/>
  <c r="N53" i="6"/>
  <c r="M53" i="6"/>
  <c r="L53" i="6"/>
  <c r="K53" i="6"/>
  <c r="J53" i="6"/>
  <c r="U52" i="6"/>
  <c r="T52" i="6"/>
  <c r="S52" i="6"/>
  <c r="R52" i="6"/>
  <c r="Q52" i="6"/>
  <c r="P52" i="6"/>
  <c r="O52" i="6"/>
  <c r="N52" i="6"/>
  <c r="M52" i="6"/>
  <c r="L52" i="6"/>
  <c r="K52" i="6"/>
  <c r="J52" i="6"/>
  <c r="U51" i="6"/>
  <c r="T51" i="6"/>
  <c r="S51" i="6"/>
  <c r="R51" i="6"/>
  <c r="Q51" i="6"/>
  <c r="P51" i="6"/>
  <c r="O51" i="6"/>
  <c r="N51" i="6"/>
  <c r="M51" i="6"/>
  <c r="L51" i="6"/>
  <c r="K51" i="6"/>
  <c r="J51" i="6"/>
  <c r="U50" i="6"/>
  <c r="T50" i="6"/>
  <c r="S50" i="6"/>
  <c r="R50" i="6"/>
  <c r="Q50" i="6"/>
  <c r="P50" i="6"/>
  <c r="O50" i="6"/>
  <c r="N50" i="6"/>
  <c r="M50" i="6"/>
  <c r="L50" i="6"/>
  <c r="K50" i="6"/>
  <c r="J50" i="6"/>
  <c r="U49" i="6"/>
  <c r="T49" i="6"/>
  <c r="S49" i="6"/>
  <c r="R49" i="6"/>
  <c r="Q49" i="6"/>
  <c r="P49" i="6"/>
  <c r="O49" i="6"/>
  <c r="N49" i="6"/>
  <c r="M49" i="6"/>
  <c r="L49" i="6"/>
  <c r="K49" i="6"/>
  <c r="J49" i="6"/>
  <c r="U48" i="6"/>
  <c r="T48" i="6"/>
  <c r="S48" i="6"/>
  <c r="R48" i="6"/>
  <c r="Q48" i="6"/>
  <c r="P48" i="6"/>
  <c r="O48" i="6"/>
  <c r="N48" i="6"/>
  <c r="M48" i="6"/>
  <c r="L48" i="6"/>
  <c r="K48" i="6"/>
  <c r="J48" i="6"/>
  <c r="U47" i="6"/>
  <c r="T47" i="6"/>
  <c r="S47" i="6"/>
  <c r="R47" i="6"/>
  <c r="Q47" i="6"/>
  <c r="P47" i="6"/>
  <c r="O47" i="6"/>
  <c r="N47" i="6"/>
  <c r="M47" i="6"/>
  <c r="L47" i="6"/>
  <c r="K47" i="6"/>
  <c r="J47" i="6"/>
  <c r="U46" i="6"/>
  <c r="T46" i="6"/>
  <c r="S46" i="6"/>
  <c r="R46" i="6"/>
  <c r="Q46" i="6"/>
  <c r="P46" i="6"/>
  <c r="O46" i="6"/>
  <c r="N46" i="6"/>
  <c r="M46" i="6"/>
  <c r="L46" i="6"/>
  <c r="K46" i="6"/>
  <c r="J46" i="6"/>
  <c r="U45" i="6"/>
  <c r="T45" i="6"/>
  <c r="S45" i="6"/>
  <c r="R45" i="6"/>
  <c r="Q45" i="6"/>
  <c r="P45" i="6"/>
  <c r="O45" i="6"/>
  <c r="N45" i="6"/>
  <c r="M45" i="6"/>
  <c r="L45" i="6"/>
  <c r="K45" i="6"/>
  <c r="J45" i="6"/>
  <c r="U44" i="6"/>
  <c r="T44" i="6"/>
  <c r="S44" i="6"/>
  <c r="R44" i="6"/>
  <c r="Q44" i="6"/>
  <c r="P44" i="6"/>
  <c r="O44" i="6"/>
  <c r="N44" i="6"/>
  <c r="M44" i="6"/>
  <c r="L44" i="6"/>
  <c r="K44" i="6"/>
  <c r="J44" i="6"/>
  <c r="U43" i="6"/>
  <c r="T43" i="6"/>
  <c r="S43" i="6"/>
  <c r="R43" i="6"/>
  <c r="Q43" i="6"/>
  <c r="P43" i="6"/>
  <c r="O43" i="6"/>
  <c r="N43" i="6"/>
  <c r="M43" i="6"/>
  <c r="L43" i="6"/>
  <c r="K43" i="6"/>
  <c r="J43" i="6"/>
  <c r="U42" i="6"/>
  <c r="T42" i="6"/>
  <c r="S42" i="6"/>
  <c r="R42" i="6"/>
  <c r="Q42" i="6"/>
  <c r="P42" i="6"/>
  <c r="O42" i="6"/>
  <c r="N42" i="6"/>
  <c r="M42" i="6"/>
  <c r="L42" i="6"/>
  <c r="K42" i="6"/>
  <c r="J42" i="6"/>
  <c r="U41" i="6"/>
  <c r="T41" i="6"/>
  <c r="S41" i="6"/>
  <c r="R41" i="6"/>
  <c r="Q41" i="6"/>
  <c r="P41" i="6"/>
  <c r="O41" i="6"/>
  <c r="N41" i="6"/>
  <c r="M41" i="6"/>
  <c r="L41" i="6"/>
  <c r="K41" i="6"/>
  <c r="J41" i="6"/>
  <c r="U40" i="6"/>
  <c r="T40" i="6"/>
  <c r="S40" i="6"/>
  <c r="R40" i="6"/>
  <c r="Q40" i="6"/>
  <c r="P40" i="6"/>
  <c r="O40" i="6"/>
  <c r="N40" i="6"/>
  <c r="M40" i="6"/>
  <c r="L40" i="6"/>
  <c r="K40" i="6"/>
  <c r="J40" i="6"/>
  <c r="U39" i="6"/>
  <c r="T39" i="6"/>
  <c r="S39" i="6"/>
  <c r="R39" i="6"/>
  <c r="Q39" i="6"/>
  <c r="P39" i="6"/>
  <c r="O39" i="6"/>
  <c r="N39" i="6"/>
  <c r="M39" i="6"/>
  <c r="L39" i="6"/>
  <c r="K39" i="6"/>
  <c r="J39" i="6"/>
  <c r="U38" i="6"/>
  <c r="T38" i="6"/>
  <c r="S38" i="6"/>
  <c r="R38" i="6"/>
  <c r="Q38" i="6"/>
  <c r="P38" i="6"/>
  <c r="O38" i="6"/>
  <c r="N38" i="6"/>
  <c r="M38" i="6"/>
  <c r="L38" i="6"/>
  <c r="K38" i="6"/>
  <c r="J38" i="6"/>
  <c r="U37" i="6"/>
  <c r="T37" i="6"/>
  <c r="S37" i="6"/>
  <c r="R37" i="6"/>
  <c r="Q37" i="6"/>
  <c r="P37" i="6"/>
  <c r="O37" i="6"/>
  <c r="N37" i="6"/>
  <c r="M37" i="6"/>
  <c r="L37" i="6"/>
  <c r="K37" i="6"/>
  <c r="J37" i="6"/>
  <c r="U36" i="6"/>
  <c r="T36" i="6"/>
  <c r="S36" i="6"/>
  <c r="R36" i="6"/>
  <c r="Q36" i="6"/>
  <c r="P36" i="6"/>
  <c r="O36" i="6"/>
  <c r="N36" i="6"/>
  <c r="M36" i="6"/>
  <c r="L36" i="6"/>
  <c r="K36" i="6"/>
  <c r="J36" i="6"/>
  <c r="U35" i="6"/>
  <c r="T35" i="6"/>
  <c r="S35" i="6"/>
  <c r="R35" i="6"/>
  <c r="Q35" i="6"/>
  <c r="P35" i="6"/>
  <c r="O35" i="6"/>
  <c r="N35" i="6"/>
  <c r="M35" i="6"/>
  <c r="L35" i="6"/>
  <c r="K35" i="6"/>
  <c r="J35" i="6"/>
  <c r="U34" i="6"/>
  <c r="T34" i="6"/>
  <c r="S34" i="6"/>
  <c r="R34" i="6"/>
  <c r="Q34" i="6"/>
  <c r="P34" i="6"/>
  <c r="O34" i="6"/>
  <c r="N34" i="6"/>
  <c r="M34" i="6"/>
  <c r="L34" i="6"/>
  <c r="K34" i="6"/>
  <c r="J34" i="6"/>
  <c r="U33" i="6"/>
  <c r="T33" i="6"/>
  <c r="S33" i="6"/>
  <c r="R33" i="6"/>
  <c r="Q33" i="6"/>
  <c r="P33" i="6"/>
  <c r="O33" i="6"/>
  <c r="N33" i="6"/>
  <c r="M33" i="6"/>
  <c r="L33" i="6"/>
  <c r="K33" i="6"/>
  <c r="J33" i="6"/>
  <c r="U32" i="6"/>
  <c r="T32" i="6"/>
  <c r="S32" i="6"/>
  <c r="R32" i="6"/>
  <c r="Q32" i="6"/>
  <c r="P32" i="6"/>
  <c r="O32" i="6"/>
  <c r="N32" i="6"/>
  <c r="M32" i="6"/>
  <c r="L32" i="6"/>
  <c r="K32" i="6"/>
  <c r="J32" i="6"/>
  <c r="U31" i="6"/>
  <c r="T31" i="6"/>
  <c r="S31" i="6"/>
  <c r="R31" i="6"/>
  <c r="Q31" i="6"/>
  <c r="P31" i="6"/>
  <c r="O31" i="6"/>
  <c r="N31" i="6"/>
  <c r="M31" i="6"/>
  <c r="L31" i="6"/>
  <c r="K31" i="6"/>
  <c r="J31" i="6"/>
  <c r="U30" i="6"/>
  <c r="T30" i="6"/>
  <c r="S30" i="6"/>
  <c r="R30" i="6"/>
  <c r="Q30" i="6"/>
  <c r="P30" i="6"/>
  <c r="O30" i="6"/>
  <c r="N30" i="6"/>
  <c r="M30" i="6"/>
  <c r="L30" i="6"/>
  <c r="K30" i="6"/>
  <c r="J30" i="6"/>
  <c r="U29" i="6"/>
  <c r="T29" i="6"/>
  <c r="S29" i="6"/>
  <c r="R29" i="6"/>
  <c r="Q29" i="6"/>
  <c r="P29" i="6"/>
  <c r="O29" i="6"/>
  <c r="N29" i="6"/>
  <c r="M29" i="6"/>
  <c r="L29" i="6"/>
  <c r="K29" i="6"/>
  <c r="J29" i="6"/>
  <c r="U28" i="6"/>
  <c r="T28" i="6"/>
  <c r="S28" i="6"/>
  <c r="R28" i="6"/>
  <c r="Q28" i="6"/>
  <c r="P28" i="6"/>
  <c r="O28" i="6"/>
  <c r="N28" i="6"/>
  <c r="M28" i="6"/>
  <c r="L28" i="6"/>
  <c r="K28" i="6"/>
  <c r="J28" i="6"/>
  <c r="U27" i="6"/>
  <c r="T27" i="6"/>
  <c r="S27" i="6"/>
  <c r="R27" i="6"/>
  <c r="Q27" i="6"/>
  <c r="P27" i="6"/>
  <c r="O27" i="6"/>
  <c r="N27" i="6"/>
  <c r="M27" i="6"/>
  <c r="L27" i="6"/>
  <c r="K27" i="6"/>
  <c r="J27" i="6"/>
  <c r="U26" i="6"/>
  <c r="T26" i="6"/>
  <c r="S26" i="6"/>
  <c r="R26" i="6"/>
  <c r="Q26" i="6"/>
  <c r="P26" i="6"/>
  <c r="O26" i="6"/>
  <c r="N26" i="6"/>
  <c r="M26" i="6"/>
  <c r="L26" i="6"/>
  <c r="K26" i="6"/>
  <c r="J26" i="6"/>
  <c r="U25" i="6"/>
  <c r="T25" i="6"/>
  <c r="S25" i="6"/>
  <c r="R25" i="6"/>
  <c r="Q25" i="6"/>
  <c r="P25" i="6"/>
  <c r="O25" i="6"/>
  <c r="N25" i="6"/>
  <c r="M25" i="6"/>
  <c r="L25" i="6"/>
  <c r="K25" i="6"/>
  <c r="J25" i="6"/>
  <c r="U24" i="6"/>
  <c r="T24" i="6"/>
  <c r="S24" i="6"/>
  <c r="R24" i="6"/>
  <c r="Q24" i="6"/>
  <c r="P24" i="6"/>
  <c r="O24" i="6"/>
  <c r="N24" i="6"/>
  <c r="M24" i="6"/>
  <c r="L24" i="6"/>
  <c r="K24" i="6"/>
  <c r="J24" i="6"/>
  <c r="U23" i="6"/>
  <c r="T23" i="6"/>
  <c r="S23" i="6"/>
  <c r="R23" i="6"/>
  <c r="Q23" i="6"/>
  <c r="P23" i="6"/>
  <c r="O23" i="6"/>
  <c r="N23" i="6"/>
  <c r="M23" i="6"/>
  <c r="L23" i="6"/>
  <c r="K23" i="6"/>
  <c r="J23" i="6"/>
  <c r="U22" i="6"/>
  <c r="T22" i="6"/>
  <c r="S22" i="6"/>
  <c r="R22" i="6"/>
  <c r="Q22" i="6"/>
  <c r="P22" i="6"/>
  <c r="O22" i="6"/>
  <c r="N22" i="6"/>
  <c r="M22" i="6"/>
  <c r="L22" i="6"/>
  <c r="K22" i="6"/>
  <c r="J22" i="6"/>
  <c r="U21" i="6"/>
  <c r="T21" i="6"/>
  <c r="S21" i="6"/>
  <c r="R21" i="6"/>
  <c r="Q21" i="6"/>
  <c r="P21" i="6"/>
  <c r="O21" i="6"/>
  <c r="N21" i="6"/>
  <c r="M21" i="6"/>
  <c r="L21" i="6"/>
  <c r="K21" i="6"/>
  <c r="J21" i="6"/>
  <c r="U20" i="6"/>
  <c r="T20" i="6"/>
  <c r="S20" i="6"/>
  <c r="R20" i="6"/>
  <c r="Q20" i="6"/>
  <c r="P20" i="6"/>
  <c r="O20" i="6"/>
  <c r="N20" i="6"/>
  <c r="M20" i="6"/>
  <c r="L20" i="6"/>
  <c r="K20" i="6"/>
  <c r="J20" i="6"/>
  <c r="U19" i="6"/>
  <c r="T19" i="6"/>
  <c r="S19" i="6"/>
  <c r="R19" i="6"/>
  <c r="Q19" i="6"/>
  <c r="P19" i="6"/>
  <c r="O19" i="6"/>
  <c r="N19" i="6"/>
  <c r="M19" i="6"/>
  <c r="L19" i="6"/>
  <c r="K19" i="6"/>
  <c r="J19" i="6"/>
  <c r="U18" i="6"/>
  <c r="T18" i="6"/>
  <c r="S18" i="6"/>
  <c r="R18" i="6"/>
  <c r="Q18" i="6"/>
  <c r="P18" i="6"/>
  <c r="O18" i="6"/>
  <c r="N18" i="6"/>
  <c r="M18" i="6"/>
  <c r="L18" i="6"/>
  <c r="U17" i="6"/>
  <c r="T17" i="6"/>
  <c r="S17" i="6"/>
  <c r="R17" i="6"/>
  <c r="Q17" i="6"/>
  <c r="P17" i="6"/>
  <c r="O17" i="6"/>
  <c r="N17" i="6"/>
  <c r="M17" i="6"/>
  <c r="L17" i="6"/>
  <c r="K17" i="6"/>
  <c r="J17" i="6"/>
  <c r="U16" i="6"/>
  <c r="T16" i="6"/>
  <c r="S16" i="6"/>
  <c r="R16" i="6"/>
  <c r="Q16" i="6"/>
  <c r="P16" i="6"/>
  <c r="O16" i="6"/>
  <c r="N16" i="6"/>
  <c r="M16" i="6"/>
  <c r="L16" i="6"/>
  <c r="K16" i="6"/>
  <c r="J16" i="6"/>
  <c r="U15" i="6"/>
  <c r="T15" i="6"/>
  <c r="S15" i="6"/>
  <c r="R15" i="6"/>
  <c r="Q15" i="6"/>
  <c r="P15" i="6"/>
  <c r="O15" i="6"/>
  <c r="N15" i="6"/>
  <c r="M15" i="6"/>
  <c r="L15" i="6"/>
  <c r="K15" i="6"/>
  <c r="J15" i="6"/>
  <c r="U14" i="6"/>
  <c r="T14" i="6"/>
  <c r="S14" i="6"/>
  <c r="R14" i="6"/>
  <c r="Q14" i="6"/>
  <c r="P14" i="6"/>
  <c r="O14" i="6"/>
  <c r="N14" i="6"/>
  <c r="M14" i="6"/>
  <c r="L14" i="6"/>
  <c r="K14" i="6"/>
  <c r="J14" i="6"/>
  <c r="U13" i="6"/>
  <c r="T13" i="6"/>
  <c r="S13" i="6"/>
  <c r="R13" i="6"/>
  <c r="Q13" i="6"/>
  <c r="P13" i="6"/>
  <c r="O13" i="6"/>
  <c r="N13" i="6"/>
  <c r="L13" i="6"/>
  <c r="K13" i="6"/>
  <c r="J13" i="6"/>
  <c r="U12" i="6"/>
  <c r="T12" i="6"/>
  <c r="S12" i="6"/>
  <c r="R12" i="6"/>
  <c r="Q12" i="6"/>
  <c r="P12" i="6"/>
  <c r="O12" i="6"/>
  <c r="N12" i="6"/>
  <c r="M12" i="6"/>
  <c r="L12" i="6"/>
  <c r="K12" i="6"/>
  <c r="J12" i="6"/>
  <c r="U11" i="6"/>
  <c r="T11" i="6"/>
  <c r="S11" i="6"/>
  <c r="R11" i="6"/>
  <c r="Q11" i="6"/>
  <c r="P11" i="6"/>
  <c r="O11" i="6"/>
  <c r="N11" i="6"/>
  <c r="M11" i="6"/>
  <c r="L11" i="6"/>
  <c r="K11" i="6"/>
  <c r="J11" i="6"/>
  <c r="U10" i="6"/>
  <c r="T10" i="6"/>
  <c r="S10" i="6"/>
  <c r="R10" i="6"/>
  <c r="Q10" i="6"/>
  <c r="P10" i="6"/>
  <c r="O10" i="6"/>
  <c r="N10" i="6"/>
  <c r="M10" i="6"/>
  <c r="L10" i="6"/>
  <c r="K10" i="6"/>
  <c r="J10" i="6"/>
  <c r="U9" i="6"/>
  <c r="T9" i="6"/>
  <c r="S9" i="6"/>
  <c r="R9" i="6"/>
  <c r="Q9" i="6"/>
  <c r="P9" i="6"/>
  <c r="O9" i="6"/>
  <c r="N9" i="6"/>
  <c r="M9" i="6"/>
  <c r="L9" i="6"/>
  <c r="K9" i="6"/>
  <c r="J9" i="6"/>
  <c r="U8" i="6"/>
  <c r="T8" i="6"/>
  <c r="S8" i="6"/>
  <c r="R8" i="6"/>
  <c r="Q8" i="6"/>
  <c r="P8" i="6"/>
  <c r="O8" i="6"/>
  <c r="N8" i="6"/>
  <c r="M8" i="6"/>
  <c r="L8" i="6"/>
  <c r="K8" i="6"/>
  <c r="J8" i="6"/>
  <c r="U7" i="6"/>
  <c r="T7" i="6"/>
  <c r="S7" i="6"/>
  <c r="R7" i="6"/>
  <c r="Q7" i="6"/>
  <c r="P7" i="6"/>
  <c r="O7" i="6"/>
  <c r="N7" i="6"/>
  <c r="M7" i="6"/>
  <c r="L7" i="6"/>
  <c r="K7" i="6"/>
  <c r="J7" i="6"/>
  <c r="U6" i="6"/>
  <c r="T6" i="6"/>
  <c r="S6" i="6"/>
  <c r="R6" i="6"/>
  <c r="Q6" i="6"/>
  <c r="P6" i="6"/>
  <c r="O6" i="6"/>
  <c r="N6" i="6"/>
  <c r="M6" i="6"/>
  <c r="L6" i="6"/>
  <c r="K6" i="6"/>
  <c r="J6" i="6"/>
  <c r="U5" i="6"/>
  <c r="T5" i="6"/>
  <c r="S5" i="6"/>
  <c r="R5" i="6"/>
  <c r="Q5" i="6"/>
  <c r="P5" i="6"/>
  <c r="O5" i="6"/>
  <c r="N5" i="6"/>
  <c r="M5" i="6"/>
  <c r="L5" i="6"/>
  <c r="K5" i="6"/>
  <c r="J5" i="6"/>
  <c r="U4" i="6"/>
  <c r="T4" i="6"/>
  <c r="S4" i="6"/>
  <c r="R4" i="6"/>
  <c r="Q4" i="6"/>
  <c r="P4" i="6"/>
  <c r="O4" i="6"/>
  <c r="N4" i="6"/>
  <c r="M4" i="6"/>
  <c r="L4" i="6"/>
  <c r="K4" i="6"/>
  <c r="J4" i="6"/>
  <c r="U3" i="6"/>
  <c r="T3" i="6"/>
  <c r="S3" i="6"/>
  <c r="R3" i="6"/>
  <c r="Q3" i="6"/>
  <c r="P3" i="6"/>
  <c r="O3" i="6"/>
  <c r="N3" i="6"/>
  <c r="M3" i="6"/>
  <c r="L3" i="6"/>
  <c r="K3" i="6"/>
  <c r="J3" i="6"/>
  <c r="U1" i="6"/>
  <c r="Q1" i="6"/>
  <c r="M1" i="6"/>
  <c r="N1" i="6"/>
  <c r="O1" i="6"/>
  <c r="P1" i="6"/>
  <c r="R1" i="6"/>
  <c r="S1" i="6"/>
  <c r="T1" i="6"/>
  <c r="J1" i="6"/>
  <c r="K1" i="6"/>
  <c r="L1" i="6"/>
  <c r="L1" i="2"/>
  <c r="L61" i="2"/>
  <c r="L62" i="2"/>
  <c r="G1" i="2"/>
  <c r="I1" i="2"/>
  <c r="J62" i="2"/>
  <c r="AJ1" i="4"/>
  <c r="G1" i="6"/>
  <c r="J694"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tc={8FC04DA3-E2C7-422F-8850-2E1954AACE6D}</author>
    <author>tc={3EC96804-6CE8-4FFD-9A23-A7CE3696E8A2}</author>
    <author>tc={B9F57680-BC40-4AB0-8037-0B96B625E0B6}</author>
    <author>tc={6840F5D2-3FF0-4E8E-BC27-59777140E993}</author>
    <author>tc={A195BC2C-48C7-45FE-A1FB-C49DA56F2A95}</author>
    <author>tc={E8835498-D52C-47C8-B0DC-82B7F8083706}</author>
    <author>tc={F333D61A-65BB-47DF-9843-644FEF415FBD}</author>
    <author>tc={86A5470F-B0E4-441B-808A-5BFAAF704669}</author>
    <author>tc={1C9EEEC8-012C-4FD8-B03C-5FF55C98F351}</author>
    <author>tc={2E8E087A-27EA-4CB1-8E09-180C025D0F31}</author>
    <author>tc={BAAF6959-55B7-44D9-AB71-CD35B1A6433A}</author>
    <author>tc={930E665C-B1A4-494B-9E68-9EEC812C6826}</author>
    <author>tc={6EC85262-27C0-4759-B727-505A5A1FCF3A}</author>
    <author>tc={2C37CE92-4208-4A22-B11E-751937762F2F}</author>
    <author>tc={7BE7AF61-7D03-4355-AE6F-838068D2A92B}</author>
    <author>tc={D0EDB556-D48A-4BFB-B293-E0C4327BB05E}</author>
    <author>tc={1B41AD38-6424-433D-A406-3C44E22FC1F2}</author>
    <author>tc={65986036-C1CC-47A0-8DE4-A26B804C4050}</author>
    <author>tc={4D73465C-81A5-4D00-88BC-FBADF9EE16F3}</author>
    <author>tc={B55B352E-3226-4234-8FEC-1478FE494CC6}</author>
    <author>tc={F08E4DAD-92C0-42A2-9894-7FA7B42CBA05}</author>
    <author>tc={68C5C7D4-8B3B-4C04-807C-E5ABB3E510D1}</author>
    <author>tc={B1FC9CC1-D161-40DD-B06A-777FDCE605E0}</author>
    <author>tc={B5ACAB2F-7AE8-4E48-9AB0-8C2B81D0296C}</author>
    <author>tc={ADE62DA2-AE1C-47F0-AFEA-C2E60177A018}</author>
    <author>tc={7F7183AE-5BF7-4243-8282-74E0B8ABC705}</author>
    <author>tc={A9920482-321B-41C8-A889-49FB23FC9907}</author>
    <author>tc={36E5C828-8F42-4240-937B-EF6DF0E73A8A}</author>
    <author>tc={C35D4AC7-AF31-453D-A98F-A49B5981851F}</author>
  </authors>
  <commentList>
    <comment ref="N90" authorId="0" shapeId="0" xr:uid="{8FC04DA3-E2C7-422F-8850-2E1954AACE6D}">
      <text>
        <t>[Threaded comment]
Your version of Excel allows you to read this threaded comment; however, any edits to it will get removed if the file is opened in a newer version of Excel. Learn more: https://go.microsoft.com/fwlink/?linkid=870924
Comment:
    submit quotation 9 sept'24</t>
      </text>
    </comment>
    <comment ref="N364" authorId="1" shapeId="0" xr:uid="{3EC96804-6CE8-4FFD-9A23-A7CE3696E8A2}">
      <text>
        <t>[Threaded comment]
Your version of Excel allows you to read this threaded comment; however, any edits to it will get removed if the file is opened in a newer version of Excel. Learn more: https://go.microsoft.com/fwlink/?linkid=870924
Comment:
    Quotation submit 3 Apr'24</t>
      </text>
    </comment>
    <comment ref="N366" authorId="2" shapeId="0" xr:uid="{B9F57680-BC40-4AB0-8037-0B96B625E0B6}">
      <text>
        <t>[Threaded comment]
Your version of Excel allows you to read this threaded comment; however, any edits to it will get removed if the file is opened in a newer version of Excel. Learn more: https://go.microsoft.com/fwlink/?linkid=870924
Comment:
    Quotation submit 4 Apr'24</t>
      </text>
    </comment>
    <comment ref="N367" authorId="3" shapeId="0" xr:uid="{6840F5D2-3FF0-4E8E-BC27-59777140E993}">
      <text>
        <t>[Threaded comment]
Your version of Excel allows you to read this threaded comment; however, any edits to it will get removed if the file is opened in a newer version of Excel. Learn more: https://go.microsoft.com/fwlink/?linkid=870924
Comment:
    Quotation submit 8 Apr'24</t>
      </text>
    </comment>
    <comment ref="N368" authorId="4" shapeId="0" xr:uid="{A195BC2C-48C7-45FE-A1FB-C49DA56F2A95}">
      <text>
        <t>[Threaded comment]
Your version of Excel allows you to read this threaded comment; however, any edits to it will get removed if the file is opened in a newer version of Excel. Learn more: https://go.microsoft.com/fwlink/?linkid=870924
Comment:
    Submit Quotation 8 Apr'24</t>
      </text>
    </comment>
    <comment ref="N369" authorId="5" shapeId="0" xr:uid="{E8835498-D52C-47C8-B0DC-82B7F8083706}">
      <text>
        <t>[Threaded comment]
Your version of Excel allows you to read this threaded comment; however, any edits to it will get removed if the file is opened in a newer version of Excel. Learn more: https://go.microsoft.com/fwlink/?linkid=870924
Comment:
    submit quotation 23 Apr'24</t>
      </text>
    </comment>
    <comment ref="N370" authorId="6" shapeId="0" xr:uid="{F333D61A-65BB-47DF-9843-644FEF415FBD}">
      <text>
        <t>[Threaded comment]
Your version of Excel allows you to read this threaded comment; however, any edits to it will get removed if the file is opened in a newer version of Excel. Learn more: https://go.microsoft.com/fwlink/?linkid=870924
Comment:
    sent quotation to pak afandy 3 Jul'24</t>
      </text>
    </comment>
    <comment ref="N371" authorId="7" shapeId="0" xr:uid="{86A5470F-B0E4-441B-808A-5BFAAF704669}">
      <text>
        <t>[Threaded comment]
Your version of Excel allows you to read this threaded comment; however, any edits to it will get removed if the file is opened in a newer version of Excel. Learn more: https://go.microsoft.com/fwlink/?linkid=870924
Comment:
    sent quotation to pak afandy 3 Jul'24</t>
      </text>
    </comment>
    <comment ref="N372" authorId="8" shapeId="0" xr:uid="{1C9EEEC8-012C-4FD8-B03C-5FF55C98F351}">
      <text>
        <t>[Threaded comment]
Your version of Excel allows you to read this threaded comment; however, any edits to it will get removed if the file is opened in a newer version of Excel. Learn more: https://go.microsoft.com/fwlink/?linkid=870924
Comment:
    submit quotation 18 Jun'24</t>
      </text>
    </comment>
    <comment ref="N373" authorId="9" shapeId="0" xr:uid="{2E8E087A-27EA-4CB1-8E09-180C025D0F31}">
      <text>
        <t>[Threaded comment]
Your version of Excel allows you to read this threaded comment; however, any edits to it will get removed if the file is opened in a newer version of Excel. Learn more: https://go.microsoft.com/fwlink/?linkid=870924
Comment:
    submit quotation 12 Jun'24</t>
      </text>
    </comment>
    <comment ref="N374" authorId="10" shapeId="0" xr:uid="{BAAF6959-55B7-44D9-AB71-CD35B1A6433A}">
      <text>
        <t>[Threaded comment]
Your version of Excel allows you to read this threaded comment; however, any edits to it will get removed if the file is opened in a newer version of Excel. Learn more: https://go.microsoft.com/fwlink/?linkid=870924
Comment:
    submit quotation 28 May'24</t>
      </text>
    </comment>
    <comment ref="N375" authorId="11" shapeId="0" xr:uid="{930E665C-B1A4-494B-9E68-9EEC812C6826}">
      <text>
        <t>[Threaded comment]
Your version of Excel allows you to read this threaded comment; however, any edits to it will get removed if the file is opened in a newer version of Excel. Learn more: https://go.microsoft.com/fwlink/?linkid=870924
Comment:
    submit quotation 18 Jun'24</t>
      </text>
    </comment>
    <comment ref="N376" authorId="12" shapeId="0" xr:uid="{6EC85262-27C0-4759-B727-505A5A1FCF3A}">
      <text>
        <t>[Threaded comment]
Your version of Excel allows you to read this threaded comment; however, any edits to it will get removed if the file is opened in a newer version of Excel. Learn more: https://go.microsoft.com/fwlink/?linkid=870924
Comment:
    submit quotation 29 Jul'24</t>
      </text>
    </comment>
    <comment ref="N377" authorId="13" shapeId="0" xr:uid="{2C37CE92-4208-4A22-B11E-751937762F2F}">
      <text>
        <t>[Threaded comment]
Your version of Excel allows you to read this threaded comment; however, any edits to it will get removed if the file is opened in a newer version of Excel. Learn more: https://go.microsoft.com/fwlink/?linkid=870924
Comment:
    submit quotation 11 Jul'24</t>
      </text>
    </comment>
    <comment ref="N378" authorId="14" shapeId="0" xr:uid="{7BE7AF61-7D03-4355-AE6F-838068D2A92B}">
      <text>
        <t>[Threaded comment]
Your version of Excel allows you to read this threaded comment; however, any edits to it will get removed if the file is opened in a newer version of Excel. Learn more: https://go.microsoft.com/fwlink/?linkid=870924
Comment:
    submit quotation 11 Jul'24</t>
      </text>
    </comment>
    <comment ref="N379" authorId="15" shapeId="0" xr:uid="{D0EDB556-D48A-4BFB-B293-E0C4327BB05E}">
      <text>
        <t>[Threaded comment]
Your version of Excel allows you to read this threaded comment; however, any edits to it will get removed if the file is opened in a newer version of Excel. Learn more: https://go.microsoft.com/fwlink/?linkid=870924
Comment:
    submit quotation 11 Jul'24</t>
      </text>
    </comment>
    <comment ref="N380" authorId="16" shapeId="0" xr:uid="{1B41AD38-6424-433D-A406-3C44E22FC1F2}">
      <text>
        <t>[Threaded comment]
Your version of Excel allows you to read this threaded comment; however, any edits to it will get removed if the file is opened in a newer version of Excel. Learn more: https://go.microsoft.com/fwlink/?linkid=870924
Comment:
    submit quotation 11 Jul'24</t>
      </text>
    </comment>
    <comment ref="N381" authorId="17" shapeId="0" xr:uid="{65986036-C1CC-47A0-8DE4-A26B804C4050}">
      <text>
        <t>[Threaded comment]
Your version of Excel allows you to read this threaded comment; however, any edits to it will get removed if the file is opened in a newer version of Excel. Learn more: https://go.microsoft.com/fwlink/?linkid=870924
Comment:
    submit quotation 3 Jul'24</t>
      </text>
    </comment>
    <comment ref="N383" authorId="18" shapeId="0" xr:uid="{4D73465C-81A5-4D00-88BC-FBADF9EE16F3}">
      <text>
        <t>[Threaded comment]
Your version of Excel allows you to read this threaded comment; however, any edits to it will get removed if the file is opened in a newer version of Excel. Learn more: https://go.microsoft.com/fwlink/?linkid=870924
Comment:
    submit quotation 12 Ags'24</t>
      </text>
    </comment>
    <comment ref="N384" authorId="19" shapeId="0" xr:uid="{B55B352E-3226-4234-8FEC-1478FE494CC6}">
      <text>
        <t>[Threaded comment]
Your version of Excel allows you to read this threaded comment; however, any edits to it will get removed if the file is opened in a newer version of Excel. Learn more: https://go.microsoft.com/fwlink/?linkid=870924
Comment:
    submit quotation 16 Ags'24
Reply:
    amount  2,836,200,000
ada revisi spec, sehingga revisi costing. amount penawaran 4,715,922,000
27 Sept 24</t>
      </text>
    </comment>
    <comment ref="N385" authorId="20" shapeId="0" xr:uid="{F08E4DAD-92C0-42A2-9894-7FA7B42CBA05}">
      <text>
        <t>[Threaded comment]
Your version of Excel allows you to read this threaded comment; however, any edits to it will get removed if the file is opened in a newer version of Excel. Learn more: https://go.microsoft.com/fwlink/?linkid=870924
Comment:
    submit quotation 26 Ags'24</t>
      </text>
    </comment>
    <comment ref="N386" authorId="21" shapeId="0" xr:uid="{68C5C7D4-8B3B-4C04-807C-E5ABB3E510D1}">
      <text>
        <t>[Threaded comment]
Your version of Excel allows you to read this threaded comment; however, any edits to it will get removed if the file is opened in a newer version of Excel. Learn more: https://go.microsoft.com/fwlink/?linkid=870924
Comment:
    sent quotation to pak afandy 3 Jul 24</t>
      </text>
    </comment>
    <comment ref="N388" authorId="22" shapeId="0" xr:uid="{B1FC9CC1-D161-40DD-B06A-777FDCE605E0}">
      <text>
        <t>[Threaded comment]
Your version of Excel allows you to read this threaded comment; however, any edits to it will get removed if the file is opened in a newer version of Excel. Learn more: https://go.microsoft.com/fwlink/?linkid=870924
Comment:
    sent quotation to pak afandy 10 sep 24</t>
      </text>
    </comment>
    <comment ref="N389" authorId="23" shapeId="0" xr:uid="{B5ACAB2F-7AE8-4E48-9AB0-8C2B81D0296C}">
      <text>
        <t>[Threaded comment]
Your version of Excel allows you to read this threaded comment; however, any edits to it will get removed if the file is opened in a newer version of Excel. Learn more: https://go.microsoft.com/fwlink/?linkid=870924
Comment:
    sent quotation to pak afandy 10 sep 24</t>
      </text>
    </comment>
    <comment ref="N390" authorId="24" shapeId="0" xr:uid="{ADE62DA2-AE1C-47F0-AFEA-C2E60177A018}">
      <text>
        <t>[Threaded comment]
Your version of Excel allows you to read this threaded comment; however, any edits to it will get removed if the file is opened in a newer version of Excel. Learn more: https://go.microsoft.com/fwlink/?linkid=870924
Comment:
    sent quotation to pak afandy 10 sep 24</t>
      </text>
    </comment>
    <comment ref="N391" authorId="25" shapeId="0" xr:uid="{7F7183AE-5BF7-4243-8282-74E0B8ABC705}">
      <text>
        <t>[Threaded comment]
Your version of Excel allows you to read this threaded comment; however, any edits to it will get removed if the file is opened in a newer version of Excel. Learn more: https://go.microsoft.com/fwlink/?linkid=870924
Comment:
    sent quotation to pak afandy 10 sep 24</t>
      </text>
    </comment>
    <comment ref="N392" authorId="26" shapeId="0" xr:uid="{A9920482-321B-41C8-A889-49FB23FC9907}">
      <text>
        <t>[Threaded comment]
Your version of Excel allows you to read this threaded comment; however, any edits to it will get removed if the file is opened in a newer version of Excel. Learn more: https://go.microsoft.com/fwlink/?linkid=870924
Comment:
    submit quotation 19 Sep'24</t>
      </text>
    </comment>
    <comment ref="N441" authorId="27" shapeId="0" xr:uid="{36E5C828-8F42-4240-937B-EF6DF0E73A8A}">
      <text>
        <t>[Threaded comment]
Your version of Excel allows you to read this threaded comment; however, any edits to it will get removed if the file is opened in a newer version of Excel. Learn more: https://go.microsoft.com/fwlink/?linkid=870924
Comment:
    submit quotation 6 sep'24</t>
      </text>
    </comment>
    <comment ref="N442" authorId="28" shapeId="0" xr:uid="{C35D4AC7-AF31-453D-A98F-A49B5981851F}">
      <text>
        <t>[Threaded comment]
Your version of Excel allows you to read this threaded comment; however, any edits to it will get removed if the file is opened in a newer version of Excel. Learn more: https://go.microsoft.com/fwlink/?linkid=870924
Comment:
    submit quotation 7 Oct-24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4" authorId="0" shapeId="0" xr:uid="{00000000-0006-0000-0900-000001000000}">
      <text>
        <r>
          <rPr>
            <sz val="11"/>
            <color rgb="FF000000"/>
            <rFont val="Calibri"/>
            <family val="2"/>
          </rPr>
          <t>thenu:
statrs tender existing wsc407</t>
        </r>
      </text>
    </comment>
    <comment ref="P4" authorId="0" shapeId="0" xr:uid="{00000000-0006-0000-0900-000002000000}">
      <text>
        <r>
          <rPr>
            <sz val="11"/>
            <color rgb="FF000000"/>
            <rFont val="Calibri"/>
            <family val="2"/>
          </rPr>
          <t>thenu:
statrs tender existing wsc407</t>
        </r>
      </text>
    </comment>
    <comment ref="K32" authorId="0" shapeId="0" xr:uid="{00000000-0006-0000-0900-000003000000}">
      <text>
        <r>
          <rPr>
            <sz val="11"/>
            <color rgb="FF000000"/>
            <rFont val="Calibri"/>
            <family val="2"/>
          </rPr>
          <t>thenu:
decide to repair</t>
        </r>
      </text>
    </comment>
    <comment ref="L35" authorId="0" shapeId="0" xr:uid="{00000000-0006-0000-0900-000004000000}">
      <text>
        <r>
          <rPr>
            <sz val="11"/>
            <color rgb="FF000000"/>
            <rFont val="Calibri"/>
            <family val="2"/>
          </rPr>
          <t>thenu:
FCU</t>
        </r>
      </text>
    </comment>
    <comment ref="J44" authorId="0" shapeId="0" xr:uid="{00000000-0006-0000-0900-000005000000}">
      <text>
        <r>
          <rPr>
            <sz val="11"/>
            <color rgb="FF000000"/>
            <rFont val="Calibri"/>
            <family val="2"/>
          </rPr>
          <t>thenu:
Please see remarksTab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J133" authorId="0" shapeId="0" xr:uid="{00000000-0006-0000-0A00-000001000000}">
      <text>
        <r>
          <rPr>
            <sz val="11"/>
            <color rgb="FF000000"/>
            <rFont val="Calibri"/>
            <family val="2"/>
          </rPr>
          <t>daikin:
ch 3 replacement by customer during lead time parts, revised decrease labour cost only for ch 3</t>
        </r>
      </text>
    </comment>
    <comment ref="X138" authorId="0" shapeId="0" xr:uid="{00000000-0006-0000-0A00-000002000000}">
      <text>
        <r>
          <rPr>
            <sz val="11"/>
            <color rgb="FF000000"/>
            <rFont val="Calibri"/>
            <family val="2"/>
          </rPr>
          <t xml:space="preserve">daikin:
Penyesuaian anggaran
nego disc 5%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orksheetConnection_20220708Pipeline DASI Service - July 2022 EPL.xlsx!Table1" type="5" refreshedVersion="2" saveData="1">
    <dbPr connection="" command=""/>
  </connection>
</connections>
</file>

<file path=xl/sharedStrings.xml><?xml version="1.0" encoding="utf-8"?>
<sst xmlns="http://schemas.openxmlformats.org/spreadsheetml/2006/main" count="10892" uniqueCount="2996">
  <si>
    <t>GrandTotal</t>
  </si>
  <si>
    <t>NO.</t>
  </si>
  <si>
    <t>Project</t>
  </si>
  <si>
    <t>Region</t>
  </si>
  <si>
    <t>PIC</t>
  </si>
  <si>
    <t>Category</t>
  </si>
  <si>
    <t>Quotation</t>
  </si>
  <si>
    <t>Status</t>
  </si>
  <si>
    <t>Est Booking Month</t>
  </si>
  <si>
    <t>April</t>
  </si>
  <si>
    <t>May</t>
  </si>
  <si>
    <t>June</t>
  </si>
  <si>
    <t>July</t>
  </si>
  <si>
    <t>August</t>
  </si>
  <si>
    <t>September</t>
  </si>
  <si>
    <t>October</t>
  </si>
  <si>
    <t>November</t>
  </si>
  <si>
    <t>December</t>
  </si>
  <si>
    <t>January</t>
  </si>
  <si>
    <t>February</t>
  </si>
  <si>
    <t>March</t>
  </si>
  <si>
    <t>Remarks</t>
  </si>
  <si>
    <t>Low</t>
  </si>
  <si>
    <t>RSUD Koja</t>
  </si>
  <si>
    <t>West</t>
  </si>
  <si>
    <t>Dea</t>
  </si>
  <si>
    <t>RC</t>
  </si>
  <si>
    <t>E</t>
  </si>
  <si>
    <t>Quotation (Sudah di submit kepada tim Pokja)</t>
  </si>
  <si>
    <t>Gedung Mekanik DPR RI</t>
  </si>
  <si>
    <t>D</t>
  </si>
  <si>
    <t>Anggaran oleh POKJA</t>
  </si>
  <si>
    <t>RSUD Pasar Minggu</t>
  </si>
  <si>
    <t>EPL</t>
  </si>
  <si>
    <t>Submit Quotation</t>
  </si>
  <si>
    <t>Gedung SCTV</t>
  </si>
  <si>
    <t>Perencanaan</t>
  </si>
  <si>
    <t>Gedung Indosiar</t>
  </si>
  <si>
    <t>Mabes Cilangkap</t>
  </si>
  <si>
    <t>Telkom Gatsu</t>
  </si>
  <si>
    <t>A</t>
  </si>
  <si>
    <t>Hino Cikampek</t>
  </si>
  <si>
    <t>Senayan Trikarya Sempana</t>
  </si>
  <si>
    <t>Faiz</t>
  </si>
  <si>
    <t>C</t>
  </si>
  <si>
    <t>Negotiating</t>
  </si>
  <si>
    <t>PT. Trimitra Cikarang</t>
  </si>
  <si>
    <t>PT Sanken</t>
  </si>
  <si>
    <t>Ordered</t>
  </si>
  <si>
    <t>PT Sumco</t>
  </si>
  <si>
    <t>PT Panasonic Gobel</t>
  </si>
  <si>
    <t>Duta Nichirindo Pratama</t>
  </si>
  <si>
    <t>ITC Mangga Dua</t>
  </si>
  <si>
    <t>PT TACI</t>
  </si>
  <si>
    <t>Rangga</t>
  </si>
  <si>
    <t>RC+EPL</t>
  </si>
  <si>
    <t>Danone (Ciracas)</t>
  </si>
  <si>
    <t>Pending, di fokuskan untuk Danone Mekarsari</t>
  </si>
  <si>
    <t>Hotel Bidakara</t>
  </si>
  <si>
    <t>Budget di alokasikan ke maintenance terelebih dahulu</t>
  </si>
  <si>
    <t>Danone Mekarsari</t>
  </si>
  <si>
    <t>Already PO</t>
  </si>
  <si>
    <t>Danone Citereup</t>
  </si>
  <si>
    <t>Yamaha WJ</t>
  </si>
  <si>
    <t>1st Quot</t>
  </si>
  <si>
    <t>PT Clariant Kujang Catalyst</t>
  </si>
  <si>
    <t>Radita Office</t>
  </si>
  <si>
    <t>L</t>
  </si>
  <si>
    <t>PT PANASONIC (PICID)</t>
  </si>
  <si>
    <t>Difokuskan penggantain cooling tower</t>
  </si>
  <si>
    <t xml:space="preserve">Surtech </t>
  </si>
  <si>
    <t>MAG</t>
  </si>
  <si>
    <t>B</t>
  </si>
  <si>
    <t>GKY</t>
  </si>
  <si>
    <t>Toyoseal</t>
  </si>
  <si>
    <t>Danone Sentul</t>
  </si>
  <si>
    <t>Filling room AHU system ; tender harga 24 mei 22 dapat juara 2</t>
  </si>
  <si>
    <t>Panasonic Gobel</t>
  </si>
  <si>
    <t>Binus Alam Sutra</t>
  </si>
  <si>
    <t>Tender</t>
  </si>
  <si>
    <t>Yamaha Music</t>
  </si>
  <si>
    <t>Dari 3 kontraktor yang masuk, 2 kontraktor bawa daikin dan sudah ada yang diinfo menang</t>
  </si>
  <si>
    <t>RSPAD</t>
  </si>
  <si>
    <t>Global Asia</t>
  </si>
  <si>
    <t>Clean Room Raficon Sarijaya</t>
  </si>
  <si>
    <t>RSUD Kota Tangerang</t>
  </si>
  <si>
    <t>Filter</t>
  </si>
  <si>
    <t>RSUD Pamempeuk</t>
  </si>
  <si>
    <t>IAQ</t>
  </si>
  <si>
    <t>Konimex</t>
  </si>
  <si>
    <t>East</t>
  </si>
  <si>
    <t>Cholis</t>
  </si>
  <si>
    <t>Still no update up to now</t>
  </si>
  <si>
    <t>SKP Kudus</t>
  </si>
  <si>
    <t>H</t>
  </si>
  <si>
    <t>Pasar Atom Surabaya</t>
  </si>
  <si>
    <t>Setyo</t>
  </si>
  <si>
    <t>Start to engage with KMI toseek for real update</t>
  </si>
  <si>
    <t xml:space="preserve">Aneka Gas </t>
  </si>
  <si>
    <t>Indofood Semarang</t>
  </si>
  <si>
    <t>RC &amp; EPL</t>
  </si>
  <si>
    <t>Tender goes to Indofood Centralized Proc &amp; Eng in Jakarta Domain</t>
  </si>
  <si>
    <t>Indofood Gempol</t>
  </si>
  <si>
    <t>Zaqi</t>
  </si>
  <si>
    <t>Siantar Top</t>
  </si>
  <si>
    <t>PO to applied team</t>
  </si>
  <si>
    <t>Auto2000</t>
  </si>
  <si>
    <t xml:space="preserve">Cancel Project </t>
  </si>
  <si>
    <t>Pelangi Teknik</t>
  </si>
  <si>
    <t>Split duct system. Lost with other brand</t>
  </si>
  <si>
    <t>Danone Pandaan</t>
  </si>
  <si>
    <t>Centralitation + Installation</t>
  </si>
  <si>
    <t>Petrokimia Gresik</t>
  </si>
  <si>
    <t xml:space="preserve">Built-up Project </t>
  </si>
  <si>
    <t>Standing Floor</t>
  </si>
  <si>
    <t>Air Navigation Makassar</t>
  </si>
  <si>
    <t>Already win the tender on 8 April 2022</t>
  </si>
  <si>
    <t xml:space="preserve">TPPI </t>
  </si>
  <si>
    <t xml:space="preserve">Already win the tender on 27 April 2022 </t>
  </si>
  <si>
    <t>Repeat Order Standing Floor</t>
  </si>
  <si>
    <t>Santika Semarang / Jogja</t>
  </si>
  <si>
    <t>UAA100 via Dealer</t>
  </si>
  <si>
    <t>Danone Wonosobo</t>
  </si>
  <si>
    <t>Filling room AHU system ; tender harga 24 mei 22 dapat juara 1</t>
  </si>
  <si>
    <t>JTI</t>
  </si>
  <si>
    <t>AHU system</t>
  </si>
  <si>
    <t>Multispunindo</t>
  </si>
  <si>
    <t>Aqua Manado</t>
  </si>
  <si>
    <t>Automation System</t>
  </si>
  <si>
    <t>Catur Elang - Pertamina Tomori</t>
  </si>
  <si>
    <t xml:space="preserve">RS UNAIR </t>
  </si>
  <si>
    <t xml:space="preserve">EPL </t>
  </si>
  <si>
    <t>Aqua Klaten</t>
  </si>
  <si>
    <t>Klien Name</t>
  </si>
  <si>
    <t>Area</t>
  </si>
  <si>
    <t>Project &amp; Bill Material</t>
  </si>
  <si>
    <t>Tipe</t>
  </si>
  <si>
    <t>Area2</t>
  </si>
  <si>
    <t>Sales Planner</t>
  </si>
  <si>
    <t>Sector</t>
  </si>
  <si>
    <t>booking fc</t>
  </si>
  <si>
    <t>keterangan</t>
  </si>
  <si>
    <t>RS Columbia Asia Medan</t>
  </si>
  <si>
    <t>RC UAA204ST3</t>
  </si>
  <si>
    <t>Mira</t>
  </si>
  <si>
    <t>Hospital</t>
  </si>
  <si>
    <t>Plaza Indonesia</t>
  </si>
  <si>
    <t>VES</t>
  </si>
  <si>
    <t>Komersial</t>
  </si>
  <si>
    <t>OK</t>
  </si>
  <si>
    <t>PT. WMK Lanud Pekanbaru</t>
  </si>
  <si>
    <t>Filter -IAQ</t>
  </si>
  <si>
    <t>Dede</t>
  </si>
  <si>
    <t>Danis</t>
  </si>
  <si>
    <t>Government</t>
  </si>
  <si>
    <t>Menerima PO VES dari lanud.</t>
  </si>
  <si>
    <t>Pengadaan FCU 2026-Phase II</t>
  </si>
  <si>
    <t>Channel</t>
  </si>
  <si>
    <t>Instalasi Channel</t>
  </si>
  <si>
    <t>FX Sudirman</t>
  </si>
  <si>
    <t>Hokben</t>
  </si>
  <si>
    <t>Blower AHU</t>
  </si>
  <si>
    <t>Binus</t>
  </si>
  <si>
    <t>Blower Binus</t>
  </si>
  <si>
    <t>Industri</t>
  </si>
  <si>
    <t>GS Battery-Audit System</t>
  </si>
  <si>
    <t>PT. Gita Persada Mandiri</t>
  </si>
  <si>
    <t>RC Project PT. Sinergi Bandung</t>
  </si>
  <si>
    <t>Chiller UAL100ER5</t>
  </si>
  <si>
    <t>David</t>
  </si>
  <si>
    <t>Aris</t>
  </si>
  <si>
    <t>Sudah terima PO  di 20 Mei 2026</t>
  </si>
  <si>
    <t>PT Wisana Matra Karya</t>
  </si>
  <si>
    <t xml:space="preserve">VES </t>
  </si>
  <si>
    <t>VES-Value Engineering Service Lanud TNI</t>
  </si>
  <si>
    <t>PT. Cental Global</t>
  </si>
  <si>
    <t>RC Project PT. Alcon Batam 402</t>
  </si>
  <si>
    <t>AHU DDM &amp; DXE</t>
  </si>
  <si>
    <t>ubmit penawran di 2026/06/12</t>
  </si>
  <si>
    <t>Patra Jasa</t>
  </si>
  <si>
    <t>AHU Lt 1&amp;10</t>
  </si>
  <si>
    <t>KPI</t>
  </si>
  <si>
    <t>KPI Asset</t>
  </si>
  <si>
    <t>PT. Jawa Power</t>
  </si>
  <si>
    <t>RC Project Filter</t>
  </si>
  <si>
    <t>Samuel</t>
  </si>
  <si>
    <t>Sudah submit penawaran by email di 2026/06/19</t>
  </si>
  <si>
    <t>PT. Fajar Kreasindo</t>
  </si>
  <si>
    <t>Project Mall Park Pejanten Village Jakarta</t>
  </si>
  <si>
    <t>sudah submit by email di 2026/05/12</t>
  </si>
  <si>
    <t>PT. Sanghiang Perkasa</t>
  </si>
  <si>
    <t>PT. Wahana Teknik</t>
  </si>
  <si>
    <t>RC Project Hotel Prangger Bandung</t>
  </si>
  <si>
    <t>Kalah karena kendala di delivery time, yang menang Fuji Air.</t>
  </si>
  <si>
    <t>L3</t>
  </si>
  <si>
    <t>Breakup-L3</t>
  </si>
  <si>
    <t>Pekerjaan Tambah Breakup L3</t>
  </si>
  <si>
    <t>PT. Daya Parama Intraguna</t>
  </si>
  <si>
    <t>Harga tidak kompetitif</t>
  </si>
  <si>
    <t>CV. Abuputra</t>
  </si>
  <si>
    <t>RC Project IRIS-3 STT Telemedia - Filter AHU</t>
  </si>
  <si>
    <t>Erik</t>
  </si>
  <si>
    <t>Sudah submit penawaran di 2026/06/12</t>
  </si>
  <si>
    <t>Teruna Perkasa Optimal</t>
  </si>
  <si>
    <t>Azrul</t>
  </si>
  <si>
    <t>PO</t>
  </si>
  <si>
    <t>PT. Kencana Sejuk Abadi Sunter</t>
  </si>
  <si>
    <t>RC Project Wisma BCA Part 2</t>
  </si>
  <si>
    <t>DDW120DB (1)</t>
  </si>
  <si>
    <t>Sudah terima PO</t>
  </si>
  <si>
    <t>PT. Dwiarta Teknologi Internasional</t>
  </si>
  <si>
    <t>RC Project RS Jantung Medan</t>
  </si>
  <si>
    <t>Sudah submit penawaran di 2026/04/22</t>
  </si>
  <si>
    <t>Vision Ease</t>
  </si>
  <si>
    <t>Pemasangan Valve</t>
  </si>
  <si>
    <t>PT. Sarana Tunggal Mulia</t>
  </si>
  <si>
    <t>Project RC Mall Gandaria City - FCU DDB75BW</t>
  </si>
  <si>
    <t>ok</t>
  </si>
  <si>
    <t>PT. YKK Zipco 5</t>
  </si>
  <si>
    <t>RC-Chiller</t>
  </si>
  <si>
    <t>AS</t>
  </si>
  <si>
    <t>EPL -Installation Chiller</t>
  </si>
  <si>
    <t>PT. Sumco Indonesia</t>
  </si>
  <si>
    <t>EPL-Installasi Chiller</t>
  </si>
  <si>
    <t>PT Jaya Sakti Mulya (RC FCU &amp; AHU Tunjungan Plaza)</t>
  </si>
  <si>
    <t>RC DDB BW &amp; DDBBWDS</t>
  </si>
  <si>
    <t>FCU DUC</t>
  </si>
  <si>
    <t>Iik</t>
  </si>
  <si>
    <t>Oakwood Tower Tenant Burgreens</t>
  </si>
  <si>
    <t>FCU DDB100BW + Installation</t>
  </si>
  <si>
    <t>Project Replacement Chiller Bethsaida Hospitals Gading Serpong</t>
  </si>
  <si>
    <t>2026/04/01 Sudah menerima PO tanggal 27 Maret 2026</t>
  </si>
  <si>
    <t>PT. Pillar Ekatama</t>
  </si>
  <si>
    <t>RC Project Japfa Lamongan</t>
  </si>
  <si>
    <t>RC Project IKN</t>
  </si>
  <si>
    <t>Project Replacement Chiller RS Mandaya Royal Puri</t>
  </si>
  <si>
    <t>2026/04/01 Sudah menerima PO tanggal 30 Maret 2026</t>
  </si>
  <si>
    <t>Aryaduta Hotel Menteng</t>
  </si>
  <si>
    <t>EPL RC AHU dan FCU</t>
  </si>
  <si>
    <t>Indofood Fritolay</t>
  </si>
  <si>
    <t>PT. Central Global</t>
  </si>
  <si>
    <t>RC Project PT. Sammyung Precision Batam</t>
  </si>
  <si>
    <t>Submit penawraan by email di 2026/06/25</t>
  </si>
  <si>
    <t xml:space="preserve">RC </t>
  </si>
  <si>
    <t>fcu DDB75BW (2)</t>
  </si>
  <si>
    <t xml:space="preserve">JAPFA Comfeed </t>
  </si>
  <si>
    <t xml:space="preserve">Star Energy </t>
  </si>
  <si>
    <t xml:space="preserve">Waiting Management Approval </t>
  </si>
  <si>
    <t>PT. Bukit Asam</t>
  </si>
  <si>
    <t>Pre Filter</t>
  </si>
  <si>
    <t>Harga JAF lebih tinggi 2x dari DAF (65000) Info dari pak yudi DPI</t>
  </si>
  <si>
    <t>PT Fujitron (RC AHU Netania Pasuruan)-David</t>
  </si>
  <si>
    <t>RC AHU DDW100D</t>
  </si>
  <si>
    <t>AHU STD</t>
  </si>
  <si>
    <t>CV Davindo Anugrah Unggul (RC FCU Trias DDB 300 BW)</t>
  </si>
  <si>
    <t>RC DDB300BW</t>
  </si>
  <si>
    <t>Novell Pharmaceutical</t>
  </si>
  <si>
    <t>UAA110CV</t>
  </si>
  <si>
    <t>PT. Global Integrasi Solusi</t>
  </si>
  <si>
    <t>(Additional Area SPS 3)</t>
  </si>
  <si>
    <t>Proses SO</t>
  </si>
  <si>
    <t>BRIN gd 11</t>
  </si>
  <si>
    <t>UAA125ST3</t>
  </si>
  <si>
    <t>AS CSD</t>
  </si>
  <si>
    <t>TD Automotive Compressore Indonesia</t>
  </si>
  <si>
    <t>Modular Chiller-UAL230E5</t>
  </si>
  <si>
    <t>AL</t>
  </si>
  <si>
    <t>Nego</t>
  </si>
  <si>
    <t>Terminal Teluk Lamong</t>
  </si>
  <si>
    <t>Davindo ANugrah Unggul</t>
  </si>
  <si>
    <t>RC-Screw Chiller 420 Trias Krian</t>
  </si>
  <si>
    <t xml:space="preserve">RC Project MRI RS BHCC Bogor </t>
  </si>
  <si>
    <t>UAL150ER5 (3)</t>
  </si>
  <si>
    <t xml:space="preserve">Sudah terima PO di 20 Mei 2026 </t>
  </si>
  <si>
    <t>Tirta Investama</t>
  </si>
  <si>
    <t>RC-SPS 3 Plant Klaten</t>
  </si>
  <si>
    <t>Badak Natural Gas Liquefaction</t>
  </si>
  <si>
    <t>RC-Loading Dock II Badak Bontang</t>
  </si>
  <si>
    <t>RC-Screw Chiller 478 Trias Krian</t>
  </si>
  <si>
    <t>Davindo Anugrah Unggul</t>
  </si>
  <si>
    <t>EPL-Conexa Harmonic</t>
  </si>
  <si>
    <t>Trakindo Utama</t>
  </si>
  <si>
    <t>EPL-HVAC TU KK Trakindo</t>
  </si>
  <si>
    <t>RC-AHU SPS 3 TIV Klaten</t>
  </si>
  <si>
    <t>EPL-Dismantling Compressor Klaten</t>
  </si>
  <si>
    <t>RS Premier</t>
  </si>
  <si>
    <t>UAL230</t>
  </si>
  <si>
    <t>DIC Astra</t>
  </si>
  <si>
    <t>UAL450</t>
  </si>
  <si>
    <t>Lion Wings</t>
  </si>
  <si>
    <t>UAL450 &amp; FCU</t>
  </si>
  <si>
    <t>Tirta Investama (Aqua) Subang</t>
  </si>
  <si>
    <t>Heat Pump + Shell and tube</t>
  </si>
  <si>
    <t>Tirta Sibayakindo(Aqua) Berastagi</t>
  </si>
  <si>
    <t>Cooling Tower</t>
  </si>
  <si>
    <t>Negosiasi</t>
  </si>
  <si>
    <t xml:space="preserve">Installasi Chiller </t>
  </si>
  <si>
    <t>RC-DDB Sorini Towa (APR)</t>
  </si>
  <si>
    <t xml:space="preserve">RC-DDB Trias </t>
  </si>
  <si>
    <t>PT. Deltamas Solusindo</t>
  </si>
  <si>
    <t>RC Project Matahari Bimasakti PIK</t>
  </si>
  <si>
    <t>Sudah submit penawaran di 18/05/2026</t>
  </si>
  <si>
    <t>Masjid P4</t>
  </si>
  <si>
    <t>Kerja Tambah</t>
  </si>
  <si>
    <t>PT Indocool</t>
  </si>
  <si>
    <t>Channel-L2</t>
  </si>
  <si>
    <t>Grand Hyatt</t>
  </si>
  <si>
    <t>Calorifier</t>
  </si>
  <si>
    <t>FCU New 2026</t>
  </si>
  <si>
    <t>Parker Engineering</t>
  </si>
  <si>
    <t>Sunstar</t>
  </si>
  <si>
    <t>Masjid Q9 &amp; Q15</t>
  </si>
  <si>
    <t>Pengadaan Split Duct Masjid Q9 dan Q15</t>
  </si>
  <si>
    <t>Aesa Air Engineering</t>
  </si>
  <si>
    <t>RC-Shinwa Pasuruan</t>
  </si>
  <si>
    <t>PT. Senayan Trikarya Sempana</t>
  </si>
  <si>
    <t>EPL- Control Chiller 1</t>
  </si>
  <si>
    <t>PPRSBH Kirana Two</t>
  </si>
  <si>
    <t>Kirana Two</t>
  </si>
  <si>
    <t>Mall Ciputra</t>
  </si>
  <si>
    <t xml:space="preserve">RC Ciputra Mall Semarang Watercool </t>
  </si>
  <si>
    <t>WC CSD</t>
  </si>
  <si>
    <t>RS Royal Taruma</t>
  </si>
  <si>
    <t xml:space="preserve">RS Premier </t>
  </si>
  <si>
    <t>Sakata Ink</t>
  </si>
  <si>
    <t>Swadaya Pandhu Arta</t>
  </si>
  <si>
    <t>Chamber Box</t>
  </si>
  <si>
    <t>PT Nusa Coolindo</t>
  </si>
  <si>
    <t>PT Freeport Indonesia</t>
  </si>
  <si>
    <t>ST</t>
  </si>
  <si>
    <t>EPL-RPH AC Lounge</t>
  </si>
  <si>
    <t>Fian</t>
  </si>
  <si>
    <t>Heavy Industri</t>
  </si>
  <si>
    <t>PO#5200777589 amount PO IDR 371,250,000</t>
  </si>
  <si>
    <t>Ayani Mall Pontianak (RC Chiller Ayani Mall)</t>
  </si>
  <si>
    <t>RC Chiller UAL1000D5</t>
  </si>
  <si>
    <t>Filter JAF</t>
  </si>
  <si>
    <t>Putra Jaya (RC FCU Beachwalk Bali)</t>
  </si>
  <si>
    <t>Bali</t>
  </si>
  <si>
    <t>DDB100BW x 1 unit, DDB040BW x 8 unit</t>
  </si>
  <si>
    <t>T</t>
  </si>
  <si>
    <t>-</t>
  </si>
  <si>
    <t>Ayani Mall Pontianak (EPL Chiller Ayani Mall + Control)</t>
  </si>
  <si>
    <t>EPL Ayani Megamall Pontianak + Control</t>
  </si>
  <si>
    <t>PT Sakatama</t>
  </si>
  <si>
    <t>ZUWY</t>
  </si>
  <si>
    <t>BNI Banjarmasin</t>
  </si>
  <si>
    <t>UAA125ST3-FBB</t>
  </si>
  <si>
    <t>Menunggu TTD 3 direksi di Jakarta</t>
  </si>
  <si>
    <t>Plaza Indonesia Realty Tbk.</t>
  </si>
  <si>
    <t>RC-Bakerman</t>
  </si>
  <si>
    <t>RC-Chagee</t>
  </si>
  <si>
    <t>DKSH</t>
  </si>
  <si>
    <t>VES Condensor Chiller Carrier</t>
  </si>
  <si>
    <t>RC-Beconcept</t>
  </si>
  <si>
    <t>EPL-Beconcept CKD AHU</t>
  </si>
  <si>
    <t>PT Manunggal Adipura</t>
  </si>
  <si>
    <t>RC Chiller Centrifugal HTS 550 TR</t>
  </si>
  <si>
    <t>Budgeting Penggantian Water Cooled Centrifugal Chiller 550 TR x 1 Unit PT Manunggal Adipura Solo</t>
  </si>
  <si>
    <t>PT Immanuel Solusi Sejahtera</t>
  </si>
  <si>
    <t>Brine Chiller Pabrik Jakarta</t>
  </si>
  <si>
    <t>WS CSD</t>
  </si>
  <si>
    <t>Rencana Replacement Brine Chiller Pabrik di Jakarta untuk Solvent Condensation</t>
  </si>
  <si>
    <t xml:space="preserve">PT. Dwiarta Teknologi  International </t>
  </si>
  <si>
    <t>RC Project RSUD Muara Dua Sumsel</t>
  </si>
  <si>
    <t>Hotel Aryaduta Manado</t>
  </si>
  <si>
    <t>RC AHU Lantai 5</t>
  </si>
  <si>
    <t>Budgeting untuk penggantian AHU Lantai 5 Hotel Aryaduta Manado</t>
  </si>
  <si>
    <t>Sutan Raja Hotel Manado</t>
  </si>
  <si>
    <t>HVAC Sutan Raja Manado Hotel</t>
  </si>
  <si>
    <t>Budgeting Renovasi Hotel Sutan Raja Manado</t>
  </si>
  <si>
    <t>CV Davindo Anugrah Unggul</t>
  </si>
  <si>
    <t>RC WCP PGS Surabaya</t>
  </si>
  <si>
    <t>Budgeting penggantian WCP di PGS Surabaya</t>
  </si>
  <si>
    <t>RC-Patra Jasa Hotel Bandung</t>
  </si>
  <si>
    <t>Hotel Ibis Malioboro (Malyabhara)</t>
  </si>
  <si>
    <t>UAA175ST3 x 1 Unit</t>
  </si>
  <si>
    <t>Budgeting Replacement Chiller AC 170TR dengan menggunakan UAA175ST3 x 1 Unit</t>
  </si>
  <si>
    <t>PT Mitra Penta AHU Graha Pacific Surabaya</t>
  </si>
  <si>
    <t>DDM1316 x 1 Unit + DDM1319 x 1 unit</t>
  </si>
  <si>
    <t>Budgeting Replacement AHU 40TR, AHU 50TR, kita akan coba buatkan untuk detail instalasinya</t>
  </si>
  <si>
    <t>PT Megasurya Mas</t>
  </si>
  <si>
    <t>RC HVAC S2DN200V</t>
  </si>
  <si>
    <t>Budgeting untuk penggantian HVAC 20PK di PT Megasurya Mas (Evaporator existing bocor)</t>
  </si>
  <si>
    <t>PT Syakha Cakra Buana</t>
  </si>
  <si>
    <t>RC FCU Hotel Oakwood Surabaya</t>
  </si>
  <si>
    <t>Budgeting untuk penggantian FCU existing</t>
  </si>
  <si>
    <t>ASTON Manado Hotel</t>
  </si>
  <si>
    <t>Replacement Chiller WC 180 TR</t>
  </si>
  <si>
    <t>Replacement FCU Double Six Hotel Bali</t>
  </si>
  <si>
    <t>Budgeting penggantian FCU Double Six Bali</t>
  </si>
  <si>
    <t>Intiland Tower Surabaya</t>
  </si>
  <si>
    <t>Replacement Chiller ZUWV 450 TR</t>
  </si>
  <si>
    <t>Budgeting penggantian chiller Intiland Tower Surabaya, ada wacana kerjasama dengan synergy</t>
  </si>
  <si>
    <t>PT Unilever Indonesia Rungkut</t>
  </si>
  <si>
    <t>Super Chiller Unilever Sby 60TR</t>
  </si>
  <si>
    <t>Final Nego already done, price daikin no 2.</t>
  </si>
  <si>
    <t>JW Marriott Surabaya</t>
  </si>
  <si>
    <t>Wacana Replacement Chiller ZUWY 210 TR</t>
  </si>
  <si>
    <t>Wacana Replacement Chiller 210 TR di JW Marriott Surabaya untuk menggantian Existing Chiller lama</t>
  </si>
  <si>
    <t>Solo Square Mall</t>
  </si>
  <si>
    <t>HVAC Lantai 4 additional Solo Square</t>
  </si>
  <si>
    <t>Tender HVAC Additional Lantai 4 Solo Square, Design, Unit Split Duct and Instalation</t>
  </si>
  <si>
    <t>Mini Chiller UAL080 PT Cellindo Sigmaperkasa</t>
  </si>
  <si>
    <t>Rencana Replacement Chiller Cellindo Sigmaperkasa</t>
  </si>
  <si>
    <t>RC Air Cooled Chiller 144 TR</t>
  </si>
  <si>
    <t>Budgeting untuk wacana penggantian existing chiller Air Cooled Reciprocating YORK</t>
  </si>
  <si>
    <t>RC AHU Meratus</t>
  </si>
  <si>
    <t>Budgeting untuk penggantian AHU Meratus. ada opsi menggunakan DDB tetapi lead time lama</t>
  </si>
  <si>
    <t>PT Nindya Karya (RC Chiller Hotel Grand Inna Malioboro Jogjakarta)</t>
  </si>
  <si>
    <t>RC Chiller 125 TR x 2 Unit</t>
  </si>
  <si>
    <t>Replacement Chiller Grand Inna Malioboro Jogjakarta</t>
  </si>
  <si>
    <t>CV DOB Karunia (RC AHU Plaza Malioboro)</t>
  </si>
  <si>
    <t>RC AHU DDW150DB, DDB180DB</t>
  </si>
  <si>
    <t>Budgeting Replacement AHU Plaza Malioboro</t>
  </si>
  <si>
    <t>PT Microchem Indonesia</t>
  </si>
  <si>
    <t>EPL Club Sorong Papua</t>
  </si>
  <si>
    <t>Budgeting untuk Club Sorong Papua</t>
  </si>
  <si>
    <t>RC HVAC</t>
  </si>
  <si>
    <t>AC Daikin Wall Mounted 2.5 PK and 2 PK</t>
  </si>
  <si>
    <t>Plaza Surabaya</t>
  </si>
  <si>
    <t>RC Chiller HTS087MAU49F</t>
  </si>
  <si>
    <t>Budgeting untuk replacement Chiller Plaza Surabaya</t>
  </si>
  <si>
    <t>CV Duta Persada Indonesia (Alvicons Surabaya)</t>
  </si>
  <si>
    <t>RC Chiller UAL230D5</t>
  </si>
  <si>
    <t>Replacement Chiller Existing Kap 53 kW</t>
  </si>
  <si>
    <t>PT Anjaya Paramudya Perkasa (RC Mall Tarakan)</t>
  </si>
  <si>
    <t>RC Chiller + FCU Mall Tarakan</t>
  </si>
  <si>
    <t>Renovasi Mall Tarakan</t>
  </si>
  <si>
    <t>CV Davindo Anugrah Unggul (Cahaya Kharisma Plasindo Solo)</t>
  </si>
  <si>
    <t>RC Chiller CUWD180B5Y</t>
  </si>
  <si>
    <t>Untuk replacement pabrik solo (unit ready stock UAL450D5-FC)</t>
  </si>
  <si>
    <t>CV Duta Persada Indonesia (Kitoshindo Mojokerto)</t>
  </si>
  <si>
    <t>RC Chiller UAL070ER5</t>
  </si>
  <si>
    <t>Replacement Chiller Existing Kap 7 PK</t>
  </si>
  <si>
    <t>CV ASTRO (RC Islamic Center Samarinda)</t>
  </si>
  <si>
    <t>RC Chiller EWAD415TZ-XS</t>
  </si>
  <si>
    <t>AS VSD</t>
  </si>
  <si>
    <t>Replacement Chiller Islamic Center Samarinda, perbandingan dengan repair chiller</t>
  </si>
  <si>
    <t>CV Air Bumi Insani (Gor Segiri Samarinda)</t>
  </si>
  <si>
    <t>RC Chiller UAL450D5 x 7 Unit</t>
  </si>
  <si>
    <t>Replacement Chiller di Gor Segiri Samarinda</t>
  </si>
  <si>
    <t>CV Davindo Anugrah Unggul (CMWI Daikin Oil Cooling Unit)</t>
  </si>
  <si>
    <t>EPL Oil Cooling Unit Daikin AKZ909-T C/W Tank</t>
  </si>
  <si>
    <t>Untuk replacement Daikin Oil Cooling Unit AKZ909-T C/W Tank</t>
  </si>
  <si>
    <t>CV DOB KARUNIA (Clean Room Pasuruan)</t>
  </si>
  <si>
    <t>EPL Clean Room Pasuruan UAL090ER5 + DDM-10510B</t>
  </si>
  <si>
    <t>EPL Clean Room Pasuruan</t>
  </si>
  <si>
    <t>PT Tanjung Benoa Indonesia (RC Chiller UAL080ER5)</t>
  </si>
  <si>
    <t>RC Chiller UAL080ER5</t>
  </si>
  <si>
    <t>Replacement Chiller Tanjung Benoa Indonesia</t>
  </si>
  <si>
    <t xml:space="preserve">CAP </t>
  </si>
  <si>
    <t>UAL1000D5</t>
  </si>
  <si>
    <t>PO PROCCESSED</t>
  </si>
  <si>
    <t>PT Mitra Penta (Graha Pasific Chiller)</t>
  </si>
  <si>
    <t>RC Chiller 127 TR x 1 Unit</t>
  </si>
  <si>
    <t>Replacement Chiller Graha Pasific Surabaya</t>
  </si>
  <si>
    <t>PT Dwiwahana Handayaprima (FCU Dwiwahana-Argha Karya)</t>
  </si>
  <si>
    <t>RC FCU FWWL</t>
  </si>
  <si>
    <t>Harsindo</t>
  </si>
  <si>
    <t>Indofood Fortuna Makmur</t>
  </si>
  <si>
    <t>EPL-HVAC Indofood KSJ</t>
  </si>
  <si>
    <t>PT Cira</t>
  </si>
  <si>
    <t>Kedubes Malaysia (CKD AHU)</t>
  </si>
  <si>
    <t>PT Mars Symbioscience Indonesia (RC Chiller Mars)</t>
  </si>
  <si>
    <t>RC ZUWY3C2ASF</t>
  </si>
  <si>
    <t>PT Anjaya Paramudya Perkasa (RC Chiller Rumah Luwih Beach Resort)</t>
  </si>
  <si>
    <t>RC Chiller 500 TR, ZUWY6Q2OSF x 1 Unit</t>
  </si>
  <si>
    <t>RC Chiller Rumah Luwih Beach Resort</t>
  </si>
  <si>
    <t>RC-FCU Musique-Batik Keris</t>
  </si>
  <si>
    <t>FCU</t>
  </si>
  <si>
    <t>PT Freeport Indonesa</t>
  </si>
  <si>
    <t>EPL-Uncen Material</t>
  </si>
  <si>
    <t>Kontrak No TP1000338-025 IDR 291,515,000</t>
  </si>
  <si>
    <t>EPL-Uncen Labour</t>
  </si>
  <si>
    <t>Kontrak No TP1000338-025 IDR 60,234,800</t>
  </si>
  <si>
    <t>Cabanas Resto</t>
  </si>
  <si>
    <t>Parker Engineering Indonesia</t>
  </si>
  <si>
    <t>RC-Sunstar Engineering Indonesia</t>
  </si>
  <si>
    <t>RC-Cabanas Resto Jakarta</t>
  </si>
  <si>
    <t>PT Rotiboy Surabaya (EPL HVAC Rotiboy)</t>
  </si>
  <si>
    <t>EPL SDN 100V</t>
  </si>
  <si>
    <t>PT Berlina Tbk (RC Chiller Berlina Cikarang)</t>
  </si>
  <si>
    <t>RC- Zara Relokasi</t>
  </si>
  <si>
    <t>CV Gloria Astra Solusindo (RC Chiller Ecco Tanery Sidoarjo)</t>
  </si>
  <si>
    <t>RC Chiller UAL230D5 x 2 Unit</t>
  </si>
  <si>
    <t>EPL- Zara Relokasi</t>
  </si>
  <si>
    <t>Aqua Klaten Mizone</t>
  </si>
  <si>
    <t>PT Bintang Indo Jaya (EPL HVAC Rotiboy)</t>
  </si>
  <si>
    <t>EPL HVAC Rotiboy</t>
  </si>
  <si>
    <t xml:space="preserve">RSUP Sardjito </t>
  </si>
  <si>
    <t>RC UAA245</t>
  </si>
  <si>
    <t>Hold</t>
  </si>
  <si>
    <t>CV DOB Karunia (EPL HVAC Gereja Kepanjen)</t>
  </si>
  <si>
    <t>EPL HVAC Gereja Kepanjen</t>
  </si>
  <si>
    <t>PT. SKF Indonesia</t>
  </si>
  <si>
    <t>EPL- Installation Chiller</t>
  </si>
  <si>
    <t>CV Davindo Anugrah Unggul (RC FCU Trias Sentosa Juni 2025)</t>
  </si>
  <si>
    <t>RC DDB100BW</t>
  </si>
  <si>
    <t>PT. YKK Zipper</t>
  </si>
  <si>
    <t>PT. Krakatau Perbengkelan dan Perawatan</t>
  </si>
  <si>
    <t>EPL- Add MCB</t>
  </si>
  <si>
    <t>Unair</t>
  </si>
  <si>
    <t xml:space="preserve">TD Automotive Compressor Indonesia </t>
  </si>
  <si>
    <t>EPL-Insulation Ducting AC Assy TACI Fase 04</t>
  </si>
  <si>
    <t>Close</t>
  </si>
  <si>
    <t>EPL-Jasa Pekerjaan Insulation Ducting AC Assy Fase 04</t>
  </si>
  <si>
    <t>EPL-Insulation Ducting AC Assy TACI Fase 05</t>
  </si>
  <si>
    <t>EPL-Jasa Pekerjaan Insulation Ducting AC Assy Fase 05</t>
  </si>
  <si>
    <t>EPL-Insulation Ducting AC Assy TACI Fase 06</t>
  </si>
  <si>
    <t>EPL-Jasa Pekerjaan Insulation Ducting AC Assy Fase 06</t>
  </si>
  <si>
    <t>EPL-Insulation Ducting AC Assy TACI Fase 07</t>
  </si>
  <si>
    <t>EPL-Jasa Pekerjaan Insulation Ducting AC Assy Fase 07</t>
  </si>
  <si>
    <t>EPL-Insulation Ducting AC Assy TACI Fase 08</t>
  </si>
  <si>
    <t>EPL-Jasa Pekerjaan Insulation Ducting AC Assy Fase 08</t>
  </si>
  <si>
    <t>EPL- Insulation Pipa Refrigerant AC Assy Fase 1</t>
  </si>
  <si>
    <t>Gita Persada Mandiri</t>
  </si>
  <si>
    <t>RC-Chiller UAL230D5 x 2 unit</t>
  </si>
  <si>
    <t>EPL Cooling Tower</t>
  </si>
  <si>
    <t xml:space="preserve">EPL  Chiller Pump </t>
  </si>
  <si>
    <t>Gita Persata Mandiri</t>
  </si>
  <si>
    <t>RC-Chiller Siloam UAL150ER5 x 6 unit</t>
  </si>
  <si>
    <t>EPL-HVAC R Admin</t>
  </si>
  <si>
    <t>Hikari Teknologi Indonesia</t>
  </si>
  <si>
    <t>EPL-Electrical HVAC MBI</t>
  </si>
  <si>
    <t>Freeport Indonesia</t>
  </si>
  <si>
    <t>EPL-Warehouse Insulation Service Manyar Smelter(M)</t>
  </si>
  <si>
    <t>EPL-Warehouse Insulation Service Manyar Smelter(L)</t>
  </si>
  <si>
    <t xml:space="preserve">JAPFA </t>
  </si>
  <si>
    <t xml:space="preserve">Graha Amerta </t>
  </si>
  <si>
    <t xml:space="preserve">Widatra Bakti </t>
  </si>
  <si>
    <t>WC VSD</t>
  </si>
  <si>
    <t>JAWA POWER</t>
  </si>
  <si>
    <t>APP</t>
  </si>
  <si>
    <t>INDOFOOD</t>
  </si>
  <si>
    <t>INDOFOOD Fortuna Makmur</t>
  </si>
  <si>
    <t>Media Data System</t>
  </si>
  <si>
    <t>EPL-Data Center BRI Tabanan</t>
  </si>
  <si>
    <t>Greenfields Indonesia</t>
  </si>
  <si>
    <t>RC-UAL Low Temp Greenfield</t>
  </si>
  <si>
    <t>Mega Teknik Solusindo</t>
  </si>
  <si>
    <t>RC-UAL Nathos</t>
  </si>
  <si>
    <t>Sarana Surya Jaya</t>
  </si>
  <si>
    <t>RC-FCU Gudang Garam</t>
  </si>
  <si>
    <t>RC-DDB Sorini Towa</t>
  </si>
  <si>
    <t>Pekerjaan Chiller Carrier Aqua Klaten A</t>
  </si>
  <si>
    <t>Aqua Pandaan</t>
  </si>
  <si>
    <t>Lantai 11 &amp; 12</t>
  </si>
  <si>
    <t>PT Pubagot</t>
  </si>
  <si>
    <t>Kedubes Malaysia</t>
  </si>
  <si>
    <t>RC-Marks Spencer</t>
  </si>
  <si>
    <t>Residential Kuningan</t>
  </si>
  <si>
    <t>EPL- Insulation Pipa Refrigerant AC Assy Fase 2</t>
  </si>
  <si>
    <t>PT Tirta Investama (Aqua) Plant Cianjur</t>
  </si>
  <si>
    <t>Instalasi Sistem Remote Chiller Sequencer</t>
  </si>
  <si>
    <t>PT Star Cosmos</t>
  </si>
  <si>
    <t>UAL450 x2</t>
  </si>
  <si>
    <t>Oakwood Tower Classy Fit</t>
  </si>
  <si>
    <t>PT Dayaprama Intraguna</t>
  </si>
  <si>
    <t>RC-Pabrik Tepung Tapioka</t>
  </si>
  <si>
    <t>PT. Bekaert</t>
  </si>
  <si>
    <t>WCP</t>
  </si>
  <si>
    <t>MRCC RS Siloam Jakarta</t>
  </si>
  <si>
    <t>EPL-Replacement Flow Meter</t>
  </si>
  <si>
    <t>Living World</t>
  </si>
  <si>
    <t>EPL-Filter</t>
  </si>
  <si>
    <t>Arthawena Sakti Gemilang</t>
  </si>
  <si>
    <t>RC-UAL Arthawena Cikupa</t>
  </si>
  <si>
    <t>Pendopo Niaga</t>
  </si>
  <si>
    <t>EPL-WCP Hypermart Matos</t>
  </si>
  <si>
    <t>EPL-Rekondisi site and Service WCP</t>
  </si>
  <si>
    <t>Dian Mandiri</t>
  </si>
  <si>
    <t>RC-FCU Ayana Estate</t>
  </si>
  <si>
    <t>CV Dian Mandiri</t>
  </si>
  <si>
    <t>Project W Hotel Bali -  FWW1200VC</t>
  </si>
  <si>
    <t>Gedung Krakatau Steel</t>
  </si>
  <si>
    <t>WS</t>
  </si>
  <si>
    <t>EPL-Chiller</t>
  </si>
  <si>
    <t>RS Ciputra Banjarmasin</t>
  </si>
  <si>
    <t>Energi Sejahtera Mas</t>
  </si>
  <si>
    <t>EPL-Replacement DX</t>
  </si>
  <si>
    <t>EPL- Motorized Valve</t>
  </si>
  <si>
    <t>FCU Zara</t>
  </si>
  <si>
    <t>Imecon</t>
  </si>
  <si>
    <t>UAL340</t>
  </si>
  <si>
    <t>Yamatogawa</t>
  </si>
  <si>
    <t>EPL-Cooling Tower</t>
  </si>
  <si>
    <t>Aryaduta Semanggi (EPL Aryaduta Semanggi)</t>
  </si>
  <si>
    <t>EPL HVAC</t>
  </si>
  <si>
    <t xml:space="preserve">Vision Ease </t>
  </si>
  <si>
    <t>AHU DDM1826 100 TR x 3 unit</t>
  </si>
  <si>
    <t>1st Quotation</t>
  </si>
  <si>
    <t>Installasi AHU</t>
  </si>
  <si>
    <t>EPL-Insulation Ducting AC Assy TACI Fase 03</t>
  </si>
  <si>
    <t>EPL-Jasa Pekerjaan Insulation Ducting AC Assy Fase 03</t>
  </si>
  <si>
    <t>Swadaya Pandu Artha</t>
  </si>
  <si>
    <t>AHU Diamond (Tawan)</t>
  </si>
  <si>
    <t>DEA</t>
  </si>
  <si>
    <t>Mandom</t>
  </si>
  <si>
    <t>CTRL-MWCP</t>
  </si>
  <si>
    <t>Cont Device</t>
  </si>
  <si>
    <t xml:space="preserve">Pekerjaan Chiller Carrier Aqua Klaten B  </t>
  </si>
  <si>
    <t>EPL-Breakup L3 (Sushi Tei)</t>
  </si>
  <si>
    <t>EPL-Retrofit Compressor Klaten - 2</t>
  </si>
  <si>
    <t>RC-FCU LB PISC</t>
  </si>
  <si>
    <t>FCU Toilet &amp; Nurse Station</t>
  </si>
  <si>
    <t>EPL-CKD AHU Dior, Lamoda,Kids Station</t>
  </si>
  <si>
    <t>Dior,Lamoda,Kids Station</t>
  </si>
  <si>
    <t>AHU Zara</t>
  </si>
  <si>
    <t>Plaza Senayan</t>
  </si>
  <si>
    <t>EPL-Replacement Condenser Pump</t>
  </si>
  <si>
    <t>Metropolitan Land Tbk</t>
  </si>
  <si>
    <t>RC-Project G-Avenue</t>
  </si>
  <si>
    <t>LOC</t>
  </si>
  <si>
    <t>RC-WaterCooled</t>
  </si>
  <si>
    <t>EPL-Pekerjaan Pemasangan Chiller Project G-Avenue</t>
  </si>
  <si>
    <t>EPL-AC Daikin 10PK for Church</t>
  </si>
  <si>
    <t>Kansai Paint Indonesia</t>
  </si>
  <si>
    <t>RC-FCU Factory 2 Kansai Paint</t>
  </si>
  <si>
    <t>RC-Air Cooled Mini Chiller Inverter</t>
  </si>
  <si>
    <t>EPL-Jasa Installasi Chiller Novell</t>
  </si>
  <si>
    <t>EPL-Material Installasi Chiller Novell</t>
  </si>
  <si>
    <t>EPL-Material Pompa &amp; VSD</t>
  </si>
  <si>
    <t>RC-Plaza Indonesia H&amp;M (BEAUTY TENANT) L2</t>
  </si>
  <si>
    <t>PT Satoria</t>
  </si>
  <si>
    <t>UAL040</t>
  </si>
  <si>
    <t>Bringin Karya Sejahtera</t>
  </si>
  <si>
    <t>RC-BRI 1 Jakarta</t>
  </si>
  <si>
    <t>RC-FCU Masjid Plaza Indonesia</t>
  </si>
  <si>
    <t>Tanjungenim Lestari Pulp&amp;Paper</t>
  </si>
  <si>
    <t>RC-Tanjungenim Lestari Pulp&amp;Paper</t>
  </si>
  <si>
    <t>Bekaert Indonesia</t>
  </si>
  <si>
    <t>EPL-Add Control for motorized valve AHU</t>
  </si>
  <si>
    <t xml:space="preserve">IGD RSUD Dr Soetomo </t>
  </si>
  <si>
    <t xml:space="preserve">AHU - CHILLER </t>
  </si>
  <si>
    <t>Esa Surya</t>
  </si>
  <si>
    <t>Chiller Kementrian Keuangan</t>
  </si>
  <si>
    <t>Mitra Penta</t>
  </si>
  <si>
    <t>RC-AHU PT TAS</t>
  </si>
  <si>
    <t>PT Natasyih Retail International</t>
  </si>
  <si>
    <t>VES Chiller henbel Aqua Klaten</t>
  </si>
  <si>
    <t>Indofood Lampung</t>
  </si>
  <si>
    <t>Assesment FCU</t>
  </si>
  <si>
    <t>BNI Gresik</t>
  </si>
  <si>
    <t>PT Kemira Pasuruan</t>
  </si>
  <si>
    <t>RC UAL450 x 1 unit</t>
  </si>
  <si>
    <t>EPL-Insulation Ducting AC Assy TACI Fase 02</t>
  </si>
  <si>
    <t>EPL-Jasa Pekerjaan Insulation Ducting AC Assy Fase 02</t>
  </si>
  <si>
    <t>CV Sarana Surya Jaya (RC-Chiller SSJ)</t>
  </si>
  <si>
    <t>RC Chiller SSJ</t>
  </si>
  <si>
    <t>Gress Mall</t>
  </si>
  <si>
    <t>Harbayu Mitra Utama</t>
  </si>
  <si>
    <t>RC-FCU RS Puri Indah</t>
  </si>
  <si>
    <t>Vision Ease Asia</t>
  </si>
  <si>
    <t>RC-AHU and Dehumidifier HVAC Vision Ease</t>
  </si>
  <si>
    <t>EPL-Jasa Installasi AHU and Dehumidifier HVAC</t>
  </si>
  <si>
    <t>Emblem Asia</t>
  </si>
  <si>
    <t>EPL-AC Packaged Inverter PT Emblem Asia</t>
  </si>
  <si>
    <t>EPL-Penggantian Fin Coil Zara L2</t>
  </si>
  <si>
    <t>Sequis</t>
  </si>
  <si>
    <t>Ruang Trafo</t>
  </si>
  <si>
    <t>RC-FCU Gudang P3 Shopping Centre Plaza Indonesia</t>
  </si>
  <si>
    <t>EPL-Insulation Ducting AC Assy TACI Fase 01</t>
  </si>
  <si>
    <t>EPL-Jasa Pekerjaan Insulation Ducting AC Assy Fase 01</t>
  </si>
  <si>
    <t>RC-Imperial</t>
  </si>
  <si>
    <t>KAER (RC Chiller Sheraton Bali)</t>
  </si>
  <si>
    <t>RC HXEV700</t>
  </si>
  <si>
    <t>WC MB</t>
  </si>
  <si>
    <t>Sarana Teknik Wiratama</t>
  </si>
  <si>
    <t>RC-Rudy Soetadi</t>
  </si>
  <si>
    <t>RC-Deltamas Solusindo</t>
  </si>
  <si>
    <t xml:space="preserve">RS KARIADI </t>
  </si>
  <si>
    <t>RC - UHA100</t>
  </si>
  <si>
    <t xml:space="preserve">Update: Minta penawaran dari pihak DASI. Tender di kementrian sedang Efesiensi </t>
  </si>
  <si>
    <t>RC-Project PT TAS (Wings Group Indonesia)</t>
  </si>
  <si>
    <t>Adn Hadari Deedath</t>
  </si>
  <si>
    <t>RC-IKPT</t>
  </si>
  <si>
    <t>EPL-Repair and Install valve CWP no.2</t>
  </si>
  <si>
    <t>Aryaduta Manado (RC AHU-FCU Aryaduta Manado)</t>
  </si>
  <si>
    <t>RC FWWVC+DDBBWDS</t>
  </si>
  <si>
    <t>PT Nippon Paint (RC Chiller NP Purwakarta)</t>
  </si>
  <si>
    <t xml:space="preserve">RC UAL </t>
  </si>
  <si>
    <t>PT Smart Tbk (EPL Cold Storage)</t>
  </si>
  <si>
    <t>EPL LRMSS0800AXY1</t>
  </si>
  <si>
    <t>PT Eterindo Nusa Graha</t>
  </si>
  <si>
    <t>RC Chiller CUWD</t>
  </si>
  <si>
    <t>Budgeting untuk penggantian chiller existing, estimasi di bulan Jan 2024</t>
  </si>
  <si>
    <t>Hotel Surya Prigen</t>
  </si>
  <si>
    <t>RC FCU Hotel Surya FWW600</t>
  </si>
  <si>
    <t>Budgeting untuk Replacement FCU Kamar</t>
  </si>
  <si>
    <t>PT Batara Elok Semesta Terpadu (BEST Gresik)</t>
  </si>
  <si>
    <t>RC UAL450 x 1 Unit</t>
  </si>
  <si>
    <t>Competitor Midea, Air Cooled Scroll Chiller 130 kW with Shell and Tube Evaporator</t>
  </si>
  <si>
    <t>Hotel Malyabhara Jogjakarta</t>
  </si>
  <si>
    <t>RC Chiller UAA150ST3M x 1 Unit</t>
  </si>
  <si>
    <t>RC-FCU Plaza Indonesia FR 067 ex WATSONS L4</t>
  </si>
  <si>
    <t>VES Filler</t>
  </si>
  <si>
    <t>Santos Jaya Abadi</t>
  </si>
  <si>
    <t>Hotel Golden Tulip</t>
  </si>
  <si>
    <t>Danone Prambanan</t>
  </si>
  <si>
    <t xml:space="preserve">HXEV490 </t>
  </si>
  <si>
    <t>Tunggu Hasil Sugisindo WEST</t>
  </si>
  <si>
    <t>System ERV Dehum Existing</t>
  </si>
  <si>
    <t>EPL-Installation AC Office Vision Ease Phase 3</t>
  </si>
  <si>
    <t>Manggala Jaya</t>
  </si>
  <si>
    <t>RC-Project Manggala Jaya</t>
  </si>
  <si>
    <t>RC-AHU Bekaert Indonesia</t>
  </si>
  <si>
    <t>EPL-Bekaert Indonesia</t>
  </si>
  <si>
    <t>PT. Stanley Electric Indonesia</t>
  </si>
  <si>
    <t>RC-Chiller HXEV700</t>
  </si>
  <si>
    <t>NTT Indonesia Technology</t>
  </si>
  <si>
    <t>RC-UCCP NTT Data</t>
  </si>
  <si>
    <t>EPL-AC 15 Pk dan Installasi Area Koridor Lt. 3A</t>
  </si>
  <si>
    <t>Improvement SPS 1 dan 2</t>
  </si>
  <si>
    <t>Aqua Golden Mississippi</t>
  </si>
  <si>
    <t xml:space="preserve">RC-Ruang HOD Line 7 dan 8 </t>
  </si>
  <si>
    <t>Audit Grand Hyatt</t>
  </si>
  <si>
    <t>Hagendaz</t>
  </si>
  <si>
    <t>Pastriella</t>
  </si>
  <si>
    <t>Maintenance</t>
  </si>
  <si>
    <t>Torenda</t>
  </si>
  <si>
    <t>Lanore</t>
  </si>
  <si>
    <t>Bongkar Ducting</t>
  </si>
  <si>
    <t>Correvtive Maintenance April 2026</t>
  </si>
  <si>
    <t>Atria Tower</t>
  </si>
  <si>
    <t>EPL-Instalasi Air Conditioning System Orange Room</t>
  </si>
  <si>
    <t>PT Cahaya Parama Niscala (RC FCU 10 PK Cirebon Superblok Mall)</t>
  </si>
  <si>
    <t>RC DDB100 BW</t>
  </si>
  <si>
    <t xml:space="preserve">RC - FCU </t>
  </si>
  <si>
    <t>RS Suriansyah</t>
  </si>
  <si>
    <t>PT Nippon Paint Ancol Jakarta (EPL NP Ancol)</t>
  </si>
  <si>
    <t>EPL UAL-DDW</t>
  </si>
  <si>
    <t>PT. Colombia Asia Medan</t>
  </si>
  <si>
    <t xml:space="preserve">RC Chiller UAL150ER5 </t>
  </si>
  <si>
    <t>EPL HVAC Labour Room</t>
  </si>
  <si>
    <t>Ambarrukmo Plaza</t>
  </si>
  <si>
    <t>RC Chiller ZUWS</t>
  </si>
  <si>
    <t>Kaer Pte Ltd Singapore (RC Chiller Galaxy Mall Surabaya)</t>
  </si>
  <si>
    <t>RC Chiller HTS113 x 2 Unit</t>
  </si>
  <si>
    <t>YEMI (YAMAHA ELECTRONIC)</t>
  </si>
  <si>
    <t xml:space="preserve">UHAS 100 </t>
  </si>
  <si>
    <t xml:space="preserve">Proses review di management untuk dapat di lanjutkan proses lebih lanjut pada pengadaan barang </t>
  </si>
  <si>
    <t>GUMAYA TOWER</t>
  </si>
  <si>
    <t>New Skyline Kitchen</t>
  </si>
  <si>
    <t xml:space="preserve">Supply FCU dan installasi unit menggunakan koneksi chiller existing </t>
  </si>
  <si>
    <t>Bandara Lombok</t>
  </si>
  <si>
    <t>RC UAA245ST3M</t>
  </si>
  <si>
    <t>PT Jaya Sakti Mulia (RC AHU Tunjungan Plaza Sby)</t>
  </si>
  <si>
    <t>RC AHU Tunjungan Plaza</t>
  </si>
  <si>
    <t>PT Unilever</t>
  </si>
  <si>
    <t>RC DDBBWDS</t>
  </si>
  <si>
    <t>CV Davindo Anugrah Unggul (RC FCU Nestle)</t>
  </si>
  <si>
    <t>RC DDBBW</t>
  </si>
  <si>
    <t>FCU STD</t>
  </si>
  <si>
    <t>Bernofarm</t>
  </si>
  <si>
    <t>RC UAL</t>
  </si>
  <si>
    <t>RC-AHU Patrajasa Lantai 13 dan 14</t>
  </si>
  <si>
    <t>EPL-AC Split Duct 15 PK PT Kilang Pertamina</t>
  </si>
  <si>
    <t>EPL-AC Split duct Patrajasa Starbuck &amp; R.Lift</t>
  </si>
  <si>
    <t>UPA Sby</t>
  </si>
  <si>
    <t>Swadaya Panduartha</t>
  </si>
  <si>
    <t>RC-AHU AHU DB/B Basement MAG</t>
  </si>
  <si>
    <t>PT Gita Persada Mandiri</t>
  </si>
  <si>
    <t>UAL 450 D5</t>
  </si>
  <si>
    <t>Already SO</t>
  </si>
  <si>
    <t>Sudah submit quotation ke bu ulfah via email di 2026/03/16 dan akan di fu berkala (seminggu)</t>
  </si>
  <si>
    <t>Pertamina Geothermal Karaha</t>
  </si>
  <si>
    <t>Rusli Vinilon Sakti</t>
  </si>
  <si>
    <t>EPL-Chiller Control System &amp; Installation Vinilon</t>
  </si>
  <si>
    <t>SPV Project - David</t>
  </si>
  <si>
    <t xml:space="preserve">Brine Chiller  179 TR </t>
  </si>
  <si>
    <t>Santika Hotel Semarang</t>
  </si>
  <si>
    <t xml:space="preserve">Kompetitor Euroklimat, budgeting pengadaan 2025 dengan komposisi chiller UAL450 HR x 2 dan UAL450 STD x 1 </t>
  </si>
  <si>
    <t>KAER (RC Chiller Lippo Mall Kemang Jkt)</t>
  </si>
  <si>
    <t>RC HXEV700Q</t>
  </si>
  <si>
    <t>Mitra Anda Pontianak</t>
  </si>
  <si>
    <t>RSUD AWS</t>
  </si>
  <si>
    <t>RC UAA150</t>
  </si>
  <si>
    <t>Budgeting</t>
  </si>
  <si>
    <t>PT Nippon Paint (EPL NP Ancol Lab Labour Technical)</t>
  </si>
  <si>
    <t>EPL UAL-DDB</t>
  </si>
  <si>
    <t>PT Smoore</t>
  </si>
  <si>
    <t>RC HTS</t>
  </si>
  <si>
    <t>Replacement Dehum</t>
  </si>
  <si>
    <t>Instalasi Replacement Dehum</t>
  </si>
  <si>
    <t>ZUWY 300 x 4 TR</t>
  </si>
  <si>
    <t>Design</t>
  </si>
  <si>
    <t>Instalasi New Chiller</t>
  </si>
  <si>
    <t>Matsuo for Machine and Production Support</t>
  </si>
  <si>
    <t>UAL230 x 2</t>
  </si>
  <si>
    <t>EPL- Temperature Sensor and Fire Alarm Connection</t>
  </si>
  <si>
    <t>PT Hopak (Davindo)</t>
  </si>
  <si>
    <t>existing Mitsubishi 240TR WC Piston</t>
  </si>
  <si>
    <t>EPL- FTC Series Super Mini Split AC</t>
  </si>
  <si>
    <t>EPL- HVAC Motors K55HXNCJ-0841</t>
  </si>
  <si>
    <t>EPL-RPH Material</t>
  </si>
  <si>
    <t>EPL-Greenheck Fan</t>
  </si>
  <si>
    <t>EPL-RPH Resto (Labour)</t>
  </si>
  <si>
    <t>EPL-RPH Resto (Unit &amp; Material)</t>
  </si>
  <si>
    <t>EPL-AC 5 PK Split Duct Daikin High Static</t>
  </si>
  <si>
    <t>EPL-Roadheader Rigid Vent Duct</t>
  </si>
  <si>
    <t>EPL-Ventilation</t>
  </si>
  <si>
    <t>EPL-DAIKIN AC Floor Standing Inverter</t>
  </si>
  <si>
    <t>EPL-Compressor AC</t>
  </si>
  <si>
    <t>EPL-TPRA Hospital Material Alternatif 1</t>
  </si>
  <si>
    <t>EPL-TPRA Hospital Material Alternatif 2</t>
  </si>
  <si>
    <t>EPL-TPRA Hospital Labour Alternatif 1</t>
  </si>
  <si>
    <t>EPL-TPRA Hospital Labour Alternatif 2</t>
  </si>
  <si>
    <t>EPL-Modul Outdoor VRV 3</t>
  </si>
  <si>
    <t>CJ Jombang</t>
  </si>
  <si>
    <t>AHU</t>
  </si>
  <si>
    <t>EPL-Sparepart Barrack DD 72</t>
  </si>
  <si>
    <t>PT Dwi Berkah Arga Kencana</t>
  </si>
  <si>
    <t>EPL-Split Wall Portsite</t>
  </si>
  <si>
    <t>EPL-RPH Chiller Golf</t>
  </si>
  <si>
    <t>EPL-Rimba Golf - Labour</t>
  </si>
  <si>
    <t>PT Indo Cipta</t>
  </si>
  <si>
    <t>EPL-Rimba Golf - Labour Electrikal Alt 1</t>
  </si>
  <si>
    <t>EPL-Rimba Golf - Labour Electrikal Alt 2</t>
  </si>
  <si>
    <t>EPL-Rimba Golf - Material Electrikal Alt 1</t>
  </si>
  <si>
    <t>EPL-Rimba Golf - Material Electrikal Alt 2</t>
  </si>
  <si>
    <t>EPL-GBC Terminal Refuge Chamber</t>
  </si>
  <si>
    <t>EPL-Fantech Direct Drive Axial</t>
  </si>
  <si>
    <t>Costing approved pak afandy 3 Sep'24</t>
  </si>
  <si>
    <t>Aqua Sambung Gede</t>
  </si>
  <si>
    <t>HeatPump</t>
  </si>
  <si>
    <t>BNI Graha Pangeran Surabaya</t>
  </si>
  <si>
    <t>Saat ini project ME masih belum selesai. Info bu Indah akan dimintakan budget ke pusat</t>
  </si>
  <si>
    <t>PT. FKS Tereos Indonesia</t>
  </si>
  <si>
    <t>Submit quotation : 
1. Fresh air blower and exhaust fan untuk ruangan trafo
di 28 Novermber 2025 by email.</t>
  </si>
  <si>
    <t>Submit quotation project  ventilasi ruangan trafo dengan menggunakan ac split duct cassete.</t>
  </si>
  <si>
    <t>Submit quotation project  ventilasi ruangan trafo dengan menggunakan exhaust fan.</t>
  </si>
  <si>
    <t>RS Emirates Solo</t>
  </si>
  <si>
    <t>User (Bu Farsya) : mereka butuh hanya 3 filter, sementara dari JAF tidak ada stock yang ready sehingga harus indent dengan quantity minimum order. Mereka keberatan dengan hal ini. Akan di follow up lagi untuk kebutuhan filter di masa mendatang.</t>
  </si>
  <si>
    <t>CAP CCR Room</t>
  </si>
  <si>
    <t>AHU DX</t>
  </si>
  <si>
    <t>CAP SMI Plant</t>
  </si>
  <si>
    <t>UAL</t>
  </si>
  <si>
    <t>PT Novell Pharmaceutical Laboratories</t>
  </si>
  <si>
    <t>Menerima PO di 25 Februari 2026</t>
  </si>
  <si>
    <t>Sudah submit quotation 2 AHU DX by email pada Fri 05/12/2025 10:52 PM.
 2026/03/13 : info bapak reza, sedang di review internal.</t>
  </si>
  <si>
    <t>CV. Global System Mandiri</t>
  </si>
  <si>
    <t>Sudah submit quotation ac single split 2 PK 1 unit pada Mon 01/12/2025 1:21 PM</t>
  </si>
  <si>
    <t>ERV Tahap 2</t>
  </si>
  <si>
    <t>PT Tirta Investama</t>
  </si>
  <si>
    <t>Control Softwater</t>
  </si>
  <si>
    <t xml:space="preserve">PT. Wahana Teknik -  Project Preangger Hotel - Bandung </t>
  </si>
  <si>
    <t>Sudah menerima PO</t>
  </si>
  <si>
    <t>Sudah menerima PO dari PT. Novel dan sudah di proses ke mba ana.</t>
  </si>
  <si>
    <t>1. Akan diplaningkan untuk eksekusi pekerjaan dan delivery unit split duct di 2 Januari 2026.
2. Pekerjaan installasi sudah selesai di 4 Januari 2026, akan dikirimkan report di 6-9 Januari 2026.</t>
  </si>
  <si>
    <t>Sudah submit quotation oleh mba Dea dan sedang di review  oleh internal PI.</t>
  </si>
  <si>
    <t>PT. Sarana Tunggal Mulia - David - Samuel</t>
  </si>
  <si>
    <t>Project RC Pakuwon Mall – Bekasi</t>
  </si>
  <si>
    <t>Sudah submit penawran by email ke yonatan@saranatunggalmulia.com di 2026/03/12</t>
  </si>
  <si>
    <t>PT. Mattel Indonesia</t>
  </si>
  <si>
    <t>Relokasi Unit</t>
  </si>
  <si>
    <t>PT. Master Tritunggal Pratama - PT. Meij Rubber Cikarang - David</t>
  </si>
  <si>
    <t>Sudah menerima PO dari customer di tanggal  28 JANUARI 2026.</t>
  </si>
  <si>
    <t>PT Surteckariya</t>
  </si>
  <si>
    <t>Deliveri ke site</t>
  </si>
  <si>
    <t>Patra jasa</t>
  </si>
  <si>
    <t>fIler - IAQ</t>
  </si>
  <si>
    <t>2026/03/13 : Sudah di submit penawaran oleh mba Dea dan menunggu jadwal dari pihak patra untuk presentasi quotation.</t>
  </si>
  <si>
    <t>1. Sudah submit quotation kedua (nego) untuk projek corrective maintenance VRV IV Loby Cakung.2. 
2. Menunggu feedback dari user terkait TOP, apakah mau memebrikan DP atau tidak.</t>
  </si>
  <si>
    <t>PT. ZTT Cable Indonesia</t>
  </si>
  <si>
    <t>19 Januari 2026 sudah submit quoation filter ke Bu Nina by email.</t>
  </si>
  <si>
    <t>PT Deltamas - David - Samuel</t>
  </si>
  <si>
    <t>Project PT. Vaksindo Bogor</t>
  </si>
  <si>
    <t>sudah submit quotation by email di 2026/03/05 ke didin setiyono &lt;didinsetiyono22@yahoo.com&gt;</t>
  </si>
  <si>
    <t>Metropolitan Mall</t>
  </si>
  <si>
    <t xml:space="preserve">PT. Gita Mandiri Persada - RS Hasan Sadikin Bandung </t>
  </si>
  <si>
    <t>29 Januari submit quotation UAL450D5 2 unit untuk project RS Hasan Sadikin Bandung dan sudah trima PO</t>
  </si>
  <si>
    <t>PT VNLPE</t>
  </si>
  <si>
    <t>DJK</t>
  </si>
  <si>
    <t>GES4222</t>
  </si>
  <si>
    <t>Instalasi Chiller</t>
  </si>
  <si>
    <t>Asttra Otoparts</t>
  </si>
  <si>
    <t>UAL090</t>
  </si>
  <si>
    <t>RS Premier Bintaro</t>
  </si>
  <si>
    <t>UAL450D</t>
  </si>
  <si>
    <t>KOITO</t>
  </si>
  <si>
    <t>MUWD080</t>
  </si>
  <si>
    <t>Lintec Indonesia</t>
  </si>
  <si>
    <t>Samator</t>
  </si>
  <si>
    <t>RC Nitrogen system</t>
  </si>
  <si>
    <t xml:space="preserve">PT. Gita Mandiri Persada -  RS Siloam Hospital </t>
  </si>
  <si>
    <t>UAL230 ER</t>
  </si>
  <si>
    <t>29 Januari submit quotation UAL423D5 1 unit untuk project RS Siloam Hospital Jambi dan sudah trima PO</t>
  </si>
  <si>
    <t>PT. Tisaga Konsultan</t>
  </si>
  <si>
    <t>Sudah submit quotaiton by WA ke pak dirga</t>
  </si>
  <si>
    <t>PT. WMK - Lanud Pekanbaru</t>
  </si>
  <si>
    <t>EPL-Greenheck Fan for OB4</t>
  </si>
  <si>
    <t>EPL-Fantech Axial Fan</t>
  </si>
  <si>
    <t>EPL-RPH Chiller Golf Cable System</t>
  </si>
  <si>
    <t>EPL- Greenheck Fire Damper</t>
  </si>
  <si>
    <t>EPL-STEGO NC Enclosure Thermostat and Convection Heater</t>
  </si>
  <si>
    <t>PT Tirta Fresindo Jaya Pasuruan (EPL Ruang Trafo dan Ruang LVMDP)</t>
  </si>
  <si>
    <t>EPL Ruang Trafo dan Ruang LVMDP</t>
  </si>
  <si>
    <t>HVAC Ruang Trafo dan Ruang LVMDP. Budget 2024 belum diapprove. Diajukan kembali di 2025</t>
  </si>
  <si>
    <t>POSA GROUP (RC Ambon City Center)</t>
  </si>
  <si>
    <t>RC UAA125ST3M-FBBA</t>
  </si>
  <si>
    <t>Budgeting untuk penggantian Chiller matahari dan hypermart</t>
  </si>
  <si>
    <t>PT Sanggar Sarana Baja</t>
  </si>
  <si>
    <t>EPL-Oil Cooling Unit SSB</t>
  </si>
  <si>
    <t>EPL- Shutter Mounted Fans Complete Set</t>
  </si>
  <si>
    <t>EPL-Bard Green Refrigerant R-410A</t>
  </si>
  <si>
    <t>EPL-Flexible Connection Flange End</t>
  </si>
  <si>
    <t>EPL-Electric Heater MN 40284977</t>
  </si>
  <si>
    <t>PT Venindo (RC Verwood Hotel Surabaya)</t>
  </si>
  <si>
    <t>RC ZUWY6P2OSF</t>
  </si>
  <si>
    <t>PT Airtech (RC AHU Ritamall Purwokerto)-David</t>
  </si>
  <si>
    <t>RC DDB150BWDS x 12 Unit</t>
  </si>
  <si>
    <t>PT Sarana Nikoteknik (RC Chiller Pentacity Balikpapan)-David</t>
  </si>
  <si>
    <t>RC HTS100 x 1 Unit</t>
  </si>
  <si>
    <t>CV Manado Inti Perkasa (RC Chiller GKN Manado)-David</t>
  </si>
  <si>
    <t>RC UAA175ST3</t>
  </si>
  <si>
    <t>EPL-Daikin AC Floor Standing Inverter</t>
  </si>
  <si>
    <t>PT Immanuel Solusi Sejahtera (RC FCU FWW300VC)</t>
  </si>
  <si>
    <t>RC FCU FWW300VC x 1 Unit</t>
  </si>
  <si>
    <t>EPL- DAIKIN Air Purifier</t>
  </si>
  <si>
    <t>EPL-Spare Part Kulkas RT42K6231S8</t>
  </si>
  <si>
    <t>PT Nipsea Paint and Chemical (EPL HVAC Ruang Laboratorium)</t>
  </si>
  <si>
    <t>EPL SDMC85 x 2 Unit</t>
  </si>
  <si>
    <t>Budget diajukan untuk 2025</t>
  </si>
  <si>
    <t>EPL-Alimak Shop Fan and Ducting</t>
  </si>
  <si>
    <t>Quotation 28Feb'25</t>
  </si>
  <si>
    <t>PT Nipsea Paint and Chemical (EPL HVAC Ruang Hardener)</t>
  </si>
  <si>
    <t>EPL SDMC85 x 1 Unit</t>
  </si>
  <si>
    <t>EPL-Fan Ducting and Support</t>
  </si>
  <si>
    <t>Quotation 25 Feb'25</t>
  </si>
  <si>
    <t>PT Hamparan Daya Cipta (RC FCU Grand Mirage)</t>
  </si>
  <si>
    <t>RC FWWVC x 17 Unit</t>
  </si>
  <si>
    <t>PT Hamparan Daya Cipta (RC FCU FWW1400VC Beachwalk)</t>
  </si>
  <si>
    <t>RC FWW1400VC x 2 Unit</t>
  </si>
  <si>
    <t>PT Hamparan Daya Cipta (RC FCU Harris POP Denpasar)</t>
  </si>
  <si>
    <t>RC DDB075BW x 2 Unit</t>
  </si>
  <si>
    <t>EPL- Ruskin Fire Smoke Damper Model FSD 60</t>
  </si>
  <si>
    <t>Quotation 5 Mar'25</t>
  </si>
  <si>
    <t>EPL-Motor Siripat</t>
  </si>
  <si>
    <t>Quotation 7 Apr'25</t>
  </si>
  <si>
    <t>CV Davindo Anugrah Unggul (RC WCPU PGS Surabaya)</t>
  </si>
  <si>
    <t>RC UCCP210BP x 1 Unit</t>
  </si>
  <si>
    <t>EPL-Wall Grille</t>
  </si>
  <si>
    <t>Quotation 8 Apr'25</t>
  </si>
  <si>
    <t>PT. Koito</t>
  </si>
  <si>
    <t>PT Cheil Jedang Pasuruan (EPL Filter AHU)</t>
  </si>
  <si>
    <t>EPL Filter AHU AAF</t>
  </si>
  <si>
    <t>PT Immanuel Solusi Sejahtera (RC FCU Hotel Melia Bali)</t>
  </si>
  <si>
    <t>RC FCU FWWVC x 4 Unit</t>
  </si>
  <si>
    <t>CV Davindo Anugrah Unggul (RC Petronika Gresik)</t>
  </si>
  <si>
    <t>RC UAL450D5</t>
  </si>
  <si>
    <t>Mitra Medica (HVAC Rumah Sakit)</t>
  </si>
  <si>
    <t>EPL SBFC100</t>
  </si>
  <si>
    <t>PT Fujitron (RC AHU GMF Jakarta)</t>
  </si>
  <si>
    <t>PT CEO Internusa Aircon (RC Chiller PT BKP Bekasi)</t>
  </si>
  <si>
    <t>RC UAL070ER5</t>
  </si>
  <si>
    <t>PT Dian Mandiri (RC FCU Hotel Ayana Bali)</t>
  </si>
  <si>
    <t>RC FCU FWW600VC x 131 Unit</t>
  </si>
  <si>
    <t>PT Dita Utama (RC Chiller Plaza Balikpapan)</t>
  </si>
  <si>
    <t>RC UAA380ST3M</t>
  </si>
  <si>
    <t>CV DOB karunia (RC FCU Intiland Sby)</t>
  </si>
  <si>
    <t>RC FCU DDB</t>
  </si>
  <si>
    <t>EPL-Copper Pipe and Fitting</t>
  </si>
  <si>
    <t>EPL-Daikin AC Cassette Ceiling Mounted for C30098 Integrated Port Control</t>
  </si>
  <si>
    <t>Quotation 14 May'25</t>
  </si>
  <si>
    <t>EPL-Accoustic Louvre</t>
  </si>
  <si>
    <t>Quotaion 5 May'25</t>
  </si>
  <si>
    <t>EPL-VRV Jungle Office Material</t>
  </si>
  <si>
    <t>Quotation 12 Jun'25</t>
  </si>
  <si>
    <t>EPL-VRV Jungle Office Labour</t>
  </si>
  <si>
    <t>PT Unilever Tbk (EPL HVAC Unilever)</t>
  </si>
  <si>
    <t>EPL SVC125AYL</t>
  </si>
  <si>
    <t>PT Hamparan Daya Cipta Infinity / Megamall Manado (RC Chiller Megamall Manado)</t>
  </si>
  <si>
    <t>RC HTS113</t>
  </si>
  <si>
    <t>PT CEO Internusa Aircon (RC AHU Java paragon Sby Hotel)</t>
  </si>
  <si>
    <t>RC DDB600BW x 1 Unit</t>
  </si>
  <si>
    <t>PT Canada Green Gate</t>
  </si>
  <si>
    <t>RC UAL230 x 1 Unit Low Leaving Water Temp</t>
  </si>
  <si>
    <t>PT Smart Tbk (EPL HVAC Menara Meeting Room)</t>
  </si>
  <si>
    <t>EPL Menara Meeting Room SVC125AYL</t>
  </si>
  <si>
    <t>VES (Area SPS 1)</t>
  </si>
  <si>
    <t>PT. Global Central</t>
  </si>
  <si>
    <t>RC Project PT. Alcon Batam</t>
  </si>
  <si>
    <t>Sudah submit quotation di 2026/05/29</t>
  </si>
  <si>
    <t>EPL-MP28 Aviation Hangar Material</t>
  </si>
  <si>
    <t>BADAK LNG - N2 B39</t>
  </si>
  <si>
    <t>EPL-MP28 Aviation Hangar Labour</t>
  </si>
  <si>
    <t xml:space="preserve">HIKARI </t>
  </si>
  <si>
    <t>EPL Office Building</t>
  </si>
  <si>
    <t xml:space="preserve">Waiting Official PO </t>
  </si>
  <si>
    <t xml:space="preserve">Linde Indonesia </t>
  </si>
  <si>
    <t xml:space="preserve">EPL Ruang Panel </t>
  </si>
  <si>
    <t xml:space="preserve">Wilmar Ruang Filling </t>
  </si>
  <si>
    <t xml:space="preserve">Filling Room </t>
  </si>
  <si>
    <t xml:space="preserve">Aneka Tuna </t>
  </si>
  <si>
    <t xml:space="preserve">Production Room </t>
  </si>
  <si>
    <t xml:space="preserve">Wilmar FRA Building Project </t>
  </si>
  <si>
    <t>AHU - DM1</t>
  </si>
  <si>
    <t>Greeefield</t>
  </si>
  <si>
    <t>RC AHU Chiller Butter</t>
  </si>
  <si>
    <t xml:space="preserve">Pertamina Balongan </t>
  </si>
  <si>
    <t xml:space="preserve">Lost </t>
  </si>
  <si>
    <t>Petrolab</t>
  </si>
  <si>
    <t>EPL-Ventilation Door 4 X 4 M</t>
  </si>
  <si>
    <t>Quotation in PTFI system SAP 1/7/25</t>
  </si>
  <si>
    <t>EPL-Pipa AC 2 PK</t>
  </si>
  <si>
    <t>Quotation submit 25 Jun'25</t>
  </si>
  <si>
    <t>EPL-AC Split Duct 6PK</t>
  </si>
  <si>
    <t>Quotation submit 5 Ags'25</t>
  </si>
  <si>
    <t>EPL-AC Inverter 5PK 1Phase 50-60HZ 220-240V MN 40742133.</t>
  </si>
  <si>
    <t>Quotation in PTFI system SAP 22/8/25</t>
  </si>
  <si>
    <t>PT BSD Medica</t>
  </si>
  <si>
    <t>RC-UAA245 &amp; Installation</t>
  </si>
  <si>
    <t>UAA245</t>
  </si>
  <si>
    <t>RC-PT LEN Bandung</t>
  </si>
  <si>
    <t>UAL230D5</t>
  </si>
  <si>
    <t>EPL-Chiller and Water Pump Golf</t>
  </si>
  <si>
    <t>Quotation in PTFI system SAP 29/8/25</t>
  </si>
  <si>
    <t>RS Unair</t>
  </si>
  <si>
    <t>EPL-Duct Ventilation at Operation Office</t>
  </si>
  <si>
    <t>Quotation 14 Nov'25</t>
  </si>
  <si>
    <t>PT. Master Tri Tunggal Pratama - David - Samuel</t>
  </si>
  <si>
    <t>Project Plaza Indonesia - FCU DDB75BW</t>
  </si>
  <si>
    <t>EPL-Ventilation Greenheck Fan Operation Office</t>
  </si>
  <si>
    <t>Quotation in PTFI system SAP 10/11/25</t>
  </si>
  <si>
    <t>Santos jaya Abadi</t>
  </si>
  <si>
    <t>UAL450 x 3</t>
  </si>
  <si>
    <t>Menggantikan DX</t>
  </si>
  <si>
    <t>Teluk Lamong</t>
  </si>
  <si>
    <t>VES Ducting</t>
  </si>
  <si>
    <t>HeatPump Aqua Wonosobo</t>
  </si>
  <si>
    <t>HeatPump Aqua Mambal</t>
  </si>
  <si>
    <t>Aqua Wonosobo</t>
  </si>
  <si>
    <t>RC Heatpump</t>
  </si>
  <si>
    <t>EWYE70</t>
  </si>
  <si>
    <t>Aqua Mambal</t>
  </si>
  <si>
    <t>Aqua Wonosobo Installasi Haetpump</t>
  </si>
  <si>
    <t>Installasi Heatpump</t>
  </si>
  <si>
    <t>RS Ciputra jakarta</t>
  </si>
  <si>
    <t>RC UAL340*2 + installasi</t>
  </si>
  <si>
    <t>PT Emart - David</t>
  </si>
  <si>
    <t>Project Brine Chiller PT Dover Chemical</t>
  </si>
  <si>
    <t>PT Bintang Kreasi Aroma</t>
  </si>
  <si>
    <t>EPL-Split Duct 5PK</t>
  </si>
  <si>
    <t>DX</t>
  </si>
  <si>
    <t>PT AVI - David</t>
  </si>
  <si>
    <t>Project Royal Medicalink Pharmalab</t>
  </si>
  <si>
    <t>PT Trisun Techiques Mandiri - David</t>
  </si>
  <si>
    <t>Project PSUGI</t>
  </si>
  <si>
    <t>CV. Sarana Air Cool - David</t>
  </si>
  <si>
    <t>Project Gula Putih Mataram</t>
  </si>
  <si>
    <t>CV Gentraco - David</t>
  </si>
  <si>
    <t>Project PT Indofood Palembang</t>
  </si>
  <si>
    <t>PT Deltamas - David</t>
  </si>
  <si>
    <t>Project PT Sinde</t>
  </si>
  <si>
    <t>RC Project RS POLRI</t>
  </si>
  <si>
    <t>Chiller UAL230D5 (2)</t>
  </si>
  <si>
    <t>IHF</t>
  </si>
  <si>
    <t>1 UAL 230, 1 UAL070, Standing DFS 2</t>
  </si>
  <si>
    <t xml:space="preserve">PT. Central Global </t>
  </si>
  <si>
    <t>RC Project Batam Karya</t>
  </si>
  <si>
    <t>Sudah submit penawaran 2026/06/04</t>
  </si>
  <si>
    <t>PT Immanuel Solusi Sejahtera - David</t>
  </si>
  <si>
    <t>UAL450 x 3 - PT Plasindo</t>
  </si>
  <si>
    <t>PT. GITA PERSADA MANDIRI</t>
  </si>
  <si>
    <t>RC-Project Ovindo Metaltama Tehnik</t>
  </si>
  <si>
    <t>UAL 450 D5 &amp; UAL340D5</t>
  </si>
  <si>
    <t>Already PO - SO046808</t>
  </si>
  <si>
    <t>Indah Kiat Pulp and Paper</t>
  </si>
  <si>
    <t>AHU 7 Unit</t>
  </si>
  <si>
    <t>PT. Gita Persada Mandiri- David - Samuel</t>
  </si>
  <si>
    <t xml:space="preserve">RC Project PT. Narumi Indonesia Cikarang ; 
UAL450D5 (2), DDB040BW(1), DDM2-1013B (1) </t>
  </si>
  <si>
    <t xml:space="preserve">1. belum ada update dari Jepang, statusnya masih budgeting.
2. Ada request untuk assetment chiller, solenoid valve pecah, dan bisa di kerjakan hanya di hari minggu. </t>
  </si>
  <si>
    <t>CV. Permata Tehnik - David - Samuel</t>
  </si>
  <si>
    <t>RC Project BRIN</t>
  </si>
  <si>
    <t>Sudah submit penawaran by email ke marketing@permatateknik.com di 09/04/2026 7:51 AM</t>
  </si>
  <si>
    <t>PT Evo Manufacturing Indonesia</t>
  </si>
  <si>
    <t>RC-Cooling Sistem</t>
  </si>
  <si>
    <t>Main Equipment</t>
  </si>
  <si>
    <t>RC Project MTP</t>
  </si>
  <si>
    <t>Sudah di submit quotation by email ke  hendro@stpindo.co.id  di 2026/03/12</t>
  </si>
  <si>
    <t xml:space="preserve">RC Project EJIP Cikarang </t>
  </si>
  <si>
    <t>Sudah di submit quotation by email ke  marketing@permatateknik.com   di 2026/03/12</t>
  </si>
  <si>
    <t>Sudah terima PO di 2026/06/04</t>
  </si>
  <si>
    <t>PT. Wahana Teknik - David - Samuel</t>
  </si>
  <si>
    <t>RSBP Batam</t>
  </si>
  <si>
    <t xml:space="preserve">1. Sudah submit penawaran 2026/02/23 by email
2. Sudah submit penawaranrevisi 1  di 2026/02/27 by email
</t>
  </si>
  <si>
    <t>PT. Central Global -   David Samuel</t>
  </si>
  <si>
    <t>Project Flex - industry clean room</t>
  </si>
  <si>
    <t>PT. AC Wahana - David Samuel</t>
  </si>
  <si>
    <t xml:space="preserve">Project Hotel Mercure Pontianak </t>
  </si>
  <si>
    <t>Sudah submit penawaran  2026/03/06 by email</t>
  </si>
  <si>
    <t>Gedung Arinav</t>
  </si>
  <si>
    <t>Sudah submit penawaran 2026/02/27by email</t>
  </si>
  <si>
    <t>PT. Pillar Ekatama - David Samuel</t>
  </si>
  <si>
    <t>Sudah submit penawran ke risha@pilarekatama.com di 2026/03/17</t>
  </si>
  <si>
    <t>PT Cilikon Tata Udara Indonesia</t>
  </si>
  <si>
    <t>EPL- RSUD Kanujoso Balikpapan</t>
  </si>
  <si>
    <t>DID - DM2TB-0510B</t>
  </si>
  <si>
    <t>OKB MOT R.OK Mayor Antiradiasi</t>
  </si>
  <si>
    <t>Genebank Bogor</t>
  </si>
  <si>
    <t>Sudah submit ke email 'gitamandiri@gmail.com di 2026/02/24</t>
  </si>
  <si>
    <t xml:space="preserve">Project PT. Braja Mukti Cakra </t>
  </si>
  <si>
    <t>Info dari MTP, user condong memilih york karena existing memakai york, 9:50 2026/02/19</t>
  </si>
  <si>
    <t xml:space="preserve"> PT.ANEKA SOLUSI ENGINEERING - David - Samuel</t>
  </si>
  <si>
    <t>RC Project PLTA Saguling</t>
  </si>
  <si>
    <t xml:space="preserve">PT. Denki Engineering </t>
  </si>
  <si>
    <t>RC Project DNP Karawang (1)</t>
  </si>
  <si>
    <t>PT. Dian Mandiri - David - Samuel</t>
  </si>
  <si>
    <t>RC Project The Laguna Nusa Dua Bali</t>
  </si>
  <si>
    <t>RC Project St. Regis</t>
  </si>
  <si>
    <t>PT. Dover Chemical Merak</t>
  </si>
  <si>
    <t xml:space="preserve">C Project PT. Dover Chemical - Merak </t>
  </si>
  <si>
    <t>Sudah submit quotation by email ke zuhadi@dovechem.co.id di 2026/03/10</t>
  </si>
  <si>
    <t>PT. Pillar Ekatama -David - Samuel</t>
  </si>
  <si>
    <t>RC Project Bandara Sentani</t>
  </si>
  <si>
    <t>Project di hold</t>
  </si>
  <si>
    <t>RC Project IKPP Perawang</t>
  </si>
  <si>
    <t>Sudah submit by quotaiton di 2026/03/04</t>
  </si>
  <si>
    <t>PT. Hanei Indonesia - David</t>
  </si>
  <si>
    <t xml:space="preserve">RC Project CCO Factory Palembang </t>
  </si>
  <si>
    <t>Submit quotation di 10 Februari 2026</t>
  </si>
  <si>
    <t>PT. Janur Teknik Mandiri - David</t>
  </si>
  <si>
    <t xml:space="preserve">RC Project Garuda Food </t>
  </si>
  <si>
    <t>PT. Sampoerna Tritunggal Pratama</t>
  </si>
  <si>
    <t>“Daikin China”  Fan Coil Unit (10)</t>
  </si>
  <si>
    <t>sudah submit quotation ke tikakris@stpindo.co.id di 28/03/2026</t>
  </si>
  <si>
    <t>PT. Candi Toba, Anugerah, Trihaga</t>
  </si>
  <si>
    <t>Indonesia Power Pangkalan susu Medan</t>
  </si>
  <si>
    <t>sudah submit quotation ke stogih@yahoo.co.id  di 28/03/2026</t>
  </si>
  <si>
    <t>PT. Graha Nusa Raya</t>
  </si>
  <si>
    <t>UCCP170BP (1)</t>
  </si>
  <si>
    <t>Submit harga di email di 2026/03/05</t>
  </si>
  <si>
    <t>PT. Cipta Kreasindo Teknika  - David</t>
  </si>
  <si>
    <t>Project Filling room C3 – Indolakto</t>
  </si>
  <si>
    <t>Submit quotation di 2026/03/02</t>
  </si>
  <si>
    <t>MNC Tower</t>
  </si>
  <si>
    <t>MNC</t>
  </si>
  <si>
    <t>Submit Qou To PT Hijau</t>
  </si>
  <si>
    <t>Aqua Mambal installasi</t>
  </si>
  <si>
    <t>Indofood gempol</t>
  </si>
  <si>
    <t>PJB Gresik</t>
  </si>
  <si>
    <t>CT</t>
  </si>
  <si>
    <t>BNI Graha Pangeran</t>
  </si>
  <si>
    <t>FCU DC</t>
  </si>
  <si>
    <t>MUWD</t>
  </si>
  <si>
    <t>Saat ini project ME masih belum selesai. Info bu Desy akan dimintakan budget ke pusat</t>
  </si>
  <si>
    <t>Danone Klaten (Pekerjaan Instalasi AHU)</t>
  </si>
  <si>
    <t>Stadiun Batakan Balik Papan</t>
  </si>
  <si>
    <t>Petrokimia Gresik (1 B  Replace AHU)</t>
  </si>
  <si>
    <t>PT Indofood Pasuruan</t>
  </si>
  <si>
    <t>Sunter Office</t>
  </si>
  <si>
    <t>PT. Pilar Ekatama - David - Samuel</t>
  </si>
  <si>
    <t>Sudah submit quotation ke pilar ekatama di 2026/04/27</t>
  </si>
  <si>
    <t>Bukit Asam</t>
  </si>
  <si>
    <t>PLTU</t>
  </si>
  <si>
    <t xml:space="preserve">TPO </t>
  </si>
  <si>
    <t>Filter-IAQ</t>
  </si>
  <si>
    <t>Unilever</t>
  </si>
  <si>
    <t>EPL-Motirized</t>
  </si>
  <si>
    <t>Hilton Bali</t>
  </si>
  <si>
    <t>EPL-RC AHU Kitchen</t>
  </si>
  <si>
    <t>PT. Prima Totech</t>
  </si>
  <si>
    <t>EPL-Pintu AHU</t>
  </si>
  <si>
    <t>Krakatau Properti</t>
  </si>
  <si>
    <t>EPL-Mobdemob</t>
  </si>
  <si>
    <t>TJB Power</t>
  </si>
  <si>
    <t>HVAC System</t>
  </si>
  <si>
    <t>RC Project Bandara Soeta 1B</t>
  </si>
  <si>
    <t>Sudah submit quotation by email ke bu risha di 2026/05/04</t>
  </si>
  <si>
    <t>RC Chiller area 2 EWAH580</t>
  </si>
  <si>
    <t>PT Widatra Bakti</t>
  </si>
  <si>
    <t>DDB100</t>
  </si>
  <si>
    <t>Bank HSBC Surabaya</t>
  </si>
  <si>
    <t>UAA150</t>
  </si>
  <si>
    <t>PT Utomodect</t>
  </si>
  <si>
    <t>Sun City Mall</t>
  </si>
  <si>
    <t>Lab Univ Airlangga</t>
  </si>
  <si>
    <t>RS Unhas</t>
  </si>
  <si>
    <t>EPL - AHU BSL, ICU, General Room</t>
  </si>
  <si>
    <t>LOSE = =&gt; Secara Spek DID tidak bisa mengikuti dan tahap seleksi lama jadi user memutuskan untuk ganti brand</t>
  </si>
  <si>
    <t>Hotel Royal Cilegon</t>
  </si>
  <si>
    <t xml:space="preserve">EPL - Repalacment AC VRV </t>
  </si>
  <si>
    <t>Review BOD ==&gt; Belum ada update apakah proeject dilanjutkan atau tidak</t>
  </si>
  <si>
    <t>PT Itama Rayonara</t>
  </si>
  <si>
    <t>EPL-Instalasi Effice Lantai 19 ITS Tower</t>
  </si>
  <si>
    <t>VRV</t>
  </si>
  <si>
    <t>PT Toka Tindung</t>
  </si>
  <si>
    <t>EPL - System Hvac for MCC Room</t>
  </si>
  <si>
    <t>Capex already submitted, waiting TOKA menghubungi DASI untuk klarifikasi penawaran  pic Pak Yusuf &amp; Pak Ade Jatmika</t>
  </si>
  <si>
    <t>Sotis Kemang Hotel</t>
  </si>
  <si>
    <t>AC Split System Cafe n Resto Lantai Roof</t>
  </si>
  <si>
    <t>(09 February 2026) Revisi Penawaran Alternatif 1 &amp; 2</t>
  </si>
  <si>
    <t>EPL-Cold Storage</t>
  </si>
  <si>
    <t>PT. Tenaris SPIJ Cilegon</t>
  </si>
  <si>
    <t>Submit quotation ke GPM di 2026/04/21</t>
  </si>
  <si>
    <t>Pump Grunfos - Jakarta Annex Center Phase-1</t>
  </si>
  <si>
    <t>PHE - Jakarta Annex Center Phase-1</t>
  </si>
  <si>
    <t>Chemical System - Jakarta Annex Center Phase-1</t>
  </si>
  <si>
    <t>CV Elektrindo</t>
  </si>
  <si>
    <t>Intalasi HeatPump Wonosobo</t>
  </si>
  <si>
    <t>Intalasi HeatPump Bali</t>
  </si>
  <si>
    <t>RC Chiller RS Unair</t>
  </si>
  <si>
    <t>EPL- Control Office Tower 2</t>
  </si>
  <si>
    <t>PT Petrosea by Como</t>
  </si>
  <si>
    <t>STKH25YV</t>
  </si>
  <si>
    <t>EPL - Isolasi Pipa CHWPp , CHWPp Plaza Senayan</t>
  </si>
  <si>
    <t>RS Muhamadiah</t>
  </si>
  <si>
    <t>EPL - Unit DX 10, 15 PK</t>
  </si>
  <si>
    <t>Squencing Chiller SS 1</t>
  </si>
  <si>
    <t>EPL - CPOS Sentral Senayan 1</t>
  </si>
  <si>
    <t>Cont Others</t>
  </si>
  <si>
    <t>Revisi Budged ==&gt; Update terbaru budged sudah di Approved akan dilakukan nego ulang menunggu dipanggil user</t>
  </si>
  <si>
    <t>Control Ruang OK RS. EMC</t>
  </si>
  <si>
    <t>EPL - Control Ruang OK RS. EMC Sentul</t>
  </si>
  <si>
    <t>Sansho Rubber Indonesia</t>
  </si>
  <si>
    <t>RC Chiller Hotel Golden Tulip Banjarmasin</t>
  </si>
  <si>
    <t>Indocement Tbk</t>
  </si>
  <si>
    <t>EPL- Chiller AHU</t>
  </si>
  <si>
    <t xml:space="preserve">Revisi Quote, User mau pakai system exiting </t>
  </si>
  <si>
    <t>PT Corteva - David</t>
  </si>
  <si>
    <t>Project Corteva - Medan</t>
  </si>
  <si>
    <t>PT Tumantiis Budi Mandiri - David</t>
  </si>
  <si>
    <t>HTS 800 TR - SKA Mall - Pekanbaru</t>
  </si>
  <si>
    <t>Sudah submit ke email 'Risha' &lt;risha@pilarekatama.com&gt; di 2026/02/24</t>
  </si>
  <si>
    <t>PT. Imecon Anugerah Perkasa</t>
  </si>
  <si>
    <t>RC - AHU Wisma Asia 2 jakarta</t>
  </si>
  <si>
    <t>DDW070,080</t>
  </si>
  <si>
    <t>PT. KANSAI PAINT INDONESIA</t>
  </si>
  <si>
    <t>RC - FCU</t>
  </si>
  <si>
    <t>DDW150</t>
  </si>
  <si>
    <t>Tender ==&gt; Project Di hold menunggu info dari user</t>
  </si>
  <si>
    <t>Roxy</t>
  </si>
  <si>
    <t>Control Maruto</t>
  </si>
  <si>
    <t>NIkasae</t>
  </si>
  <si>
    <t>RC-DX 10 20 PK</t>
  </si>
  <si>
    <t>Packaged FloorStanding Inv</t>
  </si>
  <si>
    <t xml:space="preserve">Tondano </t>
  </si>
  <si>
    <t>RC- DX</t>
  </si>
  <si>
    <t>Wall Mounted &amp; Packaged</t>
  </si>
  <si>
    <t>PT. Graha Santika Dyandra (hotel santika medan)</t>
  </si>
  <si>
    <t>Sudah submit quotation project fcu resto di 2026/03/12
30/03/2026 : Quotation Minggu 1 April akan di ajukan oleh Bapak Arno ke GM dan HS Pusat</t>
  </si>
  <si>
    <t>Patra Residential</t>
  </si>
  <si>
    <t>Pengadaan Wall Mounted</t>
  </si>
  <si>
    <t>Graha Pertamina</t>
  </si>
  <si>
    <t>Pengadaan Split Duct</t>
  </si>
  <si>
    <t>Diffusser Lamoda</t>
  </si>
  <si>
    <t>PT Samudra Mas Nusantara</t>
  </si>
  <si>
    <t>RC-Air Cooled Chiller 650 kW_Pertamina Hulu Kaltim</t>
  </si>
  <si>
    <t>UAA175ST3-FDD</t>
  </si>
  <si>
    <t>PT. Citraciti Pacific - Mall SKA PKU</t>
  </si>
  <si>
    <t>2026/03/13 : Sudah submit penawaran by email ke  Purchasing@malska.com  bapak Adi</t>
  </si>
  <si>
    <t>THAMRIN CITY UOB -  Syakha Cakra  Buana</t>
  </si>
  <si>
    <t>FWW</t>
  </si>
  <si>
    <t>LOSE ==&gt; Perubahan spek</t>
  </si>
  <si>
    <t>Primatekarsindo</t>
  </si>
  <si>
    <t>RC - UCCP</t>
  </si>
  <si>
    <t>UCCP18</t>
  </si>
  <si>
    <t xml:space="preserve">Tender - Submit Quo 28-03-2026 </t>
  </si>
  <si>
    <t>Universitas Tarumanegara</t>
  </si>
  <si>
    <t>RC - Chiller Air Cooled</t>
  </si>
  <si>
    <t>UAA175ST3  X2</t>
  </si>
  <si>
    <t>Budgeting ==&gt; sudah berikan penawaran saat ini info sedang pengajuan ke Yayasan</t>
  </si>
  <si>
    <t>YKK ZIPCO 5</t>
  </si>
  <si>
    <t>UWXA150GLDR (HEX)</t>
  </si>
  <si>
    <t>Installation</t>
  </si>
  <si>
    <t>EPL - CPOS Sentral Senayan 2</t>
  </si>
  <si>
    <t>Control</t>
  </si>
  <si>
    <t>Panasonic Industrial Component Indonesia</t>
  </si>
  <si>
    <t xml:space="preserve">RC - AHU </t>
  </si>
  <si>
    <t>DDW270DA-BMMQ0C35E</t>
  </si>
  <si>
    <t>EPL - Panel Power dan Control AHU</t>
  </si>
  <si>
    <t>MM</t>
  </si>
  <si>
    <t>UAA125</t>
  </si>
  <si>
    <t xml:space="preserve">Lion Wings </t>
  </si>
  <si>
    <t>FCU DDB</t>
  </si>
  <si>
    <t>UAA110 &amp;UAL 450</t>
  </si>
  <si>
    <t xml:space="preserve">Split Duct Packaged DX </t>
  </si>
  <si>
    <t>FDN100HV14/RN100HY14</t>
  </si>
  <si>
    <t>Oakwood Chopstick</t>
  </si>
  <si>
    <t>DDB100W</t>
  </si>
  <si>
    <t xml:space="preserve">PO, Unit Ready July dan akan di install July </t>
  </si>
  <si>
    <t>CV. Hardikarya Nusantara binjai</t>
  </si>
  <si>
    <t xml:space="preserve">RC - Split Duct </t>
  </si>
  <si>
    <t>DDB450BW</t>
  </si>
  <si>
    <t>Submit Quo tanggal 14 April 2024 - Project di hold karena perubahan Spek dari user</t>
  </si>
  <si>
    <t>PT. Pillar Ekatana</t>
  </si>
  <si>
    <t>RC Project Bandara Hang Nadim Batam</t>
  </si>
  <si>
    <t>sudah submit by email di 2026/05/07</t>
  </si>
  <si>
    <t>PT. Damai Lestari Sejahtera</t>
  </si>
  <si>
    <t>Jakarta Aquarium Safari-PT PT Wahid Mandiri Sejahtera</t>
  </si>
  <si>
    <t>UAL450D5</t>
  </si>
  <si>
    <t>CAP</t>
  </si>
  <si>
    <t xml:space="preserve">WILMAR </t>
  </si>
  <si>
    <t>Airnav</t>
  </si>
  <si>
    <t xml:space="preserve">BADAK LNG </t>
  </si>
  <si>
    <t>EWAD</t>
  </si>
  <si>
    <t xml:space="preserve">Tradco </t>
  </si>
  <si>
    <t xml:space="preserve">Astro </t>
  </si>
  <si>
    <t xml:space="preserve">Doubel Tree </t>
  </si>
  <si>
    <t xml:space="preserve">Control </t>
  </si>
  <si>
    <t xml:space="preserve">Niko Teknik </t>
  </si>
  <si>
    <t xml:space="preserve">Revorma </t>
  </si>
  <si>
    <t xml:space="preserve">JOTR </t>
  </si>
  <si>
    <t>Project Bahana - SDA</t>
  </si>
  <si>
    <t>RC- UAL340D5</t>
  </si>
  <si>
    <t>Tender - Submit Quo 22-04-2026 ==&gt; Budgeting ulang</t>
  </si>
  <si>
    <t>Grage Mall Cirebon</t>
  </si>
  <si>
    <t xml:space="preserve">RC- 3x UAA105ST3-FBD </t>
  </si>
  <si>
    <t>Budgeting - Submit 23-04-2026</t>
  </si>
  <si>
    <t>Project JICT - PT Awan Integrasi Sandidata</t>
  </si>
  <si>
    <t>EPL - AC Split Wall</t>
  </si>
  <si>
    <t>Tender - Submit Quo 25-04-2026</t>
  </si>
  <si>
    <t>Project Indolakto</t>
  </si>
  <si>
    <t xml:space="preserve"> - DDM1113
 - DDB200BW</t>
  </si>
  <si>
    <t>Project Sulfindo Merak ( PT. Gecko Indonesia)</t>
  </si>
  <si>
    <t xml:space="preserve">EPL - Unit DX </t>
  </si>
  <si>
    <t>S2DN200V</t>
  </si>
  <si>
    <t>Submit Quo tanggal 27 April 2024 ==&gt; Tidak ada update</t>
  </si>
  <si>
    <t>CV Dian Mandiri Project W Bali</t>
  </si>
  <si>
    <t>FWW1200VC</t>
  </si>
  <si>
    <t>PO tanggal 08 Mei 2026 - Ready To SO</t>
  </si>
  <si>
    <t>PT. Caterison Sukses  Project Japanese Resto Hilton Bali</t>
  </si>
  <si>
    <t>RC -Chiller &amp; AHU</t>
  </si>
  <si>
    <t>DDM0610,1114 &amp; UHAS200</t>
  </si>
  <si>
    <t>PO tanggal 06 Mei 2026 - Ready To SO</t>
  </si>
  <si>
    <t>PT Firmenich Indonesia</t>
  </si>
  <si>
    <t xml:space="preserve">RC - System HVAC </t>
  </si>
  <si>
    <t>PT Rumakita Kreasi</t>
  </si>
  <si>
    <t>RC AHU</t>
  </si>
  <si>
    <t>DDW040DE</t>
  </si>
  <si>
    <t>pakai system VRV dan pemenang vendor nya Roda Mas</t>
  </si>
  <si>
    <t>PT Ichikoh Indonesia</t>
  </si>
  <si>
    <t>RC- Cassette ke Ceiling suspend unit only</t>
  </si>
  <si>
    <t>PT Ichikoh Indoensia</t>
  </si>
  <si>
    <t>EPL- Instalasi</t>
  </si>
  <si>
    <t>PHE-Alfa laval PHE type T8-BFM</t>
  </si>
  <si>
    <t xml:space="preserve">PT. Gita Persada Mandiri -  Project RC Colombia Asia </t>
  </si>
  <si>
    <t>RC-UAL150D5</t>
  </si>
  <si>
    <t>Kavana Interior</t>
  </si>
  <si>
    <t>RC-Unit Only system HVAC &amp; AUB</t>
  </si>
  <si>
    <t>PT Tirta Investama Plant SOlok</t>
  </si>
  <si>
    <t>EWAH300</t>
  </si>
  <si>
    <t>Submit Quo</t>
  </si>
  <si>
    <t>PT Tirta Investama Plant Citereup</t>
  </si>
  <si>
    <t>EWAH350</t>
  </si>
  <si>
    <t>Biofarma Bandung</t>
  </si>
  <si>
    <t>Sarihusada Generasi Mahardika (SGM)</t>
  </si>
  <si>
    <t>Improvement Ducting Small Sachet</t>
  </si>
  <si>
    <t xml:space="preserve">Berkah Maharta </t>
  </si>
  <si>
    <t>RC - System HVAC (Packaged duct + cassete)</t>
  </si>
  <si>
    <t>pakai brand lokal karena budged under 80 jt</t>
  </si>
  <si>
    <t>PT. Taiyo Sinar Project Control AHU PICID</t>
  </si>
  <si>
    <t>EPL - CTRL</t>
  </si>
  <si>
    <t>Sensor AHU</t>
  </si>
  <si>
    <t>Cont Inst</t>
  </si>
  <si>
    <t>PO tanggal 13 Mei 2026 - Proses To SO (akan dikonfrimasi terlebih dahulu ke Taiyo Sinar karena antara penawran dan PO Berbeda)</t>
  </si>
  <si>
    <t>PT. Coca cola Europasific Indonesia</t>
  </si>
  <si>
    <t>Split Wall 2 Pk</t>
  </si>
  <si>
    <t xml:space="preserve">Submit Quo tanggal 14 May 2026 ==&gt; Under Review </t>
  </si>
  <si>
    <t>PT. Senayan Trikarya Sempana Project Replacment Control Chiller SS1</t>
  </si>
  <si>
    <t>Maruto</t>
  </si>
  <si>
    <t xml:space="preserve">User Revisi Budged dan Info dari user budeg sudah di revisi </t>
  </si>
  <si>
    <t>PT. Sarana Teknik Wiratama</t>
  </si>
  <si>
    <t>RC Project Mayora OB Daan Mogot</t>
  </si>
  <si>
    <t>PT. Panja CIpta Utama</t>
  </si>
  <si>
    <t>EPL -Unit DX SMA Kota Bekasi</t>
  </si>
  <si>
    <t>EPL - Replace inverter CHWPs Sentral Senayan 2</t>
  </si>
  <si>
    <t>Inverter Mitsubishi 55kW</t>
  </si>
  <si>
    <t>Nego  tanggal 5 Juni 2025</t>
  </si>
  <si>
    <t>Matahari Daan Mogot</t>
  </si>
  <si>
    <t>UAA348ST3-FBD</t>
  </si>
  <si>
    <t xml:space="preserve">Submit tanggal 19 May. Kompetiror Daikin, Hitachi, York </t>
  </si>
  <si>
    <t>PT. Coca cola Europasific Indonesia Project Syrup</t>
  </si>
  <si>
    <t>UAL450 &amp; DDM1619</t>
  </si>
  <si>
    <t>Submit Qou tanggal 15 April , Masih tahap Awal perencanaan dan budgeting , menunggu undangan klarifikasi design dan harga dari CCEP</t>
  </si>
  <si>
    <t>Heartology</t>
  </si>
  <si>
    <t>Negosiasi budged owner 194 jt, negosiasi internal dengan Kang Dede dan Harsindo</t>
  </si>
  <si>
    <t>PT Sukacita Teknologi Indonesia</t>
  </si>
  <si>
    <t>Unit Dx</t>
  </si>
  <si>
    <t>Quote Submitted</t>
  </si>
  <si>
    <t>PT Pratama Amerta Solusi</t>
  </si>
  <si>
    <t>Asessment Hall Room Hotel Mercure Jakarta Gatot Subroto</t>
  </si>
  <si>
    <t>RS Columbia Asia Medan (david)</t>
  </si>
  <si>
    <t>RC FCU lantai 6 &amp; 7 Project Columbia Asia Hospital Medan</t>
  </si>
  <si>
    <t>Submit Final Quotation 13 Maret 2026</t>
  </si>
  <si>
    <t>Morrissey Hotel Jakarta</t>
  </si>
  <si>
    <t>EPL-Pengadaan dan Jasa Unit AC VRV Daikin</t>
  </si>
  <si>
    <t>Umara Group</t>
  </si>
  <si>
    <t>EPL-Unit Split Office Veteran Jaksel</t>
  </si>
  <si>
    <t xml:space="preserve"> </t>
  </si>
  <si>
    <t>Sum of Quotation</t>
  </si>
  <si>
    <t>Column Labels</t>
  </si>
  <si>
    <t>2025</t>
  </si>
  <si>
    <t>2026</t>
  </si>
  <si>
    <t>2027</t>
  </si>
  <si>
    <t>Grand Total</t>
  </si>
  <si>
    <t>Nov</t>
  </si>
  <si>
    <t>Dec</t>
  </si>
  <si>
    <t>Jan</t>
  </si>
  <si>
    <t>Feb</t>
  </si>
  <si>
    <t>Mar</t>
  </si>
  <si>
    <t>Apr</t>
  </si>
  <si>
    <t>Jun</t>
  </si>
  <si>
    <t>Jul</t>
  </si>
  <si>
    <t>Aug</t>
  </si>
  <si>
    <t>Sep</t>
  </si>
  <si>
    <t>Oct</t>
  </si>
  <si>
    <t>Row Labels</t>
  </si>
  <si>
    <t>(Multiple Items)</t>
  </si>
  <si>
    <t>(blank)</t>
  </si>
  <si>
    <t>RC LEGEND</t>
  </si>
  <si>
    <t>DESCRIPTION</t>
  </si>
  <si>
    <t>Water Cooled Centrifugal Constant Speed Drive</t>
  </si>
  <si>
    <t>Water Cooled Centrifugal Variable Speed Drive</t>
  </si>
  <si>
    <t>Anne</t>
  </si>
  <si>
    <t>Cont IPM</t>
  </si>
  <si>
    <t>Water Cooled Centrifugal Magnetic Bearing (R134a)</t>
  </si>
  <si>
    <t>WC HFO</t>
  </si>
  <si>
    <t>Water Cooled Centrifugal HFO</t>
  </si>
  <si>
    <t>WC HV</t>
  </si>
  <si>
    <t>Water Cooled Centrifugal High Voltage</t>
  </si>
  <si>
    <t>Water Cooled Screw Constant Speed Drive</t>
  </si>
  <si>
    <t>WS VSD</t>
  </si>
  <si>
    <t>Water Cooled Screw Variable Speed Drive</t>
  </si>
  <si>
    <t>WS HP</t>
  </si>
  <si>
    <t>Water Cooled Screw Heat Pump</t>
  </si>
  <si>
    <t>WS HFO</t>
  </si>
  <si>
    <t>Water Cooled Screw HFO</t>
  </si>
  <si>
    <t>Air Cooled Screw Constant Speed Drive</t>
  </si>
  <si>
    <t>AS MB</t>
  </si>
  <si>
    <t>Air Cooled Magnetic Bearing</t>
  </si>
  <si>
    <t>Air Cooled Screw Variable Speed Drive</t>
  </si>
  <si>
    <t>Air Cooled Scroll/Water Cooled Scroll</t>
  </si>
  <si>
    <t>Air Handling Unit Standard</t>
  </si>
  <si>
    <t>AHU TB</t>
  </si>
  <si>
    <t>Air Handling Unit TB-1, TB-2</t>
  </si>
  <si>
    <t>Fan Coil Unit Decorative</t>
  </si>
  <si>
    <t>Fan Coil Unit Ducted</t>
  </si>
  <si>
    <t>```</t>
  </si>
  <si>
    <t>Remarks (per end of Nov21)</t>
  </si>
  <si>
    <t>FY22 Planning &amp; Budget Confimed (by 1 Dec 2021): Repeat Order</t>
  </si>
  <si>
    <t>FY22 Planning</t>
  </si>
  <si>
    <t>Kementerian ESDM</t>
  </si>
  <si>
    <t xml:space="preserve">Not clear whether possible booked under FY22 Budget/Not </t>
  </si>
  <si>
    <t>RSUP Persahabatan</t>
  </si>
  <si>
    <t>X</t>
  </si>
  <si>
    <t>Final Call : Repair, RC is cancelled</t>
  </si>
  <si>
    <t>Mahkamah Agung</t>
  </si>
  <si>
    <t>FY22 Planning (via Sparindo) tender moved tomid of Feb'22 from end of Dec'21 initial-plan</t>
  </si>
  <si>
    <t xml:space="preserve">Upgraded Status from E (in Oct) </t>
  </si>
  <si>
    <t>New Booking in Nov :  Change of Design affects to higher quotation</t>
  </si>
  <si>
    <t>BINUS Univeristy</t>
  </si>
  <si>
    <t>New Booking : FY22 Budgetting &amp; 1st Engagement at 19 Nov (via dealer)</t>
  </si>
  <si>
    <t>Yakult</t>
  </si>
  <si>
    <t>HINO Cikampek</t>
  </si>
  <si>
    <t>BP (via Tata-Metrika)</t>
  </si>
  <si>
    <t>EPL -IAQ</t>
  </si>
  <si>
    <t>N/A</t>
  </si>
  <si>
    <t xml:space="preserve">Rough Numbers (Est)-Survey Stage </t>
  </si>
  <si>
    <t>TransMart</t>
  </si>
  <si>
    <t>PT. Panasonic Gobel Energy</t>
  </si>
  <si>
    <t>PT. Fermentech Teknologi Ind</t>
  </si>
  <si>
    <t>Engineering Design : Try to propose more EPL</t>
  </si>
  <si>
    <t xml:space="preserve">Success Story : Stretch from IDR 714M Fcst </t>
  </si>
  <si>
    <t>Acacia Hotel</t>
  </si>
  <si>
    <t>LOST : Comparation w/FujiAire &amp; via Dealer</t>
  </si>
  <si>
    <t>Tarumanegara University</t>
  </si>
  <si>
    <t>Approach via Alumni to have engagement with end-user</t>
  </si>
  <si>
    <t>Upgraded Status from E (in Oct)</t>
  </si>
  <si>
    <t xml:space="preserve">New Booking </t>
  </si>
  <si>
    <t>AHU Replacement, Est. Quote (awaiting PPKM-level sustainability)</t>
  </si>
  <si>
    <t>Haneda</t>
  </si>
  <si>
    <t xml:space="preserve">Danone Mekarsari </t>
  </si>
  <si>
    <t>Re-Tender Process (HFO change spec.into HFC), submit new quote in Fab'22</t>
  </si>
  <si>
    <t>Danone Citeureup</t>
  </si>
  <si>
    <t>Danone-Brastagi</t>
  </si>
  <si>
    <t>Officially announced but no reason @ all</t>
  </si>
  <si>
    <t>Kansai Paint Plant</t>
  </si>
  <si>
    <t>Beatrix</t>
  </si>
  <si>
    <t>PO received by 25th Feb 2022</t>
  </si>
  <si>
    <t>RS Karunia Kasih</t>
  </si>
  <si>
    <t>Status Upgraded from E in Oct</t>
  </si>
  <si>
    <t>Ikapharmindo</t>
  </si>
  <si>
    <t>Agreed to be "the winner" in tender process. Revaluation on tech spec. (delta T)</t>
  </si>
  <si>
    <t>Bumi Mulia Indah Lestari</t>
  </si>
  <si>
    <t>BOT Proposal : BTPN (declined) now goes with Danamon (proposed by Finance)</t>
  </si>
  <si>
    <t>Villa Factory Semarang</t>
  </si>
  <si>
    <t>Split PO between RC and FCU</t>
  </si>
  <si>
    <t>Siloam Hospital</t>
  </si>
  <si>
    <t>Via Dealer- PO has been released but not to Arvin/appointed dealer (still investigating)</t>
  </si>
  <si>
    <t xml:space="preserve">Tender delayed into Feb due to units delayed arrival </t>
  </si>
  <si>
    <t>Built-up Project (shall be discussed at 07 Feb 22)</t>
  </si>
  <si>
    <t>Santos Premier Creamer</t>
  </si>
  <si>
    <t>Danone Manado</t>
  </si>
  <si>
    <t>ETEX Building Performance ID</t>
  </si>
  <si>
    <t>Kaltim Nitrate Indonesia</t>
  </si>
  <si>
    <t>Cahaya Adya Perkasa</t>
  </si>
  <si>
    <t>Sinar Sejahtera Inti</t>
  </si>
  <si>
    <t>Multimas Nabati Asahan</t>
  </si>
  <si>
    <t>Java SuperMall</t>
  </si>
  <si>
    <t>Arvin</t>
  </si>
  <si>
    <t>Trias Sentosa (via Davindo)</t>
  </si>
  <si>
    <t>Indopack Printing</t>
  </si>
  <si>
    <t>HIT Ratio :</t>
  </si>
  <si>
    <t xml:space="preserve">Notes : </t>
  </si>
  <si>
    <t>PO Secured</t>
  </si>
  <si>
    <t xml:space="preserve">N/A: </t>
  </si>
  <si>
    <t>Project Built-Up Process</t>
  </si>
  <si>
    <t xml:space="preserve">New Pipeline </t>
  </si>
  <si>
    <t>Not Good</t>
  </si>
  <si>
    <t>Total Pipeline Ops.</t>
  </si>
  <si>
    <t>NO</t>
  </si>
  <si>
    <t>STATUS</t>
  </si>
  <si>
    <t>CUSTOMER</t>
  </si>
  <si>
    <t>PROJECT NAME</t>
  </si>
  <si>
    <t>REMARK</t>
  </si>
  <si>
    <t>S</t>
  </si>
  <si>
    <t>PT DJK Indonesia</t>
  </si>
  <si>
    <t>Annual Service Absorption Chiller 2021 at NSI</t>
  </si>
  <si>
    <t>done</t>
  </si>
  <si>
    <t>Pergantian Kabel Main Switch Ch2 EWAD</t>
  </si>
  <si>
    <t>Panasonic Gobel Energy Indonesia</t>
  </si>
  <si>
    <t>Labour Annual Lebaran Brine Chiller</t>
  </si>
  <si>
    <t>JC done</t>
  </si>
  <si>
    <t>PT Airkon Pratama</t>
  </si>
  <si>
    <t>Replace Heater Oil Comp PFS Chiller 2, 3 &amp; 4 at PU PR</t>
  </si>
  <si>
    <t>UMN Serpong</t>
  </si>
  <si>
    <t>Recom Ch2 PFS Gedung A</t>
  </si>
  <si>
    <t>PO received, wait part</t>
  </si>
  <si>
    <t>Annual Chiller 1 UAA</t>
  </si>
  <si>
    <t>SPK received, wait spare part from factory</t>
  </si>
  <si>
    <t>Annual Chiller 2 UAA</t>
  </si>
  <si>
    <t>Annual Chiller 3 UAA</t>
  </si>
  <si>
    <t>PT KIK</t>
  </si>
  <si>
    <t>project Sakafarma, replace sensor EWAD</t>
  </si>
  <si>
    <t>Ins work April 2021 Absorp Chiller NSI</t>
  </si>
  <si>
    <t>PT Sanbe Farma Bandung</t>
  </si>
  <si>
    <t>SP-discharge sensor ALS</t>
  </si>
  <si>
    <t>SP-Sensor ambient ALS</t>
  </si>
  <si>
    <t>PT Loka Mampang Indah Realty</t>
  </si>
  <si>
    <t>SP-stock sensor ALS</t>
  </si>
  <si>
    <t>PT Clariant Indonesia</t>
  </si>
  <si>
    <t>Replace sensor and stock part UAA</t>
  </si>
  <si>
    <t>PT Sumber Guna Dinamis</t>
  </si>
  <si>
    <t>Replace Display HMI PFS</t>
  </si>
  <si>
    <t>PT Arya Jaya</t>
  </si>
  <si>
    <t>Annual Service PT Ceres UAA</t>
  </si>
  <si>
    <t>reschedule visit in August</t>
  </si>
  <si>
    <t>N</t>
  </si>
  <si>
    <t>PT Lautan Otsuka Chemical</t>
  </si>
  <si>
    <t>Annual Service Brine Chiller Daikin</t>
  </si>
  <si>
    <t>No response, plan to replace unit</t>
  </si>
  <si>
    <t>PT JGC Indonesia</t>
  </si>
  <si>
    <t>Repair 2 unit compressor dan PCB Inv VRV Daikin</t>
  </si>
  <si>
    <t>Ins work Juli 2021 Absorp Chiller NSI</t>
  </si>
  <si>
    <t>PO received</t>
  </si>
  <si>
    <t>SP-Stock spare part UWP Daikin</t>
  </si>
  <si>
    <t xml:space="preserve">PT Indonesia Epson Industry </t>
  </si>
  <si>
    <t>Replace EXV Driver Ch EWAD #Ch Kantin</t>
  </si>
  <si>
    <t>PT Senayan Trikarya Sempana</t>
  </si>
  <si>
    <t>Scalling Condenser Ch1 dan 3 PEH Plaza Senayan</t>
  </si>
  <si>
    <t>wait DP</t>
  </si>
  <si>
    <t>PT Panasonic Gobel Energy Indonesia</t>
  </si>
  <si>
    <t>Replace Compressor Brine Chiller No. 5</t>
  </si>
  <si>
    <t>wait part</t>
  </si>
  <si>
    <t>Labour Replace Comp Brine Chiller No. 5</t>
  </si>
  <si>
    <t>RS Columbia Pulomas</t>
  </si>
  <si>
    <t>Replace Contactor, Sol coil Ch1 UAA</t>
  </si>
  <si>
    <t>Replace Coil Solenoid Ch2-1 UAA</t>
  </si>
  <si>
    <t>PT TFJ Cimande</t>
  </si>
  <si>
    <t>SP-stock sensor temp</t>
  </si>
  <si>
    <t>SP-Coil Solenoid-Flow Switch</t>
  </si>
  <si>
    <t>SP-Phase protector</t>
  </si>
  <si>
    <t>SP-Transducer</t>
  </si>
  <si>
    <t>Poins Square</t>
  </si>
  <si>
    <t>Retrofit D3 to MX2 Ch1 WSC</t>
  </si>
  <si>
    <t>No response, waiting budget</t>
  </si>
  <si>
    <t>Replace Filter Tube Ch2 WSC</t>
  </si>
  <si>
    <t>Retrofit D3 to MX2 Ch4 OT2 WSC</t>
  </si>
  <si>
    <t>on going, JC estimated in Jan 22</t>
  </si>
  <si>
    <t>Replace Filter Tube Ch4 OT2 WSC</t>
  </si>
  <si>
    <t>SP-Stock sensor Brine Chiller</t>
  </si>
  <si>
    <t>Replace EXV &amp; Annual Service Ch Kantin #Ch EWAD</t>
  </si>
  <si>
    <t>Submit Quo, wait schedule shutdown</t>
  </si>
  <si>
    <t>Replace Evaporator Assy Chiller 2 #UAA</t>
  </si>
  <si>
    <t>Submit Quo, wait nego and SPK</t>
  </si>
  <si>
    <t>Recommisioning Chiller 1 MNG.070 plant Oncology</t>
  </si>
  <si>
    <t>RP-Perbaikan Unit VRV lantai 1</t>
  </si>
  <si>
    <t>SP-Control Module</t>
  </si>
  <si>
    <t>PT Haneda Indonesia</t>
  </si>
  <si>
    <t>RP-INS Unit UAL di PT Kotobukiya</t>
  </si>
  <si>
    <t>PO received, wait JC</t>
  </si>
  <si>
    <t>Ins work Sept 2021 Absorp Chiller NSI</t>
  </si>
  <si>
    <t>PT SPV</t>
  </si>
  <si>
    <t>SP-Oil Filter, Filter Drier</t>
  </si>
  <si>
    <t>PT Japfa Jambi</t>
  </si>
  <si>
    <t>SP-Stock Spare part UAL450</t>
  </si>
  <si>
    <t>SP-Stock Sensor dan Motor Induksi</t>
  </si>
  <si>
    <t>Done</t>
  </si>
  <si>
    <t>RP-Ins Unit UWP Daikin</t>
  </si>
  <si>
    <t>Ins work Nov 2021 Absorp Chiller NSI</t>
  </si>
  <si>
    <t>RP-Repair Leak &amp; Replacement Comp UWP Daikin</t>
  </si>
  <si>
    <t>SP-Pressure Switch</t>
  </si>
  <si>
    <t>PO received, hold RF cause outstanding payment</t>
  </si>
  <si>
    <t>PT Kimia Farma</t>
  </si>
  <si>
    <t>PT Indofood Palembang</t>
  </si>
  <si>
    <t>SP-Stock Part Chiller UAA</t>
  </si>
  <si>
    <t>RP-Repair Leak Comp2 Chiller 3</t>
  </si>
  <si>
    <t>Recommisioning Chiller 2 MNG.070 plant Oncology</t>
  </si>
  <si>
    <t>BSN Serpong - Gedung SNSU</t>
  </si>
  <si>
    <t>RP-Replace PVM &amp; Fan Motor</t>
  </si>
  <si>
    <t xml:space="preserve">Submit Quo, wait budget and nego </t>
  </si>
  <si>
    <t>Recommisioning Chiller 1 (2 Comp) MNG.070 plant Oncology</t>
  </si>
  <si>
    <t>PO, work on going, wait JC Feb</t>
  </si>
  <si>
    <t>PT Tatametrika Multitrada</t>
  </si>
  <si>
    <t>SP-Spare part sensor chiller Arcadia</t>
  </si>
  <si>
    <t>PO wait part</t>
  </si>
  <si>
    <t>PT Saka Farma</t>
  </si>
  <si>
    <t>Recommisioning Chiller 1, Chiller 2 dan Chiller 3</t>
  </si>
  <si>
    <t>PO, wait part and schedule shutdown</t>
  </si>
  <si>
    <t>SP-Annual Service Lebaran 2022</t>
  </si>
  <si>
    <t>PO, wait part</t>
  </si>
  <si>
    <t>RSUP Palembang</t>
  </si>
  <si>
    <t>RP-Replace Microtech III</t>
  </si>
  <si>
    <t>Submit Quo, wait budget</t>
  </si>
  <si>
    <t>RP-Recommisioning Ch3 Sys1</t>
  </si>
  <si>
    <t>PT Japfa</t>
  </si>
  <si>
    <t>SP-Spare Part Japfa Garut</t>
  </si>
  <si>
    <t>PO, part delivered to customer</t>
  </si>
  <si>
    <t>RP-Retrofit D3 to MX2 Ch2 &amp; Ch 3 OT3</t>
  </si>
  <si>
    <t>PO, JC done</t>
  </si>
  <si>
    <t>RP-Annual Service UAA105SV3 ( Rooftop )</t>
  </si>
  <si>
    <t>PT Indolakto Plant C1 Sukabumi</t>
  </si>
  <si>
    <t>RP-Ins unit Chiller dan AHU plant C1 Sukabumi</t>
  </si>
  <si>
    <t>PT Teksindo Delta Jaya</t>
  </si>
  <si>
    <t>RP-Replacement Spare Part CUWD60CS5Y PT Hybro Cianjur</t>
  </si>
  <si>
    <t>RP-Annual Shutdown at NSI 2022</t>
  </si>
  <si>
    <t>Submit Quo, wait PO, schedule in Feb</t>
  </si>
  <si>
    <t>SP-Chiller Kantin_EWAD</t>
  </si>
  <si>
    <t>RP-Replace Spare part control UAA at PT Ceres Bandung</t>
  </si>
  <si>
    <t>SP-Spare Part Japfa Kronjo Serang</t>
  </si>
  <si>
    <t>RS Columbia Asia Pulomas</t>
  </si>
  <si>
    <t>RP-Service besar FCU Daikin</t>
  </si>
  <si>
    <t>PO, done, wait JC</t>
  </si>
  <si>
    <t>SP-Sensor temp</t>
  </si>
  <si>
    <t>PO, done</t>
  </si>
  <si>
    <t xml:space="preserve">SP-Oil Filter </t>
  </si>
  <si>
    <t>SP-EXV driver</t>
  </si>
  <si>
    <t>SP-Heater Inverter</t>
  </si>
  <si>
    <t>SP-Oil Compressor</t>
  </si>
  <si>
    <t>RP-Replace Fan Condenser Chiller 1 Gedung E</t>
  </si>
  <si>
    <t>Submit Quo, wait budget and nego</t>
  </si>
  <si>
    <t>RP-Repair Indoor Unit FCU Gedung E</t>
  </si>
  <si>
    <t>RP-Repair Indoor Unit FCU Gedung B</t>
  </si>
  <si>
    <t>RP-Repair Indoor Unit FCU Gedung C</t>
  </si>
  <si>
    <t>SP-motor fan condenser ALS 2 unit plant Biology</t>
  </si>
  <si>
    <t>Submit Quo and nego wait PO</t>
  </si>
  <si>
    <t>RP-Replace TXV Chiller 1 ALS unit plant Biology</t>
  </si>
  <si>
    <t xml:space="preserve">Submit Quo and nego </t>
  </si>
  <si>
    <t>RP-Labour for Annual Service Honey Dry at Panasonic</t>
  </si>
  <si>
    <t>PO, on schedule estimasi JC March 22</t>
  </si>
  <si>
    <t>RP-Labour for Start up new Honey Dry No. 18 at Panasonic</t>
  </si>
  <si>
    <t>SP-Dehum Rotor Honey Dry at Panasonic</t>
  </si>
  <si>
    <t>PO, wait part estimasi in March 22</t>
  </si>
  <si>
    <t>RP-Replace Actuator Motorized Valve Chiller 2</t>
  </si>
  <si>
    <t xml:space="preserve">Submit Quo and wait nego </t>
  </si>
  <si>
    <t>SP-Ext Module</t>
  </si>
  <si>
    <t>SP-Sensor Temp</t>
  </si>
  <si>
    <t>Submit Quo, wait nego</t>
  </si>
  <si>
    <t>Daikin Applied System (DAPS)</t>
  </si>
  <si>
    <t>RP-Painting Heat Exchanger New NH3 Absorption Chiller plant 3AA</t>
  </si>
  <si>
    <t>PO, schedule early March</t>
  </si>
  <si>
    <t>RP- Replace EXV  &amp; annual maintenance</t>
  </si>
  <si>
    <t>wait PO, schedule in March waiting part TXV</t>
  </si>
  <si>
    <t>PT Automation Standard Component</t>
  </si>
  <si>
    <t>SP-Water Diff Pressure Switch project Epson</t>
  </si>
  <si>
    <t>PT Rayana Lima Anugerah</t>
  </si>
  <si>
    <t>SP-Oil Filter &amp; Sensor Temp project epi walk</t>
  </si>
  <si>
    <t>RP-Labour Repair AC Lt 1 s/d 3 di Gedung JGC</t>
  </si>
  <si>
    <t>Nego, wait PO</t>
  </si>
  <si>
    <t>PT Kalbe Farma</t>
  </si>
  <si>
    <t>RP-Replace Sensor &amp; Heater Ch1 Sys1</t>
  </si>
  <si>
    <t>SP-Refrigerant R-407 Brine Chiller No 9</t>
  </si>
  <si>
    <t>SP-Pressure Switch AHU</t>
  </si>
  <si>
    <t>RP- Chemical Cleaning for water installation Chiller</t>
  </si>
  <si>
    <t>PT South Pasific Viscose</t>
  </si>
  <si>
    <t>RP-Labour for Annual Chiller 1</t>
  </si>
  <si>
    <t>RP-Labour for Annual Chiller 3</t>
  </si>
  <si>
    <t xml:space="preserve">RP-Annual Service Brine Chiller Daikin Model GES #RF-501 </t>
  </si>
  <si>
    <t xml:space="preserve">RP-Annual Service Brine Chiller Daikin Model GES #RF-502 </t>
  </si>
  <si>
    <t>RP-Replace Kabel power Chiller 1</t>
  </si>
  <si>
    <t>Nego early March</t>
  </si>
  <si>
    <t>Rp-Replace Kabel power Chiller 3</t>
  </si>
  <si>
    <t xml:space="preserve">A </t>
  </si>
  <si>
    <t>BI Padang</t>
  </si>
  <si>
    <t>Repair (waiting part) ALS356.3</t>
  </si>
  <si>
    <t xml:space="preserve">S </t>
  </si>
  <si>
    <t>BNI46 BSD</t>
  </si>
  <si>
    <t>SP Chiller WME500</t>
  </si>
  <si>
    <t>Completed</t>
  </si>
  <si>
    <t>Gunung Geulis Hotel</t>
  </si>
  <si>
    <t>RP Annual Maintenance ch#2 UAA125</t>
  </si>
  <si>
    <t>Quotation has been sent</t>
  </si>
  <si>
    <t>BNI 46 Pejompongan</t>
  </si>
  <si>
    <t>RP Starter panel (order part) HTS113</t>
  </si>
  <si>
    <t>Repair ch#1 UAA125</t>
  </si>
  <si>
    <t>PT. Panasonic Industrial Compponents Ind</t>
  </si>
  <si>
    <t>Descaling Evap &amp; condenser tubes PFS350.3</t>
  </si>
  <si>
    <t>The Courts KHI</t>
  </si>
  <si>
    <t>RP Descalling condenser tubes PFS-CB 405</t>
  </si>
  <si>
    <t>RP Descaling Evap &amp; condenser tubes PFS350.3</t>
  </si>
  <si>
    <t>Mall Boxies 123</t>
  </si>
  <si>
    <t>RP Capacity transducer replacement HTS100</t>
  </si>
  <si>
    <t>Swadaya Pandu Artha (MAG)</t>
  </si>
  <si>
    <t>SP Chiller WDC126</t>
  </si>
  <si>
    <t>Pertamina Balongan RU VI</t>
  </si>
  <si>
    <t>RP Chiller and annual maintenance UAA105</t>
  </si>
  <si>
    <t>Mayora Indah (Jayanti 1)</t>
  </si>
  <si>
    <t>SP Chiller MCS105</t>
  </si>
  <si>
    <t>TDK Electronics</t>
  </si>
  <si>
    <t>SP Chiller( part delivered) PFS300.2</t>
  </si>
  <si>
    <t>Mayora Jayanti 1</t>
  </si>
  <si>
    <t>RP Chiller and annual maintenance(order part) UAA070</t>
  </si>
  <si>
    <t>ANZ Tower</t>
  </si>
  <si>
    <t>Annual Maintenance( negosiasi) HTS113</t>
  </si>
  <si>
    <t>RSUD Bogor</t>
  </si>
  <si>
    <t>RP Chiller UAA080</t>
  </si>
  <si>
    <t>BCA Alam Sutra</t>
  </si>
  <si>
    <t>RP Chiller UAA245</t>
  </si>
  <si>
    <t>GAC Samudra</t>
  </si>
  <si>
    <t>SP Chiller ALS241</t>
  </si>
  <si>
    <t>SP Chiller UAA125</t>
  </si>
  <si>
    <t>Mayora Jayanti 2</t>
  </si>
  <si>
    <t>RP Chiller No.1 UAA380</t>
  </si>
  <si>
    <t>RP Chiller No.2 (hold) UAA380</t>
  </si>
  <si>
    <t>RP Chiller No.3 UAA380</t>
  </si>
  <si>
    <t>RP Chiller CUWD100</t>
  </si>
  <si>
    <t>PPATK Harmoni</t>
  </si>
  <si>
    <t>RP Chiller UAL241</t>
  </si>
  <si>
    <t>Dintek</t>
  </si>
  <si>
    <t>RP Chiller and annual maintenance MCS105 2unit, PFS300 3unit</t>
  </si>
  <si>
    <t>OH Comp Chiller MCS050 (ch 1,2,3)</t>
  </si>
  <si>
    <t>Revised PO</t>
  </si>
  <si>
    <t>HDCI - Dover</t>
  </si>
  <si>
    <t>Loss</t>
  </si>
  <si>
    <t>OH Eddy Current Test PFS350 Ch 1,2,3,4,5</t>
  </si>
  <si>
    <t>RP Install Software PFS300.2</t>
  </si>
  <si>
    <t>Torabika Creamer</t>
  </si>
  <si>
    <t>SP Chiller HTS113</t>
  </si>
  <si>
    <t>Kementrian Kelautan dan Perikanan</t>
  </si>
  <si>
    <t>RP AC Sentral GMB 1 MDB500</t>
  </si>
  <si>
    <t>PO revision</t>
  </si>
  <si>
    <t>OH Compressor( order part ) CUWD100</t>
  </si>
  <si>
    <t>Nutrifood</t>
  </si>
  <si>
    <t>RP Chiller No. 1 NS (revisi quotation) ALS241</t>
  </si>
  <si>
    <t>RP Chiller No. 1 D(revisi quotation) ALS241</t>
  </si>
  <si>
    <t>Taiyo Sinar</t>
  </si>
  <si>
    <t>RP Chiller CUWD125</t>
  </si>
  <si>
    <t>British school Jakarta</t>
  </si>
  <si>
    <t>SP Chiller EWAD365</t>
  </si>
  <si>
    <t>BNI Pejompongan</t>
  </si>
  <si>
    <t>RP Chiller No. 1(PCO module) HTS100</t>
  </si>
  <si>
    <t>Joint PO with repair ch 2</t>
  </si>
  <si>
    <t>SP Chiller ( sensor ) UAA380</t>
  </si>
  <si>
    <t>PO Received</t>
  </si>
  <si>
    <t>SP Mini Chiller ( Fan Motor ) UAL241</t>
  </si>
  <si>
    <t>Diandra (Pertamina Balongan)</t>
  </si>
  <si>
    <t>SP Chiller UAA105</t>
  </si>
  <si>
    <t>SP Chiller UAA240</t>
  </si>
  <si>
    <t>Akasha Wira</t>
  </si>
  <si>
    <t>Panasonic Tapos</t>
  </si>
  <si>
    <t>SP Chiller UAM60</t>
  </si>
  <si>
    <t>OH Comp 3.1 Chiller WDC126</t>
  </si>
  <si>
    <t>Mayora UB</t>
  </si>
  <si>
    <t>SP Chiller UAL241</t>
  </si>
  <si>
    <t>BNI BSD ( Tangguh Swakarsa Mandiri )</t>
  </si>
  <si>
    <t>RP Chiller WME500</t>
  </si>
  <si>
    <t>RP Chiller ALS241</t>
  </si>
  <si>
    <t>RP Chiller WDC126</t>
  </si>
  <si>
    <t>Kantor Walikota Jakarta Barat</t>
  </si>
  <si>
    <t>RP Chiller ALS356</t>
  </si>
  <si>
    <t>Quotation has been sent/budget 2022</t>
  </si>
  <si>
    <t>Mayora Jatake</t>
  </si>
  <si>
    <t>Abinatha Mugia-JNE Tower</t>
  </si>
  <si>
    <t>RP Chiller PFS-CB 405</t>
  </si>
  <si>
    <t>Sun City</t>
  </si>
  <si>
    <t>RP Chiller MCS185</t>
  </si>
  <si>
    <t>Karuniatama Polypack</t>
  </si>
  <si>
    <t>RP Chiller UAA125</t>
  </si>
  <si>
    <t>RP Chiller UAM60</t>
  </si>
  <si>
    <t>GITC</t>
  </si>
  <si>
    <t>RP Chiller ALS296</t>
  </si>
  <si>
    <t>Tender done</t>
  </si>
  <si>
    <t>KWK Jakbar</t>
  </si>
  <si>
    <t>Panasonic Industrial Component - Cibitung</t>
  </si>
  <si>
    <t>RP Chiller, Re-tubing Chiller PFS300.3 - ch 1</t>
  </si>
  <si>
    <t>RP Chiller, Re-tubing Chiller PFS300.3 - ch 2</t>
  </si>
  <si>
    <t>RP Chiller, Re-tubing Chiller PFS300.3 - ch 4</t>
  </si>
  <si>
    <t>RP Chiller, Re-tubing Chiller PFS300.3 - ch 5</t>
  </si>
  <si>
    <t>Eisai</t>
  </si>
  <si>
    <t>RP Chiller MCS100</t>
  </si>
  <si>
    <t>Rockpaint</t>
  </si>
  <si>
    <t>RP Chiller UWAXP37</t>
  </si>
  <si>
    <t>Menara ANZ</t>
  </si>
  <si>
    <t>Annually Maintenance HTS100</t>
  </si>
  <si>
    <t>BRI Kanwil Bandung</t>
  </si>
  <si>
    <t>RP Chiller PFS100</t>
  </si>
  <si>
    <t>Ichikoh</t>
  </si>
  <si>
    <t>Rp Chiller UAA105</t>
  </si>
  <si>
    <t>GMB 1</t>
  </si>
  <si>
    <t>RP AC Sentral GMB 1 Lt.6 MDB500</t>
  </si>
  <si>
    <t>RP AC Sentral GMB 1 Lt.7 MDB500</t>
  </si>
  <si>
    <t>KPP Menteng</t>
  </si>
  <si>
    <t>Rp Chiller ALS241 ch 2&amp;3</t>
  </si>
  <si>
    <t>Dover Chemical</t>
  </si>
  <si>
    <t>General Inspection CUWD300</t>
  </si>
  <si>
    <t>RP Chiller CUWD300</t>
  </si>
  <si>
    <t>Annually Maintenance EWAD365</t>
  </si>
  <si>
    <t>BCA Foresta</t>
  </si>
  <si>
    <t>RP Chiller HTXE400</t>
  </si>
  <si>
    <t>Dirgantara Indonesia</t>
  </si>
  <si>
    <t>Budiman Sejahtera Development(ANZ)</t>
  </si>
  <si>
    <t>Annually Chiller HTS100</t>
  </si>
  <si>
    <t>BNI 46 BSD</t>
  </si>
  <si>
    <t>RP Chiller 1-2-3 , WME500</t>
  </si>
  <si>
    <t>RP Chiller 1&amp;2 EWAD330</t>
  </si>
  <si>
    <t>PO SP Chiller MODUL MT3021 POL94U.00/MCQ XMZ</t>
  </si>
  <si>
    <t>WIK Far East Batam</t>
  </si>
  <si>
    <t>SP AC Sentral/Cassete Daikin ASSY, MOTOR MCK50EW</t>
  </si>
  <si>
    <t>Sari Roti Jababek</t>
  </si>
  <si>
    <t>OH Comp Chiller</t>
  </si>
  <si>
    <t>Repair Mini Chiller UAL 4 unit</t>
  </si>
  <si>
    <t>SP Chiller Sensor Temp Head</t>
  </si>
  <si>
    <t>Emblem ASIA 1</t>
  </si>
  <si>
    <t>Inspect Chiller CUWD060 alarm</t>
  </si>
  <si>
    <t>OH Comp Chiller CUWD060</t>
  </si>
  <si>
    <t>SP Chiller - MOTOR YDK1200-6AD-1 1.2KW</t>
  </si>
  <si>
    <t>SP Chiller, Pressure transducer &amp; Sensor Temperature</t>
  </si>
  <si>
    <t>RP Chiller UAA105</t>
  </si>
  <si>
    <t>SP Chiller Temp Sensor</t>
  </si>
  <si>
    <t>SP. Cover Box Water</t>
  </si>
  <si>
    <t>RP Cleaning/Descaling Condenser CUWD160 2 unit</t>
  </si>
  <si>
    <t>Torabika Instant</t>
  </si>
  <si>
    <t>Inspect Chiller PFS300.2</t>
  </si>
  <si>
    <t>SP Sensor Temperature</t>
  </si>
  <si>
    <t>PT Pundi Karya Mandiri</t>
  </si>
  <si>
    <t>SP Chiller - Torabika Creamer</t>
  </si>
  <si>
    <t>Dintek Jatibaru</t>
  </si>
  <si>
    <t xml:space="preserve">RP- Annual Maintenance </t>
  </si>
  <si>
    <t>RP Chiller GMB 2 WSC084</t>
  </si>
  <si>
    <t>Resend Update Quotations</t>
  </si>
  <si>
    <t xml:space="preserve">Proses pengajuan anggaran </t>
  </si>
  <si>
    <t>Air Nav</t>
  </si>
  <si>
    <t>RP Chiller MNG107</t>
  </si>
  <si>
    <t>Eddy Current test PFS300.2</t>
  </si>
  <si>
    <t>Annually UAA080</t>
  </si>
  <si>
    <t>RP Chiller No1 , ALS196</t>
  </si>
  <si>
    <t>PT. ROKI</t>
  </si>
  <si>
    <t>Annually Chiller UAA105</t>
  </si>
  <si>
    <t>SP Chiller UAA 325</t>
  </si>
  <si>
    <t>Proses SPK</t>
  </si>
  <si>
    <t xml:space="preserve">Terminal 3 </t>
  </si>
  <si>
    <t xml:space="preserve">Replacement Part </t>
  </si>
  <si>
    <t>SPK received</t>
  </si>
  <si>
    <t xml:space="preserve">Kemenkes </t>
  </si>
  <si>
    <t xml:space="preserve">Repair and Part </t>
  </si>
  <si>
    <t xml:space="preserve">Gunze </t>
  </si>
  <si>
    <t xml:space="preserve">Replacement oil Filter </t>
  </si>
  <si>
    <t>waiting budget , budget 2021</t>
  </si>
  <si>
    <t xml:space="preserve">Stanley  Indonnesia </t>
  </si>
  <si>
    <t>Replace Oits</t>
  </si>
  <si>
    <t>waiting budget , budget 2022</t>
  </si>
  <si>
    <t>Bank Indonesia</t>
  </si>
  <si>
    <t xml:space="preserve">Repalcement comp </t>
  </si>
  <si>
    <t>Japfa  ( tebing  )</t>
  </si>
  <si>
    <t xml:space="preserve">part </t>
  </si>
  <si>
    <t>Japfa  ( tanjung merawa )</t>
  </si>
  <si>
    <t>Terminal 3 , by APS</t>
  </si>
  <si>
    <t xml:space="preserve">chiller 3 dan 5 </t>
  </si>
  <si>
    <t>chiller 2 dan 4</t>
  </si>
  <si>
    <t xml:space="preserve">sliontec </t>
  </si>
  <si>
    <t>Part Only</t>
  </si>
  <si>
    <t xml:space="preserve">Kertajati </t>
  </si>
  <si>
    <t xml:space="preserve">Annual maintenace </t>
  </si>
  <si>
    <t xml:space="preserve">Unicharm Napkins </t>
  </si>
  <si>
    <t>reapir AHU</t>
  </si>
  <si>
    <t xml:space="preserve">loss , local vendor , </t>
  </si>
  <si>
    <t xml:space="preserve">Unicharm Baby </t>
  </si>
  <si>
    <t>replace cond chiller 1 baby</t>
  </si>
  <si>
    <t xml:space="preserve">waiting Budget priority part </t>
  </si>
  <si>
    <t xml:space="preserve">RSCM Kencana </t>
  </si>
  <si>
    <t xml:space="preserve">chiller 1 3 dan 4 Repair </t>
  </si>
  <si>
    <t xml:space="preserve">qbig </t>
  </si>
  <si>
    <t>Replacement  oitS</t>
  </si>
  <si>
    <t xml:space="preserve">RS Mayapada </t>
  </si>
  <si>
    <t>repair chiller 1</t>
  </si>
  <si>
    <t xml:space="preserve">negosiasi </t>
  </si>
  <si>
    <t xml:space="preserve">Gelora Bung Karno </t>
  </si>
  <si>
    <t xml:space="preserve">Repair </t>
  </si>
  <si>
    <t xml:space="preserve">Tender </t>
  </si>
  <si>
    <t xml:space="preserve">RSCM Kirana </t>
  </si>
  <si>
    <t>Repair chiller 3</t>
  </si>
  <si>
    <t xml:space="preserve">PO </t>
  </si>
  <si>
    <t xml:space="preserve">Anpa international </t>
  </si>
  <si>
    <t xml:space="preserve">Part sock </t>
  </si>
  <si>
    <t xml:space="preserve">Pt stanley Indonesia </t>
  </si>
  <si>
    <t xml:space="preserve">DPRD Riau </t>
  </si>
  <si>
    <t xml:space="preserve">Unicharm baby </t>
  </si>
  <si>
    <t xml:space="preserve">SKF Indonesia </t>
  </si>
  <si>
    <t>Repair ,reguator oil ch 1</t>
  </si>
  <si>
    <t xml:space="preserve">Alamanda tower </t>
  </si>
  <si>
    <t>Repair ch 1</t>
  </si>
  <si>
    <t>Gedung Cyber</t>
  </si>
  <si>
    <t>Repair leaks chiller</t>
  </si>
  <si>
    <t>submit quotation, wait nego</t>
  </si>
  <si>
    <t>MC PET Indonesia</t>
  </si>
  <si>
    <t>Spare Part UAA ( Compressor )</t>
  </si>
  <si>
    <t xml:space="preserve">Indorama </t>
  </si>
  <si>
    <t xml:space="preserve">repair pilot Ekspansi Chiller 5 sphinning </t>
  </si>
  <si>
    <t xml:space="preserve">Indo Jaya ( Japfa Tanjung Merawa ) </t>
  </si>
  <si>
    <t xml:space="preserve">Repair ch 1 ( leaktes dan ganti oil </t>
  </si>
  <si>
    <t xml:space="preserve">waiting budget 2022 </t>
  </si>
  <si>
    <t>repair leak ch 1 dan chiller 4</t>
  </si>
  <si>
    <t>terminal 3</t>
  </si>
  <si>
    <t>repair leak  chiller 2 dan 4</t>
  </si>
  <si>
    <t>Quotation sent</t>
  </si>
  <si>
    <t xml:space="preserve">repair /modifikasi Busbar </t>
  </si>
  <si>
    <t>MC PT Indonesia</t>
  </si>
  <si>
    <t xml:space="preserve">part fast moving UAA and EWAD </t>
  </si>
  <si>
    <t xml:space="preserve">Tawada Healthy </t>
  </si>
  <si>
    <t xml:space="preserve">cleaning condenser / scalling </t>
  </si>
  <si>
    <t xml:space="preserve">Asia Pasific fibers </t>
  </si>
  <si>
    <t>leak test chiller 4</t>
  </si>
  <si>
    <t xml:space="preserve">DNP indonesia </t>
  </si>
  <si>
    <t xml:space="preserve">Leak test CUWD </t>
  </si>
  <si>
    <t xml:space="preserve">reapir leaktest </t>
  </si>
  <si>
    <t xml:space="preserve">Indorama  </t>
  </si>
  <si>
    <t xml:space="preserve">sphinning 5 eddy curent test </t>
  </si>
  <si>
    <t xml:space="preserve">indorama </t>
  </si>
  <si>
    <t xml:space="preserve">repair oil line sphining 3 </t>
  </si>
  <si>
    <t xml:space="preserve">Mayapada </t>
  </si>
  <si>
    <t xml:space="preserve">repair terminal stud ch 4 </t>
  </si>
  <si>
    <t xml:space="preserve">unicharm </t>
  </si>
  <si>
    <t>Part Modul display UAA</t>
  </si>
  <si>
    <t>submit Quotations and Negosisasi</t>
  </si>
  <si>
    <t xml:space="preserve">Pt Global Vista </t>
  </si>
  <si>
    <t xml:space="preserve">repair part ( sensor and flow switch ) </t>
  </si>
  <si>
    <t xml:space="preserve">part fast moving </t>
  </si>
  <si>
    <t xml:space="preserve">Garuda Maintenace  Facilty </t>
  </si>
  <si>
    <t xml:space="preserve">Annual maintenance chiller MCS </t>
  </si>
  <si>
    <t xml:space="preserve">repair leak </t>
  </si>
  <si>
    <t xml:space="preserve">Sliontec </t>
  </si>
  <si>
    <t xml:space="preserve">Part </t>
  </si>
  <si>
    <t xml:space="preserve">Angkasa Pura solutions </t>
  </si>
  <si>
    <t xml:space="preserve">Repair chiller no 2 Terminal 3 soetta </t>
  </si>
  <si>
    <t xml:space="preserve">Brastagi Medan </t>
  </si>
  <si>
    <t xml:space="preserve"> A </t>
  </si>
  <si>
    <t>PPATK Cimanggis</t>
  </si>
  <si>
    <t xml:space="preserve">Part/Repair </t>
  </si>
  <si>
    <t xml:space="preserve"> C </t>
  </si>
  <si>
    <t>RSUD Tangerang</t>
  </si>
  <si>
    <t xml:space="preserve">Part/Repair CH.1,2,3 </t>
  </si>
  <si>
    <t>Pasar Tanah Abang</t>
  </si>
  <si>
    <t>Repair Chiller 2 F-2</t>
  </si>
  <si>
    <t>RS Omni</t>
  </si>
  <si>
    <t>Part/Repair</t>
  </si>
  <si>
    <t xml:space="preserve"> E </t>
  </si>
  <si>
    <t>Coca Cola Cikedokan/Coca Cola Bandung</t>
  </si>
  <si>
    <t xml:space="preserve">RS Yarsi </t>
  </si>
  <si>
    <t xml:space="preserve"> Done </t>
  </si>
  <si>
    <t>Intermustika</t>
  </si>
  <si>
    <t>YKK3</t>
  </si>
  <si>
    <t>Plasindo</t>
  </si>
  <si>
    <t>Part/Repair CH,3,4</t>
  </si>
  <si>
    <t xml:space="preserve"> Submit quotation (CH.3 &amp; 4 ) ( Tunggu Buget )</t>
  </si>
  <si>
    <t>Menara Palma</t>
  </si>
  <si>
    <t>Part</t>
  </si>
  <si>
    <t>Part MDS</t>
  </si>
  <si>
    <t>Penstone</t>
  </si>
  <si>
    <t>Pasar Jatinegara</t>
  </si>
  <si>
    <t>Airbox (Project Toyota Indonesia )</t>
  </si>
  <si>
    <t>Loss ( Belum ada informasi )</t>
  </si>
  <si>
    <t>Asset Pacific ( Menara Salemba )</t>
  </si>
  <si>
    <t xml:space="preserve"> Loss (Customer beli compressor di toko) </t>
  </si>
  <si>
    <t>Bogasari</t>
  </si>
  <si>
    <t>RS Tangerang</t>
  </si>
  <si>
    <t>Part/Repair Replace Comp Split Duct</t>
  </si>
  <si>
    <t>Cargil</t>
  </si>
  <si>
    <t>Metic Mall</t>
  </si>
  <si>
    <t xml:space="preserve"> D </t>
  </si>
  <si>
    <t>Hotel Sultan</t>
  </si>
  <si>
    <t xml:space="preserve"> PO Waiting part </t>
  </si>
  <si>
    <t>Atkomindo</t>
  </si>
  <si>
    <t>Wirajaya ( Yamaha Musik )</t>
  </si>
  <si>
    <t>Loss (tidak ada informasi)</t>
  </si>
  <si>
    <t>Timbul Harapan Setosa</t>
  </si>
  <si>
    <t>RSUP Fatmawati</t>
  </si>
  <si>
    <t>Part/Repair  Annual Shutdown CH,2&amp;3</t>
  </si>
  <si>
    <t>Part/Repair CH,.2 &amp; 3</t>
  </si>
  <si>
    <t>Convergence</t>
  </si>
  <si>
    <t>Part/Repair Annual Maintenance CH.1</t>
  </si>
  <si>
    <t>Part/Repair Annual Shutdown</t>
  </si>
  <si>
    <t>Loss ( Unit Chiller Diganti sdh PO ke  Faiz )</t>
  </si>
  <si>
    <t>Kharisma Tehnik Utama</t>
  </si>
  <si>
    <t>Indoagri Daitocacao</t>
  </si>
  <si>
    <t>Imecon Anugerah Perkasa</t>
  </si>
  <si>
    <t>Spare Part UPS ( Fermentech )</t>
  </si>
  <si>
    <t>Oakwood</t>
  </si>
  <si>
    <t>Anzen Pakarindo</t>
  </si>
  <si>
    <t>Part ( HPM )</t>
  </si>
  <si>
    <t>RSUP Jamil Padang</t>
  </si>
  <si>
    <t>Inspection Unit MDS</t>
  </si>
  <si>
    <t>Mabes Polri</t>
  </si>
  <si>
    <t>Part/Repair Contactor dan control ALS495.4</t>
  </si>
  <si>
    <t>CV Mega Teknik Palembang</t>
  </si>
  <si>
    <t>Narumi</t>
  </si>
  <si>
    <t>Part/Repair Leak UAA070.1</t>
  </si>
  <si>
    <t>Part ZUW305DM</t>
  </si>
  <si>
    <t>Part MCS050.IFST2</t>
  </si>
  <si>
    <t>Part/ Repair ALS 142.2 SEST</t>
  </si>
  <si>
    <t>Submit quotation Buget Th 2022</t>
  </si>
  <si>
    <t>Part/ Repair Unit MDS</t>
  </si>
  <si>
    <t>Loss ( Rencana diganti Unit )</t>
  </si>
  <si>
    <t>Part MDS (Compressor)</t>
  </si>
  <si>
    <t>Part Split Duct (Motor Fan )</t>
  </si>
  <si>
    <t>Part (Refrigerant )</t>
  </si>
  <si>
    <t>Part (Compressor)</t>
  </si>
  <si>
    <t>Shinanoa</t>
  </si>
  <si>
    <t>Inspection Unit UAL</t>
  </si>
  <si>
    <t>Kansai</t>
  </si>
  <si>
    <t>Annual Maintenance UAA080</t>
  </si>
  <si>
    <t>Fermentech</t>
  </si>
  <si>
    <t>Annual Maintenance ( CH-B&amp; C ) (Spare Part)</t>
  </si>
  <si>
    <t>Annual Maintenance ( CH-B&amp; C ) ( Labour )</t>
  </si>
  <si>
    <t>Part/ Repair WSC126</t>
  </si>
  <si>
    <t>Part/ Repair ZUW305DM</t>
  </si>
  <si>
    <t>Nova Chemie</t>
  </si>
  <si>
    <t>Part/ Repair UAL210</t>
  </si>
  <si>
    <t xml:space="preserve">Submit Quotation </t>
  </si>
  <si>
    <t>Part MDS (Modul Indoor &amp; Outdoor MDS)</t>
  </si>
  <si>
    <t>Part Split Duct (Condenser Split Duct )</t>
  </si>
  <si>
    <t>Hypermart Serpong</t>
  </si>
  <si>
    <t>Annual Maintenance Unit MCS200.2FST4</t>
  </si>
  <si>
    <t>Loss ( info dikerjakan vendor lain )</t>
  </si>
  <si>
    <t>RS. Omni Pekayon</t>
  </si>
  <si>
    <t xml:space="preserve">Replace Part Sensor &amp; Modul Chiller ZUWY4F2BFD3E2F4L2N No.1 </t>
  </si>
  <si>
    <t>Koito</t>
  </si>
  <si>
    <t>Annual Maintenance Unit CUWD1008B5Y</t>
  </si>
  <si>
    <t>Kewalram Indonesia</t>
  </si>
  <si>
    <t>Penggantian Spare Part Tranducer &amp; Oli  Unit Chiller PFS 150</t>
  </si>
  <si>
    <t>Part (Motor Fan Condenser Chiller Mc Quay ALS241.2 XEXN)</t>
  </si>
  <si>
    <t>PT. PHC COMBIPHAR</t>
  </si>
  <si>
    <t>Annual Shutdown Replace Oli Unit Chiller Daikin UAA291.SV3 ( 2 Unit )</t>
  </si>
  <si>
    <t>HPM</t>
  </si>
  <si>
    <t>Annual Shutdown Replace Oli  1 Unit Chiller UAA220ST3M-FBB</t>
  </si>
  <si>
    <t>PT. Toyota TsushoMechanical &amp; Engineering Service Indinesia</t>
  </si>
  <si>
    <t>Scalling 1 Unit Chiller Daikin UWP900A</t>
  </si>
  <si>
    <t>Penggantian Spare Part BPHE Unit Chiller UWYP500AYE</t>
  </si>
  <si>
    <t>Descalling Condenser dan Cleaning Filter Strainer 3 Unit Chiller Daikin HTS087MAU49F</t>
  </si>
  <si>
    <t>Loss (Info sudah dikerjakan vendor lain)</t>
  </si>
  <si>
    <t>Rumah Tinggal Bp. Hironemus</t>
  </si>
  <si>
    <t>Part Motor Fan Condenser Unit MDS150B</t>
  </si>
  <si>
    <t xml:space="preserve"> Universitas Prasetya Mulya</t>
  </si>
  <si>
    <t>Replace Soft Start Board  ( HTMXEDT5G )</t>
  </si>
  <si>
    <t>PTTEP Malunda</t>
  </si>
  <si>
    <t xml:space="preserve">Part Unit MWH030 </t>
  </si>
  <si>
    <t>PT. Astra Daihatsu Motor</t>
  </si>
  <si>
    <t>Labour Service</t>
  </si>
  <si>
    <t>Part Stock (Sensor)</t>
  </si>
  <si>
    <t>Rumah Sakit Bunda ( Philip )</t>
  </si>
  <si>
    <t>Repair leak mini Chiller Daikin RUR13NY14</t>
  </si>
  <si>
    <t>Replace Sensor Entering Daikin RUR13NY14</t>
  </si>
  <si>
    <t>Telkom Witel Jakarta Pusat</t>
  </si>
  <si>
    <t>Annual Maintenance &amp; Penggantian Part Sensor,Control Modul Ultacap UAA120 1FST4</t>
  </si>
  <si>
    <t>Info SPK received dipertengahan bulan November</t>
  </si>
  <si>
    <t>Novotel Pekanbaru</t>
  </si>
  <si>
    <t>Penggantian Part Van Drive Motor &amp; Print Circuit Board Unit Chiller CUWD220B5Y</t>
  </si>
  <si>
    <t>Pajak Gatot Subroto</t>
  </si>
  <si>
    <t>Scalling Evaporator Chiller WSC 100 No.1,2,3,4</t>
  </si>
  <si>
    <t>Scalling Condensor Chiller WSC 100 No.1,2,3,4</t>
  </si>
  <si>
    <t>Retrofit Control &amp; Annual Chiller No.1 WSC100</t>
  </si>
  <si>
    <t>Annual Shutdown Chiller No.2 WSC100</t>
  </si>
  <si>
    <t>Vaksindo</t>
  </si>
  <si>
    <t>Spare Part Oil Dasi B ( ZUWY5K2JF-JKE2FAL2N )</t>
  </si>
  <si>
    <t>Labour Penambahan Oil Compressor</t>
  </si>
  <si>
    <t>YKK1</t>
  </si>
  <si>
    <t>Replacement Compressor &amp; Part Unit Split Duct</t>
  </si>
  <si>
    <t>Replacement Part Unit MWH025</t>
  </si>
  <si>
    <t>Part/Repair Annual Maintenance ( ALS 495.4.SEST3 / INUGJ000008 ( CHILLER NO. 2 )</t>
  </si>
  <si>
    <t>Replacement Part Chiller No. 3 Mc Quay ALS241.2 XEXN</t>
  </si>
  <si>
    <t>Replacement Part Chiller No. 4 Mc Quay ALS241.2 XEXN</t>
  </si>
  <si>
    <t>Bekaert</t>
  </si>
  <si>
    <t>Spare Part Tranducer WSC087</t>
  </si>
  <si>
    <t>Part Sensor UAL340</t>
  </si>
  <si>
    <t>BCS Mall Batam</t>
  </si>
  <si>
    <t>Spare Part Tranformer WSC063</t>
  </si>
  <si>
    <t>Scalling Condensor Chiller CUW40</t>
  </si>
  <si>
    <t>Inoac</t>
  </si>
  <si>
    <t>Spare Part Sensor Themp Chiller UAA070</t>
  </si>
  <si>
    <t>Compressor Split Wall</t>
  </si>
  <si>
    <t>Kohno</t>
  </si>
  <si>
    <t>Repair Leak Unit UWJ600AYE</t>
  </si>
  <si>
    <t>Bekart</t>
  </si>
  <si>
    <t>Spare part</t>
  </si>
  <si>
    <t>Zalwa (Universitas Tarumanegara)</t>
  </si>
  <si>
    <t>Replace part ( Retrifit control chiller no.1 ) ALS</t>
  </si>
  <si>
    <t>Repair Leak Evaporator UAA125</t>
  </si>
  <si>
    <t>Spare Part</t>
  </si>
  <si>
    <t>Hotel Gunawarman</t>
  </si>
  <si>
    <t>Replacement Compressor Digital MDS</t>
  </si>
  <si>
    <t>Replacement part Chiller No.1</t>
  </si>
  <si>
    <t>Spare part ( Remot Control UAL )</t>
  </si>
  <si>
    <t>Fermentech (Imecon)</t>
  </si>
  <si>
    <t>Labour Install UPS New Chiller</t>
  </si>
  <si>
    <t>Spare part (Sensor Themp UAA080.1FST4)</t>
  </si>
  <si>
    <t>Spare part (UAA070.1FST4)</t>
  </si>
  <si>
    <t>NCU (Graha Kirana)</t>
  </si>
  <si>
    <t>Spare part MT3021</t>
  </si>
  <si>
    <t>Hitachi (HCMI)</t>
  </si>
  <si>
    <t>Replacement Part UWAP375AY3</t>
  </si>
  <si>
    <t>Labour install motor fan AHU</t>
  </si>
  <si>
    <t>YKK5</t>
  </si>
  <si>
    <t>Part Overhaul Compressor UWAP100BY1 ( CH-A ) Comp No.1  &amp; Part Annual Shutdown Comp. No.2, CH.2 Comp No.1</t>
  </si>
  <si>
    <t>Part Overhaul Compressor UWAP100BY1 ( CH-A ) Comp No.1</t>
  </si>
  <si>
    <t>Part Overhaul Compressor UWAP100BY1 ( CH-B ) Comp No.2</t>
  </si>
  <si>
    <t>Toyota</t>
  </si>
  <si>
    <t>Annual Shutdown UAA070.1FST4</t>
  </si>
  <si>
    <t>Overhaul Compressor UWAP100BY1 ( CH-A )</t>
  </si>
  <si>
    <t>Replacement Part UAP100</t>
  </si>
  <si>
    <t>Compressor UWAP100BY1</t>
  </si>
  <si>
    <t>Annual Maintenance UWAP100BY1 Chiller No.2 &amp; 1</t>
  </si>
  <si>
    <t>Replacement Evaporator UAA125</t>
  </si>
  <si>
    <t>Graha Iskandarsyah</t>
  </si>
  <si>
    <t>Repair dan Retrofit Control Chiller ALS163.2SEST</t>
  </si>
  <si>
    <t>Replacement Part Chiller No.1 Daikin HTS087MAU49F</t>
  </si>
  <si>
    <t>Combiphare Padalarang</t>
  </si>
  <si>
    <t>Annual Shutdown UAA220</t>
  </si>
  <si>
    <t>Repair Leak Split Duct</t>
  </si>
  <si>
    <t>PT.Sunrise Bumi tekstil</t>
  </si>
  <si>
    <t>RP-WSC-Part contactor and labor</t>
  </si>
  <si>
    <t>Loss/part local</t>
  </si>
  <si>
    <t>PT.Dabi Oleo Dumai</t>
  </si>
  <si>
    <t>INS-CUWD-Inspection start up  chiller 3 unit</t>
  </si>
  <si>
    <t>Wait budget</t>
  </si>
  <si>
    <t>MB Plumbon</t>
  </si>
  <si>
    <t>RP-WSC087Replecement water box 2 chiller</t>
  </si>
  <si>
    <t>Hold ( Covid )</t>
  </si>
  <si>
    <t>RS USU</t>
  </si>
  <si>
    <t>OH-Overhoul WSC087/replace comp assy</t>
  </si>
  <si>
    <t>Waiting SPK</t>
  </si>
  <si>
    <t xml:space="preserve">KSO ADHI </t>
  </si>
  <si>
    <t>RP-UAA80-DDT MANGGARAI/replace EVD</t>
  </si>
  <si>
    <t>Done/recived paymement</t>
  </si>
  <si>
    <t>Daikin Factory</t>
  </si>
  <si>
    <t>RP-CUWD-RS Harapan Kita/Oil idemitsu</t>
  </si>
  <si>
    <t>Done /payment</t>
  </si>
  <si>
    <t>Parametrik presisi</t>
  </si>
  <si>
    <t xml:space="preserve">SP-UAL-Sensor Unit </t>
  </si>
  <si>
    <t>RS Adam Malik</t>
  </si>
  <si>
    <t>MDS240-RP-Repair AC RS Adam Malik (5 &amp; 7)</t>
  </si>
  <si>
    <t>Nipro</t>
  </si>
  <si>
    <t>SP-Tranduser low pressure</t>
  </si>
  <si>
    <t>Done/payment</t>
  </si>
  <si>
    <t>Supra ferbindo farma</t>
  </si>
  <si>
    <t>SP-CUWD80-Annual service</t>
  </si>
  <si>
    <t>RSUD Ciracas</t>
  </si>
  <si>
    <t xml:space="preserve">RP-Split wall-Repair AC </t>
  </si>
  <si>
    <t>RP-CUWD80- Labor Annual+ scaling</t>
  </si>
  <si>
    <t>PT Nanyang</t>
  </si>
  <si>
    <t xml:space="preserve">SP-ACSON AMAC-Sensor Discharge temp </t>
  </si>
  <si>
    <t>RSUD DEPOK</t>
  </si>
  <si>
    <t>RP-UAL sensor ,flowswitcth,inverter ABB</t>
  </si>
  <si>
    <t>40.000.000</t>
  </si>
  <si>
    <t>submit quotation/waiting bugjet</t>
  </si>
  <si>
    <t>Tristart</t>
  </si>
  <si>
    <t>RP-UAL210,Repair leak (labor)</t>
  </si>
  <si>
    <t>Job complete</t>
  </si>
  <si>
    <t>SP-UAL210,Sensor</t>
  </si>
  <si>
    <t>WTC II</t>
  </si>
  <si>
    <t>SP- VRV 3 SENSOR</t>
  </si>
  <si>
    <t>Loss/under dealer</t>
  </si>
  <si>
    <t>RP-ACSON AMAC-recomisiong</t>
  </si>
  <si>
    <t>Paragon</t>
  </si>
  <si>
    <t>SP,SENSOR,MDS</t>
  </si>
  <si>
    <t>SP,PART,MDS</t>
  </si>
  <si>
    <t>RS harapan kita</t>
  </si>
  <si>
    <t>SP-Sensor ZUWD</t>
  </si>
  <si>
    <t>Received PO</t>
  </si>
  <si>
    <t>AKASA BSD</t>
  </si>
  <si>
    <t>RP-remot/m4mc</t>
  </si>
  <si>
    <t>ASIA TEKNIK</t>
  </si>
  <si>
    <t>RP-MODBUS KIT/WSC126</t>
  </si>
  <si>
    <t>Recieved PO/waiting DP</t>
  </si>
  <si>
    <t>AEROFOOD</t>
  </si>
  <si>
    <t>SP/MOTOR PROTECTOR</t>
  </si>
  <si>
    <t>Loss/NO Budjet</t>
  </si>
  <si>
    <t>Gedung arsip</t>
  </si>
  <si>
    <t>RP/Replement comp/MDS</t>
  </si>
  <si>
    <t>BPTE</t>
  </si>
  <si>
    <t>SP/remote/MAC</t>
  </si>
  <si>
    <t xml:space="preserve">submit quotation </t>
  </si>
  <si>
    <t>Rp-Annual service ch 1 PFS</t>
  </si>
  <si>
    <t>aerofood</t>
  </si>
  <si>
    <t>RP-Inspection chiller/UAA105</t>
  </si>
  <si>
    <t>RS Columbia medan</t>
  </si>
  <si>
    <t>RP-repair leak/UAA80</t>
  </si>
  <si>
    <t>Recived PO</t>
  </si>
  <si>
    <t>Kantor Bupati Aceh</t>
  </si>
  <si>
    <t>Rp-annual service UAA</t>
  </si>
  <si>
    <t>Submit quotation</t>
  </si>
  <si>
    <t>Dow Corteva</t>
  </si>
  <si>
    <t>RP-inspection UAL</t>
  </si>
  <si>
    <t>job complete</t>
  </si>
  <si>
    <t>RP/Replacement Microtech 3/UAA</t>
  </si>
  <si>
    <t>submit quotation</t>
  </si>
  <si>
    <t>Tempo Natural Product</t>
  </si>
  <si>
    <t>SP/sensor temperature/CUWD</t>
  </si>
  <si>
    <t>SP/sensor temperature/UAA</t>
  </si>
  <si>
    <t>Delivery part/waiting payment</t>
  </si>
  <si>
    <t>Aqua Danone</t>
  </si>
  <si>
    <t>RP/UWAY/Annual service</t>
  </si>
  <si>
    <t>Yoshinoya</t>
  </si>
  <si>
    <t>RP/CUWD/annual service</t>
  </si>
  <si>
    <t>DDT manggarai</t>
  </si>
  <si>
    <t>RP/UAA80/Annual service</t>
  </si>
  <si>
    <t>PT PAS</t>
  </si>
  <si>
    <t>SP/CUWD120/Fast moving part</t>
  </si>
  <si>
    <t>RP/Repair leak CH#4 /PFS</t>
  </si>
  <si>
    <t>RP/Repair leak CH#2 /PFS</t>
  </si>
  <si>
    <t>Japfa Tebing</t>
  </si>
  <si>
    <t>RP/UAA80</t>
  </si>
  <si>
    <t>Wait PO</t>
  </si>
  <si>
    <t>Cahaya mentari Makmur</t>
  </si>
  <si>
    <t>SP/Sensor UAL</t>
  </si>
  <si>
    <t>PT.Arvindo</t>
  </si>
  <si>
    <t>SP/sensor UWL</t>
  </si>
  <si>
    <t>RS Adam malik</t>
  </si>
  <si>
    <t>MDS240-RP-Repair AC RS Adam Malik (4 &amp; 6)</t>
  </si>
  <si>
    <t>Nipon steel</t>
  </si>
  <si>
    <t>SP/Fast moving recommended stock part/HTS079</t>
  </si>
  <si>
    <t>PT.PAS</t>
  </si>
  <si>
    <t>SP/Fast moving recommended stock part/CUWD120</t>
  </si>
  <si>
    <t>PT.Aneka inter kencana</t>
  </si>
  <si>
    <t>SP/Fast moving recommended stock part/UAL30</t>
  </si>
  <si>
    <t>RAPP</t>
  </si>
  <si>
    <t>SP/Critical part/HTS</t>
  </si>
  <si>
    <t>Down Corteva</t>
  </si>
  <si>
    <t>RP/Penggantian part/MDS</t>
  </si>
  <si>
    <t>RP/Annual Service/UWA80JAY-1</t>
  </si>
  <si>
    <t>RP/Annual Service/UAA80</t>
  </si>
  <si>
    <t>Senoro gas development Luwuk</t>
  </si>
  <si>
    <t>RP- Repair HVAC  (AHU DX)</t>
  </si>
  <si>
    <t>Diperlukan registrasi di Pertamina</t>
  </si>
  <si>
    <t>TPPI CTG AC 102 A</t>
  </si>
  <si>
    <t>RP- Repair CTG 102 A dan 103 A (DX Rooftop)</t>
  </si>
  <si>
    <t xml:space="preserve">GKN  CV Jatim Agung </t>
  </si>
  <si>
    <t>SP -Spare part  (MDS B)</t>
  </si>
  <si>
    <t>Belum ada anggaran</t>
  </si>
  <si>
    <t>RP -Cleaning ducting control building area (AHU DX)</t>
  </si>
  <si>
    <t>Jayapura mall</t>
  </si>
  <si>
    <t>SP -Spare part chiller PFS</t>
  </si>
  <si>
    <t xml:space="preserve"> B </t>
  </si>
  <si>
    <t>RP -Repair chille PFS</t>
  </si>
  <si>
    <t>PT Ultta Prima OT Jombang</t>
  </si>
  <si>
    <t>SP -Pengadaan modbus card</t>
  </si>
  <si>
    <t>RS Dr Soetomo</t>
  </si>
  <si>
    <t>RP- Penggantian spare part MDS Inverter MDS D</t>
  </si>
  <si>
    <t xml:space="preserve"> L </t>
  </si>
  <si>
    <t>Star Square Manado</t>
  </si>
  <si>
    <t>RP -Repair chiller PFS</t>
  </si>
  <si>
    <t>Lost</t>
  </si>
  <si>
    <t>PT Nilex Mojokerto</t>
  </si>
  <si>
    <t>RP -Repair chiller  CUWD 60 B5Y</t>
  </si>
  <si>
    <t>Laves mall Surabaya</t>
  </si>
  <si>
    <t>RP -Pengadaan part dan perbaikan chiller 1 CUWD</t>
  </si>
  <si>
    <t>PT LNK Mojokerto</t>
  </si>
  <si>
    <t>RP -Repair + trouble shooting LTHE Thermax</t>
  </si>
  <si>
    <t>PT AMcor ( NR Electronic)</t>
  </si>
  <si>
    <t>SP -Pengadaan (Blower AHU ) DM2 2033</t>
  </si>
  <si>
    <t>Anugrah Airtech CV ADES Pandaan</t>
  </si>
  <si>
    <t>RP-Pengadaan  part  dan ganti oli chiller CUWD</t>
  </si>
  <si>
    <t>NR Electronic CV/davindo</t>
  </si>
  <si>
    <t>RP -Penggantian spare paart &amp; penggantian oli UAA</t>
  </si>
  <si>
    <t>RSUD Dr Soetomo gdg PPJT</t>
  </si>
  <si>
    <t>RP- Penggantian filler cooling tower</t>
  </si>
  <si>
    <t>RP -Emergency caall AHU DX</t>
  </si>
  <si>
    <t>JOB Pertamina Tomori Sulteng (PT Catur Elang)</t>
  </si>
  <si>
    <t>SP -Spare part and repair HVAC AHU DX</t>
  </si>
  <si>
    <t>TPPI</t>
  </si>
  <si>
    <t>PO proses</t>
  </si>
  <si>
    <t>Aston hotel Manado</t>
  </si>
  <si>
    <t>SP -Pengadaan sensor chiller Chiller HHS</t>
  </si>
  <si>
    <t>Best Western Coco Palu chiller 1</t>
  </si>
  <si>
    <t>RP Pengadaan spare part dan repair CH PFS</t>
  </si>
  <si>
    <t xml:space="preserve"> S </t>
  </si>
  <si>
    <t>PT Motasa</t>
  </si>
  <si>
    <t>INS -Check dan optimalisasi chiller Ch UAA</t>
  </si>
  <si>
    <t xml:space="preserve"> S  </t>
  </si>
  <si>
    <t>Best Western Coco Palu Chiller 1</t>
  </si>
  <si>
    <t>RP -Perpanjangan perbaikan chiller no 1 PFS</t>
  </si>
  <si>
    <t>PT Linde  Smelting</t>
  </si>
  <si>
    <t>RP -Perbaikan HVAC (DX )</t>
  </si>
  <si>
    <t>PT Akashawira Pandaan</t>
  </si>
  <si>
    <t>RP -Pengadaan material isolasi</t>
  </si>
  <si>
    <t>Sentratama CV</t>
  </si>
  <si>
    <t>SP -Pengadaan spare part chiller MAC</t>
  </si>
  <si>
    <t>Devasa Hotel</t>
  </si>
  <si>
    <t>INS -GenerC check WSC 3 unit</t>
  </si>
  <si>
    <t>Tidak ada anggaran</t>
  </si>
  <si>
    <t>Bukaka Inti PT</t>
  </si>
  <si>
    <t>SP -Pengadaan spare part Benshaw WSC</t>
  </si>
  <si>
    <t>PT KAS Wings Grup</t>
  </si>
  <si>
    <t>SP -Pengadaan sensor LP UAL 210</t>
  </si>
  <si>
    <t xml:space="preserve">Technofroz </t>
  </si>
  <si>
    <t>SP -Pengadaan coil evaporator AHU Water</t>
  </si>
  <si>
    <t>Cocacola Pandaan</t>
  </si>
  <si>
    <t>RP -Repair chiller  Line 5 KKT Kraus chiller</t>
  </si>
  <si>
    <t>Mercure Manado</t>
  </si>
  <si>
    <t>INS -General investigate chiller RTHB 255</t>
  </si>
  <si>
    <t>PT Pulau Seroja</t>
  </si>
  <si>
    <t>SP -Pengadaan spare part phase control ( DX )</t>
  </si>
  <si>
    <t>PT MAS Wings grup</t>
  </si>
  <si>
    <t>SP -Pengadaan sensor LP ZUW 150</t>
  </si>
  <si>
    <t>Hotel Maleo Mamuju (PT SMI)</t>
  </si>
  <si>
    <t>INS General investigate AC Hotel (All) DX</t>
  </si>
  <si>
    <t>PT Jangkar Nusantar Megah</t>
  </si>
  <si>
    <t>RP -Service chiller UWAP 250</t>
  </si>
  <si>
    <t>PT EVEREST (PT Ultra Prima Jombang OT)</t>
  </si>
  <si>
    <t>RP -Supervisi  condenser tube cleaning dan optimalisasi</t>
  </si>
  <si>
    <t>PT Khemira Pasuruan</t>
  </si>
  <si>
    <t>INS General check UAL 450 Troube shooting</t>
  </si>
  <si>
    <t>RP -Perbaikan kebocoran UAL 450</t>
  </si>
  <si>
    <t>PT Motasa II</t>
  </si>
  <si>
    <t>RP -Perbaikan kebocoran UAA 175</t>
  </si>
  <si>
    <t>PO  received</t>
  </si>
  <si>
    <t>PT KIAS Gresik</t>
  </si>
  <si>
    <t>SP -Pengadaan spare part ZUW</t>
  </si>
  <si>
    <t xml:space="preserve"> N </t>
  </si>
  <si>
    <t>PT MOTASA II</t>
  </si>
  <si>
    <t>RP -Penggantian evaporator UAA 175</t>
  </si>
  <si>
    <t>Customer memilih repair leak tdk ganti evap</t>
  </si>
  <si>
    <t>SP -Pengadaan spare part UAL 230 DM5</t>
  </si>
  <si>
    <t>Horison Hotel Timika</t>
  </si>
  <si>
    <t>RP -Annual check dan recommissioning</t>
  </si>
  <si>
    <t>PT Meica Indo Tehnik (KPC)</t>
  </si>
  <si>
    <t>SP -Pengadaan spare part MRT 120 A (Rooftop)</t>
  </si>
  <si>
    <t>PT Immanuel solusi sejahtera</t>
  </si>
  <si>
    <t>SP -Pengadaan spare part MDS</t>
  </si>
  <si>
    <t>belum ada anggaran</t>
  </si>
  <si>
    <t>Biz Hotel Boulevard Manado</t>
  </si>
  <si>
    <t>SP -Pengadaan compressor MDS</t>
  </si>
  <si>
    <t>Bandara Samratulangi Manado</t>
  </si>
  <si>
    <t>SP -Penggantian Pco 3 dan perbaikan chiller no 5 (WSC)</t>
  </si>
  <si>
    <t>RSUD Dr Soetomo gedung Onkologi</t>
  </si>
  <si>
    <t>SP -Pengadaan spare part chiller UAA</t>
  </si>
  <si>
    <t xml:space="preserve">SPK received </t>
  </si>
  <si>
    <t xml:space="preserve">SP - Pengadaan control modul MDS </t>
  </si>
  <si>
    <t>RP - Pekerjaan pemasangan control modul MDS</t>
  </si>
  <si>
    <t>SP - Pengadaan sensor MDS</t>
  </si>
  <si>
    <t>LIBr An -Thermax absorbtion LiBr Analysis Thermax</t>
  </si>
  <si>
    <t xml:space="preserve">SP - Pengadaan wired remote UAL </t>
  </si>
  <si>
    <t>RP - Pengadaan spare part dan perbaikan ZUW</t>
  </si>
  <si>
    <t>PT KMI PT SIDEL Pandaan</t>
  </si>
  <si>
    <t>SP - Pengadaan modbus communication UAA</t>
  </si>
  <si>
    <t>PO received note jasa pekerjaan dicancel</t>
  </si>
  <si>
    <t>Duta mall Banjarmasin</t>
  </si>
  <si>
    <t>SP - Pengadaan modbus communication HTS</t>
  </si>
  <si>
    <t>RP - Pekerjaan pemasangan * testing Modbus HTS</t>
  </si>
  <si>
    <t>RS Universitas Airlangga</t>
  </si>
  <si>
    <t>RP - pengadaan spare part * perbaikan chiller UAA</t>
  </si>
  <si>
    <t>SP - pengadaan spare part chiller ZUW</t>
  </si>
  <si>
    <t>PT Tri Ori Plastindo</t>
  </si>
  <si>
    <t>SP - Pengadaan spare part chiller UAL</t>
  </si>
  <si>
    <t>Plaza Inn Kendari</t>
  </si>
  <si>
    <t>SP - Pengadaan spare part MDS</t>
  </si>
  <si>
    <t xml:space="preserve">PT TPPI Emergency call </t>
  </si>
  <si>
    <t>RP - Repair leak chiller Nitrogen CH N2</t>
  </si>
  <si>
    <t>PT SAAT Malang</t>
  </si>
  <si>
    <t xml:space="preserve">RP - Annual service dan replace oil CUWD </t>
  </si>
  <si>
    <t xml:space="preserve">PT Japfa Bati Bati Banjarmasin </t>
  </si>
  <si>
    <t>RP - Repair dan penggantian oli UAA 50</t>
  </si>
  <si>
    <t>Karya Makmur Integra</t>
  </si>
  <si>
    <t>SP - SP UNIT DX</t>
  </si>
  <si>
    <t>Grand whiz hotel Manado</t>
  </si>
  <si>
    <t>RP - Penggantian oli dan service 2 CH CUWD</t>
  </si>
  <si>
    <t>TPPI chiller N2</t>
  </si>
  <si>
    <t>RP - Perbaikan chiller N2</t>
  </si>
  <si>
    <t xml:space="preserve">SP - Spare part AC Standing floor </t>
  </si>
  <si>
    <t>Ayani mall chiller no 1 dan chiller no 3</t>
  </si>
  <si>
    <t xml:space="preserve">RP - Repair dan penggantian housng filter </t>
  </si>
  <si>
    <t>Ayani mall chiller no 4 dan chiller no 5</t>
  </si>
  <si>
    <t xml:space="preserve">RP - Repair dan penggantian Oli   </t>
  </si>
  <si>
    <t>RSUD Dr Soetomo PPJT Lantai 5</t>
  </si>
  <si>
    <t>RP - Penggantian condenser M5MCH 150</t>
  </si>
  <si>
    <t>PT TPPI Emergency call OS 840</t>
  </si>
  <si>
    <t>RP - Repair HVAC</t>
  </si>
  <si>
    <t>SP - Spare part chiller PFS</t>
  </si>
  <si>
    <t>PT Veolia Indonesia</t>
  </si>
  <si>
    <t xml:space="preserve">RP - Annual maintenance Repair HVAC </t>
  </si>
  <si>
    <t>Golden Tulip Hotel banjarmasin</t>
  </si>
  <si>
    <t>SP - Pengadaan transducer chiller MNG</t>
  </si>
  <si>
    <t>RP - Repair leak UAL</t>
  </si>
  <si>
    <t>RSUD Dr Soetomo area Catchlab</t>
  </si>
  <si>
    <t>RP - Replacement motor condenser</t>
  </si>
  <si>
    <t>Devasa hotel Surabaya</t>
  </si>
  <si>
    <t>RP - Replacement part &amp; MX 3 controller</t>
  </si>
  <si>
    <t>BNI Graha Pangeran  Surabaya</t>
  </si>
  <si>
    <t>RP - Repair chiller UW 100 JAY1</t>
  </si>
  <si>
    <t>RP - Pengadaan E box + pemasangan  (chiller HTS)</t>
  </si>
  <si>
    <t xml:space="preserve">SP - Pengadaan blower wheel MDB 100 B </t>
  </si>
  <si>
    <t>RP - Perbaikan chiller CUWD 150</t>
  </si>
  <si>
    <t>Gedung Onkologi RSUD Dr Soetomo</t>
  </si>
  <si>
    <t xml:space="preserve">RP - Service dan penggantian oli </t>
  </si>
  <si>
    <t xml:space="preserve">PT OT Jombang </t>
  </si>
  <si>
    <t>RP - Service ,scaling condenser dan treatment</t>
  </si>
  <si>
    <t>SP - Pengadaanspare part pcb outdoor</t>
  </si>
  <si>
    <t>Etex building PT</t>
  </si>
  <si>
    <t>RP - Perbaikan kebocoran chiller MAC</t>
  </si>
  <si>
    <t>Harapan Tehnik CV</t>
  </si>
  <si>
    <t>SP - Pengadaan spare part MDB 075</t>
  </si>
  <si>
    <t>Jatim agung CV</t>
  </si>
  <si>
    <t>SP - Pengadaan spare part compressor</t>
  </si>
  <si>
    <t>RP - Pengadaan spare part dan penggantian oli</t>
  </si>
  <si>
    <t xml:space="preserve">RSUA Poli gigi </t>
  </si>
  <si>
    <t xml:space="preserve">RP - Pengadaan part dan perbaikan AHU </t>
  </si>
  <si>
    <t xml:space="preserve">PT Wonokoyo </t>
  </si>
  <si>
    <t>SP - Pengadaan spare part Chiller UAL 450</t>
  </si>
  <si>
    <t xml:space="preserve">SP - Pengadaan spare part MDS </t>
  </si>
  <si>
    <t>Ayani mall Pontianak</t>
  </si>
  <si>
    <t>SP - Pengadaan spare part chiller</t>
  </si>
  <si>
    <t>RP - Pengadaan spare part dan repair PFS chiller</t>
  </si>
  <si>
    <t>SP - Pengadaan spare part chiller Ual</t>
  </si>
  <si>
    <t>PT Jaya Sakti Mulya</t>
  </si>
  <si>
    <t>SP - Pengadaan spare part Chiller UAL</t>
  </si>
  <si>
    <t>Metro Mall Manado</t>
  </si>
  <si>
    <t xml:space="preserve">RP - Repair chiller UAA </t>
  </si>
  <si>
    <t>SP - Pengadaan control modul MCM 040</t>
  </si>
  <si>
    <t xml:space="preserve">Best Western Coco Palu </t>
  </si>
  <si>
    <t>SP - Pengadaan spare part chiller PFS</t>
  </si>
  <si>
    <t>MPM PT  Davindo</t>
  </si>
  <si>
    <t>Rp - Penggantian oli dan service chiller UAA</t>
  </si>
  <si>
    <t>RP - Penggantian oli dan service chiller ZUW</t>
  </si>
  <si>
    <t>Pertamina geothermal Energy manado</t>
  </si>
  <si>
    <t xml:space="preserve">RP - Repair HVAC </t>
  </si>
  <si>
    <t>Jangkar Nusantara</t>
  </si>
  <si>
    <t>SP - Pengadaan spare part AC</t>
  </si>
  <si>
    <t>SP - Pengadaan spare part Absorbtion chiller</t>
  </si>
  <si>
    <t>Imanual Solusi sejahtera CV</t>
  </si>
  <si>
    <t>RP - Pengadaan spare part dan repair MDS Inverter</t>
  </si>
  <si>
    <t>wait budget</t>
  </si>
  <si>
    <t>RSUD Konawe Sulawesi Tenggara</t>
  </si>
  <si>
    <t>SP - Pengadaan spare part MDS Inverter</t>
  </si>
  <si>
    <t>Proses budget</t>
  </si>
  <si>
    <t>M Bahalap Hotel Palangkaraya</t>
  </si>
  <si>
    <t>RP - Pengadaan part dan repair chiller Magnetic B</t>
  </si>
  <si>
    <t>Etex building PT (AURA JAYA CV)</t>
  </si>
  <si>
    <t>RP - Pengadaan spare part dan repair AC unit</t>
  </si>
  <si>
    <t xml:space="preserve">Bandara Banjarmasin CV SKJ </t>
  </si>
  <si>
    <t>SP - Pengadaan spare part chiller UAA</t>
  </si>
  <si>
    <t>Belum bis diproses</t>
  </si>
  <si>
    <t>Sutanraja Hotel Manado</t>
  </si>
  <si>
    <t>RP - Pengadaan part dan repair chiller PFS</t>
  </si>
  <si>
    <t>RSUA Poli gigi MDS</t>
  </si>
  <si>
    <t>RP - Pengadaan part an repair MDS</t>
  </si>
  <si>
    <t>RP - Scaling dan service chiller CUWD</t>
  </si>
  <si>
    <t>PT MPM Pasuruan (DAU)</t>
  </si>
  <si>
    <t>RP. - Oil analisys chiller 2 unit UAA  2 circuit</t>
  </si>
  <si>
    <t>PT Berlina Pandaan</t>
  </si>
  <si>
    <t>RP - Annual service dan replace oil MNG</t>
  </si>
  <si>
    <t>PT TPPI area Central control building</t>
  </si>
  <si>
    <t>RP - Overtime trouble shooting HVAC</t>
  </si>
  <si>
    <t>Devasa hotel  (Bukaka Inti)</t>
  </si>
  <si>
    <t xml:space="preserve">SP - Pengadaan spare part Display monitor chiller WSC </t>
  </si>
  <si>
    <t xml:space="preserve">RP - Pengadaan Display monitor chiller PFS </t>
  </si>
  <si>
    <t>RP - Lithium bromida analisys</t>
  </si>
  <si>
    <t>Rumah Bukit Darmo Golf</t>
  </si>
  <si>
    <t>RP - Pengadaan spare part dan pekerjaan pemasangan</t>
  </si>
  <si>
    <t>PT TPPI</t>
  </si>
  <si>
    <t>RP - Overtime trouble shooting HVAC area CCB</t>
  </si>
  <si>
    <t>Manokwari mall Papua</t>
  </si>
  <si>
    <t>RP - Condenser tube cleaning dan service CUWD C</t>
  </si>
  <si>
    <t>PT Motasa Indonesia</t>
  </si>
  <si>
    <t>SP - Pengadaan spare part dan pekerjaan pemasangan</t>
  </si>
  <si>
    <t xml:space="preserve">RP - Pekerjaan perbaikan HVAC SS 840 </t>
  </si>
  <si>
    <t>PT HAS Wings grup</t>
  </si>
  <si>
    <t>SP - Pengadaan PHE chiller Ual 230</t>
  </si>
  <si>
    <t>The nine executif (Jefri Permana)</t>
  </si>
  <si>
    <t xml:space="preserve">Sp - Pengadaan spare part AC concealed MCC 025 </t>
  </si>
  <si>
    <t>PT Panca Amara Utama Sulawesi tengah</t>
  </si>
  <si>
    <t xml:space="preserve">SP - Pengadaan spare part </t>
  </si>
  <si>
    <t>Pelangi Abadi (Pak Dicky)</t>
  </si>
  <si>
    <t>SP - Pengadaan spare part MDBH 100</t>
  </si>
  <si>
    <t>SP - Pengadaan spare part chiller ZUW 150</t>
  </si>
  <si>
    <t>SP - Pengadaan spare part chiller UAL 210</t>
  </si>
  <si>
    <t>RP - Investigasi dan operasional training AC MDS inverter</t>
  </si>
  <si>
    <t>Swissbel hotel Maleosan Manado</t>
  </si>
  <si>
    <t>RP - Pengadaan spare part MDS daninvestigasi</t>
  </si>
  <si>
    <t>PT TPPI area combution turbine generator 102B</t>
  </si>
  <si>
    <t>RP - Perbaikan kebocoran HVAC CTG 102 B</t>
  </si>
  <si>
    <t xml:space="preserve">PT TPPI area HVAC OS 200 </t>
  </si>
  <si>
    <t>RP - Penggantian compressor dan condenser  HVAC area OS 200</t>
  </si>
  <si>
    <t>PT TPPI area Nitrigen</t>
  </si>
  <si>
    <t xml:space="preserve">RP - Pekerjaan repair Chiller Nitorgen (Overtime) </t>
  </si>
  <si>
    <t>SP - Pengadaan spare part motor condenser + blade chiller UAL</t>
  </si>
  <si>
    <t>PT TPPI area chiller Nitrogen</t>
  </si>
  <si>
    <t>RP - Pengadaan spare part dan perbaikan chiller N2</t>
  </si>
  <si>
    <t>SP - Pengadaan compressor BNI Surabaya (PT Integra)</t>
  </si>
  <si>
    <t>RP - Penggantian oli annual service CUWD 120B5Y</t>
  </si>
  <si>
    <t>SP - Pengadaan spare part chiller RTAA 400</t>
  </si>
  <si>
    <t>RP - Pengadaan part dan penggantian oli ZUW</t>
  </si>
  <si>
    <t>PT TPPI area Lab</t>
  </si>
  <si>
    <t xml:space="preserve">RP - Service exhaust fan </t>
  </si>
  <si>
    <t>RSUD Batu Malang</t>
  </si>
  <si>
    <t>RP - General check dan trouble shooting MDS</t>
  </si>
  <si>
    <t>SP - Pengadaan spare part UAL</t>
  </si>
  <si>
    <t>RP - Pengadaan spare part dan perbaikan AC MDS</t>
  </si>
  <si>
    <t>PT Indopack printing</t>
  </si>
  <si>
    <t>RP - Pengadaan spare part dan annual service chiller</t>
  </si>
  <si>
    <t xml:space="preserve">PT TPPI area nitrogen </t>
  </si>
  <si>
    <t>RP - Pengadaan spare part Perbaikan chiller nitrogen</t>
  </si>
  <si>
    <t>RP - Pengadaan spare part dan perbaikan chiller ZUW</t>
  </si>
  <si>
    <t>RP - Pengadaan part dan perbaikan solenoid valve UAA</t>
  </si>
  <si>
    <t xml:space="preserve">RP - Perbaikan chiller Canada </t>
  </si>
  <si>
    <t xml:space="preserve">SP - Pengadaan oil Daikin </t>
  </si>
  <si>
    <t>PT TPPI area CCB</t>
  </si>
  <si>
    <t>RP - Overtime pekerjaan repair Area CCB</t>
  </si>
  <si>
    <t>PT TPPI area Laboratorium</t>
  </si>
  <si>
    <t>RP - Perbaikan dan service blower area Laboratorium</t>
  </si>
  <si>
    <t>PT Etika Perdana, PT Sabana (BNI)</t>
  </si>
  <si>
    <t>SP - Pengadaan compressor Daikin UW 1000</t>
  </si>
  <si>
    <t>RP- repair chiller</t>
  </si>
  <si>
    <t>RP - Pengadaan part, ganti oli dan perbaikan chiller ZUWY</t>
  </si>
  <si>
    <t>Koordinasi dengan PP Properti</t>
  </si>
  <si>
    <t xml:space="preserve">PT Amcor  </t>
  </si>
  <si>
    <t>RP - Pengadaan part dan penggantian oli UAA</t>
  </si>
  <si>
    <t>Novotel - Balikpapan</t>
  </si>
  <si>
    <t>RP - leak cond   ALS E 296.3</t>
  </si>
  <si>
    <t>Loss, dikerjakan by owner</t>
  </si>
  <si>
    <t>BI Kupang</t>
  </si>
  <si>
    <t>SP -   UWAP150</t>
  </si>
  <si>
    <t>Pertamina Jagir (Patra Jasa)</t>
  </si>
  <si>
    <t>RP - leak  WHS E 414.3</t>
  </si>
  <si>
    <t>SPK Received</t>
  </si>
  <si>
    <t>PT. Sreeya Sewu</t>
  </si>
  <si>
    <t xml:space="preserve">SP -   MCS060.1 </t>
  </si>
  <si>
    <t>PT. Surya Multi Indopack</t>
  </si>
  <si>
    <t>RP - leak evap  UAA150.1</t>
  </si>
  <si>
    <t>PT. Hertz Flavor</t>
  </si>
  <si>
    <t>Annual - Replace oil   UAA080.1</t>
  </si>
  <si>
    <t>Pasar Atom Mall</t>
  </si>
  <si>
    <t>SP &amp; RP   WSC087</t>
  </si>
  <si>
    <t>PT. Indo Citra Eka Abadi (Double 3)</t>
  </si>
  <si>
    <t>SP &amp; RP   ZUWV5M</t>
  </si>
  <si>
    <t>CV. Davindo Anugrah Unggul</t>
  </si>
  <si>
    <t xml:space="preserve">RP - 3 unit chiller MCS (indolakto)   MCS150.1 </t>
  </si>
  <si>
    <t>PT. Sinergi Karya Sejahtera</t>
  </si>
  <si>
    <t>RP leak (Pertamina Blp)   CUWD120B5Y</t>
  </si>
  <si>
    <t>RSUD Sidoarjo</t>
  </si>
  <si>
    <t>SP - UAA105.1</t>
  </si>
  <si>
    <t>PT. Santos Jaya Abadi</t>
  </si>
  <si>
    <t>RP - leak   PFS135.1</t>
  </si>
  <si>
    <t>RP - leak   MCS060.1</t>
  </si>
  <si>
    <t xml:space="preserve">RP - Kalibrasi &amp; scalling cond  HXE400 (PT. Tempo)  </t>
  </si>
  <si>
    <t>RP - leak unit Trane R. shelter   UP</t>
  </si>
  <si>
    <t>GTC Mall Makassar</t>
  </si>
  <si>
    <t>SP -  ALS D 460.4</t>
  </si>
  <si>
    <t>PT. Yanasurya</t>
  </si>
  <si>
    <t>SP  -  UAL120</t>
  </si>
  <si>
    <t>PT. Indonesia Pratama Multipak</t>
  </si>
  <si>
    <t>SP -  UAA204</t>
  </si>
  <si>
    <t>Danamon Bank</t>
  </si>
  <si>
    <t>Annual - eplace oil   UAA080.1</t>
  </si>
  <si>
    <t>AP Ambon (PT. Hutan Alam)</t>
  </si>
  <si>
    <t>SP &amp; RP   - control panel MCS100.1 x 3</t>
  </si>
  <si>
    <t>PO/SPK Received</t>
  </si>
  <si>
    <t>PT. Trias Sentosa</t>
  </si>
  <si>
    <t>SP &amp; RP - leak Converting ch1   WSC079</t>
  </si>
  <si>
    <t>RP - leak unit Trane R. Cooling   UP</t>
  </si>
  <si>
    <t>Loss, replace unit trane</t>
  </si>
  <si>
    <t>PT. Tirta Freshindo Jaya (Mayora)</t>
  </si>
  <si>
    <t>Annual - Replace oil.   UAA150</t>
  </si>
  <si>
    <t>SP  -  MCS060.1</t>
  </si>
  <si>
    <t>INS &amp; konsultasi   PFS135.1 x 3</t>
  </si>
  <si>
    <t>RP -  leak ch no.3   PFS135</t>
  </si>
  <si>
    <t>PT. Japfa Comfeed</t>
  </si>
  <si>
    <t>SP -  UAA100</t>
  </si>
  <si>
    <t>Wisma Kalla</t>
  </si>
  <si>
    <t>OH -  ch1   MCS310.2</t>
  </si>
  <si>
    <t>PO/SPK received</t>
  </si>
  <si>
    <t>OH -  ch 2&amp;3   MCS310.2</t>
  </si>
  <si>
    <t>OH Labour - Ch #1   MCS310.2</t>
  </si>
  <si>
    <t>PT. Santos Premium Krimer</t>
  </si>
  <si>
    <t>SP &amp; RP - ch Thermax</t>
  </si>
  <si>
    <t>CV SSI</t>
  </si>
  <si>
    <t>SP - Matos Malang   WSC087</t>
  </si>
  <si>
    <t>CV Putra AC (KKP Juanda)</t>
  </si>
  <si>
    <t>SP - KKP Juanda   MDS160</t>
  </si>
  <si>
    <t>Cansel PO</t>
  </si>
  <si>
    <t>SP &amp; RP  -  Thermax</t>
  </si>
  <si>
    <t>SP  - UAA100.1</t>
  </si>
  <si>
    <t>PT. Saueressig Enggraving indonesia</t>
  </si>
  <si>
    <t>General Check   UAA100.1</t>
  </si>
  <si>
    <t>PT. Indofood Gempol</t>
  </si>
  <si>
    <t>SP &amp; RP -  EWAD470D &amp; UAA220</t>
  </si>
  <si>
    <t>PT. Mars Makassar</t>
  </si>
  <si>
    <t>OH -  chiller ZUW</t>
  </si>
  <si>
    <t>OH -  ch no.2 Converting WSC079</t>
  </si>
  <si>
    <t>PT. Excellence Qualities Yarn</t>
  </si>
  <si>
    <t>RP &amp; SP ch no.1 HTS087</t>
  </si>
  <si>
    <t>CV Nusa Teknik Cemerlang</t>
  </si>
  <si>
    <t>SP – MDS</t>
  </si>
  <si>
    <t>PT. Sofran Jaya Abadi</t>
  </si>
  <si>
    <t>SP- MDS</t>
  </si>
  <si>
    <t>PT. Garuda Food</t>
  </si>
  <si>
    <t>RP &amp; SP ch UAA105</t>
  </si>
  <si>
    <t>SP - -MCS100.1</t>
  </si>
  <si>
    <t>Focon Interlite</t>
  </si>
  <si>
    <t>RP &amp; SP ch UAL</t>
  </si>
  <si>
    <t>General Check UAL210+FCU</t>
  </si>
  <si>
    <t>Inspection ch PFS135.1 x 3</t>
  </si>
  <si>
    <t>Leak test ch Absorbtion Thermax</t>
  </si>
  <si>
    <t>SP  -  Thermax</t>
  </si>
  <si>
    <t>PT. Kerta Rajasa Raya</t>
  </si>
  <si>
    <t>Replace oil Ch UAA080</t>
  </si>
  <si>
    <t>PT. Tirta Fresindo Jaya</t>
  </si>
  <si>
    <t>Replace oil Ch UAA150</t>
  </si>
  <si>
    <t>s</t>
  </si>
  <si>
    <t>CV. Alfaza Makmur Abadi (PT. Sakatama)</t>
  </si>
  <si>
    <t>SP &amp; RP  -  ch ZUW</t>
  </si>
  <si>
    <t>PT Hertz Flavors</t>
  </si>
  <si>
    <t>Balancing 4 unit AHU</t>
  </si>
  <si>
    <t>PT. Djabesmen</t>
  </si>
  <si>
    <t>SP - ch UAA125</t>
  </si>
  <si>
    <t>SP &amp; RP  -  ch screw</t>
  </si>
  <si>
    <t>PT. Greenfield</t>
  </si>
  <si>
    <t>Annual - ch UAL</t>
  </si>
  <si>
    <t>SP &amp; RP - leak Ch ALS</t>
  </si>
  <si>
    <t>PT Surya Plastindo</t>
  </si>
  <si>
    <t>SP &amp; RP ch UAL230</t>
  </si>
  <si>
    <t>PT. Albea Rigid</t>
  </si>
  <si>
    <t>SP ch McSmart400</t>
  </si>
  <si>
    <t>Swissbell Hotel Balikpapan</t>
  </si>
  <si>
    <t>SP &amp; RP ch HTS100</t>
  </si>
  <si>
    <t>Descalling condenser - PFS no.2</t>
  </si>
  <si>
    <t>PT. Sumber Djaja Perkasa</t>
  </si>
  <si>
    <t>SP &amp; RP  -  ch screw (PGD)</t>
  </si>
  <si>
    <t>PT. Jacobis</t>
  </si>
  <si>
    <t>SP  -  UAA1205</t>
  </si>
  <si>
    <t>PT. SnS Hygiene Solution</t>
  </si>
  <si>
    <t>SP - ch CUWD</t>
  </si>
  <si>
    <t>CV. SSI (Albea Rigid)</t>
  </si>
  <si>
    <t>SP - McSmart450</t>
  </si>
  <si>
    <t>PT. Afdolulfaiz (Juanda T1)</t>
  </si>
  <si>
    <t>SP &amp; RP WSC079</t>
  </si>
  <si>
    <t>SP &amp; RP contactor UAA80.1</t>
  </si>
  <si>
    <t>Matos Malang</t>
  </si>
  <si>
    <t>SP &amp; RP - WSC087 x 2</t>
  </si>
  <si>
    <t>PT. Surya Djaja Perkasa</t>
  </si>
  <si>
    <t>SP MCS200</t>
  </si>
  <si>
    <t>SP- WSC079</t>
  </si>
  <si>
    <t>Descalling condenser - PFS no.1</t>
  </si>
  <si>
    <t>SP &amp; RP ch Thermax</t>
  </si>
  <si>
    <t>SP  -  sensor temp UAA060.1&amp; UAL230</t>
  </si>
  <si>
    <t>SP &amp; RP – Replace oil compr UAA060.1</t>
  </si>
  <si>
    <t>SP &amp; RP   - UAL230</t>
  </si>
  <si>
    <t>CV. Daya Mahakam Baikpapan</t>
  </si>
  <si>
    <t>SP – Coil evap</t>
  </si>
  <si>
    <t>PT. Surya Multi Indopak</t>
  </si>
  <si>
    <t>SP – Oil Xaerus 68</t>
  </si>
  <si>
    <t xml:space="preserve">SP  -  Victaolic </t>
  </si>
  <si>
    <t>PT. Integra Dayacipta Grahatama</t>
  </si>
  <si>
    <t>SP - compr (PT. Bintang Jaya - Malang)</t>
  </si>
  <si>
    <t>Investigate leaking ch Thermax</t>
  </si>
  <si>
    <t>PT. Mars Symbioscience Indonesia</t>
  </si>
  <si>
    <t>RP-evap leak MCS100.1</t>
  </si>
  <si>
    <t>BRI Balikpapan</t>
  </si>
  <si>
    <t>RP &amp; SP ch MCS125ST3</t>
  </si>
  <si>
    <t>PT. SKS (Pertamina Balikpapan)</t>
  </si>
  <si>
    <t>RP De-scalling 6 Chiller</t>
  </si>
  <si>
    <t>RP Replace oil UAA1205</t>
  </si>
  <si>
    <t>Wismari Building</t>
  </si>
  <si>
    <t>RP &amp; SP FCU</t>
  </si>
  <si>
    <t>Overhaul-Replace compr UAA080.1</t>
  </si>
  <si>
    <t>SP &amp; RP  Evap leak UAA105</t>
  </si>
  <si>
    <t>SP &amp; RP -  UAA204</t>
  </si>
  <si>
    <t>PT. Focon Interlite</t>
  </si>
  <si>
    <t>SP &amp; RP -  Replace compressor</t>
  </si>
  <si>
    <t>SP &amp; RP   - ch UAA100 dan UAL240</t>
  </si>
  <si>
    <t>Gedung Wismari</t>
  </si>
  <si>
    <t>RP &amp; SP ch ZUW150.1 x 2</t>
  </si>
  <si>
    <t>PT. Garuda Food Gresik</t>
  </si>
  <si>
    <t>SP &amp; RP - Repalce 2 unit Coil AHU</t>
  </si>
  <si>
    <t>PT. Rexam Packaging</t>
  </si>
  <si>
    <t>SP &amp; RP replace BPHE &amp; Compr</t>
  </si>
  <si>
    <t>PT. Sparindo Alfa Persada</t>
  </si>
  <si>
    <t>SP - PT Trias Sentosa Retrofit panel</t>
  </si>
  <si>
    <t>RP &amp; SP Replace Evaporator MCS100.1</t>
  </si>
  <si>
    <t>SP Chiller</t>
  </si>
  <si>
    <t>Coca Cola Pandaan</t>
  </si>
  <si>
    <t>SP &amp; RP   - Retrofit panel ch Husky</t>
  </si>
  <si>
    <t>PT. Badak Bontang</t>
  </si>
  <si>
    <t>SP &amp; RP -  replace oil 4 chiller EWAD205</t>
  </si>
  <si>
    <t>SP &amp; RP   - Retrofit panel stater PEH063</t>
  </si>
  <si>
    <t>Royal Heritage</t>
  </si>
  <si>
    <t>RP- Leak &amp; Control MCS 150</t>
  </si>
  <si>
    <t>Lost .dikerjakan Vendor local</t>
  </si>
  <si>
    <t>Hotel Harper</t>
  </si>
  <si>
    <t>RP- Leak &amp; Scaling CUWD</t>
  </si>
  <si>
    <t>Hoki land</t>
  </si>
  <si>
    <t>SP- Sensor PFS</t>
  </si>
  <si>
    <t>Bandara A yani CH 5</t>
  </si>
  <si>
    <t>RP-Replace Oil UAA</t>
  </si>
  <si>
    <t>waiting budget</t>
  </si>
  <si>
    <t>bandara A Yani Ch 3</t>
  </si>
  <si>
    <t>Bandara A yani CH 4</t>
  </si>
  <si>
    <t>RP- Replace Oil UAA</t>
  </si>
  <si>
    <t>RS Sarjito</t>
  </si>
  <si>
    <t xml:space="preserve">RP- Repair MCS </t>
  </si>
  <si>
    <t>GSD Telkom</t>
  </si>
  <si>
    <t>RP- Repair UAA</t>
  </si>
  <si>
    <t>RUM</t>
  </si>
  <si>
    <t xml:space="preserve">SP- Sparepart WSC </t>
  </si>
  <si>
    <t>Sritex</t>
  </si>
  <si>
    <t>RP- Repair leak WSC</t>
  </si>
  <si>
    <t>Rita Mall</t>
  </si>
  <si>
    <t>SP- Sparepart PEH</t>
  </si>
  <si>
    <t>Lost, Dikerjakan Dealer jkt</t>
  </si>
  <si>
    <t>RP-  Leak &amp; Relpace OIL EWAD</t>
  </si>
  <si>
    <t>DP mall</t>
  </si>
  <si>
    <t>RP-  leak WSC</t>
  </si>
  <si>
    <t>Fajar Karunia</t>
  </si>
  <si>
    <t>RP-  Leak UAL Kopi Luwak</t>
  </si>
  <si>
    <t>Evercoss</t>
  </si>
  <si>
    <t>RP- Replace Oil CUWD</t>
  </si>
  <si>
    <t xml:space="preserve">SP- Sparepart Goodway </t>
  </si>
  <si>
    <t>sritex</t>
  </si>
  <si>
    <t>Hold wait budget</t>
  </si>
  <si>
    <t>SP-  Starter board PEH</t>
  </si>
  <si>
    <t>Lost, dikerjakan Dealer jkt</t>
  </si>
  <si>
    <t>Indofood Fretolay</t>
  </si>
  <si>
    <t xml:space="preserve">SP- Sparepart Compressor </t>
  </si>
  <si>
    <t>Lost, Ambil sparepart Compressor di Local</t>
  </si>
  <si>
    <t>SSI</t>
  </si>
  <si>
    <t xml:space="preserve">SP-  Sensor&amp; transducer </t>
  </si>
  <si>
    <t xml:space="preserve">UGM </t>
  </si>
  <si>
    <t>SP-  Module MDS</t>
  </si>
  <si>
    <t>Fajar karunia</t>
  </si>
  <si>
    <t>SP-  Motor fan MDS</t>
  </si>
  <si>
    <t>Indofood Fortuna</t>
  </si>
  <si>
    <t>SP- Sensor Termis</t>
  </si>
  <si>
    <t>SP- Sprepart WSC</t>
  </si>
  <si>
    <t>RP-  Replace EXV PFS</t>
  </si>
  <si>
    <t xml:space="preserve">RSUD ungaran </t>
  </si>
  <si>
    <t>RP- Inverter comp MDS</t>
  </si>
  <si>
    <t>Deltomet</t>
  </si>
  <si>
    <t>RP-  Leak &amp; Replace Oil ALS</t>
  </si>
  <si>
    <t>Revisi penawaran karena budget</t>
  </si>
  <si>
    <t>APF</t>
  </si>
  <si>
    <t xml:space="preserve">Cancel TOP </t>
  </si>
  <si>
    <t>New leader</t>
  </si>
  <si>
    <t>INV- Chiller UAL Duta Kekar</t>
  </si>
  <si>
    <t xml:space="preserve">SP-  Sensor WSC </t>
  </si>
  <si>
    <t>RP- Replace HPS UAL</t>
  </si>
  <si>
    <t>Rakan jaya</t>
  </si>
  <si>
    <t>SP-  PFS Transmart Maguwo</t>
  </si>
  <si>
    <t xml:space="preserve">Nissin </t>
  </si>
  <si>
    <t>SP-   DPS UAL</t>
  </si>
  <si>
    <t>nego</t>
  </si>
  <si>
    <t>Ambarukmo  Plaza</t>
  </si>
  <si>
    <t>SP- t sensor temp WSC</t>
  </si>
  <si>
    <t xml:space="preserve">RP- Replace Oil WSC </t>
  </si>
  <si>
    <t>Wait SPK</t>
  </si>
  <si>
    <t>Sahid G walk</t>
  </si>
  <si>
    <t xml:space="preserve">RP-  replace oil &amp; Scaling PFS </t>
  </si>
  <si>
    <t>Sari roti</t>
  </si>
  <si>
    <t>INV- Chiller UWAP</t>
  </si>
  <si>
    <t>Gumaya Hotel</t>
  </si>
  <si>
    <t xml:space="preserve">RP-  Repair leak WSC </t>
  </si>
  <si>
    <t>Lost, dikerjakan vendor local</t>
  </si>
  <si>
    <t>Ambarukmo Plaza</t>
  </si>
  <si>
    <t>SP-  replace oil WSC</t>
  </si>
  <si>
    <t>PT. TERAS</t>
  </si>
  <si>
    <t>RP-  control external MCS</t>
  </si>
  <si>
    <t xml:space="preserve">Japfa </t>
  </si>
  <si>
    <t>RP- Scaling chiller UWL</t>
  </si>
  <si>
    <t>SP-  Centralize MDS</t>
  </si>
  <si>
    <t>RP- Replace Oil EWAD</t>
  </si>
  <si>
    <t>Plaza pekalongan</t>
  </si>
  <si>
    <t xml:space="preserve">SP-  WSC </t>
  </si>
  <si>
    <t xml:space="preserve">RP-  replace oil MCS </t>
  </si>
  <si>
    <t>CV. Alfa kencana pura</t>
  </si>
  <si>
    <t>SP-  Motor Fan UAL</t>
  </si>
  <si>
    <t>BPD DIY</t>
  </si>
  <si>
    <t>RP-  Leak MDS</t>
  </si>
  <si>
    <t>Sariroti</t>
  </si>
  <si>
    <t>INV-  Chiller UWAP</t>
  </si>
  <si>
    <t>UGM Cocoa</t>
  </si>
  <si>
    <t>INV-  UAL230</t>
  </si>
  <si>
    <t xml:space="preserve">Centraline </t>
  </si>
  <si>
    <t xml:space="preserve">Deltomed </t>
  </si>
  <si>
    <t xml:space="preserve">RP- Replace Oil ALS </t>
  </si>
  <si>
    <t>Bandara Adi Soemarmo</t>
  </si>
  <si>
    <t xml:space="preserve">RS Colombia </t>
  </si>
  <si>
    <t>RP-  Replace oil MCS</t>
  </si>
  <si>
    <t>Bitratex</t>
  </si>
  <si>
    <t xml:space="preserve">RP-  leak MDS </t>
  </si>
  <si>
    <t>SP- Replace Oil WSC</t>
  </si>
  <si>
    <t>RP-Replace Oil WSC</t>
  </si>
  <si>
    <t>CV.Tri manunggal Karya</t>
  </si>
  <si>
    <t>SP.- Blower &amp; fan RS Karyadi UAL</t>
  </si>
  <si>
    <t>SP- Fan MDS</t>
  </si>
  <si>
    <t>bandara adi soemarmo</t>
  </si>
  <si>
    <t>SP &amp; RP Replace Oil MCS</t>
  </si>
  <si>
    <t>Artos</t>
  </si>
  <si>
    <t>SP &amp; RP Replace Oil PFS</t>
  </si>
  <si>
    <t>The Park</t>
  </si>
  <si>
    <t>SP &amp; RP Replace Oil HXE</t>
  </si>
  <si>
    <t>Artotel</t>
  </si>
  <si>
    <t xml:space="preserve">SP. Module MDS </t>
  </si>
  <si>
    <t>hold waiting budget</t>
  </si>
  <si>
    <t>SP. Module Indoor  MDS</t>
  </si>
  <si>
    <t xml:space="preserve">Indofood Fortuna </t>
  </si>
  <si>
    <t>SP. Module MDB</t>
  </si>
  <si>
    <t>SP. Filter PFS</t>
  </si>
  <si>
    <t xml:space="preserve">Coca Cola ungaran </t>
  </si>
  <si>
    <t xml:space="preserve">RP. Replace Control PDV </t>
  </si>
  <si>
    <t xml:space="preserve">Bandara A yani CH 2 </t>
  </si>
  <si>
    <t>RP. Leak  UAA</t>
  </si>
  <si>
    <t>R.S Colombia</t>
  </si>
  <si>
    <t>Repair leak MCS</t>
  </si>
  <si>
    <t>New Leader</t>
  </si>
  <si>
    <t>SP. Fan Motor MDB</t>
  </si>
  <si>
    <t>Meltech Solusindo</t>
  </si>
  <si>
    <t>Sparepart MDS</t>
  </si>
  <si>
    <t>Spraepart PFS</t>
  </si>
  <si>
    <t>Sparepart MDB</t>
  </si>
  <si>
    <t>Hotel harper</t>
  </si>
  <si>
    <t>Repair EXV CUWD</t>
  </si>
  <si>
    <t>CV. Alfaza</t>
  </si>
  <si>
    <t>CV. Tekun Karya</t>
  </si>
  <si>
    <t>DP Mall</t>
  </si>
  <si>
    <t>Investigasi  HXE</t>
  </si>
  <si>
    <t>Sparepart MCS</t>
  </si>
  <si>
    <t xml:space="preserve">Overhoul Chiller UWA </t>
  </si>
  <si>
    <t>Sparepart PFS</t>
  </si>
  <si>
    <t>CV.SSI</t>
  </si>
  <si>
    <t>Sprepart WSC</t>
  </si>
  <si>
    <t>konimex</t>
  </si>
  <si>
    <t>Investigsi Chiller PFS</t>
  </si>
  <si>
    <t>Sparepart &amp; reapair UAL</t>
  </si>
  <si>
    <t>UNIKAL</t>
  </si>
  <si>
    <t xml:space="preserve">Harris Hotel centraline </t>
  </si>
  <si>
    <t>Investigasi chiller PFS</t>
  </si>
  <si>
    <t>Bandara adi soemarmo</t>
  </si>
  <si>
    <t>Repair &amp; replace oil chiller MCS</t>
  </si>
  <si>
    <t>GKN jogja</t>
  </si>
  <si>
    <t>Investigasi chiller ALS</t>
  </si>
  <si>
    <t>Repair Chiller ALS</t>
  </si>
  <si>
    <t xml:space="preserve">Sumber Kopi prima </t>
  </si>
  <si>
    <t xml:space="preserve">RS Ungaran </t>
  </si>
  <si>
    <t>Repair MDS</t>
  </si>
  <si>
    <t>Teras Adi</t>
  </si>
  <si>
    <t>Over houl ChillerMCS</t>
  </si>
  <si>
    <t>Check Cenrralize</t>
  </si>
  <si>
    <t>Indofood Fortuna makmur</t>
  </si>
  <si>
    <t>sparepart UAL</t>
  </si>
  <si>
    <t>Replace Oil EWAD</t>
  </si>
  <si>
    <t>Sparepart PEH</t>
  </si>
  <si>
    <t>Sparepart UAL</t>
  </si>
  <si>
    <t>Pelangi Abadi</t>
  </si>
  <si>
    <t>sparepart MDB</t>
  </si>
  <si>
    <t>Scaling Chiller CUWD</t>
  </si>
  <si>
    <t>CBRE Consultan Service</t>
  </si>
  <si>
    <t>Repair MDB</t>
  </si>
  <si>
    <t>RS Moewardi Solo</t>
  </si>
  <si>
    <t>Investigasi CUWD</t>
  </si>
  <si>
    <t>RS. Moewardi Solo</t>
  </si>
  <si>
    <t>Repair Chiller CUWD</t>
  </si>
  <si>
    <t xml:space="preserve">Rakan Jaya </t>
  </si>
  <si>
    <t>Labuor Replace  Oil UAA</t>
  </si>
  <si>
    <t>Sparepart Replace Oil UAA</t>
  </si>
  <si>
    <t>sparepart UAA</t>
  </si>
  <si>
    <t>Sparepart Refrigerant UAA</t>
  </si>
  <si>
    <t>Sparepart  &amp; Repair  UAA</t>
  </si>
  <si>
    <t xml:space="preserve">Indofood IABM </t>
  </si>
  <si>
    <t>Repair WSC</t>
  </si>
  <si>
    <t>Spareapart WSC</t>
  </si>
  <si>
    <t>PT. SJA</t>
  </si>
  <si>
    <t>Disconnect Evap UAA</t>
  </si>
  <si>
    <t>PT.SJA</t>
  </si>
  <si>
    <t>Recommisioning Chiller UAA</t>
  </si>
  <si>
    <t>ARTHOTEL</t>
  </si>
  <si>
    <t>Sparepart WSC</t>
  </si>
  <si>
    <t>Negotiation</t>
  </si>
  <si>
    <t>UGM</t>
  </si>
  <si>
    <t xml:space="preserve">Sparepart WSC </t>
  </si>
  <si>
    <t xml:space="preserve">Artos Hotel </t>
  </si>
  <si>
    <t xml:space="preserve">Repair leak </t>
  </si>
  <si>
    <t>Pandatex</t>
  </si>
  <si>
    <t xml:space="preserve">Repair Leak MAC </t>
  </si>
  <si>
    <t>RP- Repair Chiller Evaporator</t>
  </si>
  <si>
    <t>sariroti</t>
  </si>
  <si>
    <t>Quality Hotel</t>
  </si>
  <si>
    <t>Recommisioning Chiller PFS</t>
  </si>
  <si>
    <t>Gratia husada</t>
  </si>
  <si>
    <t>Rayon Utama Makmur</t>
  </si>
  <si>
    <t>Sparepart</t>
  </si>
  <si>
    <t>Column1</t>
  </si>
  <si>
    <t>Sales</t>
  </si>
  <si>
    <t>PT Gita Persada Mandiri (RC-UAL 150 Gita Persada) - David</t>
  </si>
  <si>
    <t>RC Chiller UAL150 x 2 Unit</t>
  </si>
  <si>
    <t>CV Dinamika Surya Kencana - David</t>
  </si>
  <si>
    <t>PT United Rope</t>
  </si>
  <si>
    <t>PT Otani</t>
  </si>
  <si>
    <t>PT AVI</t>
  </si>
  <si>
    <t>PT Gita Persada Mandiri - David</t>
  </si>
  <si>
    <t>PT Kurniatama Polypack</t>
  </si>
  <si>
    <t>PT. GITA PERSADA MANDIRI - David</t>
  </si>
  <si>
    <t>Trisun Technques Mandiri - David</t>
  </si>
  <si>
    <t>HTS100 - SBHB</t>
  </si>
  <si>
    <t>Cooling Tower - Kepri Mall</t>
  </si>
  <si>
    <t>PT WIKA Gedung - David</t>
  </si>
  <si>
    <t>Project Bandara Hang Nadim - Batam</t>
  </si>
  <si>
    <t>ERIK</t>
  </si>
  <si>
    <t>DANIS</t>
  </si>
  <si>
    <t>PT Manggala Jaya - David</t>
  </si>
  <si>
    <t xml:space="preserve">Project LANUD - Pekanbaru </t>
  </si>
  <si>
    <t>PT. Kontindo Panca Manunggal - David</t>
  </si>
  <si>
    <t>Project Phytocemindo</t>
  </si>
  <si>
    <t>RANGGA</t>
  </si>
  <si>
    <t>Project PT. Vaksindo Bogor
DAIKIN ” Air Cooled Screw Chiller “  (2)
Model : UAA204ST3-FDD 
Capacity : 207,6 TR – 730 kW 
Power Input : 227.4 kW 
Efficiency : 1,09 kW/TR 
Refrigerant : R 134 A</t>
  </si>
  <si>
    <t>ARIS</t>
  </si>
  <si>
    <t>SPV Project</t>
  </si>
  <si>
    <t>Isuzu</t>
  </si>
  <si>
    <t>UAL1000</t>
  </si>
  <si>
    <t>Brine Chiller  60 TR - PT Plasindo</t>
  </si>
  <si>
    <t>Pompa - SKA Mall - Pekanbaru</t>
  </si>
  <si>
    <t>IKPP</t>
  </si>
  <si>
    <t>RSJ</t>
  </si>
  <si>
    <t>FCU 64 unit</t>
  </si>
  <si>
    <t>PT. Wisana Matrakarya - David - Samuel</t>
  </si>
  <si>
    <t>Project VES - Lanud</t>
  </si>
  <si>
    <t>PT Managgala Jaya -David</t>
  </si>
  <si>
    <t>FCU DCC30CW - Lanud</t>
  </si>
  <si>
    <t>PT. Sarana Teknik Wiratama -  David - Samuel</t>
  </si>
  <si>
    <t>DAIKIN ” Air Cooled Scroll Chiller “  (1 UNIT)</t>
  </si>
  <si>
    <t>Menerima PO  26 Februari 2026</t>
  </si>
  <si>
    <t xml:space="preserve">DAIKIN ” Air Cooled Scroll Chiller “  (6 UNIT)
Model : UAL 450 D5  
Capacity : 38 TR  
Power Input : 40.5 kW  
Refrigerant : R410 A </t>
  </si>
  <si>
    <t>Menerima PO  23 Februari 2026</t>
  </si>
  <si>
    <t>AC Wahana</t>
  </si>
  <si>
    <t>RS Columbia, AHU &amp; FCU</t>
  </si>
  <si>
    <t>AHU DM2 - PT Internusa Food</t>
  </si>
  <si>
    <t>PT Gita Persada Mandiri - David - Samuel</t>
  </si>
  <si>
    <t>Project Replacement Chiller RS Hasan Sadikin Bandung - UAL230D5  (2)</t>
  </si>
  <si>
    <t>Project Replacement Chiller Siloam Hospitals Jambi - UAL230D5   (1)</t>
  </si>
  <si>
    <t>UAL150ER5</t>
  </si>
  <si>
    <t>Project Replacement Chiller - PT. Meiji Ruber  - UAL230D5  (1)</t>
  </si>
  <si>
    <t>PT. Nusautama Medicalindo</t>
  </si>
  <si>
    <t xml:space="preserve">RC Project RS Columbia Asia Medan 
“Daikin China” Air Cooled Single Screw Chiller  (1)
Model                         : UAA204ST3-FBD 
Cap. Cooling              : 717.0 kW/203.8TR 
Power Input                : 216.1 kW 
Refrigerant                 : R134a 
Quantity Compressor : 1 unit </t>
  </si>
  <si>
    <t>1. Kalah karena harga instalasi lebih mahal
2. TOP tidak sesuai dengan request customer
3. Yang menang ialah Danambus</t>
  </si>
  <si>
    <t>Project RC Pakuwon Mall – Bekasi
“Daikin China”  Air Handling Unit (2)
Model                         : DDW070DF
Supply Air Volume    : 5537 CMH
Cooling Capacity       : 26.27kW</t>
  </si>
  <si>
    <t>PT. Jaya Sakti Mulia</t>
  </si>
  <si>
    <t>RC Project Pakuwon</t>
  </si>
  <si>
    <t>Menerima PO tanggal 10 Maret 2026</t>
  </si>
  <si>
    <t>not yet</t>
  </si>
  <si>
    <t xml:space="preserve">AC Wahana </t>
  </si>
  <si>
    <t xml:space="preserve">RC Project Rumah Sakit Jantung Medan </t>
  </si>
  <si>
    <t>Dealer kalah</t>
  </si>
  <si>
    <t>RC Project MTP
“Daikin China”  Air Cooled Scroll Chiller  (1)
Model                         : UAL340D5 
Refrigerant                 : R410a 
Cooling Capacity       : 100kW 
Quantity Compressor : 3 unit</t>
  </si>
  <si>
    <t xml:space="preserve"> RC Project EJIP Cikarang
“Daikin Indonesia”  Floor Standing Free Blow (1)
Model                         : DFS150BW A 
Supply Air Volume    : 4000 CFM 
Cooling Capacity       : 150,000 BTU/h / 44kW 
“Daikin China”  Air Cooled Inverter Rotor Mini Chiller   (1)
Model                         : UAL150 ER5 
Refrigerant                 : R410A 
Cooling Capacity       : 40kW 
Quantity Compressor : 1 unit</t>
  </si>
  <si>
    <t xml:space="preserve">RSBP Batam
RC Project :
1. ZUWV6Q8OSF  CHiller (3)
2. xtended Warranty (Entire Unit) – 4 years  (3)
3. Control (1)
4. Pompa </t>
  </si>
  <si>
    <t>Project Flex - industry clean room
RC Project :
“Daikin China” Air Cooled Scroll Chiller  Non Inverter 
Model                         : UAL450D5 
Cooling Capacity        : 135.0 kW 
Power Input                : 40.3 kW 
Refrigerant                 : R410A 
Compressor Quantity : 4 
“Daikin China” Air Cooled Scroll Chiller Inverter 
Model                         : UAL450E5 
Cooling Capacity        : 130.0 kW 
Power Input                : 38.5 kW 
Refrigerant                 : R410A 
Compressor Quantity : 2 
“Daikin China”  Air Handling Unit Standar 
Model                      : DDM- E5 
“Daikin China”  Air Handling Unit EC Fan 
Model                      : DDM- E5 
“Daikin China”  MAU Standar 
Model                      : DDM- E5 
“Daikin China”  MAU EC Fan 
Model                      : DDM- E5</t>
  </si>
  <si>
    <t xml:space="preserve">Project Hotel Mercure Pontianak 
“Daikin China”  Fan Coil Unit  (284)
Model                      : FWW </t>
  </si>
  <si>
    <t>Gedung Arinav
“Daikin China” Air Cooled  Single Screw Chiller  (2)
Model                         : UAA105ST3-FBD 
Cooling Capacity        : 370.0kW  
Power Input                : 115.5kW  
Refrigerant                 : R134a 
Compressor Quantity : 1 unit 
“Daikin China”  Fan Coil Unit  (35)
Model                      : FWW 
“Daikin Indonesia”  Air Handling Unit  (8)
Model                         : DDB - DS</t>
  </si>
  <si>
    <t>RC Project RSUD Muara Dua Sumsel
“Daikin China” Air Cooled Scroll Chiller  (1)
Model                         : UAL150ER5 
Cooling Capacity        : 40 kW  
Power Input                : 14.4 kW  
Refrigerant                 : R410A 
Compressor Quantity : 1 unit 
“Daikin China”  Air Handling Unit (1)
Model                      : DDM0709-E5 
Supply Air Volume : 6198 CMH 
Cooling Capacity     : 42.18 kW</t>
  </si>
  <si>
    <t>Genebank Bogor
“Daikin China” Air Cooled Scroll Chiller   (7)
Model                         : UAL1000D5 
Cooling Capacity        : 295.0kW  
Power Input                : 92.2kW  
Refrigerant                 : R410A 
Compressor Quantity : 4 unit 
“Daikin China”  Air Handling Unit (11)
Model                      : DDM- E5 
“Daikin Indonesia”  Fan Coil Unit (9)
Model                         : DDB - BW</t>
  </si>
  <si>
    <t xml:space="preserve">Genebank Bogor
“Daikin China” Air Cooled Scroll Chiller  (7)
Model                         : UAL1000D5 
Cooling Capacity        : 295.0kW  
Power Input                : 92.2kW  
Refrigerant                 : R410A 
Compressor Quantity : 4 unit 
“Daikin China”  Air Handling Unit (11)
Model                      : DDM- E5 
“Daikin Indonesia”  Fan Coil Unit (9)
Model                         : DDB - BW </t>
  </si>
  <si>
    <t xml:space="preserve">RC Project PLTA Saguling
“Daikin China” Air Cooled Scroll Chiller  (2)
Model                         : UAL1000D5 
Cooling Capacity        : 295 kW / 316.1416 TR 
Power Input                :  92.2 kW  
Refrigerant                 : R410A 
Compressor Quantity : 4 unit 
“Daikin China”  Air Handling Unit  (4)
Model                      : DDM- E5 </t>
  </si>
  <si>
    <t>PT. Imecon Anugerah Perkasa - David - Samuel</t>
  </si>
  <si>
    <t xml:space="preserve">Compressor Quantity : 1 unit </t>
  </si>
  <si>
    <t>Sudah menerima PO dari PT. Imecon di 23 Februari 2026, salesnya Bapak Aris</t>
  </si>
  <si>
    <t xml:space="preserve">RC Project DNP Karawang (1)
“Daikin China”  Air Handling Unit 
Model                      : DDW120DB 
Cooling Capacity    : 65.05kW 
Supply Air Volume : 10800 CMH </t>
  </si>
  <si>
    <t xml:space="preserve">RC Project The Laguna Nusa Dua Bali
“Daikin Indonesia” Fan Coil Unit  (2)
Model                      : DDB- BW 
“Daikin China”  Fan Coil Unit  (17)
Model                         : FWW-TC </t>
  </si>
  <si>
    <t xml:space="preserve">RC Project St. Regis
“Daikin Indonesia” Fan Coil Unit (2)
Model                      : DDB- BW 
“Daikin China”  Fan Coil Unit (13)
Model                         : FWW1600TC 
Air Flow                     : 2700 CMH 
Cooling Capacity       : 13.85 kW  </t>
  </si>
  <si>
    <t>C Project PT. Dover Chemical - Merak 
“Daikin China” Water Cooled  Single Screw Chiller   (1)
Model                         : ZUWY4G2D4J2JSF/E2409-DH-2 
Cooling Capacity        : 403.6TR  
Power Input                : 262.6kW  
Refrigerant                 : R134a 
Compressor Quantity : 2 unit 
“Daikin China” Water Cooled  Single Screw Chiller   (1)
Model                         : ZUWY6Q2OSF/F3012-JE-2 
Cooling Capacity        : 520.5TR 
Power Input                : 282.7kW 
Refrigerant                 : R134a 
Compressor Quantity : 1 unit</t>
  </si>
  <si>
    <t xml:space="preserve">RC Project Bandara Sentani
“Daikin China” Water Cooled Single Screw Chiller   (2)
Model                         : ZUWY5K2JSF/F3012-QE-2 
Cooling Capacity        : 1122.6264 kW/ 319.2 TR 
Power Input                : 173.9 kW at 100% load 
Refrigerant                 : R134a 
Compressor Quantity : 1 unit 
“Daikin China”  Air Handling Unit  (5)
Model                      : DDM- E5 
“Daikin China”  Fan Coil Unit (25)
Model                         : FWW1000VC 
Air Flow                     : 1711 CMH 
Cooling Capacity       : 9.16Kw </t>
  </si>
  <si>
    <t>RC Project IKPP Perawang
“Daikin China” Air Handling Unit  (15 ea)
Model               : DDW - D</t>
  </si>
  <si>
    <t xml:space="preserve">RC Project CCO Factory Palembang 
DAIKIN ” Modular Air Cooled Chiller “ (2)
Model : UAL340D5 
DAIKIN ” Modular Air Cooled Chiller “ (2)
Model : UAL450D5 </t>
  </si>
  <si>
    <t xml:space="preserve">RC Project Garuda Food 
AIKIN ” Air Cooled Single Screw Chiller “  (1)
Model : UAA140ST3-FBD 
Cooling Capacity : 505 kW 
Power Input : 151.6 kW 
COP : 3.33 
EWT/LWT : 12 / 7 C 
Ambient Temperature : 35 C </t>
  </si>
  <si>
    <t>PT. Wahana Teknik Indonesia - David</t>
  </si>
  <si>
    <t xml:space="preserve">“Daikin Indonesia”  Air Handling Unit </t>
  </si>
  <si>
    <t xml:space="preserve">Model                         : DDB - DS </t>
  </si>
  <si>
    <t xml:space="preserve">385.000.000 </t>
  </si>
  <si>
    <t>PT.Cipta Kreasindo Teknika  - David</t>
  </si>
  <si>
    <t xml:space="preserve">Project Filling room C3 – Indolakto 
Sukabumi 
DAIKIN ” Air Handling Unit “  (1)
Model : DDM1517-E5 
Capacity : 285.87 kW 
Air Volume : 27000 CMH 
VSD : Exclude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</si>
</sst>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_ ;_ * \-#,##0_ ;_ * &quot;-&quot;_ ;_ @_ "/>
    <numFmt numFmtId="165" formatCode="_ * #,##0.00_ ;_ * \-#,##0.00_ ;_ * &quot;-&quot;??_ ;_ @_ "/>
    <numFmt numFmtId="166" formatCode="_(* #,##0.00_);_(* \(#,##0.00\);_(* &quot;-&quot;??_);_(@_)"/>
    <numFmt numFmtId="167" formatCode="_ * #,##0_ ;_ * \-#,##0_ ;_ * &quot;-&quot;??_ ;_ @_ "/>
    <numFmt numFmtId="168" formatCode="_(* #,##0_);_(* \(#,##0\);_(* &quot;-&quot;??_);_(@_)"/>
    <numFmt numFmtId="169" formatCode="#,##0\ ;&quot; (&quot;#,##0\);&quot; -&quot;#\ ;@\ "/>
    <numFmt numFmtId="170" formatCode="#,##0\ ;[Red]\-#,##0\ "/>
    <numFmt numFmtId="171" formatCode="_([$Rp-421]* #,##0_);_([$Rp-421]* \(#,##0\);_([$Rp-421]* &quot;-&quot;??_);_(@_)"/>
    <numFmt numFmtId="172" formatCode="[$-409]mmm\-yy;@"/>
  </numFmts>
  <fonts count="40">
    <font>
      <sz val="11"/>
      <color rgb="FF000000"/>
      <name val="Calibri"/>
      <charset val="134"/>
    </font>
    <font>
      <sz val="11"/>
      <color theme="1"/>
      <name val="Calibri"/>
      <family val="2"/>
      <scheme val="minor"/>
    </font>
    <font>
      <sz val="10"/>
      <color rgb="FF000000"/>
      <name val="Calibri"/>
      <family val="2"/>
    </font>
    <font>
      <b/>
      <sz val="10"/>
      <color rgb="FF000000"/>
      <name val="Calibri"/>
      <family val="2"/>
    </font>
    <font>
      <sz val="10"/>
      <name val="Calibri"/>
      <family val="2"/>
    </font>
    <font>
      <b/>
      <sz val="10"/>
      <name val="Calibri"/>
      <family val="2"/>
    </font>
    <font>
      <sz val="10"/>
      <color rgb="FF0066CC"/>
      <name val="Calibri"/>
      <family val="2"/>
    </font>
    <font>
      <sz val="11"/>
      <name val="Calibri"/>
      <family val="2"/>
    </font>
    <font>
      <sz val="8"/>
      <name val="Calibri"/>
      <family val="2"/>
    </font>
    <font>
      <b/>
      <sz val="9"/>
      <name val="Calibri"/>
      <family val="2"/>
    </font>
    <font>
      <b/>
      <sz val="11"/>
      <name val="Calibri"/>
      <family val="2"/>
    </font>
    <font>
      <sz val="9"/>
      <name val="Calibri"/>
      <family val="2"/>
    </font>
    <font>
      <sz val="11"/>
      <color rgb="FF000000"/>
      <name val="Calibri"/>
      <family val="2"/>
    </font>
    <font>
      <sz val="9"/>
      <color theme="1"/>
      <name val="Calibri"/>
      <family val="2"/>
      <scheme val="minor"/>
    </font>
    <font>
      <sz val="11"/>
      <color theme="1"/>
      <name val="Calibri"/>
      <family val="2"/>
      <scheme val="minor"/>
    </font>
    <font>
      <b/>
      <sz val="9"/>
      <color theme="1"/>
      <name val="Calibri"/>
      <family val="2"/>
      <scheme val="minor"/>
    </font>
    <font>
      <sz val="8"/>
      <color theme="1"/>
      <name val="Calibri"/>
      <family val="2"/>
      <scheme val="minor"/>
    </font>
    <font>
      <b/>
      <sz val="10"/>
      <color theme="1"/>
      <name val="Calibri"/>
      <family val="2"/>
      <scheme val="minor"/>
    </font>
    <font>
      <sz val="9"/>
      <color rgb="FFFF0000"/>
      <name val="Calibri"/>
      <family val="2"/>
      <scheme val="minor"/>
    </font>
    <font>
      <sz val="9"/>
      <name val="Calibri"/>
      <family val="2"/>
      <scheme val="minor"/>
    </font>
    <font>
      <b/>
      <sz val="10"/>
      <name val="Calibri"/>
      <family val="2"/>
      <scheme val="minor"/>
    </font>
    <font>
      <sz val="11"/>
      <color indexed="8"/>
      <name val="Calibri"/>
      <family val="2"/>
    </font>
    <font>
      <sz val="10"/>
      <name val="Arial"/>
      <family val="2"/>
    </font>
    <font>
      <sz val="11"/>
      <color indexed="8"/>
      <name val="Calibri"/>
      <family val="2"/>
    </font>
    <font>
      <sz val="9"/>
      <color theme="1"/>
      <name val="Calibri"/>
      <family val="2"/>
    </font>
    <font>
      <b/>
      <sz val="8"/>
      <name val="Arial"/>
      <family val="2"/>
    </font>
    <font>
      <sz val="11"/>
      <color rgb="FF444444"/>
      <name val="Calibri"/>
      <family val="2"/>
      <charset val="1"/>
    </font>
    <font>
      <sz val="11"/>
      <color theme="4" tint="-0.249977111117893"/>
      <name val="Calibri"/>
      <family val="2"/>
    </font>
    <font>
      <b/>
      <sz val="11"/>
      <color theme="4" tint="-0.249977111117893"/>
      <name val="Calibri"/>
      <family val="2"/>
    </font>
    <font>
      <sz val="11"/>
      <color rgb="FF000000"/>
      <name val="Calibri"/>
      <family val="2"/>
      <charset val="134"/>
    </font>
    <font>
      <sz val="10"/>
      <color theme="1"/>
      <name val="Calibri"/>
      <family val="2"/>
      <scheme val="minor"/>
    </font>
    <font>
      <sz val="9"/>
      <color rgb="FF444444"/>
      <name val="Calibri"/>
      <family val="2"/>
      <charset val="1"/>
    </font>
    <font>
      <sz val="11"/>
      <color rgb="FF000000"/>
      <name val="Calibri"/>
      <family val="2"/>
    </font>
    <font>
      <sz val="9"/>
      <color theme="1"/>
      <name val="Calibri"/>
      <family val="2"/>
      <charset val="134"/>
    </font>
    <font>
      <sz val="9"/>
      <color rgb="FF000000"/>
      <name val="Calibri"/>
      <family val="2"/>
    </font>
    <font>
      <sz val="8"/>
      <name val="Calibri"/>
      <family val="2"/>
    </font>
    <font>
      <sz val="11"/>
      <color theme="1"/>
      <name val="Calibri"/>
      <scheme val="minor"/>
    </font>
    <font>
      <sz val="9"/>
      <color rgb="FF000000"/>
      <name val="Calibri"/>
      <charset val="1"/>
    </font>
    <font>
      <sz val="9"/>
      <color rgb="FF242424"/>
      <name val="Aptos Narrow"/>
      <charset val="1"/>
    </font>
    <font>
      <sz val="10"/>
      <color rgb="FF000000"/>
      <name val="Calibri"/>
      <scheme val="minor"/>
    </font>
  </fonts>
  <fills count="21">
    <fill>
      <patternFill patternType="none"/>
    </fill>
    <fill>
      <patternFill patternType="gray125"/>
    </fill>
    <fill>
      <patternFill patternType="solid">
        <fgColor rgb="FFD8D8D8"/>
        <bgColor rgb="FFD8D8D8"/>
      </patternFill>
    </fill>
    <fill>
      <patternFill patternType="solid">
        <fgColor rgb="FF0066CC"/>
        <bgColor rgb="FF0066CC"/>
      </patternFill>
    </fill>
    <fill>
      <patternFill patternType="solid">
        <fgColor rgb="FFFFFFFF"/>
        <bgColor rgb="FFFFFFFF"/>
      </patternFill>
    </fill>
    <fill>
      <patternFill patternType="solid">
        <fgColor rgb="FFFFFF00"/>
        <bgColor rgb="FFFFFF00"/>
      </patternFill>
    </fill>
    <fill>
      <patternFill patternType="solid">
        <fgColor rgb="FF95B3D7"/>
        <bgColor rgb="FF95B3D7"/>
      </patternFill>
    </fill>
    <fill>
      <patternFill patternType="solid">
        <fgColor rgb="FFDBE5F1"/>
        <bgColor rgb="FFDBE5F1"/>
      </patternFill>
    </fill>
    <fill>
      <patternFill patternType="solid">
        <fgColor rgb="FFDAEEF3"/>
        <bgColor rgb="FFDAEEF3"/>
      </patternFill>
    </fill>
    <fill>
      <patternFill patternType="solid">
        <fgColor rgb="FFFF0000"/>
        <bgColor rgb="FFFF0000"/>
      </patternFill>
    </fill>
    <fill>
      <patternFill patternType="solid">
        <fgColor rgb="FF00FF00"/>
        <bgColor rgb="FF00FF00"/>
      </patternFill>
    </fill>
    <fill>
      <patternFill patternType="solid">
        <fgColor rgb="FFF2DBDB"/>
        <bgColor rgb="FFF2DBDB"/>
      </patternFill>
    </fill>
    <fill>
      <patternFill patternType="solid">
        <fgColor rgb="FF0C0C0C"/>
        <bgColor rgb="FF0C0C0C"/>
      </patternFill>
    </fill>
    <fill>
      <patternFill patternType="solid">
        <fgColor rgb="FF7030A0"/>
        <bgColor rgb="FF7030A0"/>
      </patternFill>
    </fill>
    <fill>
      <patternFill patternType="solid">
        <fgColor theme="4" tint="0.39994506668294322"/>
        <bgColor theme="8"/>
      </patternFill>
    </fill>
    <fill>
      <patternFill patternType="solid">
        <fgColor theme="4" tint="0.39994506668294322"/>
        <bgColor indexed="64"/>
      </patternFill>
    </fill>
    <fill>
      <patternFill patternType="solid">
        <fgColor rgb="FFFFFF00"/>
        <bgColor indexed="64"/>
      </patternFill>
    </fill>
    <fill>
      <patternFill patternType="solid">
        <fgColor rgb="FF00FF00"/>
        <bgColor rgb="FF000000"/>
      </patternFill>
    </fill>
    <fill>
      <patternFill patternType="solid">
        <fgColor rgb="FFFFFFFF"/>
        <bgColor rgb="FF000000"/>
      </patternFill>
    </fill>
    <fill>
      <patternFill patternType="solid">
        <fgColor rgb="FFFFC000"/>
        <bgColor indexed="64"/>
      </patternFill>
    </fill>
    <fill>
      <patternFill patternType="solid">
        <fgColor theme="2" tint="-0.249977111117893"/>
        <bgColor indexed="64"/>
      </patternFill>
    </fill>
  </fills>
  <borders count="64">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top style="thin">
        <color rgb="FF000000"/>
      </top>
      <bottom/>
      <diagonal/>
    </border>
    <border>
      <left style="medium">
        <color rgb="FF000000"/>
      </left>
      <right style="medium">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style="medium">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rgb="FF000000"/>
      </left>
      <right/>
      <top style="medium">
        <color rgb="FF000000"/>
      </top>
      <bottom/>
      <diagonal/>
    </border>
    <border>
      <left style="medium">
        <color rgb="FF000000"/>
      </left>
      <right/>
      <top style="thin">
        <color rgb="FF000000"/>
      </top>
      <bottom/>
      <diagonal/>
    </border>
    <border>
      <left style="medium">
        <color rgb="FF000000"/>
      </left>
      <right/>
      <top/>
      <bottom style="thin">
        <color rgb="FF000000"/>
      </bottom>
      <diagonal/>
    </border>
    <border>
      <left/>
      <right style="thin">
        <color rgb="FF000000"/>
      </right>
      <top/>
      <bottom/>
      <diagonal/>
    </border>
    <border>
      <left style="medium">
        <color rgb="FF000000"/>
      </left>
      <right style="thick">
        <color rgb="FF000000"/>
      </right>
      <top style="thin">
        <color rgb="FF000000"/>
      </top>
      <bottom style="thin">
        <color rgb="FF000000"/>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92CDDC"/>
      </left>
      <right/>
      <top style="thin">
        <color rgb="FF92CDDC"/>
      </top>
      <bottom style="thin">
        <color rgb="FF92CDDC"/>
      </bottom>
      <diagonal/>
    </border>
    <border>
      <left/>
      <right/>
      <top style="thin">
        <color rgb="FF92CDDC"/>
      </top>
      <bottom style="thin">
        <color rgb="FF92CDDC"/>
      </bottom>
      <diagonal/>
    </border>
    <border>
      <left/>
      <right/>
      <top style="medium">
        <color rgb="FF000000"/>
      </top>
      <bottom/>
      <diagonal/>
    </border>
    <border>
      <left/>
      <right style="medium">
        <color rgb="FF000000"/>
      </right>
      <top style="medium">
        <color rgb="FF000000"/>
      </top>
      <bottom/>
      <diagonal/>
    </border>
    <border>
      <left/>
      <right/>
      <top/>
      <bottom style="thin">
        <color rgb="FF92CDDC"/>
      </bottom>
      <diagonal/>
    </border>
    <border>
      <left/>
      <right style="thin">
        <color rgb="FF92CDDC"/>
      </right>
      <top/>
      <bottom style="thin">
        <color rgb="FF92CDDC"/>
      </bottom>
      <diagonal/>
    </border>
    <border>
      <left/>
      <right style="thin">
        <color rgb="FF92CDDC"/>
      </right>
      <top style="thin">
        <color rgb="FF92CDDC"/>
      </top>
      <bottom style="thin">
        <color rgb="FF92CDDC"/>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theme="8" tint="0.39994506668294322"/>
      </top>
      <bottom style="thin">
        <color theme="8" tint="0.39994506668294322"/>
      </bottom>
      <diagonal/>
    </border>
    <border>
      <left/>
      <right/>
      <top/>
      <bottom style="thin">
        <color theme="8" tint="0.39994506668294322"/>
      </bottom>
      <diagonal/>
    </border>
    <border>
      <left/>
      <right/>
      <top style="thin">
        <color theme="8" tint="0.39991454817346722"/>
      </top>
      <bottom style="thin">
        <color theme="8" tint="0.39991454817346722"/>
      </bottom>
      <diagonal/>
    </border>
    <border>
      <left/>
      <right style="thin">
        <color theme="8" tint="0.39994506668294322"/>
      </right>
      <top style="thin">
        <color theme="8" tint="0.39994506668294322"/>
      </top>
      <bottom style="thin">
        <color theme="8" tint="0.39994506668294322"/>
      </bottom>
      <diagonal/>
    </border>
    <border>
      <left/>
      <right/>
      <top style="thin">
        <color theme="8" tint="0.39994506668294322"/>
      </top>
      <bottom/>
      <diagonal/>
    </border>
    <border>
      <left style="thin">
        <color theme="8" tint="0.39994506668294322"/>
      </left>
      <right/>
      <top style="thin">
        <color theme="8" tint="0.39994506668294322"/>
      </top>
      <bottom style="thin">
        <color theme="8" tint="0.39994506668294322"/>
      </bottom>
      <diagonal/>
    </border>
    <border>
      <left style="thin">
        <color theme="8" tint="0.39991454817346722"/>
      </left>
      <right/>
      <top style="thin">
        <color theme="8" tint="0.39991454817346722"/>
      </top>
      <bottom style="thin">
        <color theme="8" tint="0.39991454817346722"/>
      </bottom>
      <diagonal/>
    </border>
    <border>
      <left style="medium">
        <color auto="1"/>
      </left>
      <right/>
      <top style="medium">
        <color auto="1"/>
      </top>
      <bottom style="medium">
        <color auto="1"/>
      </bottom>
      <diagonal/>
    </border>
    <border>
      <left/>
      <right style="thin">
        <color theme="8" tint="0.39994506668294322"/>
      </right>
      <top/>
      <bottom style="thin">
        <color theme="8" tint="0.39994506668294322"/>
      </bottom>
      <diagonal/>
    </border>
    <border>
      <left/>
      <right style="thin">
        <color theme="8" tint="0.39991454817346722"/>
      </right>
      <top style="thin">
        <color theme="8" tint="0.39991454817346722"/>
      </top>
      <bottom style="thin">
        <color theme="8" tint="0.39991454817346722"/>
      </bottom>
      <diagonal/>
    </border>
    <border>
      <left/>
      <right/>
      <top style="thin">
        <color theme="8" tint="0.39997558519241921"/>
      </top>
      <bottom style="thin">
        <color theme="8" tint="0.39997558519241921"/>
      </bottom>
      <diagonal/>
    </border>
    <border>
      <left/>
      <right/>
      <top style="thin">
        <color theme="8" tint="0.3999755851924192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4">
    <xf numFmtId="0" fontId="0" fillId="0" borderId="0"/>
    <xf numFmtId="0" fontId="14" fillId="0" borderId="0"/>
    <xf numFmtId="0" fontId="21" fillId="0" borderId="0" applyProtection="0"/>
    <xf numFmtId="0" fontId="21" fillId="0" borderId="0"/>
    <xf numFmtId="166" fontId="12" fillId="0" borderId="0" applyFont="0" applyFill="0" applyBorder="0" applyAlignment="0" applyProtection="0"/>
    <xf numFmtId="0" fontId="21" fillId="0" borderId="0"/>
    <xf numFmtId="0" fontId="14" fillId="0" borderId="0"/>
    <xf numFmtId="0" fontId="21" fillId="0" borderId="0" applyProtection="0"/>
    <xf numFmtId="165" fontId="21" fillId="0" borderId="0" applyFont="0" applyFill="0" applyBorder="0" applyAlignment="0" applyProtection="0">
      <alignment vertical="center"/>
    </xf>
    <xf numFmtId="166" fontId="14" fillId="0" borderId="0" applyFont="0" applyFill="0" applyBorder="0" applyAlignment="0" applyProtection="0"/>
    <xf numFmtId="166" fontId="12" fillId="0" borderId="0" applyFont="0" applyFill="0" applyBorder="0" applyAlignment="0" applyProtection="0"/>
    <xf numFmtId="165" fontId="22" fillId="0" borderId="0" applyFont="0" applyFill="0" applyBorder="0" applyAlignment="0" applyProtection="0">
      <alignment vertical="center"/>
    </xf>
    <xf numFmtId="166" fontId="14" fillId="0" borderId="0" applyFont="0" applyFill="0" applyBorder="0" applyAlignment="0" applyProtection="0"/>
    <xf numFmtId="0" fontId="21" fillId="0" borderId="0"/>
    <xf numFmtId="0" fontId="23" fillId="0" borderId="0"/>
    <xf numFmtId="0" fontId="21" fillId="0" borderId="0"/>
    <xf numFmtId="0" fontId="14" fillId="0" borderId="0"/>
    <xf numFmtId="0" fontId="23" fillId="0" borderId="0"/>
    <xf numFmtId="0" fontId="14" fillId="0" borderId="0"/>
    <xf numFmtId="9" fontId="14" fillId="0" borderId="0" applyFont="0" applyFill="0" applyBorder="0" applyAlignment="0" applyProtection="0"/>
    <xf numFmtId="9" fontId="12" fillId="0" borderId="0" applyFont="0" applyFill="0" applyBorder="0" applyAlignment="0" applyProtection="0"/>
    <xf numFmtId="9" fontId="14" fillId="0" borderId="0" applyFont="0" applyFill="0" applyBorder="0" applyAlignment="0" applyProtection="0"/>
    <xf numFmtId="166" fontId="32" fillId="0" borderId="0" applyFont="0" applyFill="0" applyBorder="0" applyAlignment="0" applyProtection="0"/>
    <xf numFmtId="0" fontId="22" fillId="0" borderId="0"/>
  </cellStyleXfs>
  <cellXfs count="627">
    <xf numFmtId="0" fontId="0" fillId="0" borderId="0" xfId="0"/>
    <xf numFmtId="0" fontId="2" fillId="0" borderId="0" xfId="0" applyFont="1" applyAlignment="1">
      <alignment vertical="center"/>
    </xf>
    <xf numFmtId="3" fontId="3" fillId="0" borderId="0" xfId="0" applyNumberFormat="1" applyFont="1" applyAlignment="1">
      <alignment horizontal="center" vertical="center"/>
    </xf>
    <xf numFmtId="0" fontId="3" fillId="2" borderId="1" xfId="0" applyFont="1" applyFill="1" applyBorder="1" applyAlignment="1">
      <alignment horizontal="right" vertical="center"/>
    </xf>
    <xf numFmtId="3" fontId="3" fillId="2" borderId="1" xfId="0" applyNumberFormat="1" applyFont="1" applyFill="1" applyBorder="1" applyAlignment="1">
      <alignment vertical="center"/>
    </xf>
    <xf numFmtId="0" fontId="3" fillId="3" borderId="2" xfId="0" applyFont="1" applyFill="1" applyBorder="1" applyAlignment="1">
      <alignment horizontal="center" vertical="center"/>
    </xf>
    <xf numFmtId="17" fontId="3" fillId="3" borderId="3" xfId="0" applyNumberFormat="1" applyFont="1" applyFill="1" applyBorder="1" applyAlignment="1">
      <alignment horizontal="center" vertical="center"/>
    </xf>
    <xf numFmtId="0" fontId="3" fillId="3" borderId="4" xfId="0" applyFont="1" applyFill="1" applyBorder="1" applyAlignment="1">
      <alignment horizontal="center" vertical="center"/>
    </xf>
    <xf numFmtId="0" fontId="3" fillId="3" borderId="3" xfId="0" applyFont="1" applyFill="1" applyBorder="1" applyAlignment="1">
      <alignment horizontal="center" vertical="center"/>
    </xf>
    <xf numFmtId="17" fontId="3" fillId="3" borderId="5" xfId="0" applyNumberFormat="1" applyFont="1" applyFill="1" applyBorder="1" applyAlignment="1">
      <alignment horizontal="center" vertical="center"/>
    </xf>
    <xf numFmtId="0" fontId="2" fillId="0" borderId="6" xfId="0" applyFont="1" applyBorder="1" applyAlignment="1">
      <alignment horizontal="center" vertical="center"/>
    </xf>
    <xf numFmtId="3" fontId="2" fillId="0" borderId="7" xfId="0" applyNumberFormat="1" applyFont="1" applyBorder="1" applyAlignment="1">
      <alignment horizontal="center" vertical="center"/>
    </xf>
    <xf numFmtId="0" fontId="2" fillId="0" borderId="8" xfId="0" applyFont="1" applyBorder="1"/>
    <xf numFmtId="0" fontId="2" fillId="0" borderId="7" xfId="0" applyFont="1" applyBorder="1"/>
    <xf numFmtId="3" fontId="2" fillId="0" borderId="9" xfId="0" applyNumberFormat="1" applyFont="1" applyBorder="1"/>
    <xf numFmtId="0" fontId="2" fillId="0" borderId="10" xfId="0" applyFont="1" applyBorder="1" applyAlignment="1">
      <alignment horizontal="center" vertical="center"/>
    </xf>
    <xf numFmtId="0" fontId="2" fillId="0" borderId="11" xfId="0" applyFont="1" applyBorder="1" applyAlignment="1">
      <alignment horizontal="center"/>
    </xf>
    <xf numFmtId="0" fontId="2" fillId="0" borderId="12" xfId="0" applyFont="1" applyBorder="1"/>
    <xf numFmtId="0" fontId="2" fillId="0" borderId="11" xfId="0" applyFont="1" applyBorder="1" applyAlignment="1">
      <alignment vertical="center"/>
    </xf>
    <xf numFmtId="3" fontId="2" fillId="0" borderId="13" xfId="0" applyNumberFormat="1" applyFont="1" applyBorder="1"/>
    <xf numFmtId="3" fontId="2" fillId="0" borderId="11" xfId="0" applyNumberFormat="1" applyFont="1" applyBorder="1" applyAlignment="1">
      <alignment horizontal="center" vertical="center"/>
    </xf>
    <xf numFmtId="0" fontId="2" fillId="0" borderId="11" xfId="0" applyFont="1" applyBorder="1"/>
    <xf numFmtId="3" fontId="2" fillId="0" borderId="14" xfId="0" applyNumberFormat="1" applyFont="1" applyBorder="1" applyAlignment="1">
      <alignment horizontal="center"/>
    </xf>
    <xf numFmtId="3" fontId="2" fillId="0" borderId="11" xfId="0" applyNumberFormat="1" applyFont="1" applyBorder="1" applyAlignment="1">
      <alignment horizontal="center"/>
    </xf>
    <xf numFmtId="3" fontId="2" fillId="0" borderId="15" xfId="0" applyNumberFormat="1" applyFont="1" applyBorder="1" applyAlignment="1">
      <alignment horizontal="center"/>
    </xf>
    <xf numFmtId="3" fontId="2" fillId="0" borderId="16" xfId="0" applyNumberFormat="1" applyFont="1" applyBorder="1"/>
    <xf numFmtId="0" fontId="2" fillId="0" borderId="17" xfId="0" applyFont="1" applyBorder="1"/>
    <xf numFmtId="0" fontId="2" fillId="0" borderId="14" xfId="0" applyFont="1" applyBorder="1" applyAlignment="1">
      <alignment vertical="center"/>
    </xf>
    <xf numFmtId="3" fontId="2" fillId="0" borderId="18" xfId="0" applyNumberFormat="1" applyFont="1" applyBorder="1"/>
    <xf numFmtId="3" fontId="2" fillId="0" borderId="11" xfId="0" applyNumberFormat="1" applyFont="1" applyBorder="1"/>
    <xf numFmtId="0" fontId="3" fillId="3" borderId="5" xfId="0" applyFont="1" applyFill="1" applyBorder="1" applyAlignment="1">
      <alignment horizontal="center" vertical="center"/>
    </xf>
    <xf numFmtId="0" fontId="3" fillId="0" borderId="0" xfId="0" applyFont="1" applyAlignment="1">
      <alignment horizontal="center" vertical="center"/>
    </xf>
    <xf numFmtId="3" fontId="4" fillId="0" borderId="11" xfId="0" applyNumberFormat="1" applyFont="1" applyBorder="1" applyAlignment="1">
      <alignment horizontal="center"/>
    </xf>
    <xf numFmtId="0" fontId="4" fillId="0" borderId="12" xfId="0" applyFont="1" applyBorder="1"/>
    <xf numFmtId="0" fontId="4" fillId="0" borderId="11" xfId="0" applyFont="1" applyBorder="1" applyAlignment="1">
      <alignment vertical="center"/>
    </xf>
    <xf numFmtId="0" fontId="2" fillId="0" borderId="19" xfId="0" applyFont="1" applyBorder="1" applyAlignment="1">
      <alignment horizontal="center" vertical="center"/>
    </xf>
    <xf numFmtId="167" fontId="2" fillId="0" borderId="7" xfId="0" applyNumberFormat="1" applyFont="1" applyBorder="1" applyAlignment="1">
      <alignment horizontal="center" vertical="center"/>
    </xf>
    <xf numFmtId="0" fontId="2" fillId="0" borderId="8" xfId="0" applyFont="1" applyBorder="1" applyAlignment="1">
      <alignment vertical="center"/>
    </xf>
    <xf numFmtId="0" fontId="2" fillId="0" borderId="7" xfId="0" applyFont="1" applyBorder="1" applyAlignment="1">
      <alignment vertical="center"/>
    </xf>
    <xf numFmtId="3" fontId="2" fillId="0" borderId="9" xfId="0" applyNumberFormat="1" applyFont="1" applyBorder="1" applyAlignment="1">
      <alignment vertical="center"/>
    </xf>
    <xf numFmtId="4" fontId="2" fillId="0" borderId="9" xfId="0" applyNumberFormat="1" applyFont="1" applyBorder="1" applyAlignment="1">
      <alignment vertical="center"/>
    </xf>
    <xf numFmtId="0" fontId="2" fillId="0" borderId="12" xfId="0" applyFont="1" applyBorder="1" applyAlignment="1">
      <alignment vertical="center"/>
    </xf>
    <xf numFmtId="3" fontId="2" fillId="0" borderId="13" xfId="0" applyNumberFormat="1" applyFont="1" applyBorder="1" applyAlignment="1">
      <alignment vertical="center"/>
    </xf>
    <xf numFmtId="4" fontId="2" fillId="0" borderId="13" xfId="0" applyNumberFormat="1" applyFont="1" applyBorder="1" applyAlignment="1">
      <alignment vertical="center"/>
    </xf>
    <xf numFmtId="3" fontId="2" fillId="0" borderId="14" xfId="0" applyNumberFormat="1" applyFont="1" applyBorder="1" applyAlignment="1">
      <alignment horizontal="center" vertical="center"/>
    </xf>
    <xf numFmtId="0" fontId="2" fillId="0" borderId="17" xfId="0" applyFont="1" applyBorder="1" applyAlignment="1">
      <alignment vertical="center"/>
    </xf>
    <xf numFmtId="3" fontId="2" fillId="0" borderId="18" xfId="0" applyNumberFormat="1" applyFont="1" applyBorder="1" applyAlignment="1">
      <alignment vertical="center"/>
    </xf>
    <xf numFmtId="4" fontId="2" fillId="0" borderId="18" xfId="0" applyNumberFormat="1" applyFont="1" applyBorder="1" applyAlignment="1">
      <alignment vertical="center"/>
    </xf>
    <xf numFmtId="0" fontId="2" fillId="0" borderId="20" xfId="0" applyFont="1" applyBorder="1" applyAlignment="1">
      <alignment vertical="center"/>
    </xf>
    <xf numFmtId="0" fontId="2" fillId="0" borderId="15" xfId="0" applyFont="1" applyBorder="1"/>
    <xf numFmtId="3" fontId="2" fillId="0" borderId="16" xfId="0" applyNumberFormat="1" applyFont="1" applyBorder="1" applyAlignment="1">
      <alignment vertical="center"/>
    </xf>
    <xf numFmtId="4" fontId="2" fillId="0" borderId="16" xfId="0" applyNumberFormat="1" applyFont="1" applyBorder="1" applyAlignment="1">
      <alignment vertical="center"/>
    </xf>
    <xf numFmtId="167" fontId="2" fillId="0" borderId="9" xfId="0" applyNumberFormat="1" applyFont="1" applyBorder="1" applyAlignment="1">
      <alignment vertical="center"/>
    </xf>
    <xf numFmtId="0" fontId="2" fillId="0" borderId="9" xfId="0" applyFont="1" applyBorder="1" applyAlignment="1">
      <alignment horizontal="left" vertical="center"/>
    </xf>
    <xf numFmtId="0" fontId="2" fillId="0" borderId="13" xfId="0" applyFont="1" applyBorder="1" applyAlignment="1">
      <alignment horizontal="left" vertical="center"/>
    </xf>
    <xf numFmtId="3" fontId="2" fillId="0" borderId="13" xfId="0" applyNumberFormat="1" applyFont="1" applyBorder="1" applyAlignment="1">
      <alignment horizontal="left"/>
    </xf>
    <xf numFmtId="0" fontId="2" fillId="0" borderId="18" xfId="0" applyFont="1" applyBorder="1" applyAlignment="1">
      <alignment horizontal="left" vertical="center"/>
    </xf>
    <xf numFmtId="0" fontId="2" fillId="0" borderId="11" xfId="0" applyFont="1" applyBorder="1" applyAlignment="1">
      <alignment horizontal="left" vertical="center"/>
    </xf>
    <xf numFmtId="3" fontId="2" fillId="0" borderId="15" xfId="0" applyNumberFormat="1" applyFont="1" applyBorder="1" applyAlignment="1">
      <alignment horizontal="center" vertical="center"/>
    </xf>
    <xf numFmtId="0" fontId="2" fillId="0" borderId="16" xfId="0" applyFont="1" applyBorder="1" applyAlignment="1">
      <alignment horizontal="left" vertical="center"/>
    </xf>
    <xf numFmtId="0" fontId="2" fillId="0" borderId="21" xfId="0" applyFont="1" applyBorder="1" applyAlignment="1">
      <alignment horizontal="center" vertical="center"/>
    </xf>
    <xf numFmtId="3" fontId="2" fillId="0" borderId="22" xfId="0" applyNumberFormat="1" applyFont="1" applyBorder="1"/>
    <xf numFmtId="3" fontId="2" fillId="0" borderId="1" xfId="0" applyNumberFormat="1" applyFont="1" applyBorder="1"/>
    <xf numFmtId="0" fontId="2" fillId="0" borderId="11" xfId="0" applyFont="1" applyBorder="1" applyAlignment="1">
      <alignment horizontal="center" vertical="center"/>
    </xf>
    <xf numFmtId="0" fontId="2" fillId="0" borderId="23" xfId="0" applyFont="1" applyBorder="1" applyAlignment="1">
      <alignment horizontal="center" vertical="center"/>
    </xf>
    <xf numFmtId="3" fontId="2" fillId="0" borderId="22" xfId="0" applyNumberFormat="1" applyFont="1" applyBorder="1" applyAlignment="1">
      <alignment vertical="center"/>
    </xf>
    <xf numFmtId="3" fontId="2" fillId="0" borderId="1" xfId="0" applyNumberFormat="1" applyFont="1" applyBorder="1" applyAlignment="1">
      <alignment vertical="center"/>
    </xf>
    <xf numFmtId="0" fontId="2" fillId="0" borderId="14" xfId="0" applyFont="1" applyBorder="1" applyAlignment="1">
      <alignment horizontal="center"/>
    </xf>
    <xf numFmtId="3" fontId="2" fillId="0" borderId="24" xfId="0" applyNumberFormat="1" applyFont="1" applyBorder="1" applyAlignment="1">
      <alignment vertical="center"/>
    </xf>
    <xf numFmtId="3" fontId="2" fillId="0" borderId="25" xfId="0" applyNumberFormat="1" applyFont="1" applyBorder="1" applyAlignment="1">
      <alignment vertical="center"/>
    </xf>
    <xf numFmtId="3" fontId="2" fillId="0" borderId="11" xfId="0" applyNumberFormat="1" applyFont="1" applyBorder="1" applyAlignment="1">
      <alignment vertical="center"/>
    </xf>
    <xf numFmtId="3" fontId="2" fillId="0" borderId="26" xfId="0" applyNumberFormat="1" applyFont="1" applyBorder="1" applyAlignment="1">
      <alignment vertical="center"/>
    </xf>
    <xf numFmtId="3" fontId="2" fillId="0" borderId="21" xfId="0" applyNumberFormat="1" applyFont="1" applyBorder="1" applyAlignment="1">
      <alignment vertical="center"/>
    </xf>
    <xf numFmtId="3" fontId="2" fillId="0" borderId="7" xfId="0" applyNumberFormat="1" applyFont="1" applyBorder="1" applyAlignment="1">
      <alignment vertical="center"/>
    </xf>
    <xf numFmtId="3" fontId="2" fillId="0" borderId="27" xfId="0" applyNumberFormat="1" applyFont="1" applyBorder="1" applyAlignment="1">
      <alignment vertical="center"/>
    </xf>
    <xf numFmtId="3" fontId="2" fillId="0" borderId="14" xfId="0" applyNumberFormat="1" applyFont="1" applyBorder="1" applyAlignment="1">
      <alignment vertical="center"/>
    </xf>
    <xf numFmtId="3" fontId="2" fillId="0" borderId="7" xfId="0" applyNumberFormat="1" applyFont="1" applyBorder="1" applyAlignment="1">
      <alignment horizontal="right" vertical="center"/>
    </xf>
    <xf numFmtId="3" fontId="2" fillId="0" borderId="11" xfId="0" applyNumberFormat="1" applyFont="1" applyBorder="1" applyAlignment="1">
      <alignment horizontal="right" vertical="center"/>
    </xf>
    <xf numFmtId="0" fontId="2" fillId="0" borderId="11" xfId="0" applyFont="1" applyBorder="1" applyAlignment="1">
      <alignment horizontal="right"/>
    </xf>
    <xf numFmtId="3" fontId="2" fillId="0" borderId="11" xfId="0" applyNumberFormat="1" applyFont="1" applyBorder="1" applyAlignment="1">
      <alignment horizontal="right"/>
    </xf>
    <xf numFmtId="0" fontId="2" fillId="0" borderId="14" xfId="0" applyFont="1" applyBorder="1" applyAlignment="1">
      <alignment horizontal="right"/>
    </xf>
    <xf numFmtId="3" fontId="2" fillId="0" borderId="14" xfId="0" applyNumberFormat="1" applyFont="1" applyBorder="1" applyAlignment="1">
      <alignment horizontal="right"/>
    </xf>
    <xf numFmtId="167" fontId="2" fillId="0" borderId="11" xfId="0" applyNumberFormat="1" applyFont="1" applyBorder="1" applyAlignment="1">
      <alignment horizontal="right"/>
    </xf>
    <xf numFmtId="167" fontId="2" fillId="0" borderId="23" xfId="0" applyNumberFormat="1" applyFont="1" applyBorder="1" applyAlignment="1">
      <alignment horizontal="right"/>
    </xf>
    <xf numFmtId="0" fontId="2" fillId="0" borderId="7" xfId="0" applyFont="1" applyBorder="1" applyAlignment="1">
      <alignment horizontal="left"/>
    </xf>
    <xf numFmtId="0" fontId="2" fillId="0" borderId="0" xfId="0" applyFont="1"/>
    <xf numFmtId="0" fontId="2" fillId="0" borderId="11" xfId="0" applyFont="1" applyBorder="1" applyAlignment="1">
      <alignment horizontal="left"/>
    </xf>
    <xf numFmtId="3" fontId="5" fillId="0" borderId="11" xfId="0" applyNumberFormat="1" applyFont="1" applyBorder="1" applyAlignment="1">
      <alignment vertical="center"/>
    </xf>
    <xf numFmtId="0" fontId="2" fillId="0" borderId="14" xfId="0" applyFont="1" applyBorder="1"/>
    <xf numFmtId="3" fontId="2" fillId="0" borderId="23" xfId="0" applyNumberFormat="1" applyFont="1" applyBorder="1" applyAlignment="1">
      <alignment vertical="center"/>
    </xf>
    <xf numFmtId="168" fontId="2" fillId="0" borderId="7" xfId="0" applyNumberFormat="1" applyFont="1" applyBorder="1" applyAlignment="1">
      <alignment horizontal="center" vertical="center"/>
    </xf>
    <xf numFmtId="0" fontId="2" fillId="0" borderId="28" xfId="0" applyFont="1" applyBorder="1"/>
    <xf numFmtId="168" fontId="2" fillId="0" borderId="13" xfId="0" applyNumberFormat="1" applyFont="1" applyBorder="1" applyAlignment="1">
      <alignment vertical="center"/>
    </xf>
    <xf numFmtId="168" fontId="2" fillId="0" borderId="11" xfId="0" applyNumberFormat="1" applyFont="1" applyBorder="1" applyAlignment="1">
      <alignment vertical="center"/>
    </xf>
    <xf numFmtId="168" fontId="2" fillId="0" borderId="11" xfId="0" applyNumberFormat="1" applyFont="1" applyBorder="1" applyAlignment="1">
      <alignment horizontal="center" vertical="center"/>
    </xf>
    <xf numFmtId="0" fontId="2" fillId="0" borderId="29" xfId="0" applyFont="1" applyBorder="1"/>
    <xf numFmtId="0" fontId="2" fillId="0" borderId="16" xfId="0" applyFont="1" applyBorder="1"/>
    <xf numFmtId="0" fontId="2" fillId="0" borderId="10" xfId="0" applyFont="1" applyBorder="1"/>
    <xf numFmtId="168" fontId="2" fillId="0" borderId="23" xfId="0" applyNumberFormat="1" applyFont="1" applyBorder="1" applyAlignment="1">
      <alignment horizontal="center" vertical="center"/>
    </xf>
    <xf numFmtId="0" fontId="2" fillId="0" borderId="30" xfId="0" applyFont="1" applyBorder="1"/>
    <xf numFmtId="0" fontId="2" fillId="0" borderId="23" xfId="0" applyFont="1" applyBorder="1"/>
    <xf numFmtId="168" fontId="2" fillId="0" borderId="24" xfId="0" applyNumberFormat="1" applyFont="1" applyBorder="1" applyAlignment="1">
      <alignment vertical="center"/>
    </xf>
    <xf numFmtId="168" fontId="2" fillId="0" borderId="25" xfId="0" applyNumberFormat="1" applyFont="1" applyBorder="1" applyAlignment="1">
      <alignment vertical="center"/>
    </xf>
    <xf numFmtId="168" fontId="2" fillId="0" borderId="15" xfId="0" applyNumberFormat="1" applyFont="1" applyBorder="1" applyAlignment="1">
      <alignment horizontal="center" vertical="center"/>
    </xf>
    <xf numFmtId="168" fontId="2" fillId="0" borderId="22" xfId="0" applyNumberFormat="1" applyFont="1" applyBorder="1" applyAlignment="1">
      <alignment vertical="center"/>
    </xf>
    <xf numFmtId="168" fontId="2" fillId="0" borderId="1" xfId="0" applyNumberFormat="1" applyFont="1" applyBorder="1" applyAlignment="1">
      <alignment vertical="center"/>
    </xf>
    <xf numFmtId="168" fontId="2" fillId="0" borderId="12" xfId="0" applyNumberFormat="1" applyFont="1" applyBorder="1" applyAlignment="1">
      <alignment vertical="center"/>
    </xf>
    <xf numFmtId="168" fontId="2" fillId="0" borderId="27" xfId="0" applyNumberFormat="1" applyFont="1" applyBorder="1" applyAlignment="1">
      <alignment vertical="center"/>
    </xf>
    <xf numFmtId="168" fontId="2" fillId="0" borderId="14" xfId="0" applyNumberFormat="1" applyFont="1" applyBorder="1" applyAlignment="1">
      <alignment vertical="center"/>
    </xf>
    <xf numFmtId="168" fontId="2" fillId="0" borderId="0" xfId="0" applyNumberFormat="1" applyFont="1" applyAlignment="1">
      <alignment vertical="center"/>
    </xf>
    <xf numFmtId="168" fontId="2" fillId="0" borderId="23" xfId="0" applyNumberFormat="1" applyFont="1" applyBorder="1" applyAlignment="1">
      <alignment vertical="center"/>
    </xf>
    <xf numFmtId="168" fontId="2" fillId="0" borderId="26" xfId="0" applyNumberFormat="1" applyFont="1" applyBorder="1" applyAlignment="1">
      <alignment vertical="center"/>
    </xf>
    <xf numFmtId="168" fontId="2" fillId="0" borderId="20" xfId="0" applyNumberFormat="1" applyFont="1" applyBorder="1" applyAlignment="1">
      <alignment vertical="center"/>
    </xf>
    <xf numFmtId="168" fontId="2" fillId="0" borderId="15" xfId="0" applyNumberFormat="1" applyFont="1" applyBorder="1" applyAlignment="1">
      <alignment vertical="center"/>
    </xf>
    <xf numFmtId="168" fontId="2" fillId="0" borderId="10" xfId="0" applyNumberFormat="1" applyFont="1" applyBorder="1" applyAlignment="1">
      <alignment vertical="center"/>
    </xf>
    <xf numFmtId="168" fontId="2" fillId="0" borderId="6" xfId="0" applyNumberFormat="1" applyFont="1" applyBorder="1" applyAlignment="1">
      <alignment vertical="center"/>
    </xf>
    <xf numFmtId="168" fontId="2" fillId="0" borderId="7" xfId="0" applyNumberFormat="1" applyFont="1" applyBorder="1" applyAlignment="1">
      <alignment vertical="center"/>
    </xf>
    <xf numFmtId="167" fontId="2" fillId="0" borderId="11" xfId="0" applyNumberFormat="1" applyFont="1" applyBorder="1"/>
    <xf numFmtId="168" fontId="2" fillId="4" borderId="11" xfId="0" applyNumberFormat="1" applyFont="1" applyFill="1" applyBorder="1" applyAlignment="1">
      <alignment vertical="center"/>
    </xf>
    <xf numFmtId="168" fontId="2" fillId="0" borderId="30" xfId="0" applyNumberFormat="1" applyFont="1" applyBorder="1" applyAlignment="1">
      <alignment vertical="center"/>
    </xf>
    <xf numFmtId="168" fontId="2" fillId="0" borderId="8" xfId="0" applyNumberFormat="1" applyFont="1" applyBorder="1" applyAlignment="1">
      <alignment vertical="center"/>
    </xf>
    <xf numFmtId="168" fontId="2" fillId="4" borderId="12" xfId="0" applyNumberFormat="1" applyFont="1" applyFill="1" applyBorder="1" applyAlignment="1">
      <alignment vertical="center"/>
    </xf>
    <xf numFmtId="168" fontId="2" fillId="0" borderId="17" xfId="0" applyNumberFormat="1" applyFont="1" applyBorder="1" applyAlignment="1">
      <alignment vertical="center"/>
    </xf>
    <xf numFmtId="168" fontId="2" fillId="0" borderId="19" xfId="0" applyNumberFormat="1" applyFont="1" applyBorder="1" applyAlignment="1">
      <alignment vertical="center"/>
    </xf>
    <xf numFmtId="168" fontId="2" fillId="0" borderId="29" xfId="0" applyNumberFormat="1" applyFont="1" applyBorder="1" applyAlignment="1">
      <alignment vertical="center"/>
    </xf>
    <xf numFmtId="168" fontId="2" fillId="4" borderId="10" xfId="0" applyNumberFormat="1" applyFont="1" applyFill="1" applyBorder="1" applyAlignment="1">
      <alignment vertical="center"/>
    </xf>
    <xf numFmtId="168" fontId="4" fillId="0" borderId="0" xfId="0" applyNumberFormat="1" applyFont="1" applyAlignment="1">
      <alignment vertical="center"/>
    </xf>
    <xf numFmtId="168" fontId="2" fillId="4" borderId="15" xfId="0" applyNumberFormat="1" applyFont="1" applyFill="1" applyBorder="1" applyAlignment="1">
      <alignment vertical="center"/>
    </xf>
    <xf numFmtId="0" fontId="2" fillId="5" borderId="14" xfId="0" applyFont="1" applyFill="1" applyBorder="1"/>
    <xf numFmtId="4" fontId="4" fillId="0" borderId="31" xfId="0" applyNumberFormat="1" applyFont="1" applyBorder="1" applyAlignment="1">
      <alignment horizontal="right" vertical="center"/>
    </xf>
    <xf numFmtId="0" fontId="4" fillId="0" borderId="32" xfId="0" applyFont="1" applyBorder="1" applyAlignment="1">
      <alignment vertical="center"/>
    </xf>
    <xf numFmtId="0" fontId="2" fillId="0" borderId="7" xfId="0" applyFont="1" applyBorder="1" applyAlignment="1">
      <alignment horizontal="center" vertical="center"/>
    </xf>
    <xf numFmtId="4" fontId="2" fillId="0" borderId="23" xfId="0" applyNumberFormat="1" applyFont="1" applyBorder="1" applyAlignment="1">
      <alignment horizontal="center" vertical="center"/>
    </xf>
    <xf numFmtId="0" fontId="2" fillId="0" borderId="9" xfId="0" applyFont="1" applyBorder="1"/>
    <xf numFmtId="4" fontId="2" fillId="0" borderId="11" xfId="0" applyNumberFormat="1" applyFont="1" applyBorder="1" applyAlignment="1">
      <alignment horizontal="center" vertical="center"/>
    </xf>
    <xf numFmtId="0" fontId="2" fillId="0" borderId="13" xfId="0" applyFont="1" applyBorder="1"/>
    <xf numFmtId="4" fontId="3" fillId="0" borderId="11" xfId="0" applyNumberFormat="1" applyFont="1" applyBorder="1" applyAlignment="1">
      <alignment horizontal="center" vertical="center"/>
    </xf>
    <xf numFmtId="0" fontId="2" fillId="0" borderId="18" xfId="0" applyFont="1" applyBorder="1"/>
    <xf numFmtId="169" fontId="4" fillId="0" borderId="11" xfId="0" applyNumberFormat="1" applyFont="1" applyBorder="1" applyAlignment="1">
      <alignment horizontal="center" vertical="center"/>
    </xf>
    <xf numFmtId="4" fontId="4" fillId="0" borderId="11" xfId="0" applyNumberFormat="1" applyFont="1" applyBorder="1" applyAlignment="1">
      <alignment horizontal="center" vertical="center"/>
    </xf>
    <xf numFmtId="4" fontId="3" fillId="0" borderId="15" xfId="0" applyNumberFormat="1" applyFont="1" applyBorder="1" applyAlignment="1">
      <alignment horizontal="center" vertical="center"/>
    </xf>
    <xf numFmtId="169" fontId="2" fillId="0" borderId="11" xfId="0" applyNumberFormat="1" applyFont="1" applyBorder="1" applyAlignment="1">
      <alignment horizontal="center" vertical="center"/>
    </xf>
    <xf numFmtId="3" fontId="2" fillId="0" borderId="33" xfId="0" applyNumberFormat="1" applyFont="1" applyBorder="1" applyAlignment="1">
      <alignment vertical="center"/>
    </xf>
    <xf numFmtId="169" fontId="2" fillId="0" borderId="13" xfId="0" applyNumberFormat="1" applyFont="1" applyBorder="1" applyAlignment="1">
      <alignment vertical="center"/>
    </xf>
    <xf numFmtId="3" fontId="3" fillId="0" borderId="15" xfId="0" applyNumberFormat="1" applyFont="1" applyBorder="1" applyAlignment="1">
      <alignment horizontal="center" vertical="center"/>
    </xf>
    <xf numFmtId="4" fontId="2" fillId="0" borderId="11" xfId="0" applyNumberFormat="1" applyFont="1" applyBorder="1" applyAlignment="1">
      <alignment horizontal="right" vertical="center"/>
    </xf>
    <xf numFmtId="169" fontId="2" fillId="0" borderId="13" xfId="0" applyNumberFormat="1" applyFont="1" applyBorder="1"/>
    <xf numFmtId="169" fontId="2" fillId="0" borderId="16" xfId="0" applyNumberFormat="1" applyFont="1" applyBorder="1"/>
    <xf numFmtId="4" fontId="2" fillId="0" borderId="33" xfId="0" applyNumberFormat="1" applyFont="1" applyBorder="1" applyAlignment="1">
      <alignment vertical="center"/>
    </xf>
    <xf numFmtId="167" fontId="2" fillId="0" borderId="18" xfId="0" applyNumberFormat="1" applyFont="1" applyBorder="1" applyAlignment="1">
      <alignment horizontal="left" vertical="center"/>
    </xf>
    <xf numFmtId="167" fontId="2" fillId="0" borderId="13" xfId="0" applyNumberFormat="1" applyFont="1" applyBorder="1" applyAlignment="1">
      <alignment vertical="center"/>
    </xf>
    <xf numFmtId="167" fontId="2" fillId="0" borderId="13" xfId="0" applyNumberFormat="1" applyFont="1" applyBorder="1" applyAlignment="1">
      <alignment horizontal="left" vertical="center"/>
    </xf>
    <xf numFmtId="3" fontId="2" fillId="0" borderId="13" xfId="0" applyNumberFormat="1" applyFont="1" applyBorder="1" applyAlignment="1">
      <alignment horizontal="right" vertical="center"/>
    </xf>
    <xf numFmtId="167" fontId="2" fillId="0" borderId="13" xfId="0" applyNumberFormat="1" applyFont="1" applyBorder="1" applyAlignment="1">
      <alignment horizontal="right" vertical="center"/>
    </xf>
    <xf numFmtId="167" fontId="3" fillId="0" borderId="11" xfId="0" applyNumberFormat="1" applyFont="1" applyBorder="1" applyAlignment="1">
      <alignment horizontal="center" vertical="center"/>
    </xf>
    <xf numFmtId="4" fontId="2" fillId="0" borderId="13" xfId="0" applyNumberFormat="1" applyFont="1" applyBorder="1"/>
    <xf numFmtId="4" fontId="2" fillId="0" borderId="15" xfId="0" applyNumberFormat="1" applyFont="1" applyBorder="1" applyAlignment="1">
      <alignment horizontal="center" vertical="center"/>
    </xf>
    <xf numFmtId="3" fontId="2" fillId="0" borderId="15" xfId="0" applyNumberFormat="1" applyFont="1" applyBorder="1" applyAlignment="1">
      <alignment horizontal="right" vertical="center"/>
    </xf>
    <xf numFmtId="4" fontId="2" fillId="0" borderId="13" xfId="0" applyNumberFormat="1" applyFont="1" applyBorder="1" applyAlignment="1">
      <alignment horizontal="left" vertical="center"/>
    </xf>
    <xf numFmtId="167" fontId="3" fillId="0" borderId="15" xfId="0" applyNumberFormat="1" applyFont="1" applyBorder="1" applyAlignment="1">
      <alignment horizontal="center" vertical="center"/>
    </xf>
    <xf numFmtId="167" fontId="2" fillId="0" borderId="16" xfId="0" applyNumberFormat="1" applyFont="1" applyBorder="1" applyAlignment="1">
      <alignment horizontal="left" vertical="center"/>
    </xf>
    <xf numFmtId="4" fontId="2" fillId="0" borderId="11" xfId="0" applyNumberFormat="1" applyFont="1" applyBorder="1" applyAlignment="1">
      <alignment horizontal="right"/>
    </xf>
    <xf numFmtId="4" fontId="2" fillId="0" borderId="13" xfId="0" applyNumberFormat="1" applyFont="1" applyBorder="1" applyAlignment="1">
      <alignment horizontal="right"/>
    </xf>
    <xf numFmtId="167" fontId="3" fillId="0" borderId="16" xfId="0" applyNumberFormat="1" applyFont="1" applyBorder="1" applyAlignment="1">
      <alignment horizontal="center" vertical="center"/>
    </xf>
    <xf numFmtId="168" fontId="2" fillId="0" borderId="14" xfId="0" applyNumberFormat="1" applyFont="1" applyBorder="1" applyAlignment="1">
      <alignment horizontal="left" vertical="center"/>
    </xf>
    <xf numFmtId="168" fontId="2" fillId="0" borderId="11" xfId="0" applyNumberFormat="1" applyFont="1" applyBorder="1" applyAlignment="1">
      <alignment horizontal="left" vertical="center"/>
    </xf>
    <xf numFmtId="4" fontId="2" fillId="0" borderId="11" xfId="0" applyNumberFormat="1" applyFont="1" applyBorder="1" applyAlignment="1">
      <alignment horizontal="left" vertical="center"/>
    </xf>
    <xf numFmtId="4" fontId="2" fillId="0" borderId="15" xfId="0" applyNumberFormat="1" applyFont="1" applyBorder="1" applyAlignment="1">
      <alignment horizontal="left" vertical="center"/>
    </xf>
    <xf numFmtId="0" fontId="2" fillId="0" borderId="22" xfId="0" applyFont="1" applyBorder="1" applyAlignment="1">
      <alignment vertical="center"/>
    </xf>
    <xf numFmtId="167" fontId="2" fillId="0" borderId="11" xfId="0" applyNumberFormat="1" applyFont="1" applyBorder="1" applyAlignment="1">
      <alignment horizontal="center" vertical="center"/>
    </xf>
    <xf numFmtId="0" fontId="2" fillId="0" borderId="22" xfId="0" applyFont="1" applyBorder="1"/>
    <xf numFmtId="167" fontId="2" fillId="0" borderId="11" xfId="0" applyNumberFormat="1" applyFont="1" applyBorder="1" applyAlignment="1">
      <alignment horizontal="center"/>
    </xf>
    <xf numFmtId="168" fontId="2" fillId="0" borderId="1" xfId="0" applyNumberFormat="1" applyFont="1" applyBorder="1"/>
    <xf numFmtId="4" fontId="2" fillId="0" borderId="1" xfId="0" applyNumberFormat="1" applyFont="1" applyBorder="1"/>
    <xf numFmtId="167" fontId="2" fillId="0" borderId="15" xfId="0" applyNumberFormat="1" applyFont="1" applyBorder="1" applyAlignment="1">
      <alignment horizontal="center"/>
    </xf>
    <xf numFmtId="0" fontId="2" fillId="0" borderId="20" xfId="0" applyFont="1" applyBorder="1"/>
    <xf numFmtId="4" fontId="2" fillId="0" borderId="20" xfId="0" applyNumberFormat="1" applyFont="1" applyBorder="1"/>
    <xf numFmtId="3" fontId="2" fillId="0" borderId="20" xfId="0" applyNumberFormat="1" applyFont="1" applyBorder="1"/>
    <xf numFmtId="167" fontId="2" fillId="0" borderId="1" xfId="0" applyNumberFormat="1" applyFont="1" applyBorder="1" applyAlignment="1">
      <alignment vertical="center"/>
    </xf>
    <xf numFmtId="167" fontId="2" fillId="0" borderId="1" xfId="0" applyNumberFormat="1" applyFont="1" applyBorder="1"/>
    <xf numFmtId="165" fontId="2" fillId="0" borderId="1" xfId="0" applyNumberFormat="1" applyFont="1" applyBorder="1"/>
    <xf numFmtId="167" fontId="2" fillId="0" borderId="20" xfId="0" applyNumberFormat="1" applyFont="1" applyBorder="1"/>
    <xf numFmtId="167" fontId="2" fillId="0" borderId="26" xfId="0" applyNumberFormat="1" applyFont="1" applyBorder="1" applyAlignment="1">
      <alignment vertical="center"/>
    </xf>
    <xf numFmtId="167" fontId="2" fillId="0" borderId="11" xfId="0" applyNumberFormat="1" applyFont="1" applyBorder="1" applyAlignment="1">
      <alignment vertical="center"/>
    </xf>
    <xf numFmtId="167" fontId="2" fillId="0" borderId="12" xfId="0" applyNumberFormat="1" applyFont="1" applyBorder="1" applyAlignment="1">
      <alignment vertical="center"/>
    </xf>
    <xf numFmtId="167" fontId="2" fillId="0" borderId="26" xfId="0" applyNumberFormat="1" applyFont="1" applyBorder="1"/>
    <xf numFmtId="165" fontId="2" fillId="0" borderId="11" xfId="0" applyNumberFormat="1" applyFont="1" applyBorder="1"/>
    <xf numFmtId="167" fontId="2" fillId="0" borderId="12" xfId="0" applyNumberFormat="1" applyFont="1" applyBorder="1"/>
    <xf numFmtId="0" fontId="2" fillId="0" borderId="1" xfId="0" applyFont="1" applyBorder="1"/>
    <xf numFmtId="0" fontId="2" fillId="0" borderId="26" xfId="0" applyFont="1" applyBorder="1"/>
    <xf numFmtId="167" fontId="2" fillId="0" borderId="15" xfId="0" applyNumberFormat="1" applyFont="1" applyBorder="1"/>
    <xf numFmtId="3" fontId="2" fillId="0" borderId="12" xfId="0" applyNumberFormat="1" applyFont="1" applyBorder="1" applyAlignment="1">
      <alignment horizontal="right" vertical="center"/>
    </xf>
    <xf numFmtId="3" fontId="2" fillId="0" borderId="14" xfId="0" applyNumberFormat="1" applyFont="1" applyBorder="1" applyAlignment="1">
      <alignment horizontal="right" vertical="center"/>
    </xf>
    <xf numFmtId="3" fontId="2" fillId="0" borderId="12" xfId="0" applyNumberFormat="1" applyFont="1" applyBorder="1" applyAlignment="1">
      <alignment horizontal="right"/>
    </xf>
    <xf numFmtId="3" fontId="2" fillId="0" borderId="15" xfId="0" applyNumberFormat="1" applyFont="1" applyBorder="1" applyAlignment="1">
      <alignment horizontal="right"/>
    </xf>
    <xf numFmtId="3" fontId="2" fillId="0" borderId="20" xfId="0" applyNumberFormat="1" applyFont="1" applyBorder="1" applyAlignment="1">
      <alignment horizontal="right"/>
    </xf>
    <xf numFmtId="0" fontId="2" fillId="0" borderId="15" xfId="0" applyFont="1" applyBorder="1" applyAlignment="1">
      <alignment horizontal="left"/>
    </xf>
    <xf numFmtId="0" fontId="2" fillId="0" borderId="13" xfId="0" applyFont="1" applyBorder="1" applyAlignment="1">
      <alignment vertical="center"/>
    </xf>
    <xf numFmtId="4" fontId="2" fillId="0" borderId="11" xfId="0" applyNumberFormat="1" applyFont="1" applyBorder="1" applyAlignment="1">
      <alignment vertical="center"/>
    </xf>
    <xf numFmtId="3" fontId="2" fillId="0" borderId="10" xfId="0" applyNumberFormat="1" applyFont="1" applyBorder="1" applyAlignment="1">
      <alignment vertical="center"/>
    </xf>
    <xf numFmtId="4" fontId="2" fillId="0" borderId="12" xfId="0" applyNumberFormat="1" applyFont="1" applyBorder="1" applyAlignment="1">
      <alignment vertical="center"/>
    </xf>
    <xf numFmtId="0" fontId="2" fillId="0" borderId="15" xfId="0" applyFont="1" applyBorder="1" applyAlignment="1">
      <alignment horizontal="left" vertical="center"/>
    </xf>
    <xf numFmtId="166" fontId="2" fillId="0" borderId="15" xfId="0" applyNumberFormat="1" applyFont="1" applyBorder="1" applyAlignment="1">
      <alignment horizontal="right"/>
    </xf>
    <xf numFmtId="168" fontId="2" fillId="0" borderId="15" xfId="0" applyNumberFormat="1" applyFont="1" applyBorder="1" applyAlignment="1">
      <alignment horizontal="left" vertical="center"/>
    </xf>
    <xf numFmtId="168" fontId="2" fillId="0" borderId="23" xfId="0" applyNumberFormat="1" applyFont="1" applyBorder="1" applyAlignment="1">
      <alignment horizontal="left" vertical="center"/>
    </xf>
    <xf numFmtId="0" fontId="2" fillId="0" borderId="23" xfId="0" applyFont="1" applyBorder="1" applyAlignment="1">
      <alignment horizontal="left"/>
    </xf>
    <xf numFmtId="4" fontId="2" fillId="0" borderId="12" xfId="0" applyNumberFormat="1" applyFont="1" applyBorder="1"/>
    <xf numFmtId="3" fontId="2" fillId="0" borderId="12" xfId="0" applyNumberFormat="1" applyFont="1" applyBorder="1"/>
    <xf numFmtId="167" fontId="2" fillId="0" borderId="14" xfId="0" applyNumberFormat="1" applyFont="1" applyBorder="1" applyAlignment="1">
      <alignment horizontal="center"/>
    </xf>
    <xf numFmtId="4" fontId="2" fillId="0" borderId="0" xfId="0" applyNumberFormat="1" applyFont="1"/>
    <xf numFmtId="3" fontId="2" fillId="0" borderId="0" xfId="0" applyNumberFormat="1" applyFont="1"/>
    <xf numFmtId="169" fontId="2" fillId="0" borderId="11" xfId="0" applyNumberFormat="1" applyFont="1" applyBorder="1"/>
    <xf numFmtId="0" fontId="6" fillId="0" borderId="11" xfId="0" applyFont="1" applyBorder="1"/>
    <xf numFmtId="169" fontId="2" fillId="0" borderId="15" xfId="0" applyNumberFormat="1" applyFont="1" applyBorder="1"/>
    <xf numFmtId="0" fontId="6" fillId="0" borderId="15" xfId="0" applyFont="1" applyBorder="1"/>
    <xf numFmtId="167" fontId="2" fillId="0" borderId="0" xfId="0" applyNumberFormat="1" applyFont="1"/>
    <xf numFmtId="0" fontId="2" fillId="0" borderId="10" xfId="0" applyFont="1" applyBorder="1" applyAlignment="1">
      <alignment vertical="center"/>
    </xf>
    <xf numFmtId="0" fontId="2" fillId="0" borderId="15" xfId="0" applyFont="1" applyBorder="1" applyAlignment="1">
      <alignment vertical="center"/>
    </xf>
    <xf numFmtId="167" fontId="2" fillId="0" borderId="23" xfId="0" applyNumberFormat="1" applyFont="1" applyBorder="1"/>
    <xf numFmtId="170" fontId="2" fillId="0" borderId="13" xfId="0" applyNumberFormat="1" applyFont="1" applyBorder="1" applyAlignment="1">
      <alignment vertical="center"/>
    </xf>
    <xf numFmtId="0" fontId="2" fillId="0" borderId="1" xfId="0" applyFont="1" applyBorder="1" applyAlignment="1">
      <alignment horizontal="right" vertical="center" wrapText="1"/>
    </xf>
    <xf numFmtId="3" fontId="2" fillId="0" borderId="15" xfId="0" applyNumberFormat="1" applyFont="1" applyBorder="1" applyAlignment="1">
      <alignment vertical="center"/>
    </xf>
    <xf numFmtId="0" fontId="2" fillId="0" borderId="23" xfId="0" applyFont="1" applyBorder="1" applyAlignment="1">
      <alignment vertical="center"/>
    </xf>
    <xf numFmtId="3" fontId="2" fillId="0" borderId="29" xfId="0" applyNumberFormat="1" applyFont="1" applyBorder="1" applyAlignment="1">
      <alignment vertical="center"/>
    </xf>
    <xf numFmtId="0" fontId="2" fillId="0" borderId="1" xfId="0" applyFont="1" applyBorder="1" applyAlignment="1">
      <alignment vertical="center"/>
    </xf>
    <xf numFmtId="166" fontId="2" fillId="0" borderId="15" xfId="0" applyNumberFormat="1" applyFont="1" applyBorder="1" applyAlignment="1">
      <alignment horizontal="left" vertical="center"/>
    </xf>
    <xf numFmtId="166" fontId="2" fillId="0" borderId="11" xfId="0" applyNumberFormat="1" applyFont="1" applyBorder="1" applyAlignment="1">
      <alignment horizontal="left" vertical="center"/>
    </xf>
    <xf numFmtId="3" fontId="2" fillId="0" borderId="23" xfId="0" applyNumberFormat="1" applyFont="1" applyBorder="1" applyAlignment="1">
      <alignment horizontal="right"/>
    </xf>
    <xf numFmtId="3" fontId="2" fillId="0" borderId="0" xfId="0" applyNumberFormat="1" applyFont="1" applyAlignment="1">
      <alignment horizontal="right"/>
    </xf>
    <xf numFmtId="3" fontId="2" fillId="0" borderId="12" xfId="0" applyNumberFormat="1" applyFont="1" applyBorder="1" applyAlignment="1">
      <alignment vertical="center"/>
    </xf>
    <xf numFmtId="3" fontId="2" fillId="0" borderId="34" xfId="0" applyNumberFormat="1" applyFont="1" applyBorder="1" applyAlignment="1">
      <alignment vertical="center"/>
    </xf>
    <xf numFmtId="3" fontId="2" fillId="0" borderId="20" xfId="0" applyNumberFormat="1" applyFont="1" applyBorder="1" applyAlignment="1">
      <alignment vertical="center"/>
    </xf>
    <xf numFmtId="0" fontId="2" fillId="0" borderId="14" xfId="0" applyFont="1" applyBorder="1" applyAlignment="1">
      <alignment horizontal="left"/>
    </xf>
    <xf numFmtId="0" fontId="0" fillId="0" borderId="0" xfId="0" applyAlignment="1">
      <alignment vertical="center"/>
    </xf>
    <xf numFmtId="0" fontId="4" fillId="0" borderId="13" xfId="0" applyFont="1" applyBorder="1" applyAlignment="1">
      <alignment vertical="center"/>
    </xf>
    <xf numFmtId="0" fontId="2" fillId="0" borderId="15" xfId="0" applyFont="1" applyBorder="1" applyAlignment="1">
      <alignment horizontal="center" vertical="center"/>
    </xf>
    <xf numFmtId="169" fontId="2" fillId="0" borderId="1" xfId="0" applyNumberFormat="1" applyFont="1" applyBorder="1"/>
    <xf numFmtId="0" fontId="6" fillId="0" borderId="1" xfId="0" applyFont="1" applyBorder="1"/>
    <xf numFmtId="3" fontId="2" fillId="0" borderId="16" xfId="0" applyNumberFormat="1" applyFont="1" applyBorder="1" applyAlignment="1">
      <alignment horizontal="center" vertical="center"/>
    </xf>
    <xf numFmtId="169" fontId="4" fillId="0" borderId="35" xfId="0" applyNumberFormat="1" applyFont="1" applyBorder="1"/>
    <xf numFmtId="3" fontId="6" fillId="0" borderId="35" xfId="0" applyNumberFormat="1" applyFont="1" applyBorder="1"/>
    <xf numFmtId="169" fontId="2" fillId="0" borderId="35" xfId="0" applyNumberFormat="1" applyFont="1" applyBorder="1"/>
    <xf numFmtId="3" fontId="4" fillId="0" borderId="35" xfId="0" applyNumberFormat="1" applyFont="1" applyBorder="1"/>
    <xf numFmtId="3" fontId="2" fillId="0" borderId="35" xfId="0" applyNumberFormat="1" applyFont="1" applyBorder="1" applyAlignment="1">
      <alignment vertical="center"/>
    </xf>
    <xf numFmtId="3" fontId="2" fillId="0" borderId="35" xfId="0" applyNumberFormat="1" applyFont="1" applyBorder="1"/>
    <xf numFmtId="0" fontId="2" fillId="0" borderId="26" xfId="0" applyFont="1" applyBorder="1" applyAlignment="1">
      <alignment vertical="center"/>
    </xf>
    <xf numFmtId="3" fontId="0" fillId="0" borderId="0" xfId="0" applyNumberFormat="1"/>
    <xf numFmtId="0" fontId="2" fillId="0" borderId="34" xfId="0" applyFont="1" applyBorder="1" applyAlignment="1">
      <alignment horizontal="left" vertical="center"/>
    </xf>
    <xf numFmtId="169" fontId="2" fillId="0" borderId="33" xfId="0" applyNumberFormat="1" applyFont="1" applyBorder="1" applyAlignment="1">
      <alignment vertical="center"/>
    </xf>
    <xf numFmtId="169" fontId="4" fillId="0" borderId="13" xfId="0" applyNumberFormat="1" applyFont="1" applyBorder="1" applyAlignment="1">
      <alignment vertical="center"/>
    </xf>
    <xf numFmtId="169" fontId="6" fillId="0" borderId="13" xfId="0" applyNumberFormat="1" applyFont="1" applyBorder="1" applyAlignment="1">
      <alignment vertical="center"/>
    </xf>
    <xf numFmtId="4" fontId="6" fillId="0" borderId="13" xfId="0" applyNumberFormat="1" applyFont="1" applyBorder="1" applyAlignment="1">
      <alignment vertical="center"/>
    </xf>
    <xf numFmtId="169" fontId="2" fillId="0" borderId="11" xfId="0" applyNumberFormat="1" applyFont="1" applyBorder="1" applyAlignment="1">
      <alignment horizontal="center"/>
    </xf>
    <xf numFmtId="169" fontId="4" fillId="0" borderId="11" xfId="0" applyNumberFormat="1" applyFont="1" applyBorder="1"/>
    <xf numFmtId="0" fontId="2" fillId="0" borderId="33" xfId="0" applyFont="1" applyBorder="1" applyAlignment="1">
      <alignment horizontal="left" vertical="center"/>
    </xf>
    <xf numFmtId="169" fontId="2" fillId="0" borderId="13" xfId="0" applyNumberFormat="1" applyFont="1" applyBorder="1" applyAlignment="1">
      <alignment horizontal="center"/>
    </xf>
    <xf numFmtId="169" fontId="4" fillId="0" borderId="13" xfId="0" applyNumberFormat="1" applyFont="1" applyBorder="1"/>
    <xf numFmtId="169" fontId="2" fillId="0" borderId="16" xfId="0" applyNumberFormat="1" applyFont="1" applyBorder="1" applyAlignment="1">
      <alignment horizontal="center"/>
    </xf>
    <xf numFmtId="169" fontId="4" fillId="0" borderId="16" xfId="0" applyNumberFormat="1" applyFont="1" applyBorder="1"/>
    <xf numFmtId="169" fontId="4" fillId="0" borderId="16" xfId="0" applyNumberFormat="1" applyFont="1" applyBorder="1" applyAlignment="1">
      <alignment horizontal="center"/>
    </xf>
    <xf numFmtId="169" fontId="4" fillId="0" borderId="15" xfId="0" applyNumberFormat="1" applyFont="1" applyBorder="1" applyAlignment="1">
      <alignment horizontal="center"/>
    </xf>
    <xf numFmtId="169" fontId="4" fillId="0" borderId="11" xfId="0" applyNumberFormat="1" applyFont="1" applyBorder="1" applyAlignment="1">
      <alignment horizontal="center"/>
    </xf>
    <xf numFmtId="169" fontId="4" fillId="0" borderId="14" xfId="0" applyNumberFormat="1" applyFont="1" applyBorder="1" applyAlignment="1">
      <alignment horizontal="center"/>
    </xf>
    <xf numFmtId="0" fontId="7" fillId="0" borderId="0" xfId="0" applyFont="1"/>
    <xf numFmtId="0" fontId="8" fillId="0" borderId="0" xfId="0" applyFont="1"/>
    <xf numFmtId="171" fontId="5" fillId="5" borderId="0" xfId="0" applyNumberFormat="1" applyFont="1" applyFill="1"/>
    <xf numFmtId="0" fontId="9" fillId="6" borderId="36" xfId="0" applyFont="1" applyFill="1" applyBorder="1" applyAlignment="1">
      <alignment horizontal="center"/>
    </xf>
    <xf numFmtId="0" fontId="9" fillId="6" borderId="37" xfId="0" applyFont="1" applyFill="1" applyBorder="1" applyAlignment="1">
      <alignment horizontal="center"/>
    </xf>
    <xf numFmtId="171" fontId="9" fillId="6" borderId="37" xfId="0" applyNumberFormat="1" applyFont="1" applyFill="1" applyBorder="1" applyAlignment="1">
      <alignment horizontal="center"/>
    </xf>
    <xf numFmtId="0" fontId="9" fillId="7" borderId="36" xfId="0" applyFont="1" applyFill="1" applyBorder="1" applyAlignment="1">
      <alignment horizontal="center"/>
    </xf>
    <xf numFmtId="0" fontId="9" fillId="7" borderId="37" xfId="0" applyFont="1" applyFill="1" applyBorder="1"/>
    <xf numFmtId="171" fontId="9" fillId="7" borderId="37" xfId="0" applyNumberFormat="1" applyFont="1" applyFill="1" applyBorder="1"/>
    <xf numFmtId="0" fontId="9" fillId="7" borderId="37" xfId="0" applyFont="1" applyFill="1" applyBorder="1" applyAlignment="1">
      <alignment horizontal="center"/>
    </xf>
    <xf numFmtId="0" fontId="9" fillId="0" borderId="36" xfId="0" applyFont="1" applyBorder="1" applyAlignment="1">
      <alignment horizontal="center"/>
    </xf>
    <xf numFmtId="0" fontId="9" fillId="0" borderId="37" xfId="0" applyFont="1" applyBorder="1"/>
    <xf numFmtId="171" fontId="9" fillId="0" borderId="37" xfId="0" applyNumberFormat="1" applyFont="1" applyBorder="1"/>
    <xf numFmtId="0" fontId="9" fillId="0" borderId="37" xfId="0" applyFont="1" applyBorder="1" applyAlignment="1">
      <alignment horizontal="center"/>
    </xf>
    <xf numFmtId="0" fontId="9" fillId="8" borderId="36" xfId="0" applyFont="1" applyFill="1" applyBorder="1" applyAlignment="1">
      <alignment horizontal="center"/>
    </xf>
    <xf numFmtId="0" fontId="9" fillId="8" borderId="37" xfId="0" applyFont="1" applyFill="1" applyBorder="1"/>
    <xf numFmtId="171" fontId="9" fillId="8" borderId="37" xfId="0" applyNumberFormat="1" applyFont="1" applyFill="1" applyBorder="1"/>
    <xf numFmtId="0" fontId="9" fillId="8" borderId="37" xfId="0" applyFont="1" applyFill="1" applyBorder="1" applyAlignment="1">
      <alignment horizontal="center"/>
    </xf>
    <xf numFmtId="0" fontId="9" fillId="9" borderId="37" xfId="0" applyFont="1" applyFill="1" applyBorder="1" applyAlignment="1">
      <alignment horizontal="center"/>
    </xf>
    <xf numFmtId="0" fontId="9" fillId="10" borderId="37" xfId="0" applyFont="1" applyFill="1" applyBorder="1" applyAlignment="1">
      <alignment horizontal="center"/>
    </xf>
    <xf numFmtId="0" fontId="9" fillId="11" borderId="36" xfId="0" applyFont="1" applyFill="1" applyBorder="1" applyAlignment="1">
      <alignment horizontal="center"/>
    </xf>
    <xf numFmtId="0" fontId="9" fillId="11" borderId="37" xfId="0" applyFont="1" applyFill="1" applyBorder="1"/>
    <xf numFmtId="171" fontId="9" fillId="11" borderId="37" xfId="0" applyNumberFormat="1" applyFont="1" applyFill="1" applyBorder="1"/>
    <xf numFmtId="0" fontId="9" fillId="8" borderId="0" xfId="0" applyFont="1" applyFill="1" applyAlignment="1">
      <alignment horizontal="center"/>
    </xf>
    <xf numFmtId="0" fontId="9" fillId="0" borderId="0" xfId="0" applyFont="1"/>
    <xf numFmtId="171" fontId="9" fillId="0" borderId="0" xfId="0" applyNumberFormat="1" applyFont="1"/>
    <xf numFmtId="0" fontId="9" fillId="10" borderId="0" xfId="0" applyFont="1" applyFill="1" applyAlignment="1">
      <alignment horizontal="center"/>
    </xf>
    <xf numFmtId="0" fontId="9" fillId="8" borderId="0" xfId="0" applyFont="1" applyFill="1"/>
    <xf numFmtId="171" fontId="9" fillId="8" borderId="0" xfId="0" applyNumberFormat="1" applyFont="1" applyFill="1"/>
    <xf numFmtId="0" fontId="9" fillId="11" borderId="0" xfId="0" applyFont="1" applyFill="1"/>
    <xf numFmtId="171" fontId="9" fillId="11" borderId="0" xfId="0" applyNumberFormat="1" applyFont="1" applyFill="1"/>
    <xf numFmtId="0" fontId="9" fillId="11" borderId="0" xfId="0" applyFont="1" applyFill="1" applyAlignment="1">
      <alignment horizontal="center"/>
    </xf>
    <xf numFmtId="0" fontId="5" fillId="12" borderId="0" xfId="0" applyFont="1" applyFill="1"/>
    <xf numFmtId="0" fontId="7" fillId="0" borderId="28" xfId="0" applyFont="1" applyBorder="1"/>
    <xf numFmtId="0" fontId="10" fillId="0" borderId="38" xfId="0" applyFont="1" applyBorder="1"/>
    <xf numFmtId="0" fontId="7" fillId="0" borderId="38" xfId="0" applyFont="1" applyBorder="1"/>
    <xf numFmtId="0" fontId="7" fillId="0" borderId="39" xfId="0" applyFont="1" applyBorder="1"/>
    <xf numFmtId="0" fontId="7" fillId="0" borderId="19" xfId="0" applyFont="1" applyBorder="1"/>
    <xf numFmtId="0" fontId="7" fillId="10" borderId="0" xfId="0" applyFont="1" applyFill="1"/>
    <xf numFmtId="0" fontId="4" fillId="0" borderId="0" xfId="0" applyFont="1"/>
    <xf numFmtId="0" fontId="7" fillId="0" borderId="33" xfId="0" applyFont="1" applyBorder="1"/>
    <xf numFmtId="168" fontId="5" fillId="0" borderId="2" xfId="0" applyNumberFormat="1" applyFont="1" applyBorder="1" applyAlignment="1">
      <alignment wrapText="1"/>
    </xf>
    <xf numFmtId="168" fontId="5" fillId="0" borderId="1" xfId="0" applyNumberFormat="1" applyFont="1" applyBorder="1" applyAlignment="1">
      <alignment wrapText="1"/>
    </xf>
    <xf numFmtId="0" fontId="9" fillId="6" borderId="40" xfId="0" applyFont="1" applyFill="1" applyBorder="1" applyAlignment="1">
      <alignment horizontal="center"/>
    </xf>
    <xf numFmtId="0" fontId="9" fillId="6" borderId="41" xfId="0" applyFont="1" applyFill="1" applyBorder="1" applyAlignment="1">
      <alignment horizontal="center"/>
    </xf>
    <xf numFmtId="168" fontId="9" fillId="7" borderId="37" xfId="0" applyNumberFormat="1" applyFont="1" applyFill="1" applyBorder="1"/>
    <xf numFmtId="168" fontId="9" fillId="7" borderId="42" xfId="0" applyNumberFormat="1" applyFont="1" applyFill="1" applyBorder="1"/>
    <xf numFmtId="168" fontId="9" fillId="0" borderId="42" xfId="0" applyNumberFormat="1" applyFont="1" applyBorder="1"/>
    <xf numFmtId="166" fontId="9" fillId="8" borderId="37" xfId="0" applyNumberFormat="1" applyFont="1" applyFill="1" applyBorder="1"/>
    <xf numFmtId="168" fontId="9" fillId="0" borderId="37" xfId="0" applyNumberFormat="1" applyFont="1" applyBorder="1"/>
    <xf numFmtId="0" fontId="9" fillId="0" borderId="42" xfId="0" applyFont="1" applyBorder="1"/>
    <xf numFmtId="168" fontId="9" fillId="8" borderId="37" xfId="0" applyNumberFormat="1" applyFont="1" applyFill="1" applyBorder="1"/>
    <xf numFmtId="168" fontId="9" fillId="10" borderId="42" xfId="0" applyNumberFormat="1" applyFont="1" applyFill="1" applyBorder="1"/>
    <xf numFmtId="168" fontId="9" fillId="8" borderId="42" xfId="0" applyNumberFormat="1" applyFont="1" applyFill="1" applyBorder="1"/>
    <xf numFmtId="0" fontId="11" fillId="7" borderId="0" xfId="0" applyFont="1" applyFill="1"/>
    <xf numFmtId="0" fontId="11" fillId="0" borderId="0" xfId="0" applyFont="1"/>
    <xf numFmtId="168" fontId="9" fillId="10" borderId="37" xfId="0" applyNumberFormat="1" applyFont="1" applyFill="1" applyBorder="1"/>
    <xf numFmtId="0" fontId="7" fillId="8" borderId="0" xfId="0" applyFont="1" applyFill="1"/>
    <xf numFmtId="168" fontId="9" fillId="11" borderId="37" xfId="0" applyNumberFormat="1" applyFont="1" applyFill="1" applyBorder="1"/>
    <xf numFmtId="168" fontId="9" fillId="11" borderId="42" xfId="0" applyNumberFormat="1" applyFont="1" applyFill="1" applyBorder="1"/>
    <xf numFmtId="0" fontId="7" fillId="7" borderId="0" xfId="0" applyFont="1" applyFill="1"/>
    <xf numFmtId="0" fontId="10" fillId="8" borderId="0" xfId="0" applyFont="1" applyFill="1"/>
    <xf numFmtId="168" fontId="9" fillId="8" borderId="0" xfId="0" applyNumberFormat="1" applyFont="1" applyFill="1"/>
    <xf numFmtId="0" fontId="10" fillId="0" borderId="0" xfId="0" applyFont="1"/>
    <xf numFmtId="168" fontId="9" fillId="10" borderId="0" xfId="0" applyNumberFormat="1" applyFont="1" applyFill="1"/>
    <xf numFmtId="168" fontId="9" fillId="0" borderId="0" xfId="0" applyNumberFormat="1" applyFont="1"/>
    <xf numFmtId="0" fontId="10" fillId="11" borderId="0" xfId="0" applyFont="1" applyFill="1"/>
    <xf numFmtId="168" fontId="9" fillId="11" borderId="0" xfId="0" applyNumberFormat="1" applyFont="1" applyFill="1"/>
    <xf numFmtId="168" fontId="5" fillId="13" borderId="0" xfId="0" applyNumberFormat="1" applyFont="1" applyFill="1"/>
    <xf numFmtId="9" fontId="5" fillId="12" borderId="0" xfId="0" applyNumberFormat="1" applyFont="1" applyFill="1"/>
    <xf numFmtId="10" fontId="5" fillId="12" borderId="0" xfId="0" applyNumberFormat="1" applyFont="1" applyFill="1"/>
    <xf numFmtId="0" fontId="9" fillId="6" borderId="42" xfId="0" applyFont="1" applyFill="1" applyBorder="1" applyAlignment="1">
      <alignment horizontal="center"/>
    </xf>
    <xf numFmtId="0" fontId="11" fillId="0" borderId="37" xfId="0" applyFont="1" applyBorder="1"/>
    <xf numFmtId="168" fontId="11" fillId="0" borderId="42" xfId="0" applyNumberFormat="1" applyFont="1" applyBorder="1"/>
    <xf numFmtId="0" fontId="11" fillId="0" borderId="37" xfId="0" applyFont="1" applyBorder="1" applyAlignment="1">
      <alignment horizontal="left" vertical="center" wrapText="1"/>
    </xf>
    <xf numFmtId="0" fontId="5" fillId="0" borderId="0" xfId="0" applyFont="1"/>
    <xf numFmtId="0" fontId="4" fillId="0" borderId="33" xfId="0" applyFont="1" applyBorder="1"/>
    <xf numFmtId="0" fontId="4" fillId="11" borderId="0" xfId="0" applyFont="1" applyFill="1"/>
    <xf numFmtId="0" fontId="7" fillId="9" borderId="0" xfId="0" applyFont="1" applyFill="1"/>
    <xf numFmtId="0" fontId="7" fillId="0" borderId="43" xfId="0" applyFont="1" applyBorder="1"/>
    <xf numFmtId="0" fontId="7" fillId="0" borderId="44" xfId="0" applyFont="1" applyBorder="1"/>
    <xf numFmtId="0" fontId="7" fillId="0" borderId="45" xfId="0" applyFont="1" applyBorder="1"/>
    <xf numFmtId="17" fontId="0" fillId="0" borderId="0" xfId="0" applyNumberFormat="1"/>
    <xf numFmtId="0" fontId="12" fillId="0" borderId="0" xfId="0" applyFont="1"/>
    <xf numFmtId="0" fontId="13" fillId="0" borderId="0" xfId="18" applyFont="1"/>
    <xf numFmtId="0" fontId="14" fillId="0" borderId="0" xfId="18" applyAlignment="1">
      <alignment horizontal="center"/>
    </xf>
    <xf numFmtId="0" fontId="14" fillId="0" borderId="0" xfId="18"/>
    <xf numFmtId="0" fontId="15" fillId="0" borderId="0" xfId="18" applyFont="1" applyAlignment="1">
      <alignment horizontal="center"/>
    </xf>
    <xf numFmtId="0" fontId="16" fillId="0" borderId="0" xfId="18" applyFont="1"/>
    <xf numFmtId="171" fontId="17" fillId="0" borderId="0" xfId="18" applyNumberFormat="1" applyFont="1"/>
    <xf numFmtId="0" fontId="15" fillId="14" borderId="46" xfId="1" applyFont="1" applyFill="1" applyBorder="1" applyAlignment="1">
      <alignment horizontal="center"/>
    </xf>
    <xf numFmtId="171" fontId="15" fillId="15" borderId="46" xfId="1" applyNumberFormat="1" applyFont="1" applyFill="1" applyBorder="1" applyAlignment="1">
      <alignment horizontal="center"/>
    </xf>
    <xf numFmtId="0" fontId="15" fillId="14" borderId="47" xfId="1" applyFont="1" applyFill="1" applyBorder="1" applyAlignment="1">
      <alignment horizontal="center"/>
    </xf>
    <xf numFmtId="0" fontId="18" fillId="0" borderId="0" xfId="18" applyFont="1" applyAlignment="1">
      <alignment horizontal="center" vertical="center"/>
    </xf>
    <xf numFmtId="0" fontId="13" fillId="0" borderId="46" xfId="1" applyFont="1" applyBorder="1"/>
    <xf numFmtId="171" fontId="13" fillId="0" borderId="46" xfId="1" applyNumberFormat="1" applyFont="1" applyBorder="1"/>
    <xf numFmtId="0" fontId="13" fillId="0" borderId="46" xfId="1" applyFont="1" applyBorder="1" applyAlignment="1">
      <alignment horizontal="center"/>
    </xf>
    <xf numFmtId="0" fontId="19" fillId="0" borderId="46" xfId="1" applyFont="1" applyBorder="1"/>
    <xf numFmtId="0" fontId="13" fillId="0" borderId="46" xfId="16" applyFont="1" applyBorder="1"/>
    <xf numFmtId="171" fontId="13" fillId="0" borderId="46" xfId="16" applyNumberFormat="1" applyFont="1" applyBorder="1"/>
    <xf numFmtId="0" fontId="13" fillId="0" borderId="46" xfId="16" applyFont="1" applyBorder="1" applyAlignment="1">
      <alignment horizontal="center"/>
    </xf>
    <xf numFmtId="0" fontId="18" fillId="0" borderId="0" xfId="18" applyFont="1" applyAlignment="1">
      <alignment vertical="center"/>
    </xf>
    <xf numFmtId="0" fontId="19" fillId="0" borderId="46" xfId="16" applyFont="1" applyBorder="1"/>
    <xf numFmtId="0" fontId="18" fillId="0" borderId="0" xfId="18" applyFont="1" applyAlignment="1">
      <alignment horizontal="center"/>
    </xf>
    <xf numFmtId="0" fontId="18" fillId="0" borderId="0" xfId="18" applyFont="1"/>
    <xf numFmtId="0" fontId="13" fillId="0" borderId="46" xfId="1" applyFont="1" applyBorder="1" applyAlignment="1">
      <alignment horizontal="left"/>
    </xf>
    <xf numFmtId="1" fontId="13" fillId="0" borderId="46" xfId="21" applyNumberFormat="1" applyFont="1" applyFill="1" applyBorder="1" applyAlignment="1">
      <alignment horizontal="center"/>
    </xf>
    <xf numFmtId="1" fontId="13" fillId="0" borderId="46" xfId="21" applyNumberFormat="1" applyFont="1" applyBorder="1" applyAlignment="1">
      <alignment horizontal="center"/>
    </xf>
    <xf numFmtId="0" fontId="13" fillId="0" borderId="0" xfId="18" applyFont="1" applyAlignment="1">
      <alignment horizontal="center"/>
    </xf>
    <xf numFmtId="0" fontId="13" fillId="0" borderId="0" xfId="18" applyFont="1" applyAlignment="1">
      <alignment horizontal="left"/>
    </xf>
    <xf numFmtId="0" fontId="13" fillId="0" borderId="0" xfId="1" applyFont="1"/>
    <xf numFmtId="171" fontId="13" fillId="0" borderId="0" xfId="1" applyNumberFormat="1" applyFont="1"/>
    <xf numFmtId="0" fontId="13" fillId="0" borderId="0" xfId="1" applyFont="1" applyAlignment="1">
      <alignment horizontal="center"/>
    </xf>
    <xf numFmtId="0" fontId="13" fillId="0" borderId="48" xfId="1" applyFont="1" applyBorder="1"/>
    <xf numFmtId="171" fontId="13" fillId="0" borderId="48" xfId="1" applyNumberFormat="1" applyFont="1" applyBorder="1"/>
    <xf numFmtId="0" fontId="13" fillId="0" borderId="48" xfId="1" applyFont="1" applyBorder="1" applyAlignment="1">
      <alignment horizontal="center"/>
    </xf>
    <xf numFmtId="0" fontId="15" fillId="14" borderId="49" xfId="1" applyFont="1" applyFill="1" applyBorder="1" applyAlignment="1">
      <alignment horizontal="center"/>
    </xf>
    <xf numFmtId="0" fontId="13" fillId="0" borderId="46" xfId="1" applyFont="1" applyBorder="1" applyAlignment="1">
      <alignment horizontal="left" vertical="center" wrapText="1"/>
    </xf>
    <xf numFmtId="0" fontId="15" fillId="14" borderId="51" xfId="1" applyFont="1" applyFill="1" applyBorder="1" applyAlignment="1">
      <alignment horizontal="center"/>
    </xf>
    <xf numFmtId="0" fontId="13" fillId="0" borderId="51" xfId="1" applyFont="1" applyBorder="1" applyAlignment="1">
      <alignment horizontal="center"/>
    </xf>
    <xf numFmtId="0" fontId="13" fillId="0" borderId="52" xfId="1" applyFont="1" applyBorder="1" applyAlignment="1">
      <alignment horizontal="center"/>
    </xf>
    <xf numFmtId="168" fontId="20" fillId="0" borderId="53" xfId="12" applyNumberFormat="1" applyFont="1" applyFill="1" applyBorder="1" applyAlignment="1">
      <alignment wrapText="1"/>
    </xf>
    <xf numFmtId="0" fontId="15" fillId="14" borderId="54" xfId="1" applyFont="1" applyFill="1" applyBorder="1" applyAlignment="1">
      <alignment horizontal="center"/>
    </xf>
    <xf numFmtId="168" fontId="13" fillId="0" borderId="49" xfId="4" applyNumberFormat="1" applyFont="1" applyFill="1" applyBorder="1"/>
    <xf numFmtId="168" fontId="13" fillId="0" borderId="55" xfId="4" applyNumberFormat="1" applyFont="1" applyFill="1" applyBorder="1"/>
    <xf numFmtId="0" fontId="0" fillId="0" borderId="0" xfId="0" quotePrefix="1"/>
    <xf numFmtId="0" fontId="24" fillId="0" borderId="0" xfId="0" applyFont="1"/>
    <xf numFmtId="171" fontId="24" fillId="0" borderId="0" xfId="0" applyNumberFormat="1" applyFont="1"/>
    <xf numFmtId="0" fontId="24" fillId="0" borderId="0" xfId="0" applyFont="1" applyAlignment="1">
      <alignment horizontal="center"/>
    </xf>
    <xf numFmtId="0" fontId="25" fillId="17" borderId="58" xfId="0" applyFont="1" applyFill="1" applyBorder="1"/>
    <xf numFmtId="0" fontId="25" fillId="17" borderId="59" xfId="0" applyFont="1" applyFill="1" applyBorder="1" applyAlignment="1">
      <alignment wrapText="1"/>
    </xf>
    <xf numFmtId="0" fontId="25" fillId="18" borderId="58" xfId="0" applyFont="1" applyFill="1" applyBorder="1"/>
    <xf numFmtId="0" fontId="25" fillId="18" borderId="59" xfId="0" applyFont="1" applyFill="1" applyBorder="1"/>
    <xf numFmtId="0" fontId="25" fillId="18" borderId="60" xfId="0" applyFont="1" applyFill="1" applyBorder="1"/>
    <xf numFmtId="0" fontId="25" fillId="18" borderId="61" xfId="0" applyFont="1" applyFill="1" applyBorder="1"/>
    <xf numFmtId="171" fontId="14" fillId="0" borderId="0" xfId="18" applyNumberFormat="1"/>
    <xf numFmtId="0" fontId="24" fillId="16" borderId="0" xfId="1" applyFont="1" applyFill="1"/>
    <xf numFmtId="171" fontId="24" fillId="16" borderId="0" xfId="1" applyNumberFormat="1" applyFont="1" applyFill="1"/>
    <xf numFmtId="0" fontId="24" fillId="16" borderId="0" xfId="18" applyFont="1" applyFill="1" applyAlignment="1">
      <alignment horizontal="center"/>
    </xf>
    <xf numFmtId="0" fontId="24" fillId="16" borderId="0" xfId="18" applyFont="1" applyFill="1"/>
    <xf numFmtId="171" fontId="24" fillId="16" borderId="0" xfId="18" applyNumberFormat="1" applyFont="1" applyFill="1"/>
    <xf numFmtId="3" fontId="27" fillId="0" borderId="0" xfId="0" applyNumberFormat="1" applyFont="1"/>
    <xf numFmtId="0" fontId="24" fillId="16" borderId="0" xfId="1" applyFont="1" applyFill="1" applyAlignment="1">
      <alignment horizontal="center"/>
    </xf>
    <xf numFmtId="0" fontId="0" fillId="0" borderId="0" xfId="0" pivotButton="1"/>
    <xf numFmtId="0" fontId="0" fillId="0" borderId="0" xfId="0" applyAlignment="1">
      <alignment horizontal="left"/>
    </xf>
    <xf numFmtId="0" fontId="0" fillId="19" borderId="0" xfId="0" applyFill="1"/>
    <xf numFmtId="0" fontId="0" fillId="0" borderId="0" xfId="0" applyAlignment="1">
      <alignment horizontal="center"/>
    </xf>
    <xf numFmtId="0" fontId="29" fillId="0" borderId="0" xfId="0" applyFont="1"/>
    <xf numFmtId="166" fontId="14" fillId="0" borderId="0" xfId="18" applyNumberFormat="1"/>
    <xf numFmtId="0" fontId="24" fillId="0" borderId="0" xfId="0" applyFont="1" applyAlignment="1">
      <alignment horizontal="left"/>
    </xf>
    <xf numFmtId="0" fontId="33" fillId="0" borderId="0" xfId="0" applyFont="1"/>
    <xf numFmtId="0" fontId="14" fillId="0" borderId="0" xfId="1"/>
    <xf numFmtId="0" fontId="24" fillId="0" borderId="0" xfId="1" applyFont="1"/>
    <xf numFmtId="0" fontId="24" fillId="0" borderId="0" xfId="18" applyFont="1"/>
    <xf numFmtId="0" fontId="24" fillId="0" borderId="56" xfId="1" applyFont="1" applyBorder="1"/>
    <xf numFmtId="0" fontId="24" fillId="0" borderId="46" xfId="1" applyFont="1" applyBorder="1"/>
    <xf numFmtId="171" fontId="24" fillId="0" borderId="0" xfId="1" applyNumberFormat="1" applyFont="1"/>
    <xf numFmtId="0" fontId="24" fillId="0" borderId="46" xfId="1" applyFont="1" applyBorder="1" applyAlignment="1">
      <alignment horizontal="center"/>
    </xf>
    <xf numFmtId="172" fontId="24" fillId="0" borderId="0" xfId="18" applyNumberFormat="1" applyFont="1" applyAlignment="1">
      <alignment horizontal="center"/>
    </xf>
    <xf numFmtId="0" fontId="24" fillId="0" borderId="0" xfId="18" applyFont="1" applyAlignment="1">
      <alignment horizontal="center"/>
    </xf>
    <xf numFmtId="0" fontId="24" fillId="0" borderId="50" xfId="1" applyFont="1" applyBorder="1" applyAlignment="1">
      <alignment horizontal="left"/>
    </xf>
    <xf numFmtId="171" fontId="24" fillId="0" borderId="0" xfId="18" applyNumberFormat="1" applyFont="1"/>
    <xf numFmtId="0" fontId="24" fillId="0" borderId="46" xfId="18" applyFont="1" applyBorder="1" applyAlignment="1">
      <alignment horizontal="center"/>
    </xf>
    <xf numFmtId="0" fontId="24" fillId="0" borderId="0" xfId="18" applyFont="1" applyAlignment="1">
      <alignment horizontal="left"/>
    </xf>
    <xf numFmtId="0" fontId="24" fillId="0" borderId="46" xfId="18" applyFont="1" applyBorder="1"/>
    <xf numFmtId="0" fontId="24" fillId="0" borderId="50" xfId="0" applyFont="1" applyBorder="1" applyAlignment="1">
      <alignment horizontal="left"/>
    </xf>
    <xf numFmtId="172" fontId="13" fillId="0" borderId="0" xfId="18" applyNumberFormat="1" applyFont="1" applyAlignment="1">
      <alignment horizontal="center"/>
    </xf>
    <xf numFmtId="171" fontId="24" fillId="0" borderId="56" xfId="1" applyNumberFormat="1" applyFont="1" applyBorder="1"/>
    <xf numFmtId="0" fontId="24" fillId="0" borderId="56" xfId="1" applyFont="1" applyBorder="1" applyAlignment="1">
      <alignment horizontal="left"/>
    </xf>
    <xf numFmtId="0" fontId="24" fillId="0" borderId="50" xfId="18" applyFont="1" applyBorder="1" applyAlignment="1">
      <alignment horizontal="left"/>
    </xf>
    <xf numFmtId="0" fontId="24" fillId="0" borderId="57" xfId="1" applyFont="1" applyBorder="1"/>
    <xf numFmtId="0" fontId="24" fillId="0" borderId="0" xfId="1" applyFont="1" applyAlignment="1">
      <alignment horizontal="center"/>
    </xf>
    <xf numFmtId="164" fontId="24" fillId="0" borderId="0" xfId="1" applyNumberFormat="1" applyFont="1"/>
    <xf numFmtId="164" fontId="24" fillId="0" borderId="0" xfId="1" applyNumberFormat="1" applyFont="1" applyAlignment="1">
      <alignment horizontal="center"/>
    </xf>
    <xf numFmtId="164" fontId="24" fillId="0" borderId="0" xfId="18" applyNumberFormat="1" applyFont="1" applyAlignment="1">
      <alignment horizontal="center"/>
    </xf>
    <xf numFmtId="164" fontId="24" fillId="0" borderId="50" xfId="1" applyNumberFormat="1" applyFont="1" applyBorder="1" applyAlignment="1">
      <alignment horizontal="left"/>
    </xf>
    <xf numFmtId="164" fontId="14" fillId="0" borderId="0" xfId="18" applyNumberFormat="1"/>
    <xf numFmtId="0" fontId="24" fillId="0" borderId="46" xfId="0" applyFont="1" applyBorder="1"/>
    <xf numFmtId="0" fontId="24" fillId="0" borderId="50" xfId="0" applyFont="1" applyBorder="1"/>
    <xf numFmtId="0" fontId="24" fillId="0" borderId="50" xfId="18" applyFont="1" applyBorder="1" applyAlignment="1">
      <alignment horizontal="center"/>
    </xf>
    <xf numFmtId="172" fontId="24" fillId="0" borderId="50" xfId="18" applyNumberFormat="1" applyFont="1" applyBorder="1" applyAlignment="1">
      <alignment horizontal="center"/>
    </xf>
    <xf numFmtId="0" fontId="30" fillId="0" borderId="0" xfId="1" applyFont="1"/>
    <xf numFmtId="0" fontId="14" fillId="0" borderId="46" xfId="1" applyBorder="1"/>
    <xf numFmtId="171" fontId="24" fillId="0" borderId="57" xfId="1" applyNumberFormat="1" applyFont="1" applyBorder="1"/>
    <xf numFmtId="0" fontId="24" fillId="0" borderId="50" xfId="18" applyFont="1" applyBorder="1" applyAlignment="1">
      <alignment horizontal="left" wrapText="1"/>
    </xf>
    <xf numFmtId="0" fontId="24" fillId="0" borderId="0" xfId="1" applyFont="1" applyAlignment="1">
      <alignment horizontal="left"/>
    </xf>
    <xf numFmtId="0" fontId="24" fillId="0" borderId="56" xfId="18" applyFont="1" applyBorder="1"/>
    <xf numFmtId="0" fontId="14" fillId="0" borderId="57" xfId="18" applyBorder="1"/>
    <xf numFmtId="171" fontId="24" fillId="0" borderId="56" xfId="18" applyNumberFormat="1" applyFont="1" applyBorder="1"/>
    <xf numFmtId="0" fontId="24" fillId="0" borderId="50" xfId="0" applyFont="1" applyBorder="1" applyAlignment="1">
      <alignment horizontal="center"/>
    </xf>
    <xf numFmtId="0" fontId="24" fillId="0" borderId="0" xfId="1" applyFont="1" applyAlignment="1">
      <alignment horizontal="left" vertical="center" indent="1"/>
    </xf>
    <xf numFmtId="0" fontId="24" fillId="0" borderId="0" xfId="0" applyFont="1" applyAlignment="1">
      <alignment horizontal="left" vertical="center" indent="1"/>
    </xf>
    <xf numFmtId="0" fontId="24" fillId="0" borderId="0" xfId="1" applyFont="1" applyAlignment="1">
      <alignment horizontal="left" vertical="center"/>
    </xf>
    <xf numFmtId="17" fontId="24" fillId="0" borderId="0" xfId="18" applyNumberFormat="1" applyFont="1" applyAlignment="1">
      <alignment horizontal="center"/>
    </xf>
    <xf numFmtId="3" fontId="14" fillId="0" borderId="0" xfId="18" applyNumberFormat="1"/>
    <xf numFmtId="0" fontId="24" fillId="16" borderId="0" xfId="1" applyFont="1" applyFill="1" applyAlignment="1">
      <alignment wrapText="1"/>
    </xf>
    <xf numFmtId="0" fontId="0" fillId="0" borderId="0" xfId="0" applyAlignment="1">
      <alignment wrapText="1"/>
    </xf>
    <xf numFmtId="0" fontId="24" fillId="16" borderId="0" xfId="0" applyFont="1" applyFill="1" applyAlignment="1">
      <alignment vertical="center"/>
    </xf>
    <xf numFmtId="0" fontId="24" fillId="16" borderId="0" xfId="0" applyFont="1" applyFill="1" applyAlignment="1">
      <alignment vertical="center" wrapText="1"/>
    </xf>
    <xf numFmtId="171" fontId="24" fillId="16" borderId="0" xfId="0" applyNumberFormat="1" applyFont="1" applyFill="1" applyAlignment="1">
      <alignment vertical="center"/>
    </xf>
    <xf numFmtId="0" fontId="24" fillId="16" borderId="0" xfId="0" applyFont="1" applyFill="1" applyAlignment="1">
      <alignment horizontal="center" vertical="center"/>
    </xf>
    <xf numFmtId="0" fontId="0" fillId="0" borderId="0" xfId="0" applyAlignment="1">
      <alignment horizontal="left" vertical="center" wrapText="1" indent="1"/>
    </xf>
    <xf numFmtId="0" fontId="24" fillId="16" borderId="1" xfId="1" applyFont="1" applyFill="1" applyBorder="1" applyAlignment="1">
      <alignment vertical="center"/>
    </xf>
    <xf numFmtId="0" fontId="24" fillId="16" borderId="1" xfId="1" applyFont="1" applyFill="1" applyBorder="1" applyAlignment="1">
      <alignment vertical="center" wrapText="1"/>
    </xf>
    <xf numFmtId="171" fontId="24" fillId="16" borderId="1" xfId="1" applyNumberFormat="1" applyFont="1" applyFill="1" applyBorder="1" applyAlignment="1">
      <alignment vertical="center"/>
    </xf>
    <xf numFmtId="0" fontId="24" fillId="16" borderId="1" xfId="1" applyFont="1" applyFill="1" applyBorder="1" applyAlignment="1">
      <alignment horizontal="center" vertical="center"/>
    </xf>
    <xf numFmtId="0" fontId="24" fillId="16" borderId="1" xfId="1" applyFont="1" applyFill="1" applyBorder="1" applyAlignment="1">
      <alignment horizontal="left" vertical="center" wrapText="1" indent="1"/>
    </xf>
    <xf numFmtId="0" fontId="24" fillId="16" borderId="1" xfId="18" applyFont="1" applyFill="1" applyBorder="1" applyAlignment="1">
      <alignment vertical="center"/>
    </xf>
    <xf numFmtId="171" fontId="24" fillId="16" borderId="1" xfId="18" applyNumberFormat="1" applyFont="1" applyFill="1" applyBorder="1" applyAlignment="1">
      <alignment vertical="center"/>
    </xf>
    <xf numFmtId="0" fontId="24" fillId="16" borderId="1" xfId="18" applyFont="1" applyFill="1" applyBorder="1" applyAlignment="1">
      <alignment horizontal="center" vertical="center"/>
    </xf>
    <xf numFmtId="0" fontId="24" fillId="16" borderId="0" xfId="1" applyFont="1" applyFill="1" applyAlignment="1">
      <alignment horizontal="left" vertical="center" indent="1"/>
    </xf>
    <xf numFmtId="0" fontId="14" fillId="16" borderId="0" xfId="18" applyFill="1"/>
    <xf numFmtId="0" fontId="14" fillId="16" borderId="0" xfId="1" applyFill="1"/>
    <xf numFmtId="172" fontId="24" fillId="16" borderId="0" xfId="18" applyNumberFormat="1" applyFont="1" applyFill="1" applyAlignment="1">
      <alignment horizontal="center"/>
    </xf>
    <xf numFmtId="0" fontId="24" fillId="16" borderId="50" xfId="18" applyFont="1" applyFill="1" applyBorder="1" applyAlignment="1">
      <alignment horizontal="left" wrapText="1"/>
    </xf>
    <xf numFmtId="0" fontId="24" fillId="16" borderId="62" xfId="1" applyFont="1" applyFill="1" applyBorder="1" applyAlignment="1">
      <alignment horizontal="center" vertical="center"/>
    </xf>
    <xf numFmtId="0" fontId="24" fillId="16" borderId="25" xfId="1" applyFont="1" applyFill="1" applyBorder="1" applyAlignment="1">
      <alignment horizontal="left" vertical="center" wrapText="1" indent="1"/>
    </xf>
    <xf numFmtId="171" fontId="24" fillId="16" borderId="1" xfId="1" applyNumberFormat="1" applyFont="1" applyFill="1" applyBorder="1" applyAlignment="1">
      <alignment horizontal="center" vertical="center"/>
    </xf>
    <xf numFmtId="0" fontId="24" fillId="16" borderId="1" xfId="1" applyFont="1" applyFill="1" applyBorder="1" applyAlignment="1">
      <alignment horizontal="left" vertical="center"/>
    </xf>
    <xf numFmtId="0" fontId="24" fillId="16" borderId="1" xfId="1" applyFont="1" applyFill="1" applyBorder="1" applyAlignment="1">
      <alignment horizontal="left" vertical="center" wrapText="1"/>
    </xf>
    <xf numFmtId="0" fontId="24" fillId="0" borderId="0" xfId="1" applyFont="1" applyAlignment="1">
      <alignment vertical="center"/>
    </xf>
    <xf numFmtId="0" fontId="24" fillId="16" borderId="1" xfId="1" applyFont="1" applyFill="1" applyBorder="1"/>
    <xf numFmtId="0" fontId="24" fillId="16" borderId="1" xfId="1" applyFont="1" applyFill="1" applyBorder="1" applyAlignment="1">
      <alignment wrapText="1"/>
    </xf>
    <xf numFmtId="0" fontId="24" fillId="16" borderId="1" xfId="1" applyFont="1" applyFill="1" applyBorder="1" applyAlignment="1">
      <alignment horizontal="left" vertical="top" wrapText="1" indent="1"/>
    </xf>
    <xf numFmtId="0" fontId="24" fillId="16" borderId="63" xfId="1" applyFont="1" applyFill="1" applyBorder="1" applyAlignment="1">
      <alignment vertical="center" wrapText="1"/>
    </xf>
    <xf numFmtId="0" fontId="24" fillId="16" borderId="1" xfId="1" applyFont="1" applyFill="1" applyBorder="1" applyAlignment="1">
      <alignment horizontal="center" vertical="center" wrapText="1"/>
    </xf>
    <xf numFmtId="171" fontId="24" fillId="16" borderId="1" xfId="1" applyNumberFormat="1" applyFont="1" applyFill="1" applyBorder="1"/>
    <xf numFmtId="0" fontId="24" fillId="16" borderId="1" xfId="1" applyFont="1" applyFill="1" applyBorder="1" applyAlignment="1">
      <alignment horizontal="center"/>
    </xf>
    <xf numFmtId="171" fontId="24" fillId="16" borderId="1" xfId="18" applyNumberFormat="1" applyFont="1" applyFill="1" applyBorder="1"/>
    <xf numFmtId="0" fontId="24" fillId="16" borderId="1" xfId="18" applyFont="1" applyFill="1" applyBorder="1" applyAlignment="1">
      <alignment horizontal="center"/>
    </xf>
    <xf numFmtId="0" fontId="26" fillId="16" borderId="1" xfId="0" applyFont="1" applyFill="1" applyBorder="1" applyAlignment="1">
      <alignment wrapText="1"/>
    </xf>
    <xf numFmtId="0" fontId="28" fillId="0" borderId="0" xfId="0" applyFont="1" applyAlignment="1">
      <alignment horizontal="center" vertical="center"/>
    </xf>
    <xf numFmtId="0" fontId="28" fillId="0" borderId="0" xfId="0" applyFont="1" applyAlignment="1">
      <alignment horizontal="center" wrapText="1"/>
    </xf>
    <xf numFmtId="0" fontId="28" fillId="19" borderId="0" xfId="0" applyFont="1" applyFill="1" applyAlignment="1">
      <alignment horizontal="center"/>
    </xf>
    <xf numFmtId="0" fontId="28" fillId="19" borderId="0" xfId="0" applyFont="1" applyFill="1" applyAlignment="1">
      <alignment horizontal="center" vertical="center"/>
    </xf>
    <xf numFmtId="0" fontId="28" fillId="0" borderId="0" xfId="0" applyFont="1" applyAlignment="1">
      <alignment horizontal="left" vertical="center" wrapText="1" indent="1"/>
    </xf>
    <xf numFmtId="0" fontId="24" fillId="16" borderId="63" xfId="1" applyFont="1" applyFill="1" applyBorder="1" applyAlignment="1">
      <alignment vertical="center"/>
    </xf>
    <xf numFmtId="0" fontId="24" fillId="16" borderId="63" xfId="1" applyFont="1" applyFill="1" applyBorder="1" applyAlignment="1">
      <alignment horizontal="center" vertical="center"/>
    </xf>
    <xf numFmtId="171" fontId="24" fillId="16" borderId="63" xfId="1" applyNumberFormat="1" applyFont="1" applyFill="1" applyBorder="1" applyAlignment="1">
      <alignment vertical="center"/>
    </xf>
    <xf numFmtId="0" fontId="24" fillId="16" borderId="63" xfId="1" applyFont="1" applyFill="1" applyBorder="1" applyAlignment="1">
      <alignment horizontal="left" vertical="center" wrapText="1" indent="1"/>
    </xf>
    <xf numFmtId="171" fontId="24" fillId="16" borderId="1" xfId="1" applyNumberFormat="1" applyFont="1" applyFill="1" applyBorder="1" applyAlignment="1">
      <alignment horizontal="center" vertical="center" wrapText="1"/>
    </xf>
    <xf numFmtId="0" fontId="24" fillId="16" borderId="1" xfId="1" applyFont="1" applyFill="1" applyBorder="1" applyAlignment="1">
      <alignment horizontal="left" vertical="center" wrapText="1" indent="2"/>
    </xf>
    <xf numFmtId="0" fontId="34" fillId="16" borderId="1" xfId="1" applyFont="1" applyFill="1" applyBorder="1" applyAlignment="1">
      <alignment vertical="center" wrapText="1"/>
    </xf>
    <xf numFmtId="0" fontId="24" fillId="16" borderId="25" xfId="1" applyFont="1" applyFill="1" applyBorder="1" applyAlignment="1">
      <alignment horizontal="left" vertical="center" indent="1"/>
    </xf>
    <xf numFmtId="171" fontId="24" fillId="16" borderId="1" xfId="1" applyNumberFormat="1" applyFont="1" applyFill="1" applyBorder="1" applyAlignment="1">
      <alignment vertical="center" wrapText="1"/>
    </xf>
    <xf numFmtId="0" fontId="24" fillId="16" borderId="1" xfId="1" applyFont="1" applyFill="1" applyBorder="1" applyAlignment="1">
      <alignment horizontal="left" vertical="center" indent="1"/>
    </xf>
    <xf numFmtId="171" fontId="24" fillId="16" borderId="62" xfId="1" applyNumberFormat="1" applyFont="1" applyFill="1" applyBorder="1" applyAlignment="1">
      <alignment horizontal="center" vertical="center"/>
    </xf>
    <xf numFmtId="171" fontId="24" fillId="16" borderId="25" xfId="1" applyNumberFormat="1" applyFont="1" applyFill="1" applyBorder="1" applyAlignment="1">
      <alignment horizontal="left" vertical="center" indent="1"/>
    </xf>
    <xf numFmtId="0" fontId="24" fillId="16" borderId="25" xfId="1" applyFont="1" applyFill="1" applyBorder="1" applyAlignment="1">
      <alignment horizontal="center" vertical="center" indent="1"/>
    </xf>
    <xf numFmtId="0" fontId="24" fillId="16" borderId="25" xfId="1" applyFont="1" applyFill="1" applyBorder="1" applyAlignment="1">
      <alignment vertical="center"/>
    </xf>
    <xf numFmtId="0" fontId="24" fillId="16" borderId="25" xfId="1" applyFont="1" applyFill="1" applyBorder="1" applyAlignment="1">
      <alignment horizontal="center" vertical="center"/>
    </xf>
    <xf numFmtId="171" fontId="24" fillId="16" borderId="25" xfId="1" applyNumberFormat="1" applyFont="1" applyFill="1" applyBorder="1" applyAlignment="1">
      <alignment vertical="center"/>
    </xf>
    <xf numFmtId="0" fontId="24" fillId="16" borderId="25" xfId="1" applyFont="1" applyFill="1" applyBorder="1" applyAlignment="1">
      <alignment vertical="center" wrapText="1"/>
    </xf>
    <xf numFmtId="0" fontId="24" fillId="16" borderId="62" xfId="1" applyFont="1" applyFill="1" applyBorder="1" applyAlignment="1">
      <alignment vertical="center" wrapText="1"/>
    </xf>
    <xf numFmtId="171" fontId="24" fillId="16" borderId="62" xfId="1" applyNumberFormat="1" applyFont="1" applyFill="1" applyBorder="1" applyAlignment="1">
      <alignment vertical="center"/>
    </xf>
    <xf numFmtId="0" fontId="24" fillId="16" borderId="62" xfId="1" applyFont="1" applyFill="1" applyBorder="1" applyAlignment="1">
      <alignment horizontal="left" vertical="center" wrapText="1" indent="1"/>
    </xf>
    <xf numFmtId="171" fontId="24" fillId="16" borderId="1" xfId="1" applyNumberFormat="1" applyFont="1" applyFill="1" applyBorder="1" applyAlignment="1">
      <alignment horizontal="left" vertical="center"/>
    </xf>
    <xf numFmtId="0" fontId="24" fillId="16" borderId="24" xfId="1" applyFont="1" applyFill="1" applyBorder="1" applyAlignment="1">
      <alignment wrapText="1"/>
    </xf>
    <xf numFmtId="0" fontId="24" fillId="16" borderId="63" xfId="1" applyFont="1" applyFill="1" applyBorder="1" applyAlignment="1">
      <alignment horizontal="left" vertical="center"/>
    </xf>
    <xf numFmtId="0" fontId="24" fillId="16" borderId="63" xfId="1" applyFont="1" applyFill="1" applyBorder="1" applyAlignment="1">
      <alignment horizontal="left" vertical="center" indent="1"/>
    </xf>
    <xf numFmtId="0" fontId="24" fillId="16" borderId="1" xfId="18" applyFont="1" applyFill="1" applyBorder="1"/>
    <xf numFmtId="0" fontId="24" fillId="16" borderId="62" xfId="1" applyFont="1" applyFill="1" applyBorder="1" applyAlignment="1">
      <alignment vertical="center"/>
    </xf>
    <xf numFmtId="0" fontId="24" fillId="16" borderId="25" xfId="18" applyFont="1" applyFill="1" applyBorder="1" applyAlignment="1">
      <alignment vertical="center"/>
    </xf>
    <xf numFmtId="171" fontId="24" fillId="16" borderId="25" xfId="18" applyNumberFormat="1" applyFont="1" applyFill="1" applyBorder="1" applyAlignment="1">
      <alignment vertical="center"/>
    </xf>
    <xf numFmtId="0" fontId="24" fillId="16" borderId="25" xfId="18" applyFont="1" applyFill="1" applyBorder="1" applyAlignment="1">
      <alignment horizontal="center" vertical="center"/>
    </xf>
    <xf numFmtId="0" fontId="24" fillId="16" borderId="25" xfId="1" applyFont="1" applyFill="1" applyBorder="1" applyAlignment="1">
      <alignment horizontal="left" vertical="center" wrapText="1" indent="2"/>
    </xf>
    <xf numFmtId="0" fontId="34" fillId="16" borderId="62" xfId="1" applyFont="1" applyFill="1" applyBorder="1" applyAlignment="1">
      <alignment vertical="center" wrapText="1"/>
    </xf>
    <xf numFmtId="0" fontId="24" fillId="16" borderId="25" xfId="1" applyFont="1" applyFill="1" applyBorder="1" applyAlignment="1">
      <alignment horizontal="left" vertical="center" indent="2"/>
    </xf>
    <xf numFmtId="171" fontId="24" fillId="16" borderId="25" xfId="1" applyNumberFormat="1" applyFont="1" applyFill="1" applyBorder="1" applyAlignment="1">
      <alignment horizontal="center" vertical="center"/>
    </xf>
    <xf numFmtId="0" fontId="24" fillId="16" borderId="25" xfId="1" applyFont="1" applyFill="1" applyBorder="1" applyAlignment="1">
      <alignment horizontal="left" vertical="center"/>
    </xf>
    <xf numFmtId="0" fontId="24" fillId="16" borderId="25" xfId="1" applyFont="1" applyFill="1" applyBorder="1" applyAlignment="1">
      <alignment horizontal="left" vertical="center" wrapText="1"/>
    </xf>
    <xf numFmtId="0" fontId="24" fillId="16" borderId="63" xfId="18" applyFont="1" applyFill="1" applyBorder="1" applyAlignment="1">
      <alignment horizontal="center" vertical="center"/>
    </xf>
    <xf numFmtId="0" fontId="26" fillId="16" borderId="63" xfId="0" applyFont="1" applyFill="1" applyBorder="1" applyAlignment="1">
      <alignment horizontal="left" vertical="center" wrapText="1"/>
    </xf>
    <xf numFmtId="171" fontId="24" fillId="16" borderId="63" xfId="18" applyNumberFormat="1" applyFont="1" applyFill="1" applyBorder="1" applyAlignment="1">
      <alignment horizontal="left" vertical="center"/>
    </xf>
    <xf numFmtId="0" fontId="24" fillId="16" borderId="1" xfId="1" applyFont="1" applyFill="1" applyBorder="1" applyAlignment="1">
      <alignment horizontal="left" indent="1"/>
    </xf>
    <xf numFmtId="0" fontId="24" fillId="16" borderId="62" xfId="1" applyFont="1" applyFill="1" applyBorder="1" applyAlignment="1">
      <alignment horizontal="left" vertical="center" indent="1"/>
    </xf>
    <xf numFmtId="0" fontId="24" fillId="16" borderId="62" xfId="1" applyFont="1" applyFill="1" applyBorder="1" applyAlignment="1">
      <alignment horizontal="center" vertical="center" wrapText="1"/>
    </xf>
    <xf numFmtId="0" fontId="24" fillId="16" borderId="25" xfId="1" applyFont="1" applyFill="1" applyBorder="1" applyAlignment="1">
      <alignment horizontal="center" vertical="center" wrapText="1"/>
    </xf>
    <xf numFmtId="171" fontId="24" fillId="16" borderId="25" xfId="1" applyNumberFormat="1" applyFont="1" applyFill="1" applyBorder="1" applyAlignment="1">
      <alignment horizontal="center" vertical="center" wrapText="1"/>
    </xf>
    <xf numFmtId="0" fontId="24" fillId="16" borderId="63" xfId="1" applyFont="1" applyFill="1" applyBorder="1" applyAlignment="1">
      <alignment horizontal="left" wrapText="1" indent="1"/>
    </xf>
    <xf numFmtId="171" fontId="24" fillId="16" borderId="63" xfId="1" applyNumberFormat="1" applyFont="1" applyFill="1" applyBorder="1" applyAlignment="1">
      <alignment horizontal="center" vertical="center"/>
    </xf>
    <xf numFmtId="0" fontId="24" fillId="16" borderId="24" xfId="1" applyFont="1" applyFill="1" applyBorder="1" applyAlignment="1">
      <alignment horizontal="left" wrapText="1"/>
    </xf>
    <xf numFmtId="0" fontId="24" fillId="16" borderId="62" xfId="1" applyFont="1" applyFill="1" applyBorder="1" applyAlignment="1">
      <alignment horizontal="left" vertical="center"/>
    </xf>
    <xf numFmtId="0" fontId="24" fillId="16" borderId="62" xfId="1" applyFont="1" applyFill="1" applyBorder="1" applyAlignment="1">
      <alignment horizontal="left" vertical="center" wrapText="1"/>
    </xf>
    <xf numFmtId="0" fontId="24" fillId="16" borderId="62" xfId="1" applyFont="1" applyFill="1" applyBorder="1" applyAlignment="1">
      <alignment horizontal="left" vertical="top" wrapText="1" indent="1"/>
    </xf>
    <xf numFmtId="0" fontId="24" fillId="16" borderId="63" xfId="18" applyFont="1" applyFill="1" applyBorder="1"/>
    <xf numFmtId="0" fontId="24" fillId="16" borderId="63" xfId="1" applyFont="1" applyFill="1" applyBorder="1" applyAlignment="1">
      <alignment wrapText="1"/>
    </xf>
    <xf numFmtId="0" fontId="24" fillId="16" borderId="63" xfId="1" applyFont="1" applyFill="1" applyBorder="1"/>
    <xf numFmtId="171" fontId="24" fillId="16" borderId="63" xfId="18" applyNumberFormat="1" applyFont="1" applyFill="1" applyBorder="1"/>
    <xf numFmtId="0" fontId="24" fillId="16" borderId="63" xfId="18" applyFont="1" applyFill="1" applyBorder="1" applyAlignment="1">
      <alignment horizontal="center"/>
    </xf>
    <xf numFmtId="0" fontId="24" fillId="16" borderId="63" xfId="1" applyFont="1" applyFill="1" applyBorder="1" applyAlignment="1">
      <alignment horizontal="left" vertical="center" wrapText="1"/>
    </xf>
    <xf numFmtId="0" fontId="33" fillId="0" borderId="0" xfId="0" applyFont="1" applyAlignment="1">
      <alignment horizontal="left" vertical="center"/>
    </xf>
    <xf numFmtId="0" fontId="14" fillId="0" borderId="0" xfId="18" applyAlignment="1">
      <alignment horizontal="left" vertical="center"/>
    </xf>
    <xf numFmtId="0" fontId="13" fillId="0" borderId="0" xfId="1" applyFont="1" applyAlignment="1">
      <alignment horizontal="left" vertical="center"/>
    </xf>
    <xf numFmtId="0" fontId="14" fillId="0" borderId="0" xfId="1" applyAlignment="1">
      <alignment horizontal="left" vertical="center"/>
    </xf>
    <xf numFmtId="171" fontId="24" fillId="0" borderId="0" xfId="1" applyNumberFormat="1" applyFont="1" applyAlignment="1">
      <alignment horizontal="left" vertical="center"/>
    </xf>
    <xf numFmtId="0" fontId="24" fillId="0" borderId="0" xfId="18" applyFont="1" applyAlignment="1">
      <alignment horizontal="left" vertical="center"/>
    </xf>
    <xf numFmtId="0" fontId="13" fillId="0" borderId="0" xfId="1" applyFont="1" applyAlignment="1">
      <alignment vertical="center"/>
    </xf>
    <xf numFmtId="0" fontId="33" fillId="0" borderId="0" xfId="0" applyFont="1" applyAlignment="1">
      <alignment vertical="center"/>
    </xf>
    <xf numFmtId="0" fontId="14" fillId="0" borderId="0" xfId="18" applyAlignment="1">
      <alignment vertical="center"/>
    </xf>
    <xf numFmtId="0" fontId="14" fillId="0" borderId="0" xfId="1" applyAlignment="1">
      <alignment vertical="center"/>
    </xf>
    <xf numFmtId="171" fontId="24" fillId="0" borderId="0" xfId="1" applyNumberFormat="1" applyFont="1" applyAlignment="1">
      <alignment vertical="center"/>
    </xf>
    <xf numFmtId="0" fontId="24" fillId="0" borderId="0" xfId="1" applyFont="1" applyAlignment="1">
      <alignment horizontal="center" vertical="center"/>
    </xf>
    <xf numFmtId="172" fontId="24" fillId="0" borderId="0" xfId="18" applyNumberFormat="1" applyFont="1" applyAlignment="1">
      <alignment horizontal="center" vertical="center"/>
    </xf>
    <xf numFmtId="0" fontId="24" fillId="0" borderId="0" xfId="18" applyFont="1" applyAlignment="1">
      <alignment horizontal="center" vertical="center"/>
    </xf>
    <xf numFmtId="0" fontId="24" fillId="0" borderId="0" xfId="1" applyFont="1" applyAlignment="1">
      <alignment wrapText="1"/>
    </xf>
    <xf numFmtId="0" fontId="24" fillId="0" borderId="0" xfId="0" applyFont="1" applyAlignment="1">
      <alignment wrapText="1"/>
    </xf>
    <xf numFmtId="0" fontId="24" fillId="0" borderId="57" xfId="1" applyFont="1" applyBorder="1" applyAlignment="1">
      <alignment wrapText="1"/>
    </xf>
    <xf numFmtId="0" fontId="24" fillId="0" borderId="0" xfId="18" applyFont="1" applyAlignment="1">
      <alignment wrapText="1"/>
    </xf>
    <xf numFmtId="0" fontId="31" fillId="0" borderId="0" xfId="0" applyFont="1" applyAlignment="1">
      <alignment wrapText="1"/>
    </xf>
    <xf numFmtId="164" fontId="24" fillId="0" borderId="0" xfId="1" applyNumberFormat="1" applyFont="1" applyAlignment="1">
      <alignment wrapText="1"/>
    </xf>
    <xf numFmtId="0" fontId="14" fillId="0" borderId="0" xfId="18" applyAlignment="1">
      <alignment wrapText="1"/>
    </xf>
    <xf numFmtId="0" fontId="26" fillId="0" borderId="0" xfId="0" applyFont="1" applyAlignment="1">
      <alignment wrapText="1"/>
    </xf>
    <xf numFmtId="0" fontId="24" fillId="0" borderId="0" xfId="1" applyFont="1" applyAlignment="1">
      <alignment horizontal="left" vertical="center" wrapText="1"/>
    </xf>
    <xf numFmtId="0" fontId="24" fillId="0" borderId="0" xfId="1" applyFont="1" applyAlignment="1">
      <alignment vertical="center" wrapText="1"/>
    </xf>
    <xf numFmtId="0" fontId="24" fillId="16" borderId="0" xfId="1" applyFont="1" applyFill="1" applyAlignment="1">
      <alignment horizontal="center" vertical="center"/>
    </xf>
    <xf numFmtId="0" fontId="24" fillId="0" borderId="56" xfId="1" applyFont="1" applyBorder="1" applyAlignment="1">
      <alignment vertical="center"/>
    </xf>
    <xf numFmtId="0" fontId="24" fillId="16" borderId="0" xfId="1" applyFont="1" applyFill="1" applyAlignment="1">
      <alignment horizontal="left" vertical="center"/>
    </xf>
    <xf numFmtId="0" fontId="14" fillId="16" borderId="0" xfId="1" applyFill="1" applyAlignment="1">
      <alignment horizontal="left" vertical="center"/>
    </xf>
    <xf numFmtId="0" fontId="24" fillId="0" borderId="56" xfId="1" applyFont="1" applyBorder="1" applyAlignment="1">
      <alignment horizontal="left" vertical="center"/>
    </xf>
    <xf numFmtId="0" fontId="14" fillId="16" borderId="0" xfId="18" applyFill="1" applyAlignment="1">
      <alignment horizontal="left" vertical="center" indent="1"/>
    </xf>
    <xf numFmtId="0" fontId="24" fillId="16" borderId="0" xfId="1" applyFont="1" applyFill="1" applyAlignment="1">
      <alignment horizontal="left" vertical="center" wrapText="1" indent="1"/>
    </xf>
    <xf numFmtId="0" fontId="14" fillId="16" borderId="0" xfId="1" applyFill="1" applyAlignment="1">
      <alignment horizontal="left" vertical="center" indent="1"/>
    </xf>
    <xf numFmtId="0" fontId="24" fillId="16" borderId="0" xfId="18" applyFont="1" applyFill="1" applyAlignment="1">
      <alignment horizontal="left" vertical="center" indent="1"/>
    </xf>
    <xf numFmtId="0" fontId="24" fillId="16" borderId="50" xfId="1" applyFont="1" applyFill="1" applyBorder="1" applyAlignment="1">
      <alignment horizontal="left" vertical="center" wrapText="1" indent="1"/>
    </xf>
    <xf numFmtId="0" fontId="14" fillId="0" borderId="0" xfId="18" applyAlignment="1">
      <alignment horizontal="left" vertical="center" indent="1"/>
    </xf>
    <xf numFmtId="0" fontId="24" fillId="0" borderId="0" xfId="1" applyFont="1" applyAlignment="1">
      <alignment horizontal="left" vertical="center" wrapText="1" indent="1"/>
    </xf>
    <xf numFmtId="0" fontId="14" fillId="0" borderId="0" xfId="1" applyAlignment="1">
      <alignment horizontal="left" vertical="center" indent="1"/>
    </xf>
    <xf numFmtId="0" fontId="24" fillId="0" borderId="0" xfId="18" applyFont="1" applyAlignment="1">
      <alignment horizontal="left" vertical="center" indent="1"/>
    </xf>
    <xf numFmtId="0" fontId="24" fillId="0" borderId="50" xfId="1" applyFont="1" applyBorder="1" applyAlignment="1">
      <alignment horizontal="left" vertical="center" wrapText="1" indent="1"/>
    </xf>
    <xf numFmtId="0" fontId="24" fillId="0" borderId="46" xfId="1" applyFont="1" applyBorder="1" applyAlignment="1">
      <alignment vertical="center"/>
    </xf>
    <xf numFmtId="0" fontId="24" fillId="0" borderId="46" xfId="1" applyFont="1" applyBorder="1" applyAlignment="1">
      <alignment horizontal="center" vertical="center"/>
    </xf>
    <xf numFmtId="0" fontId="24" fillId="0" borderId="0" xfId="18" applyFont="1" applyAlignment="1">
      <alignment horizontal="left" vertical="center" wrapText="1"/>
    </xf>
    <xf numFmtId="171" fontId="24" fillId="0" borderId="0" xfId="18" applyNumberFormat="1" applyFont="1" applyAlignment="1">
      <alignment vertical="center"/>
    </xf>
    <xf numFmtId="0" fontId="24" fillId="0" borderId="50" xfId="1" applyFont="1" applyBorder="1" applyAlignment="1">
      <alignment horizontal="left" vertical="center"/>
    </xf>
    <xf numFmtId="0" fontId="24" fillId="0" borderId="50" xfId="18" applyFont="1" applyBorder="1" applyAlignment="1">
      <alignment horizontal="left" vertical="center" wrapText="1"/>
    </xf>
    <xf numFmtId="0" fontId="24" fillId="0" borderId="50" xfId="1" applyFont="1" applyBorder="1" applyAlignment="1">
      <alignment horizontal="left" vertical="center" wrapText="1"/>
    </xf>
    <xf numFmtId="0" fontId="0" fillId="0" borderId="0" xfId="0" applyAlignment="1">
      <alignment horizontal="left" vertical="center"/>
    </xf>
    <xf numFmtId="171" fontId="24" fillId="20" borderId="0" xfId="0" applyNumberFormat="1" applyFont="1" applyFill="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15" fillId="0" borderId="0" xfId="0" applyFont="1" applyAlignment="1">
      <alignment horizontal="center"/>
    </xf>
    <xf numFmtId="0" fontId="36" fillId="0" borderId="0" xfId="1" applyFont="1" applyAlignment="1">
      <alignment horizontal="left" vertical="center" indent="1"/>
    </xf>
    <xf numFmtId="0" fontId="1" fillId="0" borderId="0" xfId="0" applyFont="1"/>
    <xf numFmtId="0" fontId="1" fillId="0" borderId="0" xfId="0" applyFont="1" applyAlignment="1">
      <alignment wrapText="1"/>
    </xf>
    <xf numFmtId="0" fontId="1" fillId="0" borderId="0" xfId="18" applyFont="1"/>
    <xf numFmtId="0" fontId="1" fillId="0" borderId="0" xfId="1" applyFont="1"/>
    <xf numFmtId="0" fontId="1" fillId="0" borderId="46" xfId="1" applyFont="1" applyBorder="1"/>
    <xf numFmtId="166" fontId="1" fillId="0" borderId="0" xfId="22" applyFont="1" applyAlignment="1">
      <alignment wrapText="1"/>
    </xf>
    <xf numFmtId="166" fontId="1" fillId="0" borderId="0" xfId="22" applyFont="1"/>
    <xf numFmtId="0" fontId="37" fillId="0" borderId="0" xfId="0" applyFont="1"/>
    <xf numFmtId="0" fontId="38" fillId="0" borderId="0" xfId="0" applyFont="1"/>
    <xf numFmtId="0" fontId="14" fillId="0" borderId="0" xfId="1" applyAlignment="1">
      <alignment horizontal="left"/>
    </xf>
    <xf numFmtId="0" fontId="14" fillId="0" borderId="0" xfId="1" applyAlignment="1">
      <alignment horizontal="left" indent="1"/>
    </xf>
    <xf numFmtId="172" fontId="24" fillId="16" borderId="0" xfId="18" applyNumberFormat="1" applyFont="1" applyFill="1" applyAlignment="1">
      <alignment horizontal="center" vertical="center"/>
    </xf>
    <xf numFmtId="171" fontId="24" fillId="16" borderId="0" xfId="1" applyNumberFormat="1" applyFont="1" applyFill="1" applyAlignment="1">
      <alignment horizontal="right" vertical="center" indent="1"/>
    </xf>
    <xf numFmtId="0" fontId="24" fillId="0" borderId="0" xfId="1" applyFont="1" applyAlignment="1">
      <alignment vertical="center" indent="1"/>
    </xf>
    <xf numFmtId="0" fontId="30" fillId="0" borderId="0" xfId="1" applyFont="1" applyAlignment="1">
      <alignment vertical="center"/>
    </xf>
    <xf numFmtId="0" fontId="39" fillId="0" borderId="0" xfId="1" applyFont="1" applyAlignment="1">
      <alignment horizontal="left" vertical="center" wrapText="1"/>
    </xf>
    <xf numFmtId="172" fontId="24" fillId="0" borderId="0" xfId="18" applyNumberFormat="1" applyFont="1" applyAlignment="1">
      <alignment horizontal="center" wrapText="1"/>
    </xf>
    <xf numFmtId="9" fontId="14" fillId="0" borderId="0" xfId="18" applyNumberFormat="1"/>
    <xf numFmtId="0" fontId="14" fillId="0" borderId="56" xfId="1" applyBorder="1"/>
  </cellXfs>
  <cellStyles count="24">
    <cellStyle name="Comma" xfId="22" builtinId="3"/>
    <cellStyle name="Comma 2" xfId="8" xr:uid="{00000000-0005-0000-0000-000038000000}"/>
    <cellStyle name="Comma 3" xfId="9" xr:uid="{00000000-0005-0000-0000-000039000000}"/>
    <cellStyle name="Comma 4" xfId="10" xr:uid="{00000000-0005-0000-0000-00003A000000}"/>
    <cellStyle name="Comma 4 2" xfId="4" xr:uid="{00000000-0005-0000-0000-000021000000}"/>
    <cellStyle name="Comma 5" xfId="11" xr:uid="{00000000-0005-0000-0000-00003B000000}"/>
    <cellStyle name="Comma 9" xfId="12" xr:uid="{00000000-0005-0000-0000-00003C000000}"/>
    <cellStyle name="Normal" xfId="0" builtinId="0"/>
    <cellStyle name="Normal 2" xfId="5" xr:uid="{00000000-0005-0000-0000-000024000000}"/>
    <cellStyle name="Normal 2 2" xfId="23" xr:uid="{ABC5C352-3B8F-412F-8EE3-D0E407B0C612}"/>
    <cellStyle name="Normal 2 3" xfId="13" xr:uid="{00000000-0005-0000-0000-00003D000000}"/>
    <cellStyle name="Normal 2_Booking Forecast" xfId="7" xr:uid="{00000000-0005-0000-0000-00002F000000}"/>
    <cellStyle name="Normal 3" xfId="6" xr:uid="{00000000-0005-0000-0000-000029000000}"/>
    <cellStyle name="Normal 3 2" xfId="14" xr:uid="{00000000-0005-0000-0000-00003E000000}"/>
    <cellStyle name="Normal 3 2 2" xfId="15" xr:uid="{00000000-0005-0000-0000-00003F000000}"/>
    <cellStyle name="Normal 3 3" xfId="3" xr:uid="{00000000-0005-0000-0000-000020000000}"/>
    <cellStyle name="Normal 4" xfId="2" xr:uid="{00000000-0005-0000-0000-000017000000}"/>
    <cellStyle name="Normal 4 2 2" xfId="1" xr:uid="{00000000-0005-0000-0000-000012000000}"/>
    <cellStyle name="Normal 4 3" xfId="16" xr:uid="{00000000-0005-0000-0000-000040000000}"/>
    <cellStyle name="Normal 5" xfId="17" xr:uid="{00000000-0005-0000-0000-000041000000}"/>
    <cellStyle name="Normal 9" xfId="18" xr:uid="{00000000-0005-0000-0000-000042000000}"/>
    <cellStyle name="Percent 2" xfId="19" xr:uid="{00000000-0005-0000-0000-000043000000}"/>
    <cellStyle name="Percent 3" xfId="20" xr:uid="{00000000-0005-0000-0000-000044000000}"/>
    <cellStyle name="Percent 3 2" xfId="21" xr:uid="{00000000-0005-0000-0000-000045000000}"/>
  </cellStyles>
  <dxfs count="45">
    <dxf>
      <alignment horizontal="left" vertical="center" textRotation="0" wrapText="1" indent="1" justifyLastLine="0" shrinkToFit="0" readingOrder="0"/>
    </dxf>
    <dxf>
      <font>
        <b val="0"/>
        <i val="0"/>
        <strike val="0"/>
        <condense val="0"/>
        <extend val="0"/>
        <outline val="0"/>
        <shadow val="0"/>
        <u val="none"/>
        <vertAlign val="baseline"/>
        <sz val="9"/>
        <color theme="1"/>
        <name val="Calibri"/>
        <family val="2"/>
        <scheme val="none"/>
      </font>
      <fill>
        <patternFill patternType="solid">
          <fgColor indexed="64"/>
          <bgColor rgb="FFFFFF00"/>
        </patternFill>
      </fill>
    </dxf>
    <dxf>
      <font>
        <b val="0"/>
        <i val="0"/>
        <strike val="0"/>
        <condense val="0"/>
        <extend val="0"/>
        <outline val="0"/>
        <shadow val="0"/>
        <u val="none"/>
        <vertAlign val="baseline"/>
        <sz val="9"/>
        <color theme="1"/>
        <name val="Calibri"/>
        <family val="2"/>
        <scheme val="none"/>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Calibri"/>
        <family val="2"/>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Calibri"/>
        <family val="2"/>
        <scheme val="none"/>
      </font>
      <numFmt numFmtId="171" formatCode="_([$Rp-421]* #,##0_);_([$Rp-421]* \(#,##0\);_([$Rp-421]* &quot;-&quot;??_);_(@_)"/>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Calibri"/>
        <family val="2"/>
        <scheme val="none"/>
      </font>
      <numFmt numFmtId="171" formatCode="_([$Rp-421]* #,##0_);_([$Rp-421]* \(#,##0\);_([$Rp-421]* &quot;-&quot;??_);_(@_)"/>
      <fill>
        <patternFill patternType="solid">
          <fgColor indexed="64"/>
          <bgColor rgb="FFFFFF00"/>
        </patternFill>
      </fill>
    </dxf>
    <dxf>
      <font>
        <b val="0"/>
        <i val="0"/>
        <strike val="0"/>
        <condense val="0"/>
        <extend val="0"/>
        <outline val="0"/>
        <shadow val="0"/>
        <u val="none"/>
        <vertAlign val="baseline"/>
        <sz val="9"/>
        <color theme="1"/>
        <name val="Calibri"/>
        <family val="2"/>
        <scheme val="none"/>
      </font>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Calibri"/>
        <family val="2"/>
        <scheme val="none"/>
      </font>
      <fill>
        <patternFill patternType="solid">
          <fgColor indexed="64"/>
          <bgColor rgb="FFFFFF00"/>
        </patternFill>
      </fill>
    </dxf>
    <dxf>
      <font>
        <b val="0"/>
        <i val="0"/>
        <strike val="0"/>
        <condense val="0"/>
        <extend val="0"/>
        <outline val="0"/>
        <shadow val="0"/>
        <u val="none"/>
        <vertAlign val="baseline"/>
        <sz val="9"/>
        <color theme="1"/>
        <name val="Calibri"/>
        <family val="2"/>
        <scheme val="none"/>
      </font>
      <fill>
        <patternFill patternType="solid">
          <fgColor indexed="64"/>
          <bgColor rgb="FFFFFF00"/>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alibri"/>
        <family val="2"/>
        <scheme val="none"/>
      </font>
      <fill>
        <patternFill patternType="solid">
          <fgColor indexed="64"/>
          <bgColor rgb="FFFFFF00"/>
        </patternFill>
      </fill>
      <alignment wrapText="1"/>
    </dxf>
    <dxf>
      <font>
        <b val="0"/>
        <i val="0"/>
        <strike val="0"/>
        <condense val="0"/>
        <extend val="0"/>
        <outline val="0"/>
        <shadow val="0"/>
        <u val="none"/>
        <vertAlign val="baseline"/>
        <sz val="9"/>
        <color theme="1"/>
        <name val="Calibri"/>
        <family val="2"/>
        <scheme val="none"/>
      </font>
      <fill>
        <patternFill patternType="solid">
          <fgColor indexed="64"/>
          <bgColor rgb="FFFFFF00"/>
        </patternFill>
      </fill>
      <alignment horizontal="general" vertical="center" textRotation="0" wrapText="0" indent="0" justifyLastLine="0" shrinkToFit="0" readingOrder="0"/>
    </dxf>
    <dxf>
      <border outline="0">
        <top style="thin">
          <color theme="4"/>
        </top>
        <bottom style="thin">
          <color theme="4"/>
        </bottom>
      </border>
    </dxf>
    <dxf>
      <font>
        <b val="0"/>
        <i val="0"/>
        <strike val="0"/>
        <condense val="0"/>
        <extend val="0"/>
        <outline val="0"/>
        <shadow val="0"/>
        <u val="none"/>
        <vertAlign val="baseline"/>
        <sz val="9"/>
        <color theme="1"/>
        <name val="Calibri"/>
        <family val="2"/>
        <scheme val="none"/>
      </font>
      <fill>
        <patternFill patternType="solid">
          <fgColor indexed="64"/>
          <bgColor rgb="FFFFFF00"/>
        </patternFill>
      </fill>
    </dxf>
    <dxf>
      <border outline="0">
        <bottom style="thin">
          <color theme="4"/>
        </bottom>
      </border>
    </dxf>
    <dxf>
      <font>
        <b/>
        <i val="0"/>
        <strike val="0"/>
        <condense val="0"/>
        <extend val="0"/>
        <outline val="0"/>
        <shadow val="0"/>
        <u val="none"/>
        <vertAlign val="baseline"/>
        <sz val="11"/>
        <color theme="4" tint="-0.249977111117893"/>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ill>
        <patternFill patternType="none">
          <bgColor auto="1"/>
        </patternFill>
      </fill>
    </dxf>
    <dxf>
      <font>
        <b/>
        <i val="0"/>
        <strike val="0"/>
        <condense val="0"/>
        <extend val="0"/>
        <outline val="0"/>
        <shadow val="0"/>
        <u val="none"/>
        <vertAlign val="baseline"/>
        <sz val="9"/>
        <color theme="1"/>
        <name val="Calibri"/>
        <family val="2"/>
        <scheme val="minor"/>
      </font>
      <alignment horizontal="center" vertical="bottom" textRotation="0" wrapText="0" indent="0" justifyLastLine="0" shrinkToFit="0" readingOrder="0"/>
    </dxf>
    <dxf>
      <fill>
        <patternFill patternType="none">
          <bgColor auto="1"/>
        </patternFill>
      </fill>
    </dxf>
    <dxf>
      <font>
        <b/>
        <i val="0"/>
        <strike val="0"/>
        <condense val="0"/>
        <extend val="0"/>
        <outline val="0"/>
        <shadow val="0"/>
        <u val="none"/>
        <vertAlign val="baseline"/>
        <sz val="9"/>
        <color theme="1"/>
        <name val="Calibri"/>
        <family val="2"/>
        <scheme val="minor"/>
      </font>
      <alignment horizontal="center" vertical="bottom" textRotation="0" wrapText="0" indent="0" justifyLastLine="0" shrinkToFit="0" readingOrder="0"/>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none">
          <bgColor auto="1"/>
        </patternFill>
      </fill>
    </dxf>
    <dxf>
      <font>
        <b val="0"/>
        <i val="0"/>
        <strike val="0"/>
        <condense val="0"/>
        <extend val="0"/>
        <outline val="0"/>
        <shadow val="0"/>
        <u val="none"/>
        <vertAlign val="baseline"/>
        <sz val="9"/>
        <color theme="1"/>
        <name val="Calibri"/>
        <family val="2"/>
        <scheme val="none"/>
      </font>
      <numFmt numFmtId="171" formatCode="_([$Rp-421]* #,##0_);_([$Rp-421]* \(#,##0\);_([$Rp-421]* &quot;-&quot;??_);_(@_)"/>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none">
          <bgColor auto="1"/>
        </patternFill>
      </fill>
    </dxf>
    <dxf>
      <font>
        <b val="0"/>
        <i val="0"/>
        <strike val="0"/>
        <condense val="0"/>
        <extend val="0"/>
        <outline val="0"/>
        <shadow val="0"/>
        <u val="none"/>
        <vertAlign val="baseline"/>
        <sz val="9"/>
        <color theme="1"/>
        <name val="Calibri"/>
        <family val="2"/>
        <scheme val="none"/>
      </font>
    </dxf>
    <dxf>
      <font>
        <b val="0"/>
        <i val="0"/>
        <strike val="0"/>
        <condense val="0"/>
        <extend val="0"/>
        <outline val="0"/>
        <shadow val="0"/>
        <u val="none"/>
        <vertAlign val="baseline"/>
        <sz val="9"/>
        <color theme="1"/>
        <name val="Calibri"/>
        <family val="2"/>
        <scheme val="none"/>
      </font>
    </dxf>
    <dxf>
      <font>
        <b val="0"/>
        <i val="0"/>
        <strike val="0"/>
        <condense val="0"/>
        <extend val="0"/>
        <outline val="0"/>
        <shadow val="0"/>
        <u val="none"/>
        <vertAlign val="baseline"/>
        <sz val="11"/>
        <color theme="1"/>
        <name val="Calibri"/>
        <family val="2"/>
        <scheme val="minor"/>
      </font>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none">
          <bgColor auto="1"/>
        </patternFill>
      </fill>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ill>
        <patternFill patternType="none">
          <bgColor auto="1"/>
        </patternFill>
      </fill>
      <alignment wrapText="1"/>
    </dxf>
    <dxf>
      <font>
        <b val="0"/>
        <i val="0"/>
        <strike val="0"/>
        <condense val="0"/>
        <extend val="0"/>
        <outline val="0"/>
        <shadow val="0"/>
        <u val="none"/>
        <vertAlign val="baseline"/>
        <sz val="11"/>
        <color theme="1"/>
        <name val="Calibri"/>
        <family val="2"/>
        <scheme val="minor"/>
      </font>
    </dxf>
    <dxf>
      <fill>
        <patternFill patternType="none">
          <bgColor auto="1"/>
        </patternFill>
      </fill>
    </dxf>
    <dxf>
      <font>
        <b val="0"/>
        <i val="0"/>
        <strike val="0"/>
        <condense val="0"/>
        <extend val="0"/>
        <outline val="0"/>
        <shadow val="0"/>
        <u val="none"/>
        <vertAlign val="baseline"/>
        <sz val="11"/>
        <color theme="1"/>
        <name val="Calibri"/>
        <family val="2"/>
        <scheme val="minor"/>
      </font>
    </dxf>
    <dxf>
      <fill>
        <patternFill patternType="none">
          <bgColor auto="1"/>
        </patternFill>
      </fill>
    </dxf>
    <dxf>
      <font>
        <b val="0"/>
      </font>
    </dxf>
    <dxf>
      <fill>
        <patternFill patternType="none">
          <bgColor auto="1"/>
        </patternFill>
      </fill>
    </dxf>
  </dxfs>
  <tableStyles count="0" defaultTableStyle="TableStyleMedium2" defaultPivotStyle="PivotStyleLight16"/>
  <colors>
    <mruColors>
      <color rgb="FFEBF2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pivotCacheDefinition" Target="pivotCache/pivotCacheDefinition2.xml"/><Relationship Id="rId27"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[2026Pipeline DASI Service.xlsx]Industrial!PivotTable1</c:name>
    <c:fmtId val="2"/>
  </c:pivotSource>
  <c:chart>
    <c:autoTitleDeleted val="1"/>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2"/>
          </a:solidFill>
          <a:ln w="25400">
            <a:solidFill>
              <a:schemeClr val="lt1"/>
            </a:solidFill>
          </a:ln>
          <a:effectLst/>
          <a:sp3d contourW="25400">
            <a:contourClr>
              <a:schemeClr val="lt1"/>
            </a:contourClr>
          </a:sp3d>
        </c:spPr>
      </c:pivotFmt>
      <c:pivotFmt>
        <c:idx val="15"/>
        <c:spPr>
          <a:solidFill>
            <a:schemeClr val="accent3"/>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2"/>
          </a:solidFill>
          <a:ln w="25400">
            <a:solidFill>
              <a:schemeClr val="lt1"/>
            </a:solidFill>
          </a:ln>
          <a:effectLst/>
          <a:sp3d contourW="25400">
            <a:contourClr>
              <a:schemeClr val="lt1"/>
            </a:contourClr>
          </a:sp3d>
        </c:spPr>
      </c:pivotFmt>
      <c:pivotFmt>
        <c:idx val="18"/>
        <c:spPr>
          <a:solidFill>
            <a:schemeClr val="accent3"/>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2"/>
          </a:solidFill>
          <a:ln w="25400">
            <a:solidFill>
              <a:schemeClr val="lt1"/>
            </a:solidFill>
          </a:ln>
          <a:effectLst/>
          <a:sp3d contourW="25400">
            <a:contourClr>
              <a:schemeClr val="lt1"/>
            </a:contourClr>
          </a:sp3d>
        </c:spPr>
      </c:pivotFmt>
      <c:pivotFmt>
        <c:idx val="21"/>
        <c:spPr>
          <a:solidFill>
            <a:schemeClr val="accent3"/>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2"/>
          </a:solidFill>
          <a:ln w="25400">
            <a:solidFill>
              <a:schemeClr val="lt1"/>
            </a:solidFill>
          </a:ln>
          <a:effectLst/>
          <a:sp3d contourW="25400">
            <a:contourClr>
              <a:schemeClr val="lt1"/>
            </a:contourClr>
          </a:sp3d>
        </c:spPr>
      </c:pivotFmt>
      <c:pivotFmt>
        <c:idx val="24"/>
        <c:spPr>
          <a:solidFill>
            <a:schemeClr val="accent3"/>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2"/>
          </a:solidFill>
          <a:ln w="25400">
            <a:solidFill>
              <a:schemeClr val="lt1"/>
            </a:solidFill>
          </a:ln>
          <a:effectLst/>
          <a:sp3d contourW="25400">
            <a:contourClr>
              <a:schemeClr val="lt1"/>
            </a:contourClr>
          </a:sp3d>
        </c:spPr>
      </c:pivotFmt>
      <c:pivotFmt>
        <c:idx val="27"/>
        <c:spPr>
          <a:solidFill>
            <a:schemeClr val="accent3"/>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2"/>
          </a:solidFill>
          <a:ln w="25400">
            <a:solidFill>
              <a:schemeClr val="lt1"/>
            </a:solidFill>
          </a:ln>
          <a:effectLst/>
          <a:sp3d contourW="25400">
            <a:contourClr>
              <a:schemeClr val="lt1"/>
            </a:contourClr>
          </a:sp3d>
        </c:spPr>
      </c:pivotFmt>
      <c:pivotFmt>
        <c:idx val="30"/>
        <c:spPr>
          <a:solidFill>
            <a:schemeClr val="accent3"/>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2"/>
          </a:solidFill>
          <a:ln w="25400">
            <a:solidFill>
              <a:schemeClr val="lt1"/>
            </a:solidFill>
          </a:ln>
          <a:effectLst/>
          <a:sp3d contourW="25400">
            <a:contourClr>
              <a:schemeClr val="lt1"/>
            </a:contourClr>
          </a:sp3d>
        </c:spPr>
      </c:pivotFmt>
      <c:pivotFmt>
        <c:idx val="33"/>
        <c:spPr>
          <a:solidFill>
            <a:schemeClr val="accent3"/>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2"/>
          </a:solidFill>
          <a:ln w="25400">
            <a:solidFill>
              <a:schemeClr val="lt1"/>
            </a:solidFill>
          </a:ln>
          <a:effectLst/>
          <a:sp3d contourW="25400">
            <a:contourClr>
              <a:schemeClr val="lt1"/>
            </a:contourClr>
          </a:sp3d>
        </c:spPr>
      </c:pivotFmt>
      <c:pivotFmt>
        <c:idx val="36"/>
        <c:spPr>
          <a:solidFill>
            <a:schemeClr val="accent3"/>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2"/>
          </a:solidFill>
          <a:ln w="25400">
            <a:solidFill>
              <a:schemeClr val="lt1"/>
            </a:solidFill>
          </a:ln>
          <a:effectLst/>
          <a:sp3d contourW="25400">
            <a:contourClr>
              <a:schemeClr val="lt1"/>
            </a:contourClr>
          </a:sp3d>
        </c:spPr>
      </c:pivotFmt>
      <c:pivotFmt>
        <c:idx val="39"/>
        <c:spPr>
          <a:solidFill>
            <a:schemeClr val="accent3"/>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2"/>
          </a:solidFill>
          <a:ln w="25400">
            <a:solidFill>
              <a:schemeClr val="lt1"/>
            </a:solidFill>
          </a:ln>
          <a:effectLst/>
          <a:sp3d contourW="25400">
            <a:contourClr>
              <a:schemeClr val="lt1"/>
            </a:contourClr>
          </a:sp3d>
        </c:spPr>
      </c:pivotFmt>
      <c:pivotFmt>
        <c:idx val="42"/>
        <c:spPr>
          <a:solidFill>
            <a:schemeClr val="accent3"/>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2"/>
          </a:solidFill>
          <a:ln w="25400">
            <a:solidFill>
              <a:schemeClr val="lt1"/>
            </a:solidFill>
          </a:ln>
          <a:effectLst/>
          <a:sp3d contourW="25400">
            <a:contourClr>
              <a:schemeClr val="lt1"/>
            </a:contourClr>
          </a:sp3d>
        </c:spPr>
      </c:pivotFmt>
      <c:pivotFmt>
        <c:idx val="45"/>
        <c:spPr>
          <a:solidFill>
            <a:schemeClr val="accent3"/>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2"/>
          </a:solidFill>
          <a:ln w="25400">
            <a:solidFill>
              <a:schemeClr val="lt1"/>
            </a:solidFill>
          </a:ln>
          <a:effectLst/>
          <a:sp3d contourW="25400">
            <a:contourClr>
              <a:schemeClr val="lt1"/>
            </a:contourClr>
          </a:sp3d>
        </c:spPr>
      </c:pivotFmt>
      <c:pivotFmt>
        <c:idx val="48"/>
        <c:spPr>
          <a:solidFill>
            <a:schemeClr val="accent3"/>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2"/>
          </a:solidFill>
          <a:ln w="25400">
            <a:solidFill>
              <a:schemeClr val="lt1"/>
            </a:solidFill>
          </a:ln>
          <a:effectLst/>
          <a:sp3d contourW="25400">
            <a:contourClr>
              <a:schemeClr val="lt1"/>
            </a:contourClr>
          </a:sp3d>
        </c:spPr>
      </c:pivotFmt>
      <c:pivotFmt>
        <c:idx val="51"/>
        <c:spPr>
          <a:solidFill>
            <a:schemeClr val="accent3"/>
          </a:solidFill>
          <a:ln w="25400">
            <a:solidFill>
              <a:schemeClr val="lt1"/>
            </a:solidFill>
          </a:ln>
          <a:effectLst/>
          <a:sp3d contourW="25400">
            <a:contourClr>
              <a:schemeClr val="lt1"/>
            </a:contourClr>
          </a:sp3d>
        </c:spPr>
      </c:pivotFmt>
      <c:pivotFmt>
        <c:idx val="52"/>
        <c:marker>
          <c:symbol val="none"/>
        </c:marker>
        <c:dLbl>
          <c:idx val="0"/>
          <c:delete val="1"/>
          <c:extLst>
            <c:ext xmlns:c15="http://schemas.microsoft.com/office/drawing/2012/chart" uri="{CE6537A1-D6FC-4f65-9D91-7224C49458BB}"/>
          </c:extLst>
        </c:dLbl>
      </c:pivotFmt>
      <c:pivotFmt>
        <c:idx val="53"/>
        <c:spPr>
          <a:solidFill>
            <a:schemeClr val="accent4"/>
          </a:solidFill>
          <a:ln w="25400">
            <a:solidFill>
              <a:schemeClr val="lt1"/>
            </a:solidFill>
          </a:ln>
          <a:effectLst/>
          <a:sp3d contourW="25400">
            <a:contourClr>
              <a:schemeClr val="lt1"/>
            </a:contourClr>
          </a:sp3d>
        </c:spPr>
      </c:pivotFmt>
      <c:pivotFmt>
        <c:idx val="54"/>
        <c:spPr>
          <a:solidFill>
            <a:schemeClr val="accent4"/>
          </a:solidFill>
          <a:ln w="25400">
            <a:solidFill>
              <a:schemeClr val="lt1"/>
            </a:solidFill>
          </a:ln>
          <a:effectLst/>
          <a:sp3d contourW="25400">
            <a:contourClr>
              <a:schemeClr val="lt1"/>
            </a:contourClr>
          </a:sp3d>
        </c:spPr>
      </c:pivotFmt>
      <c:pivotFmt>
        <c:idx val="55"/>
        <c:spPr>
          <a:solidFill>
            <a:schemeClr val="accent4"/>
          </a:solidFill>
          <a:ln w="25400">
            <a:solidFill>
              <a:schemeClr val="lt1"/>
            </a:solidFill>
          </a:ln>
          <a:effectLst/>
          <a:sp3d contourW="25400">
            <a:contourClr>
              <a:schemeClr val="lt1"/>
            </a:contourClr>
          </a:sp3d>
        </c:spPr>
      </c:pivotFmt>
      <c:pivotFmt>
        <c:idx val="56"/>
        <c:spPr>
          <a:solidFill>
            <a:schemeClr val="accent4"/>
          </a:solidFill>
          <a:ln w="25400">
            <a:solidFill>
              <a:schemeClr val="lt1"/>
            </a:solidFill>
          </a:ln>
          <a:effectLst/>
          <a:sp3d contourW="25400">
            <a:contourClr>
              <a:schemeClr val="lt1"/>
            </a:contourClr>
          </a:sp3d>
        </c:spPr>
      </c:pivotFmt>
      <c:pivotFmt>
        <c:idx val="57"/>
        <c:spPr>
          <a:solidFill>
            <a:schemeClr val="accent4"/>
          </a:solidFill>
          <a:ln w="25400">
            <a:solidFill>
              <a:schemeClr val="lt1"/>
            </a:solidFill>
          </a:ln>
          <a:effectLst/>
          <a:sp3d contourW="25400">
            <a:contourClr>
              <a:schemeClr val="lt1"/>
            </a:contourClr>
          </a:sp3d>
        </c:spPr>
      </c:pivotFmt>
      <c:pivotFmt>
        <c:idx val="58"/>
        <c:spPr>
          <a:solidFill>
            <a:schemeClr val="accent4"/>
          </a:solidFill>
          <a:ln w="25400">
            <a:solidFill>
              <a:schemeClr val="lt1"/>
            </a:solidFill>
          </a:ln>
          <a:effectLst/>
          <a:sp3d contourW="25400">
            <a:contourClr>
              <a:schemeClr val="lt1"/>
            </a:contourClr>
          </a:sp3d>
        </c:spPr>
      </c:pivotFmt>
      <c:pivotFmt>
        <c:idx val="59"/>
        <c:spPr>
          <a:solidFill>
            <a:schemeClr val="accent4"/>
          </a:solidFill>
          <a:ln w="25400">
            <a:solidFill>
              <a:schemeClr val="lt1"/>
            </a:solidFill>
          </a:ln>
          <a:effectLst/>
          <a:sp3d contourW="25400">
            <a:contourClr>
              <a:schemeClr val="lt1"/>
            </a:contourClr>
          </a:sp3d>
        </c:spPr>
      </c:pivotFmt>
      <c:pivotFmt>
        <c:idx val="60"/>
        <c:spPr>
          <a:solidFill>
            <a:schemeClr val="accent4"/>
          </a:solidFill>
          <a:ln w="25400">
            <a:solidFill>
              <a:schemeClr val="lt1"/>
            </a:solidFill>
          </a:ln>
          <a:effectLst/>
          <a:sp3d contourW="25400">
            <a:contourClr>
              <a:schemeClr val="lt1"/>
            </a:contourClr>
          </a:sp3d>
        </c:spPr>
      </c:pivotFmt>
      <c:pivotFmt>
        <c:idx val="61"/>
        <c:spPr>
          <a:solidFill>
            <a:schemeClr val="accent4"/>
          </a:solidFill>
          <a:ln w="25400">
            <a:solidFill>
              <a:schemeClr val="lt1"/>
            </a:solidFill>
          </a:ln>
          <a:effectLst/>
          <a:sp3d contourW="25400">
            <a:contourClr>
              <a:schemeClr val="lt1"/>
            </a:contourClr>
          </a:sp3d>
        </c:spPr>
      </c:pivotFmt>
      <c:pivotFmt>
        <c:idx val="62"/>
        <c:spPr>
          <a:solidFill>
            <a:schemeClr val="accent4"/>
          </a:solidFill>
          <a:ln w="25400">
            <a:solidFill>
              <a:schemeClr val="lt1"/>
            </a:solidFill>
          </a:ln>
          <a:effectLst/>
          <a:sp3d contourW="25400">
            <a:contourClr>
              <a:schemeClr val="lt1"/>
            </a:contourClr>
          </a:sp3d>
        </c:spPr>
      </c:pivotFmt>
      <c:pivotFmt>
        <c:idx val="63"/>
        <c:spPr>
          <a:solidFill>
            <a:schemeClr val="accent4"/>
          </a:solidFill>
          <a:ln w="25400">
            <a:solidFill>
              <a:schemeClr val="lt1"/>
            </a:solidFill>
          </a:ln>
          <a:effectLst/>
          <a:sp3d contourW="25400">
            <a:contourClr>
              <a:schemeClr val="lt1"/>
            </a:contourClr>
          </a:sp3d>
        </c:spPr>
      </c:pivotFmt>
      <c:pivotFmt>
        <c:idx val="64"/>
        <c:spPr>
          <a:solidFill>
            <a:schemeClr val="accent4"/>
          </a:solidFill>
          <a:ln w="25400">
            <a:solidFill>
              <a:schemeClr val="lt1"/>
            </a:solidFill>
          </a:ln>
          <a:effectLst/>
          <a:sp3d contourW="25400">
            <a:contourClr>
              <a:schemeClr val="lt1"/>
            </a:contourClr>
          </a:sp3d>
        </c:spPr>
      </c:pivotFmt>
      <c:pivotFmt>
        <c:idx val="65"/>
        <c:spPr>
          <a:solidFill>
            <a:schemeClr val="accent4"/>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2"/>
          </a:solidFill>
          <a:ln w="25400">
            <a:solidFill>
              <a:schemeClr val="lt1"/>
            </a:solidFill>
          </a:ln>
          <a:effectLst/>
          <a:sp3d contourW="25400">
            <a:contourClr>
              <a:schemeClr val="lt1"/>
            </a:contourClr>
          </a:sp3d>
        </c:spPr>
      </c:pivotFmt>
      <c:pivotFmt>
        <c:idx val="68"/>
        <c:spPr>
          <a:solidFill>
            <a:schemeClr val="accent3"/>
          </a:solidFill>
          <a:ln w="25400">
            <a:solidFill>
              <a:schemeClr val="lt1"/>
            </a:solidFill>
          </a:ln>
          <a:effectLst/>
          <a:sp3d contourW="25400">
            <a:contourClr>
              <a:schemeClr val="lt1"/>
            </a:contourClr>
          </a:sp3d>
        </c:spPr>
      </c:pivotFmt>
      <c:pivotFmt>
        <c:idx val="69"/>
        <c:spPr>
          <a:solidFill>
            <a:schemeClr val="accent4"/>
          </a:solidFill>
          <a:ln w="25400">
            <a:solidFill>
              <a:schemeClr val="lt1"/>
            </a:solidFill>
          </a:ln>
          <a:effectLst/>
          <a:sp3d contourW="25400">
            <a:contourClr>
              <a:schemeClr val="lt1"/>
            </a:contourClr>
          </a:sp3d>
        </c:spPr>
      </c:pivotFmt>
      <c:pivotFmt>
        <c:idx val="70"/>
        <c:marker>
          <c:symbol val="none"/>
        </c:marker>
        <c:dLbl>
          <c:idx val="0"/>
          <c:delete val="1"/>
          <c:extLst>
            <c:ext xmlns:c15="http://schemas.microsoft.com/office/drawing/2012/chart" uri="{CE6537A1-D6FC-4f65-9D91-7224C49458BB}"/>
          </c:extLst>
        </c:dLbl>
      </c:pivotFmt>
      <c:pivotFmt>
        <c:idx val="71"/>
        <c:marker>
          <c:symbol val="none"/>
        </c:marker>
        <c:dLbl>
          <c:idx val="0"/>
          <c:delete val="1"/>
          <c:extLst>
            <c:ext xmlns:c15="http://schemas.microsoft.com/office/drawing/2012/chart" uri="{CE6537A1-D6FC-4f65-9D91-7224C49458BB}"/>
          </c:extLst>
        </c:dLbl>
      </c:pivotFmt>
      <c:pivotFmt>
        <c:idx val="72"/>
        <c:marker>
          <c:symbol val="none"/>
        </c:marker>
        <c:dLbl>
          <c:idx val="0"/>
          <c:delete val="1"/>
          <c:extLst>
            <c:ext xmlns:c15="http://schemas.microsoft.com/office/drawing/2012/chart" uri="{CE6537A1-D6FC-4f65-9D91-7224C49458BB}"/>
          </c:extLst>
        </c:dLbl>
      </c:pivotFmt>
      <c:pivotFmt>
        <c:idx val="73"/>
        <c:marker>
          <c:symbol val="none"/>
        </c:marker>
        <c:dLbl>
          <c:idx val="0"/>
          <c:delete val="1"/>
          <c:extLst>
            <c:ext xmlns:c15="http://schemas.microsoft.com/office/drawing/2012/chart" uri="{CE6537A1-D6FC-4f65-9D91-7224C49458BB}"/>
          </c:extLst>
        </c:dLbl>
      </c:pivotFmt>
      <c:pivotFmt>
        <c:idx val="74"/>
        <c:marker>
          <c:symbol val="none"/>
        </c:marker>
        <c:dLbl>
          <c:idx val="0"/>
          <c:delete val="1"/>
          <c:extLst>
            <c:ext xmlns:c15="http://schemas.microsoft.com/office/drawing/2012/chart" uri="{CE6537A1-D6FC-4f65-9D91-7224C49458BB}"/>
          </c:extLst>
        </c:dLbl>
      </c:pivotFmt>
      <c:pivotFmt>
        <c:idx val="75"/>
        <c:marker>
          <c:symbol val="none"/>
        </c:marker>
        <c:dLbl>
          <c:idx val="0"/>
          <c:delete val="1"/>
          <c:extLst>
            <c:ext xmlns:c15="http://schemas.microsoft.com/office/drawing/2012/chart" uri="{CE6537A1-D6FC-4f65-9D91-7224C49458BB}"/>
          </c:extLst>
        </c:dLbl>
      </c:pivotFmt>
      <c:pivotFmt>
        <c:idx val="76"/>
        <c:marker>
          <c:symbol val="none"/>
        </c:marker>
        <c:dLbl>
          <c:idx val="0"/>
          <c:delete val="1"/>
          <c:extLst>
            <c:ext xmlns:c15="http://schemas.microsoft.com/office/drawing/2012/chart" uri="{CE6537A1-D6FC-4f65-9D91-7224C49458BB}"/>
          </c:extLst>
        </c:dLbl>
      </c:pivotFmt>
      <c:pivotFmt>
        <c:idx val="77"/>
        <c:marker>
          <c:symbol val="none"/>
        </c:marker>
        <c:dLbl>
          <c:idx val="0"/>
          <c:delete val="1"/>
          <c:extLst>
            <c:ext xmlns:c15="http://schemas.microsoft.com/office/drawing/2012/chart" uri="{CE6537A1-D6FC-4f65-9D91-7224C49458BB}"/>
          </c:extLst>
        </c:dLbl>
      </c:pivotFmt>
      <c:pivotFmt>
        <c:idx val="78"/>
        <c:marker>
          <c:symbol val="none"/>
        </c:marker>
        <c:dLbl>
          <c:idx val="0"/>
          <c:delete val="1"/>
          <c:extLst>
            <c:ext xmlns:c15="http://schemas.microsoft.com/office/drawing/2012/chart" uri="{CE6537A1-D6FC-4f65-9D91-7224C49458BB}"/>
          </c:extLst>
        </c:dLbl>
      </c:pivotFmt>
      <c:pivotFmt>
        <c:idx val="79"/>
        <c:marker>
          <c:symbol val="none"/>
        </c:marker>
        <c:dLbl>
          <c:idx val="0"/>
          <c:delete val="1"/>
          <c:extLst>
            <c:ext xmlns:c15="http://schemas.microsoft.com/office/drawing/2012/chart" uri="{CE6537A1-D6FC-4f65-9D91-7224C49458BB}"/>
          </c:extLst>
        </c:dLbl>
      </c:pivotFmt>
      <c:pivotFmt>
        <c:idx val="80"/>
        <c:marker>
          <c:symbol val="none"/>
        </c:marker>
        <c:dLbl>
          <c:idx val="0"/>
          <c:delete val="1"/>
          <c:extLst>
            <c:ext xmlns:c15="http://schemas.microsoft.com/office/drawing/2012/chart" uri="{CE6537A1-D6FC-4f65-9D91-7224C49458BB}"/>
          </c:extLst>
        </c:dLbl>
      </c:pivotFmt>
      <c:pivotFmt>
        <c:idx val="81"/>
        <c:marker>
          <c:symbol val="none"/>
        </c:marker>
        <c:dLbl>
          <c:idx val="0"/>
          <c:delete val="1"/>
          <c:extLst>
            <c:ext xmlns:c15="http://schemas.microsoft.com/office/drawing/2012/chart" uri="{CE6537A1-D6FC-4f65-9D91-7224C49458BB}"/>
          </c:extLst>
        </c:dLbl>
      </c:pivotFmt>
      <c:pivotFmt>
        <c:idx val="82"/>
        <c:marker>
          <c:symbol val="none"/>
        </c:marker>
        <c:dLbl>
          <c:idx val="0"/>
          <c:delete val="1"/>
          <c:extLst>
            <c:ext xmlns:c15="http://schemas.microsoft.com/office/drawing/2012/chart" uri="{CE6537A1-D6FC-4f65-9D91-7224C49458BB}"/>
          </c:extLst>
        </c:dLbl>
      </c:pivotFmt>
      <c:pivotFmt>
        <c:idx val="83"/>
        <c:marker>
          <c:symbol val="none"/>
        </c:marker>
        <c:dLbl>
          <c:idx val="0"/>
          <c:delete val="1"/>
          <c:extLst>
            <c:ext xmlns:c15="http://schemas.microsoft.com/office/drawing/2012/chart" uri="{CE6537A1-D6FC-4f65-9D91-7224C49458BB}"/>
          </c:extLst>
        </c:dLbl>
      </c:pivotFmt>
      <c:pivotFmt>
        <c:idx val="84"/>
        <c:marker>
          <c:symbol val="none"/>
        </c:marker>
        <c:dLbl>
          <c:idx val="0"/>
          <c:delete val="1"/>
          <c:extLst>
            <c:ext xmlns:c15="http://schemas.microsoft.com/office/drawing/2012/chart" uri="{CE6537A1-D6FC-4f65-9D91-7224C49458BB}"/>
          </c:extLst>
        </c:dLbl>
      </c:pivotFmt>
      <c:pivotFmt>
        <c:idx val="85"/>
        <c:marker>
          <c:symbol val="none"/>
        </c:marker>
        <c:dLbl>
          <c:idx val="0"/>
          <c:delete val="1"/>
          <c:extLst>
            <c:ext xmlns:c15="http://schemas.microsoft.com/office/drawing/2012/chart" uri="{CE6537A1-D6FC-4f65-9D91-7224C49458BB}"/>
          </c:extLst>
        </c:dLbl>
      </c:pivotFmt>
      <c:pivotFmt>
        <c:idx val="86"/>
        <c:marker>
          <c:symbol val="none"/>
        </c:marker>
        <c:dLbl>
          <c:idx val="0"/>
          <c:delete val="1"/>
          <c:extLst>
            <c:ext xmlns:c15="http://schemas.microsoft.com/office/drawing/2012/chart" uri="{CE6537A1-D6FC-4f65-9D91-7224C49458BB}"/>
          </c:extLst>
        </c:dLbl>
      </c:pivotFmt>
      <c:pivotFmt>
        <c:idx val="87"/>
        <c:marker>
          <c:symbol val="none"/>
        </c:marker>
        <c:dLbl>
          <c:idx val="0"/>
          <c:delete val="1"/>
          <c:extLst>
            <c:ext xmlns:c15="http://schemas.microsoft.com/office/drawing/2012/chart" uri="{CE6537A1-D6FC-4f65-9D91-7224C49458BB}"/>
          </c:extLst>
        </c:dLbl>
      </c:pivotFmt>
      <c:pivotFmt>
        <c:idx val="88"/>
        <c:marker>
          <c:symbol val="none"/>
        </c:marker>
        <c:dLbl>
          <c:idx val="0"/>
          <c:delete val="1"/>
          <c:extLst>
            <c:ext xmlns:c15="http://schemas.microsoft.com/office/drawing/2012/chart" uri="{CE6537A1-D6FC-4f65-9D91-7224C49458BB}"/>
          </c:extLst>
        </c:dLbl>
      </c:pivotFmt>
      <c:pivotFmt>
        <c:idx val="89"/>
        <c:marker>
          <c:symbol val="none"/>
        </c:marker>
        <c:dLbl>
          <c:idx val="0"/>
          <c:delete val="1"/>
          <c:extLst>
            <c:ext xmlns:c15="http://schemas.microsoft.com/office/drawing/2012/chart" uri="{CE6537A1-D6FC-4f65-9D91-7224C49458BB}"/>
          </c:extLst>
        </c:dLbl>
      </c:pivotFmt>
      <c:pivotFmt>
        <c:idx val="90"/>
        <c:marker>
          <c:symbol val="none"/>
        </c:marker>
        <c:dLbl>
          <c:idx val="0"/>
          <c:delete val="1"/>
          <c:extLst>
            <c:ext xmlns:c15="http://schemas.microsoft.com/office/drawing/2012/chart" uri="{CE6537A1-D6FC-4f65-9D91-7224C49458BB}"/>
          </c:extLst>
        </c:dLbl>
      </c:pivotFmt>
      <c:pivotFmt>
        <c:idx val="91"/>
        <c:marker>
          <c:symbol val="none"/>
        </c:marker>
        <c:dLbl>
          <c:idx val="0"/>
          <c:delete val="1"/>
          <c:extLst>
            <c:ext xmlns:c15="http://schemas.microsoft.com/office/drawing/2012/chart" uri="{CE6537A1-D6FC-4f65-9D91-7224C49458BB}"/>
          </c:extLst>
        </c:dLbl>
      </c:pivotFmt>
      <c:pivotFmt>
        <c:idx val="92"/>
        <c:marker>
          <c:symbol val="none"/>
        </c:marker>
        <c:dLbl>
          <c:idx val="0"/>
          <c:delete val="1"/>
          <c:extLst>
            <c:ext xmlns:c15="http://schemas.microsoft.com/office/drawing/2012/chart" uri="{CE6537A1-D6FC-4f65-9D91-7224C49458BB}"/>
          </c:extLst>
        </c:dLbl>
      </c:pivotFmt>
      <c:pivotFmt>
        <c:idx val="93"/>
        <c:marker>
          <c:symbol val="none"/>
        </c:marker>
        <c:dLbl>
          <c:idx val="0"/>
          <c:delete val="1"/>
          <c:extLst>
            <c:ext xmlns:c15="http://schemas.microsoft.com/office/drawing/2012/chart" uri="{CE6537A1-D6FC-4f65-9D91-7224C49458BB}"/>
          </c:extLst>
        </c:dLbl>
      </c:pivotFmt>
      <c:pivotFmt>
        <c:idx val="94"/>
        <c:marker>
          <c:symbol val="none"/>
        </c:marker>
        <c:dLbl>
          <c:idx val="0"/>
          <c:delete val="1"/>
          <c:extLst>
            <c:ext xmlns:c15="http://schemas.microsoft.com/office/drawing/2012/chart" uri="{CE6537A1-D6FC-4f65-9D91-7224C49458BB}"/>
          </c:extLst>
        </c:dLbl>
      </c:pivotFmt>
      <c:pivotFmt>
        <c:idx val="95"/>
        <c:marker>
          <c:symbol val="none"/>
        </c:marker>
        <c:dLbl>
          <c:idx val="0"/>
          <c:delete val="1"/>
          <c:extLst>
            <c:ext xmlns:c15="http://schemas.microsoft.com/office/drawing/2012/chart" uri="{CE6537A1-D6FC-4f65-9D91-7224C49458BB}"/>
          </c:extLst>
        </c:dLbl>
      </c:pivotFmt>
      <c:pivotFmt>
        <c:idx val="96"/>
        <c:marker>
          <c:symbol val="none"/>
        </c:marker>
        <c:dLbl>
          <c:idx val="0"/>
          <c:delete val="1"/>
          <c:extLst>
            <c:ext xmlns:c15="http://schemas.microsoft.com/office/drawing/2012/chart" uri="{CE6537A1-D6FC-4f65-9D91-7224C49458BB}"/>
          </c:extLst>
        </c:dLbl>
      </c:pivotFmt>
      <c:pivotFmt>
        <c:idx val="97"/>
        <c:marker>
          <c:symbol val="none"/>
        </c:marker>
        <c:dLbl>
          <c:idx val="0"/>
          <c:delete val="1"/>
          <c:extLst>
            <c:ext xmlns:c15="http://schemas.microsoft.com/office/drawing/2012/chart" uri="{CE6537A1-D6FC-4f65-9D91-7224C49458BB}"/>
          </c:extLst>
        </c:dLbl>
      </c:pivotFmt>
      <c:pivotFmt>
        <c:idx val="98"/>
        <c:marker>
          <c:symbol val="none"/>
        </c:marker>
        <c:dLbl>
          <c:idx val="0"/>
          <c:delete val="1"/>
          <c:extLst>
            <c:ext xmlns:c15="http://schemas.microsoft.com/office/drawing/2012/chart" uri="{CE6537A1-D6FC-4f65-9D91-7224C49458BB}"/>
          </c:extLst>
        </c:dLbl>
      </c:pivotFmt>
      <c:pivotFmt>
        <c:idx val="99"/>
        <c:marker>
          <c:symbol val="none"/>
        </c:marker>
        <c:dLbl>
          <c:idx val="0"/>
          <c:delete val="1"/>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Industrial!$B$4:$B$7</c:f>
              <c:strCache>
                <c:ptCount val="1"/>
                <c:pt idx="0">
                  <c:v>2025 - Nov</c:v>
                </c:pt>
              </c:strCache>
            </c:strRef>
          </c:tx>
          <c:dPt>
            <c:idx val="0"/>
            <c:bubble3D val="0"/>
            <c:extLst>
              <c:ext xmlns:c16="http://schemas.microsoft.com/office/drawing/2014/chart" uri="{C3380CC4-5D6E-409C-BE32-E72D297353CC}">
                <c16:uniqueId val="{00000001-E17C-495B-9778-179996D1EEDE}"/>
              </c:ext>
            </c:extLst>
          </c:dPt>
          <c:dPt>
            <c:idx val="1"/>
            <c:bubble3D val="0"/>
            <c:extLst>
              <c:ext xmlns:c16="http://schemas.microsoft.com/office/drawing/2014/chart" uri="{C3380CC4-5D6E-409C-BE32-E72D297353CC}">
                <c16:uniqueId val="{00000003-E17C-495B-9778-179996D1EEDE}"/>
              </c:ext>
            </c:extLst>
          </c:dPt>
          <c:dPt>
            <c:idx val="2"/>
            <c:bubble3D val="0"/>
            <c:extLst>
              <c:ext xmlns:c16="http://schemas.microsoft.com/office/drawing/2014/chart" uri="{C3380CC4-5D6E-409C-BE32-E72D297353CC}">
                <c16:uniqueId val="{00000005-E17C-495B-9778-179996D1EEDE}"/>
              </c:ext>
            </c:extLst>
          </c:dPt>
          <c:dPt>
            <c:idx val="3"/>
            <c:bubble3D val="0"/>
            <c:extLst>
              <c:ext xmlns:c16="http://schemas.microsoft.com/office/drawing/2014/chart" uri="{C3380CC4-5D6E-409C-BE32-E72D297353CC}">
                <c16:uniqueId val="{00000007-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Industrial!$B$8:$B$15</c:f>
              <c:numCache>
                <c:formatCode>#,##0</c:formatCode>
                <c:ptCount val="5"/>
                <c:pt idx="0">
                  <c:v>7750850000</c:v>
                </c:pt>
                <c:pt idx="2">
                  <c:v>32000000</c:v>
                </c:pt>
              </c:numCache>
            </c:numRef>
          </c:val>
          <c:extLst>
            <c:ext xmlns:c16="http://schemas.microsoft.com/office/drawing/2014/chart" uri="{C3380CC4-5D6E-409C-BE32-E72D297353CC}">
              <c16:uniqueId val="{00000000-69BD-4B0B-8774-9260FE37020E}"/>
            </c:ext>
          </c:extLst>
        </c:ser>
        <c:ser>
          <c:idx val="1"/>
          <c:order val="1"/>
          <c:tx>
            <c:strRef>
              <c:f>Industrial!$C$4:$C$7</c:f>
              <c:strCache>
                <c:ptCount val="1"/>
                <c:pt idx="0">
                  <c:v>2025 - Dec</c:v>
                </c:pt>
              </c:strCache>
            </c:strRef>
          </c:tx>
          <c:dPt>
            <c:idx val="0"/>
            <c:bubble3D val="0"/>
            <c:extLst>
              <c:ext xmlns:c16="http://schemas.microsoft.com/office/drawing/2014/chart" uri="{C3380CC4-5D6E-409C-BE32-E72D297353CC}">
                <c16:uniqueId val="{00000007-E17C-495B-9778-179996D1EEDE}"/>
              </c:ext>
            </c:extLst>
          </c:dPt>
          <c:dPt>
            <c:idx val="1"/>
            <c:bubble3D val="0"/>
            <c:extLst>
              <c:ext xmlns:c16="http://schemas.microsoft.com/office/drawing/2014/chart" uri="{C3380CC4-5D6E-409C-BE32-E72D297353CC}">
                <c16:uniqueId val="{00000009-E17C-495B-9778-179996D1EEDE}"/>
              </c:ext>
            </c:extLst>
          </c:dPt>
          <c:dPt>
            <c:idx val="2"/>
            <c:bubble3D val="0"/>
            <c:extLst>
              <c:ext xmlns:c16="http://schemas.microsoft.com/office/drawing/2014/chart" uri="{C3380CC4-5D6E-409C-BE32-E72D297353CC}">
                <c16:uniqueId val="{0000000B-E17C-495B-9778-179996D1EEDE}"/>
              </c:ext>
            </c:extLst>
          </c:dPt>
          <c:dPt>
            <c:idx val="3"/>
            <c:bubble3D val="0"/>
            <c:extLst>
              <c:ext xmlns:c16="http://schemas.microsoft.com/office/drawing/2014/chart" uri="{C3380CC4-5D6E-409C-BE32-E72D297353CC}">
                <c16:uniqueId val="{0000000F-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Industrial!$C$8:$C$15</c:f>
              <c:numCache>
                <c:formatCode>#,##0</c:formatCode>
                <c:ptCount val="5"/>
                <c:pt idx="0">
                  <c:v>3557902249.5</c:v>
                </c:pt>
                <c:pt idx="2">
                  <c:v>5894290000</c:v>
                </c:pt>
              </c:numCache>
            </c:numRef>
          </c:val>
          <c:extLst>
            <c:ext xmlns:c16="http://schemas.microsoft.com/office/drawing/2014/chart" uri="{C3380CC4-5D6E-409C-BE32-E72D297353CC}">
              <c16:uniqueId val="{00000001-69BD-4B0B-8774-9260FE37020E}"/>
            </c:ext>
          </c:extLst>
        </c:ser>
        <c:ser>
          <c:idx val="2"/>
          <c:order val="2"/>
          <c:tx>
            <c:strRef>
              <c:f>Industrial!$D$4:$D$7</c:f>
              <c:strCache>
                <c:ptCount val="1"/>
                <c:pt idx="0">
                  <c:v>2026 - Jan</c:v>
                </c:pt>
              </c:strCache>
            </c:strRef>
          </c:tx>
          <c:dPt>
            <c:idx val="0"/>
            <c:bubble3D val="0"/>
            <c:extLst>
              <c:ext xmlns:c16="http://schemas.microsoft.com/office/drawing/2014/chart" uri="{C3380CC4-5D6E-409C-BE32-E72D297353CC}">
                <c16:uniqueId val="{0000000D-E17C-495B-9778-179996D1EEDE}"/>
              </c:ext>
            </c:extLst>
          </c:dPt>
          <c:dPt>
            <c:idx val="1"/>
            <c:bubble3D val="0"/>
            <c:extLst>
              <c:ext xmlns:c16="http://schemas.microsoft.com/office/drawing/2014/chart" uri="{C3380CC4-5D6E-409C-BE32-E72D297353CC}">
                <c16:uniqueId val="{0000000F-E17C-495B-9778-179996D1EEDE}"/>
              </c:ext>
            </c:extLst>
          </c:dPt>
          <c:dPt>
            <c:idx val="2"/>
            <c:bubble3D val="0"/>
            <c:extLst>
              <c:ext xmlns:c16="http://schemas.microsoft.com/office/drawing/2014/chart" uri="{C3380CC4-5D6E-409C-BE32-E72D297353CC}">
                <c16:uniqueId val="{00000011-E17C-495B-9778-179996D1EEDE}"/>
              </c:ext>
            </c:extLst>
          </c:dPt>
          <c:dPt>
            <c:idx val="3"/>
            <c:bubble3D val="0"/>
            <c:extLst>
              <c:ext xmlns:c16="http://schemas.microsoft.com/office/drawing/2014/chart" uri="{C3380CC4-5D6E-409C-BE32-E72D297353CC}">
                <c16:uniqueId val="{00000017-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Industrial!$D$8:$D$15</c:f>
              <c:numCache>
                <c:formatCode>#,##0</c:formatCode>
                <c:ptCount val="5"/>
                <c:pt idx="0">
                  <c:v>3977710000</c:v>
                </c:pt>
                <c:pt idx="2">
                  <c:v>448000000</c:v>
                </c:pt>
              </c:numCache>
            </c:numRef>
          </c:val>
          <c:extLst>
            <c:ext xmlns:c16="http://schemas.microsoft.com/office/drawing/2014/chart" uri="{C3380CC4-5D6E-409C-BE32-E72D297353CC}">
              <c16:uniqueId val="{00000002-69BD-4B0B-8774-9260FE37020E}"/>
            </c:ext>
          </c:extLst>
        </c:ser>
        <c:ser>
          <c:idx val="3"/>
          <c:order val="3"/>
          <c:tx>
            <c:strRef>
              <c:f>Industrial!$E$4:$E$7</c:f>
              <c:strCache>
                <c:ptCount val="1"/>
                <c:pt idx="0">
                  <c:v>2026 - Feb</c:v>
                </c:pt>
              </c:strCache>
            </c:strRef>
          </c:tx>
          <c:dPt>
            <c:idx val="0"/>
            <c:bubble3D val="0"/>
            <c:extLst>
              <c:ext xmlns:c16="http://schemas.microsoft.com/office/drawing/2014/chart" uri="{C3380CC4-5D6E-409C-BE32-E72D297353CC}">
                <c16:uniqueId val="{00000013-E17C-495B-9778-179996D1EEDE}"/>
              </c:ext>
            </c:extLst>
          </c:dPt>
          <c:dPt>
            <c:idx val="1"/>
            <c:bubble3D val="0"/>
            <c:extLst>
              <c:ext xmlns:c16="http://schemas.microsoft.com/office/drawing/2014/chart" uri="{C3380CC4-5D6E-409C-BE32-E72D297353CC}">
                <c16:uniqueId val="{00000015-E17C-495B-9778-179996D1EEDE}"/>
              </c:ext>
            </c:extLst>
          </c:dPt>
          <c:dPt>
            <c:idx val="2"/>
            <c:bubble3D val="0"/>
            <c:extLst>
              <c:ext xmlns:c16="http://schemas.microsoft.com/office/drawing/2014/chart" uri="{C3380CC4-5D6E-409C-BE32-E72D297353CC}">
                <c16:uniqueId val="{00000017-E17C-495B-9778-179996D1EEDE}"/>
              </c:ext>
            </c:extLst>
          </c:dPt>
          <c:dPt>
            <c:idx val="3"/>
            <c:bubble3D val="0"/>
            <c:extLst>
              <c:ext xmlns:c16="http://schemas.microsoft.com/office/drawing/2014/chart" uri="{C3380CC4-5D6E-409C-BE32-E72D297353CC}">
                <c16:uniqueId val="{0000001F-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Industrial!$E$8:$E$15</c:f>
              <c:numCache>
                <c:formatCode>#,##0</c:formatCode>
                <c:ptCount val="5"/>
                <c:pt idx="0">
                  <c:v>3433074600</c:v>
                </c:pt>
                <c:pt idx="1">
                  <c:v>26841600</c:v>
                </c:pt>
                <c:pt idx="2">
                  <c:v>5065056280</c:v>
                </c:pt>
              </c:numCache>
            </c:numRef>
          </c:val>
          <c:extLst>
            <c:ext xmlns:c16="http://schemas.microsoft.com/office/drawing/2014/chart" uri="{C3380CC4-5D6E-409C-BE32-E72D297353CC}">
              <c16:uniqueId val="{00000003-69BD-4B0B-8774-9260FE37020E}"/>
            </c:ext>
          </c:extLst>
        </c:ser>
        <c:ser>
          <c:idx val="4"/>
          <c:order val="4"/>
          <c:tx>
            <c:strRef>
              <c:f>Industrial!$F$4:$F$7</c:f>
              <c:strCache>
                <c:ptCount val="1"/>
                <c:pt idx="0">
                  <c:v>2026 - Mar</c:v>
                </c:pt>
              </c:strCache>
            </c:strRef>
          </c:tx>
          <c:dPt>
            <c:idx val="0"/>
            <c:bubble3D val="0"/>
            <c:extLst>
              <c:ext xmlns:c16="http://schemas.microsoft.com/office/drawing/2014/chart" uri="{C3380CC4-5D6E-409C-BE32-E72D297353CC}">
                <c16:uniqueId val="{00000019-E17C-495B-9778-179996D1EEDE}"/>
              </c:ext>
            </c:extLst>
          </c:dPt>
          <c:dPt>
            <c:idx val="1"/>
            <c:bubble3D val="0"/>
            <c:extLst>
              <c:ext xmlns:c16="http://schemas.microsoft.com/office/drawing/2014/chart" uri="{C3380CC4-5D6E-409C-BE32-E72D297353CC}">
                <c16:uniqueId val="{0000001B-E17C-495B-9778-179996D1EEDE}"/>
              </c:ext>
            </c:extLst>
          </c:dPt>
          <c:dPt>
            <c:idx val="2"/>
            <c:bubble3D val="0"/>
            <c:extLst>
              <c:ext xmlns:c16="http://schemas.microsoft.com/office/drawing/2014/chart" uri="{C3380CC4-5D6E-409C-BE32-E72D297353CC}">
                <c16:uniqueId val="{0000001D-E17C-495B-9778-179996D1EEDE}"/>
              </c:ext>
            </c:extLst>
          </c:dPt>
          <c:dPt>
            <c:idx val="3"/>
            <c:bubble3D val="0"/>
            <c:extLst>
              <c:ext xmlns:c16="http://schemas.microsoft.com/office/drawing/2014/chart" uri="{C3380CC4-5D6E-409C-BE32-E72D297353CC}">
                <c16:uniqueId val="{00000027-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Industrial!$F$8:$F$15</c:f>
              <c:numCache>
                <c:formatCode>#,##0</c:formatCode>
                <c:ptCount val="5"/>
                <c:pt idx="0">
                  <c:v>332813800</c:v>
                </c:pt>
                <c:pt idx="2">
                  <c:v>5370505500</c:v>
                </c:pt>
              </c:numCache>
            </c:numRef>
          </c:val>
          <c:extLst>
            <c:ext xmlns:c16="http://schemas.microsoft.com/office/drawing/2014/chart" uri="{C3380CC4-5D6E-409C-BE32-E72D297353CC}">
              <c16:uniqueId val="{00000004-69BD-4B0B-8774-9260FE37020E}"/>
            </c:ext>
          </c:extLst>
        </c:ser>
        <c:ser>
          <c:idx val="5"/>
          <c:order val="5"/>
          <c:tx>
            <c:strRef>
              <c:f>Industrial!$G$4:$G$7</c:f>
              <c:strCache>
                <c:ptCount val="1"/>
                <c:pt idx="0">
                  <c:v>2026 - Apr</c:v>
                </c:pt>
              </c:strCache>
            </c:strRef>
          </c:tx>
          <c:dPt>
            <c:idx val="0"/>
            <c:bubble3D val="0"/>
            <c:extLst>
              <c:ext xmlns:c16="http://schemas.microsoft.com/office/drawing/2014/chart" uri="{C3380CC4-5D6E-409C-BE32-E72D297353CC}">
                <c16:uniqueId val="{0000001F-E17C-495B-9778-179996D1EEDE}"/>
              </c:ext>
            </c:extLst>
          </c:dPt>
          <c:dPt>
            <c:idx val="1"/>
            <c:bubble3D val="0"/>
            <c:extLst>
              <c:ext xmlns:c16="http://schemas.microsoft.com/office/drawing/2014/chart" uri="{C3380CC4-5D6E-409C-BE32-E72D297353CC}">
                <c16:uniqueId val="{00000021-E17C-495B-9778-179996D1EEDE}"/>
              </c:ext>
            </c:extLst>
          </c:dPt>
          <c:dPt>
            <c:idx val="2"/>
            <c:bubble3D val="0"/>
            <c:extLst>
              <c:ext xmlns:c16="http://schemas.microsoft.com/office/drawing/2014/chart" uri="{C3380CC4-5D6E-409C-BE32-E72D297353CC}">
                <c16:uniqueId val="{00000023-E17C-495B-9778-179996D1EEDE}"/>
              </c:ext>
            </c:extLst>
          </c:dPt>
          <c:dPt>
            <c:idx val="3"/>
            <c:bubble3D val="0"/>
            <c:extLst>
              <c:ext xmlns:c16="http://schemas.microsoft.com/office/drawing/2014/chart" uri="{C3380CC4-5D6E-409C-BE32-E72D297353CC}">
                <c16:uniqueId val="{0000002F-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Industrial!$G$8:$G$15</c:f>
              <c:numCache>
                <c:formatCode>#,##0</c:formatCode>
                <c:ptCount val="5"/>
                <c:pt idx="0">
                  <c:v>46400000</c:v>
                </c:pt>
                <c:pt idx="1">
                  <c:v>106932000</c:v>
                </c:pt>
                <c:pt idx="2">
                  <c:v>2861000000</c:v>
                </c:pt>
              </c:numCache>
            </c:numRef>
          </c:val>
          <c:extLst>
            <c:ext xmlns:c16="http://schemas.microsoft.com/office/drawing/2014/chart" uri="{C3380CC4-5D6E-409C-BE32-E72D297353CC}">
              <c16:uniqueId val="{00000005-69BD-4B0B-8774-9260FE37020E}"/>
            </c:ext>
          </c:extLst>
        </c:ser>
        <c:ser>
          <c:idx val="6"/>
          <c:order val="6"/>
          <c:tx>
            <c:strRef>
              <c:f>Industrial!$H$4:$H$7</c:f>
              <c:strCache>
                <c:ptCount val="1"/>
                <c:pt idx="0">
                  <c:v>2026 - May</c:v>
                </c:pt>
              </c:strCache>
            </c:strRef>
          </c:tx>
          <c:dPt>
            <c:idx val="0"/>
            <c:bubble3D val="0"/>
            <c:extLst>
              <c:ext xmlns:c16="http://schemas.microsoft.com/office/drawing/2014/chart" uri="{C3380CC4-5D6E-409C-BE32-E72D297353CC}">
                <c16:uniqueId val="{00000025-E17C-495B-9778-179996D1EEDE}"/>
              </c:ext>
            </c:extLst>
          </c:dPt>
          <c:dPt>
            <c:idx val="1"/>
            <c:bubble3D val="0"/>
            <c:extLst>
              <c:ext xmlns:c16="http://schemas.microsoft.com/office/drawing/2014/chart" uri="{C3380CC4-5D6E-409C-BE32-E72D297353CC}">
                <c16:uniqueId val="{00000027-E17C-495B-9778-179996D1EEDE}"/>
              </c:ext>
            </c:extLst>
          </c:dPt>
          <c:dPt>
            <c:idx val="2"/>
            <c:bubble3D val="0"/>
            <c:extLst>
              <c:ext xmlns:c16="http://schemas.microsoft.com/office/drawing/2014/chart" uri="{C3380CC4-5D6E-409C-BE32-E72D297353CC}">
                <c16:uniqueId val="{00000029-E17C-495B-9778-179996D1EEDE}"/>
              </c:ext>
            </c:extLst>
          </c:dPt>
          <c:dPt>
            <c:idx val="3"/>
            <c:bubble3D val="0"/>
            <c:extLst>
              <c:ext xmlns:c16="http://schemas.microsoft.com/office/drawing/2014/chart" uri="{C3380CC4-5D6E-409C-BE32-E72D297353CC}">
                <c16:uniqueId val="{00000037-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Industrial!$H$8:$H$15</c:f>
              <c:numCache>
                <c:formatCode>#,##0</c:formatCode>
                <c:ptCount val="5"/>
                <c:pt idx="0">
                  <c:v>728045000</c:v>
                </c:pt>
                <c:pt idx="2">
                  <c:v>6410593500</c:v>
                </c:pt>
                <c:pt idx="4">
                  <c:v>112000000</c:v>
                </c:pt>
              </c:numCache>
            </c:numRef>
          </c:val>
          <c:extLst>
            <c:ext xmlns:c16="http://schemas.microsoft.com/office/drawing/2014/chart" uri="{C3380CC4-5D6E-409C-BE32-E72D297353CC}">
              <c16:uniqueId val="{00000006-69BD-4B0B-8774-9260FE37020E}"/>
            </c:ext>
          </c:extLst>
        </c:ser>
        <c:ser>
          <c:idx val="7"/>
          <c:order val="7"/>
          <c:tx>
            <c:strRef>
              <c:f>Industrial!$I$4:$I$7</c:f>
              <c:strCache>
                <c:ptCount val="1"/>
                <c:pt idx="0">
                  <c:v>2026 - Jun</c:v>
                </c:pt>
              </c:strCache>
            </c:strRef>
          </c:tx>
          <c:dPt>
            <c:idx val="0"/>
            <c:bubble3D val="0"/>
            <c:extLst>
              <c:ext xmlns:c16="http://schemas.microsoft.com/office/drawing/2014/chart" uri="{C3380CC4-5D6E-409C-BE32-E72D297353CC}">
                <c16:uniqueId val="{0000002B-E17C-495B-9778-179996D1EEDE}"/>
              </c:ext>
            </c:extLst>
          </c:dPt>
          <c:dPt>
            <c:idx val="1"/>
            <c:bubble3D val="0"/>
            <c:extLst>
              <c:ext xmlns:c16="http://schemas.microsoft.com/office/drawing/2014/chart" uri="{C3380CC4-5D6E-409C-BE32-E72D297353CC}">
                <c16:uniqueId val="{0000002D-E17C-495B-9778-179996D1EEDE}"/>
              </c:ext>
            </c:extLst>
          </c:dPt>
          <c:dPt>
            <c:idx val="2"/>
            <c:bubble3D val="0"/>
            <c:extLst>
              <c:ext xmlns:c16="http://schemas.microsoft.com/office/drawing/2014/chart" uri="{C3380CC4-5D6E-409C-BE32-E72D297353CC}">
                <c16:uniqueId val="{0000002F-E17C-495B-9778-179996D1EEDE}"/>
              </c:ext>
            </c:extLst>
          </c:dPt>
          <c:dPt>
            <c:idx val="3"/>
            <c:bubble3D val="0"/>
            <c:extLst>
              <c:ext xmlns:c16="http://schemas.microsoft.com/office/drawing/2014/chart" uri="{C3380CC4-5D6E-409C-BE32-E72D297353CC}">
                <c16:uniqueId val="{0000003F-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Industrial!$I$8:$I$15</c:f>
              <c:numCache>
                <c:formatCode>#,##0</c:formatCode>
                <c:ptCount val="5"/>
                <c:pt idx="0">
                  <c:v>1411500000</c:v>
                </c:pt>
                <c:pt idx="2">
                  <c:v>1648200000</c:v>
                </c:pt>
              </c:numCache>
            </c:numRef>
          </c:val>
          <c:extLst>
            <c:ext xmlns:c16="http://schemas.microsoft.com/office/drawing/2014/chart" uri="{C3380CC4-5D6E-409C-BE32-E72D297353CC}">
              <c16:uniqueId val="{00000007-69BD-4B0B-8774-9260FE37020E}"/>
            </c:ext>
          </c:extLst>
        </c:ser>
        <c:ser>
          <c:idx val="8"/>
          <c:order val="8"/>
          <c:tx>
            <c:strRef>
              <c:f>Industrial!$J$4:$J$7</c:f>
              <c:strCache>
                <c:ptCount val="1"/>
                <c:pt idx="0">
                  <c:v>2026 - Jul</c:v>
                </c:pt>
              </c:strCache>
            </c:strRef>
          </c:tx>
          <c:dPt>
            <c:idx val="0"/>
            <c:bubble3D val="0"/>
            <c:extLst>
              <c:ext xmlns:c16="http://schemas.microsoft.com/office/drawing/2014/chart" uri="{C3380CC4-5D6E-409C-BE32-E72D297353CC}">
                <c16:uniqueId val="{00000031-E17C-495B-9778-179996D1EEDE}"/>
              </c:ext>
            </c:extLst>
          </c:dPt>
          <c:dPt>
            <c:idx val="1"/>
            <c:bubble3D val="0"/>
            <c:extLst>
              <c:ext xmlns:c16="http://schemas.microsoft.com/office/drawing/2014/chart" uri="{C3380CC4-5D6E-409C-BE32-E72D297353CC}">
                <c16:uniqueId val="{00000033-E17C-495B-9778-179996D1EEDE}"/>
              </c:ext>
            </c:extLst>
          </c:dPt>
          <c:dPt>
            <c:idx val="2"/>
            <c:bubble3D val="0"/>
            <c:extLst>
              <c:ext xmlns:c16="http://schemas.microsoft.com/office/drawing/2014/chart" uri="{C3380CC4-5D6E-409C-BE32-E72D297353CC}">
                <c16:uniqueId val="{00000035-E17C-495B-9778-179996D1EEDE}"/>
              </c:ext>
            </c:extLst>
          </c:dPt>
          <c:dPt>
            <c:idx val="3"/>
            <c:bubble3D val="0"/>
            <c:extLst>
              <c:ext xmlns:c16="http://schemas.microsoft.com/office/drawing/2014/chart" uri="{C3380CC4-5D6E-409C-BE32-E72D297353CC}">
                <c16:uniqueId val="{00000047-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Industrial!$J$8:$J$15</c:f>
              <c:numCache>
                <c:formatCode>#,##0</c:formatCode>
                <c:ptCount val="5"/>
                <c:pt idx="0">
                  <c:v>6525000000</c:v>
                </c:pt>
                <c:pt idx="1">
                  <c:v>55062530</c:v>
                </c:pt>
                <c:pt idx="2">
                  <c:v>16765000000</c:v>
                </c:pt>
                <c:pt idx="3">
                  <c:v>950000000</c:v>
                </c:pt>
              </c:numCache>
            </c:numRef>
          </c:val>
          <c:extLst>
            <c:ext xmlns:c16="http://schemas.microsoft.com/office/drawing/2014/chart" uri="{C3380CC4-5D6E-409C-BE32-E72D297353CC}">
              <c16:uniqueId val="{00000008-69BD-4B0B-8774-9260FE37020E}"/>
            </c:ext>
          </c:extLst>
        </c:ser>
        <c:ser>
          <c:idx val="9"/>
          <c:order val="9"/>
          <c:tx>
            <c:strRef>
              <c:f>Industrial!$K$4:$K$7</c:f>
              <c:strCache>
                <c:ptCount val="1"/>
                <c:pt idx="0">
                  <c:v>2026 - Aug</c:v>
                </c:pt>
              </c:strCache>
            </c:strRef>
          </c:tx>
          <c:dPt>
            <c:idx val="0"/>
            <c:bubble3D val="0"/>
            <c:extLst>
              <c:ext xmlns:c16="http://schemas.microsoft.com/office/drawing/2014/chart" uri="{C3380CC4-5D6E-409C-BE32-E72D297353CC}">
                <c16:uniqueId val="{00000037-E17C-495B-9778-179996D1EEDE}"/>
              </c:ext>
            </c:extLst>
          </c:dPt>
          <c:dPt>
            <c:idx val="1"/>
            <c:bubble3D val="0"/>
            <c:extLst>
              <c:ext xmlns:c16="http://schemas.microsoft.com/office/drawing/2014/chart" uri="{C3380CC4-5D6E-409C-BE32-E72D297353CC}">
                <c16:uniqueId val="{00000039-E17C-495B-9778-179996D1EEDE}"/>
              </c:ext>
            </c:extLst>
          </c:dPt>
          <c:dPt>
            <c:idx val="2"/>
            <c:bubble3D val="0"/>
            <c:extLst>
              <c:ext xmlns:c16="http://schemas.microsoft.com/office/drawing/2014/chart" uri="{C3380CC4-5D6E-409C-BE32-E72D297353CC}">
                <c16:uniqueId val="{0000003B-E17C-495B-9778-179996D1EEDE}"/>
              </c:ext>
            </c:extLst>
          </c:dPt>
          <c:dPt>
            <c:idx val="3"/>
            <c:bubble3D val="0"/>
            <c:extLst>
              <c:ext xmlns:c16="http://schemas.microsoft.com/office/drawing/2014/chart" uri="{C3380CC4-5D6E-409C-BE32-E72D297353CC}">
                <c16:uniqueId val="{0000004F-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Industrial!$K$8:$K$15</c:f>
              <c:numCache>
                <c:formatCode>#,##0</c:formatCode>
                <c:ptCount val="5"/>
                <c:pt idx="0">
                  <c:v>14764753000</c:v>
                </c:pt>
                <c:pt idx="1">
                  <c:v>118099245</c:v>
                </c:pt>
                <c:pt idx="2">
                  <c:v>6687500000</c:v>
                </c:pt>
              </c:numCache>
            </c:numRef>
          </c:val>
          <c:extLst>
            <c:ext xmlns:c16="http://schemas.microsoft.com/office/drawing/2014/chart" uri="{C3380CC4-5D6E-409C-BE32-E72D297353CC}">
              <c16:uniqueId val="{00000009-69BD-4B0B-8774-9260FE37020E}"/>
            </c:ext>
          </c:extLst>
        </c:ser>
        <c:ser>
          <c:idx val="10"/>
          <c:order val="10"/>
          <c:tx>
            <c:strRef>
              <c:f>Industrial!$L$4:$L$7</c:f>
              <c:strCache>
                <c:ptCount val="1"/>
                <c:pt idx="0">
                  <c:v>2026 - Sep</c:v>
                </c:pt>
              </c:strCache>
            </c:strRef>
          </c:tx>
          <c:dPt>
            <c:idx val="0"/>
            <c:bubble3D val="0"/>
            <c:extLst>
              <c:ext xmlns:c16="http://schemas.microsoft.com/office/drawing/2014/chart" uri="{C3380CC4-5D6E-409C-BE32-E72D297353CC}">
                <c16:uniqueId val="{0000003D-E17C-495B-9778-179996D1EEDE}"/>
              </c:ext>
            </c:extLst>
          </c:dPt>
          <c:dPt>
            <c:idx val="1"/>
            <c:bubble3D val="0"/>
            <c:extLst>
              <c:ext xmlns:c16="http://schemas.microsoft.com/office/drawing/2014/chart" uri="{C3380CC4-5D6E-409C-BE32-E72D297353CC}">
                <c16:uniqueId val="{0000003F-E17C-495B-9778-179996D1EEDE}"/>
              </c:ext>
            </c:extLst>
          </c:dPt>
          <c:dPt>
            <c:idx val="2"/>
            <c:bubble3D val="0"/>
            <c:extLst>
              <c:ext xmlns:c16="http://schemas.microsoft.com/office/drawing/2014/chart" uri="{C3380CC4-5D6E-409C-BE32-E72D297353CC}">
                <c16:uniqueId val="{00000041-E17C-495B-9778-179996D1EEDE}"/>
              </c:ext>
            </c:extLst>
          </c:dPt>
          <c:dPt>
            <c:idx val="3"/>
            <c:bubble3D val="0"/>
            <c:extLst>
              <c:ext xmlns:c16="http://schemas.microsoft.com/office/drawing/2014/chart" uri="{C3380CC4-5D6E-409C-BE32-E72D297353CC}">
                <c16:uniqueId val="{00000057-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Industrial!$L$8:$L$15</c:f>
              <c:numCache>
                <c:formatCode>#,##0</c:formatCode>
                <c:ptCount val="5"/>
                <c:pt idx="0">
                  <c:v>15949894180</c:v>
                </c:pt>
                <c:pt idx="2">
                  <c:v>12245740000</c:v>
                </c:pt>
              </c:numCache>
            </c:numRef>
          </c:val>
          <c:extLst>
            <c:ext xmlns:c16="http://schemas.microsoft.com/office/drawing/2014/chart" uri="{C3380CC4-5D6E-409C-BE32-E72D297353CC}">
              <c16:uniqueId val="{0000000A-69BD-4B0B-8774-9260FE37020E}"/>
            </c:ext>
          </c:extLst>
        </c:ser>
        <c:ser>
          <c:idx val="11"/>
          <c:order val="11"/>
          <c:tx>
            <c:strRef>
              <c:f>Industrial!$M$4:$M$7</c:f>
              <c:strCache>
                <c:ptCount val="1"/>
                <c:pt idx="0">
                  <c:v>2026 - Oct</c:v>
                </c:pt>
              </c:strCache>
            </c:strRef>
          </c:tx>
          <c:dPt>
            <c:idx val="0"/>
            <c:bubble3D val="0"/>
            <c:extLst>
              <c:ext xmlns:c16="http://schemas.microsoft.com/office/drawing/2014/chart" uri="{C3380CC4-5D6E-409C-BE32-E72D297353CC}">
                <c16:uniqueId val="{00000043-E17C-495B-9778-179996D1EEDE}"/>
              </c:ext>
            </c:extLst>
          </c:dPt>
          <c:dPt>
            <c:idx val="1"/>
            <c:bubble3D val="0"/>
            <c:extLst>
              <c:ext xmlns:c16="http://schemas.microsoft.com/office/drawing/2014/chart" uri="{C3380CC4-5D6E-409C-BE32-E72D297353CC}">
                <c16:uniqueId val="{00000045-E17C-495B-9778-179996D1EEDE}"/>
              </c:ext>
            </c:extLst>
          </c:dPt>
          <c:dPt>
            <c:idx val="2"/>
            <c:bubble3D val="0"/>
            <c:extLst>
              <c:ext xmlns:c16="http://schemas.microsoft.com/office/drawing/2014/chart" uri="{C3380CC4-5D6E-409C-BE32-E72D297353CC}">
                <c16:uniqueId val="{00000047-E17C-495B-9778-179996D1EEDE}"/>
              </c:ext>
            </c:extLst>
          </c:dPt>
          <c:dPt>
            <c:idx val="3"/>
            <c:bubble3D val="0"/>
            <c:extLst>
              <c:ext xmlns:c16="http://schemas.microsoft.com/office/drawing/2014/chart" uri="{C3380CC4-5D6E-409C-BE32-E72D297353CC}">
                <c16:uniqueId val="{0000005F-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Industrial!$M$8:$M$15</c:f>
              <c:numCache>
                <c:formatCode>#,##0</c:formatCode>
                <c:ptCount val="5"/>
                <c:pt idx="0">
                  <c:v>4759717980</c:v>
                </c:pt>
                <c:pt idx="2">
                  <c:v>5258000000</c:v>
                </c:pt>
              </c:numCache>
            </c:numRef>
          </c:val>
          <c:extLst>
            <c:ext xmlns:c16="http://schemas.microsoft.com/office/drawing/2014/chart" uri="{C3380CC4-5D6E-409C-BE32-E72D297353CC}">
              <c16:uniqueId val="{0000000B-69BD-4B0B-8774-9260FE37020E}"/>
            </c:ext>
          </c:extLst>
        </c:ser>
        <c:ser>
          <c:idx val="12"/>
          <c:order val="12"/>
          <c:tx>
            <c:strRef>
              <c:f>Industrial!$N$4:$N$7</c:f>
              <c:strCache>
                <c:ptCount val="1"/>
                <c:pt idx="0">
                  <c:v>2026 - Nov</c:v>
                </c:pt>
              </c:strCache>
            </c:strRef>
          </c:tx>
          <c:dPt>
            <c:idx val="0"/>
            <c:bubble3D val="0"/>
            <c:extLst>
              <c:ext xmlns:c16="http://schemas.microsoft.com/office/drawing/2014/chart" uri="{C3380CC4-5D6E-409C-BE32-E72D297353CC}">
                <c16:uniqueId val="{00000049-E17C-495B-9778-179996D1EEDE}"/>
              </c:ext>
            </c:extLst>
          </c:dPt>
          <c:dPt>
            <c:idx val="1"/>
            <c:bubble3D val="0"/>
            <c:extLst>
              <c:ext xmlns:c16="http://schemas.microsoft.com/office/drawing/2014/chart" uri="{C3380CC4-5D6E-409C-BE32-E72D297353CC}">
                <c16:uniqueId val="{0000004B-E17C-495B-9778-179996D1EEDE}"/>
              </c:ext>
            </c:extLst>
          </c:dPt>
          <c:dPt>
            <c:idx val="2"/>
            <c:bubble3D val="0"/>
            <c:extLst>
              <c:ext xmlns:c16="http://schemas.microsoft.com/office/drawing/2014/chart" uri="{C3380CC4-5D6E-409C-BE32-E72D297353CC}">
                <c16:uniqueId val="{0000004D-E17C-495B-9778-179996D1EEDE}"/>
              </c:ext>
            </c:extLst>
          </c:dPt>
          <c:dPt>
            <c:idx val="3"/>
            <c:bubble3D val="0"/>
            <c:extLst>
              <c:ext xmlns:c16="http://schemas.microsoft.com/office/drawing/2014/chart" uri="{C3380CC4-5D6E-409C-BE32-E72D297353CC}">
                <c16:uniqueId val="{00000067-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Industrial!$N$8:$N$15</c:f>
              <c:numCache>
                <c:formatCode>#,##0</c:formatCode>
                <c:ptCount val="5"/>
                <c:pt idx="2">
                  <c:v>8338750000</c:v>
                </c:pt>
              </c:numCache>
            </c:numRef>
          </c:val>
          <c:extLst>
            <c:ext xmlns:c16="http://schemas.microsoft.com/office/drawing/2014/chart" uri="{C3380CC4-5D6E-409C-BE32-E72D297353CC}">
              <c16:uniqueId val="{0000000C-69BD-4B0B-8774-9260FE37020E}"/>
            </c:ext>
          </c:extLst>
        </c:ser>
        <c:ser>
          <c:idx val="13"/>
          <c:order val="13"/>
          <c:tx>
            <c:strRef>
              <c:f>Industrial!$O$4:$O$7</c:f>
              <c:strCache>
                <c:ptCount val="1"/>
                <c:pt idx="0">
                  <c:v>2026 - Dec</c:v>
                </c:pt>
              </c:strCache>
            </c:strRef>
          </c:tx>
          <c:dPt>
            <c:idx val="0"/>
            <c:bubble3D val="0"/>
            <c:extLst>
              <c:ext xmlns:c16="http://schemas.microsoft.com/office/drawing/2014/chart" uri="{C3380CC4-5D6E-409C-BE32-E72D297353CC}">
                <c16:uniqueId val="{00000069-8CB1-4EB4-839E-3307D62321F8}"/>
              </c:ext>
            </c:extLst>
          </c:dPt>
          <c:dPt>
            <c:idx val="1"/>
            <c:bubble3D val="0"/>
            <c:extLst>
              <c:ext xmlns:c16="http://schemas.microsoft.com/office/drawing/2014/chart" uri="{C3380CC4-5D6E-409C-BE32-E72D297353CC}">
                <c16:uniqueId val="{0000006B-8CB1-4EB4-839E-3307D62321F8}"/>
              </c:ext>
            </c:extLst>
          </c:dPt>
          <c:dPt>
            <c:idx val="2"/>
            <c:bubble3D val="0"/>
            <c:extLst>
              <c:ext xmlns:c16="http://schemas.microsoft.com/office/drawing/2014/chart" uri="{C3380CC4-5D6E-409C-BE32-E72D297353CC}">
                <c16:uniqueId val="{0000006D-8CB1-4EB4-839E-3307D62321F8}"/>
              </c:ext>
            </c:extLst>
          </c:dPt>
          <c:dPt>
            <c:idx val="3"/>
            <c:bubble3D val="0"/>
            <c:extLst>
              <c:ext xmlns:c16="http://schemas.microsoft.com/office/drawing/2014/chart" uri="{C3380CC4-5D6E-409C-BE32-E72D297353CC}">
                <c16:uniqueId val="{0000006F-8CB1-4EB4-839E-3307D62321F8}"/>
              </c:ext>
            </c:extLst>
          </c:dPt>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Industrial!$O$8:$O$15</c:f>
              <c:numCache>
                <c:formatCode>#,##0</c:formatCode>
                <c:ptCount val="5"/>
                <c:pt idx="0">
                  <c:v>165000000</c:v>
                </c:pt>
                <c:pt idx="2">
                  <c:v>4450210000</c:v>
                </c:pt>
              </c:numCache>
            </c:numRef>
          </c:val>
          <c:extLst>
            <c:ext xmlns:c16="http://schemas.microsoft.com/office/drawing/2014/chart" uri="{C3380CC4-5D6E-409C-BE32-E72D297353CC}">
              <c16:uniqueId val="{0000004E-756C-4AC0-8C80-91879D20C94D}"/>
            </c:ext>
          </c:extLst>
        </c:ser>
        <c:ser>
          <c:idx val="14"/>
          <c:order val="14"/>
          <c:tx>
            <c:strRef>
              <c:f>Industrial!$P$4:$P$7</c:f>
              <c:strCache>
                <c:ptCount val="1"/>
                <c:pt idx="0">
                  <c:v>2027 - Jan</c:v>
                </c:pt>
              </c:strCache>
            </c:strRef>
          </c:tx>
          <c:cat>
            <c:multiLvlStrRef>
              <c:f>Industrial!$A$8:$A$15</c:f>
              <c:multiLvlStrCache>
                <c:ptCount val="5"/>
                <c:lvl>
                  <c:pt idx="3">
                    <c:v>E</c:v>
                  </c:pt>
                  <c:pt idx="4">
                    <c:v>A</c:v>
                  </c:pt>
                </c:lvl>
                <c:lvl>
                  <c:pt idx="0">
                    <c:v>EPL</c:v>
                  </c:pt>
                  <c:pt idx="1">
                    <c:v>IAQ</c:v>
                  </c:pt>
                  <c:pt idx="2">
                    <c:v>RC</c:v>
                  </c:pt>
                  <c:pt idx="3">
                    <c:v>(blank)</c:v>
                  </c:pt>
                  <c:pt idx="4">
                    <c:v>Cont Inst</c:v>
                  </c:pt>
                </c:lvl>
              </c:multiLvlStrCache>
            </c:multiLvlStrRef>
          </c:cat>
          <c:val>
            <c:numRef>
              <c:f>Industrial!$P$8:$P$15</c:f>
              <c:numCache>
                <c:formatCode>#,##0</c:formatCode>
                <c:ptCount val="5"/>
                <c:pt idx="2">
                  <c:v>4460000000</c:v>
                </c:pt>
              </c:numCache>
            </c:numRef>
          </c:val>
          <c:extLst>
            <c:ext xmlns:c16="http://schemas.microsoft.com/office/drawing/2014/chart" uri="{C3380CC4-5D6E-409C-BE32-E72D297353CC}">
              <c16:uniqueId val="{00000071-0A18-4E1D-B9AD-760BE8D107F4}"/>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476250</xdr:colOff>
      <xdr:row>10</xdr:row>
      <xdr:rowOff>147637</xdr:rowOff>
    </xdr:from>
    <xdr:to>
      <xdr:col>25</xdr:col>
      <xdr:colOff>180975</xdr:colOff>
      <xdr:row>25</xdr:row>
      <xdr:rowOff>33337</xdr:rowOff>
    </xdr:to>
    <xdr:graphicFrame macro="">
      <xdr:nvGraphicFramePr>
        <xdr:cNvPr id="5" name="Chart 4">
          <a:extLst>
            <a:ext uri="{FF2B5EF4-FFF2-40B4-BE49-F238E27FC236}">
              <a16:creationId xmlns:a16="http://schemas.microsoft.com/office/drawing/2014/main" id="{49E861F8-8688-F152-F413-282BEFC81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ailash\REPORTS%20%202010%20-%202011\Ext_Report\CY2007\Daikin%20Packages\Dec%2007\AAF%20Consolidated\AAF%20Consolidated%20Daikin%20Package\AAF%20Subsidiaries\UKHC$.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cleaned"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ailash\REPORTS%20%202010%20-%202011\OYL\Meeting%20in%20Oct\Reporting%20Package,Dec%20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IKIN_AUST2\DIL\Budget%20reporting\Daikin%20Monthly%20Progress%20Reports%20-%20AC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ailash\REPORTS%20%202010%20-%202011\Ext_Report\CY%202008\Daikin%20Packages\Mar%2008\AAF%20Consolidated\AAF%20Subsidiaries\UKAF$.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MODELNF"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ales\USER\windows\TEMP\C.Notes.Data\GBL_ROOT\PROGRAM\CLIENTAPL\&#22770;&#19978;&#29366;&#27841;&#20316;&#25104;\p_&#26085;&#12496;&#12483;&#12481;t.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MODEL"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ales\quo_root\Meeting%20Data\200608%20&#25913;&#23450;&#20104;&#31639;&#12487;&#12540;&#12479;\A3%20version\windows\TEMP\C.Notes.Data\GBL_ROOT\PROGRAM\CLIENTAPL\&#22770;&#19978;&#29366;&#27841;&#20316;&#25104;\p_&#26085;&#12496;&#12483;&#12481;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ales\quo_root\Meeting%20Data\200608%20&#25913;&#23450;&#20104;&#31639;&#12487;&#12540;&#12479;\A3%20version\Documents%20and%20Settings\kidsana\Desktop\windows\TEMP\C.Notes.Data\GBL_ROOT\PROGRAM\CLIENTAPL\&#22770;&#19978;&#29366;&#27841;&#20316;&#25104;\p_&#26085;&#12496;&#12483;&#12481;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to OYL"/>
      <sheetName val="PURCHASE from OYL"/>
      <sheetName val="LIST"/>
      <sheetName val="(1) CREDITS to DAIKIN "/>
      <sheetName val="(2) DEBTS FROM DAIKIN"/>
      <sheetName val="(3) SALES to DAIKIN"/>
      <sheetName val="(4) PURCHASE from DAIKIN"/>
      <sheetName val="(5) Credits to OYL"/>
      <sheetName val="6) DEBTS FROM OYL"/>
      <sheetName val="(7) SALES to OYL"/>
      <sheetName val="(8) PURCHASE FROM OYL"/>
      <sheetName val="(9) ROYALTIES FROM OYL"/>
      <sheetName val="(10) ROYALTIES TO OYL"/>
      <sheetName val="(11) NON OP INCOME"/>
      <sheetName val="(12) NON OP EXPENSE"/>
      <sheetName val="(13) Sales by Countries"/>
      <sheetName val="(14) SGA"/>
      <sheetName val="(15) CASH EQUIVALENT"/>
      <sheetName val="(16) TANGIBLE ASSETS"/>
      <sheetName val="(17) LONG TERM RECEIVABLE"/>
      <sheetName val="(18) ALLOWANCE FOR BAD DEBT"/>
      <sheetName val="(19) WARRANTY"/>
      <sheetName val="(20) OTHER CURRENT ASSETS"/>
      <sheetName val="(21) PREPAID EXPENSES"/>
      <sheetName val="(22) OTHER LONG TERM ASSETS"/>
      <sheetName val="(23) OTHER ACCRUED EXPENSES"/>
      <sheetName val="(24) OTHER LONGTERM LIABILITIES"/>
      <sheetName val="(25) COLLATERAL"/>
      <sheetName val="(26) GUARANTEES"/>
      <sheetName val="(27) COMMITMENTS"/>
      <sheetName val="(28) RELATED PARTY TRANSACTIONS"/>
      <sheetName val="(29) EMPLOYEE"/>
      <sheetName val="(30) DAIKIN GROUP"/>
      <sheetName val="(31) OYL GROUP"/>
      <sheetName val="SBU"/>
      <sheetName val="SALES OFFICE"/>
      <sheetName val="QTY"/>
      <sheetName val="FY19 RES"/>
      <sheetName val="FY20 RES"/>
      <sheetName val="FY20 OB"/>
      <sheetName val="FY20 RB"/>
      <sheetName val="FY20 FF"/>
      <sheetName val="FY20 YTD RES+FCT"/>
      <sheetName val="FY21 OB"/>
      <sheetName val="FY20 FORECAST"/>
      <sheetName val="Closing Report"/>
      <sheetName val="Daily Sales"/>
      <sheetName val="Dealer (3)"/>
      <sheetName val="Dealer (2)"/>
      <sheetName val="Dealer"/>
      <sheetName val="Payment FY'17"/>
      <sheetName val="FY18"/>
      <sheetName val="RA_Only_KQ"/>
      <sheetName val="FTKC,KM,FTM"/>
      <sheetName val="SKY_Inc.MINI"/>
      <sheetName val="PA"/>
      <sheetName val="VRV"/>
      <sheetName val="AC"/>
      <sheetName val="Nomal_NOKQ"/>
      <sheetName val="ALL KQ"/>
      <sheetName val="Project_NoKQ"/>
      <sheetName val="UKHC$"/>
      <sheetName val="SALES_to_OYL"/>
      <sheetName val="PURCHASE_from_OYL"/>
      <sheetName val="(1)_CREDITS_to_DAIKIN_"/>
      <sheetName val="(2)_DEBTS_FROM_DAIKIN"/>
      <sheetName val="(3)_SALES_to_DAIKIN"/>
      <sheetName val="(4)_PURCHASE_from_DAIKIN"/>
      <sheetName val="(5)_Credits_to_OYL"/>
      <sheetName val="6)_DEBTS_FROM_OYL"/>
      <sheetName val="(7)_SALES_to_OYL"/>
      <sheetName val="(8)_PURCHASE_FROM_OYL"/>
      <sheetName val="(9)_ROYALTIES_FROM_OYL"/>
      <sheetName val="(10)_ROYALTIES_TO_OYL"/>
      <sheetName val="(11)_NON_OP_INCOME"/>
      <sheetName val="(12)_NON_OP_EXPENSE"/>
      <sheetName val="(13)_Sales_by_Countries"/>
      <sheetName val="(14)_SGA"/>
      <sheetName val="(15)_CASH_EQUIVALENT"/>
      <sheetName val="(16)_TANGIBLE_ASSETS"/>
      <sheetName val="(17)_LONG_TERM_RECEIVABLE"/>
      <sheetName val="(18)_ALLOWANCE_FOR_BAD_DEBT"/>
      <sheetName val="(19)_WARRANTY"/>
      <sheetName val="(20)_OTHER_CURRENT_ASSETS"/>
      <sheetName val="(21)_PREPAID_EXPENSES"/>
      <sheetName val="(22)_OTHER_LONG_TERM_ASSETS"/>
      <sheetName val="(23)_OTHER_ACCRUED_EXPENSES"/>
      <sheetName val="(24)_OTHER_LONGTERM_LIABILITIES"/>
      <sheetName val="(25)_COLLATERAL"/>
      <sheetName val="(26)_GUARANTEES"/>
      <sheetName val="(27)_COMMITMENTS"/>
      <sheetName val="(28)_RELATED_PARTY_TRANSACTIONS"/>
      <sheetName val="(29)_EMPLOYEE"/>
      <sheetName val="(30)_DAIKIN_GROUP"/>
      <sheetName val="(31)_OYL_GROUP"/>
      <sheetName val="SALES_to_OYL1"/>
      <sheetName val="PURCHASE_from_OYL1"/>
      <sheetName val="(1)_CREDITS_to_DAIKIN_1"/>
      <sheetName val="(2)_DEBTS_FROM_DAIKIN1"/>
      <sheetName val="(3)_SALES_to_DAIKIN1"/>
      <sheetName val="(4)_PURCHASE_from_DAIKIN1"/>
      <sheetName val="(5)_Credits_to_OYL1"/>
      <sheetName val="6)_DEBTS_FROM_OYL1"/>
      <sheetName val="(7)_SALES_to_OYL1"/>
      <sheetName val="(8)_PURCHASE_FROM_OYL1"/>
      <sheetName val="(9)_ROYALTIES_FROM_OYL1"/>
      <sheetName val="(10)_ROYALTIES_TO_OYL1"/>
      <sheetName val="(11)_NON_OP_INCOME1"/>
      <sheetName val="(12)_NON_OP_EXPENSE1"/>
      <sheetName val="(13)_Sales_by_Countries1"/>
      <sheetName val="(14)_SGA1"/>
      <sheetName val="(15)_CASH_EQUIVALENT1"/>
      <sheetName val="(16)_TANGIBLE_ASSETS1"/>
      <sheetName val="(17)_LONG_TERM_RECEIVABLE1"/>
      <sheetName val="(18)_ALLOWANCE_FOR_BAD_DEBT1"/>
      <sheetName val="(19)_WARRANTY1"/>
      <sheetName val="(20)_OTHER_CURRENT_ASSETS1"/>
      <sheetName val="(21)_PREPAID_EXPENSES1"/>
      <sheetName val="(22)_OTHER_LONG_TERM_ASSETS1"/>
      <sheetName val="(23)_OTHER_ACCRUED_EXPENSES1"/>
      <sheetName val="(24)_OTHER_LONGTERM_LIABILITIE1"/>
      <sheetName val="(25)_COLLATERAL1"/>
      <sheetName val="(26)_GUARANTEES1"/>
      <sheetName val="(27)_COMMITMENTS1"/>
      <sheetName val="(28)_RELATED_PARTY_TRANSACTION1"/>
      <sheetName val="(29)_EMPLOYEE1"/>
      <sheetName val="(30)_DAIKIN_GROUP1"/>
      <sheetName val="(31)_OYL_GROUP1"/>
      <sheetName val="Definition"/>
      <sheetName val="COST"/>
      <sheetName val="MODELN"/>
      <sheetName val="Position, Level"/>
      <sheetName val="Master"/>
      <sheetName val="Sheet1"/>
      <sheetName val="PULL DOWN MENU"/>
      <sheetName val="REF"/>
      <sheetName val="SALES_to_OYL2"/>
      <sheetName val="PURCHASE_from_OYL2"/>
      <sheetName val="(1)_CREDITS_to_DAIKIN_2"/>
      <sheetName val="(2)_DEBTS_FROM_DAIKIN2"/>
      <sheetName val="(3)_SALES_to_DAIKIN2"/>
      <sheetName val="(4)_PURCHASE_from_DAIKIN2"/>
      <sheetName val="(5)_Credits_to_OYL2"/>
      <sheetName val="6)_DEBTS_FROM_OYL2"/>
      <sheetName val="(7)_SALES_to_OYL2"/>
      <sheetName val="(8)_PURCHASE_FROM_OYL2"/>
      <sheetName val="(9)_ROYALTIES_FROM_OYL2"/>
      <sheetName val="(10)_ROYALTIES_TO_OYL2"/>
      <sheetName val="(11)_NON_OP_INCOME2"/>
      <sheetName val="(12)_NON_OP_EXPENSE2"/>
      <sheetName val="(13)_Sales_by_Countries2"/>
      <sheetName val="(14)_SGA2"/>
      <sheetName val="(15)_CASH_EQUIVALENT2"/>
      <sheetName val="(16)_TANGIBLE_ASSETS2"/>
      <sheetName val="(17)_LONG_TERM_RECEIVABLE2"/>
      <sheetName val="(18)_ALLOWANCE_FOR_BAD_DEBT2"/>
      <sheetName val="(19)_WARRANTY2"/>
      <sheetName val="(20)_OTHER_CURRENT_ASSETS2"/>
      <sheetName val="(21)_PREPAID_EXPENSES2"/>
      <sheetName val="(22)_OTHER_LONG_TERM_ASSETS2"/>
      <sheetName val="(23)_OTHER_ACCRUED_EXPENSES2"/>
      <sheetName val="(24)_OTHER_LONGTERM_LIABILITIE2"/>
      <sheetName val="(25)_COLLATERAL2"/>
      <sheetName val="(26)_GUARANTEES2"/>
      <sheetName val="(27)_COMMITMENTS2"/>
      <sheetName val="(28)_RELATED_PARTY_TRANSACTION2"/>
      <sheetName val="(29)_EMPLOYEE2"/>
      <sheetName val="(30)_DAIKIN_GROUP2"/>
      <sheetName val="(31)_OYL_GROUP2"/>
      <sheetName val="SALES_to_OYL3"/>
      <sheetName val="PURCHASE_from_OYL3"/>
      <sheetName val="(1)_CREDITS_to_DAIKIN_3"/>
      <sheetName val="(2)_DEBTS_FROM_DAIKIN3"/>
      <sheetName val="(3)_SALES_to_DAIKIN3"/>
      <sheetName val="(4)_PURCHASE_from_DAIKIN3"/>
      <sheetName val="(5)_Credits_to_OYL3"/>
      <sheetName val="6)_DEBTS_FROM_OYL3"/>
      <sheetName val="(7)_SALES_to_OYL3"/>
      <sheetName val="(8)_PURCHASE_FROM_OYL3"/>
      <sheetName val="(9)_ROYALTIES_FROM_OYL3"/>
      <sheetName val="(10)_ROYALTIES_TO_OYL3"/>
      <sheetName val="(11)_NON_OP_INCOME3"/>
      <sheetName val="(12)_NON_OP_EXPENSE3"/>
      <sheetName val="(13)_Sales_by_Countries3"/>
      <sheetName val="(14)_SGA3"/>
      <sheetName val="(15)_CASH_EQUIVALENT3"/>
      <sheetName val="(16)_TANGIBLE_ASSETS3"/>
      <sheetName val="(17)_LONG_TERM_RECEIVABLE3"/>
      <sheetName val="(18)_ALLOWANCE_FOR_BAD_DEBT3"/>
      <sheetName val="(19)_WARRANTY3"/>
      <sheetName val="(20)_OTHER_CURRENT_ASSETS3"/>
      <sheetName val="(21)_PREPAID_EXPENSES3"/>
      <sheetName val="(22)_OTHER_LONG_TERM_ASSETS3"/>
      <sheetName val="(23)_OTHER_ACCRUED_EXPENSES3"/>
      <sheetName val="(24)_OTHER_LONGTERM_LIABILITIE3"/>
      <sheetName val="(25)_COLLATERAL3"/>
      <sheetName val="(26)_GUARANTEES3"/>
      <sheetName val="(27)_COMMITMENTS3"/>
      <sheetName val="(28)_RELATED_PARTY_TRANSACTION3"/>
      <sheetName val="(29)_EMPLOYEE3"/>
      <sheetName val="(30)_DAIKIN_GROUP3"/>
      <sheetName val="(31)_OYL_GROUP3"/>
      <sheetName val="SALES_to_OYL4"/>
      <sheetName val="PURCHASE_from_OYL4"/>
      <sheetName val="(1)_CREDITS_to_DAIKIN_4"/>
      <sheetName val="(2)_DEBTS_FROM_DAIKIN4"/>
      <sheetName val="(3)_SALES_to_DAIKIN4"/>
      <sheetName val="(4)_PURCHASE_from_DAIKIN4"/>
      <sheetName val="(5)_Credits_to_OYL4"/>
      <sheetName val="6)_DEBTS_FROM_OYL4"/>
      <sheetName val="(7)_SALES_to_OYL4"/>
      <sheetName val="(8)_PURCHASE_FROM_OYL4"/>
      <sheetName val="(9)_ROYALTIES_FROM_OYL4"/>
      <sheetName val="(10)_ROYALTIES_TO_OYL4"/>
      <sheetName val="(11)_NON_OP_INCOME4"/>
      <sheetName val="(12)_NON_OP_EXPENSE4"/>
      <sheetName val="(13)_Sales_by_Countries4"/>
      <sheetName val="(14)_SGA4"/>
      <sheetName val="(15)_CASH_EQUIVALENT4"/>
      <sheetName val="(16)_TANGIBLE_ASSETS4"/>
      <sheetName val="(17)_LONG_TERM_RECEIVABLE4"/>
      <sheetName val="(18)_ALLOWANCE_FOR_BAD_DEBT4"/>
      <sheetName val="(19)_WARRANTY4"/>
      <sheetName val="(20)_OTHER_CURRENT_ASSETS4"/>
      <sheetName val="(21)_PREPAID_EXPENSES4"/>
      <sheetName val="(22)_OTHER_LONG_TERM_ASSETS4"/>
      <sheetName val="(23)_OTHER_ACCRUED_EXPENSES4"/>
      <sheetName val="(24)_OTHER_LONGTERM_LIABILITIE4"/>
      <sheetName val="(25)_COLLATERAL4"/>
      <sheetName val="(26)_GUARANTEES4"/>
      <sheetName val="(27)_COMMITMENTS4"/>
      <sheetName val="(28)_RELATED_PARTY_TRANSACTION4"/>
      <sheetName val="(29)_EMPLOYEE4"/>
      <sheetName val="(30)_DAIKIN_GROUP4"/>
      <sheetName val="(31)_OYL_GROUP4"/>
      <sheetName val="SALES_to_OYL5"/>
      <sheetName val="PURCHASE_from_OYL5"/>
      <sheetName val="(1)_CREDITS_to_DAIKIN_5"/>
      <sheetName val="(2)_DEBTS_FROM_DAIKIN5"/>
      <sheetName val="(3)_SALES_to_DAIKIN5"/>
      <sheetName val="(4)_PURCHASE_from_DAIKIN5"/>
      <sheetName val="(5)_Credits_to_OYL5"/>
      <sheetName val="6)_DEBTS_FROM_OYL5"/>
      <sheetName val="(7)_SALES_to_OYL5"/>
      <sheetName val="(8)_PURCHASE_FROM_OYL5"/>
      <sheetName val="(9)_ROYALTIES_FROM_OYL5"/>
      <sheetName val="(10)_ROYALTIES_TO_OYL5"/>
      <sheetName val="(11)_NON_OP_INCOME5"/>
      <sheetName val="(12)_NON_OP_EXPENSE5"/>
      <sheetName val="(13)_Sales_by_Countries5"/>
      <sheetName val="(14)_SGA5"/>
      <sheetName val="(15)_CASH_EQUIVALENT5"/>
      <sheetName val="(16)_TANGIBLE_ASSETS5"/>
      <sheetName val="(17)_LONG_TERM_RECEIVABLE5"/>
      <sheetName val="(18)_ALLOWANCE_FOR_BAD_DEBT5"/>
      <sheetName val="(19)_WARRANTY5"/>
      <sheetName val="(20)_OTHER_CURRENT_ASSETS5"/>
      <sheetName val="(21)_PREPAID_EXPENSES5"/>
      <sheetName val="(22)_OTHER_LONG_TERM_ASSETS5"/>
      <sheetName val="(23)_OTHER_ACCRUED_EXPENSES5"/>
      <sheetName val="(24)_OTHER_LONGTERM_LIABILITIE5"/>
      <sheetName val="(25)_COLLATERAL5"/>
      <sheetName val="(26)_GUARANTEES5"/>
      <sheetName val="(27)_COMMITMENTS5"/>
      <sheetName val="(28)_RELATED_PARTY_TRANSACTION5"/>
      <sheetName val="(29)_EMPLOYEE5"/>
      <sheetName val="(30)_DAIKIN_GROUP5"/>
      <sheetName val="(31)_OYL_GROUP5"/>
      <sheetName val="SALES_to_OYL6"/>
      <sheetName val="PURCHASE_from_OYL6"/>
      <sheetName val="(1)_CREDITS_to_DAIKIN_6"/>
      <sheetName val="(2)_DEBTS_FROM_DAIKIN6"/>
      <sheetName val="(3)_SALES_to_DAIKIN6"/>
      <sheetName val="(4)_PURCHASE_from_DAIKIN6"/>
      <sheetName val="(5)_Credits_to_OYL6"/>
      <sheetName val="6)_DEBTS_FROM_OYL6"/>
      <sheetName val="(7)_SALES_to_OYL6"/>
      <sheetName val="(8)_PURCHASE_FROM_OYL6"/>
      <sheetName val="(9)_ROYALTIES_FROM_OYL6"/>
      <sheetName val="(10)_ROYALTIES_TO_OYL6"/>
      <sheetName val="(11)_NON_OP_INCOME6"/>
      <sheetName val="(12)_NON_OP_EXPENSE6"/>
      <sheetName val="(13)_Sales_by_Countries6"/>
      <sheetName val="(14)_SGA6"/>
      <sheetName val="(15)_CASH_EQUIVALENT6"/>
      <sheetName val="(16)_TANGIBLE_ASSETS6"/>
      <sheetName val="(17)_LONG_TERM_RECEIVABLE6"/>
      <sheetName val="(18)_ALLOWANCE_FOR_BAD_DEBT6"/>
      <sheetName val="(19)_WARRANTY6"/>
      <sheetName val="(20)_OTHER_CURRENT_ASSETS6"/>
      <sheetName val="(21)_PREPAID_EXPENSES6"/>
      <sheetName val="(22)_OTHER_LONG_TERM_ASSETS6"/>
      <sheetName val="(23)_OTHER_ACCRUED_EXPENSES6"/>
      <sheetName val="(24)_OTHER_LONGTERM_LIABILITIE6"/>
      <sheetName val="(25)_COLLATERAL6"/>
      <sheetName val="(26)_GUARANTEES6"/>
      <sheetName val="(27)_COMMITMENTS6"/>
      <sheetName val="(28)_RELATED_PARTY_TRANSACTION6"/>
      <sheetName val="(29)_EMPLOYEE6"/>
      <sheetName val="(30)_DAIKIN_GROUP6"/>
      <sheetName val="(31)_OYL_GROUP6"/>
      <sheetName val="SALES_to_OYL7"/>
      <sheetName val="PURCHASE_from_OYL7"/>
      <sheetName val="(1)_CREDITS_to_DAIKIN_7"/>
      <sheetName val="(2)_DEBTS_FROM_DAIKIN7"/>
      <sheetName val="(3)_SALES_to_DAIKIN7"/>
      <sheetName val="(4)_PURCHASE_from_DAIKIN7"/>
      <sheetName val="(5)_Credits_to_OYL7"/>
      <sheetName val="6)_DEBTS_FROM_OYL7"/>
      <sheetName val="(7)_SALES_to_OYL7"/>
      <sheetName val="(8)_PURCHASE_FROM_OYL7"/>
      <sheetName val="(9)_ROYALTIES_FROM_OYL7"/>
      <sheetName val="(10)_ROYALTIES_TO_OYL7"/>
      <sheetName val="(11)_NON_OP_INCOME7"/>
      <sheetName val="(12)_NON_OP_EXPENSE7"/>
      <sheetName val="(13)_Sales_by_Countries7"/>
      <sheetName val="(14)_SGA7"/>
      <sheetName val="(15)_CASH_EQUIVALENT7"/>
      <sheetName val="(16)_TANGIBLE_ASSETS7"/>
      <sheetName val="(17)_LONG_TERM_RECEIVABLE7"/>
      <sheetName val="(18)_ALLOWANCE_FOR_BAD_DEBT7"/>
      <sheetName val="(19)_WARRANTY7"/>
      <sheetName val="(20)_OTHER_CURRENT_ASSETS7"/>
      <sheetName val="(21)_PREPAID_EXPENSES7"/>
      <sheetName val="(22)_OTHER_LONG_TERM_ASSETS7"/>
      <sheetName val="(23)_OTHER_ACCRUED_EXPENSES7"/>
      <sheetName val="(24)_OTHER_LONGTERM_LIABILITIE7"/>
      <sheetName val="(25)_COLLATERAL7"/>
      <sheetName val="(26)_GUARANTEES7"/>
      <sheetName val="(27)_COMMITMENTS7"/>
      <sheetName val="(28)_RELATED_PARTY_TRANSACTION7"/>
      <sheetName val="(29)_EMPLOYEE7"/>
      <sheetName val="(30)_DAIKIN_GROUP7"/>
      <sheetName val="(31)_OYL_GROUP7"/>
      <sheetName val="SALES_to_OYL8"/>
      <sheetName val="PURCHASE_from_OYL8"/>
      <sheetName val="(1)_CREDITS_to_DAIKIN_8"/>
      <sheetName val="(2)_DEBTS_FROM_DAIKIN8"/>
      <sheetName val="(3)_SALES_to_DAIKIN8"/>
      <sheetName val="(4)_PURCHASE_from_DAIKIN8"/>
      <sheetName val="(5)_Credits_to_OYL8"/>
      <sheetName val="6)_DEBTS_FROM_OYL8"/>
      <sheetName val="(7)_SALES_to_OYL8"/>
      <sheetName val="(8)_PURCHASE_FROM_OYL8"/>
      <sheetName val="(9)_ROYALTIES_FROM_OYL8"/>
      <sheetName val="(10)_ROYALTIES_TO_OYL8"/>
      <sheetName val="(11)_NON_OP_INCOME8"/>
      <sheetName val="(12)_NON_OP_EXPENSE8"/>
      <sheetName val="(13)_Sales_by_Countries8"/>
      <sheetName val="(14)_SGA8"/>
      <sheetName val="(15)_CASH_EQUIVALENT8"/>
      <sheetName val="(16)_TANGIBLE_ASSETS8"/>
      <sheetName val="(17)_LONG_TERM_RECEIVABLE8"/>
      <sheetName val="(18)_ALLOWANCE_FOR_BAD_DEBT8"/>
      <sheetName val="(19)_WARRANTY8"/>
      <sheetName val="(20)_OTHER_CURRENT_ASSETS8"/>
      <sheetName val="(21)_PREPAID_EXPENSES8"/>
      <sheetName val="(22)_OTHER_LONG_TERM_ASSETS8"/>
      <sheetName val="(23)_OTHER_ACCRUED_EXPENSES8"/>
      <sheetName val="(24)_OTHER_LONGTERM_LIABILITIE8"/>
      <sheetName val="(25)_COLLATERAL8"/>
      <sheetName val="(26)_GUARANTEES8"/>
      <sheetName val="(27)_COMMITMENTS8"/>
      <sheetName val="(28)_RELATED_PARTY_TRANSACTION8"/>
      <sheetName val="(29)_EMPLOYEE8"/>
      <sheetName val="(30)_DAIKIN_GROUP8"/>
      <sheetName val="(31)_OYL_GROUP8"/>
      <sheetName val="SALES_to_OYL16"/>
      <sheetName val="PURCHASE_from_OYL16"/>
      <sheetName val="(1)_CREDITS_to_DAIKIN_16"/>
      <sheetName val="(2)_DEBTS_FROM_DAIKIN16"/>
      <sheetName val="(3)_SALES_to_DAIKIN16"/>
      <sheetName val="(4)_PURCHASE_from_DAIKIN16"/>
      <sheetName val="(5)_Credits_to_OYL16"/>
      <sheetName val="6)_DEBTS_FROM_OYL16"/>
      <sheetName val="(7)_SALES_to_OYL16"/>
      <sheetName val="(8)_PURCHASE_FROM_OYL16"/>
      <sheetName val="(9)_ROYALTIES_FROM_OYL16"/>
      <sheetName val="(10)_ROYALTIES_TO_OYL16"/>
      <sheetName val="(11)_NON_OP_INCOME16"/>
      <sheetName val="(12)_NON_OP_EXPENSE16"/>
      <sheetName val="(13)_Sales_by_Countries16"/>
      <sheetName val="(14)_SGA16"/>
      <sheetName val="(15)_CASH_EQUIVALENT16"/>
      <sheetName val="(16)_TANGIBLE_ASSETS16"/>
      <sheetName val="(17)_LONG_TERM_RECEIVABLE16"/>
      <sheetName val="(18)_ALLOWANCE_FOR_BAD_DEBT16"/>
      <sheetName val="(19)_WARRANTY16"/>
      <sheetName val="(20)_OTHER_CURRENT_ASSETS16"/>
      <sheetName val="(21)_PREPAID_EXPENSES16"/>
      <sheetName val="(22)_OTHER_LONG_TERM_ASSETS16"/>
      <sheetName val="(23)_OTHER_ACCRUED_EXPENSES16"/>
      <sheetName val="(24)_OTHER_LONGTERM_LIABILITI16"/>
      <sheetName val="(25)_COLLATERAL16"/>
      <sheetName val="(26)_GUARANTEES16"/>
      <sheetName val="(27)_COMMITMENTS16"/>
      <sheetName val="(28)_RELATED_PARTY_TRANSACTIO16"/>
      <sheetName val="(29)_EMPLOYEE16"/>
      <sheetName val="(30)_DAIKIN_GROUP16"/>
      <sheetName val="(31)_OYL_GROUP16"/>
      <sheetName val="SALES_to_OYL10"/>
      <sheetName val="PURCHASE_from_OYL10"/>
      <sheetName val="(1)_CREDITS_to_DAIKIN_10"/>
      <sheetName val="(2)_DEBTS_FROM_DAIKIN10"/>
      <sheetName val="(3)_SALES_to_DAIKIN10"/>
      <sheetName val="(4)_PURCHASE_from_DAIKIN10"/>
      <sheetName val="(5)_Credits_to_OYL10"/>
      <sheetName val="6)_DEBTS_FROM_OYL10"/>
      <sheetName val="(7)_SALES_to_OYL10"/>
      <sheetName val="(8)_PURCHASE_FROM_OYL10"/>
      <sheetName val="(9)_ROYALTIES_FROM_OYL10"/>
      <sheetName val="(10)_ROYALTIES_TO_OYL10"/>
      <sheetName val="(11)_NON_OP_INCOME10"/>
      <sheetName val="(12)_NON_OP_EXPENSE10"/>
      <sheetName val="(13)_Sales_by_Countries10"/>
      <sheetName val="(14)_SGA10"/>
      <sheetName val="(15)_CASH_EQUIVALENT10"/>
      <sheetName val="(16)_TANGIBLE_ASSETS10"/>
      <sheetName val="(17)_LONG_TERM_RECEIVABLE10"/>
      <sheetName val="(18)_ALLOWANCE_FOR_BAD_DEBT10"/>
      <sheetName val="(19)_WARRANTY10"/>
      <sheetName val="(20)_OTHER_CURRENT_ASSETS10"/>
      <sheetName val="(21)_PREPAID_EXPENSES10"/>
      <sheetName val="(22)_OTHER_LONG_TERM_ASSETS10"/>
      <sheetName val="(23)_OTHER_ACCRUED_EXPENSES10"/>
      <sheetName val="(24)_OTHER_LONGTERM_LIABILITI10"/>
      <sheetName val="(25)_COLLATERAL10"/>
      <sheetName val="(26)_GUARANTEES10"/>
      <sheetName val="(27)_COMMITMENTS10"/>
      <sheetName val="(28)_RELATED_PARTY_TRANSACTIO10"/>
      <sheetName val="(29)_EMPLOYEE10"/>
      <sheetName val="(30)_DAIKIN_GROUP10"/>
      <sheetName val="(31)_OYL_GROUP10"/>
      <sheetName val="SALES_to_OYL9"/>
      <sheetName val="PURCHASE_from_OYL9"/>
      <sheetName val="(1)_CREDITS_to_DAIKIN_9"/>
      <sheetName val="(2)_DEBTS_FROM_DAIKIN9"/>
      <sheetName val="(3)_SALES_to_DAIKIN9"/>
      <sheetName val="(4)_PURCHASE_from_DAIKIN9"/>
      <sheetName val="(5)_Credits_to_OYL9"/>
      <sheetName val="6)_DEBTS_FROM_OYL9"/>
      <sheetName val="(7)_SALES_to_OYL9"/>
      <sheetName val="(8)_PURCHASE_FROM_OYL9"/>
      <sheetName val="(9)_ROYALTIES_FROM_OYL9"/>
      <sheetName val="(10)_ROYALTIES_TO_OYL9"/>
      <sheetName val="(11)_NON_OP_INCOME9"/>
      <sheetName val="(12)_NON_OP_EXPENSE9"/>
      <sheetName val="(13)_Sales_by_Countries9"/>
      <sheetName val="(14)_SGA9"/>
      <sheetName val="(15)_CASH_EQUIVALENT9"/>
      <sheetName val="(16)_TANGIBLE_ASSETS9"/>
      <sheetName val="(17)_LONG_TERM_RECEIVABLE9"/>
      <sheetName val="(18)_ALLOWANCE_FOR_BAD_DEBT9"/>
      <sheetName val="(19)_WARRANTY9"/>
      <sheetName val="(20)_OTHER_CURRENT_ASSETS9"/>
      <sheetName val="(21)_PREPAID_EXPENSES9"/>
      <sheetName val="(22)_OTHER_LONG_TERM_ASSETS9"/>
      <sheetName val="(23)_OTHER_ACCRUED_EXPENSES9"/>
      <sheetName val="(24)_OTHER_LONGTERM_LIABILITIE9"/>
      <sheetName val="(25)_COLLATERAL9"/>
      <sheetName val="(26)_GUARANTEES9"/>
      <sheetName val="(27)_COMMITMENTS9"/>
      <sheetName val="(28)_RELATED_PARTY_TRANSACTION9"/>
      <sheetName val="(29)_EMPLOYEE9"/>
      <sheetName val="(30)_DAIKIN_GROUP9"/>
      <sheetName val="(31)_OYL_GROUP9"/>
      <sheetName val="SALES_to_OYL11"/>
      <sheetName val="PURCHASE_from_OYL11"/>
      <sheetName val="(1)_CREDITS_to_DAIKIN_11"/>
      <sheetName val="(2)_DEBTS_FROM_DAIKIN11"/>
      <sheetName val="(3)_SALES_to_DAIKIN11"/>
      <sheetName val="(4)_PURCHASE_from_DAIKIN11"/>
      <sheetName val="(5)_Credits_to_OYL11"/>
      <sheetName val="6)_DEBTS_FROM_OYL11"/>
      <sheetName val="(7)_SALES_to_OYL11"/>
      <sheetName val="(8)_PURCHASE_FROM_OYL11"/>
      <sheetName val="(9)_ROYALTIES_FROM_OYL11"/>
      <sheetName val="(10)_ROYALTIES_TO_OYL11"/>
      <sheetName val="(11)_NON_OP_INCOME11"/>
      <sheetName val="(12)_NON_OP_EXPENSE11"/>
      <sheetName val="(13)_Sales_by_Countries11"/>
      <sheetName val="(14)_SGA11"/>
      <sheetName val="(15)_CASH_EQUIVALENT11"/>
      <sheetName val="(16)_TANGIBLE_ASSETS11"/>
      <sheetName val="(17)_LONG_TERM_RECEIVABLE11"/>
      <sheetName val="(18)_ALLOWANCE_FOR_BAD_DEBT11"/>
      <sheetName val="(19)_WARRANTY11"/>
      <sheetName val="(20)_OTHER_CURRENT_ASSETS11"/>
      <sheetName val="(21)_PREPAID_EXPENSES11"/>
      <sheetName val="(22)_OTHER_LONG_TERM_ASSETS11"/>
      <sheetName val="(23)_OTHER_ACCRUED_EXPENSES11"/>
      <sheetName val="(24)_OTHER_LONGTERM_LIABILITI11"/>
      <sheetName val="(25)_COLLATERAL11"/>
      <sheetName val="(26)_GUARANTEES11"/>
      <sheetName val="(27)_COMMITMENTS11"/>
      <sheetName val="(28)_RELATED_PARTY_TRANSACTIO11"/>
      <sheetName val="(29)_EMPLOYEE11"/>
      <sheetName val="(30)_DAIKIN_GROUP11"/>
      <sheetName val="(31)_OYL_GROUP11"/>
      <sheetName val="SALES_to_OYL12"/>
      <sheetName val="PURCHASE_from_OYL12"/>
      <sheetName val="(1)_CREDITS_to_DAIKIN_12"/>
      <sheetName val="(2)_DEBTS_FROM_DAIKIN12"/>
      <sheetName val="(3)_SALES_to_DAIKIN12"/>
      <sheetName val="(4)_PURCHASE_from_DAIKIN12"/>
      <sheetName val="(5)_Credits_to_OYL12"/>
      <sheetName val="6)_DEBTS_FROM_OYL12"/>
      <sheetName val="(7)_SALES_to_OYL12"/>
      <sheetName val="(8)_PURCHASE_FROM_OYL12"/>
      <sheetName val="(9)_ROYALTIES_FROM_OYL12"/>
      <sheetName val="(10)_ROYALTIES_TO_OYL12"/>
      <sheetName val="(11)_NON_OP_INCOME12"/>
      <sheetName val="(12)_NON_OP_EXPENSE12"/>
      <sheetName val="(13)_Sales_by_Countries12"/>
      <sheetName val="(14)_SGA12"/>
      <sheetName val="(15)_CASH_EQUIVALENT12"/>
      <sheetName val="(16)_TANGIBLE_ASSETS12"/>
      <sheetName val="(17)_LONG_TERM_RECEIVABLE12"/>
      <sheetName val="(18)_ALLOWANCE_FOR_BAD_DEBT12"/>
      <sheetName val="(19)_WARRANTY12"/>
      <sheetName val="(20)_OTHER_CURRENT_ASSETS12"/>
      <sheetName val="(21)_PREPAID_EXPENSES12"/>
      <sheetName val="(22)_OTHER_LONG_TERM_ASSETS12"/>
      <sheetName val="(23)_OTHER_ACCRUED_EXPENSES12"/>
      <sheetName val="(24)_OTHER_LONGTERM_LIABILITI12"/>
      <sheetName val="(25)_COLLATERAL12"/>
      <sheetName val="(26)_GUARANTEES12"/>
      <sheetName val="(27)_COMMITMENTS12"/>
      <sheetName val="(28)_RELATED_PARTY_TRANSACTIO12"/>
      <sheetName val="(29)_EMPLOYEE12"/>
      <sheetName val="(30)_DAIKIN_GROUP12"/>
      <sheetName val="(31)_OYL_GROUP12"/>
      <sheetName val="SALES_to_OYL15"/>
      <sheetName val="PURCHASE_from_OYL15"/>
      <sheetName val="(1)_CREDITS_to_DAIKIN_15"/>
      <sheetName val="(2)_DEBTS_FROM_DAIKIN15"/>
      <sheetName val="(3)_SALES_to_DAIKIN15"/>
      <sheetName val="(4)_PURCHASE_from_DAIKIN15"/>
      <sheetName val="(5)_Credits_to_OYL15"/>
      <sheetName val="6)_DEBTS_FROM_OYL15"/>
      <sheetName val="(7)_SALES_to_OYL15"/>
      <sheetName val="(8)_PURCHASE_FROM_OYL15"/>
      <sheetName val="(9)_ROYALTIES_FROM_OYL15"/>
      <sheetName val="(10)_ROYALTIES_TO_OYL15"/>
      <sheetName val="(11)_NON_OP_INCOME15"/>
      <sheetName val="(12)_NON_OP_EXPENSE15"/>
      <sheetName val="(13)_Sales_by_Countries15"/>
      <sheetName val="(14)_SGA15"/>
      <sheetName val="(15)_CASH_EQUIVALENT15"/>
      <sheetName val="(16)_TANGIBLE_ASSETS15"/>
      <sheetName val="(17)_LONG_TERM_RECEIVABLE15"/>
      <sheetName val="(18)_ALLOWANCE_FOR_BAD_DEBT15"/>
      <sheetName val="(19)_WARRANTY15"/>
      <sheetName val="(20)_OTHER_CURRENT_ASSETS15"/>
      <sheetName val="(21)_PREPAID_EXPENSES15"/>
      <sheetName val="(22)_OTHER_LONG_TERM_ASSETS15"/>
      <sheetName val="(23)_OTHER_ACCRUED_EXPENSES15"/>
      <sheetName val="(24)_OTHER_LONGTERM_LIABILITI15"/>
      <sheetName val="(25)_COLLATERAL15"/>
      <sheetName val="(26)_GUARANTEES15"/>
      <sheetName val="(27)_COMMITMENTS15"/>
      <sheetName val="(28)_RELATED_PARTY_TRANSACTIO15"/>
      <sheetName val="(29)_EMPLOYEE15"/>
      <sheetName val="(30)_DAIKIN_GROUP15"/>
      <sheetName val="(31)_OYL_GROUP15"/>
      <sheetName val="SALES_to_OYL13"/>
      <sheetName val="PURCHASE_from_OYL13"/>
      <sheetName val="(1)_CREDITS_to_DAIKIN_13"/>
      <sheetName val="(2)_DEBTS_FROM_DAIKIN13"/>
      <sheetName val="(3)_SALES_to_DAIKIN13"/>
      <sheetName val="(4)_PURCHASE_from_DAIKIN13"/>
      <sheetName val="(5)_Credits_to_OYL13"/>
      <sheetName val="6)_DEBTS_FROM_OYL13"/>
      <sheetName val="(7)_SALES_to_OYL13"/>
      <sheetName val="(8)_PURCHASE_FROM_OYL13"/>
      <sheetName val="(9)_ROYALTIES_FROM_OYL13"/>
      <sheetName val="(10)_ROYALTIES_TO_OYL13"/>
      <sheetName val="(11)_NON_OP_INCOME13"/>
      <sheetName val="(12)_NON_OP_EXPENSE13"/>
      <sheetName val="(13)_Sales_by_Countries13"/>
      <sheetName val="(14)_SGA13"/>
      <sheetName val="(15)_CASH_EQUIVALENT13"/>
      <sheetName val="(16)_TANGIBLE_ASSETS13"/>
      <sheetName val="(17)_LONG_TERM_RECEIVABLE13"/>
      <sheetName val="(18)_ALLOWANCE_FOR_BAD_DEBT13"/>
      <sheetName val="(19)_WARRANTY13"/>
      <sheetName val="(20)_OTHER_CURRENT_ASSETS13"/>
      <sheetName val="(21)_PREPAID_EXPENSES13"/>
      <sheetName val="(22)_OTHER_LONG_TERM_ASSETS13"/>
      <sheetName val="(23)_OTHER_ACCRUED_EXPENSES13"/>
      <sheetName val="(24)_OTHER_LONGTERM_LIABILITI13"/>
      <sheetName val="(25)_COLLATERAL13"/>
      <sheetName val="(26)_GUARANTEES13"/>
      <sheetName val="(27)_COMMITMENTS13"/>
      <sheetName val="(28)_RELATED_PARTY_TRANSACTIO13"/>
      <sheetName val="(29)_EMPLOYEE13"/>
      <sheetName val="(30)_DAIKIN_GROUP13"/>
      <sheetName val="(31)_OYL_GROUP13"/>
      <sheetName val="SALES_to_OYL14"/>
      <sheetName val="PURCHASE_from_OYL14"/>
      <sheetName val="(1)_CREDITS_to_DAIKIN_14"/>
      <sheetName val="(2)_DEBTS_FROM_DAIKIN14"/>
      <sheetName val="(3)_SALES_to_DAIKIN14"/>
      <sheetName val="(4)_PURCHASE_from_DAIKIN14"/>
      <sheetName val="(5)_Credits_to_OYL14"/>
      <sheetName val="6)_DEBTS_FROM_OYL14"/>
      <sheetName val="(7)_SALES_to_OYL14"/>
      <sheetName val="(8)_PURCHASE_FROM_OYL14"/>
      <sheetName val="(9)_ROYALTIES_FROM_OYL14"/>
      <sheetName val="(10)_ROYALTIES_TO_OYL14"/>
      <sheetName val="(11)_NON_OP_INCOME14"/>
      <sheetName val="(12)_NON_OP_EXPENSE14"/>
      <sheetName val="(13)_Sales_by_Countries14"/>
      <sheetName val="(14)_SGA14"/>
      <sheetName val="(15)_CASH_EQUIVALENT14"/>
      <sheetName val="(16)_TANGIBLE_ASSETS14"/>
      <sheetName val="(17)_LONG_TERM_RECEIVABLE14"/>
      <sheetName val="(18)_ALLOWANCE_FOR_BAD_DEBT14"/>
      <sheetName val="(19)_WARRANTY14"/>
      <sheetName val="(20)_OTHER_CURRENT_ASSETS14"/>
      <sheetName val="(21)_PREPAID_EXPENSES14"/>
      <sheetName val="(22)_OTHER_LONG_TERM_ASSETS14"/>
      <sheetName val="(23)_OTHER_ACCRUED_EXPENSES14"/>
      <sheetName val="(24)_OTHER_LONGTERM_LIABILITI14"/>
      <sheetName val="(25)_COLLATERAL14"/>
      <sheetName val="(26)_GUARANTEES14"/>
      <sheetName val="(27)_COMMITMENTS14"/>
      <sheetName val="(28)_RELATED_PARTY_TRANSACTIO14"/>
      <sheetName val="(29)_EMPLOYEE14"/>
      <sheetName val="(30)_DAIKIN_GROUP14"/>
      <sheetName val="(31)_OYL_GROUP14"/>
      <sheetName val="SALES_to_OYL17"/>
      <sheetName val="PURCHASE_from_OYL17"/>
      <sheetName val="(1)_CREDITS_to_DAIKIN_17"/>
      <sheetName val="(2)_DEBTS_FROM_DAIKIN17"/>
      <sheetName val="(3)_SALES_to_DAIKIN17"/>
      <sheetName val="(4)_PURCHASE_from_DAIKIN17"/>
      <sheetName val="(5)_Credits_to_OYL17"/>
      <sheetName val="6)_DEBTS_FROM_OYL17"/>
      <sheetName val="(7)_SALES_to_OYL17"/>
      <sheetName val="(8)_PURCHASE_FROM_OYL17"/>
      <sheetName val="(9)_ROYALTIES_FROM_OYL17"/>
      <sheetName val="(10)_ROYALTIES_TO_OYL17"/>
      <sheetName val="(11)_NON_OP_INCOME17"/>
      <sheetName val="(12)_NON_OP_EXPENSE17"/>
      <sheetName val="(13)_Sales_by_Countries17"/>
      <sheetName val="(14)_SGA17"/>
      <sheetName val="(15)_CASH_EQUIVALENT17"/>
      <sheetName val="(16)_TANGIBLE_ASSETS17"/>
      <sheetName val="(17)_LONG_TERM_RECEIVABLE17"/>
      <sheetName val="(18)_ALLOWANCE_FOR_BAD_DEBT17"/>
      <sheetName val="(19)_WARRANTY17"/>
      <sheetName val="(20)_OTHER_CURRENT_ASSETS17"/>
      <sheetName val="(21)_PREPAID_EXPENSES17"/>
      <sheetName val="(22)_OTHER_LONG_TERM_ASSETS17"/>
      <sheetName val="(23)_OTHER_ACCRUED_EXPENSES17"/>
      <sheetName val="(24)_OTHER_LONGTERM_LIABILITI17"/>
      <sheetName val="(25)_COLLATERAL17"/>
      <sheetName val="(26)_GUARANTEES17"/>
      <sheetName val="(27)_COMMITMENTS17"/>
      <sheetName val="(28)_RELATED_PARTY_TRANSACTIO17"/>
      <sheetName val="(29)_EMPLOYEE17"/>
      <sheetName val="(30)_DAIKIN_GROUP17"/>
      <sheetName val="(31)_OYL_GROUP17"/>
      <sheetName val="SALES_to_OYL18"/>
      <sheetName val="PURCHASE_from_OYL18"/>
      <sheetName val="(1)_CREDITS_to_DAIKIN_18"/>
      <sheetName val="(2)_DEBTS_FROM_DAIKIN18"/>
      <sheetName val="(3)_SALES_to_DAIKIN18"/>
      <sheetName val="(4)_PURCHASE_from_DAIKIN18"/>
      <sheetName val="(5)_Credits_to_OYL18"/>
      <sheetName val="6)_DEBTS_FROM_OYL18"/>
      <sheetName val="(7)_SALES_to_OYL18"/>
      <sheetName val="(8)_PURCHASE_FROM_OYL18"/>
      <sheetName val="(9)_ROYALTIES_FROM_OYL18"/>
      <sheetName val="(10)_ROYALTIES_TO_OYL18"/>
      <sheetName val="(11)_NON_OP_INCOME18"/>
      <sheetName val="(12)_NON_OP_EXPENSE18"/>
      <sheetName val="(13)_Sales_by_Countries18"/>
      <sheetName val="(14)_SGA18"/>
      <sheetName val="(15)_CASH_EQUIVALENT18"/>
      <sheetName val="(16)_TANGIBLE_ASSETS18"/>
      <sheetName val="(17)_LONG_TERM_RECEIVABLE18"/>
      <sheetName val="(18)_ALLOWANCE_FOR_BAD_DEBT18"/>
      <sheetName val="(19)_WARRANTY18"/>
      <sheetName val="(20)_OTHER_CURRENT_ASSETS18"/>
      <sheetName val="(21)_PREPAID_EXPENSES18"/>
      <sheetName val="(22)_OTHER_LONG_TERM_ASSETS18"/>
      <sheetName val="(23)_OTHER_ACCRUED_EXPENSES18"/>
      <sheetName val="(24)_OTHER_LONGTERM_LIABILITI18"/>
      <sheetName val="(25)_COLLATERAL18"/>
      <sheetName val="(26)_GUARANTEES18"/>
      <sheetName val="(27)_COMMITMENTS18"/>
      <sheetName val="(28)_RELATED_PARTY_TRANSACTIO18"/>
      <sheetName val="(29)_EMPLOYEE18"/>
      <sheetName val="(30)_DAIKIN_GROUP18"/>
      <sheetName val="(31)_OYL_GROUP18"/>
      <sheetName val="SALES_to_OYL19"/>
      <sheetName val="PURCHASE_from_OYL19"/>
      <sheetName val="(1)_CREDITS_to_DAIKIN_19"/>
      <sheetName val="(2)_DEBTS_FROM_DAIKIN19"/>
      <sheetName val="(3)_SALES_to_DAIKIN19"/>
      <sheetName val="(4)_PURCHASE_from_DAIKIN19"/>
      <sheetName val="(5)_Credits_to_OYL19"/>
      <sheetName val="6)_DEBTS_FROM_OYL19"/>
      <sheetName val="(7)_SALES_to_OYL19"/>
      <sheetName val="(8)_PURCHASE_FROM_OYL19"/>
      <sheetName val="(9)_ROYALTIES_FROM_OYL19"/>
      <sheetName val="(10)_ROYALTIES_TO_OYL19"/>
      <sheetName val="(11)_NON_OP_INCOME19"/>
      <sheetName val="(12)_NON_OP_EXPENSE19"/>
      <sheetName val="(13)_Sales_by_Countries19"/>
      <sheetName val="(14)_SGA19"/>
      <sheetName val="(15)_CASH_EQUIVALENT19"/>
      <sheetName val="(16)_TANGIBLE_ASSETS19"/>
      <sheetName val="(17)_LONG_TERM_RECEIVABLE19"/>
      <sheetName val="(18)_ALLOWANCE_FOR_BAD_DEBT19"/>
      <sheetName val="(19)_WARRANTY19"/>
      <sheetName val="(20)_OTHER_CURRENT_ASSETS19"/>
      <sheetName val="(21)_PREPAID_EXPENSES19"/>
      <sheetName val="(22)_OTHER_LONG_TERM_ASSETS19"/>
      <sheetName val="(23)_OTHER_ACCRUED_EXPENSES19"/>
      <sheetName val="(24)_OTHER_LONGTERM_LIABILITI19"/>
      <sheetName val="(25)_COLLATERAL19"/>
      <sheetName val="(26)_GUARANTEES19"/>
      <sheetName val="(27)_COMMITMENTS19"/>
      <sheetName val="(28)_RELATED_PARTY_TRANSACTIO19"/>
      <sheetName val="(29)_EMPLOYEE19"/>
      <sheetName val="(30)_DAIKIN_GROUP19"/>
      <sheetName val="(31)_OYL_GROUP19"/>
      <sheetName val="SALES_to_OYL20"/>
      <sheetName val="PURCHASE_from_OYL20"/>
      <sheetName val="(1)_CREDITS_to_DAIKIN_20"/>
      <sheetName val="(2)_DEBTS_FROM_DAIKIN20"/>
      <sheetName val="(3)_SALES_to_DAIKIN20"/>
      <sheetName val="(4)_PURCHASE_from_DAIKIN20"/>
      <sheetName val="(5)_Credits_to_OYL20"/>
      <sheetName val="6)_DEBTS_FROM_OYL20"/>
      <sheetName val="(7)_SALES_to_OYL20"/>
      <sheetName val="(8)_PURCHASE_FROM_OYL20"/>
      <sheetName val="(9)_ROYALTIES_FROM_OYL20"/>
      <sheetName val="(10)_ROYALTIES_TO_OYL20"/>
      <sheetName val="(11)_NON_OP_INCOME20"/>
      <sheetName val="(12)_NON_OP_EXPENSE20"/>
      <sheetName val="(13)_Sales_by_Countries20"/>
      <sheetName val="(14)_SGA20"/>
      <sheetName val="(15)_CASH_EQUIVALENT20"/>
      <sheetName val="(16)_TANGIBLE_ASSETS20"/>
      <sheetName val="(17)_LONG_TERM_RECEIVABLE20"/>
      <sheetName val="(18)_ALLOWANCE_FOR_BAD_DEBT20"/>
      <sheetName val="(19)_WARRANTY20"/>
      <sheetName val="(20)_OTHER_CURRENT_ASSETS20"/>
      <sheetName val="(21)_PREPAID_EXPENSES20"/>
      <sheetName val="(22)_OTHER_LONG_TERM_ASSETS20"/>
      <sheetName val="(23)_OTHER_ACCRUED_EXPENSES20"/>
      <sheetName val="(24)_OTHER_LONGTERM_LIABILITI20"/>
      <sheetName val="(25)_COLLATERAL20"/>
      <sheetName val="(26)_GUARANTEES20"/>
      <sheetName val="(27)_COMMITMENTS20"/>
      <sheetName val="(28)_RELATED_PARTY_TRANSACTIO20"/>
      <sheetName val="(29)_EMPLOYEE20"/>
      <sheetName val="(30)_DAIKIN_GROUP20"/>
      <sheetName val="(31)_OYL_GROUP20"/>
      <sheetName val="SALES_to_OYL21"/>
      <sheetName val="PURCHASE_from_OYL21"/>
      <sheetName val="(1)_CREDITS_to_DAIKIN_21"/>
      <sheetName val="(2)_DEBTS_FROM_DAIKIN21"/>
      <sheetName val="(3)_SALES_to_DAIKIN21"/>
      <sheetName val="(4)_PURCHASE_from_DAIKIN21"/>
      <sheetName val="(5)_Credits_to_OYL21"/>
      <sheetName val="6)_DEBTS_FROM_OYL21"/>
      <sheetName val="(7)_SALES_to_OYL21"/>
      <sheetName val="(8)_PURCHASE_FROM_OYL21"/>
      <sheetName val="(9)_ROYALTIES_FROM_OYL21"/>
      <sheetName val="(10)_ROYALTIES_TO_OYL21"/>
      <sheetName val="(11)_NON_OP_INCOME21"/>
      <sheetName val="(12)_NON_OP_EXPENSE21"/>
      <sheetName val="(13)_Sales_by_Countries21"/>
      <sheetName val="(14)_SGA21"/>
      <sheetName val="(15)_CASH_EQUIVALENT21"/>
      <sheetName val="(16)_TANGIBLE_ASSETS21"/>
      <sheetName val="(17)_LONG_TERM_RECEIVABLE21"/>
      <sheetName val="(18)_ALLOWANCE_FOR_BAD_DEBT21"/>
      <sheetName val="(19)_WARRANTY21"/>
      <sheetName val="(20)_OTHER_CURRENT_ASSETS21"/>
      <sheetName val="(21)_PREPAID_EXPENSES21"/>
      <sheetName val="(22)_OTHER_LONG_TERM_ASSETS21"/>
      <sheetName val="(23)_OTHER_ACCRUED_EXPENSES21"/>
      <sheetName val="(24)_OTHER_LONGTERM_LIABILITI21"/>
      <sheetName val="(25)_COLLATERAL21"/>
      <sheetName val="(26)_GUARANTEES21"/>
      <sheetName val="(27)_COMMITMENTS21"/>
      <sheetName val="(28)_RELATED_PARTY_TRANSACTIO21"/>
      <sheetName val="(29)_EMPLOYEE21"/>
      <sheetName val="(30)_DAIKIN_GROUP21"/>
      <sheetName val="(31)_OYL_GROUP21"/>
      <sheetName val="SALES_to_OYL22"/>
      <sheetName val="PURCHASE_from_OYL22"/>
      <sheetName val="(1)_CREDITS_to_DAIKIN_22"/>
      <sheetName val="(2)_DEBTS_FROM_DAIKIN22"/>
      <sheetName val="(3)_SALES_to_DAIKIN22"/>
      <sheetName val="(4)_PURCHASE_from_DAIKIN22"/>
      <sheetName val="(5)_Credits_to_OYL22"/>
      <sheetName val="6)_DEBTS_FROM_OYL22"/>
      <sheetName val="(7)_SALES_to_OYL22"/>
      <sheetName val="(8)_PURCHASE_FROM_OYL22"/>
      <sheetName val="(9)_ROYALTIES_FROM_OYL22"/>
      <sheetName val="(10)_ROYALTIES_TO_OYL22"/>
      <sheetName val="(11)_NON_OP_INCOME22"/>
      <sheetName val="(12)_NON_OP_EXPENSE22"/>
      <sheetName val="(13)_Sales_by_Countries22"/>
      <sheetName val="(14)_SGA22"/>
      <sheetName val="(15)_CASH_EQUIVALENT22"/>
      <sheetName val="(16)_TANGIBLE_ASSETS22"/>
      <sheetName val="(17)_LONG_TERM_RECEIVABLE22"/>
      <sheetName val="(18)_ALLOWANCE_FOR_BAD_DEBT22"/>
      <sheetName val="(19)_WARRANTY22"/>
      <sheetName val="(20)_OTHER_CURRENT_ASSETS22"/>
      <sheetName val="(21)_PREPAID_EXPENSES22"/>
      <sheetName val="(22)_OTHER_LONG_TERM_ASSETS22"/>
      <sheetName val="(23)_OTHER_ACCRUED_EXPENSES22"/>
      <sheetName val="(24)_OTHER_LONGTERM_LIABILITI22"/>
      <sheetName val="(25)_COLLATERAL22"/>
      <sheetName val="(26)_GUARANTEES22"/>
      <sheetName val="(27)_COMMITMENTS22"/>
      <sheetName val="(28)_RELATED_PARTY_TRANSACTIO22"/>
      <sheetName val="(29)_EMPLOYEE22"/>
      <sheetName val="(30)_DAIKIN_GROUP22"/>
      <sheetName val="(31)_OYL_GROUP22"/>
      <sheetName val="SALES_to_OYL23"/>
      <sheetName val="PURCHASE_from_OYL23"/>
      <sheetName val="(1)_CREDITS_to_DAIKIN_23"/>
      <sheetName val="(2)_DEBTS_FROM_DAIKIN23"/>
      <sheetName val="(3)_SALES_to_DAIKIN23"/>
      <sheetName val="(4)_PURCHASE_from_DAIKIN23"/>
      <sheetName val="(5)_Credits_to_OYL23"/>
      <sheetName val="6)_DEBTS_FROM_OYL23"/>
      <sheetName val="(7)_SALES_to_OYL23"/>
      <sheetName val="(8)_PURCHASE_FROM_OYL23"/>
      <sheetName val="(9)_ROYALTIES_FROM_OYL23"/>
      <sheetName val="(10)_ROYALTIES_TO_OYL23"/>
      <sheetName val="(11)_NON_OP_INCOME23"/>
      <sheetName val="(12)_NON_OP_EXPENSE23"/>
      <sheetName val="(13)_Sales_by_Countries23"/>
      <sheetName val="(14)_SGA23"/>
      <sheetName val="(15)_CASH_EQUIVALENT23"/>
      <sheetName val="(16)_TANGIBLE_ASSETS23"/>
      <sheetName val="(17)_LONG_TERM_RECEIVABLE23"/>
      <sheetName val="(18)_ALLOWANCE_FOR_BAD_DEBT23"/>
      <sheetName val="(19)_WARRANTY23"/>
      <sheetName val="(20)_OTHER_CURRENT_ASSETS23"/>
      <sheetName val="(21)_PREPAID_EXPENSES23"/>
      <sheetName val="(22)_OTHER_LONG_TERM_ASSETS23"/>
      <sheetName val="(23)_OTHER_ACCRUED_EXPENSES23"/>
      <sheetName val="(24)_OTHER_LONGTERM_LIABILITI23"/>
      <sheetName val="(25)_COLLATERAL23"/>
      <sheetName val="(26)_GUARANTEES23"/>
      <sheetName val="(27)_COMMITMENTS23"/>
      <sheetName val="(28)_RELATED_PARTY_TRANSACTIO23"/>
      <sheetName val="(29)_EMPLOYEE23"/>
      <sheetName val="(30)_DAIKIN_GROUP23"/>
      <sheetName val="(31)_OYL_GROUP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sheetData sheetId="130"/>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2010 report"/>
      <sheetName val="2011 report"/>
      <sheetName val="PROJECTS LIST"/>
      <sheetName val="Main Project 2010"/>
      <sheetName val="Main Project 2011"/>
      <sheetName val="Delivered"/>
      <sheetName val="Config"/>
      <sheetName val="Channel"/>
      <sheetName val="Spec-in Guide"/>
      <sheetName val="2010_report"/>
      <sheetName val="2011_report"/>
      <sheetName val="PROJECTS_LIST"/>
      <sheetName val="Main_Project_2010"/>
      <sheetName val="Main_Project_2011"/>
      <sheetName val="PIVOT"/>
      <sheetName val="2012 report"/>
      <sheetName val="Main Project 2012"/>
      <sheetName val="2012_report"/>
      <sheetName val="Main_Project_2012"/>
      <sheetName val="1.2. FY18 Forecast"/>
      <sheetName val="6.InqComposition"/>
      <sheetName val="7'.ITM VAM"/>
      <sheetName val="9'.Won ratio"/>
      <sheetName val="WON ANALYSIS"/>
      <sheetName val="WONLIST"/>
      <sheetName val="LOST ANALYSIS"/>
      <sheetName val="LOST LIST"/>
      <sheetName val="STATUS DEFINITION"/>
      <sheetName val="Definition Forecast"/>
      <sheetName val="Spec-in DefinitionRev 4.2"/>
      <sheetName val="Won Job by price"/>
      <sheetName val="WON JOB LIST"/>
      <sheetName val="LOST JOB LIST"/>
      <sheetName val="Sourse"/>
      <sheetName val="CHANGE SBU"/>
      <sheetName val="WON LOST RATIO"/>
      <sheetName val="Sheet1"/>
      <sheetName val="FY13 FCT"/>
      <sheetName val="FY14 FCT"/>
      <sheetName val="TTL VRV ENQURIES"/>
      <sheetName val="FY13 VRV ENQUIRIES"/>
      <sheetName val="ENQUIRIES MOVEMENT"/>
      <sheetName val="SEP.13 VRV DELIVERY "/>
      <sheetName val="FY14 VRV ENQUIRIES"/>
      <sheetName val="WON LIST"/>
      <sheetName val="NEW ORDER"/>
      <sheetName val="OUTSTANDING"/>
      <sheetName val="1.Weekly visiting (for SE)"/>
      <sheetName val="2. Spec-in List (for SE)"/>
      <sheetName val="3. Support List (for ES)"/>
      <sheetName val="Defination"/>
      <sheetName val="1. SPEC-IN PROGRESS"/>
      <sheetName val="1.1 Visiting Summary"/>
      <sheetName val="3.1 Support summary"/>
      <sheetName val="4. Spec-in Result FCT"/>
      <sheetName val="6.Others"/>
      <sheetName val="1.2 Won ratio"/>
      <sheetName val="2.1 Spec-in List by status"/>
      <sheetName val="2004"/>
      <sheetName val="INV."/>
      <sheetName val="MARKET"/>
      <sheetName val="Summary 2003"/>
      <sheetName val="Budget params"/>
      <sheetName val="0000000"/>
      <sheetName val="SALES"/>
      <sheetName val="REPORT-1 "/>
      <sheetName val="REPORT-2"/>
      <sheetName val="SPLTDCON"/>
      <sheetName val="SKYADCON"/>
      <sheetName val="SPLTDFCU"/>
      <sheetName val="SKYADFCU"/>
      <sheetName val="PACKCCON"/>
      <sheetName val="PACKCFCU"/>
      <sheetName val="SSS1"/>
      <sheetName val="SSS2"/>
      <sheetName val="99 v 00"/>
      <sheetName val="BANK"/>
      <sheetName val="CashFlow"/>
      <sheetName val="1999"/>
      <sheetName val="2000"/>
      <sheetName val="Receivable"/>
      <sheetName val="Form1"/>
      <sheetName val="Form 2"/>
      <sheetName val="x"/>
      <sheetName val="1.FY18 Forecast (2)"/>
      <sheetName val="1.FY18 Forecast"/>
      <sheetName val="2.FY18 Inq Summary&amp;Rolling"/>
      <sheetName val="3.TTL Inq Summary"/>
      <sheetName val="3'.ENQUIRY Summary CDU Type"/>
      <sheetName val="Necessry. Inq"/>
      <sheetName val="4.Spec-in by SE"/>
      <sheetName val="5.Spec-in project list"/>
      <sheetName val="8'.HYBRID"/>
      <sheetName val="1. FY17 Result"/>
      <sheetName val="1.1. FY18 Forecast"/>
      <sheetName val="工作表1"/>
      <sheetName val="工作表2"/>
      <sheetName val="Summary 2013"/>
      <sheetName val="Main Project 2013"/>
      <sheetName val="COST"/>
      <sheetName val="MODELN"/>
      <sheetName val="AC REDUCED 1"/>
      <sheetName val="SAN REDUCED 1"/>
      <sheetName val="VRV_Cost (ต้นฉบับ)"/>
      <sheetName val="VF"/>
      <sheetName val="VF_Table"/>
      <sheetName val="factor(due to design temp.)"/>
      <sheetName val="Split_Piping Cost"/>
      <sheetName val="AC"/>
      <sheetName val="Spec"/>
      <sheetName val="AC_Table"/>
      <sheetName val="VRV_Piping Cost"/>
      <sheetName val="EE_Table"/>
      <sheetName val="VRV Boq_cover (2)"/>
      <sheetName val="VRV Boq_cover"/>
      <sheetName val="VRV Boq"/>
      <sheetName val="Additional Boq_cover"/>
      <sheetName val="Additional Boq"/>
      <sheetName val="material_mar6,2003"/>
      <sheetName val="KeyIn"/>
      <sheetName val="Data"/>
      <sheetName val="DRAWING"/>
      <sheetName val="SCOPE"/>
      <sheetName val="COVER"/>
      <sheetName val="SALING"/>
      <sheetName val="RESULT"/>
      <sheetName val="UNIT_P"/>
      <sheetName val="F&amp;S"/>
      <sheetName val="Macro1"/>
      <sheetName val="p_SUM  (2)"/>
      <sheetName val="P_A (2)"/>
      <sheetName val="P_B  (2)"/>
      <sheetName val="P_C  (2)"/>
      <sheetName val="p_SUM "/>
      <sheetName val="P_A"/>
      <sheetName val="P_B "/>
      <sheetName val="P_C "/>
      <sheetName val="C_SUM"/>
      <sheetName val="C_A"/>
      <sheetName val="C_B"/>
      <sheetName val="C_C"/>
      <sheetName val="MODELNF"/>
      <sheetName val="p_日バッチt"/>
      <sheetName val="DATA-P3 "/>
      <sheetName val="Sum"/>
      <sheetName val="Air-East"/>
      <sheetName val="Air-West"/>
      <sheetName val="Concourse-A"/>
      <sheetName val="Concourse-B"/>
      <sheetName val="Concourse-C"/>
      <sheetName val="Concourse-D"/>
      <sheetName val="Concourse-E"/>
      <sheetName val="Concourse-F"/>
      <sheetName val="Concourse-G"/>
      <sheetName val="Import"/>
      <sheetName val="MODEL"/>
      <sheetName val="FY13Spec-in Result"/>
      <sheetName val="FY14Spec-in Result"/>
      <sheetName val="Sheet2"/>
      <sheetName val="SpecinReport2"/>
      <sheetName val="Sheet3"/>
      <sheetName val="Spec-in comparison"/>
      <sheetName val="Spec-inFY13Oct-Mar"/>
      <sheetName val="Spec-inFY14Apr-Sep"/>
      <sheetName val="Spec-inFY14Oct-Dec"/>
      <sheetName val="Sheet4"/>
      <sheetName val="Spec-in Information"/>
      <sheetName val="Identify small Project"/>
      <sheetName val="Daikin Consultant"/>
      <sheetName val="Daikin Dealer"/>
      <sheetName val="cleaned"/>
      <sheetName val="USERS GUIDE"/>
      <sheetName val="Presentation sheet"/>
      <sheetName val="Management indicators"/>
      <sheetName val="INPUT 01"/>
      <sheetName val="INPUT 02"/>
      <sheetName val="INPUT BUDGET"/>
      <sheetName val="balans BUDGET DIL"/>
      <sheetName val="monthlysplit Budget"/>
      <sheetName val="INPUT RB"/>
      <sheetName val="Comparison"/>
      <sheetName val="Investment Forecast 2002"/>
      <sheetName val="Investment Budget 2003"/>
      <sheetName val="F2003_BUDGET"/>
      <sheetName val="F2001_DIL"/>
      <sheetName val="F2002_DIL"/>
      <sheetName val="F2002_FORECAST"/>
      <sheetName val="F2002_REVBUDGET"/>
      <sheetName val="balans F2001 DIL"/>
      <sheetName val="balans F2002 DIL"/>
      <sheetName val="INPUT Forecast"/>
      <sheetName val="balans F2002 Forecast"/>
      <sheetName val="balans REVBUDGET DIL"/>
      <sheetName val="ADKK"/>
      <sheetName val="ADLK"/>
      <sheetName val="ADSTOCK"/>
      <sheetName val="DATA GRAFIEKEN"/>
      <sheetName val="REPORT DIL"/>
      <sheetName val="REPORT balans DIL"/>
      <sheetName val="ONE PAGE REPORT "/>
      <sheetName val="REPORT_PL (EURO)"/>
      <sheetName val=" report balance_(EURO)"/>
      <sheetName val="Input variable"/>
      <sheetName val="VRV"/>
      <sheetName val="(直膨VRV)P48 定量目標（VRV） (JP)"/>
      <sheetName val="(直膨VRV)P48 定量目標（VRV） (EN2)"/>
      <sheetName val="Don't touch Red colour sheet"/>
      <sheetName val="RA_OLD SBU"/>
      <sheetName val="SA_OLD SBU"/>
      <sheetName val="PA"/>
      <sheetName val="RA_New SBU"/>
      <sheetName val="SA_New SBU"/>
      <sheetName val="(直膨VRV)P48 定量目標（VRV） (2)"/>
      <sheetName val="(直膨VRV)P48 定量目標（VRV） (EN)"/>
      <sheetName val="VRV (2)"/>
      <sheetName val="6. MAPPING"/>
      <sheetName val="11.EDDevelopment"/>
      <sheetName val="1. VRV Summary"/>
      <sheetName val="1.1 Project 2014"/>
      <sheetName val="FY14 ENQUIRY Summary"/>
      <sheetName val="FY15 ENQUIRY Summary"/>
      <sheetName val="TTL ENQUIRY Summary"/>
      <sheetName val="1.2 ITC &amp; ITM"/>
      <sheetName val="1.3 VAM &amp; VKM"/>
      <sheetName val="2. VRV Project List"/>
      <sheetName val="3. FY2014 Non-VRV Summary"/>
      <sheetName val="4. Project List NON VRV"/>
      <sheetName val="5. ED Progress RA"/>
      <sheetName val="6. ED Progress SA"/>
      <sheetName val="7. ED Progress PA"/>
      <sheetName val="8. ED Progress VRV"/>
      <sheetName val="ProShop Progress"/>
      <sheetName val="ED Status"/>
      <sheetName val="DASI Dealer Progress VRV"/>
      <sheetName val="9. Lost Job List"/>
      <sheetName val="10. Lost Analysis"/>
      <sheetName val="11. Won Job List"/>
      <sheetName val="12. Won Job Analysis"/>
      <sheetName val="13. VRV Important Project 2015"/>
      <sheetName val="14.Sky Air Important Project"/>
      <sheetName val="18.  RA Important Project"/>
      <sheetName val="22. New ED 2013 - 2"/>
      <sheetName val="Sheet14"/>
      <sheetName val="15. SUD Training Sumary"/>
      <sheetName val="16. DIT Visit"/>
      <sheetName val="Project List"/>
      <sheetName val="Inq Summary"/>
      <sheetName val="ENQUIRY Summary CDU Type"/>
      <sheetName val="Projectlist VRV Surabaya dealer"/>
      <sheetName val="Project List VRV FY2012"/>
      <sheetName val="Report"/>
      <sheetName val="Contents"/>
      <sheetName val="1.FY12 Result"/>
      <sheetName val="2. FY12 Result summary"/>
      <sheetName val="3. FY13 Original Budget"/>
      <sheetName val="4.FY13 Forecast"/>
      <sheetName val="5.FY13 1QT Forecast"/>
      <sheetName val="6.FY13 1QT project list"/>
      <sheetName val="7. Enquiry &amp; Spec-in Hist"/>
      <sheetName val="7. Enquiry &amp; Spec-in budget"/>
      <sheetName val="8.Enquiries Budget "/>
      <sheetName val="9. Spec-in by SE"/>
      <sheetName val="10.FY13 ENQUIRY Summary (2)"/>
      <sheetName val="10.FY13 ENQUIRY Summary"/>
      <sheetName val="11.ENQUIRY Summary spec in"/>
      <sheetName val="12. 2013 ENQUIRY LIST"/>
      <sheetName val="13. 2014 ENQUIRY LIST"/>
      <sheetName val="14.LOST JOB Analysis"/>
      <sheetName val="14-1.Lost Analysis Chart"/>
      <sheetName val="15.KEY SALES STRATEGY"/>
      <sheetName val="16.Market situation"/>
      <sheetName val="17.COMPETITOR"/>
      <sheetName val="18.MANPOWER plam"/>
      <sheetName val="19.SE LIST"/>
      <sheetName val="20.Customer development"/>
      <sheetName val="20-1. Consultant List"/>
      <sheetName val="20-2. Consultant summary"/>
      <sheetName val="21.Training plan"/>
      <sheetName val="22.ACTION PLAN"/>
      <sheetName val="23.ACTION SUMMARY"/>
      <sheetName val="24.Request for products"/>
      <sheetName val="Spec-in definition"/>
      <sheetName val="Consultant evaluation"/>
      <sheetName val="Spec-in project list"/>
      <sheetName val="SPEC-IN PROJ - ALL SBUs"/>
      <sheetName val="ALL SBU LEGEND"/>
      <sheetName val="SALES STATUS DEFINITION"/>
      <sheetName val="MONTH"/>
      <sheetName val="CDWP"/>
      <sheetName val="CWP"/>
      <sheetName val="working summary"/>
      <sheetName val="OS310519"/>
      <sheetName val="Salesman"/>
      <sheetName val="SBU summary"/>
      <sheetName val="AP-MAY"/>
      <sheetName val="AP-JUNE"/>
      <sheetName val="AP-JULY"/>
      <sheetName val="pivot summary"/>
      <sheetName val="OS280219"/>
      <sheetName val="VRV by salesman"/>
      <sheetName val="VRV project-Mar"/>
      <sheetName val="VRV project-Mar by date"/>
      <sheetName val="AP-MAR"/>
      <sheetName val="AP-APR"/>
      <sheetName val="JAn"/>
      <sheetName val="Feb"/>
      <sheetName val="Mar"/>
      <sheetName val="Apr"/>
      <sheetName val="May"/>
      <sheetName val="Jun"/>
      <sheetName val="July"/>
      <sheetName val="Aug"/>
      <sheetName val="Sept"/>
      <sheetName val="Oct"/>
      <sheetName val="1.FY19 Forecast"/>
      <sheetName val="2.FY19 Inq Summary&amp;Rolling"/>
      <sheetName val="1. FY18 Forecast"/>
      <sheetName val="1.1 FY19 Forecast"/>
      <sheetName val="Appendix 2 NLP"/>
      <sheetName val="budget 2004 KBX"/>
      <sheetName val="Compressor cost down"/>
      <sheetName val="Appendix 3 Model line up"/>
      <sheetName val="Definitions"/>
      <sheetName val="Descriptions"/>
      <sheetName val="Combination table"/>
      <sheetName val="Digit1-11"/>
      <sheetName val="Digit12"/>
      <sheetName val="Digit13"/>
      <sheetName val="Digit14"/>
      <sheetName val="Digit15"/>
      <sheetName val="Digit16"/>
      <sheetName val="General Request"/>
      <sheetName val="Open Requests"/>
      <sheetName val="ASCodes"/>
      <sheetName val="Temp"/>
      <sheetName val="ASCodesRealignment"/>
      <sheetName val="Log"/>
      <sheetName val="PrintA4"/>
      <sheetName val="CompleteRequests"/>
      <sheetName val="Support"/>
      <sheetName val="Validation"/>
      <sheetName val="System"/>
      <sheetName val="GEN"/>
      <sheetName val="WSC"/>
      <sheetName val="ORDER WSC"/>
      <sheetName val="PFS.C"/>
      <sheetName val="AWS"/>
      <sheetName val="AWS-INV"/>
      <sheetName val="ACZC"/>
      <sheetName val="MCENERGYMONO"/>
      <sheetName val="MCENERGYMONO CU"/>
      <sheetName val="MCENERGYMONOEVO"/>
      <sheetName val="MCENERGY INV"/>
      <sheetName val="PFS.C-data"/>
      <sheetName val="MCS"/>
      <sheetName val="MCS-data"/>
      <sheetName val="ZUW"/>
      <sheetName val="ZUW-data"/>
      <sheetName val="CHILLER LIST PRICE"/>
      <sheetName val="COST ANALYSIS"/>
      <sheetName val="AWS-data"/>
      <sheetName val="AWS-INV-data"/>
      <sheetName val="ACZC-data"/>
      <sheetName val="MCENERGYMONO-data"/>
      <sheetName val="MCENERGYMONOCU-data"/>
      <sheetName val="MCENERGYEVO-data"/>
      <sheetName val="MCENERGY INV-data"/>
      <sheetName val="GEN-data"/>
      <sheetName val="ORDER ZUW"/>
      <sheetName val="WSC-1"/>
      <sheetName val="ORDER WSC CH"/>
      <sheetName val="Revisions"/>
      <sheetName val="McEnergy Analysis"/>
      <sheetName val="Chiller Source"/>
      <sheetName val="Annex 8 -p2.2"/>
      <sheetName val="Chart1"/>
      <sheetName val="CH Analysis"/>
      <sheetName val="FCU Source"/>
      <sheetName val="FCU Analysis"/>
      <sheetName val="Chart2"/>
      <sheetName val="Notes"/>
      <sheetName val="Q&amp;A"/>
      <sheetName val="Price structure"/>
      <sheetName val="2006 TP"/>
      <sheetName val="Lists"/>
      <sheetName val="DENV SP"/>
      <sheetName val="Basic info"/>
      <sheetName val="Quantities"/>
      <sheetName val="Table"/>
      <sheetName val="Prices"/>
      <sheetName val="Pricelist"/>
      <sheetName val="Aff"/>
      <sheetName val="Non Aff"/>
      <sheetName val="Customer"/>
      <sheetName val="Calculation with cost"/>
      <sheetName val="Calculation"/>
      <sheetName val="Versions"/>
      <sheetName val="1. Material DB"/>
      <sheetName val="2. TP  Options"/>
      <sheetName val="3. TP EUR (upload MTOP)"/>
      <sheetName val="List prices (old)"/>
      <sheetName val="TP Free Currency (upload SAP)"/>
      <sheetName val="List prices"/>
      <sheetName val="McQuay List Price 2008 rev 01"/>
      <sheetName val="Fancoils AFF (Free Currency)"/>
      <sheetName val="Customers new"/>
      <sheetName val="3. SPN Cost prices"/>
      <sheetName val="3. SOP Cost prices"/>
      <sheetName val="4. SOP Transfer prices"/>
      <sheetName val="1. SOP DENV cost prices"/>
      <sheetName val="2. SOP DENV transfer prices"/>
      <sheetName val="4. SPN Transfer prices"/>
      <sheetName val="Model Name"/>
      <sheetName val="Master"/>
      <sheetName val="CostsC"/>
      <sheetName val="CostsT"/>
      <sheetName val="SalesC"/>
      <sheetName val="SalesT"/>
      <sheetName val="Std Cost"/>
      <sheetName val="TP  Options"/>
      <sheetName val="TP Chillers"/>
      <sheetName val="Detail"/>
      <sheetName val="List"/>
      <sheetName val="Customers"/>
      <sheetName val="Discount form"/>
      <sheetName val="PFS.CFST-B NEW RV.8"/>
      <sheetName val="PFS..CFST-B -data NEW RV.8"/>
      <sheetName val="PFS.CFME-B NEW RV.8"/>
      <sheetName val="PFS..CFME-B -data NEW RV.8"/>
      <sheetName val="MQIT"/>
      <sheetName val="PFS.C RV.6"/>
      <sheetName val="2014 (SS)"/>
      <sheetName val="WSC USA"/>
      <sheetName val="ZUW "/>
      <sheetName val="ORDER PFS.CFST-B RV.7"/>
      <sheetName val="PFS.C-data RV.6"/>
      <sheetName val="AP"/>
      <sheetName val="AH model price"/>
      <sheetName val="AH model COST"/>
      <sheetName val="EWAD_C"/>
      <sheetName val="EWAD_C  (data)"/>
      <sheetName val="EWAD_CZXL "/>
      <sheetName val="EWAD_CZXL (data)"/>
      <sheetName val="EWAD_D"/>
      <sheetName val="EWAD_D (data)"/>
      <sheetName val="EWAD_E "/>
      <sheetName val="EWAD_E (data)"/>
      <sheetName val="EWAQ_F"/>
      <sheetName val="EWAQ_F (data)"/>
      <sheetName val="EWAD_T"/>
      <sheetName val="EWAD_T (data)"/>
      <sheetName val="HTS087"/>
      <sheetName val="ZUW270"/>
      <sheetName val="ORDER PFS"/>
      <sheetName val="HEADER"/>
      <sheetName val="SERVICE COST"/>
      <sheetName val="Freight rate"/>
      <sheetName val="PFS"/>
      <sheetName val="MCENERGYEVO"/>
      <sheetName val="MCENERGYMONOCU"/>
      <sheetName val="Split"/>
      <sheetName val="Special price AP"/>
      <sheetName val="Etimate cost HTS"/>
      <sheetName val="Estimat cost ZUW"/>
      <sheetName val="Request dis form HTS"/>
      <sheetName val="Request dis form ZUW"/>
      <sheetName val="XL4Test5"/>
      <sheetName val="rate1"/>
      <sheetName val="Menus"/>
      <sheetName val="Note e lista attività"/>
      <sheetName val="5m + 7m"/>
      <sheetName val="B vs RB"/>
      <sheetName val="Forecast vs budget"/>
      <sheetName val="BS change FY"/>
      <sheetName val="BS change FY monthly"/>
      <sheetName val="PL change FY"/>
      <sheetName val="PL change FY Monthly"/>
      <sheetName val="PLcomparison"/>
      <sheetName val="PL presentazione"/>
      <sheetName val="Layout x TMM"/>
      <sheetName val="CF DENV"/>
      <sheetName val="CF DIL lay out"/>
      <sheetName val="BS DIL lay-out"/>
      <sheetName val="Monthly PL DIL lay-out"/>
      <sheetName val="free cash calcolo preciso"/>
      <sheetName val="MI Budget Book"/>
      <sheetName val="MI (External)"/>
      <sheetName val="MI (internal)"/>
      <sheetName val="SALES &amp; COS from SPL"/>
      <sheetName val="Rebates"/>
      <sheetName val="Labour"/>
      <sheetName val="A Repairing"/>
      <sheetName val="B Entertainment"/>
      <sheetName val="C Travel"/>
      <sheetName val="D Postage"/>
      <sheetName val="E Supply Expenses"/>
      <sheetName val="F Taxes"/>
      <sheetName val="G Rental &amp; Lease"/>
      <sheetName val="H Depreciation &amp; NEW CAPEX"/>
      <sheetName val="J Sales Commissions"/>
      <sheetName val="Marketing provvisorio"/>
      <sheetName val="K&amp;L Sales Promotion &amp; Advertis "/>
      <sheetName val="M Provision for Warranty"/>
      <sheetName val="N Provision for Bad Debt"/>
      <sheetName val="O Delivery Expenses"/>
      <sheetName val="P Warehouse&amp;Packing"/>
      <sheetName val="S Consulenza Costi EDP"/>
      <sheetName val="T Credit collection costs"/>
      <sheetName val="U miscellanous"/>
      <sheetName val="V Insurance"/>
      <sheetName val="W fuel &amp; electricity"/>
      <sheetName val="X Credits"/>
      <sheetName val="Y automobile and related expens"/>
      <sheetName val="Non operating Income"/>
      <sheetName val="Cash Discount Given"/>
      <sheetName val="Interest Charges"/>
      <sheetName val="Other non oper Expenses"/>
      <sheetName val="Operating Expenses"/>
      <sheetName val="ABC Enquiries"/>
      <sheetName val="Invoiced Projects"/>
      <sheetName val="Lost Projects"/>
      <sheetName val="FY List"/>
      <sheetName val="FY14 Orders"/>
      <sheetName val="Status Definitions"/>
      <sheetName val="Schedule"/>
      <sheetName val="FlowC"/>
      <sheetName val="Content"/>
      <sheetName val="A"/>
      <sheetName val="GMM Sales&amp;GP"/>
      <sheetName val="GMM Exp&amp;PBT"/>
      <sheetName val="P&amp;L1"/>
      <sheetName val="By Products (06)"/>
      <sheetName val="Salesman (0506)"/>
      <sheetName val="Dealer(0506)"/>
      <sheetName val="Exp1(06)"/>
      <sheetName val="Exp2(06)"/>
      <sheetName val="Debtors(06)"/>
      <sheetName val="Stock(06)"/>
      <sheetName val="BS(06)"/>
      <sheetName val="CF(06)H"/>
      <sheetName val="CER(06)"/>
      <sheetName val="KRA(06)"/>
      <sheetName val="B"/>
      <sheetName val="Market Size"/>
      <sheetName val="Mkt Size AP"/>
      <sheetName val="Mkt Size UP"/>
      <sheetName val="Branch Share AP"/>
      <sheetName val="Branch Share UP"/>
      <sheetName val="Growth Plan"/>
      <sheetName val="SWOT"/>
      <sheetName val="Bug GMM"/>
      <sheetName val="Bud Product"/>
      <sheetName val="Bug Salesman"/>
      <sheetName val="Bud Region"/>
      <sheetName val="Bud Dealer"/>
      <sheetName val="Bud P&amp;L Mon"/>
      <sheetName val="Bud Exp Mon"/>
      <sheetName val="Bud P&amp;L 3Yr"/>
      <sheetName val="Bud Exp 3Yr"/>
      <sheetName val="Bud BS 0607"/>
      <sheetName val="CF Bud 0607"/>
      <sheetName val="CER 0607"/>
      <sheetName val="Bug Promotion"/>
      <sheetName val="C"/>
      <sheetName val="Serv Biz"/>
      <sheetName val="D"/>
      <sheetName val="Track"/>
      <sheetName val="Bud KRA"/>
      <sheetName val="E"/>
      <sheetName val="Admin Exp (H)"/>
      <sheetName val="S&amp;D Exp (H)"/>
      <sheetName val="Serv Exp (H)"/>
      <sheetName val="BS Bud(0607)H"/>
      <sheetName val="CF Bud(0607)H"/>
      <sheetName val="- GMM -"/>
      <sheetName val="DB_GMM_PL"/>
      <sheetName val="DB_GMM_BS"/>
      <sheetName val="CF DWF"/>
      <sheetName val="BS DWF"/>
      <sheetName val="- QSBM -"/>
      <sheetName val="IMD"/>
      <sheetName val="FMD"/>
      <sheetName val="RB_KPI"/>
      <sheetName val="P&amp;L (Qtr)"/>
      <sheetName val="P&amp;L"/>
      <sheetName val="BS"/>
      <sheetName val="Bcap"/>
      <sheetName val="Back Office Cost"/>
      <sheetName val="SOP 1"/>
      <sheetName val="SOP 2 &amp; SOP 3 "/>
      <sheetName val="RB_KRA"/>
      <sheetName val="KRAs"/>
      <sheetName val="RB_BIP"/>
      <sheetName val="&lt;M1&gt;"/>
      <sheetName val="RB_IMD"/>
      <sheetName val="RB_FMD"/>
      <sheetName val="RB_PL1"/>
      <sheetName val="RB_PL2"/>
      <sheetName val="RB_BS"/>
      <sheetName val="RB_Bcap"/>
      <sheetName val="RB_FUR"/>
      <sheetName val="RB_Capex"/>
      <sheetName val="RB_CFlow"/>
      <sheetName val="5-Yr Trend"/>
      <sheetName val="Koh"/>
      <sheetName val="Debtors"/>
      <sheetName val="RD"/>
      <sheetName val="Capable"/>
      <sheetName val="Production"/>
      <sheetName val="ISO9000"/>
      <sheetName val="&lt;M2&gt;"/>
      <sheetName val="DB_p&amp;l"/>
      <sheetName val="DB_BS"/>
      <sheetName val="DB_CF"/>
      <sheetName val="DB_Aging"/>
      <sheetName val="DB_BCAP"/>
      <sheetName val="DB_Fur"/>
      <sheetName val="Bank Fac"/>
      <sheetName val="Selection"/>
      <sheetName val="Intro"/>
      <sheetName val="CORPORATE_SELECTION"/>
      <sheetName val="Overview A3 FC06 PL"/>
      <sheetName val="Overview A3 FC06 BS"/>
      <sheetName val=" Monthly PL_FC06"/>
      <sheetName val="Monthly BS_FC06"/>
      <sheetName val="Labour Movement"/>
      <sheetName val="Sales Prom. &amp; Adv. "/>
      <sheetName val="Balance Sheet"/>
      <sheetName val="Monthly Stock BD"/>
      <sheetName val="Investments"/>
      <sheetName val=" HC per month R05"/>
      <sheetName val=" HC per month FC06"/>
      <sheetName val=" FTE per month FC06"/>
      <sheetName val="Inventory Plan SBU"/>
      <sheetName val="Retrieve PL R 04"/>
      <sheetName val=" Retrieve PL R05"/>
      <sheetName val=" Retrieve PL RB 06"/>
      <sheetName val=" Retrieve BS"/>
      <sheetName val="TP correction"/>
      <sheetName val="Profit &amp; Loss"/>
      <sheetName val="GM Progress"/>
      <sheetName val=" Personnel Headcounts"/>
      <sheetName val="Stock Level"/>
      <sheetName val="Days of Customers"/>
      <sheetName val="FCF"/>
      <sheetName val="Oper days"/>
      <sheetName val="Overview A3 PL "/>
      <sheetName val="Overview A3 BS"/>
      <sheetName val="Monthly PL_R06"/>
      <sheetName val="Monthly BS_R06"/>
      <sheetName val="Monthly PL_BD07"/>
      <sheetName val="Monthly BS_BD07"/>
      <sheetName val="Monthly Stock"/>
      <sheetName val="HC per month BD07"/>
      <sheetName val=" FTE per month BD07"/>
      <sheetName val="Retrieve PL R05"/>
      <sheetName val="Retrieve PL RB 06"/>
      <sheetName val="Retrieve BS"/>
      <sheetName val=" Personnel Charts"/>
      <sheetName val="Personnel Headcounts"/>
      <sheetName val="P&amp;L-Act-Bgt -FY0304"/>
      <sheetName val="P&amp;L-Bgt-FY0304"/>
      <sheetName val="P&amp;L-FY0203"/>
      <sheetName val="SOP1"/>
      <sheetName val="Sheet5"/>
      <sheetName val="Sheet6"/>
      <sheetName val="Sheet7"/>
      <sheetName val="Sheet8"/>
      <sheetName val="Sheet9"/>
      <sheetName val="Sheet10"/>
      <sheetName val="Sheet11"/>
      <sheetName val="Sheet12"/>
      <sheetName val="Sheet13"/>
      <sheetName val="Sheet15"/>
      <sheetName val="Sheet16"/>
      <sheetName val="P_L_Act_Bgt _FY0304"/>
      <sheetName val="08-2003"/>
      <sheetName val="resultatenrekening"/>
      <sheetName val="activa"/>
      <sheetName val="passiva"/>
      <sheetName val="FY 2016   result"/>
      <sheetName val="FY17 Plan-Hon"/>
      <sheetName val="FY 18 budget"/>
      <sheetName val="1(a) Mthly Report Review"/>
      <sheetName val="sales review"/>
      <sheetName val="6-Enquiry status"/>
      <sheetName val="-Enquiry status FY18-19"/>
      <sheetName val="7- Booking of the Month"/>
      <sheetName val="8-Booking Forecast"/>
      <sheetName val="9-Backlog @ month end"/>
      <sheetName val="10- D status Project list"/>
      <sheetName val=" Jobs Lost"/>
      <sheetName val="market information"/>
      <sheetName val="PL"/>
      <sheetName val="Currency Exchange"/>
      <sheetName val="Legend"/>
      <sheetName val="Step by Step update"/>
      <sheetName val="Billing Forecast"/>
      <sheetName val="Sales Result"/>
      <sheetName val="Enquiry Registry"/>
      <sheetName val="Enquiry Register (2)"/>
      <sheetName val="Enquiry Register"/>
      <sheetName val="CM Forecast"/>
      <sheetName val="3M Billing Fcst"/>
      <sheetName val="Booking Forecast"/>
      <sheetName val="3M Booking Fcst"/>
      <sheetName val="Job Lost "/>
      <sheetName val="Enquiry &gt;3000TR"/>
      <sheetName val="P&amp;N-Bgt-FY0304"/>
      <sheetName val="Marketing sales Asia"/>
      <sheetName val="Marketing PBT Asia"/>
      <sheetName val="Marketing Cont. Asia"/>
      <sheetName val="Marketing OH Asia"/>
      <sheetName val="Marketing PBT-OH Asia"/>
      <sheetName val="Asia Marketing Q3"/>
      <sheetName val="Asia Marketing Q4"/>
      <sheetName val="Asia Marketing YTQ"/>
      <sheetName val="Asia Marketing YTD (Feb)"/>
      <sheetName val="Asia Marketing MPY"/>
      <sheetName val="south Q1"/>
      <sheetName val="south Q2"/>
      <sheetName val="south Q3"/>
      <sheetName val="south Q4"/>
      <sheetName val="south YTQ3"/>
      <sheetName val="south YTD Feb"/>
      <sheetName val="south MPY"/>
      <sheetName val="north Q1"/>
      <sheetName val="north Q2"/>
      <sheetName val="north Q3"/>
      <sheetName val="north Q4"/>
      <sheetName val="north YTQ3"/>
      <sheetName val="north YTD Feb"/>
      <sheetName val="north MPY"/>
      <sheetName val="east Q1"/>
      <sheetName val="east Q2"/>
      <sheetName val="east Q3"/>
      <sheetName val="east Q4"/>
      <sheetName val="east YTQ3"/>
      <sheetName val="east YTD Feb"/>
      <sheetName val="east MPY"/>
      <sheetName val="west Q1"/>
      <sheetName val="west Q2"/>
      <sheetName val="west Q3"/>
      <sheetName val="west Q4"/>
      <sheetName val="west YTQ3"/>
      <sheetName val="west YTD Feb"/>
      <sheetName val="west MPY"/>
      <sheetName val="SEA Q1"/>
      <sheetName val="SEA Q2"/>
      <sheetName val="SEA Q3"/>
      <sheetName val="SEA Q4"/>
      <sheetName val="SEA YTQ"/>
      <sheetName val="SEA YTD Feb"/>
      <sheetName val="SEA MPY"/>
      <sheetName val="WC"/>
      <sheetName val="WC (1)"/>
      <sheetName val="Marketing GP Asia"/>
      <sheetName val="Marketing EXP-Sales Asia"/>
      <sheetName val="0000"/>
      <sheetName val="Sheet1 "/>
      <sheetName val="说明"/>
      <sheetName val="GMM "/>
      <sheetName val="p&amp;l "/>
      <sheetName val="管理费用 "/>
      <sheetName val="销售费用 "/>
      <sheetName val=" 服务费用 "/>
      <sheetName val="B&amp;L"/>
      <sheetName val="固定资产类型表"/>
      <sheetName val="现金流量表"/>
      <sheetName val="预提费用"/>
      <sheetName val="经销商帐龄表 "/>
      <sheetName val="工程帐龄进度表  "/>
      <sheetName val="Sheet2 (3)"/>
      <sheetName val="RULE OF CHILLER MODEL"/>
      <sheetName val="ORIGIN "/>
      <sheetName val="CHILLER LIST"/>
      <sheetName val="Price"/>
      <sheetName val="Road Map "/>
      <sheetName val="Recip Cost"/>
      <sheetName val="Recip Cost2"/>
      <sheetName val="Recip Cost3"/>
      <sheetName val="whn-itly1"/>
      <sheetName val="Recip Local"/>
      <sheetName val="Recip Local2"/>
      <sheetName val="Recip BOM"/>
      <sheetName val="S.Price"/>
      <sheetName val="Foglio1"/>
      <sheetName val="Foglio2"/>
      <sheetName val="BS(H)"/>
      <sheetName val="询价表"/>
      <sheetName val="询价表填写说明"/>
      <sheetName val="机组配置表"/>
      <sheetName val="机组物料号"/>
      <sheetName val="FY17 By Channel(Gross AMT)"/>
      <sheetName val="FY17 By Channel (Net AMT)"/>
      <sheetName val="New Register"/>
      <sheetName val="FY18 By Channel"/>
      <sheetName val="AP Proj List "/>
      <sheetName val="Management Report"/>
      <sheetName val="S+A+B"/>
      <sheetName val="Index Application"/>
      <sheetName val="AC_REDUCED_1"/>
      <sheetName val="SAN_REDUCED_1"/>
      <sheetName val="dReception"/>
      <sheetName val="RawData"/>
      <sheetName val="collected_data"/>
      <sheetName val="Posting_Key"/>
      <sheetName val="Plan"/>
      <sheetName val="Result_JANUARY-2007"/>
      <sheetName val="AC_REDUCED_11"/>
      <sheetName val="SAN_REDUCED_11"/>
      <sheetName val="FORM "/>
      <sheetName val="CT1"/>
      <sheetName val="CT2"/>
      <sheetName val="CT3"/>
      <sheetName val="CT4"/>
      <sheetName val="CT5"/>
      <sheetName val="CT6"/>
      <sheetName val="CT7"/>
      <sheetName val="CT8"/>
      <sheetName val="Header Parameter"/>
      <sheetName val="GL Data Upload"/>
      <sheetName val="Format"/>
      <sheetName val="Posting Key"/>
      <sheetName val="Plan (2)"/>
      <sheetName val="Member"/>
      <sheetName val="Daikin"/>
      <sheetName val="Compare"/>
      <sheetName val="Format  RevA"/>
      <sheetName val="CS Q"/>
      <sheetName val="สรุป"/>
      <sheetName val="Result JANUARY-2007"/>
      <sheetName val="Thanit"/>
      <sheetName val="Prapan"/>
      <sheetName val="VISAN"/>
      <sheetName val="Suthachai"/>
      <sheetName val="suchat"/>
      <sheetName val="nathee"/>
      <sheetName val="AP_Market(15)"/>
      <sheetName val="Product"/>
      <sheetName val="Budget by Month"/>
      <sheetName val="ACTION SUMMARY"/>
      <sheetName val="F15 Manpower Plan"/>
      <sheetName val="市場規売上推移 (2)"/>
      <sheetName val="AP_Market (14)"/>
      <sheetName val="DAS FY15"/>
      <sheetName val="DAS FY16"/>
      <sheetName val="DSP FY15"/>
      <sheetName val="DSP FY16"/>
      <sheetName val="SDS FY15"/>
      <sheetName val="SDS FY16"/>
      <sheetName val="AMSS FY15"/>
      <sheetName val="AMSS FY16"/>
      <sheetName val="DAV FY15"/>
      <sheetName val="DAV FY16"/>
      <sheetName val="DPH FY15"/>
      <sheetName val="WC Screw Market Summary"/>
      <sheetName val="DPH FY16"/>
      <sheetName val="DASI FY15_FF"/>
      <sheetName val="AP_Market (2)"/>
      <sheetName val="DASI FY16_OB"/>
      <sheetName val="DASI FY15"/>
      <sheetName val="DASI FY16"/>
      <sheetName val="Macro"/>
      <sheetName val="overdue"/>
      <sheetName val="outst"/>
      <sheetName val="MMRoutst"/>
      <sheetName val="MMRoverd"/>
      <sheetName val="CC 100054"/>
      <sheetName val="SALES to OYL"/>
      <sheetName val="PURCHASE from OYL"/>
      <sheetName val="(1) CREDITS to DAIKIN "/>
      <sheetName val="(2) DEBTS FROM DAIKIN"/>
      <sheetName val="(3) SALES to DAIKIN"/>
      <sheetName val="(4) PURCHASE from DAIKIN"/>
      <sheetName val="(5) Credits to OYL"/>
      <sheetName val="6) DEBTS FROM OYL"/>
      <sheetName val="(7) SALES to OYL"/>
      <sheetName val="(8) PURCHASE FROM OYL"/>
      <sheetName val="(9) ROYALTIES FROM OYL"/>
      <sheetName val="(10) ROYALTIES TO OYL"/>
      <sheetName val="(11) NON OP INCOME"/>
      <sheetName val="(12) NON OP EXPENSE"/>
      <sheetName val="(13) Sales by Countries"/>
      <sheetName val="(14) SGA"/>
      <sheetName val="(15) CASH EQUIVALENT"/>
      <sheetName val="(16) TANGIBLE ASSETS"/>
      <sheetName val="(17) LONG TERM RECEIVABLE"/>
      <sheetName val="(18) ALLOWANCE FOR BAD DEBT"/>
      <sheetName val="(19) WARRANTY"/>
      <sheetName val="(20) OTHER CURRENT ASSETS"/>
      <sheetName val="(21) PREPAID EXPENSES"/>
      <sheetName val="(22) OTHER LONG TERM ASSETS"/>
      <sheetName val="(23) OTHER ACCRUED EXPENSES"/>
      <sheetName val="(24) OTHER LONGTERM LIABILITIES"/>
      <sheetName val="(25) COLLATERAL"/>
      <sheetName val="(26) GUARANTEES"/>
      <sheetName val="(27) COMMITMENTS"/>
      <sheetName val="(28) RELATED PARTY TRANSACTIONS"/>
      <sheetName val="(29) EMPLOYEE"/>
      <sheetName val="(30) DAIKIN GROUP"/>
      <sheetName val="(31) OYL GROUP"/>
      <sheetName val="A11"/>
      <sheetName val="B1"/>
      <sheetName val="B1_G-ONE"/>
      <sheetName val="B2"/>
      <sheetName val="B2_G-ONE"/>
      <sheetName val="B3"/>
      <sheetName val="B3_G-ONE"/>
      <sheetName val="B4"/>
      <sheetName val="B4_G-ONE"/>
      <sheetName val="B5"/>
      <sheetName val="B7"/>
      <sheetName val="renketsum"/>
      <sheetName val="hirenketsu"/>
      <sheetName val="subrenketsu"/>
      <sheetName val="subhirenketsu"/>
      <sheetName val="dropdown1"/>
      <sheetName val="dropdown2"/>
      <sheetName val="In_VSPCM_DIVA"/>
      <sheetName val="mapping.def"/>
      <sheetName val="B6-3"/>
      <sheetName val="B6-4"/>
      <sheetName val="In_VCTC_DIVA"/>
      <sheetName val="C11-1"/>
      <sheetName val="C11-2"/>
      <sheetName val="C11-3"/>
      <sheetName val="C11-4"/>
      <sheetName val="In_VCPS_DIVA"/>
      <sheetName val="In_CRCY_DIVA"/>
      <sheetName val="In_VEAU_DIVA"/>
      <sheetName val="TRIAL HO"/>
      <sheetName val="Sheet1 (2)"/>
      <sheetName val="CONSOL"/>
      <sheetName val="schedules"/>
      <sheetName val="Trial as on 11.04"/>
      <sheetName val="SA"/>
      <sheetName val="DU"/>
      <sheetName val="工事単販振替展開"/>
      <sheetName val="費目"/>
      <sheetName val="ＷＣ"/>
      <sheetName val="総括表"/>
      <sheetName val="費目別明細"/>
      <sheetName val="(1) BS1"/>
      <sheetName val="(2) BS2"/>
      <sheetName val="(3) PL"/>
      <sheetName val="(4) CREDITS to DAIKIN "/>
      <sheetName val="(5) DEBTS FROM DAIKIN"/>
      <sheetName val="(6) SALES to DAIKIN"/>
      <sheetName val="(7) PURCHASE from DAIKIN"/>
      <sheetName val="(8) Credits to OYL"/>
      <sheetName val="(9) DEBTS FROM OYL"/>
      <sheetName val="(10) SALES to OYL"/>
      <sheetName val="(11) PURCHASE FROM OYL"/>
      <sheetName val="(12) ROYALTIES FROM OYL"/>
      <sheetName val="(13) ROYALTIES TO OYL"/>
      <sheetName val="(14) NON OP INCOME"/>
      <sheetName val="(15) NON OP EXPENSE"/>
      <sheetName val="(16) Sales by Countries"/>
      <sheetName val="(17) SGA"/>
      <sheetName val="(18) CASH EQUIVALENT"/>
      <sheetName val="(19) TANGIBLE ASSETS"/>
      <sheetName val="(20) LONG TERM RECEIVABLE"/>
      <sheetName val="(21) ALLOWANCE FOR BAD DEBT"/>
      <sheetName val="(22) WARRANTY"/>
      <sheetName val="(23) OTHER CURRENT ASSETS"/>
      <sheetName val="(24) PREPAID EXPENSES"/>
      <sheetName val="(25) OTHER LONG TERM ASSETS"/>
      <sheetName val="(26) OTHER ACCRUED EXPENSES"/>
      <sheetName val="(27) OTHER LONGTERM LIABILITIES"/>
      <sheetName val="(28) COLLATERAL"/>
      <sheetName val="(29) GUARANTEES"/>
      <sheetName val="(30) EMPLOYEE"/>
      <sheetName val="(31) DAIKIN GROUP"/>
      <sheetName val="(32) OYL GROUP"/>
      <sheetName val="Module1"/>
      <sheetName val="DEF"/>
      <sheetName val="Matching"/>
      <sheetName val="A1"/>
      <sheetName val="A2"/>
      <sheetName val="A3"/>
      <sheetName val="A4"/>
      <sheetName val="A5"/>
      <sheetName val="A6"/>
      <sheetName val="A7"/>
      <sheetName val="DAIKIN GROUP"/>
      <sheetName val="OYL GROUP"/>
      <sheetName val="PURCHASE fromDAIKIN"/>
      <sheetName val="SALES to DAIKIN"/>
      <sheetName val="B5-1"/>
      <sheetName val="B5-2"/>
      <sheetName val="B6"/>
      <sheetName val="B9-5"/>
      <sheetName val="B9-6"/>
      <sheetName val="B9-7"/>
      <sheetName val="C1"/>
      <sheetName val="C2"/>
      <sheetName val="C3"/>
      <sheetName val="C4"/>
      <sheetName val="C5"/>
      <sheetName val="C6"/>
      <sheetName val="C7"/>
      <sheetName val="C8-1"/>
      <sheetName val="C8-2"/>
      <sheetName val="C9"/>
      <sheetName val="C10"/>
      <sheetName val="C11"/>
      <sheetName val="C12-1"/>
      <sheetName val="C12-2"/>
      <sheetName val="C13-1"/>
      <sheetName val="C13-2"/>
      <sheetName val="C13-3"/>
      <sheetName val="C13-4"/>
      <sheetName val="D1"/>
      <sheetName val="D2"/>
      <sheetName val="D3"/>
      <sheetName val="D4"/>
      <sheetName val="D9"/>
      <sheetName val="Company"/>
      <sheetName val="作業0003"/>
      <sheetName val="INP-ﾗｲﾝ"/>
      <sheetName val="INP-費目"/>
      <sheetName val="JG"/>
      <sheetName val="JH"/>
      <sheetName val="JT"/>
      <sheetName val="JU"/>
      <sheetName val="製造-2"/>
      <sheetName val="ﾗｲﾝﾃﾞｰﾀ"/>
      <sheetName val="#REF"/>
      <sheetName val="製造-2.XLS"/>
      <sheetName val="%E8%A3%BD%E9%80%A0-2.XLS"/>
      <sheetName val="開発支援共通費  (生)"/>
      <sheetName val="企画提出分"/>
      <sheetName val="セ全体表"/>
      <sheetName val="開発支援共通費 "/>
      <sheetName val="制御共通費"/>
      <sheetName val="マルチプル－Ｈ"/>
      <sheetName val="超省エネ－Ｈ"/>
      <sheetName val="業務用給湯機－Ｈ"/>
      <sheetName val="DAPS向水冷－Ｈ"/>
      <sheetName val="ターボ－Ｈ"/>
      <sheetName val="DAPS向D3-W－Ｓ"/>
      <sheetName val="ｾﾝﾄﾗﾙ機器電力按分－Ｈ"/>
      <sheetName val="DENV向－Ｈ"/>
      <sheetName val="超省ｴﾈ圧縮機用"/>
      <sheetName val="ﾜｲﾅﾘ用－Ｈ"/>
      <sheetName val="ﾜｲﾅﾘ用－Ｓ"/>
      <sheetName val="補用隆祥製ｼｰｹﾝｻｻｰﾓ"/>
      <sheetName val="補用ｵﾑﾛﾝ製ｼｰｹﾝｻｻｰﾓ"/>
      <sheetName val="補用AVX"/>
      <sheetName val="中国メンテ・M社"/>
      <sheetName val="国内メンテ・品質改善・ＣＤ"/>
      <sheetName val="舶用異電圧化"/>
      <sheetName val="舶用ﾛｰﾌｨﾝ化"/>
      <sheetName val="舶用工事品"/>
      <sheetName val="舶用共通費"/>
      <sheetName val="二次側共通"/>
      <sheetName val="天埋めＦＷ"/>
      <sheetName val="２方向カセット"/>
      <sheetName val="省ﾒﾝﾃﾅﾝｽﾌｧﾝ"/>
      <sheetName val="天吊り大型ＦＷ"/>
      <sheetName val="試験G共通費"/>
      <sheetName val="超省ｴﾈ（製品）"/>
      <sheetName val="低振動"/>
      <sheetName val="衝撃"/>
      <sheetName val="護衛艦向冷凍装置"/>
      <sheetName val="海洋観測船向冷凍装置"/>
      <sheetName val="海洋観測船向冷房装置システム検討"/>
      <sheetName val="受注対応　防衛庁艦船新造艦"/>
      <sheetName val="受注対応　補用、一般商船向け"/>
      <sheetName val="共通費"/>
      <sheetName val="マルチプル"/>
      <sheetName val="給湯"/>
      <sheetName val="日本向け乾式水冷チラー"/>
      <sheetName val="ターボ冷凍機"/>
      <sheetName val="中国ﾁﾗｰＣＤ"/>
      <sheetName val="共通"/>
      <sheetName val="機種原01"/>
      <sheetName val="☆☆検討"/>
      <sheetName val="★ｸﾞﾛﾏｻﾞ (2)"/>
      <sheetName val="部品価格"/>
      <sheetName val="機種原01.xls"/>
      <sheetName val="%E6%A9%9F%E7%A8%AE%E5%8E%9F01.x"/>
      <sheetName val="開発支援共通費__(生)"/>
      <sheetName val="開発支援共通費_"/>
      <sheetName val="★ｸﾞﾛﾏｻﾞ_(2)"/>
      <sheetName val="TYPE別室外機"/>
      <sheetName val="TYPE別室内機 "/>
      <sheetName val="ETD比較"/>
      <sheetName val="Rohs　非Rohs"/>
      <sheetName val="GBS状況"/>
      <sheetName val="Mr.OPT1"/>
      <sheetName val="Mr. OPT2"/>
      <sheetName val="Variance Retrieve"/>
      <sheetName val="SGA RETRIEVE"/>
      <sheetName val="Retr. PL B F02"/>
      <sheetName val="Retr. PL RB F02"/>
      <sheetName val="BS TTL"/>
      <sheetName val="BS DETAIL"/>
      <sheetName val="Sales Aff"/>
      <sheetName val="trans PL 1"/>
      <sheetName val="trans PL 2"/>
      <sheetName val="trans PL 3"/>
      <sheetName val="trans BS 1"/>
      <sheetName val="trans BS 2"/>
      <sheetName val="trans BS 3"/>
      <sheetName val="Inventory"/>
      <sheetName val="HOLD"/>
      <sheetName val="SGA"/>
      <sheetName val="Variance"/>
      <sheetName val="Man. Indicators"/>
      <sheetName val="IC Loans"/>
      <sheetName val="Inv. Plan"/>
      <sheetName val="Inv. Others"/>
      <sheetName val="Inv. Control"/>
      <sheetName val="Inv. Plan Mar-F01"/>
      <sheetName val="Inv. Plan Sept-F02"/>
      <sheetName val="Inv. Plan Dec-F02"/>
      <sheetName val="Inv. Plan Mar-F02"/>
      <sheetName val="Analysis"/>
      <sheetName val="Trans. List PL"/>
      <sheetName val="Trans. List BS"/>
      <sheetName val="PERSONNEL_PLAN DIL"/>
      <sheetName val="分析"/>
      <sheetName val="对比"/>
      <sheetName val="Total"/>
      <sheetName val="MHS080.1FST022-FBA"/>
      <sheetName val="MHS100.1FST022-FBA"/>
      <sheetName val="MHS120.1FST022-FBA"/>
      <sheetName val="MHS135.1FST022-FBA"/>
      <sheetName val="MHS150.1FST022-FBA"/>
      <sheetName val="MHS170.1FST022-FBA"/>
      <sheetName val="MHS185.1FST022-FBA"/>
      <sheetName val="MHS185.1FLN022-FBA (2)"/>
      <sheetName val="MHS200.2FST022-FBA"/>
      <sheetName val="MHS220.2FST022-HZ906"/>
      <sheetName val="MHS260.2FST022-FBA"/>
      <sheetName val="MHS285.2FST022-FBA"/>
      <sheetName val="MHS310.2FST022-FBA"/>
      <sheetName val="MHS330.2FST022-FBA"/>
      <sheetName val="MHS350.2FST022-FBA"/>
      <sheetName val="MHS380.2FST022-FBA"/>
      <sheetName val="In_VCCP_DIVA"/>
      <sheetName val="C1-1"/>
      <sheetName val="C1-2"/>
      <sheetName val="C7-1"/>
      <sheetName val="C7-2"/>
      <sheetName val="C8"/>
      <sheetName val="OUT-総括台"/>
      <sheetName val="OUT-台"/>
      <sheetName val="OUT-状況"/>
      <sheetName val="OUT-金"/>
      <sheetName val="IN-ﾗｲﾝ"/>
      <sheetName val="IN-費目"/>
      <sheetName val="稼働日数"/>
      <sheetName val="IN_ﾗｲﾝ"/>
      <sheetName val="IN_費目"/>
      <sheetName val="INP_ﾗｲﾝ"/>
      <sheetName val="INP_費目"/>
      <sheetName val="S4100"/>
      <sheetName val="S4200"/>
      <sheetName val="INP-ﾗｲﾝ_x0000__x001c__x0000_懈⼚_x001c_"/>
      <sheetName val="INP-費目・_x0000__x001c__x0000_懈⼚_x001c__x0000_"/>
      <sheetName val="BOOK1"/>
      <sheetName val="INP-ﾗｲﾝ?_x001c_?懈⼚_x001c_"/>
      <sheetName val="INP-費目・?_x001c_?懈⼚_x001c_?"/>
      <sheetName val="INP-費目・"/>
      <sheetName val="selectie rek 63"/>
      <sheetName val="INP-ﾗｲﾝ懈⼚"/>
      <sheetName val="INP-費目・懈⼚"/>
      <sheetName val="selectie_rek_63"/>
      <sheetName val="t6a"/>
      <sheetName val="GROUPING CONSOL"/>
      <sheetName val="FINAL BAL.SHEET "/>
      <sheetName val="TRAILREV"/>
      <sheetName val="BS DETAILS"/>
      <sheetName val="INTT. ACCREUD ON LOAN"/>
      <sheetName val="FIXED ASSETS"/>
      <sheetName val="BANK LOAN"/>
      <sheetName val="DACI"/>
      <sheetName val="DAPO"/>
      <sheetName val="Details DACI"/>
      <sheetName val="Details DAPO"/>
      <sheetName val="Attachment DAPO"/>
      <sheetName val="Attachment DACI"/>
      <sheetName val="工数自動計算"/>
      <sheetName val="変更履歴"/>
      <sheetName val="年度開発試算用"/>
      <sheetName val="試算"/>
      <sheetName val="室外機_概略試算"/>
      <sheetName val="室内機_概略試算"/>
      <sheetName val="RA"/>
      <sheetName val="RAﾏﾙﾁ"/>
      <sheetName val="冷暖ﾌﾘｰ"/>
      <sheetName val="ﾏﾙﾁﾌﾛｰｶｾｯﾄ"/>
      <sheetName val="壁掛け"/>
      <sheetName val="他形態_露出"/>
      <sheetName val="ダクト"/>
      <sheetName val="他形態_埋込"/>
      <sheetName val="（済）design_plan1PF機年度開発"/>
      <sheetName val="設計ｼｽﾃﾑ"/>
      <sheetName val="currency rates"/>
      <sheetName val="サイン"/>
      <sheetName val="月次監視_実販未_97"/>
      <sheetName val="上海取扱部品（'03.5月19日現在）"/>
      <sheetName val="Etimate costHXEV"/>
      <sheetName val="Etimate costHST"/>
      <sheetName val="OB"/>
      <sheetName val="RB"/>
      <sheetName val="F18 Q1 RSLT"/>
      <sheetName val="FY18 Q1 RSLT &amp; GP"/>
      <sheetName val="FY18 RB 1"/>
      <sheetName val="FY18 RB 2"/>
      <sheetName val="FY18 Q2 Forecast"/>
      <sheetName val="FY18  Yrly Fcast Value"/>
      <sheetName val="FY18 Total Billing Flow-Value"/>
      <sheetName val="FY18 Yrly Fcast Qty"/>
      <sheetName val="FY18 Billing Flow Chillers only"/>
      <sheetName val="FY18 BIlling forecast"/>
      <sheetName val="FY18 Order booking forecast "/>
      <sheetName val="FY18 PO Receive FCast"/>
      <sheetName val="Chiller Enuiry Summary"/>
      <sheetName val="Airside AHU+FCU Enuiry Summary"/>
      <sheetName val="New Enquiry registration"/>
      <sheetName val="LOST JOB Analysis"/>
      <sheetName val="Large Projects"/>
      <sheetName val="COMPETITOR"/>
      <sheetName val="CONSULTANT"/>
      <sheetName val="Manpower Plan"/>
      <sheetName val="Affilliate Org Chart"/>
      <sheetName val="Applied Org Chart  Sales &amp; ser"/>
      <sheetName val="KEY SALES STRATEGY"/>
      <sheetName val="Costing sheet"/>
      <sheetName val="Costing sheet (2)"/>
      <sheetName val="Ikano 500HTS"/>
      <sheetName val="Ikano 1000HTV"/>
      <sheetName val="TRX"/>
      <sheetName val="BBCC"/>
      <sheetName val="Ikano JB"/>
      <sheetName val="Tropicana Garden"/>
      <sheetName val="WME 092D 1000RT"/>
      <sheetName val="CBU"/>
      <sheetName val="CKD"/>
      <sheetName val="Confirmation of Multiplier"/>
      <sheetName val="Enquiry Analysis"/>
      <sheetName val="FY18 Sales Result"/>
      <sheetName val="Forecast (PT)"/>
      <sheetName val="FY18 Booking Forecast"/>
      <sheetName val="FY18 Yrly Fcast Value"/>
      <sheetName val="FY18 Q1&amp;2 Result"/>
      <sheetName val="Billing Flow (Value)"/>
      <sheetName val="Billing Flow (Qty)"/>
      <sheetName val="by Model 12.18"/>
      <sheetName val="by Model"/>
      <sheetName val="Added"/>
      <sheetName val="Aplication"/>
      <sheetName val="FY17 by Product "/>
      <sheetName val="Sum By team(Gross AMT)"/>
      <sheetName val="FY17 Sum By team(Net AMT)"/>
      <sheetName val="FY16FEB Delivery Dates"/>
      <sheetName val="FY16MAR Delivery Date"/>
      <sheetName val="FY17APR Delivery Date"/>
      <sheetName val="FY17MAY Delivery Date"/>
      <sheetName val="FY17JUN Delivery Date"/>
      <sheetName val="FY17JUL Delivery Date"/>
      <sheetName val="FY17AUG Delivery Date"/>
      <sheetName val="FY17SEP Delivery Date"/>
      <sheetName val="FY17OCT Delivery Date"/>
      <sheetName val="FY17NOV Delivery Date"/>
      <sheetName val="FY17DEC Delivery Date"/>
      <sheetName val="FY17JAN Delivery Date"/>
      <sheetName val="FY17FEB Delivery Date"/>
      <sheetName val="FY17MAR Delivery Date"/>
      <sheetName val="FY18 by Product"/>
      <sheetName val="FY18APR Sched"/>
      <sheetName val="FY18MAY Sched"/>
      <sheetName val="FY18JUN Sched"/>
      <sheetName val="FY18JUL Sched"/>
      <sheetName val="FY18AUG Sched"/>
      <sheetName val="Aug-Dec"/>
      <sheetName val="FY18SEP Sched"/>
      <sheetName val="FY18OCT Sched"/>
      <sheetName val="FY18NOV Sched"/>
      <sheetName val="FY18DEC Sched"/>
      <sheetName val="FY18JAN Sched"/>
      <sheetName val="FY18FEB Sched"/>
      <sheetName val="FY18MAR Sched"/>
      <sheetName val="Jan to Mar"/>
      <sheetName val="FY19 By Channel"/>
      <sheetName val="FY20 By Channel"/>
      <sheetName val="Pivot Project Structure"/>
      <sheetName val="Jan-Mar"/>
      <sheetName val="Amgen MSB SO 2060435 VO"/>
      <sheetName val="Amgen MSB SO 2060219 Main"/>
      <sheetName val="Kaer PLQ"/>
      <sheetName val="S3 Architectural"/>
      <sheetName val="SELL (UT)"/>
      <sheetName val="SELL (EE)"/>
      <sheetName val="SELL (AC)"/>
      <sheetName val="SELL"/>
      <sheetName val="SUM-AIR-Submit"/>
      <sheetName val="SUM-UT(A)-Submit"/>
      <sheetName val="SUM-UT(B)-Submit"/>
      <sheetName val="SUM-EE-Submit"/>
      <sheetName val="sum-sys"/>
      <sheetName val="Vender-Me"/>
      <sheetName val="Vender-EE"/>
      <sheetName val="Scope of work "/>
      <sheetName val="Total-Summary (for owner)-r1"/>
      <sheetName val="SELL_(UT)"/>
      <sheetName val="SELL_(EE)"/>
      <sheetName val="SELL_(AC)"/>
      <sheetName val="Scope_of_work_"/>
      <sheetName val="SELL_(UT)2"/>
      <sheetName val="SELL_(EE)2"/>
      <sheetName val="SELL_(AC)2"/>
      <sheetName val="Scope_of_work_2"/>
      <sheetName val="SELL_(UT)1"/>
      <sheetName val="SELL_(EE)1"/>
      <sheetName val="SELL_(AC)1"/>
      <sheetName val="Scope_of_work_1"/>
      <sheetName val="Option1"/>
      <sheetName val="BOQFinishing"/>
      <sheetName val="BOQExterior Work"/>
      <sheetName val="BOQStructure"/>
      <sheetName val=""/>
      <sheetName val="ALLRABDATA"/>
      <sheetName val="Equipment"/>
      <sheetName val="Total-Summary%20(for%20owner)-r"/>
      <sheetName val="Total-Summary (for owner)-r1.xl"/>
      <sheetName val="Mat"/>
      <sheetName val="SELL_(UT)3"/>
      <sheetName val="SELL_(EE)3"/>
      <sheetName val="SELL_(AC)3"/>
      <sheetName val="Scope_of_work_3"/>
      <sheetName val="Total-Summary_(for_owner)-r1"/>
      <sheetName val="BOQExterior_Work"/>
      <sheetName val="Total-Summary_(for_owner)-r1_xl"/>
      <sheetName val="Form"/>
      <sheetName val="Manpower"/>
      <sheetName val="Material"/>
      <sheetName val="Structure"/>
      <sheetName val="Bill_No__2_-_Carpark6"/>
      <sheetName val="rate"/>
      <sheetName val="SELL_(UT)4"/>
      <sheetName val="SELL_(EE)4"/>
      <sheetName val="SELL_(AC)4"/>
      <sheetName val="Scope_of_work_4"/>
      <sheetName val="Total-Summary_(for_owner)-r11"/>
      <sheetName val="BOQExterior_Work1"/>
      <sheetName val="Total-Summary_(for_owner)-r1_x1"/>
      <sheetName val="SELL_(UT)5"/>
      <sheetName val="SELL_(EE)5"/>
      <sheetName val="SELL_(AC)5"/>
      <sheetName val="Scope_of_work_5"/>
      <sheetName val="Total-Summary_(for_owner)-r12"/>
      <sheetName val="BOQExterior_Work2"/>
      <sheetName val="Total-Summary_(for_owner)-r1_x2"/>
      <sheetName val="SELL_(UT)6"/>
      <sheetName val="SELL_(EE)6"/>
      <sheetName val="SELL_(AC)6"/>
      <sheetName val="Scope_of_work_6"/>
      <sheetName val="Total-Summary_(for_owner)-r13"/>
      <sheetName val="BOQExterior_Work3"/>
      <sheetName val="Total-Summary_(for_owner)-r1_x3"/>
      <sheetName val="STMspry"/>
      <sheetName val="PsychroData"/>
      <sheetName val="Summ"/>
      <sheetName val="Supply"/>
      <sheetName val="Occ&amp;Rate"/>
      <sheetName val="Market Data-Occ"/>
      <sheetName val="Market Data-ADR"/>
      <sheetName val="Demand"/>
      <sheetName val="New Hotel Induced Demand"/>
      <sheetName val="Hotel Expansion Induced Demand"/>
      <sheetName val="Occ"/>
      <sheetName val="ADR"/>
      <sheetName val="Ref"/>
      <sheetName val="Spread"/>
      <sheetName val="XXX"/>
      <sheetName val="YYY"/>
      <sheetName val="ProjectName"/>
      <sheetName val="Unit Cost"/>
      <sheetName val="Material civil"/>
      <sheetName val="Unit Cost 2-4"/>
      <sheetName val="Unit Cost 5(1)"/>
      <sheetName val="Unit Cost 5(2-4)"/>
      <sheetName val="Unit Cost 5(6-11)"/>
      <sheetName val="Unit Cost 6"/>
      <sheetName val="Unit Cost 6(12,13)"/>
      <sheetName val="Unit Cost 6(15-20)"/>
      <sheetName val="ITEM List"/>
      <sheetName val="price6.18"/>
      <sheetName val="price6.19"/>
      <sheetName val="Electrical"/>
      <sheetName val="Structure labour cost"/>
      <sheetName val="Rate of work"/>
      <sheetName val="Fill Mat."/>
      <sheetName val="Piling"/>
      <sheetName val="Structure unit"/>
      <sheetName val="Source Fill Materials"/>
      <sheetName val="Factor F Data"/>
      <sheetName val="Concrete Price"/>
      <sheetName val="UnitSOBRR"/>
      <sheetName val="SH-A"/>
      <sheetName val="SH-B"/>
      <sheetName val="SH-C"/>
      <sheetName val="SH-D"/>
      <sheetName val="SH-E"/>
      <sheetName val="SH-F"/>
      <sheetName val="SH-G"/>
      <sheetName val="SH_A"/>
      <sheetName val="DAS "/>
      <sheetName val="FY18"/>
      <sheetName val="FY19"/>
      <sheetName val="Centrifugal"/>
      <sheetName val="WC_Screw"/>
      <sheetName val="AC_Screw"/>
      <sheetName val="Scroll_Rotary"/>
      <sheetName val="AHU"/>
      <sheetName val="FCU"/>
      <sheetName val="Enquiry Summary"/>
      <sheetName val="2008 UP"/>
      <sheetName val="JD07 OYLM"/>
      <sheetName val="08Cost"/>
      <sheetName val="JJ2008"/>
      <sheetName val="JD2008"/>
      <sheetName val="JD2008 (2)"/>
      <sheetName val="JJ10 Daikin (sept)"/>
      <sheetName val="JJ10 Yspec (sept)"/>
      <sheetName val="JJ10 Yspec 051109"/>
      <sheetName val="JJ10 Daikin 051109"/>
      <sheetName val="JD11 Daikin"/>
      <sheetName val="JD11 Yspec"/>
      <sheetName val="JJ2011-50Hz"/>
      <sheetName val="60HZ"/>
      <sheetName val="Data RS Apr-Dec"/>
      <sheetName val="RS Apr-Dec"/>
      <sheetName val="By Model 2"/>
      <sheetName val="Revision"/>
      <sheetName val="Graph1 (2)"/>
      <sheetName val="Graph1"/>
      <sheetName val="Graph1 (50Hz)"/>
      <sheetName val="Graph1 (60Hz)"/>
      <sheetName val="30HXC Montluel vs Charlotte"/>
      <sheetName val="Graph2"/>
      <sheetName val="Cost Tbolt WC 50Hz"/>
      <sheetName val="Cost Tbolt WC 50Hz (1ckt)"/>
      <sheetName val="Cost Tbolt WC 60Hz (50Hz base)"/>
      <sheetName val="Cost Tbolt WC 60Hz (1ckt) 50Hz "/>
      <sheetName val="Cost Assumptions TboltWC 50Hz"/>
      <sheetName val="Mfg Cost Template - 30HXC 50hz"/>
      <sheetName val="Applied Cost 06T"/>
      <sheetName val="Refrigerant 30HXC"/>
      <sheetName val="cost 06N"/>
      <sheetName val="cost 06N (2)"/>
      <sheetName val="cost 06N (3)"/>
      <sheetName val="50Hz"/>
      <sheetName val="2011 Q1 Vs Q4 "/>
      <sheetName val="主机 2011Q1 Vs 2010Q1 (2)"/>
      <sheetName val="主机 2011Q1 Vs 2010Q1"/>
      <sheetName val="2010机组统计"/>
      <sheetName val="离心机电柜"/>
      <sheetName val="380V"/>
      <sheetName val="中压启动柜"/>
      <sheetName val="3K"/>
      <sheetName val="6k"/>
      <sheetName val="10KV"/>
      <sheetName val="Order form"/>
      <sheetName val="外销机组配置表"/>
      <sheetName val="外销电柜配置表"/>
      <sheetName val="CHILLER"/>
      <sheetName val="CTOWER"/>
      <sheetName val="PCHWP"/>
      <sheetName val="SCHWP "/>
      <sheetName val="ahu (2)"/>
      <sheetName val="FAN"/>
      <sheetName val="DUCT"/>
      <sheetName val="FV"/>
      <sheetName val="SIL"/>
      <sheetName val="PIPE&amp;VALVE"/>
      <sheetName val="barrier"/>
      <sheetName val="e-accs"/>
      <sheetName val="e-instru"/>
      <sheetName val="cable"/>
      <sheetName val="control"/>
      <sheetName val="humidifier"/>
      <sheetName val="fans"/>
      <sheetName val="fan(2)"/>
      <sheetName val="precision"/>
      <sheetName val="fps"/>
      <sheetName val="fas"/>
      <sheetName val="FY18 Amt Pivot"/>
      <sheetName val="FY18 Qty Pivot"/>
      <sheetName val="FY17 Amt Pivot"/>
      <sheetName val="FY17 Qty Pivot"/>
      <sheetName val="ABC"/>
      <sheetName val="FCT VALUE"/>
      <sheetName val="FCT QTY"/>
      <sheetName val="LOST"/>
      <sheetName val="Menu"/>
      <sheetName val="OB18"/>
      <sheetName val="Original"/>
      <sheetName val="DAS"/>
      <sheetName val="DSP"/>
      <sheetName val="SDS"/>
      <sheetName val="HOT"/>
      <sheetName val="DASI"/>
      <sheetName val="DAPM"/>
      <sheetName val="DPH"/>
      <sheetName val="DAV"/>
      <sheetName val="FY17"/>
      <sheetName val="FF17"/>
      <sheetName val="OB,RB,Actual"/>
      <sheetName val="Data by Products"/>
      <sheetName val="OB All"/>
      <sheetName val="HOTAI"/>
      <sheetName val="Regional"/>
      <sheetName val="FY18 Q4 Result"/>
      <sheetName val="OB19"/>
      <sheetName val="FY19 Billing Forecast"/>
      <sheetName val="FY19 Sales Result"/>
      <sheetName val="FY19 Yrly Fcast Value"/>
      <sheetName val="FY19 Yrly Fcast Qty"/>
      <sheetName val="FY19 Booking Forecast"/>
      <sheetName val="FY19 PO Receive FCast"/>
      <sheetName val="Graph"/>
      <sheetName val="★By Product (Equip) unit price"/>
      <sheetName val="AED"/>
      <sheetName val="ACD"/>
      <sheetName val="ASE-OCE"/>
      <sheetName val="★By Product (Equip) (QTY)"/>
      <sheetName val="★By Product (Equip $)"/>
      <sheetName val="■By country (Service)"/>
      <sheetName val="★By Product (Service)"/>
      <sheetName val="■By country (Equip)"/>
      <sheetName val="F20 Vs FY18 RB "/>
      <sheetName val="Sheet2 (2)"/>
      <sheetName val="Vietnam"/>
      <sheetName val="FY16 results"/>
      <sheetName val="Step by Step fill in the report"/>
      <sheetName val="Market Share Size"/>
      <sheetName val="FY15 OB summary"/>
      <sheetName val="Summary 2"/>
      <sheetName val="Summary3"/>
      <sheetName val="FY15 Currency Exchange"/>
      <sheetName val="DSP AP"/>
      <sheetName val="DASI FY16 OB"/>
      <sheetName val="DASI FY16 OB (JPY)"/>
      <sheetName val="SDS FY16 OB"/>
      <sheetName val="SDS FY16 OB (JPY)"/>
      <sheetName val="DSP SG FY16 OB"/>
      <sheetName val="DSP SG FY16 OB (JPY)"/>
      <sheetName val="DAS FY16 OB"/>
      <sheetName val="DAS FY16 OB (JPY)"/>
      <sheetName val="DSP Regional FY16 OB"/>
      <sheetName val="DSP Regional FY16 OB (JPY)"/>
      <sheetName val="AMSS FY16 OB"/>
      <sheetName val="AMSS FY16 OB (JPY)"/>
      <sheetName val="DAV FY16 OB"/>
      <sheetName val="DAV FY16 OB (JPY)"/>
      <sheetName val="DPH FY16 OB"/>
      <sheetName val="DPH FY16 OB (JPY)"/>
      <sheetName val="Summary2"/>
      <sheetName val="Summary-3"/>
      <sheetName val="Summary-4"/>
      <sheetName val="製品分類別"/>
      <sheetName val="予算資料作成用"/>
      <sheetName val="シェア"/>
      <sheetName val="MV_CC"/>
      <sheetName val="T_CC"/>
      <sheetName val="T_Motor"/>
      <sheetName val="T_Coil"/>
      <sheetName val="T_MB"/>
      <sheetName val="D_Motor"/>
      <sheetName val="D_Coil"/>
      <sheetName val="D_MB"/>
      <sheetName val="PV_MB"/>
      <sheetName val="D_CC(&lt;1Y)"/>
      <sheetName val="PV_Motor"/>
      <sheetName val="PV_Coil"/>
      <sheetName val="PV_CC"/>
      <sheetName val="D_CC"/>
      <sheetName val="p***"/>
      <sheetName val="Rev01"/>
      <sheetName val="Rev02"/>
      <sheetName val="Rev03"/>
      <sheetName val="Bud04"/>
      <sheetName val="ohreview"/>
      <sheetName val="Expense"/>
      <sheetName val="Capex (2)"/>
      <sheetName val="LogisticsCost"/>
      <sheetName val="plreview"/>
      <sheetName val="Acson"/>
      <sheetName val="Fore05"/>
      <sheetName val="Fore06"/>
      <sheetName val="Fore07"/>
      <sheetName val="Fore08"/>
      <sheetName val="Fur"/>
      <sheetName val="plreview (2)"/>
      <sheetName val="capex"/>
      <sheetName val="assump"/>
      <sheetName val="5Years"/>
      <sheetName val="Data Analysis"/>
      <sheetName val="Data Analysis-源"/>
      <sheetName val="Controls"/>
      <sheetName val="FY12 Controls List"/>
      <sheetName val="数据源"/>
      <sheetName val="透视"/>
      <sheetName val="Check"/>
      <sheetName val="Gmm02"/>
      <sheetName val="OYLM"/>
      <sheetName val="Bud02"/>
      <sheetName val="monthly graph"/>
      <sheetName val="kpi"/>
      <sheetName val="kpi (2)"/>
      <sheetName val="key items"/>
      <sheetName val="A9"/>
      <sheetName val="A10"/>
      <sheetName val="Exp"/>
      <sheetName val="TELEPHONE1_SEP01"/>
      <sheetName val="bcap (2)"/>
      <sheetName val="Rev03 (Q)"/>
      <sheetName val="GA"/>
      <sheetName val="Gmm03"/>
      <sheetName val="MAT graph"/>
      <sheetName val="A8"/>
      <sheetName val="Bud03"/>
      <sheetName val="Fore04"/>
      <sheetName val="SOP3 (2)"/>
      <sheetName val="SOP3"/>
      <sheetName val="PL02_SOP"/>
      <sheetName val="PL01_Detail"/>
      <sheetName val="PL02_Budget"/>
      <sheetName val="NJ"/>
      <sheetName val="源"/>
      <sheetName val="HVAC List"/>
      <sheetName val="Control List"/>
      <sheetName val="Installation List"/>
      <sheetName val="GY"/>
      <sheetName val="Data-源"/>
      <sheetName val="CQ"/>
      <sheetName val="BS-TRACK Invt,AR,AP,CASH"/>
      <sheetName val="AR &amp; Invt TOver Days"/>
      <sheetName val="MTHLY COMPARISON (USD)"/>
      <sheetName val="YTD &amp; MPY (USD)"/>
      <sheetName val="YTD &amp; MPY (RM)"/>
      <sheetName val="Attendance"/>
      <sheetName val="Meeting Minutes"/>
      <sheetName val="Product Improvement"/>
      <sheetName val="ARCHIVE"/>
      <sheetName val="Holidays"/>
      <sheetName val="Installation"/>
      <sheetName val="Bud00"/>
      <sheetName val="Mpy99"/>
      <sheetName val="Bep"/>
      <sheetName val="Xps"/>
      <sheetName val="Kra98"/>
      <sheetName val="Kra99"/>
      <sheetName val="5yr"/>
      <sheetName val="Roadmap"/>
      <sheetName val="Strutree"/>
      <sheetName val="BSheet"/>
      <sheetName val="Bip"/>
      <sheetName val="Equip Enquiry status FY19-20"/>
      <sheetName val="Equip Backlog @ month end"/>
      <sheetName val="sales review FY19"/>
      <sheetName val="Equip Booking Forecast"/>
      <sheetName val="Service Booking of the Month"/>
      <sheetName val="Service Enquiry status FY18"/>
      <sheetName val="Service Backlog @ month end"/>
      <sheetName val="Service Booking Forecast"/>
      <sheetName val="GP Analysis"/>
      <sheetName val="1.FY19 Result"/>
      <sheetName val="1.1 FY20 Forecast"/>
      <sheetName val="2.FY20 Inq Summary&amp;Rolling"/>
      <sheetName val="FitOutConfCentre"/>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Record"/>
      <sheetName val="Cover Page"/>
      <sheetName val="MAIN SUMMARY"/>
      <sheetName val="CC-Breakdown"/>
      <sheetName val="Preliminaries"/>
      <sheetName val="CS"/>
      <sheetName val="3.1.5B"/>
      <sheetName val="3.1.5D"/>
      <sheetName val="4.1.1B"/>
      <sheetName val="AR"/>
      <sheetName val="AR-BS"/>
      <sheetName val="AR-BLK"/>
      <sheetName val="EW"/>
      <sheetName val="MC"/>
      <sheetName val="vo submission =final"/>
      <sheetName val="vo submission =final(b)"/>
      <sheetName val="certification"/>
      <sheetName val="V.O."/>
      <sheetName val="V.O.s"/>
      <sheetName val="V.O.a"/>
      <sheetName val="Ecc"/>
      <sheetName val="Summary_daywk"/>
      <sheetName val="Daywork  "/>
      <sheetName val="Material "/>
      <sheetName val="Equipment "/>
      <sheetName val="Cash Flow"/>
      <sheetName val="Chart"/>
      <sheetName val="Monthly Chart"/>
      <sheetName val="TP"/>
      <sheetName val="PC &amp; PS"/>
      <sheetName val="P.Mgr's Monthly Report"/>
      <sheetName val="Annex A"/>
      <sheetName val="Annex B"/>
      <sheetName val="Annex C"/>
      <sheetName val="Annex D"/>
      <sheetName val="Annex E"/>
      <sheetName val="Annex F"/>
      <sheetName val="Annex G"/>
      <sheetName val="Annex H"/>
      <sheetName val="Annex I"/>
      <sheetName val="Annex J"/>
      <sheetName val="1. FY19 Forecast "/>
      <sheetName val="4'.ENQUIRY Summary CDU Type"/>
      <sheetName val="5.Necessry. Inq"/>
      <sheetName val="6.NEW INQUIRY REGISTERED"/>
      <sheetName val="7.Spec-in by SE"/>
      <sheetName val="8.Spec-in project list"/>
      <sheetName val="9.WONLIST"/>
      <sheetName val="10.LOST LIST"/>
      <sheetName val="11.TOTAL INQUIRY"/>
      <sheetName val="산근"/>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BOX구조해석 설명서"/>
      <sheetName val="간지"/>
      <sheetName val="설계조건"/>
      <sheetName val="단면가정"/>
      <sheetName val="좌표단면SPRING"/>
      <sheetName val="하중산정"/>
      <sheetName val="하중조합"/>
      <sheetName val="INPUT"/>
      <sheetName val="OUTPUT"/>
      <sheetName val="부재력요약"/>
      <sheetName val="철근량 검토"/>
      <sheetName val="우각부검토"/>
      <sheetName val="안정성검토"/>
      <sheetName val="철근배근"/>
      <sheetName val="OCT.FDN"/>
      <sheetName val="WIND"/>
      <sheetName val="SEISMIC"/>
      <sheetName val="SIZE"/>
      <sheetName val="EXT.CHECK"/>
      <sheetName val="A.B CHECK"/>
      <sheetName val="STR.ANA"/>
      <sheetName val="DESIGN"/>
      <sheetName val="REINF."/>
      <sheetName val="L &amp; K"/>
      <sheetName val="Module2"/>
      <sheetName val="OCT_FDN"/>
      <sheetName val="cover (2)"/>
      <sheetName val="design criteria"/>
      <sheetName val="design load"/>
      <sheetName val="plan&amp;section of foundation"/>
      <sheetName val="working load at the btm ft."/>
      <sheetName val="stability check"/>
      <sheetName val="soil bearing check"/>
      <sheetName val="pile bearing capa &amp; arrange"/>
      <sheetName val="pile reaction check"/>
      <sheetName val="member design"/>
      <sheetName val="rebar skech"/>
      <sheetName val="attachment"/>
      <sheetName val="earthquake(IS)"/>
      <sheetName val="rebar"/>
      <sheetName val="표지"/>
      <sheetName val="첨부"/>
      <sheetName val="목차"/>
      <sheetName val="D-623D"/>
      <sheetName val="D-623B"/>
      <sheetName val="갑지"/>
      <sheetName val=" Summary(Rev.)"/>
      <sheetName val="PM-MAN"/>
      <sheetName val="PM-MAN2"/>
      <sheetName val="PM_출장비"/>
      <sheetName val="PM복사비"/>
      <sheetName val="PM통신비"/>
      <sheetName val="검사용역비"/>
      <sheetName val="ENG'G"/>
      <sheetName val="ENG'G 경비"/>
      <sheetName val="ENG출장비"/>
      <sheetName val="ENG복사비"/>
      <sheetName val="PROCURE"/>
      <sheetName val="PROC운반비"/>
      <sheetName val="CONST"/>
      <sheetName val="Const(By YGN)"/>
      <sheetName val="가설시설"/>
      <sheetName val="현장MH"/>
      <sheetName val="현장MH(REV)"/>
      <sheetName val="현장경비"/>
      <sheetName val="시운전MH"/>
      <sheetName val="시운전 경비"/>
      <sheetName val="VENDOR"/>
      <sheetName val="OTHERS"/>
      <sheetName val="급료TABLE"/>
      <sheetName val="Proposed Payment Schedule"/>
      <sheetName val="Payment Schedule-Actual"/>
      <sheetName val="Cost Summary"/>
      <sheetName val="Progress Total"/>
      <sheetName val="Eng"/>
      <sheetName val="Procu-Cash in"/>
      <sheetName val="Procu-Cash Out"/>
      <sheetName val="Constr"/>
      <sheetName val="Chemical"/>
      <sheetName val="Comm &amp; PT"/>
      <sheetName val="Training"/>
      <sheetName val="Procure Pay-Sch"/>
      <sheetName val="기지국"/>
      <sheetName val="UB2"/>
      <sheetName val="공사내역"/>
      <sheetName val="찍기"/>
      <sheetName val="DRUM"/>
      <sheetName val="ACMV-Cost"/>
      <sheetName val="Blk A"/>
      <sheetName val="Blk B"/>
      <sheetName val="Blk C"/>
      <sheetName val="EV"/>
      <sheetName val="ACMV_Cost"/>
      <sheetName val="DEG. CONDITION"/>
      <sheetName val="견적 조건"/>
      <sheetName val="TEMP POWER(X)"/>
      <sheetName val="BQ"/>
      <sheetName val="general"/>
      <sheetName val="BASIS"/>
      <sheetName val="MHSHT1"/>
      <sheetName val="MHSHT2"/>
      <sheetName val="mob"/>
      <sheetName val="MTG_AUG.03"/>
      <sheetName val="BSD"/>
      <sheetName val="BSD 1"/>
      <sheetName val="BSD (2)"/>
      <sheetName val="제1안"/>
      <sheetName val="제2안"/>
      <sheetName val="토공"/>
      <sheetName val="금액대비"/>
      <sheetName val="토공가실행"/>
      <sheetName val="APT물량"/>
      <sheetName val="BSD물량"/>
      <sheetName val="Statistic (Out Dated)"/>
      <sheetName val="Statistic"/>
      <sheetName val="Cost Plan"/>
      <sheetName val="As per Packaging"/>
      <sheetName val="Sub Ctor Package"/>
      <sheetName val="Green Mark"/>
      <sheetName val="GM list"/>
      <sheetName val="Excl"/>
      <sheetName val="Footprint &amp; Lifts Cost"/>
      <sheetName val="Wall Tile"/>
      <sheetName val="Wdws"/>
      <sheetName val="Comparision"/>
      <sheetName val="CR1 n CR 3 Diff"/>
      <sheetName val="B1 &amp; B2"/>
      <sheetName val="Plot B summary"/>
      <sheetName val="Exclusion"/>
      <sheetName val="ME &amp; Fire"/>
      <sheetName val="Budget"/>
      <sheetName val="temporary"/>
      <sheetName val="overmst"/>
      <sheetName val="Temporary Works comparison"/>
      <sheetName val="Cost Comparison Sheet-BQ"/>
      <sheetName val="trade summary"/>
      <sheetName val="Tabulation of Key Changes"/>
      <sheetName val="CABLE&amp;WIRE"/>
      <sheetName val="FITTING"/>
      <sheetName val="PBS"/>
      <sheetName val="BULK"/>
      <sheetName val="LTG(PROCESS)"/>
      <sheetName val="LTG(CONTROLBLDG)"/>
      <sheetName val="PANELBOARD"/>
      <sheetName val="CONDUIT"/>
      <sheetName val="SHRINKABLE"/>
      <sheetName val="TERMINATIONKIT"/>
      <sheetName val="TB&amp;SPEAKER"/>
      <sheetName val="GND사급"/>
      <sheetName val="GND도급"/>
      <sheetName val="Start"/>
      <sheetName val="Flanges"/>
      <sheetName val="Spec807"/>
      <sheetName val="StorTemp"/>
      <sheetName val="Storage"/>
      <sheetName val="Navigation"/>
      <sheetName val="Printing"/>
      <sheetName val="Procedures"/>
      <sheetName val="Claim_Payment"/>
      <sheetName val="General Data"/>
      <sheetName val="2.1 기기설치공사"/>
      <sheetName val="Plumbing"/>
      <sheetName val="GI Duct Summary"/>
      <sheetName val="1st (Revised)"/>
      <sheetName val="1st (Tender)"/>
      <sheetName val="2nd (Revised)"/>
      <sheetName val="2nd (Tender)"/>
      <sheetName val="3rd (Revised)"/>
      <sheetName val="3rd (Tender)"/>
      <sheetName val="4th (Revised)"/>
      <sheetName val="4th (Tender)"/>
      <sheetName val="5th (Revised)"/>
      <sheetName val="5th (Tender)"/>
      <sheetName val="6th (Revised)"/>
      <sheetName val="6th (Tender)"/>
      <sheetName val="7th (Revised)"/>
      <sheetName val="7th (Tender)"/>
      <sheetName val="8th (Revised)"/>
      <sheetName val="8th (Tender)"/>
      <sheetName val="Roof (Revised)"/>
      <sheetName val="Roof (Tender)"/>
      <sheetName val="견적조건(국내가)"/>
      <sheetName val="견적조건(PROPOSAL)"/>
      <sheetName val="DOMESTIC"/>
      <sheetName val="Proposal"/>
      <sheetName val="PIVOT (2)"/>
      <sheetName val="SUMMARY (2)"/>
      <sheetName val="pile bearing capa &amp; arrenge"/>
      <sheetName val="plan_section of foundation"/>
      <sheetName val="working load at the btm ft_"/>
      <sheetName val="ITB COST"/>
      <sheetName val="laroux"/>
      <sheetName val="D-3503"/>
      <sheetName val="D_3503"/>
      <sheetName val="2F 회의실견적(5_14 일대)"/>
      <sheetName val="HORI. VESSEL"/>
      <sheetName val="ASCE7-95"/>
      <sheetName val="LOAD"/>
      <sheetName val="RING WALL"/>
      <sheetName val="사본 - 00-IOM"/>
      <sheetName val="사본%20-%2000-IOM.XLS"/>
      <sheetName val="1.1 가설공사"/>
      <sheetName val="1.2 토목공사"/>
      <sheetName val="1.3 건축공사"/>
      <sheetName val="1.4 철골공사"/>
      <sheetName val="2.2 배관공사"/>
      <sheetName val="2.3 보온공사"/>
      <sheetName val="2.4 도장공사"/>
      <sheetName val="2.5 HVAC공사"/>
      <sheetName val="3.1 전기공사"/>
      <sheetName val="3.2 계장공사"/>
      <sheetName val="MANHOLE TOTAL"/>
      <sheetName val="TYPE-ATOTAL"/>
      <sheetName val="TYPE-A1 SUM"/>
      <sheetName val="TYPE-A1 평균H"/>
      <sheetName val="TYPE-A1토사구간단위수량"/>
      <sheetName val="TYPE-A2 SUM"/>
      <sheetName val="TYPE-A2 평균H"/>
      <sheetName val="TYPE-A2토사구간단위수량"/>
      <sheetName val="TYPE-A3 SUM"/>
      <sheetName val="TYPE-A3 평균H"/>
      <sheetName val="TYPE-A3단위수량"/>
      <sheetName val="TYPE-BTOTAL"/>
      <sheetName val="TYPE-B SUM"/>
      <sheetName val="TYPE-B 평균H"/>
      <sheetName val="TYPE-B토사구간단위수량"/>
      <sheetName val="다이꾸"/>
      <sheetName val="L형조서"/>
      <sheetName val="맹암거조서"/>
      <sheetName val="U형조서"/>
      <sheetName val="V형조서"/>
      <sheetName val="종배수관조서"/>
      <sheetName val="게비온조서"/>
      <sheetName val="빗물받이조서"/>
      <sheetName val="반중력옹벽조서"/>
      <sheetName val="석축조서"/>
      <sheetName val="횡배수관조서"/>
      <sheetName val="집수정현황"/>
      <sheetName val="암 거조서"/>
      <sheetName val="연장집계표"/>
      <sheetName val="연장집계표.xls"/>
      <sheetName val="PAU_AHU_FCU"/>
      <sheetName val="Cooling Tower"/>
      <sheetName val="Pumps"/>
      <sheetName val="System Efficiency Cal"/>
      <sheetName val="Operating Schedule"/>
      <sheetName val="Lighting aircon"/>
      <sheetName val="Lighting non aircon"/>
      <sheetName val="Saving Calculation"/>
      <sheetName val="Load profile"/>
      <sheetName val="App"/>
      <sheetName val="Lift"/>
      <sheetName val="RECEP_LOAD"/>
      <sheetName val="CAR PARK"/>
      <sheetName val="SPLIT UNITS"/>
      <sheetName val="AIR_CON"/>
      <sheetName val="Domestic Pump"/>
      <sheetName val="Pumps (Alt)"/>
      <sheetName val="Plant Room Officiency"/>
      <sheetName val="Chiller Size"/>
      <sheetName val="CT Size"/>
      <sheetName val="Pumps Size"/>
      <sheetName val="Fix"/>
      <sheetName val="Fix2"/>
      <sheetName val="Fix 3"/>
      <sheetName val="V"/>
      <sheetName val="V2"/>
      <sheetName val="V3"/>
      <sheetName val="Mechanical"/>
      <sheetName val="ACMV"/>
      <sheetName val="Fire"/>
      <sheetName val="S&amp;P"/>
      <sheetName val="design data"/>
      <sheetName val="CAL(1)."/>
      <sheetName val="CAL(2)."/>
      <sheetName val="GD- D1102"/>
      <sheetName val="hori. vessel (E-851B)"/>
      <sheetName val="GD- D1206"/>
      <sheetName val="GD- E1203"/>
      <sheetName val="GD- E1206"/>
      <sheetName val="GD- E1106"/>
      <sheetName val="T 6-2"/>
      <sheetName val="T 6-7"/>
      <sheetName val="S-TABLE"/>
      <sheetName val="Cs-Std-011(2-2)"/>
      <sheetName val="전기"/>
      <sheetName val="ttl"/>
      <sheetName val="CONCRETE"/>
      <sheetName val="공사비예산서(토목분)"/>
      <sheetName val="Cost bd-&quot;A&quot;"/>
      <sheetName val="Sheet17"/>
      <sheetName val="BID"/>
      <sheetName val="piping"/>
      <sheetName val="부하계산서"/>
      <sheetName val="Instruction"/>
      <sheetName val="WORK-VOL"/>
      <sheetName val="BACK DATA"/>
      <sheetName val="내역서"/>
      <sheetName val="BM DATA SHEET"/>
      <sheetName val="전차선로 물량표"/>
      <sheetName val="가상data"/>
      <sheetName val="정부노임단가"/>
      <sheetName val="LINE_LIST"/>
      <sheetName val="PLAN_FEB97"/>
      <sheetName val="Cal"/>
      <sheetName val="REBAR SKETCH"/>
      <sheetName val="간지1"/>
      <sheetName val="간지2"/>
      <sheetName val="SAPIN"/>
      <sheetName val="간지3"/>
      <sheetName val="SAPOUT"/>
      <sheetName val="SETTLEMENT"/>
      <sheetName val="DATE"/>
      <sheetName val="관경고용테이프수집"/>
      <sheetName val="관경고용산근"/>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Trade"/>
      <sheetName val="PILE지지력"/>
      <sheetName val="milebase (6)"/>
      <sheetName val="안내"/>
      <sheetName val="Geaph (LGEN)"/>
      <sheetName val="Graph (LGEN)"/>
      <sheetName val="Graph (LGEN, 원가율 87%)"/>
      <sheetName val="Graph (LGEN+ Lurgi)"/>
      <sheetName val="Graph (Lurgi)"/>
      <sheetName val="Balance (이자계산,원가율 100%)"/>
      <sheetName val="Balance (이자계산,87%)"/>
      <sheetName val="Balance (이자계산,원가율 92%)"/>
      <sheetName val="in_progress"/>
      <sheetName val="milebase (5)"/>
      <sheetName val="out_prog"/>
      <sheetName val="선적schedule (2)"/>
      <sheetName val="old"/>
      <sheetName val="선적schedule"/>
      <sheetName val="Milestone schedule"/>
      <sheetName val="Graph _LGEN_"/>
      <sheetName val="선적schedule _2_"/>
      <sheetName val="TIE-INS"/>
      <sheetName val="Payment_Cash Balance"/>
      <sheetName val="Summary Sheets"/>
      <sheetName val="SKETCH"/>
      <sheetName val="LOADS"/>
      <sheetName val="CHECK1"/>
      <sheetName val="WIND&amp;THER."/>
      <sheetName val="CHECK2"/>
      <sheetName val="REINF_"/>
      <sheetName val="설명서"/>
      <sheetName val="안정계산"/>
      <sheetName val="말뚝설계"/>
      <sheetName val="단면검토"/>
      <sheetName val="교좌받침부"/>
      <sheetName val="날개벽(TYPE1)"/>
      <sheetName val="날개벽(TYPE2)"/>
      <sheetName val="날개벽(TYPE3)"/>
      <sheetName val="접속슬래브"/>
      <sheetName val="Title"/>
      <sheetName val="CAL."/>
      <sheetName val="CAL_"/>
      <sheetName val="POWER"/>
      <sheetName val="UBC(WIND)"/>
      <sheetName val="Rebarsize"/>
      <sheetName val="static.cal"/>
      <sheetName val="자료"/>
      <sheetName val="추가사항"/>
      <sheetName val="부재력정리"/>
      <sheetName val="개요"/>
      <sheetName val="WIND EQ"/>
      <sheetName val="APPENDIX1"/>
      <sheetName val="APPENDIX2"/>
      <sheetName val="GeneralNote"/>
      <sheetName val="SubSum"/>
      <sheetName val="TYPE-1"/>
      <sheetName val="TYPE-2"/>
      <sheetName val="TYPE-3"/>
      <sheetName val="TYPE-4"/>
      <sheetName val="TYPE-5"/>
      <sheetName val="TYPE-6 Tank Fdn"/>
      <sheetName val="TYPE-7 Ring Wall"/>
      <sheetName val="TYPE-8 Ball Tank"/>
      <sheetName val="Sump-MH-CB"/>
      <sheetName val="Trench (Conc)"/>
      <sheetName val="Duct Bank"/>
      <sheetName val="Dike (Conc)"/>
      <sheetName val="U-Ditch (Conc)"/>
      <sheetName val="Other Ditch"/>
      <sheetName val="UG Pit (Conc)"/>
      <sheetName val="Pond_Embankment"/>
      <sheetName val="UG Pipe &amp; Cable"/>
      <sheetName val="Steel Work"/>
      <sheetName val="Road-paving (asphalt)"/>
      <sheetName val="Road-paving (conc)"/>
      <sheetName val="Other Add BM"/>
      <sheetName val="steel data sheet"/>
      <sheetName val="Initialize"/>
      <sheetName val="ACPCTPW"/>
      <sheetName val="Chillers"/>
      <sheetName val="CTs"/>
      <sheetName val="FCU (2)"/>
      <sheetName val="conents"/>
      <sheetName val="CRITERIA"/>
      <sheetName val="SPRING"/>
      <sheetName val="DAMPING"/>
      <sheetName val="soil data"/>
      <sheetName val="CONFORM NODE"/>
      <sheetName val="anc."/>
      <sheetName val="TDAT"/>
      <sheetName val="가설건물"/>
      <sheetName val="시추조사비"/>
      <sheetName val="측량조사수량산출근거"/>
      <sheetName val="측량수량집계"/>
      <sheetName val="가도공"/>
      <sheetName val="precast"/>
      <sheetName val="감독차량비"/>
      <sheetName val="시험비(선정)"/>
      <sheetName val="시험비(관리)"/>
      <sheetName val="교통관리비"/>
      <sheetName val="가도표지판"/>
      <sheetName val="forms"/>
      <sheetName val="CTs "/>
      <sheetName val="fans(sil)"/>
      <sheetName val="FCUs"/>
      <sheetName val="ahus"/>
      <sheetName val="CTPW"/>
      <sheetName val="ACPW"/>
      <sheetName val="RE-BAR"/>
      <sheetName val="Variation Orders(Elect)"/>
      <sheetName val="Variation Orders(Mech) "/>
      <sheetName val="Variation Orders_Elect_"/>
      <sheetName val="Variation Orders_Mech_ "/>
      <sheetName val="ASCEandUBC"/>
      <sheetName val="ASCE"/>
      <sheetName val="w_t table"/>
      <sheetName val=" 갑지"/>
      <sheetName val="G&amp;D"/>
      <sheetName val="Damper"/>
      <sheetName val="Diffuser"/>
      <sheetName val="Louvre"/>
      <sheetName val="QTY"/>
      <sheetName val="Chillers (Delta T=14 deg F)"/>
      <sheetName val="C-Towers (Delta T=10 deg F)"/>
      <sheetName val="CHWPs &amp; CWPs"/>
      <sheetName val="AHU LOOKUP"/>
      <sheetName val="AHU  (Delta T=14 deg F)"/>
      <sheetName val="FCU (CHW)"/>
      <sheetName val="ACSU (DX)"/>
      <sheetName val="FCU LOOKUP"/>
      <sheetName val="CHWP SIZING"/>
      <sheetName val="CWP SIZING"/>
      <sheetName val="AC Make-Up Tank Sizing"/>
      <sheetName val="WCC"/>
      <sheetName val="Pump"/>
      <sheetName val="Solar Heat Storage Tank"/>
      <sheetName val="NCT"/>
      <sheetName val="SOLAR COLLECTOR PANEL"/>
      <sheetName val="CT"/>
      <sheetName val="Air Filter"/>
      <sheetName val="HVLS"/>
      <sheetName val="HVHS"/>
      <sheetName val="VRV &amp; SPLIT"/>
      <sheetName val="MD"/>
      <sheetName val="EAC"/>
      <sheetName val="PRD"/>
      <sheetName val="Silencer"/>
      <sheetName val="VAV"/>
      <sheetName val="Drop Down 2"/>
      <sheetName val="Drop Down"/>
      <sheetName val="G&amp;D (BQ SUMMARY)"/>
      <sheetName val="spec table"/>
      <sheetName val="DOCUMENT LIST"/>
      <sheetName val="DAKIN-LG MODELS LIST"/>
      <sheetName val="COP comparison (calculated)"/>
      <sheetName val="COP comparison (catalogue)"/>
      <sheetName val="Size Comparison"/>
      <sheetName val="Pump Head"/>
      <sheetName val="Max piping length"/>
      <sheetName val="Noise Level"/>
      <sheetName val="COP Table "/>
      <sheetName val="Form 1"/>
      <sheetName val="HVAC Equipment List (2)"/>
      <sheetName val="HVAC"/>
      <sheetName val="Form 3"/>
      <sheetName val="Form 4"/>
      <sheetName val="Definition"/>
      <sheetName val="Cover Shee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Cash2"/>
      <sheetName val="Z"/>
      <sheetName val="VC2 9.98"/>
      <sheetName val="TUAS"/>
      <sheetName val="유림골조"/>
      <sheetName val="STAND20"/>
      <sheetName val="직원동원SCH"/>
      <sheetName val="수입"/>
      <sheetName val="h-013211-2"/>
      <sheetName val="공통비총괄표"/>
      <sheetName val="손익차9월2"/>
      <sheetName val="11월 실적"/>
      <sheetName val="slipsumpR"/>
      <sheetName val="간접비 총괄표"/>
      <sheetName val="VC2 8.98"/>
      <sheetName val="개시전표"/>
      <sheetName val="공사집계"/>
      <sheetName val="카메라"/>
      <sheetName val="TOWER 12TON"/>
      <sheetName val="TOWER 10TON"/>
      <sheetName val="잡비계산"/>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구조직"/>
      <sheetName val="데이타"/>
      <sheetName val="식재인부"/>
      <sheetName val="JIB CRANE,HOIST"/>
      <sheetName val="집계표(육상)"/>
      <sheetName val="지급자재"/>
      <sheetName val="PRO_DCI"/>
      <sheetName val="ELEC_DCI"/>
      <sheetName val="INST_DCI"/>
      <sheetName val="연돌일위집계"/>
      <sheetName val="집계표"/>
      <sheetName val="P.M 별"/>
      <sheetName val="8.PILE  (돌출)"/>
      <sheetName val="사업부배부A"/>
      <sheetName val="BM"/>
      <sheetName val="청산공사"/>
      <sheetName val="수주추진리스트"/>
      <sheetName val="TK판매비impact"/>
      <sheetName val="TK판매비"/>
      <sheetName val="수주집계"/>
      <sheetName val="TK외판매비impact"/>
      <sheetName val="Vendors"/>
      <sheetName val="금액내역서"/>
      <sheetName val="6PILE  (돌출)"/>
      <sheetName val="예정(3)"/>
      <sheetName val="기준"/>
      <sheetName val="4.0 (2)"/>
      <sheetName val="예가표"/>
      <sheetName val="지급제한자"/>
      <sheetName val="2000.11월설계내역"/>
      <sheetName val="주관사업"/>
      <sheetName val="발주코드"/>
      <sheetName val="운반"/>
      <sheetName val="단중"/>
      <sheetName val="품셈표"/>
      <sheetName val="을지"/>
      <sheetName val="안전장치"/>
      <sheetName val="HKDSUMM"/>
      <sheetName val="산거각호표"/>
      <sheetName val="2.1.2예정공정율(칼라)"/>
      <sheetName val="일위대가"/>
      <sheetName val="단가대비표"/>
      <sheetName val="일위대가(가설)"/>
      <sheetName val="ITC현황"/>
      <sheetName val="ITC 현황"/>
      <sheetName val="가격조사서"/>
      <sheetName val="대비표(실행)"/>
      <sheetName val="현장관리비증감내역"/>
      <sheetName val="부대공사비(실행)"/>
      <sheetName val="내역서(ITC)"/>
      <sheetName val="업체별SV단가"/>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M-EQPT-Z"/>
      <sheetName val="BQMPALOC"/>
      <sheetName val="부대집계표(목표반영)"/>
      <sheetName val="배수내역"/>
      <sheetName val="BQMP"/>
      <sheetName val="Rate Analysis"/>
      <sheetName val="15 문제점"/>
      <sheetName val="공사비집계"/>
      <sheetName val="_"/>
      <sheetName val="REPORT07"/>
      <sheetName val="소화실적"/>
      <sheetName val="단가비교"/>
      <sheetName val="매각(6)"/>
      <sheetName val="95삼성급(본사)"/>
      <sheetName val="99년하반기"/>
      <sheetName val="상반기손익차2총괄"/>
      <sheetName val="공문"/>
      <sheetName val="과제정의서"/>
      <sheetName val="노동부"/>
      <sheetName val="등급기준"/>
      <sheetName val="드롭다운"/>
      <sheetName val="5사남"/>
      <sheetName val="Disc WF (최종)"/>
      <sheetName val="Weekly WV %"/>
      <sheetName val="구분정의"/>
      <sheetName val="산출근거"/>
      <sheetName val="차트 (2)"/>
      <sheetName val="수지계산"/>
      <sheetName val="안산기계장치"/>
      <sheetName val="업무분장"/>
      <sheetName val="Work Trade Code"/>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목록 &amp; 환율표"/>
      <sheetName val="4.3물량INDEX검토"/>
      <sheetName val="DHEQSUPT"/>
      <sheetName val="건설기계"/>
      <sheetName val="노임"/>
      <sheetName val="단가산출"/>
      <sheetName val="사급자재"/>
      <sheetName val="SHEET"/>
      <sheetName val="토목"/>
      <sheetName val="인원계획"/>
      <sheetName val="연수원"/>
      <sheetName val="97년 SEACO예산"/>
      <sheetName val="영업소실적"/>
      <sheetName val="MEED"/>
      <sheetName val="HO ENG MH CAL"/>
      <sheetName val="MAN-Sch"/>
      <sheetName val="고압수량(철거)"/>
      <sheetName val="INSTR"/>
      <sheetName val="INPUT DATA"/>
      <sheetName val="CAT_5"/>
      <sheetName val="Base_Data"/>
      <sheetName val="Factor"/>
      <sheetName val="7.2세부 부하계산서"/>
      <sheetName val="Condition"/>
      <sheetName val="PRC_BDWN-95"/>
      <sheetName val="기계내역서"/>
      <sheetName val="CIVIL BOQ"/>
      <sheetName val="RAW COST SUMMARY"/>
      <sheetName val="BLDG BOQ"/>
      <sheetName val="rate analyses"/>
      <sheetName val="HO_ENG_MH_CAL"/>
      <sheetName val="7_2세부_부하계산서"/>
      <sheetName val="INPUT_DATA"/>
      <sheetName val="EQ Total"/>
      <sheetName val="jobhist"/>
      <sheetName val="COVER-P"/>
      <sheetName val="TDIBM1"/>
      <sheetName val="UG_BOM"/>
      <sheetName val="목표세부명세"/>
      <sheetName val="PRC-SUM"/>
      <sheetName val="costing_CV"/>
      <sheetName val="eq_data"/>
      <sheetName val="PUMP_SHT"/>
      <sheetName val="costing_ESDV"/>
      <sheetName val="costing_FE"/>
      <sheetName val="General_Data"/>
      <sheetName val="costing_Misc"/>
      <sheetName val="costing_MOV"/>
      <sheetName val="costing_Press"/>
      <sheetName val="3004-2"/>
      <sheetName val="_갑지1"/>
      <sheetName val="노임 단가"/>
      <sheetName val="Price Detail"/>
      <sheetName val="Settings"/>
      <sheetName val="DS Oil System"/>
      <sheetName val="footing"/>
      <sheetName val="HO_ENG_MH_CAL1"/>
      <sheetName val="7_2세부_부하계산서1"/>
      <sheetName val="INPUT_DATA1"/>
      <sheetName val="KP1590_E"/>
      <sheetName val="CASH"/>
      <sheetName val="BLDG_DCI"/>
      <sheetName val="BLDG_MCI"/>
      <sheetName val="LABCOST"/>
      <sheetName val="DB@Acess"/>
      <sheetName val="Civil"/>
      <sheetName val="HVAC_DCI"/>
      <sheetName val="PIPE_DCI"/>
      <sheetName val="Al-Suwaidi"/>
      <sheetName val="_갑지"/>
      <sheetName val="ITB_COST"/>
      <sheetName val="CIVIL_BOQ"/>
      <sheetName val="RAW_COST_SUMMARY"/>
      <sheetName val="BLDG_BOQ"/>
      <sheetName val="rate_analyses"/>
      <sheetName val="Pjt Data"/>
      <sheetName val="PIPE도장"/>
      <sheetName val="2.배관"/>
      <sheetName val="도"/>
      <sheetName val="수량증감대비표"/>
      <sheetName val="PIPE (SG)-발수"/>
      <sheetName val="E45(SG)-발수"/>
      <sheetName val="E90(SG)-발수"/>
      <sheetName val="lookup"/>
      <sheetName val="M 11"/>
      <sheetName val="insulation"/>
      <sheetName val="PIPE"/>
      <sheetName val="ANA&amp;DESIGN&amp;REINF ."/>
      <sheetName val="PRIMARY LOAD"/>
      <sheetName val="DIMENSION"/>
      <sheetName val="Code"/>
      <sheetName val="calc"/>
      <sheetName val="수량산출1"/>
      <sheetName val="수량산출2"/>
      <sheetName val="수량산출3"/>
      <sheetName val="수량산출4"/>
      <sheetName val="AOP Summary-2"/>
      <sheetName val="부표총괄"/>
      <sheetName val="공사비증감"/>
      <sheetName val="할증 "/>
      <sheetName val="내역"/>
      <sheetName val="F4-F7"/>
      <sheetName val="Taux"/>
      <sheetName val="월별"/>
      <sheetName val="DATA1"/>
      <sheetName val="OIL SYST DATA SHTS"/>
      <sheetName val="Compressors"/>
      <sheetName val="Default"/>
      <sheetName val="원본"/>
      <sheetName val="뜃맟뭁돽띿맟?-BLDG"/>
      <sheetName val="cable-data"/>
      <sheetName val="금융비용"/>
      <sheetName val="Prioriry"/>
      <sheetName val="피벗테이블"/>
      <sheetName val="trf(36%)"/>
      <sheetName val="공사비 분석표"/>
      <sheetName val="MEXICO-C"/>
      <sheetName val="전기공사"/>
      <sheetName val="Food court "/>
      <sheetName val="무시"/>
      <sheetName val="9-1차이내역"/>
      <sheetName val="97 사업추정(WEKI)"/>
      <sheetName val="회사99"/>
      <sheetName val="노원열병합  건축공사기성내역서"/>
      <sheetName val="K"/>
      <sheetName val="IT-BAT"/>
      <sheetName val="TOEC"/>
      <sheetName val="세금자료"/>
      <sheetName val="직원동원계획"/>
      <sheetName val="요약배부"/>
      <sheetName val="WBS"/>
      <sheetName val="Inst_Type"/>
      <sheetName val="Loop Type"/>
      <sheetName val="인사자료총집계"/>
      <sheetName val="parts-V2"/>
      <sheetName val="BOQ"/>
      <sheetName val="골조시행"/>
      <sheetName val="March"/>
      <sheetName val="MAN-STD"/>
      <sheetName val="LENTH"/>
      <sheetName val="Resource table"/>
      <sheetName val="뜃맟뭁돽띿맟_-BLDG"/>
      <sheetName val="[TDIBM1.X೺_x0000_ഈ_x0000__x0000__x0000__x0000__x0000_G_MH_CAL"/>
      <sheetName val="Invoice (Summary)"/>
      <sheetName val="Invoice (IBL)"/>
      <sheetName val="Invoice (OBL)"/>
      <sheetName val="HO_ENG_MH_CAL2"/>
      <sheetName val="7_2세부_부하계산서2"/>
      <sheetName val="INPUT_DATA2"/>
      <sheetName val="_갑지2"/>
      <sheetName val="EQ_Total"/>
      <sheetName val="CIVIL_BOQ1"/>
      <sheetName val="RAW_COST_SUMMARY1"/>
      <sheetName val="BLDG_BOQ1"/>
      <sheetName val="rate_analyses1"/>
      <sheetName val="Price_Detail"/>
      <sheetName val="DS_Oil_System"/>
      <sheetName val="ITB_COST1"/>
      <sheetName val="노임_단가"/>
      <sheetName val="AOP_Summary-2"/>
      <sheetName val="Pjt_Data"/>
      <sheetName val="plan&amp;section_of_foundation"/>
      <sheetName val="pile_bearing_capa_&amp;_arrenge"/>
      <sheetName val="design_load"/>
      <sheetName val="working_load_at_the_btm_ft_"/>
      <sheetName val="stability_check"/>
      <sheetName val="design_criteria"/>
      <sheetName val="2_배관"/>
      <sheetName val="SG"/>
      <sheetName val="말뚝지지력산정"/>
      <sheetName val="L V Separator"/>
      <sheetName val="실행(1)"/>
      <sheetName val="3.Breakdown Direct Instrument"/>
      <sheetName val="Inside building Summary"/>
      <sheetName val="SYS_DB"/>
      <sheetName val="CB"/>
      <sheetName val="Vertical FDN-12"/>
      <sheetName val="Pump FDN-1"/>
      <sheetName val="Horizontal Vessel FDN-1"/>
      <sheetName val="_TDIBM1.X೺"/>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12CGOU"/>
      <sheetName val="HO_ENG_MH_CAL3"/>
      <sheetName val="INPUT_DATA3"/>
      <sheetName val="7_2세부_부하계산서3"/>
      <sheetName val="_갑지3"/>
      <sheetName val="EQ_Total1"/>
      <sheetName val="CIVIL_BOQ2"/>
      <sheetName val="RAW_COST_SUMMARY2"/>
      <sheetName val="BLDG_BOQ2"/>
      <sheetName val="rate_analyses2"/>
      <sheetName val="Price_Detail1"/>
      <sheetName val="ITB_COST2"/>
      <sheetName val="DS_Oil_System1"/>
      <sheetName val="노임_단가1"/>
      <sheetName val="AOP_Summary-21"/>
      <sheetName val="plan&amp;section_of_foundation1"/>
      <sheetName val="pile_bearing_capa_&amp;_arrenge1"/>
      <sheetName val="design_load1"/>
      <sheetName val="working_load_at_the_btm_ft_1"/>
      <sheetName val="stability_check1"/>
      <sheetName val="design_criteria1"/>
      <sheetName val="Pjt_Data1"/>
      <sheetName val="2_배관1"/>
      <sheetName val="M_11"/>
      <sheetName val="PIPE_(SG)-발수"/>
      <sheetName val="TYPE-B_평균H"/>
      <sheetName val="ANA&amp;DESIGN&amp;REINF__"/>
      <sheetName val="PRIMARY_LOAD"/>
      <sheetName val="EXT_CHECK"/>
      <sheetName val="할증_"/>
      <sheetName val="Invoice_(Summary)"/>
      <sheetName val="Invoice_(IBL)"/>
      <sheetName val="Invoice_(OBL)"/>
      <sheetName val="OIL_SYST_DATA_SHTS"/>
      <sheetName val="Loop_Type"/>
      <sheetName val="공사비_분석표"/>
      <sheetName val="Resource_table"/>
      <sheetName val="[TDIBM1_X೺ഈG_MH_CAL"/>
      <sheetName val="Food_court_"/>
      <sheetName val="97_사업추정(WEKI)"/>
      <sheetName val="노원열병합__건축공사기성내역서"/>
      <sheetName val="BACK_DATA"/>
      <sheetName val="총괄내역서"/>
      <sheetName val="상세내역"/>
      <sheetName val="시간별적산"/>
      <sheetName val="NO.3.PTA PLANT SD COST"/>
      <sheetName val="비교원RD-S"/>
      <sheetName val="9904"/>
      <sheetName val="9908"/>
      <sheetName val="9912"/>
      <sheetName val="9902"/>
      <sheetName val="9901"/>
      <sheetName val="9907"/>
      <sheetName val="9906"/>
      <sheetName val="9903"/>
      <sheetName val="9905"/>
      <sheetName val="9911"/>
      <sheetName val="9910"/>
      <sheetName val="9909"/>
      <sheetName val="STA &amp; SEC"/>
      <sheetName val="GRACE"/>
      <sheetName val="major"/>
      <sheetName val="창고"/>
      <sheetName val="intake"/>
      <sheetName val="_TDIBM1.X೺_x005f_x0000_ഈ_x005f_x0000__x0000"/>
      <sheetName val="_TDIBM1_X೺ഈG_MH_CAL"/>
      <sheetName val="inter"/>
      <sheetName val="Inert Balls"/>
      <sheetName val="Overall Status"/>
      <sheetName val="wagerate"/>
      <sheetName val="ENG_prog"/>
      <sheetName val="Resource summary"/>
      <sheetName val="bdown"/>
      <sheetName val="CostDB"/>
      <sheetName val="실행자재"/>
      <sheetName val="Resource"/>
      <sheetName val="Break Down"/>
      <sheetName val="Valve List (Priced)"/>
      <sheetName val="Tbl 1y 4"/>
      <sheetName val="BELİRLENECEKLER"/>
      <sheetName val="명판"/>
      <sheetName val="내"/>
      <sheetName val="[TDIBM1.X೺_x005f_x0000_ഈ_x005f_x0000__x0000"/>
      <sheetName val="양수장(기계)"/>
      <sheetName val="Kredi Risk Alt_Grup"/>
      <sheetName val="Banka"/>
      <sheetName val="Tür"/>
      <sheetName val="Ana Gruplar"/>
      <sheetName val="ÖdemeTahsilat"/>
      <sheetName val="Kullanıcı"/>
      <sheetName val="Attachment 1"/>
      <sheetName val="Ex Rate"/>
      <sheetName val="B.5_Control Valve"/>
      <sheetName val="코드"/>
      <sheetName val="[TDIBM1.X೺"/>
      <sheetName val="Database"/>
      <sheetName val="자바라1"/>
      <sheetName val="해외 연수비용 계산-삭제"/>
      <sheetName val="해외 기술훈련비 (합계)"/>
      <sheetName val="실행산출근거"/>
      <sheetName val="RFP002"/>
      <sheetName val="_TDIBM1.X೺_x0000_ഈ_x0000__x0000__x0000__x0000__x0000_G_MH_CAL"/>
      <sheetName val="Rates"/>
      <sheetName val="A(Rev.3)"/>
      <sheetName val="HO_ENG_MH_CAL4"/>
      <sheetName val="7_2세부_부하계산서4"/>
      <sheetName val="INPUT_DATA4"/>
      <sheetName val="_갑지4"/>
      <sheetName val="EQ_Total2"/>
      <sheetName val="CIVIL_BOQ3"/>
      <sheetName val="RAW_COST_SUMMARY3"/>
      <sheetName val="BLDG_BOQ3"/>
      <sheetName val="rate_analyses3"/>
      <sheetName val="ITB_COST3"/>
      <sheetName val="DS_Oil_System2"/>
      <sheetName val="Price_Detail2"/>
      <sheetName val="노임_단가2"/>
      <sheetName val="Pjt_Data2"/>
      <sheetName val="M_111"/>
      <sheetName val="공사비_분석표1"/>
      <sheetName val="plan&amp;section_of_foundation2"/>
      <sheetName val="pile_bearing_capa_&amp;_arrenge2"/>
      <sheetName val="design_load2"/>
      <sheetName val="working_load_at_the_btm_ft_2"/>
      <sheetName val="stability_check2"/>
      <sheetName val="design_criteria2"/>
      <sheetName val="2_배관2"/>
      <sheetName val="AOP_Summary-22"/>
      <sheetName val="PIPE_(SG)-발수1"/>
      <sheetName val="TYPE-B_평균H1"/>
      <sheetName val="ANA&amp;DESIGN&amp;REINF__1"/>
      <sheetName val="PRIMARY_LOAD1"/>
      <sheetName val="EXT_CHECK1"/>
      <sheetName val="OIL_SYST_DATA_SHTS1"/>
      <sheetName val="할증_1"/>
      <sheetName val="Loop_Type1"/>
      <sheetName val="Resource_table1"/>
      <sheetName val="Invoice_(Summary)1"/>
      <sheetName val="Invoice_(IBL)1"/>
      <sheetName val="Invoice_(OBL)1"/>
      <sheetName val="REINF_1"/>
      <sheetName val="Food_court_1"/>
      <sheetName val="97_사업추정(WEKI)1"/>
      <sheetName val="노원열병합__건축공사기성내역서1"/>
      <sheetName val="BACK_DATA1"/>
      <sheetName val="HO_ENG_MH_CAL5"/>
      <sheetName val="7_2세부_부하계산서5"/>
      <sheetName val="INPUT_DATA5"/>
      <sheetName val="Eq__Mobilization4"/>
      <sheetName val="_갑지5"/>
      <sheetName val="EQ_Total3"/>
      <sheetName val="CIVIL_BOQ4"/>
      <sheetName val="RAW_COST_SUMMARY4"/>
      <sheetName val="BLDG_BOQ4"/>
      <sheetName val="rate_analyses4"/>
      <sheetName val="ITB_COST4"/>
      <sheetName val="DS_Oil_System3"/>
      <sheetName val="Price_Detail3"/>
      <sheetName val="노임_단가3"/>
      <sheetName val="Pjt_Data3"/>
      <sheetName val="M_112"/>
      <sheetName val="공사비_분석표2"/>
      <sheetName val="plan&amp;section_of_foundation3"/>
      <sheetName val="pile_bearing_capa_&amp;_arrenge3"/>
      <sheetName val="design_load3"/>
      <sheetName val="working_load_at_the_btm_ft_3"/>
      <sheetName val="stability_check3"/>
      <sheetName val="design_criteria3"/>
      <sheetName val="2_배관3"/>
      <sheetName val="AOP_Summary-23"/>
      <sheetName val="PIPE_(SG)-발수2"/>
      <sheetName val="TYPE-B_평균H2"/>
      <sheetName val="ANA&amp;DESIGN&amp;REINF__2"/>
      <sheetName val="PRIMARY_LOAD2"/>
      <sheetName val="EXT_CHECK2"/>
      <sheetName val="OIL_SYST_DATA_SHTS2"/>
      <sheetName val="할증_2"/>
      <sheetName val="Loop_Type2"/>
      <sheetName val="Resource_table2"/>
      <sheetName val="Invoice_(Summary)2"/>
      <sheetName val="Invoice_(IBL)2"/>
      <sheetName val="Invoice_(OBL)2"/>
      <sheetName val="간접비_총괄표2"/>
      <sheetName val="REINF_2"/>
      <sheetName val="Food_court_2"/>
      <sheetName val="97_사업추정(WEKI)2"/>
      <sheetName val="노원열병합__건축공사기성내역서2"/>
      <sheetName val="BACK_DATA2"/>
      <sheetName val="CDU (성창) Master"/>
      <sheetName val="환율"/>
      <sheetName val="TC"/>
      <sheetName val="activity"/>
      <sheetName val="PROGRESS"/>
      <sheetName val="_TDIBM1.X೺_x005f_x005f_x005f_x0000_ഈ_x005f_x005f_"/>
      <sheetName val=" "/>
      <sheetName val="투찰"/>
      <sheetName val="토목주소"/>
      <sheetName val="프랜트면허"/>
      <sheetName val="노단"/>
      <sheetName val="36단가"/>
      <sheetName val="36수량"/>
      <sheetName val="주행"/>
      <sheetName val="choose"/>
      <sheetName val="cwork"/>
      <sheetName val="토목 Utility Schedule (2)"/>
      <sheetName val="Currency &amp; Other Cost"/>
      <sheetName val=" Sum"/>
      <sheetName val="Eng_Hrs (HO)"/>
      <sheetName val="LOB"/>
      <sheetName val="Rate_Analysis"/>
      <sheetName val="3_Breakdown_Direct_Instrument"/>
      <sheetName val="Inside_building_Summary"/>
      <sheetName val="L_V_Separator"/>
      <sheetName val="_TDIBM1_X೺"/>
      <sheetName val="Vertical_FDN-12"/>
      <sheetName val="Pump_FDN-1"/>
      <sheetName val="Horizontal_Vessel_FDN-1"/>
      <sheetName val="NO_3_PTA_PLANT_SD_COST"/>
      <sheetName val="STA_&amp;_SEC"/>
      <sheetName val="_TDIBM1_X೺_x005f_x0000_ഈ_x005f_x0000__x0000"/>
      <sheetName val="Valve_List_(Priced)"/>
      <sheetName val="Flaer_Area"/>
      <sheetName val="Tbl_1y_4"/>
      <sheetName val="[TDIBM1_X೺"/>
      <sheetName val="Resource_summary"/>
      <sheetName val="Break_Down"/>
      <sheetName val="Inert_Balls"/>
      <sheetName val="CDU_(성창)_Master"/>
      <sheetName val="Overall_Status"/>
      <sheetName val="[TDIBM1_X೺_x005f_x0000_ഈ_x005f_x0000__x0000"/>
      <sheetName val="_TDIBM1_X೺_x005f_x005f_x005f_x0000_ഈ_x005f_x005f_"/>
      <sheetName val="Kredi_Risk_Alt_Grup"/>
      <sheetName val="Ana_Gruplar"/>
      <sheetName val="Attachment_1"/>
      <sheetName val="Ex_Rate"/>
      <sheetName val="B_5_Control_Valve"/>
      <sheetName val="해외_연수비용_계산-삭제"/>
      <sheetName val="해외_기술훈련비_(합계)"/>
      <sheetName val="A(Rev_3)"/>
      <sheetName val="현장관리비 산출내역"/>
      <sheetName val="입찰안"/>
      <sheetName val="받은드럼"/>
      <sheetName val="드럼확인 배출"/>
      <sheetName val="pulling"/>
      <sheetName val="NGLE_PLANT"/>
      <sheetName val="편집"/>
      <sheetName val="JB 명판인쇄"/>
      <sheetName val="IDB루트"/>
      <sheetName val="덕트뱅크 (2)"/>
      <sheetName val="플링 갑지"/>
      <sheetName val=" 배관자재비-SKEC구매분"/>
      <sheetName val="보온자재단가표"/>
      <sheetName val="VUOTO"/>
      <sheetName val="FLANGE"/>
      <sheetName val="VALVE"/>
      <sheetName val="EQT-ESTN"/>
      <sheetName val="INSTLIST 1"/>
      <sheetName val="steam table"/>
      <sheetName val="PNTEXT"/>
      <sheetName val="기성내역"/>
      <sheetName val="Price Schedule(Piping)"/>
      <sheetName val="LinerWt"/>
      <sheetName val="입찰내역 발주처 양식"/>
      <sheetName val="QT003-SSY-철골3"/>
      <sheetName val="BQ List"/>
      <sheetName val="Takeoff"/>
      <sheetName val="studbolt no."/>
      <sheetName val="studbolt size"/>
      <sheetName val="item sort no"/>
      <sheetName val="EQUIP"/>
      <sheetName val="1. 총괄"/>
      <sheetName val="금융"/>
      <sheetName val="Curves"/>
      <sheetName val="Tables"/>
      <sheetName val="XZLC004_PART2"/>
      <sheetName val="XZLC003_PART1"/>
      <sheetName val="IMPEADENCE MAP 취수장"/>
      <sheetName val="기기리스트"/>
      <sheetName val="자금운영"/>
      <sheetName val="CAST INT T-S"/>
      <sheetName val="TABLE-A"/>
      <sheetName val="EE-PROP"/>
      <sheetName val="_배관자재비-SKEC구매분"/>
      <sheetName val="INSTLIST_1"/>
      <sheetName val="steam_table"/>
      <sheetName val="Price_Schedule(Piping)"/>
      <sheetName val="studbolt_no_"/>
      <sheetName val="studbolt_size"/>
      <sheetName val="item_sort_no"/>
      <sheetName val="E 3367 Estimate"/>
      <sheetName val="2-Conc"/>
      <sheetName val="매출 현황 (본사)"/>
      <sheetName val="Project MP Plan (Home Office)"/>
      <sheetName val="기타"/>
      <sheetName val="U.D.电槽运行状况 "/>
      <sheetName val="生产现况(总累计)"/>
      <sheetName val="原材料单耗(现状况)"/>
      <sheetName val="BJ电解槽运行状况 "/>
      <sheetName val="울산이전 Schedule(초안)"/>
      <sheetName val="Report_OOK"/>
      <sheetName val="Att1.Home Office Cost"/>
      <sheetName val="BQ_List"/>
      <sheetName val="보고서용"/>
      <sheetName val="CAST_INT_T-S"/>
      <sheetName val="IMPEADENCE_MAP_취수장"/>
      <sheetName val="Hoja1"/>
      <sheetName val="Index"/>
      <sheetName val="CAL1"/>
      <sheetName val="1062-X방향 "/>
      <sheetName val="PROFIT"/>
      <sheetName val="P-L"/>
      <sheetName val="BUDg"/>
      <sheetName val="예산"/>
      <sheetName val="FCST"/>
      <sheetName val="M_H"/>
      <sheetName val="F_MONY"/>
      <sheetName val="환보고"/>
      <sheetName val="환자료"/>
      <sheetName val="노무비(MM)"/>
      <sheetName val="노무비(비용)"/>
      <sheetName val="공사비"/>
      <sheetName val="Module3"/>
      <sheetName val="COA-17"/>
      <sheetName val="C-18"/>
      <sheetName val="별총"/>
      <sheetName val="SHL"/>
      <sheetName val="총괄표"/>
      <sheetName val="EQUIP LIST"/>
      <sheetName val="CST_STAT"/>
      <sheetName val="Process Piping"/>
      <sheetName val="공조위생"/>
      <sheetName val="VXXXXX"/>
      <sheetName val="2.2 STAFF Scedule"/>
      <sheetName val="실행내역"/>
      <sheetName val="Crew"/>
      <sheetName val="Pipe Supports"/>
      <sheetName val="노임9월"/>
      <sheetName val="FILTER"/>
      <sheetName val="당진1,2호기전선관설치및접지4차공사내역서-을지"/>
      <sheetName val="3. GROUNDING SYSTEM"/>
      <sheetName val="blk"/>
      <sheetName val="일위대가표"/>
      <sheetName val="9_Material Rates"/>
      <sheetName val="1_References"/>
      <sheetName val="단가"/>
      <sheetName val="Project-A"/>
      <sheetName val="견"/>
      <sheetName val="작성기준"/>
      <sheetName val="Alum."/>
      <sheetName val="look-up"/>
      <sheetName val="AILC004"/>
      <sheetName val="Fax"/>
      <sheetName val="Material and Manpower data"/>
      <sheetName val="Pricing Summary"/>
      <sheetName val="P-HOT.XLS"/>
      <sheetName val="갑지1"/>
      <sheetName val="조명시설"/>
      <sheetName val="현장지지물물량"/>
      <sheetName val="입출재고현황 (2)"/>
      <sheetName val="AREA"/>
      <sheetName val="바닥판"/>
      <sheetName val="TYPE1"/>
      <sheetName val="철근량"/>
      <sheetName val="역T형"/>
      <sheetName val="PILE"/>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장비"/>
      <sheetName val="노무"/>
      <sheetName val="자재"/>
      <sheetName val="산근1"/>
      <sheetName val="WORK"/>
      <sheetName val="@PRICE1"/>
      <sheetName val="최종단가"/>
      <sheetName val="토목품셈"/>
      <sheetName val="재료비"/>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Code_Magics"/>
      <sheetName val="MP MOB"/>
      <sheetName val="Quantity"/>
      <sheetName val="Inst Matl Table"/>
      <sheetName val="Tracing"/>
      <sheetName val="Hookup"/>
      <sheetName val="초기화면"/>
      <sheetName val="D-3109"/>
      <sheetName val="경비"/>
      <sheetName val="GROUNDING SYSTEM"/>
      <sheetName val="El(Increased)"/>
      <sheetName val="GiaVL"/>
      <sheetName val="1. 설계조건 2.단면가정 3. 하중계산"/>
      <sheetName val="DATA 입력란"/>
      <sheetName val="배명(단가)"/>
      <sheetName val="TANK"/>
      <sheetName val="견적"/>
      <sheetName val="PI"/>
      <sheetName val="LTR-2"/>
      <sheetName val="HANDHOLE(2)"/>
      <sheetName val="PAD TR보호대기초"/>
      <sheetName val="가로등기초"/>
      <sheetName val="부하(성남)"/>
      <sheetName val="Master_Data"/>
      <sheetName val="CTEMCOST"/>
      <sheetName val="Car park lease"/>
      <sheetName val="sum1 (2)"/>
      <sheetName val="s"/>
      <sheetName val="대비"/>
      <sheetName val="SILICATE"/>
      <sheetName val="철근단위중량"/>
      <sheetName val="Utility and Fire flange"/>
      <sheetName val="IBASE"/>
      <sheetName val="실행철강하도"/>
      <sheetName val="ABB"/>
      <sheetName val="bldg list"/>
      <sheetName val="MTO REV.2(ARMOR)"/>
      <sheetName val="Steel-Main Work"/>
      <sheetName val="MK2-1"/>
      <sheetName val="C-301E~305E"/>
      <sheetName val="D2old"/>
      <sheetName val="D1.1"/>
      <sheetName val="Library"/>
      <sheetName val="D1X"/>
      <sheetName val="D2X"/>
      <sheetName val="D2.1"/>
      <sheetName val="Checklist"/>
      <sheetName val="계수시트"/>
      <sheetName val="시가지우회도로공내역서"/>
      <sheetName val="Administrative Prices"/>
      <sheetName val="Proj Cost Sumry"/>
      <sheetName val="2000년1차"/>
      <sheetName val="Bid Summary"/>
      <sheetName val="Engineering"/>
      <sheetName val="M3산출"/>
      <sheetName val="SM1-09"/>
      <sheetName val="SM2-09"/>
      <sheetName val="BAND(200)"/>
      <sheetName val="BD-09"/>
      <sheetName val="EL 표면적"/>
      <sheetName val="MT-09"/>
      <sheetName val="980731"/>
      <sheetName val="초임연봉"/>
      <sheetName val="Wt of Mod."/>
      <sheetName val="날개벽(좌,우=60도-4개)"/>
      <sheetName val="PriceSummary"/>
      <sheetName val="15100"/>
      <sheetName val="토공정보"/>
      <sheetName val="두앙"/>
      <sheetName val="2"/>
      <sheetName val="Summary_Sheets"/>
      <sheetName val="Pipe_Supports"/>
      <sheetName val="Process_Piping"/>
      <sheetName val="EQUIP_LIST"/>
      <sheetName val="9_Material_Rates"/>
      <sheetName val="3__GROUNDING_SYSTEM"/>
      <sheetName val="Material_and_Manpower_data"/>
      <sheetName val="Pricing_Summary"/>
      <sheetName val="Alum_"/>
      <sheetName val="P-HOT_XLS"/>
      <sheetName val="2_2_STAFF_Scedule"/>
      <sheetName val="Civil_1"/>
      <sheetName val="Civil_2"/>
      <sheetName val="Civil_3"/>
      <sheetName val="Site_1"/>
      <sheetName val="Site_2"/>
      <sheetName val="Site_3"/>
      <sheetName val="Site_Faci"/>
      <sheetName val="HORI__VESSEL"/>
      <sheetName val="입출재고현황_(2)"/>
      <sheetName val="Man_Hole"/>
      <sheetName val="MP_MOB"/>
      <sheetName val="GROUNDING_SYSTEM"/>
      <sheetName val="Inst_Matl_Table"/>
      <sheetName val="PAD_TR보호대기초"/>
      <sheetName val="1__설계조건_2_단면가정_3__하중계산"/>
      <sheetName val="DATA_입력란"/>
      <sheetName val="Car_park_lease"/>
      <sheetName val="Utility_and_Fire_flange"/>
      <sheetName val="sum1_(2)"/>
      <sheetName val="bldg_list"/>
      <sheetName val="IN"/>
      <sheetName val="EAS"/>
      <sheetName val="장비검사 사진"/>
      <sheetName val="Air Cooler-E"/>
      <sheetName val="⑤항목별2"/>
      <sheetName val="SOS_PLC &amp; Panel"/>
      <sheetName val="95D"/>
      <sheetName val="94D"/>
      <sheetName val="p2-1"/>
      <sheetName val="#1유량조정조"/>
      <sheetName val="중간재 재공"/>
      <sheetName val="UTCA"/>
      <sheetName val="CAUDIT"/>
      <sheetName val="본문"/>
      <sheetName val="dc1"/>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Inst_Matl_Tabl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8_PILE__(돌출)1"/>
      <sheetName val="bldg_list1"/>
      <sheetName val="MTO_REV_2(ARMOR)"/>
      <sheetName val="Steel-Main_Work"/>
      <sheetName val="Proj_Cost_Sumry"/>
      <sheetName val="Administrative_Prices"/>
      <sheetName val="Wt_of_Mod_"/>
      <sheetName val="D1_1"/>
      <sheetName val="D2_1"/>
      <sheetName val="Ex-Rate"/>
      <sheetName val="HX"/>
      <sheetName val="백분율"/>
      <sheetName val="Insts"/>
      <sheetName val="KUNGDEVI"/>
      <sheetName val="부대공Ⅱ"/>
      <sheetName val="12월 수선비 사용실적"/>
      <sheetName val="Based Data_WACC"/>
      <sheetName val="일위(PN)"/>
      <sheetName val="PIPE(UG)내역"/>
      <sheetName val="118.세금과공과"/>
      <sheetName val="108.수선비"/>
      <sheetName val="Benchmark"/>
      <sheetName val="1.설계조건"/>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MP_MOB2"/>
      <sheetName val="1__설계조건_2_단면가정_3__하중계산2"/>
      <sheetName val="DATA_입력란2"/>
      <sheetName val="GROUNDING_SYSTEM2"/>
      <sheetName val="General_Data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영동(D)"/>
      <sheetName val="ANALISA"/>
      <sheetName val="PKG &quot;A&quot; Detail - 정풍"/>
      <sheetName val="nde_request"/>
      <sheetName val="terdistribusi"/>
      <sheetName val="sum3"/>
      <sheetName val="근로자명부"/>
      <sheetName val="DB3"/>
      <sheetName val="CBF-Boş"/>
      <sheetName val="h_013211_2"/>
      <sheetName val="Readiness"/>
      <sheetName val="COVERSHEET"/>
      <sheetName val="EL_표면적"/>
      <sheetName val="Bid_Summary"/>
      <sheetName val="장비검사_사진"/>
      <sheetName val="backup"/>
      <sheetName val="Part A"/>
      <sheetName val="Part B"/>
      <sheetName val="Part C"/>
      <sheetName val="교각계산"/>
      <sheetName val="Attach 4-18"/>
      <sheetName val="견적총괄표"/>
      <sheetName val="SUMM."/>
      <sheetName val="WHRB"/>
      <sheetName val="DESAL."/>
      <sheetName val="BOP"/>
      <sheetName val="PAINTING"/>
      <sheetName val="Sch 3"/>
      <sheetName val="Sch 4"/>
      <sheetName val="Sch 5"/>
      <sheetName val="BOP (OLD)"/>
      <sheetName val="BOP (Taweelah)"/>
      <sheetName val="VXXX"/>
      <sheetName val="비교"/>
      <sheetName val="인원"/>
      <sheetName val="간접비 내역"/>
      <sheetName val="10현장조직"/>
      <sheetName val="자구계획db"/>
      <sheetName val="Jan-18"/>
      <sheetName val="Feb-18"/>
      <sheetName val="Mar-18"/>
      <sheetName val="Apr-18"/>
      <sheetName val="May-18"/>
      <sheetName val="Jun-18"/>
      <sheetName val="Jul-18"/>
      <sheetName val="Aug-18"/>
      <sheetName val="Sep-18"/>
      <sheetName val="Oct-18"/>
      <sheetName val="Nov-18"/>
      <sheetName val="Dec-18"/>
      <sheetName val="Jan-19"/>
      <sheetName val="Feb-19"/>
      <sheetName val="Mar-19"/>
      <sheetName val="Apr-19"/>
      <sheetName val="May-19"/>
      <sheetName val="Jun-19"/>
      <sheetName val="Jul-19"/>
      <sheetName val="Aug-19"/>
      <sheetName val="pivot table summary"/>
      <sheetName val="OS280819"/>
      <sheetName val="VRV by project"/>
      <sheetName val="VRV by project (oct)"/>
      <sheetName val="AP-SEP"/>
      <sheetName val="AP-OCT"/>
      <sheetName val="AP-NOV"/>
      <sheetName val="AP-DEC"/>
      <sheetName val="RA routes"/>
      <sheetName val="空調条件表"/>
      <sheetName val="外気導入量"/>
      <sheetName val="ﾜｯｼｬｰﾎﾟﾝﾌﾟ"/>
      <sheetName val="貫流率"/>
      <sheetName val="計算条件"/>
      <sheetName val="各室負荷計算"/>
      <sheetName val="負荷集計"/>
      <sheetName val="換気計算"/>
      <sheetName val="Eq sche"/>
      <sheetName val="heat load"/>
      <sheetName val="Exhaust"/>
      <sheetName val="Utility"/>
      <sheetName val="utility (2)"/>
      <sheetName val="utility (3)"/>
      <sheetName val="AHU,MAU"/>
      <sheetName val="all heat load"/>
      <sheetName val="all heat load (2)"/>
      <sheetName val="raised floor"/>
      <sheetName val="Eq Sche (2)"/>
      <sheetName val="Eq sche tr"/>
      <sheetName val="C filter spec"/>
      <sheetName val="nos of CF"/>
      <sheetName val="CF NO2"/>
      <sheetName val="DC"/>
      <sheetName val="Des Develop."/>
      <sheetName val="Des Input"/>
      <sheetName val="Des Review"/>
      <sheetName val="Des Change"/>
      <sheetName val="Des Change N"/>
      <sheetName val="D Dwg List "/>
      <sheetName val="Dwg List"/>
      <sheetName val="Dwg D List"/>
      <sheetName val="Finishing"/>
      <sheetName val="meeting"/>
      <sheetName val="comparison of CF"/>
      <sheetName val="HD CR Area"/>
      <sheetName val="room press."/>
      <sheetName val="CF budget"/>
      <sheetName val="static"/>
      <sheetName val="static2"/>
      <sheetName val="4F SA"/>
      <sheetName val="4F RA"/>
      <sheetName val="4F RA (2)"/>
      <sheetName val="5F SA"/>
      <sheetName val="5F RA"/>
      <sheetName val="5F RA (2)"/>
      <sheetName val="PM heat"/>
      <sheetName val="PM heat (2)"/>
      <sheetName val="PM heat (3)"/>
      <sheetName val="Fresh air"/>
      <sheetName val="Eq sche sub"/>
      <sheetName val="R cost"/>
      <sheetName val="D Proposal"/>
      <sheetName val="Eq Air"/>
      <sheetName val="gragh"/>
      <sheetName val="Takasago"/>
      <sheetName val="answer"/>
      <sheetName val="Noise MAU"/>
      <sheetName val="Noise MAU (2)"/>
      <sheetName val="DRWG list"/>
      <sheetName val="DRWG sche"/>
      <sheetName val="pac"/>
      <sheetName val="EDB"/>
      <sheetName val="Eq sche (3)"/>
      <sheetName val="VE"/>
      <sheetName val="elec load list"/>
      <sheetName val="Eqt_tag"/>
      <sheetName val="FCU ex"/>
      <sheetName val="Mech"/>
      <sheetName val="Rm Dwg"/>
      <sheetName val="MAU calc"/>
      <sheetName val="MAU p"/>
      <sheetName val="RCU calc"/>
      <sheetName val="RCU p"/>
      <sheetName val="FCU calc"/>
      <sheetName val="FCU p"/>
      <sheetName val="Fan "/>
      <sheetName val="motor"/>
      <sheetName val="Duct (2)"/>
      <sheetName val="Pipe calc"/>
      <sheetName val="Pipe calc (2)"/>
      <sheetName val="Arch"/>
      <sheetName val="Electrical Data"/>
      <sheetName val="reference"/>
      <sheetName val="Pro Eqt Load"/>
      <sheetName val="DI"/>
      <sheetName val="Room Condition Guide"/>
      <sheetName val="Equipment list"/>
      <sheetName val="MMA"/>
      <sheetName val="RGO"/>
      <sheetName val="Warehouse Area"/>
      <sheetName val="LOAD DISTRIBUTION"/>
      <sheetName val="MSB"/>
      <sheetName val="L&amp;P"/>
      <sheetName val="FTG 20"/>
      <sheetName val="INF_TE1-RSW-102"/>
      <sheetName val="FTG"/>
      <sheetName val="FTG 37"/>
      <sheetName val="FTG 38"/>
      <sheetName val="FTG 9"/>
      <sheetName val="FTG 1"/>
      <sheetName val="FTG 3"/>
      <sheetName val="FTG 11"/>
      <sheetName val="FTG 14"/>
      <sheetName val="FTG 15"/>
      <sheetName val="FTG 4"/>
      <sheetName val="FTG 5"/>
      <sheetName val="FTG 25"/>
      <sheetName val="FTG 26"/>
      <sheetName val="FTG 39"/>
      <sheetName val="FTG 29"/>
      <sheetName val="FTG 30"/>
      <sheetName val="FTG 68"/>
      <sheetName val="FTG 210"/>
      <sheetName val="FTG 218"/>
      <sheetName val="EXF"/>
      <sheetName val="FTG 19"/>
      <sheetName val="EXF-TE1-RAM-101"/>
      <sheetName val="EXF-TEB-TWP-101"/>
      <sheetName val="EXF-TEM-PMW-101"/>
      <sheetName val="EXF-TEM-PMW-103"/>
      <sheetName val="EXF-TEM-RSW-105"/>
      <sheetName val="00"/>
      <sheetName val="VRV-SPLIT UNIT"/>
      <sheetName val="VRV PART LOAD TABLE"/>
      <sheetName val="DX Selection - AHU"/>
      <sheetName val="Site Expenses"/>
      <sheetName val="Temporary Facilities"/>
      <sheetName val="Pie Chart"/>
      <sheetName val="Breakdown Ref"/>
      <sheetName val="Breakdown"/>
      <sheetName val="Support Fittings"/>
      <sheetName val="Termination Kits"/>
      <sheetName val="LEW,Design Fee,Others"/>
      <sheetName val="Switchgear"/>
      <sheetName val="6.6KV CB &amp; SP"/>
      <sheetName val="TX"/>
      <sheetName val="Generator"/>
      <sheetName val="Fuel Tank"/>
      <sheetName val="HT Cabling"/>
      <sheetName val="MV Cabling"/>
      <sheetName val="HT, MV Control Cabling"/>
      <sheetName val="Electrical Boards"/>
      <sheetName val="Filter, UPS, DC"/>
      <sheetName val="Bbar"/>
      <sheetName val="ELV"/>
      <sheetName val="ELV Control Cabling"/>
      <sheetName val="ELV Power Cabling"/>
      <sheetName val="Sanitary"/>
      <sheetName val="Sanitary Power Cabling"/>
      <sheetName val="Sanitary Control Cabling"/>
      <sheetName val="LV Cabling-Main and Sub Main"/>
      <sheetName val="UFTrking"/>
      <sheetName val="Lighting&amp;SSO&amp;Power Pt,cw-sw,sso"/>
      <sheetName val="LV Cabling-Final"/>
      <sheetName val="Panel"/>
      <sheetName val="VSD"/>
      <sheetName val="ACMV Cabling"/>
      <sheetName val="ACMV Accessories"/>
      <sheetName val="BMS"/>
      <sheetName val="IBMS"/>
      <sheetName val="Ctrl Cabling"/>
      <sheetName val="R Conduit Ctrl"/>
      <sheetName val="F Conduit Ctrl"/>
      <sheetName val="Trunking Ctrl"/>
      <sheetName val="Tray Ctrl"/>
      <sheetName val="Ladder Ctrl"/>
      <sheetName val="Hook, Bolt &amp; Removal"/>
      <sheetName val="Lead in Pipe"/>
      <sheetName val="DP"/>
      <sheetName val="MH"/>
      <sheetName val="Luminaries"/>
      <sheetName val="Lightning"/>
      <sheetName val="Earthing (Main)"/>
      <sheetName val="Earthing (Clean)"/>
      <sheetName val="Earthing (FPS)"/>
      <sheetName val="Fire Protection Cabling"/>
      <sheetName val="Fire Alarm Cabling"/>
      <sheetName val="Fire &amp; Sanitary Panel"/>
      <sheetName val="Fire Accessories"/>
      <sheetName val="Ctrl Cable"/>
      <sheetName val="MV, HT Cable"/>
      <sheetName val="Trunking"/>
      <sheetName val="Tray"/>
      <sheetName val="Ladder"/>
      <sheetName val="Fixture"/>
      <sheetName val="Busbar Data"/>
      <sheetName val="Underfloor Trunking List"/>
      <sheetName val="L&amp;E List"/>
      <sheetName val="Fire List"/>
      <sheetName val="ELV List"/>
      <sheetName val="Sanitary List"/>
      <sheetName val="BMS &amp; Maint List"/>
      <sheetName val="Earthing Data"/>
      <sheetName val="Lightning Data"/>
      <sheetName val="Details"/>
      <sheetName val="Working Sheet"/>
      <sheetName val="Labour Data Base"/>
      <sheetName val="Approval"/>
      <sheetName val="Summary of Maint."/>
      <sheetName val="Comp. Maint."/>
      <sheetName val="Non Comp. Maint."/>
      <sheetName val="Pumpset"/>
      <sheetName val="DX"/>
      <sheetName val="APAC"/>
      <sheetName val="WAHU"/>
      <sheetName val="WFCU"/>
      <sheetName val="Dehumidifier"/>
      <sheetName val="HEX"/>
      <sheetName val="Air Compressor"/>
      <sheetName val="Crane"/>
      <sheetName val="Water Treatment"/>
      <sheetName val="Air Curtain"/>
      <sheetName val="Water Tank"/>
      <sheetName val="Thermal Storage Tank"/>
      <sheetName val="CD Equip"/>
      <sheetName val="Gas Filter"/>
      <sheetName val="GSV"/>
      <sheetName val="OP Gauge"/>
      <sheetName val="MV Fan"/>
      <sheetName val="VAV Boxes"/>
      <sheetName val="AC Ducting"/>
      <sheetName val="AC Round Duct"/>
      <sheetName val="AC Ducting Jacketing"/>
      <sheetName val="AC Damper"/>
      <sheetName val="AC Diffuser"/>
      <sheetName val="AC Louvre"/>
      <sheetName val="MV Ducting"/>
      <sheetName val="MV Round Duct"/>
      <sheetName val="MV Ducting Jacketing"/>
      <sheetName val="MV Damper"/>
      <sheetName val="MV Diffuser"/>
      <sheetName val="MV Louvre"/>
      <sheetName val="Kitchen Ducting"/>
      <sheetName val="Kitchen Ducting Jacketing"/>
      <sheetName val="Kitchen Damper"/>
      <sheetName val="Kitchen Diffuser"/>
      <sheetName val="Kitchen Louvre"/>
      <sheetName val="CHW Pipe"/>
      <sheetName val="CHW Valves"/>
      <sheetName val="CW Pipe"/>
      <sheetName val="CW Valves"/>
      <sheetName val="MU &amp; DR Pipe"/>
      <sheetName val="MU &amp; DR Valves"/>
      <sheetName val="Condensate Pipe"/>
      <sheetName val="Ref Pipe"/>
      <sheetName val="Comp Air Pipe"/>
      <sheetName val="Civil Works"/>
      <sheetName val="Chamber"/>
      <sheetName val="Road Crossing"/>
      <sheetName val="Sprinkler"/>
      <sheetName val="Sprinkler Pipe"/>
      <sheetName val="Sprinkler Valves"/>
      <sheetName val="Hosereel"/>
      <sheetName val="Hosereel Pipe"/>
      <sheetName val="Hosereel Valves"/>
      <sheetName val="Dry Main"/>
      <sheetName val="Dry Main Pipe"/>
      <sheetName val="Dry Main Valves"/>
      <sheetName val="Fire Extinguisher"/>
      <sheetName val="VESDA Pipe"/>
      <sheetName val="Pipe Typical Connection"/>
      <sheetName val="Pipework Rate"/>
      <sheetName val="Damper Rate"/>
      <sheetName val="Louvre Rate"/>
      <sheetName val="Diffuser Rate"/>
      <sheetName val="Misc Data"/>
      <sheetName val="Gen Info"/>
      <sheetName val="OA Basic Info"/>
      <sheetName val="Organisation (M&amp;E)"/>
      <sheetName val="Hydrant"/>
      <sheetName val="Hydrant Pipe"/>
      <sheetName val="PreLim"/>
      <sheetName val="SCH2"/>
      <sheetName val="inst"/>
      <sheetName val="SCH3"/>
      <sheetName val="SCH5"/>
      <sheetName val="Bid Tab"/>
      <sheetName val="Bid-Comp"/>
      <sheetName val="Bill 100 Prelims"/>
      <sheetName val="Bill 200 EOT"/>
      <sheetName val="Bill 300 Fabrication"/>
      <sheetName val="Bill 400 Erection"/>
      <sheetName val="Bill 500 Equipment"/>
      <sheetName val="Bill 600 Scaffolding"/>
      <sheetName val="Bill 700 Dayworks"/>
      <sheetName val="Bill 800 Provisional Sums"/>
      <sheetName val="Bill 900 Vessel Insul"/>
      <sheetName val="Staff"/>
      <sheetName val="AFC Drwg"/>
      <sheetName val="Prelims"/>
      <sheetName val="Lump Sum"/>
      <sheetName val="Variation Rates"/>
      <sheetName val="Daywork"/>
      <sheetName val="BT"/>
      <sheetName val="Ave"/>
      <sheetName val="01"/>
      <sheetName val="02"/>
      <sheetName val="03"/>
      <sheetName val="04"/>
      <sheetName val="05"/>
      <sheetName val="06"/>
      <sheetName val="07"/>
      <sheetName val="08"/>
      <sheetName val="09"/>
      <sheetName val="10"/>
      <sheetName val="11"/>
      <sheetName val="合成単価作成表-BLDG"/>
      <sheetName val="Sch.6"/>
      <sheetName val="合成単価作成・-BLDG"/>
      <sheetName val="LIST A Item"/>
      <sheetName val="Ctinh 10kV"/>
      <sheetName val="PS5-HVAC"/>
      <sheetName val="MV"/>
      <sheetName val="Sch.1"/>
      <sheetName val="Sch.2"/>
      <sheetName val="Sch.3"/>
      <sheetName val="Sch.4"/>
      <sheetName val="Sch.5"/>
      <sheetName val="Sch.5 (2)"/>
      <sheetName val="Sch.7a"/>
      <sheetName val="Sch.7b"/>
      <sheetName val="Sch.7c"/>
      <sheetName val="Sch.7d"/>
      <sheetName val="Sch.8"/>
      <sheetName val="Sch.8 (b)"/>
      <sheetName val="Sch.9"/>
      <sheetName val="Sch_6"/>
      <sheetName val="QAQC"/>
      <sheetName val="bill 2"/>
      <sheetName val="SUMMARY (0)"/>
      <sheetName val="Sch_1"/>
      <sheetName val="初期値設定"/>
      <sheetName val="SCHE-1"/>
      <sheetName val="salary"/>
      <sheetName val="daywork- Tham khao"/>
      <sheetName val="gVL"/>
      <sheetName val="Piling &amp; Tk Fdn"/>
      <sheetName val="SOPMA DD"/>
      <sheetName val="Job Data"/>
      <sheetName val="Register"/>
      <sheetName val="Sum&amp;PVS"/>
      <sheetName val="FVO"/>
      <sheetName val="管理区分"/>
      <sheetName val="Sheet No-7 Electrical Consumer "/>
      <sheetName val="Sheet No-6 Measurement list"/>
      <sheetName val="REDUCER"/>
      <sheetName val=" ｹ-ﾌﾞﾙ"/>
      <sheetName val="estimate"/>
      <sheetName val="Worker List"/>
      <sheetName val="BILAL2"/>
      <sheetName val="Lookup Table"/>
      <sheetName val="ASME B 36.10 M"/>
      <sheetName val="PRICE-L"/>
      <sheetName val="2000전체분"/>
      <sheetName val="SUMBER DAYA"/>
      <sheetName val="TOWN"/>
      <sheetName val="7Tb20"/>
      <sheetName val="Area Ref"/>
      <sheetName val="2010 RATES"/>
      <sheetName val="33628-Rev. A"/>
      <sheetName val="설비비4"/>
      <sheetName val="Job_Data"/>
      <sheetName val="Bid_Tab"/>
      <sheetName val="Lump_Sum"/>
      <sheetName val="Variation_Rates"/>
      <sheetName val="AFC_Drwg"/>
      <sheetName val="2-A"/>
      <sheetName val="N521"/>
      <sheetName val="Consultant List"/>
      <sheetName val="1. FY20 Forecast"/>
      <sheetName val="VRV FY19 (STATUS)"/>
      <sheetName val="VRV FY20 (STATUS)"/>
      <sheetName val="VRV FY21 (STATUS)"/>
      <sheetName val="NEW INQUIRY_CONTRACTOR"/>
      <sheetName val="NEW INQUIRY_SE"/>
      <sheetName val="DETAIL PROJECT_all"/>
      <sheetName val="DETAIL PROJECT"/>
      <sheetName val="Box"/>
      <sheetName val="2020"/>
      <sheetName val="Retention"/>
      <sheetName val="Progress Claim"/>
      <sheetName val="Jan20 OS Inv &amp; PC"/>
      <sheetName val="Feb20 OS Inv &amp; PC"/>
      <sheetName val="Mar20 OS Inv &amp; PC"/>
      <sheetName val="07042020 OS Inv &amp; PC"/>
      <sheetName val="2019 (2)"/>
      <sheetName val="2019 (3)"/>
      <sheetName val="Engie150120"/>
      <sheetName val="Note"/>
      <sheetName val="Miscellaneous"/>
      <sheetName val="Struct Summary"/>
      <sheetName val="Fdn"/>
      <sheetName val="Stumps"/>
      <sheetName val="Column"/>
      <sheetName val="Column (O)"/>
      <sheetName val="Sub Beams"/>
      <sheetName val="Super Beams"/>
      <sheetName val="Sub Slab"/>
      <sheetName val="Super Slab"/>
      <sheetName val="Staircase"/>
      <sheetName val="Ceiling "/>
      <sheetName val="Sanitary Wares &amp; Fitting "/>
      <sheetName val="Name Group"/>
      <sheetName val="Door &amp; Window "/>
      <sheetName val="Floor Finishes "/>
      <sheetName val="Wall Finishes "/>
      <sheetName val="Detail Measurmet "/>
      <sheetName val="Steel Structure"/>
      <sheetName val="Furniture "/>
      <sheetName val="Signage "/>
      <sheetName val="LOA"/>
      <sheetName val="System Furniture"/>
      <sheetName val="Furniture Comparision"/>
      <sheetName val="Foldable Wall"/>
      <sheetName val="Door"/>
      <sheetName val="Partition Ceiling"/>
      <sheetName val="Budget Hnin"/>
      <sheetName val="LOA6(Beauwood)"/>
      <sheetName val="LOA05 (KimChuan)"/>
      <sheetName val="LOA04 (ISO)"/>
      <sheetName val="LOA03(Eakon)"/>
      <sheetName val="LOA2(F1)"/>
      <sheetName val="Elec"/>
      <sheetName val="Summary of Tender "/>
      <sheetName val="Preliminaries "/>
      <sheetName val="BUILDING WORKS"/>
      <sheetName val="M&amp;E Comparison "/>
      <sheetName val="sanitary ware"/>
      <sheetName val="Subcon List "/>
      <sheetName val="Proposed Subcon List "/>
      <sheetName val="Name List "/>
      <sheetName val="Lead"/>
      <sheetName val="Costing &amp; NRV "/>
      <sheetName val="TOD"/>
      <sheetName val="Aging Test (Finals)"/>
      <sheetName val="Tickmarks"/>
      <sheetName val="Finished goods"/>
      <sheetName val="Tickmarks04-05-2020 04.56.37 pm"/>
      <sheetName val="RNotes04-05-2020 04.56.37 pm"/>
      <sheetName val="TextXRef04-05-2020 04.56.37 pm"/>
      <sheetName val="NumXRef04-05-2020 04.56.37 pm"/>
      <sheetName val="Sample Size Computation"/>
      <sheetName val="Guidance"/>
      <sheetName val="Sample Design"/>
      <sheetName val="Sampling Table"/>
      <sheetName val="FCT Summary (2)"/>
      <sheetName val="FCT Summary"/>
      <sheetName val="4. Inquiry Diff with LM"/>
      <sheetName val="5.ENQUIRY Summary CDU Type"/>
      <sheetName val="6.Necessry. Inq"/>
      <sheetName val="FY19 OB"/>
      <sheetName val="Market FY19"/>
      <sheetName val="FY19 RB"/>
      <sheetName val="Budget by Prod"/>
      <sheetName val="FY21 By Channel"/>
      <sheetName val="FY19 Q1 Result"/>
      <sheetName val="Pivot by M"/>
      <sheetName val="Pivot FC3M"/>
      <sheetName val="Pivot This M"/>
      <sheetName val="FY19 Billing Forecast(PT)"/>
      <sheetName val="Pivot Lost"/>
      <sheetName val="2019"/>
      <sheetName val="2005~1906"/>
      <sheetName val="work-20~1906"/>
      <sheetName val="Daikin Summary"/>
      <sheetName val="MUP WtyLbr"/>
      <sheetName val="VRVII"/>
      <sheetName val="w-Adjust2005-1906"/>
      <sheetName val="Overview"/>
      <sheetName val="SV-OUTOVH"/>
      <sheetName val="DATA_OUTOVH"/>
      <sheetName val="MA"/>
      <sheetName val="DATA_MA"/>
      <sheetName val="1) PL"/>
      <sheetName val="2) FY17 Result"/>
      <sheetName val="3) FY18 Target &amp; Result"/>
      <sheetName val="4) FY18 Inquiry Management"/>
      <sheetName val="3) FY18 Target &amp; Result (2)"/>
      <sheetName val="2) FY17 Result (2)"/>
      <sheetName val="ex-PL (ref)"/>
      <sheetName val="FY17SVC&amp;SOL SGA"/>
      <sheetName val="FY18SVC&amp;SOL SGA"/>
      <sheetName val="FY17SALES OFFICE (ref)"/>
      <sheetName val="FY18SALES OFFICE (ref)"/>
      <sheetName val="FY17RES-DAMA (ref)"/>
      <sheetName val="FY18OB-DAMA (ref)"/>
      <sheetName val="-2-Svc S.C.GP (ref)"/>
      <sheetName val="-2-SP S.C.GP (ref)"/>
      <sheetName val="Rev-PL"/>
      <sheetName val="D-PL"/>
      <sheetName val="D-FY17 Maint. Result"/>
      <sheetName val="Rev-FY18 Sales Bueget &amp; Resul"/>
      <sheetName val="D-FY18 Sales Bueget &amp; Result"/>
      <sheetName val="FY18SB&amp;Res-KC"/>
      <sheetName val="FY18SB&amp;Res-RT"/>
      <sheetName val="FY18SB&amp;Res-Sofia"/>
      <sheetName val="Rev-FY18 Order &amp; Quotation B"/>
      <sheetName val="D-FY18 Order &amp; Quotation B &amp; R"/>
      <sheetName val="FY18O&amp;Q B&amp;R-KC"/>
      <sheetName val="FY18O&amp;Q B&amp;R-RT"/>
      <sheetName val="FY18O&amp;Q B&amp;R-Audrey"/>
      <sheetName val="FY18O&amp;Q B&amp;R-Zac"/>
      <sheetName val="FY18O&amp;Q B&amp;R-Sofia"/>
      <sheetName val="Sales Group OB (ref)"/>
      <sheetName val="Rev-UP New Inquiry"/>
      <sheetName val="UP NewInq-KC"/>
      <sheetName val="UP NewInq-RT"/>
      <sheetName val="D-UP New Inquiry List"/>
      <sheetName val="UP NewInqList-KC"/>
      <sheetName val="UP NewInqList-RT"/>
      <sheetName val="Rev-AP New Inquiry"/>
      <sheetName val="AP New Inquiry List"/>
      <sheetName val="VRV Coverage"/>
      <sheetName val="D-Airnet"/>
      <sheetName val="Rev2-FY18 Order &amp; Quotation"/>
      <sheetName val="Documentation"/>
      <sheetName val="Overview 2000, 2004-07 "/>
      <sheetName val="GHG Inventory"/>
      <sheetName val="GHG Inv Regional"/>
      <sheetName val="Pie_GHG_07"/>
      <sheetName val="Pies_GHG_byScope_07"/>
      <sheetName val="LiCol_Pareto GHG"/>
      <sheetName val="Pie_GHG_ByReg_07"/>
      <sheetName val="OpEx Summary"/>
      <sheetName val="OpEx Regional"/>
      <sheetName val="LiCol_Pareto Cost"/>
      <sheetName val="Pie_Elec$_ByTypReg"/>
      <sheetName val="Stk_ElecReg0407"/>
      <sheetName val="Ln_RelElecUtilSpend 0307"/>
      <sheetName val="Bar_EnCost+GHG_04to07"/>
      <sheetName val="Bar_EnCost_ByReg&amp;Type"/>
      <sheetName val="DC Elec Active"/>
      <sheetName val="DC EER"/>
      <sheetName val="Sctr_DC Samp_sqft_07"/>
      <sheetName val="Sctr_DC Samp_SIEER_07"/>
      <sheetName val="QA DC"/>
      <sheetName val="Col_FR_DC_Abs"/>
      <sheetName val="Col_FR_DC_EER"/>
      <sheetName val="Col_DC QAnal_07"/>
      <sheetName val="NDC Elec"/>
      <sheetName val="Office Elec Active"/>
      <sheetName val="Sctr_Office en inten_07"/>
      <sheetName val="Sctr_Office ppl_07"/>
      <sheetName val="Col_FR Office_Abs"/>
      <sheetName val="Col_FR Office_Intens"/>
      <sheetName val="QA Office"/>
      <sheetName val="PDF sf kwh"/>
      <sheetName val="PDF sf kBtu"/>
      <sheetName val="Col_QA Office"/>
      <sheetName val="Col_QA Office2"/>
      <sheetName val="Bar_SavOffice"/>
      <sheetName val="Col_Region Office"/>
      <sheetName val="QA dens hd"/>
      <sheetName val="PDF sfphd"/>
      <sheetName val="QA dens dsk"/>
      <sheetName val="PDF sfpdsk"/>
      <sheetName val="Master Pivot 07"/>
      <sheetName val="Master Live"/>
      <sheetName val="AutoUpload Live"/>
      <sheetName val="Electricity Pivot 00_07"/>
      <sheetName val="All BLC Elec 0307"/>
      <sheetName val="All CadEntech Elec 0307"/>
      <sheetName val="EnTechElec"/>
      <sheetName val="EDS ElecSpend FY03_07"/>
      <sheetName val="CorpRE Elec Spend"/>
      <sheetName val="Util Spend val"/>
      <sheetName val="FacilityElecEmissions 0708"/>
      <sheetName val="Simple Elec GHG"/>
      <sheetName val="ANZ Data"/>
      <sheetName val="CadenceEnTech NatGas Val"/>
      <sheetName val="EnTechGas"/>
      <sheetName val="Cadence H2O Val"/>
      <sheetName val="Cadence Trash val"/>
      <sheetName val="Rsd Floor"/>
      <sheetName val="SMC Load"/>
      <sheetName val="SMC UPS 06"/>
      <sheetName val="OnsiteGen Diesel 07"/>
      <sheetName val="Jet Fleet 0507"/>
      <sheetName val="LDV Fleet 0607"/>
      <sheetName val="Prchsd Biz Travel 0607"/>
      <sheetName val="Densities"/>
      <sheetName val="Mass En Content"/>
      <sheetName val="Vol En Content"/>
      <sheetName val="C Cont per En"/>
      <sheetName val="Direct EFs"/>
      <sheetName val="Direct EFs NonCO2"/>
      <sheetName val="Indirect EFs"/>
      <sheetName val="EGrid SubReg ZipCodes DRS"/>
      <sheetName val="EFs Elec byEGridSubReg"/>
      <sheetName val="EFs Elec byState"/>
      <sheetName val="EFs Elec Intl"/>
      <sheetName val="EFs Elec CH4 N20"/>
      <sheetName val="EmissionTypeCode"/>
      <sheetName val="UnitTypeCode"/>
      <sheetName val="100yr GWP Factors"/>
      <sheetName val="Unit Conv Factors"/>
      <sheetName val="Site Information - LAR"/>
      <sheetName val="Site Selection"/>
      <sheetName val="RE Purchase Summ 2009"/>
      <sheetName val="USA-2008Q3"/>
      <sheetName val="CAN-2008Q3"/>
      <sheetName val="EMEA-2009"/>
      <sheetName val="LA - 2008Q3"/>
      <sheetName val="AusNZ - 2008Q3"/>
      <sheetName val="ASIA - 2008Q3"/>
      <sheetName val="AutoUpload Val"/>
      <sheetName val="Master Pivot 07 Val"/>
      <sheetName val="Master Val"/>
      <sheetName val="Pie_GHG_ByBizUn_07"/>
      <sheetName val="Pie_Elec$_ByReg"/>
      <sheetName val="Stk_ElecEmReg0407"/>
      <sheetName val="Bar_GHG_ByReg&amp;Type"/>
      <sheetName val="Bar_$perEn_byReg&amp;Type"/>
      <sheetName val="Bar_$perSqFt_byReg&amp;Type"/>
      <sheetName val="DC Elec"/>
      <sheetName val="Sctr_DC Samp_sqft_06"/>
      <sheetName val="Sctr_DC Samp_sqft_06 (2)"/>
      <sheetName val="QuartAnal DC"/>
      <sheetName val="Col_DC QAnal_Shrt"/>
      <sheetName val="WtrFl_QuarAnal Shrt"/>
      <sheetName val="Sctr_NDC Samp_sqft_07"/>
      <sheetName val="Sctr_NDC Samp_sqft_07 (2)"/>
      <sheetName val="Sctr_NDC_dens_07"/>
      <sheetName val="QAnal NDC"/>
      <sheetName val="Col_FR_NDC_Abs"/>
      <sheetName val="Col_FR_NDC_Intens"/>
      <sheetName val="Col_QuartAnal NDC"/>
      <sheetName val="Col_QuartAnal_Shrt NDC"/>
      <sheetName val="Bar_QuarAnalSav Shrt NDC"/>
      <sheetName val="Region NDC"/>
      <sheetName val="Col_Region NDC"/>
      <sheetName val="Finances"/>
      <sheetName val="NormalizMetrics"/>
      <sheetName val="GHG SCurve Data"/>
      <sheetName val="Line_GHG SCurve"/>
      <sheetName val="Electricity Pivot 07"/>
      <sheetName val="EnTech Elec"/>
      <sheetName val="NonSMC UK"/>
      <sheetName val="DCF"/>
      <sheetName val="DCF Simple1"/>
      <sheetName val="DCF Simple2 CapEx"/>
      <sheetName val="Sens to WACC"/>
      <sheetName val="Reloc and NewBuild Savings"/>
      <sheetName val="RealEstate Summary"/>
      <sheetName val="GHG Em Inv Summary"/>
      <sheetName val="Bar_EnUse_ByReg&amp;Type"/>
      <sheetName val="Piv byOpUnit"/>
      <sheetName val="Piv, byEnType"/>
      <sheetName val="FacilitiesSampling06"/>
      <sheetName val="Scat_FacSamp_sqft_06"/>
      <sheetName val="Scat_FacSamp_ppl_06"/>
      <sheetName val="Scat_FacSamp_flops_06"/>
      <sheetName val="RealEstate"/>
      <sheetName val="Scat_BizUnit_C&amp;En Intensity"/>
      <sheetName val="EDS Master byFacility"/>
      <sheetName val="Sample_Facility"/>
      <sheetName val="Sample_Unit Summary"/>
      <sheetName val="Indirect EFs Lkup"/>
      <sheetName val="US Elec EFs byEGridSubReg"/>
      <sheetName val="Elec EFs byState"/>
      <sheetName val="NonCO2 Direct EFs"/>
      <sheetName val="CA Diesel Prices"/>
      <sheetName val="Unit Type"/>
      <sheetName val="Q4 Summary"/>
      <sheetName val="RB19"/>
      <sheetName val="FY20 Billing Forecast"/>
      <sheetName val="FY20 Sales Result"/>
      <sheetName val="OB20"/>
      <sheetName val="RB20"/>
      <sheetName val="FY20 Forecast (PT)"/>
      <sheetName val="FY20 Yrly Fcast Value"/>
      <sheetName val="FY20 Billing Flow (Value)"/>
      <sheetName val="FY20 Yrly Fcast Qty"/>
      <sheetName val="FY20 Billing Flow (Qty)"/>
      <sheetName val="Q3 Summary"/>
      <sheetName val="FY19 Forecast (PT)"/>
      <sheetName val="FY19 Billing Flow (Value)"/>
      <sheetName val="FY19 Billing Flow (Qty)"/>
      <sheetName val="Growth rate (Qty)"/>
      <sheetName val="Growth rate ($)"/>
      <sheetName val="FY16 Total (USD)"/>
      <sheetName val="FY16 Total (Yen)"/>
      <sheetName val="Consolidated Mkt Size Compare"/>
      <sheetName val="Consolidated Mkt Size and S (2)"/>
      <sheetName val="Consolidated Mkt Size and Share"/>
      <sheetName val="DAPM FY16"/>
      <sheetName val="★By ProdXct (Service)"/>
      <sheetName val="Dropdown list"/>
      <sheetName val="Troy's Lost Job Analysis"/>
      <sheetName val="Motoko's Lost job Analysis"/>
      <sheetName val="Lost Job Tabulated data"/>
      <sheetName val="Pivot Tables"/>
      <sheetName val="FY19 Sales Result(AprtoJun)"/>
      <sheetName val="FY19 Sales Result(JultoSep)"/>
      <sheetName val="Q2 Forecast"/>
      <sheetName val="LOST JOB Analysis (1Q)"/>
      <sheetName val="Lost Analysis (1Q)"/>
      <sheetName val="Q2 Summary"/>
      <sheetName val="大学A"/>
      <sheetName val="大学B"/>
      <sheetName val="短大"/>
      <sheetName val="副部長以下管理職"/>
      <sheetName val="部長以上"/>
      <sheetName val="高校"/>
      <sheetName val="FR"/>
      <sheetName val="Del-217"/>
      <sheetName val="ภาพประกอบการทำงาน"/>
      <sheetName val="summary1-2"/>
      <sheetName val="summary1-3"/>
      <sheetName val="XXXXX0"/>
      <sheetName val="XXXXX1"/>
      <sheetName val="Sum-Prelim"/>
      <sheetName val="กำไร-ต้นทุน"/>
      <sheetName val="ราคารวม"/>
      <sheetName val="FACTOR (%)"/>
      <sheetName val="H-FRAME"/>
      <sheetName val="TOTAL BOQ-SN&amp;FP"/>
      <sheetName val="BOQ-SN&amp;FP"/>
      <sheetName val="TOTAL BOQ-AC"/>
      <sheetName val="BOQ-AC"/>
      <sheetName val="TOTAL BOQ-EE"/>
      <sheetName val="BOQ-EE"/>
      <sheetName val="ราคา LC - CU"/>
      <sheetName val="MDB&amp;DB"/>
      <sheetName val="HV -LV"/>
      <sheetName val="BUSDUCT"/>
      <sheetName val="DP to LC"/>
      <sheetName val="TELEPHONE"/>
      <sheetName val="MATV"/>
      <sheetName val="FIRE ALARM"/>
      <sheetName val="ACCESS"/>
      <sheetName val="CCTV"/>
      <sheetName val="LIGHTNING PROTECTION"/>
      <sheetName val="Struc. "/>
      <sheetName val="Progress-All"/>
      <sheetName val="BK Unit Rate"/>
      <sheetName val="Main Sum (Hotel &amp; Residences)"/>
      <sheetName val="FACTOR_(%)"/>
      <sheetName val="TOTAL_BOQ-SN&amp;FP"/>
      <sheetName val="TOTAL_BOQ-AC"/>
      <sheetName val="TOTAL_BOQ-EE"/>
      <sheetName val="Duct_Bank"/>
      <sheetName val="ราคา_LC_-_CU"/>
      <sheetName val="HV_-LV"/>
      <sheetName val="DP_to_LC"/>
      <sheetName val="FIRE_ALARM"/>
      <sheetName val="LIGHTNING_PROTECTION"/>
      <sheetName val="Struc__"/>
      <sheetName val="BK_Unit_Rate"/>
      <sheetName val="tifico"/>
      <sheetName val="ประมาณการประตูหน้าต่าง "/>
      <sheetName val="???????-BLDG"/>
      <sheetName val="stair"/>
      <sheetName val="EXP. SPI&amp;ICT"/>
      <sheetName val="CONSOL_total"/>
      <sheetName val="CR100"/>
      <sheetName val="LPC"/>
      <sheetName val="Data Column"/>
      <sheetName val="Data_Column"/>
      <sheetName val="Oracle nos"/>
      <sheetName val="Data Entry Sheet"/>
      <sheetName val="Setup"/>
      <sheetName val="B_C4"/>
      <sheetName val="pdt cost"/>
      <sheetName val="5000_12A"/>
      <sheetName val="Criteria1"/>
      <sheetName val="DS"/>
      <sheetName val="제출계산서"/>
      <sheetName val="pdrop (제출)"/>
      <sheetName val="r-curve"/>
      <sheetName val="r-curve(metric)"/>
      <sheetName val="par-load"/>
      <sheetName val="p-consumption"/>
      <sheetName val="pdrop(discharge)"/>
      <sheetName val="SH_B"/>
      <sheetName val="SH_C"/>
      <sheetName val="SH_D"/>
      <sheetName val="SH_E"/>
      <sheetName val="SH_F"/>
      <sheetName val="SH_G"/>
      <sheetName val="SCH-1"/>
      <sheetName val="SCH-2"/>
      <sheetName val="SCH-3"/>
      <sheetName val="SCH-4"/>
      <sheetName val="SCH-6"/>
      <sheetName val="SCH-1 MONTH1"/>
      <sheetName val="SCH-1 MONTH2"/>
      <sheetName val="SCH-1 MONTH3"/>
      <sheetName val="GL Depre"/>
      <sheetName val="SCH-2 LastQTR"/>
      <sheetName val="SCH-6 data"/>
      <sheetName val="Acc"/>
      <sheetName val="EXCLUDE"/>
      <sheetName val="VENDER"/>
      <sheetName val="Summary Item"/>
      <sheetName val="AIR"/>
      <sheetName val="Process"/>
      <sheetName val="Outdoor work"/>
      <sheetName val="DETAIL "/>
      <sheetName val="X-042586_Toyota GW Emi(toc)"/>
      <sheetName val="RC.footing"/>
      <sheetName val="covere"/>
      <sheetName val="目次"/>
      <sheetName val="Net-Valve-1"/>
      <sheetName val="ตารางส่วนลด EE."/>
      <sheetName val="Surface"/>
      <sheetName val="Summary_Item"/>
      <sheetName val="Outdoor_work"/>
      <sheetName val="DETAIL_"/>
      <sheetName val="RC_footing"/>
      <sheetName val="Summary_Item2"/>
      <sheetName val="Outdoor_work2"/>
      <sheetName val="DETAIL_2"/>
      <sheetName val="RC_footing2"/>
      <sheetName val="SAN_REDUCED_12"/>
      <sheetName val="Summary_Item1"/>
      <sheetName val="Outdoor_work1"/>
      <sheetName val="DETAIL_1"/>
      <sheetName val="RC_footing1"/>
      <sheetName val="S-Curve S.1"/>
      <sheetName val="1_Interior L1_L3"/>
      <sheetName val="Sun_b"/>
      <sheetName val="3.OVERALL"/>
      <sheetName val="見積書"/>
      <sheetName val="7251-06540"/>
      <sheetName val="splinkler"/>
      <sheetName val="LB020A(月)"/>
      <sheetName val="สรุปราคา (EMC)"/>
      <sheetName val="RECON REG COST"/>
      <sheetName val="RECON PS NS"/>
      <sheetName val="User Input &amp; Retrieval Button"/>
      <sheetName val="FormJ SDDIS"/>
      <sheetName val="FormJ SDDRV"/>
      <sheetName val="FormJ Drive"/>
      <sheetName val="FormJ ESP"/>
      <sheetName val="FormJ PSP"/>
      <sheetName val="FormJ NSP"/>
      <sheetName val="FormJ PSP+NSP"/>
      <sheetName val="FormJ SHARED COST"/>
      <sheetName val="Ess_FormJ Spending SAPST"/>
      <sheetName val="Ess_FormJ Spending SAESP"/>
      <sheetName val="Ess_FormJ COS DC-D1"/>
      <sheetName val="Ess_FormJ Spending SAPPD"/>
      <sheetName val="MANUAL ADJ MINUS"/>
      <sheetName val="Ess_FormJ COS DC-D2"/>
      <sheetName val="Ess_FormJ Spending SANPD"/>
      <sheetName val="MANUAL ADJ PLUS"/>
      <sheetName val="Ess_FormJ COS DC-D3"/>
      <sheetName val="Ess_FormJ Spending SACOM"/>
      <sheetName val="OFFSET TOTAL REGIONAL COST"/>
      <sheetName val="Ess_FormJ Spending SAREG"/>
      <sheetName val="Ess_FormJ Spending SACGA"/>
      <sheetName val="Ess_FormJ Spending SAGNA"/>
      <sheetName val="Ess_FormJ Spending SAPIA"/>
      <sheetName val="Ess_FormJ Spending SAPEM"/>
      <sheetName val="Ess_FormJ Spending PREPRO"/>
      <sheetName val="Ess_FormJ 215 OT%"/>
      <sheetName val="TOTAL REG COST"/>
      <sheetName val="SAFIN"/>
      <sheetName val="SAIT"/>
      <sheetName val="SAITA"/>
      <sheetName val="91027"/>
      <sheetName val="SAREG"/>
      <sheetName val="22057"/>
      <sheetName val="91017"/>
      <sheetName val="94019"/>
      <sheetName val="ESS_FORMJ SDDRV"/>
      <sheetName val="ESS_FORMJ SDDIS"/>
      <sheetName val="ESS_FORMJ SDINA"/>
      <sheetName val="Ess_FormJ PSP+NSP OT%"/>
      <sheetName val="RECON_REG_COST"/>
      <sheetName val="RECON_PS_NS"/>
      <sheetName val="User_Input_&amp;_Retrieval_Button"/>
      <sheetName val="FormJ_SDDIS"/>
      <sheetName val="FormJ_SDDRV"/>
      <sheetName val="FormJ_Drive"/>
      <sheetName val="FormJ_ESP"/>
      <sheetName val="FormJ_PSP"/>
      <sheetName val="FormJ_NSP"/>
      <sheetName val="FormJ_PSP+NSP"/>
      <sheetName val="FormJ_SHARED_COST"/>
      <sheetName val="Ess_FormJ_Spending_SAPST"/>
      <sheetName val="Ess_FormJ_Spending_SAESP"/>
      <sheetName val="Ess_FormJ_COS_DC-D1"/>
      <sheetName val="Ess_FormJ_Spending_SAPPD"/>
      <sheetName val="MANUAL_ADJ_MINUS"/>
      <sheetName val="Ess_FormJ_COS_DC-D2"/>
      <sheetName val="Ess_FormJ_Spending_SANPD"/>
      <sheetName val="MANUAL_ADJ_PLUS"/>
      <sheetName val="Ess_FormJ_COS_DC-D3"/>
      <sheetName val="Ess_FormJ_Spending_SACOM"/>
      <sheetName val="OFFSET_TOTAL_REGIONAL_COST"/>
      <sheetName val="Ess_FormJ_Spending_SAREG"/>
      <sheetName val="Ess_FormJ_Spending_SACGA"/>
      <sheetName val="Ess_FormJ_Spending_SAGNA"/>
      <sheetName val="Ess_FormJ_Spending_SAPIA"/>
      <sheetName val="Ess_FormJ_Spending_SAPEM"/>
      <sheetName val="Ess_FormJ_Spending_PREPRO"/>
      <sheetName val="Ess_FormJ_215_OT%"/>
      <sheetName val="TOTAL_REG_COST"/>
      <sheetName val="ESS_FORMJ_SDDRV"/>
      <sheetName val="ESS_FORMJ_SDDIS"/>
      <sheetName val="ESS_FORMJ_SDINA"/>
      <sheetName val="Ess_FormJ_PSP+NSP_OT%"/>
      <sheetName val="Ess_FormJ Spending SAPSP"/>
      <sheetName val="FormJ PCBA"/>
      <sheetName val="FormJ HSA"/>
      <sheetName val="Ess_FormJ Spending WXDRV"/>
      <sheetName val="Ess_FormJ Spending WXPCB"/>
      <sheetName val="Ess_FormJ COS DC-B2"/>
      <sheetName val="Ess_FormJ Spending WXHSA"/>
      <sheetName val="Ess_FormJ COS DC-S2"/>
      <sheetName val="Ess_FormJ Spending WXG&amp;A"/>
      <sheetName val="IT"/>
      <sheetName val="LESS OUT"/>
      <sheetName val="LESS OUT (2)"/>
      <sheetName val="FINAL INCL BARISH)"/>
      <sheetName val="AFTER DEDUCT"/>
      <sheetName val="JunBud'03 Template"/>
      <sheetName val="Inputs"/>
      <sheetName val="Update"/>
      <sheetName val="Driver Linac Layout"/>
      <sheetName val="BOX Cryostat Details"/>
      <sheetName val="Magnet Details"/>
      <sheetName val="Hauling"/>
      <sheetName val="간선계산"/>
      <sheetName val="Bldg"/>
      <sheetName val="Summary All"/>
      <sheetName val="Driver_Linac_Layout"/>
      <sheetName val="BOX_Cryostat_Details"/>
      <sheetName val="Magnet_Details"/>
      <sheetName val="03100(SS)"/>
      <sheetName val="รวมราคาทั้งสิ้น"/>
      <sheetName val="Contact1"/>
      <sheetName val="Contact2"/>
      <sheetName val="Contact1Alternative"/>
      <sheetName val="Quantity item"/>
      <sheetName val="Clearing&amp;Grubbing"/>
      <sheetName val="Earthwork"/>
      <sheetName val="LoadTest"/>
      <sheetName val="Reinforcement"/>
      <sheetName val="Fromwork"/>
      <sheetName val="QuantitySegment"/>
      <sheetName val="Box Segment"/>
      <sheetName val="Linkslab"/>
      <sheetName val="Cloure strip"/>
      <sheetName val="Drain"/>
      <sheetName val="Earthing &amp; Ligthning"/>
      <sheetName val="Unit price"/>
      <sheetName val="Medium (2)"/>
      <sheetName val="High (2)"/>
      <sheetName val="Very High (2)"/>
      <sheetName val="Medium"/>
      <sheetName val="High"/>
      <sheetName val="Very High"/>
      <sheetName val="Test Time Pareto"/>
      <sheetName val="Test Time"/>
      <sheetName val="Medium_(2)"/>
      <sheetName val="Very_High"/>
      <sheetName val="Old Sheets"/>
      <sheetName val="Jul 04"/>
      <sheetName val="C4-230"/>
      <sheetName val="C4_230"/>
      <sheetName val="Q4_worksheet"/>
      <sheetName val="Actual"/>
      <sheetName val="B_C4_Q"/>
      <sheetName val="B_C4_1"/>
      <sheetName val="B_C4_2"/>
      <sheetName val="B_C4_3"/>
      <sheetName val="PDT$_Q"/>
      <sheetName val="PDT$_1"/>
      <sheetName val="PDT$_2"/>
      <sheetName val="PDT$_3"/>
      <sheetName val="Budget 1"/>
      <sheetName val="Budget_1"/>
      <sheetName val="DaveScheduleTrend"/>
      <sheetName val="VOLUME"/>
      <sheetName val="Accrued exp - taxes"/>
      <sheetName val="AR - R&amp;D Funding"/>
      <sheetName val="Budget_11"/>
      <sheetName val="Accrued_exp_-_taxes"/>
      <sheetName val="AR_-_R&amp;D_Funding"/>
      <sheetName val="COMPARE  (3)"/>
      <sheetName val="COMPARE  (2)"/>
      <sheetName val="SDH"/>
      <sheetName val="C-LOAD(L-FACTORY.)"/>
      <sheetName val="OA FAN"/>
      <sheetName val="VEN"/>
      <sheetName val="AIRB"/>
      <sheetName val="STATIC (AC)1"/>
      <sheetName val="COMPARE "/>
      <sheetName val="KKV-T"/>
      <sheetName val="DIFTEP"/>
      <sheetName val="Gating"/>
      <sheetName val="COMP"/>
      <sheetName val="Alloc"/>
      <sheetName val="Campus"/>
      <sheetName val="R Slice"/>
      <sheetName val="DSL"/>
      <sheetName val="Bar LAP"/>
      <sheetName val="Compose"/>
      <sheetName val="PitStop"/>
      <sheetName val="Bar Assy"/>
      <sheetName val="Photo"/>
      <sheetName val="Milling"/>
      <sheetName val="Dicing"/>
      <sheetName val="MC F"/>
      <sheetName val="MC B"/>
      <sheetName val="SFV"/>
      <sheetName val="S Cap"/>
      <sheetName val="UOM"/>
      <sheetName val="WIP"/>
      <sheetName val="IE HPU"/>
      <sheetName val="HC"/>
      <sheetName val="Tool"/>
      <sheetName val="Space"/>
      <sheetName val="Change"/>
      <sheetName val="Remark"/>
      <sheetName val="Dialog1"/>
      <sheetName val="drill"/>
      <sheetName val="balances"/>
      <sheetName val="trandrill"/>
      <sheetName val="invdrill"/>
      <sheetName val="parameters"/>
      <sheetName val="essLists"/>
      <sheetName val="DimDrill"/>
      <sheetName val="rowoptions"/>
      <sheetName val="coloptions"/>
      <sheetName val="essReport"/>
      <sheetName val="prod_code"/>
      <sheetName val="SITESUMM"/>
      <sheetName val="VP Matrix"/>
      <sheetName val="CAR LIST"/>
      <sheetName val="mstr"/>
      <sheetName val="Request"/>
      <sheetName val="BOQ หมวดสถาปัตยกรรม-A"/>
      <sheetName val="สรุปราคางานสถาปัตยกรรม"/>
      <sheetName val="PURCH"/>
      <sheetName val="DATA "/>
      <sheetName val="Control Panel"/>
      <sheetName val="Consolidated DC"/>
      <sheetName val="Enterprise"/>
      <sheetName val="Personal"/>
      <sheetName val="Mobile"/>
      <sheetName val="Tape"/>
      <sheetName val="Component"/>
      <sheetName val="Internet Solutions"/>
      <sheetName val="Generic"/>
      <sheetName val="Software"/>
      <sheetName val="FX"/>
      <sheetName val="X-fer"/>
      <sheetName val="Aff Ex"/>
      <sheetName val="Misc_COS"/>
      <sheetName val="CSR"/>
      <sheetName val="Central"/>
      <sheetName val="Commentary"/>
      <sheetName val="GM_Cover"/>
      <sheetName val="GM_Des_Ctr"/>
      <sheetName val="Module4"/>
      <sheetName val="EssBase Check"/>
      <sheetName val="Accounts"/>
      <sheetName val="G&amp;A Reclass"/>
      <sheetName val="EXPAT COSTS"/>
      <sheetName val="COS Reclass"/>
      <sheetName val="Consol FormJ Ops"/>
      <sheetName val="ADI Media Ops"/>
      <sheetName val="ADI MDW"/>
      <sheetName val="ADI NonOps"/>
      <sheetName val="IDL hc rec as DL"/>
      <sheetName val="ADI NonOps(B4 change)"/>
      <sheetName val="ESSBASE"/>
      <sheetName val="Prelim CPC"/>
      <sheetName val="flcon Causal"/>
      <sheetName val="Causal"/>
      <sheetName val="Delta vs Bud"/>
      <sheetName val="Expl"/>
      <sheetName val="Delta vs Prior"/>
      <sheetName val="RMO Consol"/>
      <sheetName val="Chart (13wks)"/>
      <sheetName val="OL TTL"/>
      <sheetName val="Glem TTL"/>
      <sheetName val="OL Glem"/>
      <sheetName val="OL Media"/>
      <sheetName val="OL MDW"/>
      <sheetName val="OL NGL"/>
      <sheetName val="Untested Media DM"/>
      <sheetName val="Vol, DM, ABS"/>
      <sheetName val="VC, FC"/>
      <sheetName val="IDM"/>
      <sheetName val="FSG-Media"/>
      <sheetName val="FSG-NG"/>
      <sheetName val="forex"/>
      <sheetName val="Control_Panel"/>
      <sheetName val="HSA Outsource"/>
      <sheetName val="RWK QTR"/>
      <sheetName val="HSA Outsource Rturn"/>
      <sheetName val="Wuxi HSA"/>
      <sheetName val="FormJ"/>
      <sheetName val="Pull file"/>
      <sheetName val="ABSORPTION"/>
      <sheetName val="DL OT&amp;HC"/>
      <sheetName val="DL Cost(FP) "/>
      <sheetName val="DL Analysis_DecBud"/>
      <sheetName val="outside service"/>
      <sheetName val="Analysis Q312"/>
      <sheetName val="IDL Variable"/>
      <sheetName val="IDL fixed"/>
      <sheetName val="IDL HC"/>
      <sheetName val="ops&amp;pkg"/>
      <sheetName val="uniform"/>
      <sheetName val="jump wash"/>
      <sheetName val="tray wash"/>
      <sheetName val="HSA  volume MS1207A2 "/>
      <sheetName val="Outsource"/>
      <sheetName val="EE"/>
      <sheetName val="Freight"/>
      <sheetName val="Freight (2)"/>
      <sheetName val="InputFacility (HSA"/>
      <sheetName val="PSG"/>
      <sheetName val="NSG"/>
      <sheetName val="China-HDA"/>
      <sheetName val="SUM HPU"/>
      <sheetName val="Sum HGA"/>
      <sheetName val="Sum HSA"/>
      <sheetName val="Ratio Volume"/>
      <sheetName val="%Ratio volume"/>
      <sheetName val="HPU sub assy"/>
      <sheetName val="Pharaoh"/>
      <sheetName val="Pharaoh Oasis"/>
      <sheetName val="Lombard"/>
      <sheetName val="GrenadaBP2"/>
      <sheetName val="Lightning Thunderbolt"/>
      <sheetName val="Airwalker "/>
      <sheetName val="Megalodon"/>
      <sheetName val="Makara"/>
      <sheetName val="Lamarr"/>
      <sheetName val="Argus"/>
      <sheetName val="NPD"/>
      <sheetName val="HGA EQ (FY15 SF)"/>
      <sheetName val="ISI"/>
      <sheetName val="Airwalker"/>
      <sheetName val="Airwalker (SG)"/>
      <sheetName val="Airwalker (DB)"/>
      <sheetName val="MantaRay"/>
      <sheetName val="Grenada"/>
      <sheetName val="Muskie"/>
      <sheetName val="HC-Loading"/>
      <sheetName val="JB14-HGA.EQ#Rev2"/>
      <sheetName val="SAA Metric JunBud"/>
      <sheetName val="HSA compare"/>
      <sheetName val="LCA (FY14 JunBud)"/>
      <sheetName val="100X  Analysis"/>
      <sheetName val="Sampling size"/>
      <sheetName val="Cov Dwg"/>
      <sheetName val="cov-estimate"/>
      <sheetName val="cov-tender"/>
      <sheetName val="cov-contract"/>
      <sheetName val="cov-final AC"/>
      <sheetName val="cov-contract 2"/>
      <sheetName val="divider"/>
      <sheetName val="cov_estimate"/>
      <sheetName val="Package 3(Concourse)"/>
      <sheetName val="Package2 (MTB)"/>
      <sheetName val="Central Plant"/>
      <sheetName val="Q3-13 "/>
      <sheetName val="SOR"/>
      <sheetName val="Q2-55"/>
      <sheetName val="Q3-55"/>
      <sheetName val="Q4-55"/>
      <sheetName val="Q1-13"/>
      <sheetName val="สระน้ำหลัง BO"/>
      <sheetName val="สระน้ำ(ด้านทิศใต้อาคาร B)"/>
      <sheetName val="ราคาF6"/>
      <sheetName val="8 consume"/>
      <sheetName val="1 Labour"/>
      <sheetName val="2 staff"/>
      <sheetName val="6 - Misc. EP"/>
      <sheetName val="data-Hilton"/>
      <sheetName val="Cost Data"/>
      <sheetName val="Assumptions"/>
      <sheetName val="CC1"/>
      <sheetName val="CC2"/>
      <sheetName val="CC3"/>
      <sheetName val="CC4"/>
      <sheetName val="CC5"/>
      <sheetName val="CC6"/>
      <sheetName val="CC7"/>
      <sheetName val="CC8"/>
      <sheetName val="CC9"/>
      <sheetName val="1.1.1Gen"/>
      <sheetName val="1.1.2vehicle"/>
      <sheetName val="1.1.3Demobilize"/>
      <sheetName val="1.2Traffic"/>
      <sheetName val="1.3Envi"/>
      <sheetName val="1.4.1Test"/>
      <sheetName val="1.4.2Report"/>
      <sheetName val="2.1MainLine"/>
      <sheetName val="2.2Station"/>
      <sheetName val="4.1.1Pile"/>
      <sheetName val="4.1.2TBlock"/>
      <sheetName val="4.2Pier"/>
      <sheetName val="4.3Portal"/>
      <sheetName val="4.4Pad"/>
      <sheetName val="5.2.1Produce"/>
      <sheetName val="5.2.2Install"/>
      <sheetName val="5.3AR"/>
      <sheetName val="5.4E&amp;M"/>
      <sheetName val="6.1Yard"/>
      <sheetName val="6.2.1Pile"/>
      <sheetName val="6.2.2Pile Cap"/>
      <sheetName val="6.3.1Pier"/>
      <sheetName val="6.3.2XBeam"/>
      <sheetName val="6.3.3I-Girder"/>
      <sheetName val="6.4.1Roof"/>
      <sheetName val="6.4.2Stair"/>
      <sheetName val="6.4.3Slab"/>
      <sheetName val="Cov_Dwg"/>
      <sheetName val="cov-final_AC"/>
      <sheetName val="cov-contract_2"/>
      <sheetName val="สระน้ำหลัง_BO"/>
      <sheetName val="สระน้ำ(ด้านทิศใต้อาคาร_B)"/>
      <sheetName val="7-consume"/>
      <sheetName val="6-Equipment"/>
      <sheetName val="4-Local transport"/>
      <sheetName val="3 - Material"/>
      <sheetName val="Cctmst"/>
      <sheetName val="code0"/>
      <sheetName val="Package_3(Concourse)"/>
      <sheetName val="Package2_(MTB)"/>
      <sheetName val="Central_Plant"/>
      <sheetName val="Q3-13_"/>
      <sheetName val="Auto Monthly Inputs "/>
      <sheetName val="COS Spending"/>
      <sheetName val="Marketing &amp; Administrative"/>
      <sheetName val="P&amp;L - DATA"/>
      <sheetName val="Product Development"/>
      <sheetName val="TCO COS"/>
      <sheetName val="Break Down."/>
      <sheetName val="% DM Analysis"/>
      <sheetName val="Total "/>
      <sheetName val="Quarter"/>
      <sheetName val="Prime"/>
      <sheetName val="RWK &amp; RTV"/>
      <sheetName val="RCM"/>
      <sheetName val="USP - Report"/>
      <sheetName val="SCP Q1'99 UPD"/>
      <sheetName val="Q4'98ACT"/>
      <sheetName val="WW19"/>
      <sheetName val="Sum%OT by Exempt-Non-Exempt-DL"/>
      <sheetName val="Sum.bySection"/>
      <sheetName val="39"/>
      <sheetName val="38"/>
      <sheetName val="37"/>
      <sheetName val="36"/>
      <sheetName val="35"/>
      <sheetName val="Home"/>
      <sheetName val="Sum.ChartTK-Section"/>
      <sheetName val="ComparTK&amp;TT"/>
      <sheetName val="ChartTT&amp;TK"/>
      <sheetName val="Section"/>
      <sheetName val="ByType"/>
      <sheetName val="%Dept-Bud"/>
      <sheetName val="&gt;10000000"/>
      <sheetName val="Total Drive HDD"/>
      <sheetName val="AMK HDD"/>
      <sheetName val="STSZ HDD"/>
      <sheetName val="Wuxi HDD"/>
      <sheetName val="Total HSA"/>
      <sheetName val="Teparuk HSA"/>
      <sheetName val="Korat HSA"/>
      <sheetName val="Total HGA"/>
      <sheetName val="Teparuk HGA"/>
      <sheetName val="Korat HGA"/>
      <sheetName val="Total Slider"/>
      <sheetName val="Total Drive IR,RR,HPU"/>
      <sheetName val="AMK IR,RR,HPU"/>
      <sheetName val="Wuxi IR,RR,HPU"/>
      <sheetName val="Thai ET, HPU"/>
      <sheetName val="HSA-Report"/>
      <sheetName val="Select-a-Report Volumes"/>
      <sheetName val="check stack drive- Offset"/>
      <sheetName val="Select-a-Report Rates"/>
      <sheetName val="Admin-Hide"/>
      <sheetName val="Admin_Hide"/>
      <sheetName val="SW PL"/>
      <sheetName val="DCI 2"/>
      <sheetName val="PMG 2"/>
      <sheetName val="DCI Summary"/>
      <sheetName val="DMI Summary"/>
      <sheetName val="PMG Summary"/>
      <sheetName val="SVB LOC Summary"/>
      <sheetName val="SVB Term Summary"/>
      <sheetName val="INSTRUCTIONS"/>
      <sheetName val="DB"/>
      <sheetName val="SOURCE"/>
      <sheetName val="OUT"/>
      <sheetName val="ALLOWANCE TABLE (Proposal)"/>
      <sheetName val="Allowance Table (Execution)"/>
      <sheetName val="Line Index (HVAC)"/>
      <sheetName val="Line Index (소방)"/>
      <sheetName val="AG"/>
      <sheetName val="일반전기"/>
      <sheetName val="단가표"/>
      <sheetName val="cost breakdown template"/>
      <sheetName val="현장업무"/>
      <sheetName val="#REF!"/>
      <sheetName val="VV보온LINK"/>
      <sheetName val="FIT보온LINK"/>
      <sheetName val="LABTOTAL"/>
      <sheetName val="C.S.A"/>
      <sheetName val="A กลาง"/>
      <sheetName val="A กลาง เกสร"/>
      <sheetName val="A แฝด"/>
      <sheetName val="A ริม"/>
      <sheetName val="B กลาง"/>
      <sheetName val="B ริม"/>
      <sheetName val="B แฝด"/>
      <sheetName val="C กลาง"/>
      <sheetName val="C ริม"/>
      <sheetName val="C แฝด"/>
      <sheetName val="ค่าวัสดุ"/>
      <sheetName val="เอกสารแนบ"/>
      <sheetName val="AutoOpen Stub Data"/>
      <sheetName val="Customize Your Purchase Order"/>
      <sheetName val="Purchase Order"/>
      <sheetName val="Macros"/>
      <sheetName val="ATW"/>
      <sheetName val="Lock"/>
      <sheetName val="Intl Data Table"/>
      <sheetName val="TemplateInformation"/>
      <sheetName val="Boq(1)"/>
      <sheetName val="外気負荷"/>
      <sheetName val="Purchase Order1"/>
      <sheetName val="Defect Report(M&amp;E)"/>
      <sheetName val="Price per model"/>
      <sheetName val="建築代価"/>
      <sheetName val="040"/>
      <sheetName val="060"/>
      <sheetName val="Currency Rate"/>
      <sheetName val="BQ-E20-02(Rp)"/>
      <sheetName val="Template"/>
      <sheetName val="Variables"/>
      <sheetName val="Customize_Your_Purchase_Order"/>
      <sheetName val="Purchase_Order"/>
      <sheetName val="AutoOpen_Stub_Data"/>
      <sheetName val="Intl_Data_Table"/>
      <sheetName val="C-LOAD(L-FACTORY_)"/>
      <sheetName val="Purchase_Order1"/>
      <sheetName val="Customize_Your_Purchase_Order1"/>
      <sheetName val="Purchase_Order2"/>
      <sheetName val="AutoOpen_Stub_Data1"/>
      <sheetName val="Intl_Data_Table1"/>
      <sheetName val="C-LOAD(L-FACTORY_)1"/>
      <sheetName val="Purchase_Order11"/>
      <sheetName val="Customize_Your_Purchase_Order2"/>
      <sheetName val="AutoOpen_Stub_Data2"/>
      <sheetName val="Intl_Data_Table2"/>
      <sheetName val="C-LOAD(L-FACTORY_)2"/>
      <sheetName val="Book 1 Summary"/>
      <sheetName val="Invoice"/>
      <sheetName val="Sheet1 (3)"/>
      <sheetName val="APR'09"/>
      <sheetName val="COMMOND LINE"/>
      <sheetName val="sort2"/>
      <sheetName val="cu_ผลรวม"/>
      <sheetName val="cu_รหัส"/>
      <sheetName val="cu_วัน"/>
      <sheetName val="일위대가목차"/>
      <sheetName val="CrEstimate"/>
      <sheetName val="Nov.'02"/>
      <sheetName val="Comsole"/>
      <sheetName val="797T輸入部品リスト"/>
      <sheetName val="data list"/>
      <sheetName val="Plate_Bumper"/>
      <sheetName val="55435-0D060"/>
      <sheetName val="55436-0D060"/>
      <sheetName val="ConfigModel"/>
      <sheetName val="ResourceModel"/>
      <sheetName val="ＦＣ～FT"/>
      <sheetName val="New DYNA"/>
      <sheetName val="CRITERIA2"/>
      <sheetName val="PRODUCT MIX TRUCK"/>
      <sheetName val="BOM 043L,351L,299L"/>
      <sheetName val="DailyInput"/>
      <sheetName val="CODE,NAME"/>
      <sheetName val="2.1.1Take pipe"/>
      <sheetName val="2.1.2Take Copper Pipe"/>
      <sheetName val="Annual Production"/>
      <sheetName val="POV"/>
      <sheetName val="ＴＦ関連Ｐｒｊ日程表"/>
      <sheetName val="FC"/>
      <sheetName val="PO(Thai)"/>
      <sheetName val="Order List"/>
      <sheetName val="DLIST"/>
      <sheetName val="FACE"/>
      <sheetName val="FACE-1"/>
      <sheetName val="PCH"/>
      <sheetName val="DCH"/>
      <sheetName val="CLOAD"/>
      <sheetName val="KKV"/>
      <sheetName val="P-FH"/>
      <sheetName val="PLP"/>
      <sheetName val="SH-DH"/>
      <sheetName val="DL-09B"/>
      <sheetName val="DL_09B"/>
      <sheetName val="Revision history"/>
      <sheetName val="115_E"/>
      <sheetName val="Milpitas"/>
      <sheetName val="dept master"/>
      <sheetName val="Ops Review - Sum Charts"/>
      <sheetName val="dept_master"/>
      <sheetName val="Ops_Review_-_Sum_Charts"/>
      <sheetName val="DETAIL (2)"/>
      <sheetName val="WDLACTL"/>
      <sheetName val="SITE LIST"/>
      <sheetName val="12A_Scrap"/>
      <sheetName val="CQ3-CQ4'00"/>
      <sheetName val="stst"/>
      <sheetName val="CLOSEQA"/>
      <sheetName val="ws9"/>
      <sheetName val="Currency deposit-MYR"/>
      <sheetName val="Desc Mstr"/>
      <sheetName val="Desc_Mstr"/>
      <sheetName val="VENDER (2)"/>
      <sheetName val="SITE OFFICE"/>
      <sheetName val="RTV ANALYSIS MONTH"/>
      <sheetName val="SHP"/>
      <sheetName val="TTL BY WK"/>
      <sheetName val="SUM05"/>
      <sheetName val="SUM06"/>
      <sheetName val="SUM07"/>
      <sheetName val="SUM08"/>
      <sheetName val="DRIVE SHIP"/>
      <sheetName val="RTV ANALYSIS 2 WEEK"/>
      <sheetName val="DM Summary"/>
      <sheetName val="MnthEnd Pkg"/>
      <sheetName val="DRIVE_SHIP"/>
      <sheetName val="Main"/>
      <sheetName val="D_Home"/>
      <sheetName val="H_Home"/>
      <sheetName val="S_Home"/>
      <sheetName val="CAR"/>
      <sheetName val="D_R&amp;O"/>
      <sheetName val="H_R&amp;O"/>
      <sheetName val="S_R&amp;O"/>
      <sheetName val="D_Vol"/>
      <sheetName val="H_Vol"/>
      <sheetName val="S_Vol"/>
      <sheetName val="H_Submit"/>
      <sheetName val="FA Template"/>
      <sheetName val="Delta7640"/>
      <sheetName val="Delta7710"/>
      <sheetName val="Eq. detail"/>
      <sheetName val="H_Detail"/>
      <sheetName val="DSMR"/>
      <sheetName val="GMR"/>
      <sheetName val="WX PS DRV"/>
      <sheetName val="WX PS EAO"/>
      <sheetName val="WX PS HSA"/>
      <sheetName val="WX DRV"/>
      <sheetName val="237DRVPage1"/>
      <sheetName val="237DRVPage2"/>
      <sheetName val="WX EAO"/>
      <sheetName val="237EAOPage1"/>
      <sheetName val="237EAOPage2"/>
      <sheetName val="WX HSA"/>
      <sheetName val="237HSAPage1"/>
      <sheetName val="237HSAPage2"/>
      <sheetName val="WX GA"/>
      <sheetName val="237GAPage1"/>
      <sheetName val="draft-Q1'00"/>
      <sheetName val="draft_Q1_00"/>
      <sheetName val="90020"/>
      <sheetName val="DL Calc'n"/>
      <sheetName val="EXPLANATIONS"/>
      <sheetName val="Ttl Admin"/>
      <sheetName val="EH&amp;S"/>
      <sheetName val="CO IT"/>
      <sheetName val="CO HR"/>
      <sheetName val="Finance"/>
      <sheetName val="MP HR"/>
      <sheetName val="MP IT"/>
      <sheetName val="SG&amp;A"/>
      <sheetName val="INCSTMNT"/>
      <sheetName val="HSA W VS LASTWEEK"/>
      <sheetName val="HSA Q VS LASTWEEK"/>
      <sheetName val="HSA W VS BUDGET"/>
      <sheetName val="HSA Q VS BUDGET"/>
      <sheetName val="HSA QQ VS BUDGET"/>
      <sheetName val="HSA_Vol"/>
      <sheetName val="HGA_Vol"/>
      <sheetName val="Amount_ET"/>
      <sheetName val="Amount_Assy"/>
      <sheetName val="Amount_RW"/>
      <sheetName val="OutLook_Scrap"/>
      <sheetName val="Metrix_ETYield"/>
      <sheetName val="Metrix_AssyYield"/>
      <sheetName val="Metrix_RTN"/>
      <sheetName val="HGA_Vol_MS_Q"/>
      <sheetName val="HGA_Vol_MS_QQ"/>
      <sheetName val="HSA_Vol_MS_Q"/>
      <sheetName val="HSA_Vol_MS_QQ"/>
      <sheetName val="Code_Q"/>
      <sheetName val="Code_QQ"/>
      <sheetName val="FreeStock_Budget"/>
      <sheetName val="HSA M VS BUDGET"/>
      <sheetName val="HSA_W_VS_LASTWEEK"/>
      <sheetName val="HSA_Q_VS_LASTWEEK"/>
      <sheetName val="HSA_W_VS_BUDGET"/>
      <sheetName val="HSA_Q_VS_BUDGET"/>
      <sheetName val="HSA_QQ_VS_BUDGET"/>
      <sheetName val="HSA_M_VS_BUDGET"/>
      <sheetName val="SEPWKSHT"/>
      <sheetName val="septwksht"/>
      <sheetName val="SEPWKSHT.XLS"/>
      <sheetName val="BY CATEGORY"/>
      <sheetName val="Asia Scrap Approach1"/>
      <sheetName val="B1P2 Cover"/>
      <sheetName val="Warranties Rate Only"/>
      <sheetName val="NEW-PANEL"/>
      <sheetName val="LIST 2005"/>
      <sheetName val="CAP-FORM"/>
      <sheetName val="Status"/>
      <sheetName val="Thisweek"/>
      <sheetName val="LastWeek"/>
      <sheetName val="OPS"/>
      <sheetName val="LastQuarter"/>
      <sheetName val="Var_BW"/>
      <sheetName val="IC_1"/>
      <sheetName val="IC_2"/>
      <sheetName val="IC_3"/>
      <sheetName val="IC_4"/>
      <sheetName val="IC_1-4"/>
      <sheetName val="U5 last"/>
      <sheetName val="u5bgt"/>
      <sheetName val="Var_1"/>
      <sheetName val="Var_2"/>
      <sheetName val="Var_3"/>
      <sheetName val="Var_4"/>
      <sheetName val="Var_1-4"/>
      <sheetName val="Var_1-4 Budget"/>
      <sheetName val="ww34"/>
      <sheetName val="FO34"/>
      <sheetName val="U5 WW.13"/>
      <sheetName val="assy ww.08"/>
      <sheetName val="U5 WW.08"/>
      <sheetName val="assy ww.07"/>
      <sheetName val="U5 WW.07"/>
      <sheetName val="U5 last New"/>
      <sheetName val="bgt new"/>
      <sheetName val="U5 WW.04"/>
      <sheetName val="assy ww.04"/>
      <sheetName val="U5 WW.03"/>
      <sheetName val="assy ww.03"/>
      <sheetName val="u5"/>
      <sheetName val="U5 WW.02"/>
      <sheetName val="assy ww.02"/>
      <sheetName val="vol mix"/>
      <sheetName val="assy ww.01"/>
      <sheetName val="U5 WW.01"/>
      <sheetName val="assy ww.52"/>
      <sheetName val="U5 WW.52"/>
      <sheetName val="assy ww.51"/>
      <sheetName val="U5 WW.51"/>
      <sheetName val="assy ww.50"/>
      <sheetName val="U5 WW.50"/>
      <sheetName val="U5 WW.49"/>
      <sheetName val="assy ww.49"/>
      <sheetName val="assy ww.48"/>
      <sheetName val="U5 WW.48"/>
      <sheetName val="assy ww.47"/>
      <sheetName val="U5 WW.47"/>
      <sheetName val="U5 WW.46"/>
      <sheetName val="assy ww.46"/>
      <sheetName val="U5 WW.45"/>
      <sheetName val="assy ww.45"/>
      <sheetName val="U5 WW.44"/>
      <sheetName val="assy ww.44"/>
      <sheetName val="assy ww.43"/>
      <sheetName val="U5 WW.06"/>
      <sheetName val="assy ww.06"/>
      <sheetName val="U5 New"/>
      <sheetName val="assy ww.05"/>
      <sheetName val="U5 WW.05"/>
      <sheetName val="ww.38"/>
      <sheetName val="assy ww.38"/>
      <sheetName val="U5 WW.10"/>
      <sheetName val="assy ww.10"/>
      <sheetName val="U5 WW.09"/>
      <sheetName val="assy ww.09"/>
      <sheetName val="assy ww.37"/>
      <sheetName val="FO20"/>
      <sheetName val="IC_P00"/>
      <sheetName val="06A"/>
      <sheetName val="assy ww.33"/>
      <sheetName val="DUCTSHT2"/>
      <sheetName val="Unit (STTH-C)"/>
      <sheetName val="HGA to wellgrow"/>
      <sheetName val="차액보증"/>
      <sheetName val="電気設備表"/>
      <sheetName val="Doc"/>
      <sheetName val="บทสรุปผู้บริหาร"/>
      <sheetName val="Store"/>
      <sheetName val="ประมาณการประตูหน้าต่าง_1"/>
      <sheetName val="ประมาณการประตูหน้าต่าง_"/>
      <sheetName val="ตารางวันหยุด"/>
      <sheetName val="Book_1_Summary"/>
      <sheetName val="Summary POL Equip"/>
      <sheetName val="Equipment Rental Price"/>
      <sheetName val="ราคาบ้านแต่ละไตรมาส"/>
      <sheetName val="Quotation"/>
      <sheetName val="BOQ1 (2)"/>
      <sheetName val="e4"/>
      <sheetName val="Sum_EMC"/>
      <sheetName val="EST-FOOTING (G)"/>
      <sheetName val="QUANTITY COMPARISON"/>
      <sheetName val="แบบเดิม"/>
      <sheetName val="Bill No. 2 - Carpark"/>
      <sheetName val="ประมาณการประตูหน้าต่าง_2"/>
      <sheetName val="งานระบบไฟฟ้าและสื่อสาร"/>
      <sheetName val="ยานพาหนะ"/>
      <sheetName val="인원계획-미화"/>
      <sheetName val="ประม_x0000__x0000__x0001__x0000__x0001_ࠀЉ_x0000_쪊疒_xddef__x0000__xdd00__x0000_Ͽ_x0000_ï_x0000_孔I"/>
      <sheetName val="ราคาต่ำสุด-721"/>
      <sheetName val="S-5"/>
      <sheetName val="ประม??_x0001_?_x0001_ࠀЉ?쪊疒_xddef_?_xdd00_?Ͽ?ï?孔I"/>
      <sheetName val="Book_1_Summary1"/>
      <sheetName val="ประมาณการประตูหน้าต่าง_3"/>
      <sheetName val="Main_Sum_(Hotel_&amp;_Residences)"/>
      <sheetName val="Summary_POL_Equip"/>
      <sheetName val="Equipment_Rental_Price"/>
      <sheetName val="BOQ1_(2)"/>
      <sheetName val="EST-FOOTING_(G)"/>
      <sheetName val="QUANTITY_COMPARISON"/>
      <sheetName val="Bill_No__2_-_Carpark"/>
      <sheetName val="ประมࠀЉ쪊疒Ͽï孔I"/>
      <sheetName val="ราคาอ้างอิง"/>
      <sheetName val="Replacement Cost "/>
      <sheetName val="ประม"/>
      <sheetName val="ประม___x0001___x0001_ࠀЉ_쪊疒_xddef___xdd00__Ͽ_ï_孔I"/>
      <sheetName val="Cavity Inputs"/>
      <sheetName val=" Cover 090EPY"/>
      <sheetName val="EPY Jan 60"/>
      <sheetName val="Testing"/>
      <sheetName val="HEAT"/>
      <sheetName val="JUL'98"/>
      <sheetName val="JUL_98"/>
      <sheetName val="Unit_(STTH-C)"/>
      <sheetName val="WTRspry"/>
      <sheetName val="M Onsite"/>
      <sheetName val="PSY_OAC"/>
      <sheetName val="F2002-79"/>
      <sheetName val="BIDDAY.XLM"/>
      <sheetName val="cover page format"/>
      <sheetName val="HRG BHN"/>
      <sheetName val="I-slab"/>
      <sheetName val="Engineer"/>
      <sheetName val="QA"/>
      <sheetName val="Admin"/>
      <sheetName val="Cap_Pur"/>
      <sheetName val="05C4A"/>
      <sheetName val="Cover(1)"/>
      <sheetName val="Cover(2)"/>
      <sheetName val="Cover(3)"/>
      <sheetName val="Attachment # 1"/>
      <sheetName val="Attachment # 2"/>
      <sheetName val="PipeSize"/>
      <sheetName val="BFP Spray qty"/>
      <sheetName val="Max Allowable Stress"/>
      <sheetName val="VolumeMS0511"/>
      <sheetName val="Drive_Detail"/>
      <sheetName val="CAR-D"/>
      <sheetName val="D_%OT"/>
      <sheetName val="D_HCs"/>
      <sheetName val="D_Catagory"/>
      <sheetName val="Drive_Number"/>
      <sheetName val="D-Final"/>
      <sheetName val="Submit_Finance Template"/>
      <sheetName val="DDelta7640.04719"/>
      <sheetName val="DDelta7640.5509"/>
      <sheetName val="DDelta7640.22061"/>
      <sheetName val="Explanation7710"/>
      <sheetName val="D_Delta7710"/>
      <sheetName val="DDelta7721"/>
      <sheetName val="DDelta7723"/>
      <sheetName val="DDelta7770"/>
      <sheetName val="DDelta7780"/>
      <sheetName val="D-Final (2)"/>
      <sheetName val="DEC_98 (2)"/>
      <sheetName val="DEC_98_(2)"/>
      <sheetName val="MPCOS"/>
      <sheetName val="MPMDW"/>
      <sheetName val="MPOPS"/>
      <sheetName val="NOOPS"/>
      <sheetName val="DEC_98 _2_"/>
      <sheetName val="PSG-NSG Variance"/>
      <sheetName val="Covault"/>
      <sheetName val="COGS"/>
      <sheetName val="CSR Equipment requirement"/>
      <sheetName val="COMSITE DATA"/>
      <sheetName val="Lookup Data"/>
      <sheetName val="Total Other Scrap"/>
      <sheetName val="Sub Assy Data"/>
      <sheetName val="Week Data"/>
      <sheetName val="ISWOSW"/>
      <sheetName val="Lookup_Data"/>
      <sheetName val="NG-Spen"/>
      <sheetName val="R&amp;D-Spen"/>
      <sheetName val="DRIVER WBS COSTS"/>
      <sheetName val="Labor &amp; cryostat Inputs"/>
      <sheetName val="Cavity Summary"/>
      <sheetName val=".021 FORK"/>
      <sheetName val=".03 FORK"/>
      <sheetName val="QWR"/>
      <sheetName val="175MHz"/>
      <sheetName val="345MHz "/>
      <sheetName val="Box cryostat costs (Ken &amp; Joel)"/>
      <sheetName val="RIA Driver Cost (Update #1) Rev"/>
      <sheetName val="일반공사"/>
      <sheetName val="Furniture"/>
      <sheetName val="PGM_2LEVYTD"/>
      <sheetName val="Take-off stru"/>
      <sheetName val="TRANS"/>
      <sheetName val="Cap Plan"/>
      <sheetName val="Pur_App"/>
      <sheetName val="Non-ops Dept. Spend"/>
      <sheetName val="MPS Summary"/>
      <sheetName val="PerItemCalc"/>
      <sheetName val="PerItemSummary"/>
      <sheetName val="Oct Hours"/>
      <sheetName val="Mar Hours"/>
      <sheetName val="Aug Hours"/>
      <sheetName val="Aug Times"/>
      <sheetName val="2Q05 Hours"/>
      <sheetName val="2Q05 Times"/>
      <sheetName val="3Q05 Hours"/>
      <sheetName val="3Q05 Times"/>
      <sheetName val="Copy of PSG TT Model Rev 4.0"/>
      <sheetName val="COS"/>
      <sheetName val="BLDG1"/>
      <sheetName val="BLDG2"/>
      <sheetName val="BLDG3"/>
      <sheetName val="BLDG4"/>
      <sheetName val="BLDG5"/>
      <sheetName val="BLDG6"/>
      <sheetName val="BLDG7"/>
      <sheetName val="BLDG8"/>
      <sheetName val="BLDG9"/>
      <sheetName val="BLDG10"/>
      <sheetName val="CORRIDOR"/>
      <sheetName val="EXTERIOR"/>
      <sheetName val="SAN.FIX"/>
      <sheetName val="DEPRE - NEW ADD &amp; RETIREMENT"/>
      <sheetName val="DL Focal Adder"/>
      <sheetName val="IDL Focal Adder"/>
      <sheetName val="% USED"/>
      <sheetName val="CPU"/>
      <sheetName val="SPENDING"/>
      <sheetName val="Range"/>
      <sheetName val="VOLUME SUMMARY"/>
      <sheetName val="TOTAL SPENDING VAR"/>
      <sheetName val="FORMJ_TOTAL FE W IHQ"/>
      <sheetName val="FORMJ_TOTAL FE WO IHQ"/>
      <sheetName val="FORMJ_TOTAL IHQ"/>
      <sheetName val="FORMJ_TOTAL DRIVE"/>
      <sheetName val="FORMJ_TOTAL EAO"/>
      <sheetName val="FORMJ_TOTAL HGSA"/>
      <sheetName val="FORMJ_TOTAL SLIDER"/>
      <sheetName val="FORMJ_AMK DRV"/>
      <sheetName val="FORMJ_AMK DRIVE IHQ"/>
      <sheetName val="FORMJ_AMK EAO IHQ"/>
      <sheetName val="FORMJ_AMK ES DRV"/>
      <sheetName val="FORMJ_AMK PS DRV"/>
      <sheetName val="FORMJ_AMK NS DRV"/>
      <sheetName val="FORMJ_WX DRV"/>
      <sheetName val="FORMJ_KRT DRV"/>
      <sheetName val="FORMJ_SZ DRV"/>
      <sheetName val="FORMJ_AMK PCBA"/>
      <sheetName val="FORMJ_AMK PCCA"/>
      <sheetName val="FORMJ_WX PCBA"/>
      <sheetName val="FORMJ_SENAI EAO IHQ"/>
      <sheetName val="FORMJ_SENAI PCBA"/>
      <sheetName val="FORMJ_TPK HGSA"/>
      <sheetName val="FORMJ_KRT HGSA"/>
      <sheetName val="FORMJ_AMK HGSA"/>
      <sheetName val="FORMJ_WX HGSA"/>
      <sheetName val="FORMJ_KRT SLIDER"/>
      <sheetName val="FORMJ_PG SLIDER"/>
      <sheetName val="MS"/>
      <sheetName val="Yield &amp;TT"/>
      <sheetName val="Bubble"/>
      <sheetName val="10K7 LP"/>
      <sheetName val="10K7 LD"/>
      <sheetName val="10K7 LDD"/>
      <sheetName val="CT73LP"/>
      <sheetName val="X15-36LP"/>
      <sheetName val="Cuda180"/>
      <sheetName val="JAN'09"/>
      <sheetName val="BUILD PLAN(P)"/>
      <sheetName val="WW REQ"/>
      <sheetName val="BUILD PLAN(K)"/>
      <sheetName val="Product Matrix"/>
      <sheetName val="Capacity(DGR)"/>
      <sheetName val="Capacity(Vol)"/>
      <sheetName val="HPU(P)"/>
      <sheetName val="HPU(K)"/>
      <sheetName val="!!!!!!!!!!!!!!!!!!!!ASSUMPTIONS"/>
      <sheetName val="Changes (2)"/>
      <sheetName val="YIELD"/>
      <sheetName val="PROBE"/>
      <sheetName val="START SLIDER(P)"/>
      <sheetName val="START SLIDER(K)"/>
      <sheetName val="SLIDER PER BAR"/>
      <sheetName val="START BAR(P)"/>
      <sheetName val="START BAR(K)"/>
      <sheetName val="!!!!!!!!!!!!!!!!!!CARRIER CLEAN"/>
      <sheetName val="HotOil(P)"/>
      <sheetName val="HotOil(K)"/>
      <sheetName val="HobartWasher(P)"/>
      <sheetName val="HobartWasher(K)"/>
      <sheetName val="Superclean(P)"/>
      <sheetName val="Superclean(K)"/>
      <sheetName val="A-prime(P)"/>
      <sheetName val="A-prime(K)"/>
      <sheetName val="30X RowTool(P)"/>
      <sheetName val="30X RowTool(K)"/>
      <sheetName val="CarouselClean(P)"/>
      <sheetName val="WaferGrip(P)"/>
      <sheetName val="WaferGrip(K)"/>
      <sheetName val="Glazing Oven(P)"/>
      <sheetName val="Glazing Oven(K)"/>
      <sheetName val="Auto Adhesive(P)"/>
      <sheetName val="Auto Adhesive(K)"/>
      <sheetName val="Tooling(P)"/>
      <sheetName val="Tooling(K)"/>
      <sheetName val="!!!!!!!!!!!!!!!!!!!!!!!!BAR LAP"/>
      <sheetName val="BTU OVEN(P)"/>
      <sheetName val="BTU OVEN(K)"/>
      <sheetName val="Auto Bar Mount(P)"/>
      <sheetName val="Auto Bar Mount(K)"/>
      <sheetName val="PPL BAR BOW(P)"/>
      <sheetName val="PPL BAR BOW(K)"/>
      <sheetName val="Laser Glue Line(K)"/>
      <sheetName val="Flex Attach (K)"/>
      <sheetName val="Bonder(P)"/>
      <sheetName val="Bonder(K)"/>
      <sheetName val="30X AFTER BOND (K)"/>
      <sheetName val="ABL3-RL(P)"/>
      <sheetName val="ABL3-RL(K)"/>
      <sheetName val="Post RL Clean(P)"/>
      <sheetName val="Post RL Clean(K)"/>
      <sheetName val="Ultrasonic Tank (K)"/>
      <sheetName val="ABL3-FL(P)"/>
      <sheetName val="ABL3-FL(K)"/>
      <sheetName val="PFC FL(P)"/>
      <sheetName val="PFC FL(K)"/>
      <sheetName val="ABL3.6(P)"/>
      <sheetName val="ABL3.6(K)"/>
      <sheetName val="PFC Auto Collimator(P)"/>
      <sheetName val="PFC Auto Collimator (K)"/>
      <sheetName val="Follower Attach &amp; Detach(K)"/>
      <sheetName val="Follower Cleaning(K)"/>
      <sheetName val="WYKO Plate BuyOff(P)"/>
      <sheetName val="WYKO Plate BuyOff(K)"/>
      <sheetName val="PAWS(P)"/>
      <sheetName val="PAWS(K)"/>
      <sheetName val="30X Wire Residue(K)"/>
      <sheetName val="HOT PLATE(P)"/>
      <sheetName val="HOT PLATE(K)"/>
      <sheetName val="DOTP-E(P)"/>
      <sheetName val="DOTP-E(K)"/>
      <sheetName val="SpinDryer(P)"/>
      <sheetName val="SpinDryer(K)"/>
      <sheetName val="30X After Spin(P)"/>
      <sheetName val="30X After Spin(K)"/>
      <sheetName val="ALTIMA(P)"/>
      <sheetName val="ALTIMA(K)"/>
      <sheetName val="30X After Bar Clean(P)"/>
      <sheetName val="30X After Bar Clean(K)"/>
      <sheetName val="ABL3 CELL(P)"/>
      <sheetName val="!!!!!!!!!!!!!!!!!!!!!!!KISS LAP"/>
      <sheetName val="Kiss Lap Mounting(P)"/>
      <sheetName val="Kiss Lap Mounting(K)"/>
      <sheetName val="Kiss Lap(P)"/>
      <sheetName val="Kiss Lap(K)"/>
      <sheetName val="Kiss Lap Cleaning(P)"/>
      <sheetName val="Kiss Lap Cleaning(K)"/>
      <sheetName val="Kiss Lap Dismount(P)"/>
      <sheetName val="Kiss Lap Dismount(K)"/>
      <sheetName val="Kiss Lap ISI(P)"/>
      <sheetName val="Kiss Lap ISI(K)"/>
      <sheetName val="Kiss Lap WYKO(P)"/>
      <sheetName val="Kiss Lap WYKO(K)"/>
      <sheetName val="Kiss Lap Infinity(P)"/>
      <sheetName val="Kiss Lap Infinity(K)"/>
      <sheetName val="Kiss Lap Poron GelFilm Mount(P)"/>
      <sheetName val="Kiss Lap Poron GelFilm Mount(K)"/>
      <sheetName val="!!!!!!!!!!!!!!!!!!!!!!!!COMPOSE"/>
      <sheetName val="ABS Scrubber(P)"/>
      <sheetName val="ABS Scrubber(K)"/>
      <sheetName val="LE Scrubber(P)"/>
      <sheetName val="LE Scrubber(K)"/>
      <sheetName val="2X OCR(P)"/>
      <sheetName val="2X OCR(K)"/>
      <sheetName val="CIIS(P)"/>
      <sheetName val="CIIS(K)"/>
      <sheetName val="Annealing Oven(P)"/>
      <sheetName val="Annealing Oven(K)"/>
      <sheetName val="OCR(P)"/>
      <sheetName val="ACL(P) "/>
      <sheetName val="ACL(K)"/>
      <sheetName val="IBDS(K)"/>
      <sheetName val="!!!!!!!!!!!!!!!!!!!!!!!!PITSTOP"/>
      <sheetName val="BPP(Tin)"/>
      <sheetName val="BPP(Zink)"/>
      <sheetName val="BPP N1 SuperPolish(Tin)"/>
      <sheetName val="BPP DSL(Zink)"/>
      <sheetName val="BPP Kiss Lap(Tin)"/>
      <sheetName val="PLATE Tin N1 Super Polish(P)"/>
      <sheetName val="PLATE Tin N1 Super Polish(K)"/>
      <sheetName val="PLATE Tin Kiss Lap(P)"/>
      <sheetName val="PLATE Tin Kiss Lap(K)"/>
      <sheetName val="PLATE Tin(P)"/>
      <sheetName val="PLATE Tin(K)"/>
      <sheetName val="PLATE Zink(P)"/>
      <sheetName val="PLATE Zink(K)"/>
      <sheetName val="Profiler(P)"/>
      <sheetName val="Profiler(K)"/>
      <sheetName val="Pneumatic Charger(P)"/>
      <sheetName val="Pneumatic Charger(K)"/>
      <sheetName val="Truing(P)"/>
      <sheetName val="Truing(K)"/>
      <sheetName val="Soda Blast(P)"/>
      <sheetName val="Soda Blast(K)"/>
      <sheetName val="Auto Plate Wash(P)"/>
      <sheetName val="Auto Plate Wash(K)"/>
      <sheetName val="NewStyle Charger(P)"/>
      <sheetName val="NewStyle Charger(K)"/>
      <sheetName val="Sum_Product"/>
      <sheetName val="Sum_Process"/>
      <sheetName val="Changes"/>
      <sheetName val="EDUCT"/>
      <sheetName val="SWSY"/>
      <sheetName val="WPS"/>
      <sheetName val="AC1ตรวจสอบท่อน้ำ"/>
      <sheetName val="AC2ตรวจท่อลม"/>
      <sheetName val="AC3ตรวจสอบอุปกรณ์"/>
      <sheetName val="ac4ตู้ไฟฟ้าแอร์"/>
      <sheetName val="ac5ตรวจสอบเครื่องจักรหลัก"/>
      <sheetName val="ac6ตรวจห้องเครื่อง"/>
      <sheetName val="ac7-split type"/>
      <sheetName val="Interial"/>
      <sheetName val="Main_Sum"/>
      <sheetName val="M&amp;PN"/>
      <sheetName val="Sum_ST"/>
      <sheetName val="ST"/>
      <sheetName val="Sum_AR"/>
      <sheetName val="Sum_EE"/>
      <sheetName val="Sum_AC"/>
      <sheetName val="Sum_SN"/>
      <sheetName val="SN"/>
      <sheetName val="Sum_FP"/>
      <sheetName val="FP"/>
      <sheetName val="A&amp;B(1)"/>
      <sheetName val="WORKSHEET"/>
      <sheetName val="Macro2"/>
      <sheetName val="Mask Summary"/>
      <sheetName val="NON PRICE list NON Shippable"/>
      <sheetName val="PPV"/>
      <sheetName val="fgbywk"/>
      <sheetName val="BPR"/>
      <sheetName val="PSG-NSG by Family"/>
      <sheetName val="NSG-AMK"/>
      <sheetName val="PSG-AMK"/>
      <sheetName val="PSG-STWX"/>
      <sheetName val="PSG-STKT"/>
      <sheetName val="STCO"/>
      <sheetName val="PSG-NSG Capacity Variance "/>
      <sheetName val="PSG-NSG Monthly Variance"/>
      <sheetName val="YUMA-CON"/>
      <sheetName val="Enterprise Total"/>
      <sheetName val="STMN"/>
      <sheetName val="AMK"/>
      <sheetName val="Enterprise Variance"/>
      <sheetName val="ESG Monthly Variance"/>
      <sheetName val="Product Table"/>
      <sheetName val="PVM"/>
      <sheetName val="Scrap Per Unit Trend"/>
      <sheetName val="DATA Q3ACT"/>
      <sheetName val="Scrap PRM Per Prime Unit Trend"/>
      <sheetName val="Scrap Rwk Per Rwk UnitTrend "/>
      <sheetName val="JUL&amp;AUG"/>
      <sheetName val="SCP Q1_99 UPD"/>
      <sheetName val="Q4_98ACT"/>
      <sheetName val="SCP_Q1'99_UPD"/>
      <sheetName val="Total Asia"/>
      <sheetName val="External"/>
      <sheetName val="GM-BOQ-EXT (1)"/>
      <sheetName val="GM-BOQ-EXT_(1)"/>
      <sheetName val="GM-BOQ-EXT_(1)2"/>
      <sheetName val="GM-BOQ-EXT_(1)1"/>
      <sheetName val="Sch  3"/>
      <sheetName val="Estimate Condition"/>
      <sheetName val="H1.0"/>
      <sheetName val="2.3.1 อาคาร"/>
      <sheetName val="Structural work"/>
      <sheetName val="sheetNO"/>
      <sheetName val="設備Pe"/>
      <sheetName val="VALVE_RATING"/>
      <sheetName val="SAN-CC"/>
      <sheetName val="(B)Direct"/>
      <sheetName val="BASE"/>
      <sheetName val="Item 1-13"/>
      <sheetName val="สรุปราคาค่าก่อสร้าง"/>
      <sheetName val="ELEC "/>
      <sheetName val="เหล็ก RB, DB"/>
      <sheetName val="โครงสร้าง"/>
      <sheetName val="Unit rate Architecture"/>
      <sheetName val="Shc"/>
      <sheetName val="F"/>
      <sheetName val="J"/>
      <sheetName val="BG (R10)"/>
      <sheetName val="Kentokai Code C From"/>
      <sheetName val="sum BG1"/>
      <sheetName val="CHW(1)"/>
      <sheetName val="CHW (2)"/>
      <sheetName val="CA(1)"/>
      <sheetName val="CA(2)"/>
      <sheetName val="F (1)"/>
      <sheetName val="F (2)"/>
      <sheetName val="Toilet-D (1)"/>
      <sheetName val="Toilet-D (2)"/>
      <sheetName val="Ref.(1)"/>
      <sheetName val="Ref.(2)"/>
      <sheetName val="D AC-(1)"/>
      <sheetName val="RO (1)"/>
      <sheetName val="RO (2)"/>
      <sheetName val="Recycle (1)"/>
      <sheetName val="Recycle (2)"/>
      <sheetName val="PCW(1)"/>
      <sheetName val="Sa(1)"/>
      <sheetName val="Sa(2)"/>
      <sheetName val="SC Duct (1)"/>
      <sheetName val="SC Duct (2)"/>
      <sheetName val="PCW (2)"/>
      <sheetName val="Process D(1)"/>
      <sheetName val="Process D(2)"/>
      <sheetName val="CW (1)"/>
      <sheetName val="CW (2)"/>
      <sheetName val="AC_REDUCED_12"/>
      <sheetName val=" SST72~Shelter"/>
      <sheetName val="S0"/>
      <sheetName val="Footing Work"/>
      <sheetName val="Cost Planing (R) (2)"/>
      <sheetName val="1 (2)"/>
      <sheetName val="Detail Rank Assy 1(4 Oct'07)"/>
      <sheetName val="Detail_Rank_Assy_1(4_Oct'07)"/>
      <sheetName val="Item_1-13"/>
      <sheetName val="เหล็ก_RB,_DB"/>
      <sheetName val="ELEC_"/>
      <sheetName val="_SST72~Shelter"/>
      <sheetName val="BG_(R10)"/>
      <sheetName val="Kentokai_Code_C_From"/>
      <sheetName val="sum_BG1"/>
      <sheetName val="CHW_(2)"/>
      <sheetName val="F_(1)"/>
      <sheetName val="F_(2)"/>
      <sheetName val="Toilet-D_(1)"/>
      <sheetName val="Toilet-D_(2)"/>
      <sheetName val="Ref_(1)"/>
      <sheetName val="Ref_(2)"/>
      <sheetName val="D_AC-(1)"/>
      <sheetName val="RO_(1)"/>
      <sheetName val="RO_(2)"/>
      <sheetName val="Recycle_(1)"/>
      <sheetName val="Recycle_(2)"/>
      <sheetName val="SC_Duct_(1)"/>
      <sheetName val="SC_Duct_(2)"/>
      <sheetName val="PCW_(2)"/>
      <sheetName val="Process_D(1)"/>
      <sheetName val="Process_D(2)"/>
      <sheetName val="CW_(1)"/>
      <sheetName val="CW_(2)"/>
      <sheetName val="Quotation for Mechanical System"/>
      <sheetName val="諸経費"/>
      <sheetName val="清水計算営業税率関連"/>
      <sheetName val="(Input Data)"/>
      <sheetName val="AC_REDUCED_18"/>
      <sheetName val="SAN_REDUCED_18"/>
      <sheetName val="Item_1-135"/>
      <sheetName val="Bill_No__2_-_Carpark5"/>
      <sheetName val="RC_footing5"/>
      <sheetName val="เหล็ก_RB,_DB5"/>
      <sheetName val="Unit_rate_Architecture5"/>
      <sheetName val="ELEC_5"/>
      <sheetName val="BG_(R10)5"/>
      <sheetName val="Kentokai_Code_C_From5"/>
      <sheetName val="sum_BG15"/>
      <sheetName val="CHW_(2)5"/>
      <sheetName val="F_(1)5"/>
      <sheetName val="F_(2)5"/>
      <sheetName val="Toilet-D_(1)5"/>
      <sheetName val="Toilet-D_(2)5"/>
      <sheetName val="Ref_(1)5"/>
      <sheetName val="Ref_(2)5"/>
      <sheetName val="D_AC-(1)5"/>
      <sheetName val="RO_(1)5"/>
      <sheetName val="RO_(2)5"/>
      <sheetName val="Recycle_(1)5"/>
      <sheetName val="Recycle_(2)5"/>
      <sheetName val="SC_Duct_(1)5"/>
      <sheetName val="SC_Duct_(2)5"/>
      <sheetName val="PCW_(2)5"/>
      <sheetName val="Process_D(1)5"/>
      <sheetName val="Process_D(2)5"/>
      <sheetName val="CW_(1)5"/>
      <sheetName val="CW_(2)5"/>
      <sheetName val="_SST72~Shelter5"/>
      <sheetName val="Book_1_Summary5"/>
      <sheetName val="Footing_Work5"/>
      <sheetName val="Cost_Planing_(R)_(2)5"/>
      <sheetName val="1_(2)5"/>
      <sheetName val="AC_REDUCED_13"/>
      <sheetName val="SAN_REDUCED_13"/>
      <sheetName val="Unit_rate_Architecture"/>
      <sheetName val="Footing_Work"/>
      <sheetName val="Cost_Planing_(R)_(2)"/>
      <sheetName val="1_(2)"/>
      <sheetName val="AC_REDUCED_14"/>
      <sheetName val="SAN_REDUCED_14"/>
      <sheetName val="Item_1-131"/>
      <sheetName val="Bill_No__2_-_Carpark1"/>
      <sheetName val="เหล็ก_RB,_DB1"/>
      <sheetName val="Unit_rate_Architecture1"/>
      <sheetName val="ELEC_1"/>
      <sheetName val="BG_(R10)1"/>
      <sheetName val="Kentokai_Code_C_From1"/>
      <sheetName val="sum_BG11"/>
      <sheetName val="CHW_(2)1"/>
      <sheetName val="F_(1)1"/>
      <sheetName val="F_(2)1"/>
      <sheetName val="Toilet-D_(1)1"/>
      <sheetName val="Toilet-D_(2)1"/>
      <sheetName val="Ref_(1)1"/>
      <sheetName val="Ref_(2)1"/>
      <sheetName val="D_AC-(1)1"/>
      <sheetName val="RO_(1)1"/>
      <sheetName val="RO_(2)1"/>
      <sheetName val="Recycle_(1)1"/>
      <sheetName val="Recycle_(2)1"/>
      <sheetName val="SC_Duct_(1)1"/>
      <sheetName val="SC_Duct_(2)1"/>
      <sheetName val="PCW_(2)1"/>
      <sheetName val="Process_D(1)1"/>
      <sheetName val="Process_D(2)1"/>
      <sheetName val="CW_(1)1"/>
      <sheetName val="CW_(2)1"/>
      <sheetName val="_SST72~Shelter1"/>
      <sheetName val="Footing_Work1"/>
      <sheetName val="Cost_Planing_(R)_(2)1"/>
      <sheetName val="1_(2)1"/>
      <sheetName val="AC_REDUCED_15"/>
      <sheetName val="SAN_REDUCED_15"/>
      <sheetName val="Item_1-132"/>
      <sheetName val="Bill_No__2_-_Carpark2"/>
      <sheetName val="เหล็ก_RB,_DB2"/>
      <sheetName val="Unit_rate_Architecture2"/>
      <sheetName val="ELEC_2"/>
      <sheetName val="BG_(R10)2"/>
      <sheetName val="Kentokai_Code_C_From2"/>
      <sheetName val="sum_BG12"/>
      <sheetName val="CHW_(2)2"/>
      <sheetName val="F_(1)2"/>
      <sheetName val="F_(2)2"/>
      <sheetName val="Toilet-D_(1)2"/>
      <sheetName val="Toilet-D_(2)2"/>
      <sheetName val="Ref_(1)2"/>
      <sheetName val="Ref_(2)2"/>
      <sheetName val="D_AC-(1)2"/>
      <sheetName val="RO_(1)2"/>
      <sheetName val="RO_(2)2"/>
      <sheetName val="Recycle_(1)2"/>
      <sheetName val="Recycle_(2)2"/>
      <sheetName val="SC_Duct_(1)2"/>
      <sheetName val="SC_Duct_(2)2"/>
      <sheetName val="PCW_(2)2"/>
      <sheetName val="Process_D(1)2"/>
      <sheetName val="Process_D(2)2"/>
      <sheetName val="CW_(1)2"/>
      <sheetName val="CW_(2)2"/>
      <sheetName val="_SST72~Shelter2"/>
      <sheetName val="Book_1_Summary2"/>
      <sheetName val="Footing_Work2"/>
      <sheetName val="Cost_Planing_(R)_(2)2"/>
      <sheetName val="1_(2)2"/>
      <sheetName val="AC_REDUCED_16"/>
      <sheetName val="SAN_REDUCED_16"/>
      <sheetName val="Item_1-133"/>
      <sheetName val="Bill_No__2_-_Carpark3"/>
      <sheetName val="RC_footing3"/>
      <sheetName val="เหล็ก_RB,_DB3"/>
      <sheetName val="Unit_rate_Architecture3"/>
      <sheetName val="ELEC_3"/>
      <sheetName val="BG_(R10)3"/>
      <sheetName val="Kentokai_Code_C_From3"/>
      <sheetName val="sum_BG13"/>
      <sheetName val="CHW_(2)3"/>
      <sheetName val="F_(1)3"/>
      <sheetName val="F_(2)3"/>
      <sheetName val="Toilet-D_(1)3"/>
      <sheetName val="Toilet-D_(2)3"/>
      <sheetName val="Ref_(1)3"/>
      <sheetName val="Ref_(2)3"/>
      <sheetName val="D_AC-(1)3"/>
      <sheetName val="RO_(1)3"/>
      <sheetName val="RO_(2)3"/>
      <sheetName val="Recycle_(1)3"/>
      <sheetName val="Recycle_(2)3"/>
      <sheetName val="SC_Duct_(1)3"/>
      <sheetName val="SC_Duct_(2)3"/>
      <sheetName val="PCW_(2)3"/>
      <sheetName val="Process_D(1)3"/>
      <sheetName val="Process_D(2)3"/>
      <sheetName val="CW_(1)3"/>
      <sheetName val="CW_(2)3"/>
      <sheetName val="_SST72~Shelter3"/>
      <sheetName val="Book_1_Summary3"/>
      <sheetName val="Footing_Work3"/>
      <sheetName val="Cost_Planing_(R)_(2)3"/>
      <sheetName val="1_(2)3"/>
      <sheetName val="AC_REDUCED_17"/>
      <sheetName val="SAN_REDUCED_17"/>
      <sheetName val="Item_1-134"/>
      <sheetName val="Bill_No__2_-_Carpark4"/>
      <sheetName val="RC_footing4"/>
      <sheetName val="เหล็ก_RB,_DB4"/>
      <sheetName val="Unit_rate_Architecture4"/>
      <sheetName val="ELEC_4"/>
      <sheetName val="BG_(R10)4"/>
      <sheetName val="Kentokai_Code_C_From4"/>
      <sheetName val="sum_BG14"/>
      <sheetName val="CHW_(2)4"/>
      <sheetName val="F_(1)4"/>
      <sheetName val="F_(2)4"/>
      <sheetName val="Toilet-D_(1)4"/>
      <sheetName val="Toilet-D_(2)4"/>
      <sheetName val="Ref_(1)4"/>
      <sheetName val="Ref_(2)4"/>
      <sheetName val="D_AC-(1)4"/>
      <sheetName val="RO_(1)4"/>
      <sheetName val="RO_(2)4"/>
      <sheetName val="Recycle_(1)4"/>
      <sheetName val="Recycle_(2)4"/>
      <sheetName val="SC_Duct_(1)4"/>
      <sheetName val="SC_Duct_(2)4"/>
      <sheetName val="PCW_(2)4"/>
      <sheetName val="Process_D(1)4"/>
      <sheetName val="Process_D(2)4"/>
      <sheetName val="CW_(1)4"/>
      <sheetName val="CW_(2)4"/>
      <sheetName val="_SST72~Shelter4"/>
      <sheetName val="Book_1_Summary4"/>
      <sheetName val="Footing_Work4"/>
      <sheetName val="Cost_Planing_(R)_(2)4"/>
      <sheetName val="1_(2)4"/>
      <sheetName val="AC_REDUCED_19"/>
      <sheetName val="SAN_REDUCED_19"/>
      <sheetName val="Item_1-136"/>
      <sheetName val="RC_footing6"/>
      <sheetName val="เหล็ก_RB,_DB6"/>
      <sheetName val="Unit_rate_Architecture6"/>
      <sheetName val="_SST72~Shelter6"/>
      <sheetName val="ELEC_6"/>
      <sheetName val="BG_(R10)6"/>
      <sheetName val="Kentokai_Code_C_From6"/>
      <sheetName val="sum_BG16"/>
      <sheetName val="CHW_(2)6"/>
      <sheetName val="F_(1)6"/>
      <sheetName val="F_(2)6"/>
      <sheetName val="Toilet-D_(1)6"/>
      <sheetName val="Toilet-D_(2)6"/>
      <sheetName val="Ref_(1)6"/>
      <sheetName val="Ref_(2)6"/>
      <sheetName val="D_AC-(1)6"/>
      <sheetName val="RO_(1)6"/>
      <sheetName val="RO_(2)6"/>
      <sheetName val="Recycle_(1)6"/>
      <sheetName val="Recycle_(2)6"/>
      <sheetName val="SC_Duct_(1)6"/>
      <sheetName val="SC_Duct_(2)6"/>
      <sheetName val="PCW_(2)6"/>
      <sheetName val="Process_D(1)6"/>
      <sheetName val="Process_D(2)6"/>
      <sheetName val="CW_(1)6"/>
      <sheetName val="CW_(2)6"/>
      <sheetName val="Book_1_Summary6"/>
      <sheetName val="Footing_Work6"/>
      <sheetName val="Cost_Planing_(R)_(2)6"/>
      <sheetName val="1_(2)6"/>
      <sheetName val="Detail_Rank_Assy_1(4_Oct'07)1"/>
      <sheetName val="AC_REDUCED_110"/>
      <sheetName val="SAN_REDUCED_110"/>
      <sheetName val="Item_1-137"/>
      <sheetName val="Bill_No__2_-_Carpark7"/>
      <sheetName val="RC_footing7"/>
      <sheetName val="เหล็ก_RB,_DB7"/>
      <sheetName val="Unit_rate_Architecture7"/>
      <sheetName val="_SST72~Shelter7"/>
      <sheetName val="ELEC_7"/>
      <sheetName val="BG_(R10)7"/>
      <sheetName val="Kentokai_Code_C_From7"/>
      <sheetName val="sum_BG17"/>
      <sheetName val="CHW_(2)7"/>
      <sheetName val="F_(1)7"/>
      <sheetName val="F_(2)7"/>
      <sheetName val="Toilet-D_(1)7"/>
      <sheetName val="Toilet-D_(2)7"/>
      <sheetName val="Ref_(1)7"/>
      <sheetName val="Ref_(2)7"/>
      <sheetName val="D_AC-(1)7"/>
      <sheetName val="RO_(1)7"/>
      <sheetName val="RO_(2)7"/>
      <sheetName val="Recycle_(1)7"/>
      <sheetName val="Recycle_(2)7"/>
      <sheetName val="SC_Duct_(1)7"/>
      <sheetName val="SC_Duct_(2)7"/>
      <sheetName val="PCW_(2)7"/>
      <sheetName val="Process_D(1)7"/>
      <sheetName val="Process_D(2)7"/>
      <sheetName val="CW_(1)7"/>
      <sheetName val="CW_(2)7"/>
      <sheetName val="Book_1_Summary7"/>
      <sheetName val="Footing_Work7"/>
      <sheetName val="Cost_Planing_(R)_(2)7"/>
      <sheetName val="1_(2)7"/>
      <sheetName val="Detail_Rank_Assy_1(4_Oct'07)2"/>
      <sheetName val="AC_REDUCED_111"/>
      <sheetName val="SAN_REDUCED_111"/>
      <sheetName val="Item_1-138"/>
      <sheetName val="Bill_No__2_-_Carpark8"/>
      <sheetName val="RC_footing8"/>
      <sheetName val="เหล็ก_RB,_DB8"/>
      <sheetName val="Unit_rate_Architecture8"/>
      <sheetName val="_SST72~Shelter8"/>
      <sheetName val="ELEC_8"/>
      <sheetName val="BG_(R10)8"/>
      <sheetName val="Kentokai_Code_C_From8"/>
      <sheetName val="sum_BG18"/>
      <sheetName val="CHW_(2)8"/>
      <sheetName val="F_(1)8"/>
      <sheetName val="F_(2)8"/>
      <sheetName val="Toilet-D_(1)8"/>
      <sheetName val="Toilet-D_(2)8"/>
      <sheetName val="Ref_(1)8"/>
      <sheetName val="Ref_(2)8"/>
      <sheetName val="D_AC-(1)8"/>
      <sheetName val="RO_(1)8"/>
      <sheetName val="RO_(2)8"/>
      <sheetName val="Recycle_(1)8"/>
      <sheetName val="Recycle_(2)8"/>
      <sheetName val="SC_Duct_(1)8"/>
      <sheetName val="SC_Duct_(2)8"/>
      <sheetName val="PCW_(2)8"/>
      <sheetName val="Process_D(1)8"/>
      <sheetName val="Process_D(2)8"/>
      <sheetName val="CW_(1)8"/>
      <sheetName val="CW_(2)8"/>
      <sheetName val="Book_1_Summary8"/>
      <sheetName val="Footing_Work8"/>
      <sheetName val="Cost_Planing_(R)_(2)8"/>
      <sheetName val="1_(2)8"/>
      <sheetName val="Detail_Rank_Assy_1(4_Oct'07)3"/>
      <sheetName val="AC_REDUCED_112"/>
      <sheetName val="SAN_REDUCED_112"/>
      <sheetName val="Item_1-139"/>
      <sheetName val="Bill_No__2_-_Carpark9"/>
      <sheetName val="RC_footing9"/>
      <sheetName val="เหล็ก_RB,_DB9"/>
      <sheetName val="Unit_rate_Architecture9"/>
      <sheetName val="_SST72~Shelter9"/>
      <sheetName val="ELEC_9"/>
      <sheetName val="BG_(R10)9"/>
      <sheetName val="Kentokai_Code_C_From9"/>
      <sheetName val="sum_BG19"/>
      <sheetName val="CHW_(2)9"/>
      <sheetName val="F_(1)9"/>
      <sheetName val="F_(2)9"/>
      <sheetName val="Toilet-D_(1)9"/>
      <sheetName val="Toilet-D_(2)9"/>
      <sheetName val="Ref_(1)9"/>
      <sheetName val="Ref_(2)9"/>
      <sheetName val="D_AC-(1)9"/>
      <sheetName val="RO_(1)9"/>
      <sheetName val="RO_(2)9"/>
      <sheetName val="Recycle_(1)9"/>
      <sheetName val="Recycle_(2)9"/>
      <sheetName val="SC_Duct_(1)9"/>
      <sheetName val="SC_Duct_(2)9"/>
      <sheetName val="PCW_(2)9"/>
      <sheetName val="Process_D(1)9"/>
      <sheetName val="Process_D(2)9"/>
      <sheetName val="CW_(1)9"/>
      <sheetName val="CW_(2)9"/>
      <sheetName val="Book_1_Summary9"/>
      <sheetName val="Footing_Work9"/>
      <sheetName val="Cost_Planing_(R)_(2)9"/>
      <sheetName val="1_(2)9"/>
      <sheetName val="Detail_Rank_Assy_1(4_Oct'07)4"/>
      <sheetName val="AC_REDUCED_113"/>
      <sheetName val="SAN_REDUCED_113"/>
      <sheetName val="Item_1-1310"/>
      <sheetName val="Bill_No__2_-_Carpark10"/>
      <sheetName val="RC_footing10"/>
      <sheetName val="เหล็ก_RB,_DB10"/>
      <sheetName val="Unit_rate_Architecture10"/>
      <sheetName val="_SST72~Shelter10"/>
      <sheetName val="ELEC_10"/>
      <sheetName val="BG_(R10)10"/>
      <sheetName val="Kentokai_Code_C_From10"/>
      <sheetName val="sum_BG110"/>
      <sheetName val="CHW_(2)10"/>
      <sheetName val="F_(1)10"/>
      <sheetName val="F_(2)10"/>
      <sheetName val="Toilet-D_(1)10"/>
      <sheetName val="Toilet-D_(2)10"/>
      <sheetName val="Ref_(1)10"/>
      <sheetName val="Ref_(2)10"/>
      <sheetName val="D_AC-(1)10"/>
      <sheetName val="RO_(1)10"/>
      <sheetName val="RO_(2)10"/>
      <sheetName val="Recycle_(1)10"/>
      <sheetName val="Recycle_(2)10"/>
      <sheetName val="SC_Duct_(1)10"/>
      <sheetName val="SC_Duct_(2)10"/>
      <sheetName val="PCW_(2)10"/>
      <sheetName val="Process_D(1)10"/>
      <sheetName val="Process_D(2)10"/>
      <sheetName val="CW_(1)10"/>
      <sheetName val="CW_(2)10"/>
      <sheetName val="Book_1_Summary10"/>
      <sheetName val="Footing_Work10"/>
      <sheetName val="Cost_Planing_(R)_(2)10"/>
      <sheetName val="1_(2)10"/>
      <sheetName val="Detail_Rank_Assy_1(4_Oct'07)5"/>
      <sheetName val="AC_REDUCED_114"/>
      <sheetName val="SAN_REDUCED_114"/>
      <sheetName val="Item_1-1311"/>
      <sheetName val="Bill_No__2_-_Carpark11"/>
      <sheetName val="RC_footing11"/>
      <sheetName val="เหล็ก_RB,_DB11"/>
      <sheetName val="Unit_rate_Architecture11"/>
      <sheetName val="_SST72~Shelter11"/>
      <sheetName val="ELEC_11"/>
      <sheetName val="BG_(R10)11"/>
      <sheetName val="Kentokai_Code_C_From11"/>
      <sheetName val="sum_BG111"/>
      <sheetName val="CHW_(2)11"/>
      <sheetName val="F_(1)11"/>
      <sheetName val="F_(2)11"/>
      <sheetName val="Toilet-D_(1)11"/>
      <sheetName val="Toilet-D_(2)11"/>
      <sheetName val="Ref_(1)11"/>
      <sheetName val="Ref_(2)11"/>
      <sheetName val="D_AC-(1)11"/>
      <sheetName val="RO_(1)11"/>
      <sheetName val="RO_(2)11"/>
      <sheetName val="Recycle_(1)11"/>
      <sheetName val="Recycle_(2)11"/>
      <sheetName val="SC_Duct_(1)11"/>
      <sheetName val="SC_Duct_(2)11"/>
      <sheetName val="PCW_(2)11"/>
      <sheetName val="Process_D(1)11"/>
      <sheetName val="Process_D(2)11"/>
      <sheetName val="CW_(1)11"/>
      <sheetName val="CW_(2)11"/>
      <sheetName val="Book_1_Summary11"/>
      <sheetName val="Footing_Work11"/>
      <sheetName val="Cost_Planing_(R)_(2)11"/>
      <sheetName val="1_(2)11"/>
      <sheetName val="Detail_Rank_Assy_1(4_Oct'07)6"/>
      <sheetName val="AC_REDUCED_115"/>
      <sheetName val="SAN_REDUCED_115"/>
      <sheetName val="Item_1-1312"/>
      <sheetName val="Bill_No__2_-_Carpark12"/>
      <sheetName val="RC_footing12"/>
      <sheetName val="เหล็ก_RB,_DB12"/>
      <sheetName val="Unit_rate_Architecture12"/>
      <sheetName val="_SST72~Shelter12"/>
      <sheetName val="ELEC_12"/>
      <sheetName val="BG_(R10)12"/>
      <sheetName val="Kentokai_Code_C_From12"/>
      <sheetName val="sum_BG112"/>
      <sheetName val="CHW_(2)12"/>
      <sheetName val="F_(1)12"/>
      <sheetName val="F_(2)12"/>
      <sheetName val="Toilet-D_(1)12"/>
      <sheetName val="Toilet-D_(2)12"/>
      <sheetName val="Ref_(1)12"/>
      <sheetName val="Ref_(2)12"/>
      <sheetName val="D_AC-(1)12"/>
      <sheetName val="RO_(1)12"/>
      <sheetName val="RO_(2)12"/>
      <sheetName val="Recycle_(1)12"/>
      <sheetName val="Recycle_(2)12"/>
      <sheetName val="SC_Duct_(1)12"/>
      <sheetName val="SC_Duct_(2)12"/>
      <sheetName val="PCW_(2)12"/>
      <sheetName val="Process_D(1)12"/>
      <sheetName val="Process_D(2)12"/>
      <sheetName val="CW_(1)12"/>
      <sheetName val="CW_(2)12"/>
      <sheetName val="Book_1_Summary12"/>
      <sheetName val="Footing_Work12"/>
      <sheetName val="Cost_Planing_(R)_(2)12"/>
      <sheetName val="1_(2)12"/>
      <sheetName val="Detail_Rank_Assy_1(4_Oct'07)7"/>
      <sheetName val="resource1"/>
      <sheetName val="Bill No_ 2 _ Carpark"/>
      <sheetName val="Ratios"/>
      <sheetName val="Bill No. 2"/>
      <sheetName val="Bill_No__2___Carpark"/>
      <sheetName val="Total Cost"/>
      <sheetName val="Meterial"/>
      <sheetName val="Price Jetty"/>
      <sheetName val="Back Up Price Pile"/>
      <sheetName val="Back Up RC Pile"/>
      <sheetName val="Back Up RC"/>
      <sheetName val="DaveScheduleBVA"/>
      <sheetName val="DaveIncurredDeferralFlow"/>
      <sheetName val="A-6110 Analysis"/>
      <sheetName val="absorption tie off"/>
      <sheetName val="HeadCount"/>
      <sheetName val="Capital"/>
      <sheetName val="stop"/>
      <sheetName val="RMO Details"/>
      <sheetName val="3-605 (2)"/>
      <sheetName val="FormJ COS"/>
      <sheetName val="Ess_Spending KTP01"/>
      <sheetName val="Ess_COS P-001433"/>
      <sheetName val="Ess_COS P-001898"/>
      <sheetName val="Past FJ"/>
      <sheetName val="Ess_FormJ"/>
      <sheetName val="drop down ranges"/>
      <sheetName val="Control Sheet"/>
      <sheetName val="DGR"/>
      <sheetName val=" Insertion factors"/>
      <sheetName val="CVR"/>
      <sheetName val="Curr Yr E&amp;P"/>
      <sheetName val="Sampleใหม่"/>
      <sheetName val="SAD"/>
      <sheetName val="Direct D code"/>
      <sheetName val="Consolid"/>
      <sheetName val="Scrap"/>
      <sheetName val="S&amp;M"/>
      <sheetName val="Location"/>
      <sheetName val="ESG-PSG"/>
      <sheetName val="STSV"/>
      <sheetName val="OKC"/>
      <sheetName val="OEM"/>
      <sheetName val="Lease"/>
      <sheetName val="Insertion factors"/>
      <sheetName val="补贴收入"/>
      <sheetName val="财务费用"/>
      <sheetName val="分专业资产负债表"/>
      <sheetName val="管理费用"/>
      <sheetName val="分专业利润分配表"/>
      <sheetName val="上市公司与关联公司往来"/>
      <sheetName val="其他业务利润"/>
      <sheetName val="人工成本"/>
      <sheetName val="所得税"/>
      <sheetName val="投资收益"/>
      <sheetName val="营业费用"/>
      <sheetName val="营业外收入"/>
      <sheetName val="营业外支出"/>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month-sum"/>
      <sheetName val="Scenario &amp; Macro"/>
      <sheetName val="TREND_MARFCST"/>
      <sheetName val="FINANCIAL SUMMARY"/>
      <sheetName val="DRIVE"/>
      <sheetName val="EAO"/>
      <sheetName val="HGSA"/>
      <sheetName val="SLIDER"/>
      <sheetName val="spd wo depr"/>
      <sheetName val="Drive per DL"/>
      <sheetName val="Drive per IDL"/>
      <sheetName val="employee per Drive"/>
      <sheetName val="ESS_VOL"/>
      <sheetName val="ESS_SPENDING"/>
      <sheetName val="task"/>
      <sheetName val="ESS_IHQ"/>
      <sheetName val="ESS_EXPAT N REG$"/>
      <sheetName val="ESS_ABS"/>
      <sheetName val="ESS_OCOS"/>
      <sheetName val="ESS_SCRAP"/>
      <sheetName val="ESS_PREPRO SPENDING"/>
      <sheetName val="ESS_PREPRO VOL"/>
      <sheetName val="ESS_PREPRO SCRAP"/>
      <sheetName val="ESS_DM"/>
      <sheetName val="ESS_DEPRE&amp;AMORT."/>
      <sheetName val="ESS_HEADCOUNT"/>
      <sheetName val="WWGL LACROIX"/>
      <sheetName val="FY'00 CO"/>
      <sheetName val="FY99 CAR"/>
      <sheetName val="CAR_Status_May99"/>
      <sheetName val="Prodn_CAR_Track"/>
      <sheetName val="Support_CAR_Track"/>
      <sheetName val="Jun 18-Support Dept"/>
      <sheetName val="FY'00_CO"/>
      <sheetName val="FY99_CAR"/>
      <sheetName val="Jun_18-Support_Dept"/>
      <sheetName val="LQ2"/>
      <sheetName val="TQ2"/>
      <sheetName val="LQ3"/>
      <sheetName val="TQ3"/>
      <sheetName val="LQ4 "/>
      <sheetName val="TQ4"/>
      <sheetName val="SMI"/>
      <sheetName val="J100"/>
      <sheetName val="ELE"/>
      <sheetName val="สรุปราคา"/>
      <sheetName val="A-หมวดค่าใช้จ่ายฯ"/>
      <sheetName val="B-หมวดงานรื้อถอน"/>
      <sheetName val="C-หมวดงานตกแต่งภายใน"/>
      <sheetName val="Ratio"/>
      <sheetName val="Ratio Qty"/>
      <sheetName val="Foundation "/>
      <sheetName val="Column "/>
      <sheetName val="Beam  "/>
      <sheetName val="RC Slab "/>
      <sheetName val="Lift Core  "/>
      <sheetName val="Post-Tens. Slab  "/>
      <sheetName val="RC.Stair  "/>
      <sheetName val="RC wall "/>
      <sheetName val="Typ.F"/>
      <sheetName val="Grand sum"/>
      <sheetName val="Sum Floor"/>
      <sheetName val="Sum Fl."/>
      <sheetName val="Code Footing"/>
      <sheetName val="Code Column"/>
      <sheetName val="G BEAM"/>
      <sheetName val="BEAM"/>
      <sheetName val="WALL"/>
      <sheetName val="C_Beam"/>
      <sheetName val="C_Wall"/>
      <sheetName val="Code Beam"/>
      <sheetName val="G Slab"/>
      <sheetName val="Slab"/>
      <sheetName val="Road"/>
      <sheetName val="Code Slab"/>
      <sheetName val="Post-Tenion"/>
      <sheetName val="Code Post"/>
      <sheetName val="Code Stair"/>
      <sheetName val="STEEL Roof"/>
      <sheetName val="โครงหลังคา"/>
      <sheetName val="Steel"/>
      <sheetName val="สรุปงานโครงสร้าง"/>
      <sheetName val="토공집계표"/>
      <sheetName val="BAL"/>
      <sheetName val="(R05)-PLE-602"/>
      <sheetName val="สรุปราคา (L)"/>
      <sheetName val="Ratio_Qty"/>
      <sheetName val="Foundation_"/>
      <sheetName val="Column_"/>
      <sheetName val="Beam__"/>
      <sheetName val="RC_Slab_"/>
      <sheetName val="Lift_Core__"/>
      <sheetName val="Post-Tens__Slab__"/>
      <sheetName val="RC_Stair__"/>
      <sheetName val="RC_wall_"/>
      <sheetName val="Typ_F"/>
      <sheetName val="Grand_sum"/>
      <sheetName val="Sum_Floor"/>
      <sheetName val="Sum_Fl_"/>
      <sheetName val="Code_Footing"/>
      <sheetName val="Code_Column"/>
      <sheetName val="G_BEAM"/>
      <sheetName val="Code_Beam"/>
      <sheetName val="G_Slab"/>
      <sheetName val="Code_Slab"/>
      <sheetName val="Code_Post"/>
      <sheetName val="Code_Stair"/>
      <sheetName val="STEEL_Roof"/>
      <sheetName val="STD"/>
      <sheetName val="ADO_2552"/>
      <sheetName val="ZPS02"/>
      <sheetName val="Sum(Civil Work)"/>
      <sheetName val="Construction cost assumption"/>
      <sheetName val="JLL Assumption"/>
      <sheetName val="Retail Program&amp;Rev Assumption"/>
      <sheetName val="สรุป_EMC"/>
      <sheetName val="data3"/>
      <sheetName val="อาคารหลัก A"/>
      <sheetName val="Total BOQ"/>
      <sheetName val="4G SUM-SK (Lift&amp;Interior)"/>
      <sheetName val="S-Curve (Lift&amp;Interior)"/>
      <sheetName val="6L4 DETAIL SK"/>
      <sheetName val="S-Curve (R2)"/>
      <sheetName val="SUM."/>
      <sheetName val="(1)Contract"/>
      <sheetName val="(2)PMI 012"/>
      <sheetName val="(3)PMI 014"/>
      <sheetName val="(4)PMI 015"/>
      <sheetName val="(5)PMI 021"/>
      <sheetName val="(6)PMI 022"/>
      <sheetName val="(7)PMI 024"/>
      <sheetName val="(8)PMI 028"/>
      <sheetName val="(9)PMI.."/>
      <sheetName val="(10)PMI."/>
      <sheetName val="( 11)TV"/>
      <sheetName val="ELE.xls"/>
      <sheetName val="เงินกู้ MGC"/>
      <sheetName val="เงินกู้ธนชาติ"/>
      <sheetName val="วัดใต้"/>
      <sheetName val="B-หมวดงานรื้-ถอน"/>
      <sheetName val=" HW บานเลื่อน"/>
      <sheetName val="S4.1_MEP Guestroom"/>
      <sheetName val="file"/>
      <sheetName val="S_x0000_&quot;ì_x0005_Ù_x0000__x0000__x0000_"/>
      <sheetName val="Ratchada"/>
      <sheetName val="EST-FOOTING_(G)1"/>
      <sheetName val="Ratio_Qty1"/>
      <sheetName val="Foundation_1"/>
      <sheetName val="Column_1"/>
      <sheetName val="Beam__1"/>
      <sheetName val="RC_Slab_1"/>
      <sheetName val="Lift_Core__1"/>
      <sheetName val="Post-Tens__Slab__1"/>
      <sheetName val="RC_Stair__1"/>
      <sheetName val="RC_wall_1"/>
      <sheetName val="Typ_F1"/>
      <sheetName val="Grand_sum1"/>
      <sheetName val="Sum_Floor1"/>
      <sheetName val="Sum_Fl_1"/>
      <sheetName val="Code_Footing1"/>
      <sheetName val="Code_Column1"/>
      <sheetName val="G_BEAM1"/>
      <sheetName val="Code_Beam1"/>
      <sheetName val="G_Slab1"/>
      <sheetName val="Code_Slab1"/>
      <sheetName val="Code_Post1"/>
      <sheetName val="Code_Stair1"/>
      <sheetName val="STEEL_Roof1"/>
      <sheetName val="_1"/>
      <sheetName val="สรุปราคา_(L)"/>
      <sheetName val="Construction_cost_assumption"/>
      <sheetName val="JLL_Assumption"/>
      <sheetName val="Retail_Program&amp;Rev_Assumption"/>
      <sheetName val="Cavity_Inputs"/>
      <sheetName val="Sum(Civil_Work)"/>
      <sheetName val="Total_BOQ"/>
      <sheetName val="4G_SUM-SK_(Lift&amp;Interior)"/>
      <sheetName val="S-Curve_(Lift&amp;Interior)"/>
      <sheetName val="6L4_DETAIL_SK"/>
      <sheetName val="S-Curve_(R2)"/>
      <sheetName val="4-Local_transport"/>
      <sheetName val="SUM_"/>
      <sheetName val="(2)PMI_012"/>
      <sheetName val="(3)PMI_014"/>
      <sheetName val="(4)PMI_015"/>
      <sheetName val="(5)PMI_021"/>
      <sheetName val="(6)PMI_022"/>
      <sheetName val="(7)PMI_024"/>
      <sheetName val="(8)PMI_028"/>
      <sheetName val="(9)PMI__"/>
      <sheetName val="(10)PMI_"/>
      <sheetName val="(_11)TV"/>
      <sheetName val="概総括1"/>
      <sheetName val="AC.C"/>
      <sheetName val="Sum SN"/>
      <sheetName val="Main Riser"/>
      <sheetName val="Replacement_Cost_"/>
      <sheetName val="อาคารหลัก_A"/>
      <sheetName val="AC_C"/>
      <sheetName val="aman seri"/>
      <sheetName val="S?&quot;ì_x0005_Ù???"/>
      <sheetName val="S_&quot;ì_x0005_Ù___"/>
      <sheetName val="Cash Flow-1"/>
      <sheetName val="Bal Sheet Trend"/>
      <sheetName val="Output 2 (TTT) (Essbase)"/>
      <sheetName val="F640"/>
      <sheetName val="Add_C"/>
      <sheetName val="Help"/>
      <sheetName val="Spec&amp;Masks"/>
      <sheetName val="海外子会社未払手数料"/>
      <sheetName val="CFTS"/>
      <sheetName val="calTotal"/>
      <sheetName val="FF-1"/>
      <sheetName val="Combine_C4"/>
      <sheetName val="BUD"/>
      <sheetName val="SCH H"/>
      <sheetName val="Pricing"/>
      <sheetName val="Warn-User"/>
      <sheetName val="Equip Hire"/>
      <sheetName val="Excavator"/>
      <sheetName val="Bricklayer"/>
      <sheetName val="Carpenter"/>
      <sheetName val="Plumber"/>
      <sheetName val="Glazier"/>
      <sheetName val="Plasterer"/>
      <sheetName val="Tiler"/>
      <sheetName val="Paint"/>
      <sheetName val="Cabinets"/>
      <sheetName val="Heating"/>
      <sheetName val="Landscape"/>
      <sheetName val="Misc"/>
      <sheetName val="Finish"/>
      <sheetName val="Vary"/>
      <sheetName val="cd"/>
      <sheetName val="calc_menu_déroulant"/>
      <sheetName val="BnQExcelTrial"/>
      <sheetName val="Fixt"/>
      <sheetName val="DL Proj"/>
      <sheetName val="PD"/>
      <sheetName val="ERP"/>
      <sheetName val="สาธารณะ"/>
      <sheetName val="LOTUS-EE1"/>
      <sheetName val="หน้า ปมก"/>
      <sheetName val="Document"/>
      <sheetName val="ภูมิทัศน์"/>
      <sheetName val="EST_FOOTING _G_"/>
      <sheetName val="RW_Option"/>
      <sheetName val="Electrical Systems"/>
      <sheetName val="Plumbing Systems"/>
      <sheetName val="Air Conditioning"/>
      <sheetName val="External work"/>
      <sheetName val="SI-039"/>
      <sheetName val="H1_0"/>
      <sheetName val="หน้า_ปมก"/>
      <sheetName val="EST_FOOTING__G_"/>
      <sheetName val="Present-ex"/>
      <sheetName val="Wkgs_BS Lead"/>
      <sheetName val="วิเคราะห์ (2)"/>
      <sheetName val="Memo"/>
      <sheetName val="รายงานระยะที่ 2 "/>
      <sheetName val="รายการติดต่อ"/>
      <sheetName val="รายงานประกอบการเบิกงวด"/>
      <sheetName val="รายการเคลียแบบ"/>
      <sheetName val="งานAlum. แอมโปรเทค "/>
      <sheetName val="ราคา KYS เพิ่มเติม 2 , 4  "/>
      <sheetName val="เสนอราคางานเพิ่มเติม 2  "/>
      <sheetName val="เสนอราคางานเพิ่มเติม 4 "/>
      <sheetName val="งานเพิ่มเติม งานไฟฟ้า ตกแต่ง "/>
      <sheetName val="งานเพิ่มเติมห้องคนขับรถ"/>
      <sheetName val=" รายการประตู หน้าต่าง"/>
      <sheetName val="รายการอุปกรณ์ประตู หน้าต่าง"/>
      <sheetName val="รายละเอียดประตู หน้าต่าง"/>
      <sheetName val="ปรับราคาประตูหน้าต่าง  2 "/>
      <sheetName val="ราคาประตูหน้าต่าง KYS "/>
      <sheetName val="ปรับราคาประตูหน้าต่าง  2  (2)"/>
      <sheetName val="ปรับราคาประตูหน้าต่าง"/>
      <sheetName val="งานมุ้งลวด"/>
      <sheetName val="เปรียบเทียบราคา D&amp;W 2"/>
      <sheetName val="เปรียบเทียบราคาประตูหน้าต่าง 1."/>
      <sheetName val="แผนงานปรับปรุง"/>
      <sheetName val="แผนงาน"/>
      <sheetName val="งวดงาน (3)"/>
      <sheetName val="สรุปราคา (3)"/>
      <sheetName val="เสนอราคา (3)"/>
      <sheetName val="ราคาโครงสร้าง"/>
      <sheetName val="ราคาสถาปัตย์"/>
      <sheetName val="ราคางานภายนอก"/>
      <sheetName val="ราคางานประปา"/>
      <sheetName val="ราคางานไฟฟ้า"/>
      <sheetName val="งานระบบปรับอากาศ "/>
      <sheetName val="งานระบบปรับอากาศ 2 "/>
      <sheetName val="ปรับราคา"/>
      <sheetName val="ประตู-หน้าต่าง"/>
      <sheetName val="ต่อรองราคา"/>
      <sheetName val="สารบัญ"/>
      <sheetName val="เปรียบเทียบราคา"/>
      <sheetName val="ข้อวินิจฉัย"/>
      <sheetName val="9 ยิ่งสุข"/>
      <sheetName val="รปภ.1"/>
      <sheetName val="รปภ.2"/>
      <sheetName val="รปภ.3"/>
      <sheetName val="รปภ.3 (2)"/>
      <sheetName val="รปภ.3 (3)"/>
      <sheetName val="ราคา KYS เพิ่มเติม 2  "/>
      <sheetName val="ประมาณการประต_หน_าต_าง "/>
      <sheetName val="รายงานระยะที่_2_"/>
      <sheetName val="งานAlum__แอมโปรเทค_"/>
      <sheetName val="ราคา_KYS_เพิ่มเติม_2_,_4__"/>
      <sheetName val="เสนอราคางานเพิ่มเติม_2__"/>
      <sheetName val="เสนอราคางานเพิ่มเติม_4_"/>
      <sheetName val="งานเพิ่มเติม_งานไฟฟ้า_ตกแต่ง_"/>
      <sheetName val="_รายการประตู_หน้าต่าง"/>
      <sheetName val="รายการอุปกรณ์ประตู_หน้าต่าง"/>
      <sheetName val="รายละเอียดประตู_หน้าต่าง"/>
      <sheetName val="ปรับราคาประตูหน้าต่าง__2_"/>
      <sheetName val="ราคาประตูหน้าต่าง_KYS_"/>
      <sheetName val="ปรับราคาประตูหน้าต่าง__2__(2)"/>
      <sheetName val="เปรียบเทียบราคา_D&amp;W_2"/>
      <sheetName val="เปรียบเทียบราคาประตูหน้าต่าง_1_"/>
      <sheetName val="งวดงาน_(3)"/>
      <sheetName val="สรุปราคา_(3)"/>
      <sheetName val="เสนอราคา_(3)"/>
      <sheetName val="งานระบบปรับอากาศ_"/>
      <sheetName val="งานระบบปรับอากาศ_2_"/>
      <sheetName val="9_ยิ่งสุข"/>
      <sheetName val="รปภ_1"/>
      <sheetName val="รปภ_2"/>
      <sheetName val="รปภ_3"/>
      <sheetName val="รปภ_3_(2)"/>
      <sheetName val="รปภ_3_(3)"/>
      <sheetName val="ราคา_KYS_เพิ่มเติม_2__"/>
      <sheetName val="ทด"/>
      <sheetName val="ประมาณการประตูหน้าต่าง_4"/>
      <sheetName val="BOQ1_(2)1"/>
      <sheetName val="QUANTITY_COMPARISON1"/>
      <sheetName val="Main_Sum_(Hotel_&amp;_Residences)1"/>
      <sheetName val="Summary_POL_Equip1"/>
      <sheetName val="Equipment_Rental_Price1"/>
      <sheetName val="BK_Unit_Rate1"/>
      <sheetName val="ประมาณการประตูหน้าต่าง_5"/>
      <sheetName val="FAB별"/>
      <sheetName val="Scope of work Diagram EE"/>
      <sheetName val="received net-BG"/>
      <sheetName val="Summary BG Code"/>
      <sheetName val="Data-ac"/>
      <sheetName val="Data-san"/>
      <sheetName val="Data-EE"/>
      <sheetName val="ZCO5"/>
      <sheetName val="ForecastSummary"/>
      <sheetName val="Report_CH"/>
      <sheetName val="COPY"/>
      <sheetName val="NXP_US"/>
      <sheetName val="NXP_Wuhan"/>
      <sheetName val="FABRINET"/>
      <sheetName val="Sheet (AP)"/>
      <sheetName val="Sheet (JV)"/>
      <sheetName val="no"/>
      <sheetName val="Dealer (3)"/>
      <sheetName val="Dealer (2)"/>
      <sheetName val="Dealer"/>
      <sheetName val="Payment FY'17"/>
      <sheetName val="RA_Only_KQ"/>
      <sheetName val="FTKC,KM,FTM"/>
      <sheetName val="SKY_Inc.MINI"/>
      <sheetName val="Nomal_NOKQ"/>
      <sheetName val="ALL KQ"/>
      <sheetName val="Project_NoKQ"/>
      <sheetName val="by Model 07.19"/>
      <sheetName val="EA"/>
      <sheetName val="DDL"/>
      <sheetName val="Potential Project"/>
      <sheetName val="Project tracking-WCPU,AHU&amp;CWFCU"/>
      <sheetName val="Job Lost Analysis"/>
      <sheetName val="lookup ddlist"/>
      <sheetName val="Project tracking-chiller"/>
      <sheetName val="DL"/>
      <sheetName val="Master Copy "/>
      <sheetName val="Compressor"/>
      <sheetName val="Vessel "/>
      <sheetName val="Control Box "/>
      <sheetName val="Coil "/>
      <sheetName val="Fan Motor"/>
      <sheetName val="Fan#"/>
      <sheetName val="Other Malaysia Item "/>
      <sheetName val="Other Oversea Item "/>
      <sheetName val="Employment Cost "/>
      <sheetName val="Factory Overhead"/>
      <sheetName val="Factory  Variable Cost"/>
      <sheetName val="Weightage"/>
      <sheetName val="Master Copy with GP "/>
      <sheetName val="チェック表原紙月"/>
      <sheetName val="チェック表3月"/>
      <sheetName val="チェック表2月"/>
      <sheetName val="チェック表1月"/>
      <sheetName val="記録表"/>
      <sheetName val="集計表"/>
      <sheetName val="Ｇ別集計表"/>
      <sheetName val="派遣社員残業"/>
      <sheetName val="AK1(7.24)"/>
      <sheetName val="H8調査用紙"/>
      <sheetName val="Confidential"/>
      <sheetName val="Estimation"/>
      <sheetName val="Estimation teishutu"/>
      <sheetName val="BOMOffi"/>
      <sheetName val="BOMN059dai00"/>
      <sheetName val="Price MOQ Sum"/>
      <sheetName val="A Project Entry Info.Sh "/>
      <sheetName val="Preliminary Order"/>
      <sheetName val="B-1 Request For Quotation  "/>
      <sheetName val="B-2 Request For Sample"/>
      <sheetName val="A Project Entry Info_Sh "/>
      <sheetName val="EAP04-0208-3(GBS020831)"/>
      <sheetName val="CJ1"/>
      <sheetName val="GS01"/>
      <sheetName val="DENV"/>
      <sheetName val="DIT受払"/>
      <sheetName val="受払概要"/>
      <sheetName val="split(normal)"/>
      <sheetName val="split(hot summer)"/>
      <sheetName val="QA PA"/>
      <sheetName val="受払い条件"/>
      <sheetName val="SPLIT indoor GMAC"/>
      <sheetName val="04～06年欧州大拡販受払い計画(10.05"/>
      <sheetName val="S-APD"/>
      <sheetName val="費目ﾃﾞｰﾀ"/>
      <sheetName val="SMT見積り 国内DC（KW）E改正"/>
      <sheetName val="SMT見積り 国内AC（LD）E改正"/>
      <sheetName val="タイ見積り Ｂセ生産　国内DC（KW）"/>
      <sheetName val="タイ見積り ＤＩＴ生産　国内DC（KW）"/>
      <sheetName val="SMT見積り 国内DC（KW）Ｄ改正"/>
      <sheetName val="SMT見積り 国内AC（LD）Ｄ改正"/>
      <sheetName val="LD01MT"/>
      <sheetName val="KW01MT"/>
      <sheetName val="電装SMT見積り"/>
      <sheetName val="LB01MT"/>
      <sheetName val="LC01MT"/>
      <sheetName val="SMT見積り 国内AC（LD）"/>
      <sheetName val="SMT見積り 国内DC（KW）"/>
      <sheetName val="電装部品SMT見積り用"/>
      <sheetName val="LD01ET部品 SMT見積り用"/>
      <sheetName val="KW02ET部品 SMT見積り用"/>
      <sheetName val="α統括部品表"/>
      <sheetName val="部品ＤＢ"/>
      <sheetName val="2003年4月3日E改正"/>
      <sheetName val="NEW壁3"/>
      <sheetName val="NEW壁2"/>
      <sheetName val="NEW壁"/>
      <sheetName val="まとめ1"/>
      <sheetName val="PARTSLIST"/>
      <sheetName val="Evaluation of cost calc"/>
      <sheetName val="compare parts cost"/>
      <sheetName val="comparison graph"/>
      <sheetName val="RAP Heat exch"/>
      <sheetName val="RAP Cu pipes"/>
      <sheetName val="製造-1"/>
      <sheetName val="CRIT COMP -1"/>
      <sheetName val="CRIT COMP"/>
      <sheetName val="Item Class"/>
      <sheetName val="CPG0360904BXXX"/>
      <sheetName val="CPG0481154BXXX"/>
      <sheetName val="CPG0601404BXXX "/>
      <sheetName val="DWGs"/>
      <sheetName val="PAR Cost #47560"/>
      <sheetName val="PAR Cost #52120"/>
      <sheetName val="MAT COST"/>
      <sheetName val="EuroV &amp; ETL #47560"/>
      <sheetName val="PAR Cost Overall"/>
      <sheetName val="PAR Cost Overall (2)"/>
      <sheetName val="ETL Cost"/>
      <sheetName val="ETL Cost (2)"/>
      <sheetName val="Intl Prod -1"/>
      <sheetName val="EuroV Cost"/>
      <sheetName val="Models Cost"/>
      <sheetName val="PAR's Summary"/>
      <sheetName val="GAD est"/>
      <sheetName val=".xls]020717"/>
      <sheetName val="ラインＢ会議議事録020717(LB02-009)"/>
      <sheetName val="表紙"/>
      <sheetName val="PILOT KJY1　and  HGT2　"/>
      <sheetName val="GES AND  GMSJAN-FEB　"/>
      <sheetName val="GES AND GMS MAR"/>
      <sheetName val="GES AND GMS AIP"/>
      <sheetName val="GT01"/>
      <sheetName val="GT01国調"/>
      <sheetName val="GS01国調"/>
      <sheetName val="基板代"/>
      <sheetName val="見積り"/>
      <sheetName val="提出用"/>
      <sheetName val="休日"/>
      <sheetName val="GBM見積データ"/>
      <sheetName val="DMIM品名抽出(5.19)"/>
      <sheetName val="上海DIL支給部品（'03.4月14日現在）"/>
      <sheetName val="VRV Summary "/>
      <sheetName val="SR Running"/>
      <sheetName val="VRV Working"/>
      <sheetName val="Multiplier Selection"/>
      <sheetName val="SR Summary"/>
      <sheetName val="DJ Summary"/>
      <sheetName val="All Summary"/>
      <sheetName val="VRV Running Report Apr 2020"/>
      <sheetName val="VRV Summary"/>
      <sheetName val="VRV Running Report Jan 20"/>
      <sheetName val="VRV Running Report Mar 20"/>
      <sheetName val="SR Summary "/>
      <sheetName val="VRV Running Report May 2020"/>
      <sheetName val="Consolidated List_JULY 2020"/>
      <sheetName val="Action Plan_SEP17"/>
      <sheetName val="VRV 4Q Models &amp; Quantity"/>
      <sheetName val="Inquiry Summary_JULY 2020"/>
      <sheetName val="SALES JUNE4_UNOFFICIAL"/>
      <sheetName val="Position, Level"/>
      <sheetName val="BOM"/>
      <sheetName val="Product hierarchy"/>
      <sheetName val="DPH-ukeharai(DAILY UPDATE)"/>
      <sheetName val="reports"/>
      <sheetName val="endinv"/>
      <sheetName val="forecast"/>
      <sheetName val="deliveries"/>
      <sheetName val="openso"/>
      <sheetName val="stockonhand"/>
      <sheetName val="incoming"/>
      <sheetName val="openpo@factory"/>
      <sheetName val="MF"/>
      <sheetName val="p_日バッチt.xls"/>
      <sheetName val="p_%E6%97%A5%E3%83%90%E3%83%83%E"/>
      <sheetName val="MF Dbase"/>
      <sheetName val="Stock Allocation Guide"/>
      <sheetName val="-"/>
      <sheetName val="LY-TY RESULTS"/>
      <sheetName val="VLO60"/>
      <sheetName val="TY RECEIVED"/>
      <sheetName val="MB51"/>
      <sheetName val="MO-END INV"/>
      <sheetName val="MC.9"/>
      <sheetName val="OPEN SO-INCOMING-OPEN PO"/>
      <sheetName val="OPEN SO-INCOMING"/>
      <sheetName val="RESULTS"/>
      <sheetName val="RECEIVED"/>
      <sheetName val="Detailed CMR"/>
      <sheetName val="1.FY20 TTL PJ (Jul24)"/>
      <sheetName val="2.FY20 Forecasted PJ (Jul24)"/>
      <sheetName val="Dealer List"/>
      <sheetName val="HDSD"/>
      <sheetName val="Item"/>
      <sheetName val="DSP(RH) FY19 Price List(元)"/>
      <sheetName val="DSP(RH) FY20 Price List"/>
      <sheetName val="DHOS FY20 Price List"/>
      <sheetName val="model base (FY20 OB) 7.9"/>
      <sheetName val="SBU"/>
      <sheetName val="SALES OFFICE"/>
      <sheetName val="FY19 RES"/>
      <sheetName val="FY20 RES"/>
      <sheetName val="FY20 OB"/>
      <sheetName val="FY20 RB"/>
      <sheetName val="FY20 FF"/>
      <sheetName val="FY20 YTD RES+FCT"/>
      <sheetName val="FY21 OB"/>
      <sheetName val="FY20 FORECAST"/>
      <sheetName val="Closing Report"/>
      <sheetName val="Daily Sales"/>
      <sheetName val="Completed Project List"/>
      <sheetName val="New Project List "/>
      <sheetName val="matching exclude retention"/>
      <sheetName val="DLP Maint.C status020720"/>
      <sheetName val="Project Progress Report"/>
      <sheetName val="Completed Project Report "/>
      <sheetName val="compare w sales file tally "/>
      <sheetName val="ASM - Clean Room"/>
      <sheetName val="ASM Base"/>
      <sheetName val="New List Index"/>
      <sheetName val="New Project List"/>
      <sheetName val="BMS DraftRB"/>
      <sheetName val="BMS Propose PRB"/>
      <sheetName val="BMS FY20"/>
      <sheetName val="FY20 OB - Covid Impact"/>
      <sheetName val="Apr PL"/>
      <sheetName val="May PL"/>
      <sheetName val="May Project Progress Billing"/>
      <sheetName val="Jun PL"/>
      <sheetName val="Progress Billing Jun"/>
      <sheetName val="Valve costing"/>
      <sheetName val="Labour Cost-Jun"/>
      <sheetName val="Apr Project Progress Billing"/>
      <sheetName val="DLP for Rahul Maint Contract"/>
      <sheetName val="New Project List-Local"/>
      <sheetName val="New Project List-Brunei"/>
      <sheetName val="ADD PO OCT"/>
      <sheetName val="SUMMARY SF"/>
      <sheetName val="DAMA INCOMING"/>
      <sheetName val="DHOS"/>
      <sheetName val="FORECAST AND MASTER PLAN"/>
      <sheetName val="SF"/>
      <sheetName val="Model CONVERTER"/>
      <sheetName val="FORECAST TEMPLATE"/>
      <sheetName val="FY20OB"/>
      <sheetName val="FY20RB"/>
      <sheetName val="ROUTE SALES SUMMARY"/>
      <sheetName val="FOR PRESENTATION"/>
      <sheetName val="SLOW"/>
      <sheetName val="JUNE PROBLEM ODD STOCK"/>
      <sheetName val="BW NEW"/>
      <sheetName val="PRODUCT MASTER SAP"/>
      <sheetName val="VRV ID"/>
      <sheetName val="INDOOR VS CONTROLLER"/>
      <sheetName val="Ukeharai by Type"/>
      <sheetName val="Ukeharai by Models"/>
      <sheetName val="DIF (OH vs SAP) Meaning"/>
      <sheetName val="Stock Measurements"/>
      <sheetName val="Ukeharai Logic (Fixed Aserral)"/>
      <sheetName val="Ukeharai Logic (Current)"/>
      <sheetName val="DIF Meaning"/>
      <sheetName val="Ukeharai Logic (Old Draft)"/>
      <sheetName val="Ukeharai Logic (Aserr Draft)"/>
      <sheetName val="Ukeharai Type A,B,C,D"/>
      <sheetName val="OS"/>
      <sheetName val="F4"/>
      <sheetName val="F6"/>
      <sheetName val="I4"/>
      <sheetName val="I4-1"/>
      <sheetName val="I6"/>
      <sheetName val="I7"/>
      <sheetName val="I7-1"/>
      <sheetName val="I7-2"/>
      <sheetName val="J4"/>
      <sheetName val="J4-1"/>
      <sheetName val="J4-2"/>
      <sheetName val="J6"/>
      <sheetName val="JA1"/>
      <sheetName val="K3"/>
      <sheetName val="O4"/>
      <sheetName val="&lt;2&gt;"/>
      <sheetName val="&lt;3  &gt;"/>
      <sheetName val="6-1"/>
      <sheetName val="6-2"/>
      <sheetName val="8-1"/>
      <sheetName val="9-1"/>
      <sheetName val="9-2"/>
      <sheetName val="L4"/>
      <sheetName val="LA1"/>
      <sheetName val="LA1-1"/>
      <sheetName val="LA7"/>
      <sheetName val="R4"/>
      <sheetName val="R4-1"/>
      <sheetName val="R4-1-1"/>
      <sheetName val="R5"/>
      <sheetName val="RB2"/>
      <sheetName val="RB2-1"/>
      <sheetName val="RB2-1-1"/>
      <sheetName val="RB3"/>
      <sheetName val="RA6"/>
      <sheetName val="RC2"/>
      <sheetName val="RC2-1"/>
      <sheetName val="RC4"/>
      <sheetName val="RC5"/>
      <sheetName val="RC6"/>
      <sheetName val="RC7"/>
      <sheetName val="RC8"/>
      <sheetName val="RC9"/>
      <sheetName val="RC10"/>
      <sheetName val="RC11"/>
      <sheetName val="RC12"/>
      <sheetName val="Z2-1"/>
      <sheetName val="Z2.3"/>
      <sheetName val="Z2.6"/>
      <sheetName val="Z2.6-1"/>
      <sheetName val="Z2.7"/>
      <sheetName val="Z2.3 ss"/>
      <sheetName val="Z2-1 ss"/>
      <sheetName val="HLK FC"/>
      <sheetName val="DENV FC"/>
      <sheetName val="DAS FC"/>
      <sheetName val="DHOS FC"/>
      <sheetName val="ABC Report raw"/>
      <sheetName val="Upload FC"/>
      <sheetName val="."/>
      <sheetName val="Series Capacity"/>
      <sheetName val="Working"/>
      <sheetName val="Tsumiage"/>
      <sheetName val="DENV Final buy"/>
      <sheetName val="ACCs Ratio"/>
      <sheetName val="Review"/>
      <sheetName val="Data from Qlik"/>
      <sheetName val="Index_instructions"/>
      <sheetName val="DAS P&amp;Ls  Company"/>
      <sheetName val="Head Office Allocation"/>
      <sheetName val="P&amp;Ls NZD Branch"/>
      <sheetName val="P&amp;Ls Service"/>
      <sheetName val="P&amp;Ls NB"/>
      <sheetName val="P&amp;Ls NZD country"/>
      <sheetName val="P&amp;Ls Dist'n Only"/>
      <sheetName val="prod summary LY"/>
      <sheetName val="Traffic Light Report"/>
      <sheetName val="Traffic Light Data"/>
      <sheetName val="Labour Graphs"/>
      <sheetName val="LY Headcount"/>
      <sheetName val="NZ"/>
      <sheetName val="Service"/>
      <sheetName val="Non-Branch"/>
      <sheetName val="Labour Analysis MTH"/>
      <sheetName val="Turnover per Head"/>
      <sheetName val="Labour workings"/>
      <sheetName val="Distribution"/>
      <sheetName val="Data - Dist'n Budget V7"/>
      <sheetName val="Labour Analysis YTD"/>
      <sheetName val="O-B Trading"/>
      <sheetName val="GP Variance"/>
      <sheetName val="GP Variance YTD"/>
      <sheetName val="GP Variance by Branch ALL"/>
      <sheetName val="Price_Qty var"/>
      <sheetName val="Branch SBU v bud"/>
      <sheetName val="Branch SBU v LY"/>
      <sheetName val="State Volume Graphs Mth"/>
      <sheetName val="SBU Volume Graph"/>
      <sheetName val="Initiatives v LY"/>
      <sheetName val="State Volume Graphs YTD"/>
      <sheetName val="Pivots Inbound Handling by PC"/>
      <sheetName val="Pivots Inbound Hand SBU"/>
      <sheetName val="Inbound handling data"/>
      <sheetName val="Material  SBU and PC"/>
      <sheetName val="FTB Credit"/>
      <sheetName val="NZ comparative"/>
      <sheetName val="NZD Country CY"/>
      <sheetName val="Actual Mth"/>
      <sheetName val="Budget Mth"/>
      <sheetName val="Actual YTD"/>
      <sheetName val="Budget YTD"/>
      <sheetName val="Actual by month"/>
      <sheetName val="MQA YTD CY"/>
      <sheetName val="LY Mth"/>
      <sheetName val="LY YTD"/>
      <sheetName val="NZD Branch CY"/>
      <sheetName val="NZD Country LY"/>
      <sheetName val="NZD Branch LY"/>
      <sheetName val="Service Centres"/>
      <sheetName val="Chart of Accounts"/>
      <sheetName val="Cost Centres"/>
      <sheetName val="LY by Month"/>
      <sheetName val="Trading"/>
      <sheetName val="Acerno_Cache_XXXXX"/>
      <sheetName val="PL Detail"/>
      <sheetName val="PL Detail 2000and3000"/>
      <sheetName val="PL Detail OB"/>
      <sheetName val="PL Detail FY15 (last year)"/>
      <sheetName val="PL comparatives Oct"/>
      <sheetName val="Monthly Balance sheet"/>
      <sheetName val="Collections"/>
      <sheetName val="SmartView4"/>
      <sheetName val="SmartView5"/>
      <sheetName val="SmartView6A"/>
      <sheetName val="SmartView6B"/>
      <sheetName val="SmartView6C"/>
      <sheetName val="SmartView7A"/>
      <sheetName val="SmartView7B"/>
      <sheetName val="SmartView8"/>
      <sheetName val="SmartView11A"/>
      <sheetName val="SmartView11B"/>
      <sheetName val="SmartView11C"/>
      <sheetName val="Form07"/>
      <sheetName val="Debtor days aging"/>
      <sheetName val="Purch est"/>
      <sheetName val="Form5_ifrs"/>
      <sheetName val="SGA form_ifrs"/>
      <sheetName val="NEW SGA form_ifrs"/>
      <sheetName val="Form(6)_ifrs"/>
      <sheetName val="11_H1_con_ifrs"/>
      <sheetName val="11_H2_con_ifrs"/>
      <sheetName val="11_form_con_ifrs"/>
      <sheetName val="Form12_ifrs"/>
      <sheetName val="Form12_ifrs_rounded"/>
      <sheetName val="Common PL detail DIT format"/>
      <sheetName val="Common PL DIT format"/>
      <sheetName val="Common BS detail DIT format"/>
      <sheetName val="Common BS DIT format"/>
      <sheetName val="Common Mgmt index DIT format"/>
      <sheetName val="Check List"/>
      <sheetName val="DIS FCST"/>
      <sheetName val="DIT FCST"/>
      <sheetName val="DIL FCST"/>
      <sheetName val="DHS FCST"/>
      <sheetName val="DENV FCST"/>
      <sheetName val="PO Support sheet"/>
      <sheetName val="DIS PO"/>
      <sheetName val="DIT PO"/>
      <sheetName val="DIL PO"/>
      <sheetName val="DHP PO"/>
      <sheetName val="DENV PO"/>
      <sheetName val="MONTHLY Report"/>
      <sheetName val="UKEHARAI (MONTHLY)"/>
      <sheetName val="On Hand"/>
      <sheetName val="IT-PO DATA"/>
      <sheetName val="90 Days FCST"/>
      <sheetName val="BLOG-HJ DATA"/>
      <sheetName val="SF DATA"/>
      <sheetName val="FY18 RES"/>
      <sheetName val="FY17 RES"/>
      <sheetName val="HIST FY14-16 RES"/>
      <sheetName val="FY19 OB (IN)"/>
      <sheetName val="FY18 OB (Out)"/>
      <sheetName val="NEW LP GOD"/>
      <sheetName val="SAPBEXqueriesDefunct"/>
      <sheetName val="SAPBEXfiltersDefunct"/>
      <sheetName val="Master Frame2"/>
      <sheetName val="BExRepositorySheet"/>
      <sheetName val="Master Frame1"/>
      <sheetName val="SNP Req Plan ETD(W)"/>
      <sheetName val="Prio Data"/>
      <sheetName val="Master Sheet"/>
      <sheetName val="Master Data"/>
      <sheetName val="Applied_DAMA Pvs"/>
      <sheetName val="DSZ Pvs"/>
      <sheetName val="Heating_IG Pvs"/>
      <sheetName val="Applied DIL Pvs"/>
      <sheetName val="COMM_GREE Pvs"/>
      <sheetName val="COMM_DIL AL Pvs"/>
      <sheetName val="COMM_DAMA Pvs"/>
      <sheetName val="COMM_DIT Pvs"/>
      <sheetName val="COMM_DIL Pvs"/>
      <sheetName val="Res DIL Pvs"/>
      <sheetName val="Res DIT Pvs"/>
      <sheetName val="Pvs Reply"/>
      <sheetName val="Res DIT Req"/>
      <sheetName val="Res DIL Req"/>
      <sheetName val="COMM_DIL Req"/>
      <sheetName val="COMM_DIT Req"/>
      <sheetName val="COMM_DAMA Req"/>
      <sheetName val="COMM_DIL AL Req"/>
      <sheetName val="COMM_GREE Req"/>
      <sheetName val="Applied DIL Req"/>
      <sheetName val="Heating_IG Req"/>
      <sheetName val="DSZ Req"/>
      <sheetName val="Applied_DAMA Req"/>
      <sheetName val="Reply DENV format"/>
      <sheetName val="REPLY"/>
      <sheetName val="Purch_Request"/>
      <sheetName val="DMB購入進捗(20190408)"/>
      <sheetName val="DMB購入進捗(20190412)"/>
      <sheetName val="DMB購入進捗(20190517)"/>
      <sheetName val="DMB購入進捗(20190605) "/>
      <sheetName val="DMB購入進捗(0614)"/>
      <sheetName val="DMB購入進捗(0614新)"/>
      <sheetName val="DMB購入進捗(20190704)"/>
      <sheetName val="DMB購入進捗(20190823)"/>
      <sheetName val="製品ﾏｽﾀ全件"/>
      <sheetName val="予算大分類名称"/>
      <sheetName val="DHOS Order"/>
      <sheetName val="DID"/>
      <sheetName val="DMSS"/>
      <sheetName val="DID-2"/>
      <sheetName val="DAMX"/>
      <sheetName val="DNZ"/>
      <sheetName val="DALA"/>
      <sheetName val="DEC"/>
      <sheetName val="APRIL"/>
      <sheetName val="Ukeharai"/>
      <sheetName val="NOV NOT IN OS"/>
      <sheetName val="Company Details"/>
      <sheetName val="Company Inventory"/>
      <sheetName val="Refrigeration &amp; Airconditioning"/>
      <sheetName val="Open Cell Foam"/>
      <sheetName val="Fire Suppression"/>
      <sheetName val="Aerosols"/>
      <sheetName val="Solvents"/>
      <sheetName val="List of HFCs"/>
      <sheetName val="Order Sheet"/>
      <sheetName val="SALES_PLAN"/>
      <sheetName val="Ukekahai_Plan"/>
      <sheetName val="Ukekahai_Plan (3)"/>
      <sheetName val="9月回答"/>
      <sheetName val="Form 1-A"/>
      <sheetName val="Form 1-B"/>
      <sheetName val="Form 2 (ETD base)"/>
      <sheetName val="FY20-21 MP Sales"/>
      <sheetName val="End Mar Stock ETA"/>
      <sheetName val="INPUT 03"/>
      <sheetName val="INPUT FORCAST"/>
      <sheetName val="F2003_DIL"/>
      <sheetName val="FC2003_DIL"/>
      <sheetName val="F2003_REVBUDGET"/>
      <sheetName val="balans F2003 DIL"/>
      <sheetName val="balans FC2003 DIL"/>
      <sheetName val="Raw Data"/>
      <sheetName val="BEx"/>
      <sheetName val="BExStyles"/>
      <sheetName val="BExAnalyzer"/>
      <sheetName val="Standard Pricing"/>
      <sheetName val="Applied $1"/>
      <sheetName val="changes to file"/>
      <sheetName val="Ringi SCE"/>
      <sheetName val="DIT"/>
      <sheetName val="DIL"/>
      <sheetName val="DAMA rooftop post 20180801"/>
      <sheetName val="DAMA Chilled water"/>
      <sheetName val="DENV map to base model"/>
      <sheetName val="DNZ pricelist as at 20190401"/>
      <sheetName val="Freight assumptions"/>
      <sheetName val="Duty assumptions"/>
      <sheetName val="FC assumptions"/>
      <sheetName val="1Non current"/>
      <sheetName val="2Non current"/>
      <sheetName val="3Non current"/>
      <sheetName val="4Non current"/>
      <sheetName val="ZHAN_local freight assumption"/>
      <sheetName val="test std reval impact"/>
      <sheetName val="VRV IDU-Export"/>
      <sheetName val="VRV IDU"/>
      <sheetName val="VRV Sales Ratio"/>
      <sheetName val="Summary-Series Wise"/>
      <sheetName val="Accesories"/>
      <sheetName val="OK KIZAI FC"/>
      <sheetName val="Contact List"/>
      <sheetName val="RAW Price list"/>
      <sheetName val="HOTAI1912"/>
      <sheetName val="DACL1912"/>
      <sheetName val="DMBR1912BRL"/>
      <sheetName val="DMBR1912USD"/>
      <sheetName val="DENV1912"/>
      <sheetName val="DAV1912"/>
      <sheetName val="DAMA2001"/>
      <sheetName val="DMSS2001"/>
      <sheetName val="DENV(FOB)"/>
      <sheetName val="DENV R2 "/>
      <sheetName val="DENV R2 (FOB)"/>
      <sheetName val="DID R2"/>
      <sheetName val="HOTAIR2"/>
      <sheetName val="DAMA"/>
      <sheetName val="DARGR2"/>
      <sheetName val="DARG"/>
      <sheetName val="DMBR1909(USD)"/>
      <sheetName val="DMBR1909V2"/>
      <sheetName val="DMBR"/>
      <sheetName val="DALAR2"/>
      <sheetName val="DAMXv2"/>
      <sheetName val="DASR2"/>
      <sheetName val="DNZR2"/>
      <sheetName val="DAIPL"/>
      <sheetName val="DAIPLR2"/>
      <sheetName val="DAVr2"/>
      <sheetName val="DAVR2V2"/>
      <sheetName val="RA-NonPJ-Dealer"/>
      <sheetName val="RA-PJ-Dealer"/>
      <sheetName val="RA-NonPJ-Trade"/>
      <sheetName val="RA-PJ-Trade"/>
      <sheetName val="SKY-Dealer"/>
      <sheetName val="YTD SKY-Dealer"/>
      <sheetName val="SKY-Trade"/>
      <sheetName val="VRV-Dealer"/>
      <sheetName val="VRV-Trade"/>
      <sheetName val="Links"/>
      <sheetName val="Valuation - Sample Design "/>
      <sheetName val="Stock in transit"/>
      <sheetName val="Valuation - wAvg Test"/>
      <sheetName val="Aging Test"/>
      <sheetName val="Provision Testing"/>
      <sheetName val="XREF"/>
      <sheetName val="AS2Lead"/>
      <sheetName val="WIP Testing "/>
      <sheetName val="Stock in transit (Finals)"/>
      <sheetName val="Provision Testing (Finals)"/>
      <sheetName val="Budget Process"/>
      <sheetName val="Sample Design &amp; Audit Procedure"/>
      <sheetName val="Project Testing &amp; Analysis-Oct"/>
      <sheetName val="Project Income TOD-Oct"/>
      <sheetName val="Project Testing &amp; Analysis-Dec"/>
      <sheetName val="Project Income TOD-Dec"/>
      <sheetName val="Project COS TOD"/>
      <sheetName val="Note for auditors"/>
      <sheetName val="JDE system"/>
      <sheetName val="Project closure form"/>
      <sheetName val="Determination of Threshold"/>
      <sheetName val="Data Sheet"/>
      <sheetName val="Threshold Table"/>
      <sheetName val="Worksheet in     Substantive An"/>
      <sheetName val="Threshold"/>
      <sheetName val="Determination of Threshold (2)"/>
      <sheetName val="Threshold Table (2)"/>
      <sheetName val="Determination of Threshold 1"/>
      <sheetName val="Threshold (Mgmt Fee)"/>
      <sheetName val="Threshold (Rental)"/>
      <sheetName val="Dashboard"/>
      <sheetName val="Overview by Product"/>
      <sheetName val="Sales &amp; GP"/>
      <sheetName val="Sales &amp; GP (2)"/>
      <sheetName val="GP"/>
      <sheetName val="Overview by Country"/>
      <sheetName val="RH_ Cost"/>
      <sheetName val="DHOS_ Cost"/>
      <sheetName val="8000 - Monthly"/>
      <sheetName val="8000 - Weekly"/>
      <sheetName val="8000 (qty)"/>
      <sheetName val="8000 - Weekly (GP)"/>
      <sheetName val="8000 - Weekly (Qty)"/>
      <sheetName val="1500 - Monthly"/>
      <sheetName val="1500 - Weekly"/>
      <sheetName val="Finals"/>
      <sheetName val="DGT&amp;HP"/>
      <sheetName val="SD"/>
      <sheetName val="Customer DSP-RH"/>
      <sheetName val="Model DSP-RH"/>
      <sheetName val="Model DHOS"/>
      <sheetName val="OS Sales"/>
      <sheetName val="Monthly Budget vs OS (GP)"/>
      <sheetName val="Monthly Budget vs OS (GP) DIL"/>
      <sheetName val="3 mths vs OS (GP) DIL Sales"/>
      <sheetName val="3 mths vs OS (GP) DIL Qty"/>
      <sheetName val="Monthly Budget vs OS (C)"/>
      <sheetName val="Monthly Budget vs OS (C) DIL"/>
      <sheetName val="Data - Apr 17 OS Sale"/>
      <sheetName val="DSP Costing"/>
      <sheetName val="DSP Past Sales"/>
      <sheetName val="DSP Stock on hand 9 Apr"/>
      <sheetName val="DSP True Cost"/>
      <sheetName val="SVM"/>
      <sheetName val="DHOS Stock on hand 10 mar"/>
      <sheetName val="OH stock 060320"/>
      <sheetName val="Mar 10 OS Sales"/>
      <sheetName val="SO"/>
      <sheetName val="PO REMAINING PIVOT"/>
      <sheetName val="PO REMAINNING"/>
      <sheetName val="ESTKFEB"/>
      <sheetName val="DHOS Order - JUN20"/>
      <sheetName val="May20 DIL Reply"/>
      <sheetName val="DHOS Order - MAY20"/>
      <sheetName val="Apr20 DIL Reply"/>
      <sheetName val="DHOS Order - APR20"/>
      <sheetName val="Mar20 DIL Reply"/>
      <sheetName val="DHOS Order - MAR20"/>
      <sheetName val="Feb20 DIL Reply"/>
      <sheetName val="DHOS Order - Feb20"/>
      <sheetName val="Jan20 DIL Reply"/>
      <sheetName val="DHOS Order - Jan20"/>
      <sheetName val="Ukeharai Request"/>
      <sheetName val="DAV Forecast (Refnet)"/>
      <sheetName val="Ukeharai Review"/>
      <sheetName val="Sales order"/>
      <sheetName val="CALENDARIO CICLO VRV"/>
      <sheetName val="Susurros Analysis"/>
      <sheetName val="DHOS FCST"/>
      <sheetName val="DAMA FCST"/>
      <sheetName val="Stock FCST"/>
      <sheetName val="DHOS PO"/>
      <sheetName val="DAMA PO"/>
      <sheetName val="FY20 OB (IN)"/>
      <sheetName val="Introductory Notes"/>
      <sheetName val="Declaration"/>
      <sheetName val="Aircon"/>
      <sheetName val="Portable Aircon"/>
      <sheetName val="VRF Aircon"/>
      <sheetName val="Refrigerator"/>
      <sheetName val="Clothes dryer "/>
      <sheetName val="Television"/>
      <sheetName val="Washing machine"/>
      <sheetName val="Water heater"/>
      <sheetName val="Lamps - Regulated"/>
      <sheetName val="Lamps - Non-Regulated"/>
      <sheetName val="Ballast"/>
      <sheetName val="Sheet 1"/>
      <sheetName val="Sheet 2"/>
      <sheetName val="DHOS Order - JUL20"/>
      <sheetName val="Jun20 DIL Reply"/>
      <sheetName val="8CURR"/>
      <sheetName val="4CURR"/>
      <sheetName val="JPY-BEF"/>
      <sheetName val="GBP-BEF"/>
      <sheetName val="DEM-BEF"/>
      <sheetName val="USD-BEF"/>
      <sheetName val="ESP-BEF"/>
      <sheetName val="GRD-BEF"/>
      <sheetName val="FRF-BEF"/>
      <sheetName val="ITL-BEF"/>
      <sheetName val="FRF-JPY"/>
      <sheetName val="ESP-JPY"/>
      <sheetName val="GRD-JPY"/>
      <sheetName val="USD-JPY"/>
      <sheetName val="print"/>
      <sheetName val="cfl"/>
      <sheetName val="INT"/>
      <sheetName val="sal"/>
      <sheetName val="coll"/>
      <sheetName val="sal-col"/>
      <sheetName val="par"/>
      <sheetName val="paycond"/>
      <sheetName val="cr-insur"/>
      <sheetName val="spec it."/>
      <sheetName val="dil-gal"/>
      <sheetName val="duties"/>
      <sheetName val="purchase"/>
      <sheetName val="exp-inv"/>
      <sheetName val=" vat"/>
      <sheetName val="JPYinp"/>
      <sheetName val="JPY inp (2)"/>
      <sheetName val="JPYoutp"/>
      <sheetName val="JPY Options "/>
      <sheetName val="jpyC"/>
      <sheetName val="jpyS"/>
      <sheetName val="jpyFX"/>
      <sheetName val="jpyB"/>
      <sheetName val="GBPinp"/>
      <sheetName val="GBPinp(2)"/>
      <sheetName val="GBPoutp"/>
      <sheetName val="GBP Options"/>
      <sheetName val="gbpC"/>
      <sheetName val="gbpS"/>
      <sheetName val="gbp FX"/>
      <sheetName val="gbpB"/>
      <sheetName val="USDinp"/>
      <sheetName val="USDinp(2)"/>
      <sheetName val="USDoutp"/>
      <sheetName val="usdC"/>
      <sheetName val="usdS"/>
      <sheetName val="usd FX"/>
      <sheetName val="usdB"/>
      <sheetName val="THBinp"/>
      <sheetName val="THBoutp"/>
      <sheetName val="thbC"/>
      <sheetName val="thbS"/>
      <sheetName val="thbB"/>
      <sheetName val="THB-USD"/>
      <sheetName val="disc"/>
      <sheetName val="SALforecast"/>
      <sheetName val="salbudget"/>
      <sheetName val="salbudget -orig"/>
      <sheetName val="1. Target setting"/>
      <sheetName val="2. Countermeasures"/>
      <sheetName val="Input Send Data"/>
      <sheetName val="PL Overview"/>
      <sheetName val="Consolidated sales"/>
      <sheetName val="Cons.PL &amp; BS"/>
      <sheetName val="Details consolidated stock"/>
      <sheetName val="Consolidated Stock Overview"/>
      <sheetName val="CF RB05"/>
      <sheetName val="AR AP"/>
      <sheetName val="Details AR"/>
      <sheetName val="Short term loans receivable"/>
      <sheetName val="Participation"/>
      <sheetName val="Interco PL"/>
      <sheetName val="Interco BS"/>
      <sheetName val="Prist DENV units"/>
      <sheetName val="Prist DICZ units"/>
      <sheetName val="Split up stock by source"/>
      <sheetName val="NETGM%"/>
      <sheetName val="Overview FY04-B05"/>
      <sheetName val="空"/>
      <sheetName val="A2. Version overview (COMP)"/>
      <sheetName val="A1. Comparison sheet"/>
      <sheetName val="A2. Version overview"/>
      <sheetName val="A3. Comparison sheet (2)"/>
      <sheetName val="Transaction"/>
      <sheetName val="Sales Plan HLG"/>
      <sheetName val="GBP-USD-JPY-GRD"/>
      <sheetName val="GBP-USD-JPY-GRD(2)"/>
      <sheetName val="THB"/>
      <sheetName val="Graphs"/>
      <sheetName val="Lookup Budget rates"/>
      <sheetName val="Stock"/>
      <sheetName val="INTRO TO COMQUEST"/>
      <sheetName val="COMQUEST ESTIMATE"/>
      <sheetName val="COMQUEST QUOTE"/>
      <sheetName val="MASTER PRICE DATA"/>
      <sheetName val="PRICE CATAGORIES"/>
      <sheetName val="Difference on sales"/>
      <sheetName val="GM% per country"/>
      <sheetName val="CONS"/>
      <sheetName val="RB DENV"/>
      <sheetName val="prist DEU"/>
      <sheetName val="Inventory Plan"/>
      <sheetName val="GM %"/>
      <sheetName val="Att 2 GM% Prist"/>
      <sheetName val="C PL"/>
      <sheetName val="External PBT"/>
      <sheetName val="External Stock"/>
      <sheetName val="trans PL Q3"/>
      <sheetName val="trans PL Q4"/>
      <sheetName val="Selection Sheet"/>
      <sheetName val="GUIDELINE"/>
      <sheetName val="PL BDG F2002 DIL"/>
      <sheetName val="GM CORRECTIONS"/>
      <sheetName val="Retrieve Expenses"/>
      <sheetName val="Retrieve Labour"/>
      <sheetName val="Retrieve Other Non Op 25th ANNI"/>
      <sheetName val="Retrieve Other Non Operating"/>
      <sheetName val="Other Non Operating"/>
      <sheetName val="Retrieve Non Operating Fin."/>
      <sheetName val="Retrieve Interest"/>
      <sheetName val="Retrieve Exceptions"/>
      <sheetName val="Inventory DENV"/>
      <sheetName val="Data for trans PL"/>
      <sheetName val="Data for trans BS"/>
      <sheetName val="NET INCOME"/>
      <sheetName val="BSdetail"/>
      <sheetName val="ASSTS"/>
      <sheetName val="LIABLTS"/>
      <sheetName val="==&gt;"/>
      <sheetName val="INVEST"/>
      <sheetName val="BALANCE"/>
      <sheetName val="S.G.A."/>
      <sheetName val="MANUF"/>
      <sheetName val="PL ANALYSIS"/>
      <sheetName val="INVENT PLAN Sep"/>
      <sheetName val="INVENT PLAN"/>
      <sheetName val="INVENT CONTROL"/>
      <sheetName val="INVESTMENT"/>
      <sheetName val="-OTH"/>
      <sheetName val="PERSONNEL"/>
      <sheetName val="MANAG"/>
      <sheetName val="TRANS 1 HALF"/>
      <sheetName val="TRANS END"/>
      <sheetName val="&lt;=="/>
      <sheetName val="ASSETS(old)"/>
      <sheetName val="LIABILITIES(old)"/>
      <sheetName val="MFG"/>
      <sheetName val="S.G.A. (old)"/>
      <sheetName val="SAL_PROD"/>
      <sheetName val="SAL_COUNTRY"/>
      <sheetName val="INV"/>
      <sheetName val="Loan"/>
      <sheetName val="INVESTMENT_AFFIL"/>
      <sheetName val="INV_PLAN MARCH F2000"/>
      <sheetName val="INV_PLAN SEPT F2001"/>
      <sheetName val="INV_PLAN MARCH F2001"/>
      <sheetName val="TRANSACTION B F2001"/>
      <sheetName val="TRANS FCF SEPT (old)"/>
      <sheetName val="TRANS FCF (old)"/>
      <sheetName val="PERSONNEL_PLAN (old)"/>
      <sheetName val="Forecast F01"/>
      <sheetName val="P&amp;L FCF"/>
      <sheetName val="BALANCE-"/>
      <sheetName val="S.G.A. FCF"/>
      <sheetName val="VAR FCF"/>
      <sheetName val="PL ANALSYSIS FCF"/>
      <sheetName val="INVENT PLAN FCF"/>
      <sheetName val="INVENT CONTROL FCF"/>
      <sheetName val="INVEST OTHERS FCF"/>
      <sheetName val="PERSONNEL FCF"/>
      <sheetName val="TRANSACTION LIST FCF"/>
      <sheetName val="MAN. INDIC FCF"/>
      <sheetName val="TRANS NEW"/>
      <sheetName val="Price Data (do not change)"/>
      <sheetName val="Internal Quotation Sheet"/>
      <sheetName val="Auto Enquiry Sheet"/>
      <sheetName val="Auto External Quote"/>
      <sheetName val="Read me first!"/>
      <sheetName val="Ukeharai HLG"/>
      <sheetName val="Ukeharai Comp Group"/>
      <sheetName val="Free Pivot"/>
      <sheetName val="Overview (2)"/>
      <sheetName val="単独売上粗利シート"/>
      <sheetName val="為替入力用シート"/>
      <sheetName val="July UKEHARAI"/>
      <sheetName val="YTD+BACKLOG+FCST"/>
      <sheetName val="MARCH STOCK"/>
      <sheetName val="ZMMR013_20190830_071503"/>
      <sheetName val="P&amp;L April Detail"/>
      <sheetName val="P&amp;L Detail May "/>
      <sheetName val="P&amp;L Detail June"/>
      <sheetName val="P&amp;L Detail July"/>
      <sheetName val="P&amp;L Detail Aug"/>
      <sheetName val="P&amp;L Detail Sept"/>
      <sheetName val="P&amp;L Detail Oct"/>
      <sheetName val="P&amp;L Detail Nov"/>
      <sheetName val="P&amp;L Detail Dec"/>
      <sheetName val="P&amp;L Detail Jan 20"/>
      <sheetName val="P&amp;L Detail Feb"/>
      <sheetName val="P&amp;L Detail Mar"/>
      <sheetName val="FF19"/>
      <sheetName val="FY19 Breakdown"/>
      <sheetName val="FY19Budget vs Actual"/>
      <sheetName val="YOY"/>
      <sheetName val="YOY Actual"/>
      <sheetName val="OH STOCK DHOS 310820"/>
      <sheetName val="TOUCHDOWN"/>
      <sheetName val="ROUTE SALES SUMMARY AUG"/>
      <sheetName val="Ukeharai by amount"/>
      <sheetName val="New Project List-checking"/>
      <sheetName val="Asumsi"/>
      <sheetName val="Transfer Dokumen"/>
      <sheetName val="Informasi Pribadi"/>
      <sheetName val="Profil Resiko"/>
      <sheetName val="Net Worth"/>
      <sheetName val="NW"/>
      <sheetName val="NW Pivot"/>
      <sheetName val="CF-renov"/>
      <sheetName val="CF"/>
      <sheetName val="Tujuan Finansial"/>
      <sheetName val="Darurat"/>
      <sheetName val="Pensiun"/>
      <sheetName val="Pendidikan"/>
      <sheetName val="Pend1"/>
      <sheetName val="Pend2"/>
      <sheetName val="AloPend"/>
      <sheetName val="Tujuan Lain"/>
      <sheetName val="Proteksi"/>
      <sheetName val="Asuransi Jiwa"/>
      <sheetName val="Asuransi Lain"/>
      <sheetName val="Produk"/>
      <sheetName val="Rekomendasi"/>
      <sheetName val="Implementasi"/>
      <sheetName val="Implementasi (2)"/>
      <sheetName val="Panduan"/>
      <sheetName val="Resume"/>
      <sheetName val="Langkah"/>
      <sheetName val="Pivot1"/>
      <sheetName val="PivotMI"/>
      <sheetName val="PPT1"/>
      <sheetName val="PPT2"/>
      <sheetName val="Chart3"/>
      <sheetName val="Chart4"/>
      <sheetName val="Chart5"/>
      <sheetName val="Chart6"/>
      <sheetName val="Chart7"/>
      <sheetName val="Chart8"/>
      <sheetName val="Chart9"/>
      <sheetName val="CFProMo"/>
      <sheetName val="CFProYr"/>
      <sheetName val="Informasi Pribadi "/>
      <sheetName val="BP MDC"/>
      <sheetName val="BP PER CHANNEL"/>
      <sheetName val="1.PL Statement"/>
      <sheetName val="2.PL Statement"/>
      <sheetName val="DIF"/>
      <sheetName val="All"/>
      <sheetName val="work_1"/>
      <sheetName val="work_2"/>
      <sheetName val="work_All"/>
      <sheetName val="APMarket"/>
      <sheetName val="Manpower Comparison"/>
      <sheetName val="SalesProgress"/>
      <sheetName val="OB18Forecast"/>
      <sheetName val="ByProduct"/>
      <sheetName val="ActionPlanReview"/>
      <sheetName val="EnquirySummary(R1)"/>
      <sheetName val="ByFactory"/>
      <sheetName val="ActionPlanSummery"/>
      <sheetName val="ManpowerPlan"/>
      <sheetName val="Total Sales FY19  "/>
      <sheetName val="by Customer"/>
      <sheetName val="Backlog"/>
      <sheetName val="Mar20"/>
      <sheetName val="Feb20"/>
      <sheetName val="Jan20"/>
      <sheetName val="Nov"/>
      <sheetName val="June"/>
      <sheetName val="Quote"/>
      <sheetName val="Workings"/>
      <sheetName val="Logistics"/>
      <sheetName val="Startup,Maintenance&amp;SiteWork"/>
      <sheetName val="Order Acceptance Gate Check"/>
      <sheetName val="Request for PO"/>
      <sheetName val="Acknowledgement"/>
      <sheetName val="FY19 TTL Sales Turnover"/>
      <sheetName val="WC Screw"/>
      <sheetName val="AC Screw"/>
      <sheetName val="Scroll Rotary"/>
      <sheetName val="FY20 TTL Sales Turnover"/>
      <sheetName val="Project Billing"/>
      <sheetName val="Study0809"/>
      <sheetName val="RB Summary"/>
      <sheetName val="FY20"/>
      <sheetName val="FY20 Q1 Summary"/>
      <sheetName val="Enquiry_Analysis"/>
      <sheetName val="FY20_Sales_Result"/>
      <sheetName val="Pivot_table_EA"/>
      <sheetName val="FY20_Forecast_PT"/>
      <sheetName val="FY20_Billing_Forecast"/>
      <sheetName val="FY20_Booking_Forecast"/>
      <sheetName val="FY20_Yrly_Fcast_Value"/>
      <sheetName val="FY20_Billing_Flow_Value"/>
      <sheetName val="FY20_Yrly_Booking_Fcast_Value"/>
      <sheetName val="FY20_Yrly_Fcast_Qty"/>
      <sheetName val="FY20_Billing_Flow_Qty"/>
      <sheetName val="FY20_Yrly_Booking_Fcast_Qty"/>
      <sheetName val="6.AP"/>
      <sheetName val="List Product DAMA report"/>
      <sheetName val="by Model 07.20"/>
      <sheetName val="by Model 04.20"/>
      <sheetName val="Factory"/>
      <sheetName val="Market FY20"/>
      <sheetName val="TTL by rank"/>
      <sheetName val="Sales Performance"/>
      <sheetName val="Market Share graph"/>
      <sheetName val="FY20 SDS Sales Tracking_Aug20 2"/>
      <sheetName val="reval rates"/>
      <sheetName val="データ"/>
      <sheetName val="【SGA・合計】"/>
      <sheetName val="ＤＥＮＶ連結"/>
      <sheetName val="ＤＤＣＺ"/>
      <sheetName val="ACE(S)"/>
      <sheetName val="DAAL"/>
      <sheetName val="DAT"/>
      <sheetName val="DCI"/>
      <sheetName val="上海＋総合"/>
      <sheetName val="中央空調上海"/>
      <sheetName val="恵州製造"/>
      <sheetName val="西安"/>
      <sheetName val="機電"/>
      <sheetName val="電器"/>
      <sheetName val="香港"/>
      <sheetName val="DASA"/>
      <sheetName val="DACA"/>
      <sheetName val="DACM"/>
      <sheetName val="期末"/>
      <sheetName val="1Q"/>
      <sheetName val="上期"/>
      <sheetName val="合計-1Q"/>
      <sheetName val="PL(上期）"/>
      <sheetName val="PL(年間）"/>
      <sheetName val="SVCONST"/>
      <sheetName val="換算レート表"/>
      <sheetName val="Result (2)"/>
      <sheetName val="Input R18 (2)"/>
      <sheetName val="Ex) VRV New MC Inquiry (2)"/>
      <sheetName val="Ex) VRV New MC Inquiry"/>
      <sheetName val="INPUT_VRV New MC Inquiry"/>
      <sheetName val="INPUT_RA, SA, PA New MC Inquiry"/>
      <sheetName val="INPUT_AP New MC Inquiry"/>
      <sheetName val="Requirement"/>
      <sheetName val="Definition ①"/>
      <sheetName val="Definition ②"/>
      <sheetName val="Definition ③"/>
      <sheetName val="&lt;Input&gt;Budget and Result"/>
      <sheetName val="&lt;Input&gt; value of Quotations"/>
      <sheetName val="Action Plan in FY19"/>
      <sheetName val="1. INPUT_AP MC Inquiry"/>
      <sheetName val="2. INPUT_VRV MC Inquiry"/>
      <sheetName val="3. INPUT_RA, SA, PA MC Inquiry"/>
      <sheetName val="4.3. INPUT_Action Plan Progress"/>
      <sheetName val="sample"/>
      <sheetName val="Details-Sales Group-FY19"/>
      <sheetName val="Details-Material Group-FY19"/>
      <sheetName val="Chart-SP Wty-FY19"/>
      <sheetName val="2020-01 WtyLbr-Candy"/>
      <sheetName val="#2020-01 WtyLbr"/>
      <sheetName val="Wty Lbr-FY19"/>
      <sheetName val="Wty Lbr-Details"/>
      <sheetName val="FY19 WtyLbr-Details-MTH,TEAM"/>
      <sheetName val="Job Attendance-FY19"/>
      <sheetName val="ok-Pivot - WtyLbr"/>
      <sheetName val="Waiver by Sales"/>
      <sheetName val="VRV Coverage (pend)"/>
      <sheetName val="Summary-FY19 (KE30)"/>
      <sheetName val="2-Svc S.C.GP"/>
      <sheetName val="2-SP S.C.GP"/>
      <sheetName val="Summary-WaiverbySales"/>
      <sheetName val="Pivot-WaiverbySales"/>
      <sheetName val="SVC &amp; SB-Xiayu-06.12.19"/>
      <sheetName val="SVC &amp; SB-Xiayu-6.11.19"/>
      <sheetName val="SVC &amp; SB-Xiayu-7.10.19"/>
      <sheetName val="XiaYu-11.9.19"/>
      <sheetName val="SVC &amp; SB-Xiayu-6.9.19"/>
      <sheetName val="OLD SCOPE 1"/>
      <sheetName val="SVT368 NEW SCOPE 2"/>
      <sheetName val="SVT368 NEW SCOPE 3"/>
      <sheetName val="Master list"/>
      <sheetName val="Problem scope list"/>
      <sheetName val="Shipment"/>
      <sheetName val="T36801 Labour"/>
      <sheetName val="SWG &amp; T-Parts (MAR '20- APR'20)"/>
      <sheetName val="SWG &amp; T-Parts (mar'20- apr'20)"/>
      <sheetName val="1-1 DIT-Summary"/>
      <sheetName val="1-2 DIT-Summary"/>
      <sheetName val="2. DIT-Definition"/>
      <sheetName val="3. DIT-Master checking"/>
      <sheetName val="4. DIT-Checking result"/>
      <sheetName val="5. DIT-Checking result PIVOT"/>
      <sheetName val="Ref. DITSCM"/>
      <sheetName val="【AFF】 (1 P&amp;L)"/>
      <sheetName val="【AFF】（１Wty Cost Re-invoice )"/>
      <sheetName val="【AFF】 (2　KPI-1)"/>
      <sheetName val="【AFF】 (2　KPI-2)"/>
      <sheetName val="【AFF】 (3　Infra+HR Plan）"/>
      <sheetName val="【AFF】 (4 SBU Sales+DK MKTStock)"/>
      <sheetName val="【販社】月次定型帳票（５　抜粋）"/>
      <sheetName val="【販社】月次定型帳票（６　月次）"/>
      <sheetName val="DSP_FY20OB monthly"/>
      <sheetName val="DSP_FY20OB monthly (2)"/>
      <sheetName val="DSP_FY20OB monthly (3)"/>
      <sheetName val="DSP_FY20OB monthly (4)"/>
      <sheetName val="SERVICE &amp; SOLUTION"/>
      <sheetName val="Hotai_FY20OB monthly"/>
      <sheetName val="Models"/>
      <sheetName val="Price data"/>
      <sheetName val="UAA-UAY"/>
      <sheetName val="CUWD Daikin Malaysia"/>
      <sheetName val="Carrier"/>
      <sheetName val="York"/>
      <sheetName val="TRANE"/>
      <sheetName val="SMARDT"/>
      <sheetName val="CLIMAVENETA"/>
      <sheetName val="Dunham-bush"/>
      <sheetName val="MQ"/>
      <sheetName val="Screw chiller"/>
      <sheetName val="Screw HP"/>
      <sheetName val="Scroll chiller"/>
      <sheetName val="YVAA&amp;YLAA"/>
      <sheetName val="Key in Model"/>
      <sheetName val="Comp and Tube Cost"/>
      <sheetName val="Master Price List"/>
      <sheetName val="Vessel Calculation"/>
      <sheetName val="Currency and Ratio"/>
      <sheetName val="Exchange"/>
      <sheetName val="Mkt Data"/>
      <sheetName val="Qty Cost Down"/>
      <sheetName val="作業用"/>
      <sheetName val="Shipping"/>
      <sheetName val="Question Response"/>
      <sheetName val="Table Response"/>
      <sheetName val="QuestionSelectionList"/>
      <sheetName val="BID_RFP"/>
      <sheetName val="BidFieldSelectionList"/>
      <sheetName val="CurrencySelectionList"/>
      <sheetName val="1. Contents"/>
      <sheetName val="2. Introduction"/>
      <sheetName val="3. Volume &amp; Locations"/>
      <sheetName val="4. Price &amp; Spec  (AP Proposed)"/>
      <sheetName val="4. Price &amp; Spec USD"/>
      <sheetName val="5.Product Information"/>
      <sheetName val="6. Discounts and Rebates"/>
      <sheetName val="7. Delivery and Installation"/>
      <sheetName val="8.Exchange rate"/>
      <sheetName val="9.Performance Spec"/>
      <sheetName val="Haworth"/>
      <sheetName val="Order approval"/>
      <sheetName val="QTN"/>
      <sheetName val="Specification"/>
      <sheetName val="Finish Chart"/>
      <sheetName val="Transfer1"/>
      <sheetName val="BJ"/>
      <sheetName val="Beijing&amp;SurroundingAreas"/>
      <sheetName val="Pricing Analysia Beijing"/>
      <sheetName val="China Remote Area 1"/>
      <sheetName val="Pricing Analysis RM 1"/>
      <sheetName val="China Remote Area 2"/>
      <sheetName val="Pricing Analysis RM 2"/>
      <sheetName val="SSA"/>
      <sheetName val="Shanghai&amp;SurroundingAreas"/>
      <sheetName val="Pricing Analysis Shanghai"/>
      <sheetName val="FTZ"/>
      <sheetName val="FreeTradeZone"/>
      <sheetName val="Pricing Analysis FTZ"/>
      <sheetName val="instructions (read_only)"/>
      <sheetName val="1.GENERAL INSTRUCTIONS"/>
      <sheetName val="2.COMPANY INFORMATION"/>
      <sheetName val="table 2.3"/>
      <sheetName val="table 2.5"/>
      <sheetName val="table 2.8"/>
      <sheetName val="table 2.9"/>
      <sheetName val="table 2.14"/>
      <sheetName val="table 2.15"/>
      <sheetName val="table 2.20"/>
      <sheetName val="table 2.21"/>
      <sheetName val="3.FINANCIALS"/>
      <sheetName val="table 3.1"/>
      <sheetName val="table 3.2"/>
      <sheetName val="4.HSE"/>
      <sheetName val="table 4.1"/>
      <sheetName val="5.SERVICE CAPABILITIES"/>
      <sheetName val="table 5.1"/>
      <sheetName val="table 5.2"/>
      <sheetName val="table 5.3"/>
      <sheetName val="table 5.4"/>
      <sheetName val="table 5.5"/>
      <sheetName val="table 5.6"/>
      <sheetName val="6.KPI TRACKING"/>
      <sheetName val="table 6.1"/>
      <sheetName val="7.TALENT POOL"/>
      <sheetName val="table 7.10"/>
      <sheetName val="table 7.13"/>
      <sheetName val="8.TECHNOLOGY"/>
      <sheetName val="9.CORPORATE RESPONSIBILITY"/>
      <sheetName val="10_COMMERCIAL PROPOSAL"/>
      <sheetName val="table 10.1"/>
      <sheetName val="table 10.2"/>
      <sheetName val="11_REFERENCES"/>
      <sheetName val="table 11.1"/>
      <sheetName val="table 11.2"/>
      <sheetName val="table 11.3"/>
      <sheetName val="table 11.4"/>
      <sheetName val="table 11.5"/>
      <sheetName val="OSSalespv"/>
      <sheetName val="from catie"/>
      <sheetName val="TEAM"/>
      <sheetName val="15 UNITS ABOVE"/>
      <sheetName val="DEALER QTY"/>
      <sheetName val="SALESMAN LOOKUP"/>
      <sheetName val="VRV_QTY"/>
      <sheetName val="S4 HANA"/>
      <sheetName val="YUMI REPORT"/>
      <sheetName val="E STATUS"/>
      <sheetName val="CLEEAN E"/>
      <sheetName val="E STATUS PER MONTH"/>
      <sheetName val="DPH Report"/>
      <sheetName val="NEW INQUIRIES"/>
      <sheetName val="FY19 MONITORING"/>
      <sheetName val="FY20 MONITORING"/>
      <sheetName val="DETAILED NOV"/>
      <sheetName val="NEW INQ"/>
      <sheetName val="NOT PCN NUMBER"/>
      <sheetName val="FOR DELETION"/>
      <sheetName val="DETAIL FY 19"/>
      <sheetName val="NEW INQUIRY"/>
      <sheetName val="MISSING INQUIRY FROM JULY"/>
      <sheetName val="F20"/>
      <sheetName val="APR'21 - MAR'22"/>
      <sheetName val="APRIL 22 ONWARDS"/>
      <sheetName val="Data - Mar 27 OS Sale"/>
      <sheetName val="DSP Stock on hand 10 Mar"/>
      <sheetName val="製品マスタ全件"/>
      <sheetName val="Overview by Country v1"/>
      <sheetName val="Full Year"/>
      <sheetName val="Full Year (C)"/>
      <sheetName val="DGTHP"/>
      <sheetName val="8000 - Full Year"/>
      <sheetName val="8000 - Weekly (DGTHP)"/>
      <sheetName val="DGT"/>
      <sheetName val="RefnetSol"/>
      <sheetName val="Sheet3 (2)"/>
      <sheetName val="Weekly Report"/>
      <sheetName val="Budget calculation"/>
      <sheetName val="Copper"/>
      <sheetName val="DGT and HP"/>
      <sheetName val="1500 + 8000 SV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refreshError="1"/>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sheetData sheetId="83"/>
      <sheetData sheetId="84"/>
      <sheetData sheetId="85"/>
      <sheetData sheetId="86" refreshError="1"/>
      <sheetData sheetId="87"/>
      <sheetData sheetId="88"/>
      <sheetData sheetId="89" refreshError="1"/>
      <sheetData sheetId="90" refreshError="1"/>
      <sheetData sheetId="91"/>
      <sheetData sheetId="92"/>
      <sheetData sheetId="93" refreshError="1"/>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sheetData sheetId="123"/>
      <sheetData sheetId="124" refreshError="1"/>
      <sheetData sheetId="125"/>
      <sheetData sheetId="126"/>
      <sheetData sheetId="127"/>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sheetData sheetId="162" refreshError="1"/>
      <sheetData sheetId="163" refreshError="1"/>
      <sheetData sheetId="164" refreshError="1"/>
      <sheetData sheetId="165" refreshError="1"/>
      <sheetData sheetId="166"/>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refreshError="1"/>
      <sheetData sheetId="320" refreshError="1"/>
      <sheetData sheetId="321"/>
      <sheetData sheetId="322" refreshError="1"/>
      <sheetData sheetId="323" refreshError="1"/>
      <sheetData sheetId="324" refreshError="1"/>
      <sheetData sheetId="325" refreshError="1"/>
      <sheetData sheetId="326"/>
      <sheetData sheetId="327"/>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sheetData sheetId="348"/>
      <sheetData sheetId="349"/>
      <sheetData sheetId="350"/>
      <sheetData sheetId="351" refreshError="1"/>
      <sheetData sheetId="352"/>
      <sheetData sheetId="353"/>
      <sheetData sheetId="354"/>
      <sheetData sheetId="355"/>
      <sheetData sheetId="356" refreshError="1"/>
      <sheetData sheetId="357"/>
      <sheetData sheetId="358" refreshError="1"/>
      <sheetData sheetId="359"/>
      <sheetData sheetId="360"/>
      <sheetData sheetId="361"/>
      <sheetData sheetId="362"/>
      <sheetData sheetId="363"/>
      <sheetData sheetId="364"/>
      <sheetData sheetId="365" refreshError="1"/>
      <sheetData sheetId="366"/>
      <sheetData sheetId="367" refreshError="1"/>
      <sheetData sheetId="368" refreshError="1"/>
      <sheetData sheetId="369"/>
      <sheetData sheetId="370" refreshError="1"/>
      <sheetData sheetId="371"/>
      <sheetData sheetId="372"/>
      <sheetData sheetId="373"/>
      <sheetData sheetId="374"/>
      <sheetData sheetId="375"/>
      <sheetData sheetId="376" refreshError="1"/>
      <sheetData sheetId="377"/>
      <sheetData sheetId="378"/>
      <sheetData sheetId="379"/>
      <sheetData sheetId="380" refreshError="1"/>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refreshError="1"/>
      <sheetData sheetId="395" refreshError="1"/>
      <sheetData sheetId="396"/>
      <sheetData sheetId="397" refreshError="1"/>
      <sheetData sheetId="398"/>
      <sheetData sheetId="399"/>
      <sheetData sheetId="400" refreshError="1"/>
      <sheetData sheetId="401" refreshError="1"/>
      <sheetData sheetId="402" refreshError="1"/>
      <sheetData sheetId="403"/>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refreshError="1"/>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efreshError="1"/>
      <sheetData sheetId="640"/>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sheetData sheetId="650" refreshError="1"/>
      <sheetData sheetId="651"/>
      <sheetData sheetId="652" refreshError="1"/>
      <sheetData sheetId="653"/>
      <sheetData sheetId="654"/>
      <sheetData sheetId="655"/>
      <sheetData sheetId="656"/>
      <sheetData sheetId="657"/>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sheetData sheetId="682"/>
      <sheetData sheetId="683"/>
      <sheetData sheetId="684"/>
      <sheetData sheetId="685" refreshError="1"/>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refreshError="1"/>
      <sheetData sheetId="794"/>
      <sheetData sheetId="795"/>
      <sheetData sheetId="796"/>
      <sheetData sheetId="797"/>
      <sheetData sheetId="798"/>
      <sheetData sheetId="799"/>
      <sheetData sheetId="800"/>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sheetData sheetId="1313"/>
      <sheetData sheetId="1314"/>
      <sheetData sheetId="1315"/>
      <sheetData sheetId="1316"/>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sheetData sheetId="1335"/>
      <sheetData sheetId="1336"/>
      <sheetData sheetId="1337"/>
      <sheetData sheetId="1338"/>
      <sheetData sheetId="1339" refreshError="1"/>
      <sheetData sheetId="1340" refreshError="1"/>
      <sheetData sheetId="1341" refreshError="1"/>
      <sheetData sheetId="1342" refreshError="1"/>
      <sheetData sheetId="1343"/>
      <sheetData sheetId="1344" refreshError="1"/>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refreshError="1"/>
      <sheetData sheetId="1517" refreshError="1"/>
      <sheetData sheetId="1518" refreshError="1"/>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sheetData sheetId="1675"/>
      <sheetData sheetId="1676"/>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refreshError="1"/>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sheetData sheetId="3921"/>
      <sheetData sheetId="3922"/>
      <sheetData sheetId="3923"/>
      <sheetData sheetId="3924"/>
      <sheetData sheetId="3925"/>
      <sheetData sheetId="3926"/>
      <sheetData sheetId="3927"/>
      <sheetData sheetId="3928"/>
      <sheetData sheetId="3929"/>
      <sheetData sheetId="3930" refreshError="1"/>
      <sheetData sheetId="3931"/>
      <sheetData sheetId="3932" refreshError="1"/>
      <sheetData sheetId="3933" refreshError="1"/>
      <sheetData sheetId="3934" refreshError="1"/>
      <sheetData sheetId="3935"/>
      <sheetData sheetId="3936" refreshError="1"/>
      <sheetData sheetId="3937" refreshError="1"/>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refreshError="1"/>
      <sheetData sheetId="3985"/>
      <sheetData sheetId="3986"/>
      <sheetData sheetId="3987" refreshError="1"/>
      <sheetData sheetId="3988" refreshError="1"/>
      <sheetData sheetId="3989" refreshError="1"/>
      <sheetData sheetId="3990"/>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sheetData sheetId="4002" refreshError="1"/>
      <sheetData sheetId="4003" refreshError="1"/>
      <sheetData sheetId="4004" refreshError="1"/>
      <sheetData sheetId="4005"/>
      <sheetData sheetId="4006" refreshError="1"/>
      <sheetData sheetId="4007" refreshError="1"/>
      <sheetData sheetId="4008" refreshError="1"/>
      <sheetData sheetId="4009" refreshError="1"/>
      <sheetData sheetId="4010"/>
      <sheetData sheetId="4011" refreshError="1"/>
      <sheetData sheetId="4012" refreshError="1"/>
      <sheetData sheetId="4013" refreshError="1"/>
      <sheetData sheetId="4014" refreshError="1"/>
      <sheetData sheetId="4015"/>
      <sheetData sheetId="4016" refreshError="1"/>
      <sheetData sheetId="4017" refreshError="1"/>
      <sheetData sheetId="4018" refreshError="1"/>
      <sheetData sheetId="4019" refreshError="1"/>
      <sheetData sheetId="4020" refreshError="1"/>
      <sheetData sheetId="4021" refreshError="1"/>
      <sheetData sheetId="4022"/>
      <sheetData sheetId="4023" refreshError="1"/>
      <sheetData sheetId="4024"/>
      <sheetData sheetId="4025" refreshError="1"/>
      <sheetData sheetId="4026" refreshError="1"/>
      <sheetData sheetId="4027" refreshError="1"/>
      <sheetData sheetId="4028" refreshError="1"/>
      <sheetData sheetId="4029" refreshError="1"/>
      <sheetData sheetId="4030" refreshError="1"/>
      <sheetData sheetId="4031" refreshError="1"/>
      <sheetData sheetId="4032"/>
      <sheetData sheetId="4033" refreshError="1"/>
      <sheetData sheetId="4034" refreshError="1"/>
      <sheetData sheetId="4035" refreshError="1"/>
      <sheetData sheetId="4036" refreshError="1"/>
      <sheetData sheetId="4037" refreshError="1"/>
      <sheetData sheetId="4038" refreshError="1"/>
      <sheetData sheetId="4039" refreshError="1"/>
      <sheetData sheetId="4040"/>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sheetData sheetId="4051"/>
      <sheetData sheetId="4052"/>
      <sheetData sheetId="4053"/>
      <sheetData sheetId="4054"/>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sheetData sheetId="4065"/>
      <sheetData sheetId="4066"/>
      <sheetData sheetId="4067"/>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sheetData sheetId="4115" refreshError="1"/>
      <sheetData sheetId="4116"/>
      <sheetData sheetId="4117"/>
      <sheetData sheetId="4118"/>
      <sheetData sheetId="4119" refreshError="1"/>
      <sheetData sheetId="4120" refreshError="1"/>
      <sheetData sheetId="4121" refreshError="1"/>
      <sheetData sheetId="4122"/>
      <sheetData sheetId="4123" refreshError="1"/>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refreshError="1"/>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refreshError="1"/>
      <sheetData sheetId="4157"/>
      <sheetData sheetId="4158"/>
      <sheetData sheetId="4159"/>
      <sheetData sheetId="4160"/>
      <sheetData sheetId="4161"/>
      <sheetData sheetId="4162"/>
      <sheetData sheetId="4163"/>
      <sheetData sheetId="4164"/>
      <sheetData sheetId="4165"/>
      <sheetData sheetId="4166"/>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sheetData sheetId="6402"/>
      <sheetData sheetId="6403"/>
      <sheetData sheetId="6404"/>
      <sheetData sheetId="6405"/>
      <sheetData sheetId="6406" refreshError="1"/>
      <sheetData sheetId="6407" refreshError="1"/>
      <sheetData sheetId="6408" refreshError="1"/>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refreshError="1"/>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refreshError="1"/>
      <sheetData sheetId="6447"/>
      <sheetData sheetId="6448"/>
      <sheetData sheetId="6449"/>
      <sheetData sheetId="6450" refreshError="1"/>
      <sheetData sheetId="6451" refreshError="1"/>
      <sheetData sheetId="6452"/>
      <sheetData sheetId="6453"/>
      <sheetData sheetId="6454"/>
      <sheetData sheetId="6455"/>
      <sheetData sheetId="6456"/>
      <sheetData sheetId="6457"/>
      <sheetData sheetId="6458" refreshError="1"/>
      <sheetData sheetId="6459"/>
      <sheetData sheetId="6460"/>
      <sheetData sheetId="6461"/>
      <sheetData sheetId="6462"/>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refreshError="1"/>
      <sheetData sheetId="6495"/>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refreshError="1"/>
      <sheetData sheetId="6528" refreshError="1"/>
      <sheetData sheetId="6529" refreshError="1"/>
      <sheetData sheetId="6530"/>
      <sheetData sheetId="6531"/>
      <sheetData sheetId="6532"/>
      <sheetData sheetId="6533"/>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sheetData sheetId="6543"/>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sheetData sheetId="6562" refreshError="1"/>
      <sheetData sheetId="6563" refreshError="1"/>
      <sheetData sheetId="6564"/>
      <sheetData sheetId="6565"/>
      <sheetData sheetId="6566"/>
      <sheetData sheetId="6567"/>
      <sheetData sheetId="6568"/>
      <sheetData sheetId="6569"/>
      <sheetData sheetId="6570"/>
      <sheetData sheetId="6571"/>
      <sheetData sheetId="6572"/>
      <sheetData sheetId="6573"/>
      <sheetData sheetId="6574"/>
      <sheetData sheetId="6575" refreshError="1"/>
      <sheetData sheetId="6576" refreshError="1"/>
      <sheetData sheetId="6577"/>
      <sheetData sheetId="6578"/>
      <sheetData sheetId="6579"/>
      <sheetData sheetId="6580"/>
      <sheetData sheetId="6581"/>
      <sheetData sheetId="6582"/>
      <sheetData sheetId="6583"/>
      <sheetData sheetId="6584"/>
      <sheetData sheetId="6585"/>
      <sheetData sheetId="6586"/>
      <sheetData sheetId="6587" refreshError="1"/>
      <sheetData sheetId="6588" refreshError="1"/>
      <sheetData sheetId="6589" refreshError="1"/>
      <sheetData sheetId="6590" refreshError="1"/>
      <sheetData sheetId="6591"/>
      <sheetData sheetId="6592"/>
      <sheetData sheetId="6593" refreshError="1"/>
      <sheetData sheetId="6594" refreshError="1"/>
      <sheetData sheetId="6595" refreshError="1"/>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refreshError="1"/>
      <sheetData sheetId="6715" refreshError="1"/>
      <sheetData sheetId="6716"/>
      <sheetData sheetId="6717" refreshError="1"/>
      <sheetData sheetId="6718" refreshError="1"/>
      <sheetData sheetId="6719" refreshError="1"/>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refreshError="1"/>
      <sheetData sheetId="6733"/>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sheetData sheetId="6902" refreshError="1"/>
      <sheetData sheetId="6903"/>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sheetData sheetId="6921"/>
      <sheetData sheetId="6922"/>
      <sheetData sheetId="6923"/>
      <sheetData sheetId="6924"/>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sheetData sheetId="6934"/>
      <sheetData sheetId="6935" refreshError="1"/>
      <sheetData sheetId="6936"/>
      <sheetData sheetId="6937"/>
      <sheetData sheetId="6938"/>
      <sheetData sheetId="6939"/>
      <sheetData sheetId="6940" refreshError="1"/>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refreshError="1"/>
      <sheetData sheetId="6979"/>
      <sheetData sheetId="6980"/>
      <sheetData sheetId="6981"/>
      <sheetData sheetId="6982"/>
      <sheetData sheetId="6983"/>
      <sheetData sheetId="6984"/>
      <sheetData sheetId="6985"/>
      <sheetData sheetId="6986" refreshError="1"/>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refreshError="1"/>
      <sheetData sheetId="7009"/>
      <sheetData sheetId="7010" refreshError="1"/>
      <sheetData sheetId="7011"/>
      <sheetData sheetId="7012" refreshError="1"/>
      <sheetData sheetId="7013"/>
      <sheetData sheetId="7014" refreshError="1"/>
      <sheetData sheetId="7015" refreshError="1"/>
      <sheetData sheetId="7016"/>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sheetData sheetId="7027" refreshError="1"/>
      <sheetData sheetId="7028"/>
      <sheetData sheetId="7029" refreshError="1"/>
      <sheetData sheetId="7030" refreshError="1"/>
      <sheetData sheetId="7031" refreshError="1"/>
      <sheetData sheetId="7032" refreshError="1"/>
      <sheetData sheetId="7033" refreshError="1"/>
      <sheetData sheetId="7034"/>
      <sheetData sheetId="7035" refreshError="1"/>
      <sheetData sheetId="7036" refreshError="1"/>
      <sheetData sheetId="7037" refreshError="1"/>
      <sheetData sheetId="7038"/>
      <sheetData sheetId="7039"/>
      <sheetData sheetId="7040" refreshError="1"/>
      <sheetData sheetId="7041"/>
      <sheetData sheetId="7042"/>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sheetData sheetId="7087"/>
      <sheetData sheetId="7088"/>
      <sheetData sheetId="7089"/>
      <sheetData sheetId="7090"/>
      <sheetData sheetId="7091"/>
      <sheetData sheetId="7092"/>
      <sheetData sheetId="7093"/>
      <sheetData sheetId="7094" refreshError="1"/>
      <sheetData sheetId="7095" refreshError="1"/>
      <sheetData sheetId="7096" refreshError="1"/>
      <sheetData sheetId="7097" refreshError="1"/>
      <sheetData sheetId="7098"/>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sheetData sheetId="7109"/>
      <sheetData sheetId="7110"/>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sheetData sheetId="7174"/>
      <sheetData sheetId="7175" refreshError="1"/>
      <sheetData sheetId="7176"/>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sheetData sheetId="7189"/>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sheetData sheetId="7202" refreshError="1"/>
      <sheetData sheetId="7203"/>
      <sheetData sheetId="7204" refreshError="1"/>
      <sheetData sheetId="7205" refreshError="1"/>
      <sheetData sheetId="7206"/>
      <sheetData sheetId="7207"/>
      <sheetData sheetId="7208"/>
      <sheetData sheetId="7209"/>
      <sheetData sheetId="7210"/>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sheetData sheetId="7289" refreshError="1"/>
      <sheetData sheetId="7290"/>
      <sheetData sheetId="7291" refreshError="1"/>
      <sheetData sheetId="7292" refreshError="1"/>
      <sheetData sheetId="7293" refreshError="1"/>
      <sheetData sheetId="7294" refreshError="1"/>
      <sheetData sheetId="7295" refreshError="1"/>
      <sheetData sheetId="7296" refreshError="1"/>
      <sheetData sheetId="7297"/>
      <sheetData sheetId="7298"/>
      <sheetData sheetId="7299"/>
      <sheetData sheetId="7300"/>
      <sheetData sheetId="7301"/>
      <sheetData sheetId="7302" refreshError="1"/>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refreshError="1"/>
      <sheetData sheetId="7325"/>
      <sheetData sheetId="7326" refreshError="1"/>
      <sheetData sheetId="7327" refreshError="1"/>
      <sheetData sheetId="7328" refreshError="1"/>
      <sheetData sheetId="7329" refreshError="1"/>
      <sheetData sheetId="7330"/>
      <sheetData sheetId="7331"/>
      <sheetData sheetId="7332"/>
      <sheetData sheetId="7333"/>
      <sheetData sheetId="7334" refreshError="1"/>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refreshError="1"/>
      <sheetData sheetId="7357" refreshError="1"/>
      <sheetData sheetId="7358" refreshError="1"/>
      <sheetData sheetId="7359" refreshError="1"/>
      <sheetData sheetId="7360" refreshError="1"/>
      <sheetData sheetId="7361" refreshError="1"/>
      <sheetData sheetId="7362" refreshError="1"/>
      <sheetData sheetId="7363"/>
      <sheetData sheetId="7364"/>
      <sheetData sheetId="7365" refreshError="1"/>
      <sheetData sheetId="7366" refreshError="1"/>
      <sheetData sheetId="7367"/>
      <sheetData sheetId="7368"/>
      <sheetData sheetId="7369"/>
      <sheetData sheetId="7370"/>
      <sheetData sheetId="7371" refreshError="1"/>
      <sheetData sheetId="7372"/>
      <sheetData sheetId="7373"/>
      <sheetData sheetId="7374"/>
      <sheetData sheetId="7375" refreshError="1"/>
      <sheetData sheetId="7376" refreshError="1"/>
      <sheetData sheetId="7377" refreshError="1"/>
      <sheetData sheetId="7378" refreshError="1"/>
      <sheetData sheetId="7379" refreshError="1"/>
      <sheetData sheetId="7380" refreshError="1"/>
      <sheetData sheetId="7381"/>
      <sheetData sheetId="7382" refreshError="1"/>
      <sheetData sheetId="7383" refreshError="1"/>
      <sheetData sheetId="7384" refreshError="1"/>
      <sheetData sheetId="7385" refreshError="1"/>
      <sheetData sheetId="7386" refreshError="1"/>
      <sheetData sheetId="7387" refreshError="1"/>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sheetData sheetId="7458"/>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efreshError="1"/>
      <sheetData sheetId="7546" refreshError="1"/>
      <sheetData sheetId="7547" refreshError="1"/>
      <sheetData sheetId="7548" refreshError="1"/>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refreshError="1"/>
      <sheetData sheetId="7630"/>
      <sheetData sheetId="7631"/>
      <sheetData sheetId="7632"/>
      <sheetData sheetId="7633"/>
      <sheetData sheetId="7634"/>
      <sheetData sheetId="7635"/>
      <sheetData sheetId="7636" refreshError="1"/>
      <sheetData sheetId="7637"/>
      <sheetData sheetId="7638"/>
      <sheetData sheetId="7639"/>
      <sheetData sheetId="7640"/>
      <sheetData sheetId="7641"/>
      <sheetData sheetId="7642"/>
      <sheetData sheetId="7643" refreshError="1"/>
      <sheetData sheetId="7644" refreshError="1"/>
      <sheetData sheetId="7645" refreshError="1"/>
      <sheetData sheetId="7646" refreshError="1"/>
      <sheetData sheetId="7647" refreshError="1"/>
      <sheetData sheetId="7648" refreshError="1"/>
      <sheetData sheetId="7649"/>
      <sheetData sheetId="7650"/>
      <sheetData sheetId="7651"/>
      <sheetData sheetId="7652"/>
      <sheetData sheetId="7653"/>
      <sheetData sheetId="7654"/>
      <sheetData sheetId="7655" refreshError="1"/>
      <sheetData sheetId="7656" refreshError="1"/>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DEF"/>
      <sheetName val="COVER"/>
      <sheetName val="CONTENTS"/>
      <sheetName val="Matching"/>
      <sheetName val="A1"/>
      <sheetName val="A2"/>
      <sheetName val="A3"/>
      <sheetName val="A4"/>
      <sheetName val="A5"/>
      <sheetName val="A6"/>
      <sheetName val="A7"/>
      <sheetName val="DAIKIN GROUP"/>
      <sheetName val="OYL GROUP"/>
      <sheetName val="SALES to OYL"/>
      <sheetName val="PURCHASE from OYL"/>
      <sheetName val="PURCHASE fromDAIKIN"/>
      <sheetName val="SALES to DAIKIN"/>
      <sheetName val="B1"/>
      <sheetName val="B2"/>
      <sheetName val="B3"/>
      <sheetName val="B4"/>
      <sheetName val="B5-1"/>
      <sheetName val="B5-2"/>
      <sheetName val="B6"/>
      <sheetName val="B7"/>
      <sheetName val="B9-5"/>
      <sheetName val="B9-6"/>
      <sheetName val="B9-7"/>
      <sheetName val="C1"/>
      <sheetName val="C2"/>
      <sheetName val="C3"/>
      <sheetName val="C4"/>
      <sheetName val="C5"/>
      <sheetName val="C6"/>
      <sheetName val="C7"/>
      <sheetName val="C8-1"/>
      <sheetName val="C8-2"/>
      <sheetName val="C9"/>
      <sheetName val="C10"/>
      <sheetName val="C11"/>
      <sheetName val="C12-1"/>
      <sheetName val="C12-2"/>
      <sheetName val="C13-1"/>
      <sheetName val="C13-2"/>
      <sheetName val="C13-3"/>
      <sheetName val="C13-4"/>
      <sheetName val="D1"/>
      <sheetName val="D2"/>
      <sheetName val="D3"/>
      <sheetName val="D4"/>
      <sheetName val="D9"/>
      <sheetName val="Company"/>
      <sheetName val="Definition"/>
      <sheetName val="DAIKIN_GROUP"/>
      <sheetName val="OYL_GROUP"/>
      <sheetName val="SALES_to_OYL"/>
      <sheetName val="PURCHASE_from_OYL"/>
      <sheetName val="PURCHASE_fromDAIKIN"/>
      <sheetName val="SALES_to_DAIKIN"/>
      <sheetName val="DAIKIN_GROUP1"/>
      <sheetName val="OYL_GROUP1"/>
      <sheetName val="SALES_to_OYL1"/>
      <sheetName val="PURCHASE_from_OYL1"/>
      <sheetName val="PURCHASE_fromDAIKIN1"/>
      <sheetName val="SALES_to_DAIKIN1"/>
      <sheetName val="DAIKIN_GROUP2"/>
      <sheetName val="OYL_GROUP2"/>
      <sheetName val="SALES_to_OYL2"/>
      <sheetName val="PURCHASE_from_OYL2"/>
      <sheetName val="PURCHASE_fromDAIKIN2"/>
      <sheetName val="SALES_to_DAIKIN2"/>
      <sheetName val="DAIKIN_GROUP3"/>
      <sheetName val="OYL_GROUP3"/>
      <sheetName val="SALES_to_OYL3"/>
      <sheetName val="PURCHASE_from_OYL3"/>
      <sheetName val="PURCHASE_fromDAIKIN3"/>
      <sheetName val="SALES_to_DAIKIN3"/>
      <sheetName val="DAIKIN_GROUP4"/>
      <sheetName val="OYL_GROUP4"/>
      <sheetName val="SALES_to_OYL4"/>
      <sheetName val="PURCHASE_from_OYL4"/>
      <sheetName val="PURCHASE_fromDAIKIN4"/>
      <sheetName val="SALES_to_DAIKIN4"/>
      <sheetName val="DAIKIN_GROUP5"/>
      <sheetName val="OYL_GROUP5"/>
      <sheetName val="SALES_to_OYL5"/>
      <sheetName val="PURCHASE_from_OYL5"/>
      <sheetName val="PURCHASE_fromDAIKIN5"/>
      <sheetName val="SALES_to_DAIKIN5"/>
      <sheetName val="DAIKIN_GROUP6"/>
      <sheetName val="OYL_GROUP6"/>
      <sheetName val="SALES_to_OYL6"/>
      <sheetName val="PURCHASE_from_OYL6"/>
      <sheetName val="PURCHASE_fromDAIKIN6"/>
      <sheetName val="SALES_to_DAIKIN6"/>
      <sheetName val="DAIKIN_GROUP7"/>
      <sheetName val="OYL_GROUP7"/>
      <sheetName val="SALES_to_OYL7"/>
      <sheetName val="PURCHASE_from_OYL7"/>
      <sheetName val="PURCHASE_fromDAIKIN7"/>
      <sheetName val="SALES_to_DAIKIN7"/>
      <sheetName val="DAIKIN_GROUP8"/>
      <sheetName val="OYL_GROUP8"/>
      <sheetName val="SALES_to_OYL8"/>
      <sheetName val="PURCHASE_from_OYL8"/>
      <sheetName val="PURCHASE_fromDAIKIN8"/>
      <sheetName val="SALES_to_DAIKIN8"/>
      <sheetName val="DAIKIN_GROUP16"/>
      <sheetName val="OYL_GROUP16"/>
      <sheetName val="SALES_to_OYL16"/>
      <sheetName val="PURCHASE_from_OYL16"/>
      <sheetName val="PURCHASE_fromDAIKIN16"/>
      <sheetName val="SALES_to_DAIKIN16"/>
      <sheetName val="DAIKIN_GROUP10"/>
      <sheetName val="OYL_GROUP10"/>
      <sheetName val="SALES_to_OYL10"/>
      <sheetName val="PURCHASE_from_OYL10"/>
      <sheetName val="PURCHASE_fromDAIKIN10"/>
      <sheetName val="SALES_to_DAIKIN10"/>
      <sheetName val="DAIKIN_GROUP9"/>
      <sheetName val="OYL_GROUP9"/>
      <sheetName val="SALES_to_OYL9"/>
      <sheetName val="PURCHASE_from_OYL9"/>
      <sheetName val="PURCHASE_fromDAIKIN9"/>
      <sheetName val="SALES_to_DAIKIN9"/>
      <sheetName val="DAIKIN_GROUP11"/>
      <sheetName val="OYL_GROUP11"/>
      <sheetName val="SALES_to_OYL11"/>
      <sheetName val="PURCHASE_from_OYL11"/>
      <sheetName val="PURCHASE_fromDAIKIN11"/>
      <sheetName val="SALES_to_DAIKIN11"/>
      <sheetName val="DAIKIN_GROUP12"/>
      <sheetName val="OYL_GROUP12"/>
      <sheetName val="SALES_to_OYL12"/>
      <sheetName val="PURCHASE_from_OYL12"/>
      <sheetName val="PURCHASE_fromDAIKIN12"/>
      <sheetName val="SALES_to_DAIKIN12"/>
      <sheetName val="DAIKIN_GROUP15"/>
      <sheetName val="OYL_GROUP15"/>
      <sheetName val="SALES_to_OYL15"/>
      <sheetName val="PURCHASE_from_OYL15"/>
      <sheetName val="PURCHASE_fromDAIKIN15"/>
      <sheetName val="SALES_to_DAIKIN15"/>
      <sheetName val="DAIKIN_GROUP13"/>
      <sheetName val="OYL_GROUP13"/>
      <sheetName val="SALES_to_OYL13"/>
      <sheetName val="PURCHASE_from_OYL13"/>
      <sheetName val="PURCHASE_fromDAIKIN13"/>
      <sheetName val="SALES_to_DAIKIN13"/>
      <sheetName val="DAIKIN_GROUP14"/>
      <sheetName val="OYL_GROUP14"/>
      <sheetName val="SALES_to_OYL14"/>
      <sheetName val="PURCHASE_from_OYL14"/>
      <sheetName val="PURCHASE_fromDAIKIN14"/>
      <sheetName val="SALES_to_DAIKIN14"/>
      <sheetName val="DAIKIN_GROUP17"/>
      <sheetName val="OYL_GROUP17"/>
      <sheetName val="SALES_to_OYL17"/>
      <sheetName val="PURCHASE_from_OYL17"/>
      <sheetName val="PURCHASE_fromDAIKIN17"/>
      <sheetName val="SALES_to_DAIKIN17"/>
      <sheetName val="DAIKIN_GROUP18"/>
      <sheetName val="OYL_GROUP18"/>
      <sheetName val="SALES_to_OYL18"/>
      <sheetName val="PURCHASE_from_OYL18"/>
      <sheetName val="PURCHASE_fromDAIKIN18"/>
      <sheetName val="SALES_to_DAIKIN18"/>
      <sheetName val="DAIKIN_GROUP19"/>
      <sheetName val="OYL_GROUP19"/>
      <sheetName val="SALES_to_OYL19"/>
      <sheetName val="PURCHASE_from_OYL19"/>
      <sheetName val="PURCHASE_fromDAIKIN19"/>
      <sheetName val="SALES_to_DAIKIN19"/>
      <sheetName val="DAIKIN_GROUP20"/>
      <sheetName val="OYL_GROUP20"/>
      <sheetName val="SALES_to_OYL20"/>
      <sheetName val="PURCHASE_from_OYL20"/>
      <sheetName val="PURCHASE_fromDAIKIN20"/>
      <sheetName val="SALES_to_DAIKIN20"/>
      <sheetName val="DAIKIN_GROUP21"/>
      <sheetName val="OYL_GROUP21"/>
      <sheetName val="SALES_to_OYL21"/>
      <sheetName val="PURCHASE_from_OYL21"/>
      <sheetName val="PURCHASE_fromDAIKIN21"/>
      <sheetName val="SALES_to_DAIKIN21"/>
      <sheetName val="DAIKIN_GROUP22"/>
      <sheetName val="OYL_GROUP22"/>
      <sheetName val="SALES_to_OYL22"/>
      <sheetName val="PURCHASE_from_OYL22"/>
      <sheetName val="PURCHASE_fromDAIKIN22"/>
      <sheetName val="SALES_to_DAIKIN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params"/>
      <sheetName val="Master"/>
      <sheetName val="Budget_params"/>
      <sheetName val="Budget_params1"/>
      <sheetName val="Budget_params2"/>
      <sheetName val="Budget_params3"/>
      <sheetName val="Budget_params4"/>
      <sheetName val="Budget_params5"/>
      <sheetName val="Budget_params6"/>
      <sheetName val="Budget_params7"/>
      <sheetName val="Budget_params12"/>
      <sheetName val="Budget_params8"/>
      <sheetName val="Budget_params10"/>
      <sheetName val="Budget_params9"/>
      <sheetName val="Budget_params11"/>
      <sheetName val="Budget_params14"/>
      <sheetName val="Budget_params13"/>
      <sheetName val="Budget_params15"/>
      <sheetName val="Budget_params16"/>
      <sheetName val="Budget_params17"/>
      <sheetName val="Budget_params18"/>
      <sheetName val="Budget_params19"/>
      <sheetName val="Budget_params20"/>
      <sheetName val="Budget_params21"/>
      <sheetName val="Detail"/>
      <sheetName val="XL4Test5"/>
      <sheetName val="Box"/>
      <sheetName val="Cover"/>
      <sheetName val="ＷＣ"/>
      <sheetName val="費目"/>
      <sheetName val="Budget_params22"/>
      <sheetName val="Budget_params23"/>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refreshError="1"/>
      <sheetData sheetId="28" refreshError="1"/>
      <sheetData sheetId="29" refreshError="1"/>
      <sheetData sheetId="30"/>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to OYL"/>
      <sheetName val="PURCHASE from OYL"/>
      <sheetName val="LIST"/>
      <sheetName val="(1) BS1"/>
      <sheetName val="(2) BS2"/>
      <sheetName val="(3) PL"/>
      <sheetName val="(4) CREDITS to DAIKIN "/>
      <sheetName val="(5) DEBTS FROM DAIKIN"/>
      <sheetName val="(6) SALES to DAIKIN"/>
      <sheetName val="(7) PURCHASE from DAIKIN"/>
      <sheetName val="(8) Credits to OYL"/>
      <sheetName val="(9) DEBTS FROM OYL"/>
      <sheetName val="(10) SALES to OYL"/>
      <sheetName val="(11) PURCHASE FROM OYL"/>
      <sheetName val="(12) ROYALTIES FROM OYL"/>
      <sheetName val="(13) ROYALTIES TO OYL"/>
      <sheetName val="(14) NON OP INCOME"/>
      <sheetName val="(15) NON OP EXPENSE"/>
      <sheetName val="(16) Sales by Countries"/>
      <sheetName val="(17) SGA"/>
      <sheetName val="(18) CASH EQUIVALENT"/>
      <sheetName val="(19) TANGIBLE ASSETS"/>
      <sheetName val="(20) LONG TERM RECEIVABLE"/>
      <sheetName val="(21) ALLOWANCE FOR BAD DEBT"/>
      <sheetName val="(22) WARRANTY"/>
      <sheetName val="(23) OTHER CURRENT ASSETS"/>
      <sheetName val="(24) PREPAID EXPENSES"/>
      <sheetName val="(25) OTHER LONG TERM ASSETS"/>
      <sheetName val="(26) OTHER ACCRUED EXPENSES"/>
      <sheetName val="(27) OTHER LONGTERM LIABILITIES"/>
      <sheetName val="(28) COLLATERAL"/>
      <sheetName val="(29) GUARANTEES"/>
      <sheetName val="(30) EMPLOYEE"/>
      <sheetName val="(31) DAIKIN GROUP"/>
      <sheetName val="(32) OYL GROUP"/>
      <sheetName val="Company"/>
      <sheetName val="SALES_to_OYL"/>
      <sheetName val="PURCHASE_from_OYL"/>
      <sheetName val="(1)_BS1"/>
      <sheetName val="(2)_BS2"/>
      <sheetName val="(3)_PL"/>
      <sheetName val="(4)_CREDITS_to_DAIKIN_"/>
      <sheetName val="(5)_DEBTS_FROM_DAIKIN"/>
      <sheetName val="(6)_SALES_to_DAIKIN"/>
      <sheetName val="(7)_PURCHASE_from_DAIKIN"/>
      <sheetName val="(8)_Credits_to_OYL"/>
      <sheetName val="(9)_DEBTS_FROM_OYL"/>
      <sheetName val="(10)_SALES_to_OYL"/>
      <sheetName val="(11)_PURCHASE_FROM_OYL"/>
      <sheetName val="(12)_ROYALTIES_FROM_OYL"/>
      <sheetName val="(13)_ROYALTIES_TO_OYL"/>
      <sheetName val="(14)_NON_OP_INCOME"/>
      <sheetName val="(15)_NON_OP_EXPENSE"/>
      <sheetName val="(16)_Sales_by_Countries"/>
      <sheetName val="(17)_SGA"/>
      <sheetName val="(18)_CASH_EQUIVALENT"/>
      <sheetName val="(19)_TANGIBLE_ASSETS"/>
      <sheetName val="(20)_LONG_TERM_RECEIVABLE"/>
      <sheetName val="(21)_ALLOWANCE_FOR_BAD_DEBT"/>
      <sheetName val="(22)_WARRANTY"/>
      <sheetName val="(23)_OTHER_CURRENT_ASSETS"/>
      <sheetName val="(24)_PREPAID_EXPENSES"/>
      <sheetName val="(25)_OTHER_LONG_TERM_ASSETS"/>
      <sheetName val="(26)_OTHER_ACCRUED_EXPENSES"/>
      <sheetName val="(27)_OTHER_LONGTERM_LIABILITIES"/>
      <sheetName val="(28)_COLLATERAL"/>
      <sheetName val="(29)_GUARANTEES"/>
      <sheetName val="(30)_EMPLOYEE"/>
      <sheetName val="(31)_DAIKIN_GROUP"/>
      <sheetName val="(32)_OYL_GROUP"/>
      <sheetName val="SALES_to_OYL1"/>
      <sheetName val="PURCHASE_from_OYL1"/>
      <sheetName val="(1)_BS11"/>
      <sheetName val="(2)_BS21"/>
      <sheetName val="(3)_PL1"/>
      <sheetName val="(4)_CREDITS_to_DAIKIN_1"/>
      <sheetName val="(5)_DEBTS_FROM_DAIKIN1"/>
      <sheetName val="(6)_SALES_to_DAIKIN1"/>
      <sheetName val="(7)_PURCHASE_from_DAIKIN1"/>
      <sheetName val="(8)_Credits_to_OYL1"/>
      <sheetName val="(9)_DEBTS_FROM_OYL1"/>
      <sheetName val="(10)_SALES_to_OYL1"/>
      <sheetName val="(11)_PURCHASE_FROM_OYL1"/>
      <sheetName val="(12)_ROYALTIES_FROM_OYL1"/>
      <sheetName val="(13)_ROYALTIES_TO_OYL1"/>
      <sheetName val="(14)_NON_OP_INCOME1"/>
      <sheetName val="(15)_NON_OP_EXPENSE1"/>
      <sheetName val="(16)_Sales_by_Countries1"/>
      <sheetName val="(17)_SGA1"/>
      <sheetName val="(18)_CASH_EQUIVALENT1"/>
      <sheetName val="(19)_TANGIBLE_ASSETS1"/>
      <sheetName val="(20)_LONG_TERM_RECEIVABLE1"/>
      <sheetName val="(21)_ALLOWANCE_FOR_BAD_DEBT1"/>
      <sheetName val="(22)_WARRANTY1"/>
      <sheetName val="(23)_OTHER_CURRENT_ASSETS1"/>
      <sheetName val="(24)_PREPAID_EXPENSES1"/>
      <sheetName val="(25)_OTHER_LONG_TERM_ASSETS1"/>
      <sheetName val="(26)_OTHER_ACCRUED_EXPENSES1"/>
      <sheetName val="(27)_OTHER_LONGTERM_LIABILITIE1"/>
      <sheetName val="(28)_COLLATERAL1"/>
      <sheetName val="(29)_GUARANTEES1"/>
      <sheetName val="(30)_EMPLOYEE1"/>
      <sheetName val="(31)_DAIKIN_GROUP1"/>
      <sheetName val="(32)_OYL_GROUP1"/>
      <sheetName val="SALES_to_OYL2"/>
      <sheetName val="PURCHASE_from_OYL2"/>
      <sheetName val="(1)_BS12"/>
      <sheetName val="(2)_BS22"/>
      <sheetName val="(3)_PL2"/>
      <sheetName val="(4)_CREDITS_to_DAIKIN_2"/>
      <sheetName val="(5)_DEBTS_FROM_DAIKIN2"/>
      <sheetName val="(6)_SALES_to_DAIKIN2"/>
      <sheetName val="(7)_PURCHASE_from_DAIKIN2"/>
      <sheetName val="(8)_Credits_to_OYL2"/>
      <sheetName val="(9)_DEBTS_FROM_OYL2"/>
      <sheetName val="(10)_SALES_to_OYL2"/>
      <sheetName val="(11)_PURCHASE_FROM_OYL2"/>
      <sheetName val="(12)_ROYALTIES_FROM_OYL2"/>
      <sheetName val="(13)_ROYALTIES_TO_OYL2"/>
      <sheetName val="(14)_NON_OP_INCOME2"/>
      <sheetName val="(15)_NON_OP_EXPENSE2"/>
      <sheetName val="(16)_Sales_by_Countries2"/>
      <sheetName val="(17)_SGA2"/>
      <sheetName val="(18)_CASH_EQUIVALENT2"/>
      <sheetName val="(19)_TANGIBLE_ASSETS2"/>
      <sheetName val="(20)_LONG_TERM_RECEIVABLE2"/>
      <sheetName val="(21)_ALLOWANCE_FOR_BAD_DEBT2"/>
      <sheetName val="(22)_WARRANTY2"/>
      <sheetName val="(23)_OTHER_CURRENT_ASSETS2"/>
      <sheetName val="(24)_PREPAID_EXPENSES2"/>
      <sheetName val="(25)_OTHER_LONG_TERM_ASSETS2"/>
      <sheetName val="(26)_OTHER_ACCRUED_EXPENSES2"/>
      <sheetName val="(27)_OTHER_LONGTERM_LIABILITIE2"/>
      <sheetName val="(28)_COLLATERAL2"/>
      <sheetName val="(29)_GUARANTEES2"/>
      <sheetName val="(30)_EMPLOYEE2"/>
      <sheetName val="(31)_DAIKIN_GROUP2"/>
      <sheetName val="(32)_OYL_GROUP2"/>
      <sheetName val="SALES_to_OYL3"/>
      <sheetName val="PURCHASE_from_OYL3"/>
      <sheetName val="(1)_BS13"/>
      <sheetName val="(2)_BS23"/>
      <sheetName val="(3)_PL3"/>
      <sheetName val="(4)_CREDITS_to_DAIKIN_3"/>
      <sheetName val="(5)_DEBTS_FROM_DAIKIN3"/>
      <sheetName val="(6)_SALES_to_DAIKIN3"/>
      <sheetName val="(7)_PURCHASE_from_DAIKIN3"/>
      <sheetName val="(8)_Credits_to_OYL3"/>
      <sheetName val="(9)_DEBTS_FROM_OYL3"/>
      <sheetName val="(10)_SALES_to_OYL3"/>
      <sheetName val="(11)_PURCHASE_FROM_OYL3"/>
      <sheetName val="(12)_ROYALTIES_FROM_OYL3"/>
      <sheetName val="(13)_ROYALTIES_TO_OYL3"/>
      <sheetName val="(14)_NON_OP_INCOME3"/>
      <sheetName val="(15)_NON_OP_EXPENSE3"/>
      <sheetName val="(16)_Sales_by_Countries3"/>
      <sheetName val="(17)_SGA3"/>
      <sheetName val="(18)_CASH_EQUIVALENT3"/>
      <sheetName val="(19)_TANGIBLE_ASSETS3"/>
      <sheetName val="(20)_LONG_TERM_RECEIVABLE3"/>
      <sheetName val="(21)_ALLOWANCE_FOR_BAD_DEBT3"/>
      <sheetName val="(22)_WARRANTY3"/>
      <sheetName val="(23)_OTHER_CURRENT_ASSETS3"/>
      <sheetName val="(24)_PREPAID_EXPENSES3"/>
      <sheetName val="(25)_OTHER_LONG_TERM_ASSETS3"/>
      <sheetName val="(26)_OTHER_ACCRUED_EXPENSES3"/>
      <sheetName val="(27)_OTHER_LONGTERM_LIABILITIE3"/>
      <sheetName val="(28)_COLLATERAL3"/>
      <sheetName val="(29)_GUARANTEES3"/>
      <sheetName val="(30)_EMPLOYEE3"/>
      <sheetName val="(31)_DAIKIN_GROUP3"/>
      <sheetName val="(32)_OYL_GROUP3"/>
      <sheetName val="SALES_to_OYL4"/>
      <sheetName val="PURCHASE_from_OYL4"/>
      <sheetName val="(1)_BS14"/>
      <sheetName val="(2)_BS24"/>
      <sheetName val="(3)_PL4"/>
      <sheetName val="(4)_CREDITS_to_DAIKIN_4"/>
      <sheetName val="(5)_DEBTS_FROM_DAIKIN4"/>
      <sheetName val="(6)_SALES_to_DAIKIN4"/>
      <sheetName val="(7)_PURCHASE_from_DAIKIN4"/>
      <sheetName val="(8)_Credits_to_OYL4"/>
      <sheetName val="(9)_DEBTS_FROM_OYL4"/>
      <sheetName val="(10)_SALES_to_OYL4"/>
      <sheetName val="(11)_PURCHASE_FROM_OYL4"/>
      <sheetName val="(12)_ROYALTIES_FROM_OYL4"/>
      <sheetName val="(13)_ROYALTIES_TO_OYL4"/>
      <sheetName val="(14)_NON_OP_INCOME4"/>
      <sheetName val="(15)_NON_OP_EXPENSE4"/>
      <sheetName val="(16)_Sales_by_Countries4"/>
      <sheetName val="(17)_SGA4"/>
      <sheetName val="(18)_CASH_EQUIVALENT4"/>
      <sheetName val="(19)_TANGIBLE_ASSETS4"/>
      <sheetName val="(20)_LONG_TERM_RECEIVABLE4"/>
      <sheetName val="(21)_ALLOWANCE_FOR_BAD_DEBT4"/>
      <sheetName val="(22)_WARRANTY4"/>
      <sheetName val="(23)_OTHER_CURRENT_ASSETS4"/>
      <sheetName val="(24)_PREPAID_EXPENSES4"/>
      <sheetName val="(25)_OTHER_LONG_TERM_ASSETS4"/>
      <sheetName val="(26)_OTHER_ACCRUED_EXPENSES4"/>
      <sheetName val="(27)_OTHER_LONGTERM_LIABILITIE4"/>
      <sheetName val="(28)_COLLATERAL4"/>
      <sheetName val="(29)_GUARANTEES4"/>
      <sheetName val="(30)_EMPLOYEE4"/>
      <sheetName val="(31)_DAIKIN_GROUP4"/>
      <sheetName val="(32)_OYL_GROUP4"/>
      <sheetName val="SALES_to_OYL5"/>
      <sheetName val="PURCHASE_from_OYL5"/>
      <sheetName val="(1)_BS15"/>
      <sheetName val="(2)_BS25"/>
      <sheetName val="(3)_PL5"/>
      <sheetName val="(4)_CREDITS_to_DAIKIN_5"/>
      <sheetName val="(5)_DEBTS_FROM_DAIKIN5"/>
      <sheetName val="(6)_SALES_to_DAIKIN5"/>
      <sheetName val="(7)_PURCHASE_from_DAIKIN5"/>
      <sheetName val="(8)_Credits_to_OYL5"/>
      <sheetName val="(9)_DEBTS_FROM_OYL5"/>
      <sheetName val="(10)_SALES_to_OYL5"/>
      <sheetName val="(11)_PURCHASE_FROM_OYL5"/>
      <sheetName val="(12)_ROYALTIES_FROM_OYL5"/>
      <sheetName val="(13)_ROYALTIES_TO_OYL5"/>
      <sheetName val="(14)_NON_OP_INCOME5"/>
      <sheetName val="(15)_NON_OP_EXPENSE5"/>
      <sheetName val="(16)_Sales_by_Countries5"/>
      <sheetName val="(17)_SGA5"/>
      <sheetName val="(18)_CASH_EQUIVALENT5"/>
      <sheetName val="(19)_TANGIBLE_ASSETS5"/>
      <sheetName val="(20)_LONG_TERM_RECEIVABLE5"/>
      <sheetName val="(21)_ALLOWANCE_FOR_BAD_DEBT5"/>
      <sheetName val="(22)_WARRANTY5"/>
      <sheetName val="(23)_OTHER_CURRENT_ASSETS5"/>
      <sheetName val="(24)_PREPAID_EXPENSES5"/>
      <sheetName val="(25)_OTHER_LONG_TERM_ASSETS5"/>
      <sheetName val="(26)_OTHER_ACCRUED_EXPENSES5"/>
      <sheetName val="(27)_OTHER_LONGTERM_LIABILITIE5"/>
      <sheetName val="(28)_COLLATERAL5"/>
      <sheetName val="(29)_GUARANTEES5"/>
      <sheetName val="(30)_EMPLOYEE5"/>
      <sheetName val="(31)_DAIKIN_GROUP5"/>
      <sheetName val="(32)_OYL_GROUP5"/>
      <sheetName val="SALES_to_OYL6"/>
      <sheetName val="PURCHASE_from_OYL6"/>
      <sheetName val="(1)_BS16"/>
      <sheetName val="(2)_BS26"/>
      <sheetName val="(3)_PL6"/>
      <sheetName val="(4)_CREDITS_to_DAIKIN_6"/>
      <sheetName val="(5)_DEBTS_FROM_DAIKIN6"/>
      <sheetName val="(6)_SALES_to_DAIKIN6"/>
      <sheetName val="(7)_PURCHASE_from_DAIKIN6"/>
      <sheetName val="(8)_Credits_to_OYL6"/>
      <sheetName val="(9)_DEBTS_FROM_OYL6"/>
      <sheetName val="(10)_SALES_to_OYL6"/>
      <sheetName val="(11)_PURCHASE_FROM_OYL6"/>
      <sheetName val="(12)_ROYALTIES_FROM_OYL6"/>
      <sheetName val="(13)_ROYALTIES_TO_OYL6"/>
      <sheetName val="(14)_NON_OP_INCOME6"/>
      <sheetName val="(15)_NON_OP_EXPENSE6"/>
      <sheetName val="(16)_Sales_by_Countries6"/>
      <sheetName val="(17)_SGA6"/>
      <sheetName val="(18)_CASH_EQUIVALENT6"/>
      <sheetName val="(19)_TANGIBLE_ASSETS6"/>
      <sheetName val="(20)_LONG_TERM_RECEIVABLE6"/>
      <sheetName val="(21)_ALLOWANCE_FOR_BAD_DEBT6"/>
      <sheetName val="(22)_WARRANTY6"/>
      <sheetName val="(23)_OTHER_CURRENT_ASSETS6"/>
      <sheetName val="(24)_PREPAID_EXPENSES6"/>
      <sheetName val="(25)_OTHER_LONG_TERM_ASSETS6"/>
      <sheetName val="(26)_OTHER_ACCRUED_EXPENSES6"/>
      <sheetName val="(27)_OTHER_LONGTERM_LIABILITIE6"/>
      <sheetName val="(28)_COLLATERAL6"/>
      <sheetName val="(29)_GUARANTEES6"/>
      <sheetName val="(30)_EMPLOYEE6"/>
      <sheetName val="(31)_DAIKIN_GROUP6"/>
      <sheetName val="(32)_OYL_GROUP6"/>
      <sheetName val="SALES_to_OYL7"/>
      <sheetName val="PURCHASE_from_OYL7"/>
      <sheetName val="(1)_BS17"/>
      <sheetName val="(2)_BS27"/>
      <sheetName val="(3)_PL7"/>
      <sheetName val="(4)_CREDITS_to_DAIKIN_7"/>
      <sheetName val="(5)_DEBTS_FROM_DAIKIN7"/>
      <sheetName val="(6)_SALES_to_DAIKIN7"/>
      <sheetName val="(7)_PURCHASE_from_DAIKIN7"/>
      <sheetName val="(8)_Credits_to_OYL7"/>
      <sheetName val="(9)_DEBTS_FROM_OYL7"/>
      <sheetName val="(10)_SALES_to_OYL7"/>
      <sheetName val="(11)_PURCHASE_FROM_OYL7"/>
      <sheetName val="(12)_ROYALTIES_FROM_OYL7"/>
      <sheetName val="(13)_ROYALTIES_TO_OYL7"/>
      <sheetName val="(14)_NON_OP_INCOME7"/>
      <sheetName val="(15)_NON_OP_EXPENSE7"/>
      <sheetName val="(16)_Sales_by_Countries7"/>
      <sheetName val="(17)_SGA7"/>
      <sheetName val="(18)_CASH_EQUIVALENT7"/>
      <sheetName val="(19)_TANGIBLE_ASSETS7"/>
      <sheetName val="(20)_LONG_TERM_RECEIVABLE7"/>
      <sheetName val="(21)_ALLOWANCE_FOR_BAD_DEBT7"/>
      <sheetName val="(22)_WARRANTY7"/>
      <sheetName val="(23)_OTHER_CURRENT_ASSETS7"/>
      <sheetName val="(24)_PREPAID_EXPENSES7"/>
      <sheetName val="(25)_OTHER_LONG_TERM_ASSETS7"/>
      <sheetName val="(26)_OTHER_ACCRUED_EXPENSES7"/>
      <sheetName val="(27)_OTHER_LONGTERM_LIABILITIE7"/>
      <sheetName val="(28)_COLLATERAL7"/>
      <sheetName val="(29)_GUARANTEES7"/>
      <sheetName val="(30)_EMPLOYEE7"/>
      <sheetName val="(31)_DAIKIN_GROUP7"/>
      <sheetName val="(32)_OYL_GROUP7"/>
      <sheetName val="SALES_to_OYL8"/>
      <sheetName val="PURCHASE_from_OYL8"/>
      <sheetName val="(1)_BS18"/>
      <sheetName val="(2)_BS28"/>
      <sheetName val="(3)_PL8"/>
      <sheetName val="(4)_CREDITS_to_DAIKIN_8"/>
      <sheetName val="(5)_DEBTS_FROM_DAIKIN8"/>
      <sheetName val="(6)_SALES_to_DAIKIN8"/>
      <sheetName val="(7)_PURCHASE_from_DAIKIN8"/>
      <sheetName val="(8)_Credits_to_OYL8"/>
      <sheetName val="(9)_DEBTS_FROM_OYL8"/>
      <sheetName val="(10)_SALES_to_OYL8"/>
      <sheetName val="(11)_PURCHASE_FROM_OYL8"/>
      <sheetName val="(12)_ROYALTIES_FROM_OYL8"/>
      <sheetName val="(13)_ROYALTIES_TO_OYL8"/>
      <sheetName val="(14)_NON_OP_INCOME8"/>
      <sheetName val="(15)_NON_OP_EXPENSE8"/>
      <sheetName val="(16)_Sales_by_Countries8"/>
      <sheetName val="(17)_SGA8"/>
      <sheetName val="(18)_CASH_EQUIVALENT8"/>
      <sheetName val="(19)_TANGIBLE_ASSETS8"/>
      <sheetName val="(20)_LONG_TERM_RECEIVABLE8"/>
      <sheetName val="(21)_ALLOWANCE_FOR_BAD_DEBT8"/>
      <sheetName val="(22)_WARRANTY8"/>
      <sheetName val="(23)_OTHER_CURRENT_ASSETS8"/>
      <sheetName val="(24)_PREPAID_EXPENSES8"/>
      <sheetName val="(25)_OTHER_LONG_TERM_ASSETS8"/>
      <sheetName val="(26)_OTHER_ACCRUED_EXPENSES8"/>
      <sheetName val="(27)_OTHER_LONGTERM_LIABILITIE8"/>
      <sheetName val="(28)_COLLATERAL8"/>
      <sheetName val="(29)_GUARANTEES8"/>
      <sheetName val="(30)_EMPLOYEE8"/>
      <sheetName val="(31)_DAIKIN_GROUP8"/>
      <sheetName val="(32)_OYL_GROUP8"/>
      <sheetName val="SALES_to_OYL16"/>
      <sheetName val="PURCHASE_from_OYL16"/>
      <sheetName val="(1)_BS116"/>
      <sheetName val="(2)_BS216"/>
      <sheetName val="(3)_PL16"/>
      <sheetName val="(4)_CREDITS_to_DAIKIN_16"/>
      <sheetName val="(5)_DEBTS_FROM_DAIKIN16"/>
      <sheetName val="(6)_SALES_to_DAIKIN16"/>
      <sheetName val="(7)_PURCHASE_from_DAIKIN16"/>
      <sheetName val="(8)_Credits_to_OYL16"/>
      <sheetName val="(9)_DEBTS_FROM_OYL16"/>
      <sheetName val="(10)_SALES_to_OYL16"/>
      <sheetName val="(11)_PURCHASE_FROM_OYL16"/>
      <sheetName val="(12)_ROYALTIES_FROM_OYL16"/>
      <sheetName val="(13)_ROYALTIES_TO_OYL16"/>
      <sheetName val="(14)_NON_OP_INCOME16"/>
      <sheetName val="(15)_NON_OP_EXPENSE16"/>
      <sheetName val="(16)_Sales_by_Countries16"/>
      <sheetName val="(17)_SGA16"/>
      <sheetName val="(18)_CASH_EQUIVALENT16"/>
      <sheetName val="(19)_TANGIBLE_ASSETS16"/>
      <sheetName val="(20)_LONG_TERM_RECEIVABLE16"/>
      <sheetName val="(21)_ALLOWANCE_FOR_BAD_DEBT16"/>
      <sheetName val="(22)_WARRANTY16"/>
      <sheetName val="(23)_OTHER_CURRENT_ASSETS16"/>
      <sheetName val="(24)_PREPAID_EXPENSES16"/>
      <sheetName val="(25)_OTHER_LONG_TERM_ASSETS16"/>
      <sheetName val="(26)_OTHER_ACCRUED_EXPENSES16"/>
      <sheetName val="(27)_OTHER_LONGTERM_LIABILITI16"/>
      <sheetName val="(28)_COLLATERAL16"/>
      <sheetName val="(29)_GUARANTEES16"/>
      <sheetName val="(30)_EMPLOYEE16"/>
      <sheetName val="(31)_DAIKIN_GROUP16"/>
      <sheetName val="(32)_OYL_GROUP16"/>
      <sheetName val="SALES_to_OYL10"/>
      <sheetName val="PURCHASE_from_OYL10"/>
      <sheetName val="(1)_BS110"/>
      <sheetName val="(2)_BS210"/>
      <sheetName val="(3)_PL10"/>
      <sheetName val="(4)_CREDITS_to_DAIKIN_10"/>
      <sheetName val="(5)_DEBTS_FROM_DAIKIN10"/>
      <sheetName val="(6)_SALES_to_DAIKIN10"/>
      <sheetName val="(7)_PURCHASE_from_DAIKIN10"/>
      <sheetName val="(8)_Credits_to_OYL10"/>
      <sheetName val="(9)_DEBTS_FROM_OYL10"/>
      <sheetName val="(10)_SALES_to_OYL10"/>
      <sheetName val="(11)_PURCHASE_FROM_OYL10"/>
      <sheetName val="(12)_ROYALTIES_FROM_OYL10"/>
      <sheetName val="(13)_ROYALTIES_TO_OYL10"/>
      <sheetName val="(14)_NON_OP_INCOME10"/>
      <sheetName val="(15)_NON_OP_EXPENSE10"/>
      <sheetName val="(16)_Sales_by_Countries10"/>
      <sheetName val="(17)_SGA10"/>
      <sheetName val="(18)_CASH_EQUIVALENT10"/>
      <sheetName val="(19)_TANGIBLE_ASSETS10"/>
      <sheetName val="(20)_LONG_TERM_RECEIVABLE10"/>
      <sheetName val="(21)_ALLOWANCE_FOR_BAD_DEBT10"/>
      <sheetName val="(22)_WARRANTY10"/>
      <sheetName val="(23)_OTHER_CURRENT_ASSETS10"/>
      <sheetName val="(24)_PREPAID_EXPENSES10"/>
      <sheetName val="(25)_OTHER_LONG_TERM_ASSETS10"/>
      <sheetName val="(26)_OTHER_ACCRUED_EXPENSES10"/>
      <sheetName val="(27)_OTHER_LONGTERM_LIABILITI10"/>
      <sheetName val="(28)_COLLATERAL10"/>
      <sheetName val="(29)_GUARANTEES10"/>
      <sheetName val="(30)_EMPLOYEE10"/>
      <sheetName val="(31)_DAIKIN_GROUP10"/>
      <sheetName val="(32)_OYL_GROUP10"/>
      <sheetName val="SALES_to_OYL9"/>
      <sheetName val="PURCHASE_from_OYL9"/>
      <sheetName val="(1)_BS19"/>
      <sheetName val="(2)_BS29"/>
      <sheetName val="(3)_PL9"/>
      <sheetName val="(4)_CREDITS_to_DAIKIN_9"/>
      <sheetName val="(5)_DEBTS_FROM_DAIKIN9"/>
      <sheetName val="(6)_SALES_to_DAIKIN9"/>
      <sheetName val="(7)_PURCHASE_from_DAIKIN9"/>
      <sheetName val="(8)_Credits_to_OYL9"/>
      <sheetName val="(9)_DEBTS_FROM_OYL9"/>
      <sheetName val="(10)_SALES_to_OYL9"/>
      <sheetName val="(11)_PURCHASE_FROM_OYL9"/>
      <sheetName val="(12)_ROYALTIES_FROM_OYL9"/>
      <sheetName val="(13)_ROYALTIES_TO_OYL9"/>
      <sheetName val="(14)_NON_OP_INCOME9"/>
      <sheetName val="(15)_NON_OP_EXPENSE9"/>
      <sheetName val="(16)_Sales_by_Countries9"/>
      <sheetName val="(17)_SGA9"/>
      <sheetName val="(18)_CASH_EQUIVALENT9"/>
      <sheetName val="(19)_TANGIBLE_ASSETS9"/>
      <sheetName val="(20)_LONG_TERM_RECEIVABLE9"/>
      <sheetName val="(21)_ALLOWANCE_FOR_BAD_DEBT9"/>
      <sheetName val="(22)_WARRANTY9"/>
      <sheetName val="(23)_OTHER_CURRENT_ASSETS9"/>
      <sheetName val="(24)_PREPAID_EXPENSES9"/>
      <sheetName val="(25)_OTHER_LONG_TERM_ASSETS9"/>
      <sheetName val="(26)_OTHER_ACCRUED_EXPENSES9"/>
      <sheetName val="(27)_OTHER_LONGTERM_LIABILITIE9"/>
      <sheetName val="(28)_COLLATERAL9"/>
      <sheetName val="(29)_GUARANTEES9"/>
      <sheetName val="(30)_EMPLOYEE9"/>
      <sheetName val="(31)_DAIKIN_GROUP9"/>
      <sheetName val="(32)_OYL_GROUP9"/>
      <sheetName val="SALES_to_OYL11"/>
      <sheetName val="PURCHASE_from_OYL11"/>
      <sheetName val="(1)_BS111"/>
      <sheetName val="(2)_BS211"/>
      <sheetName val="(3)_PL11"/>
      <sheetName val="(4)_CREDITS_to_DAIKIN_11"/>
      <sheetName val="(5)_DEBTS_FROM_DAIKIN11"/>
      <sheetName val="(6)_SALES_to_DAIKIN11"/>
      <sheetName val="(7)_PURCHASE_from_DAIKIN11"/>
      <sheetName val="(8)_Credits_to_OYL11"/>
      <sheetName val="(9)_DEBTS_FROM_OYL11"/>
      <sheetName val="(10)_SALES_to_OYL11"/>
      <sheetName val="(11)_PURCHASE_FROM_OYL11"/>
      <sheetName val="(12)_ROYALTIES_FROM_OYL11"/>
      <sheetName val="(13)_ROYALTIES_TO_OYL11"/>
      <sheetName val="(14)_NON_OP_INCOME11"/>
      <sheetName val="(15)_NON_OP_EXPENSE11"/>
      <sheetName val="(16)_Sales_by_Countries11"/>
      <sheetName val="(17)_SGA11"/>
      <sheetName val="(18)_CASH_EQUIVALENT11"/>
      <sheetName val="(19)_TANGIBLE_ASSETS11"/>
      <sheetName val="(20)_LONG_TERM_RECEIVABLE11"/>
      <sheetName val="(21)_ALLOWANCE_FOR_BAD_DEBT11"/>
      <sheetName val="(22)_WARRANTY11"/>
      <sheetName val="(23)_OTHER_CURRENT_ASSETS11"/>
      <sheetName val="(24)_PREPAID_EXPENSES11"/>
      <sheetName val="(25)_OTHER_LONG_TERM_ASSETS11"/>
      <sheetName val="(26)_OTHER_ACCRUED_EXPENSES11"/>
      <sheetName val="(27)_OTHER_LONGTERM_LIABILITI11"/>
      <sheetName val="(28)_COLLATERAL11"/>
      <sheetName val="(29)_GUARANTEES11"/>
      <sheetName val="(30)_EMPLOYEE11"/>
      <sheetName val="(31)_DAIKIN_GROUP11"/>
      <sheetName val="(32)_OYL_GROUP11"/>
      <sheetName val="SALES_to_OYL12"/>
      <sheetName val="PURCHASE_from_OYL12"/>
      <sheetName val="(1)_BS112"/>
      <sheetName val="(2)_BS212"/>
      <sheetName val="(3)_PL12"/>
      <sheetName val="(4)_CREDITS_to_DAIKIN_12"/>
      <sheetName val="(5)_DEBTS_FROM_DAIKIN12"/>
      <sheetName val="(6)_SALES_to_DAIKIN12"/>
      <sheetName val="(7)_PURCHASE_from_DAIKIN12"/>
      <sheetName val="(8)_Credits_to_OYL12"/>
      <sheetName val="(9)_DEBTS_FROM_OYL12"/>
      <sheetName val="(10)_SALES_to_OYL12"/>
      <sheetName val="(11)_PURCHASE_FROM_OYL12"/>
      <sheetName val="(12)_ROYALTIES_FROM_OYL12"/>
      <sheetName val="(13)_ROYALTIES_TO_OYL12"/>
      <sheetName val="(14)_NON_OP_INCOME12"/>
      <sheetName val="(15)_NON_OP_EXPENSE12"/>
      <sheetName val="(16)_Sales_by_Countries12"/>
      <sheetName val="(17)_SGA12"/>
      <sheetName val="(18)_CASH_EQUIVALENT12"/>
      <sheetName val="(19)_TANGIBLE_ASSETS12"/>
      <sheetName val="(20)_LONG_TERM_RECEIVABLE12"/>
      <sheetName val="(21)_ALLOWANCE_FOR_BAD_DEBT12"/>
      <sheetName val="(22)_WARRANTY12"/>
      <sheetName val="(23)_OTHER_CURRENT_ASSETS12"/>
      <sheetName val="(24)_PREPAID_EXPENSES12"/>
      <sheetName val="(25)_OTHER_LONG_TERM_ASSETS12"/>
      <sheetName val="(26)_OTHER_ACCRUED_EXPENSES12"/>
      <sheetName val="(27)_OTHER_LONGTERM_LIABILITI12"/>
      <sheetName val="(28)_COLLATERAL12"/>
      <sheetName val="(29)_GUARANTEES12"/>
      <sheetName val="(30)_EMPLOYEE12"/>
      <sheetName val="(31)_DAIKIN_GROUP12"/>
      <sheetName val="(32)_OYL_GROUP12"/>
      <sheetName val="SALES_to_OYL15"/>
      <sheetName val="PURCHASE_from_OYL15"/>
      <sheetName val="(1)_BS115"/>
      <sheetName val="(2)_BS215"/>
      <sheetName val="(3)_PL15"/>
      <sheetName val="(4)_CREDITS_to_DAIKIN_15"/>
      <sheetName val="(5)_DEBTS_FROM_DAIKIN15"/>
      <sheetName val="(6)_SALES_to_DAIKIN15"/>
      <sheetName val="(7)_PURCHASE_from_DAIKIN15"/>
      <sheetName val="(8)_Credits_to_OYL15"/>
      <sheetName val="(9)_DEBTS_FROM_OYL15"/>
      <sheetName val="(10)_SALES_to_OYL15"/>
      <sheetName val="(11)_PURCHASE_FROM_OYL15"/>
      <sheetName val="(12)_ROYALTIES_FROM_OYL15"/>
      <sheetName val="(13)_ROYALTIES_TO_OYL15"/>
      <sheetName val="(14)_NON_OP_INCOME15"/>
      <sheetName val="(15)_NON_OP_EXPENSE15"/>
      <sheetName val="(16)_Sales_by_Countries15"/>
      <sheetName val="(17)_SGA15"/>
      <sheetName val="(18)_CASH_EQUIVALENT15"/>
      <sheetName val="(19)_TANGIBLE_ASSETS15"/>
      <sheetName val="(20)_LONG_TERM_RECEIVABLE15"/>
      <sheetName val="(21)_ALLOWANCE_FOR_BAD_DEBT15"/>
      <sheetName val="(22)_WARRANTY15"/>
      <sheetName val="(23)_OTHER_CURRENT_ASSETS15"/>
      <sheetName val="(24)_PREPAID_EXPENSES15"/>
      <sheetName val="(25)_OTHER_LONG_TERM_ASSETS15"/>
      <sheetName val="(26)_OTHER_ACCRUED_EXPENSES15"/>
      <sheetName val="(27)_OTHER_LONGTERM_LIABILITI15"/>
      <sheetName val="(28)_COLLATERAL15"/>
      <sheetName val="(29)_GUARANTEES15"/>
      <sheetName val="(30)_EMPLOYEE15"/>
      <sheetName val="(31)_DAIKIN_GROUP15"/>
      <sheetName val="(32)_OYL_GROUP15"/>
      <sheetName val="SALES_to_OYL13"/>
      <sheetName val="PURCHASE_from_OYL13"/>
      <sheetName val="(1)_BS113"/>
      <sheetName val="(2)_BS213"/>
      <sheetName val="(3)_PL13"/>
      <sheetName val="(4)_CREDITS_to_DAIKIN_13"/>
      <sheetName val="(5)_DEBTS_FROM_DAIKIN13"/>
      <sheetName val="(6)_SALES_to_DAIKIN13"/>
      <sheetName val="(7)_PURCHASE_from_DAIKIN13"/>
      <sheetName val="(8)_Credits_to_OYL13"/>
      <sheetName val="(9)_DEBTS_FROM_OYL13"/>
      <sheetName val="(10)_SALES_to_OYL13"/>
      <sheetName val="(11)_PURCHASE_FROM_OYL13"/>
      <sheetName val="(12)_ROYALTIES_FROM_OYL13"/>
      <sheetName val="(13)_ROYALTIES_TO_OYL13"/>
      <sheetName val="(14)_NON_OP_INCOME13"/>
      <sheetName val="(15)_NON_OP_EXPENSE13"/>
      <sheetName val="(16)_Sales_by_Countries13"/>
      <sheetName val="(17)_SGA13"/>
      <sheetName val="(18)_CASH_EQUIVALENT13"/>
      <sheetName val="(19)_TANGIBLE_ASSETS13"/>
      <sheetName val="(20)_LONG_TERM_RECEIVABLE13"/>
      <sheetName val="(21)_ALLOWANCE_FOR_BAD_DEBT13"/>
      <sheetName val="(22)_WARRANTY13"/>
      <sheetName val="(23)_OTHER_CURRENT_ASSETS13"/>
      <sheetName val="(24)_PREPAID_EXPENSES13"/>
      <sheetName val="(25)_OTHER_LONG_TERM_ASSETS13"/>
      <sheetName val="(26)_OTHER_ACCRUED_EXPENSES13"/>
      <sheetName val="(27)_OTHER_LONGTERM_LIABILITI13"/>
      <sheetName val="(28)_COLLATERAL13"/>
      <sheetName val="(29)_GUARANTEES13"/>
      <sheetName val="(30)_EMPLOYEE13"/>
      <sheetName val="(31)_DAIKIN_GROUP13"/>
      <sheetName val="(32)_OYL_GROUP13"/>
      <sheetName val="SALES_to_OYL14"/>
      <sheetName val="PURCHASE_from_OYL14"/>
      <sheetName val="(1)_BS114"/>
      <sheetName val="(2)_BS214"/>
      <sheetName val="(3)_PL14"/>
      <sheetName val="(4)_CREDITS_to_DAIKIN_14"/>
      <sheetName val="(5)_DEBTS_FROM_DAIKIN14"/>
      <sheetName val="(6)_SALES_to_DAIKIN14"/>
      <sheetName val="(7)_PURCHASE_from_DAIKIN14"/>
      <sheetName val="(8)_Credits_to_OYL14"/>
      <sheetName val="(9)_DEBTS_FROM_OYL14"/>
      <sheetName val="(10)_SALES_to_OYL14"/>
      <sheetName val="(11)_PURCHASE_FROM_OYL14"/>
      <sheetName val="(12)_ROYALTIES_FROM_OYL14"/>
      <sheetName val="(13)_ROYALTIES_TO_OYL14"/>
      <sheetName val="(14)_NON_OP_INCOME14"/>
      <sheetName val="(15)_NON_OP_EXPENSE14"/>
      <sheetName val="(16)_Sales_by_Countries14"/>
      <sheetName val="(17)_SGA14"/>
      <sheetName val="(18)_CASH_EQUIVALENT14"/>
      <sheetName val="(19)_TANGIBLE_ASSETS14"/>
      <sheetName val="(20)_LONG_TERM_RECEIVABLE14"/>
      <sheetName val="(21)_ALLOWANCE_FOR_BAD_DEBT14"/>
      <sheetName val="(22)_WARRANTY14"/>
      <sheetName val="(23)_OTHER_CURRENT_ASSETS14"/>
      <sheetName val="(24)_PREPAID_EXPENSES14"/>
      <sheetName val="(25)_OTHER_LONG_TERM_ASSETS14"/>
      <sheetName val="(26)_OTHER_ACCRUED_EXPENSES14"/>
      <sheetName val="(27)_OTHER_LONGTERM_LIABILITI14"/>
      <sheetName val="(28)_COLLATERAL14"/>
      <sheetName val="(29)_GUARANTEES14"/>
      <sheetName val="(30)_EMPLOYEE14"/>
      <sheetName val="(31)_DAIKIN_GROUP14"/>
      <sheetName val="(32)_OYL_GROUP14"/>
      <sheetName val="SALES_to_OYL17"/>
      <sheetName val="PURCHASE_from_OYL17"/>
      <sheetName val="(1)_BS117"/>
      <sheetName val="(2)_BS217"/>
      <sheetName val="(3)_PL17"/>
      <sheetName val="(4)_CREDITS_to_DAIKIN_17"/>
      <sheetName val="(5)_DEBTS_FROM_DAIKIN17"/>
      <sheetName val="(6)_SALES_to_DAIKIN17"/>
      <sheetName val="(7)_PURCHASE_from_DAIKIN17"/>
      <sheetName val="(8)_Credits_to_OYL17"/>
      <sheetName val="(9)_DEBTS_FROM_OYL17"/>
      <sheetName val="(10)_SALES_to_OYL17"/>
      <sheetName val="(11)_PURCHASE_FROM_OYL17"/>
      <sheetName val="(12)_ROYALTIES_FROM_OYL17"/>
      <sheetName val="(13)_ROYALTIES_TO_OYL17"/>
      <sheetName val="(14)_NON_OP_INCOME17"/>
      <sheetName val="(15)_NON_OP_EXPENSE17"/>
      <sheetName val="(16)_Sales_by_Countries17"/>
      <sheetName val="(17)_SGA17"/>
      <sheetName val="(18)_CASH_EQUIVALENT17"/>
      <sheetName val="(19)_TANGIBLE_ASSETS17"/>
      <sheetName val="(20)_LONG_TERM_RECEIVABLE17"/>
      <sheetName val="(21)_ALLOWANCE_FOR_BAD_DEBT17"/>
      <sheetName val="(22)_WARRANTY17"/>
      <sheetName val="(23)_OTHER_CURRENT_ASSETS17"/>
      <sheetName val="(24)_PREPAID_EXPENSES17"/>
      <sheetName val="(25)_OTHER_LONG_TERM_ASSETS17"/>
      <sheetName val="(26)_OTHER_ACCRUED_EXPENSES17"/>
      <sheetName val="(27)_OTHER_LONGTERM_LIABILITI17"/>
      <sheetName val="(28)_COLLATERAL17"/>
      <sheetName val="(29)_GUARANTEES17"/>
      <sheetName val="(30)_EMPLOYEE17"/>
      <sheetName val="(31)_DAIKIN_GROUP17"/>
      <sheetName val="(32)_OYL_GROUP17"/>
      <sheetName val="SALES_to_OYL18"/>
      <sheetName val="PURCHASE_from_OYL18"/>
      <sheetName val="(1)_BS118"/>
      <sheetName val="(2)_BS218"/>
      <sheetName val="(3)_PL18"/>
      <sheetName val="(4)_CREDITS_to_DAIKIN_18"/>
      <sheetName val="(5)_DEBTS_FROM_DAIKIN18"/>
      <sheetName val="(6)_SALES_to_DAIKIN18"/>
      <sheetName val="(7)_PURCHASE_from_DAIKIN18"/>
      <sheetName val="(8)_Credits_to_OYL18"/>
      <sheetName val="(9)_DEBTS_FROM_OYL18"/>
      <sheetName val="(10)_SALES_to_OYL18"/>
      <sheetName val="(11)_PURCHASE_FROM_OYL18"/>
      <sheetName val="(12)_ROYALTIES_FROM_OYL18"/>
      <sheetName val="(13)_ROYALTIES_TO_OYL18"/>
      <sheetName val="(14)_NON_OP_INCOME18"/>
      <sheetName val="(15)_NON_OP_EXPENSE18"/>
      <sheetName val="(16)_Sales_by_Countries18"/>
      <sheetName val="(17)_SGA18"/>
      <sheetName val="(18)_CASH_EQUIVALENT18"/>
      <sheetName val="(19)_TANGIBLE_ASSETS18"/>
      <sheetName val="(20)_LONG_TERM_RECEIVABLE18"/>
      <sheetName val="(21)_ALLOWANCE_FOR_BAD_DEBT18"/>
      <sheetName val="(22)_WARRANTY18"/>
      <sheetName val="(23)_OTHER_CURRENT_ASSETS18"/>
      <sheetName val="(24)_PREPAID_EXPENSES18"/>
      <sheetName val="(25)_OTHER_LONG_TERM_ASSETS18"/>
      <sheetName val="(26)_OTHER_ACCRUED_EXPENSES18"/>
      <sheetName val="(27)_OTHER_LONGTERM_LIABILITI18"/>
      <sheetName val="(28)_COLLATERAL18"/>
      <sheetName val="(29)_GUARANTEES18"/>
      <sheetName val="(30)_EMPLOYEE18"/>
      <sheetName val="(31)_DAIKIN_GROUP18"/>
      <sheetName val="(32)_OYL_GROUP18"/>
      <sheetName val="SALES_to_OYL19"/>
      <sheetName val="PURCHASE_from_OYL19"/>
      <sheetName val="(1)_BS119"/>
      <sheetName val="(2)_BS219"/>
      <sheetName val="(3)_PL19"/>
      <sheetName val="(4)_CREDITS_to_DAIKIN_19"/>
      <sheetName val="(5)_DEBTS_FROM_DAIKIN19"/>
      <sheetName val="(6)_SALES_to_DAIKIN19"/>
      <sheetName val="(7)_PURCHASE_from_DAIKIN19"/>
      <sheetName val="(8)_Credits_to_OYL19"/>
      <sheetName val="(9)_DEBTS_FROM_OYL19"/>
      <sheetName val="(10)_SALES_to_OYL19"/>
      <sheetName val="(11)_PURCHASE_FROM_OYL19"/>
      <sheetName val="(12)_ROYALTIES_FROM_OYL19"/>
      <sheetName val="(13)_ROYALTIES_TO_OYL19"/>
      <sheetName val="(14)_NON_OP_INCOME19"/>
      <sheetName val="(15)_NON_OP_EXPENSE19"/>
      <sheetName val="(16)_Sales_by_Countries19"/>
      <sheetName val="(17)_SGA19"/>
      <sheetName val="(18)_CASH_EQUIVALENT19"/>
      <sheetName val="(19)_TANGIBLE_ASSETS19"/>
      <sheetName val="(20)_LONG_TERM_RECEIVABLE19"/>
      <sheetName val="(21)_ALLOWANCE_FOR_BAD_DEBT19"/>
      <sheetName val="(22)_WARRANTY19"/>
      <sheetName val="(23)_OTHER_CURRENT_ASSETS19"/>
      <sheetName val="(24)_PREPAID_EXPENSES19"/>
      <sheetName val="(25)_OTHER_LONG_TERM_ASSETS19"/>
      <sheetName val="(26)_OTHER_ACCRUED_EXPENSES19"/>
      <sheetName val="(27)_OTHER_LONGTERM_LIABILITI19"/>
      <sheetName val="(28)_COLLATERAL19"/>
      <sheetName val="(29)_GUARANTEES19"/>
      <sheetName val="(30)_EMPLOYEE19"/>
      <sheetName val="(31)_DAIKIN_GROUP19"/>
      <sheetName val="(32)_OYL_GROUP19"/>
      <sheetName val="SALES_to_OYL20"/>
      <sheetName val="PURCHASE_from_OYL20"/>
      <sheetName val="(1)_BS120"/>
      <sheetName val="(2)_BS220"/>
      <sheetName val="(3)_PL20"/>
      <sheetName val="(4)_CREDITS_to_DAIKIN_20"/>
      <sheetName val="(5)_DEBTS_FROM_DAIKIN20"/>
      <sheetName val="(6)_SALES_to_DAIKIN20"/>
      <sheetName val="(7)_PURCHASE_from_DAIKIN20"/>
      <sheetName val="(8)_Credits_to_OYL20"/>
      <sheetName val="(9)_DEBTS_FROM_OYL20"/>
      <sheetName val="(10)_SALES_to_OYL20"/>
      <sheetName val="(11)_PURCHASE_FROM_OYL20"/>
      <sheetName val="(12)_ROYALTIES_FROM_OYL20"/>
      <sheetName val="(13)_ROYALTIES_TO_OYL20"/>
      <sheetName val="(14)_NON_OP_INCOME20"/>
      <sheetName val="(15)_NON_OP_EXPENSE20"/>
      <sheetName val="(16)_Sales_by_Countries20"/>
      <sheetName val="(17)_SGA20"/>
      <sheetName val="(18)_CASH_EQUIVALENT20"/>
      <sheetName val="(19)_TANGIBLE_ASSETS20"/>
      <sheetName val="(20)_LONG_TERM_RECEIVABLE20"/>
      <sheetName val="(21)_ALLOWANCE_FOR_BAD_DEBT20"/>
      <sheetName val="(22)_WARRANTY20"/>
      <sheetName val="(23)_OTHER_CURRENT_ASSETS20"/>
      <sheetName val="(24)_PREPAID_EXPENSES20"/>
      <sheetName val="(25)_OTHER_LONG_TERM_ASSETS20"/>
      <sheetName val="(26)_OTHER_ACCRUED_EXPENSES20"/>
      <sheetName val="(27)_OTHER_LONGTERM_LIABILITI20"/>
      <sheetName val="(28)_COLLATERAL20"/>
      <sheetName val="(29)_GUARANTEES20"/>
      <sheetName val="(30)_EMPLOYEE20"/>
      <sheetName val="(31)_DAIKIN_GROUP20"/>
      <sheetName val="(32)_OYL_GROUP20"/>
      <sheetName val="SALES_to_OYL21"/>
      <sheetName val="PURCHASE_from_OYL21"/>
      <sheetName val="(1)_BS121"/>
      <sheetName val="(2)_BS221"/>
      <sheetName val="(3)_PL21"/>
      <sheetName val="(4)_CREDITS_to_DAIKIN_21"/>
      <sheetName val="(5)_DEBTS_FROM_DAIKIN21"/>
      <sheetName val="(6)_SALES_to_DAIKIN21"/>
      <sheetName val="(7)_PURCHASE_from_DAIKIN21"/>
      <sheetName val="(8)_Credits_to_OYL21"/>
      <sheetName val="(9)_DEBTS_FROM_OYL21"/>
      <sheetName val="(10)_SALES_to_OYL21"/>
      <sheetName val="(11)_PURCHASE_FROM_OYL21"/>
      <sheetName val="(12)_ROYALTIES_FROM_OYL21"/>
      <sheetName val="(13)_ROYALTIES_TO_OYL21"/>
      <sheetName val="(14)_NON_OP_INCOME21"/>
      <sheetName val="(15)_NON_OP_EXPENSE21"/>
      <sheetName val="(16)_Sales_by_Countries21"/>
      <sheetName val="(17)_SGA21"/>
      <sheetName val="(18)_CASH_EQUIVALENT21"/>
      <sheetName val="(19)_TANGIBLE_ASSETS21"/>
      <sheetName val="(20)_LONG_TERM_RECEIVABLE21"/>
      <sheetName val="(21)_ALLOWANCE_FOR_BAD_DEBT21"/>
      <sheetName val="(22)_WARRANTY21"/>
      <sheetName val="(23)_OTHER_CURRENT_ASSETS21"/>
      <sheetName val="(24)_PREPAID_EXPENSES21"/>
      <sheetName val="(25)_OTHER_LONG_TERM_ASSETS21"/>
      <sheetName val="(26)_OTHER_ACCRUED_EXPENSES21"/>
      <sheetName val="(27)_OTHER_LONGTERM_LIABILITI21"/>
      <sheetName val="(28)_COLLATERAL21"/>
      <sheetName val="(29)_GUARANTEES21"/>
      <sheetName val="(30)_EMPLOYEE21"/>
      <sheetName val="(31)_DAIKIN_GROUP21"/>
      <sheetName val="(32)_OYL_GROUP21"/>
      <sheetName val="SALES_to_OYL22"/>
      <sheetName val="PURCHASE_from_OYL22"/>
      <sheetName val="(1)_BS122"/>
      <sheetName val="(2)_BS222"/>
      <sheetName val="(3)_PL22"/>
      <sheetName val="(4)_CREDITS_to_DAIKIN_22"/>
      <sheetName val="(5)_DEBTS_FROM_DAIKIN22"/>
      <sheetName val="(6)_SALES_to_DAIKIN22"/>
      <sheetName val="(7)_PURCHASE_from_DAIKIN22"/>
      <sheetName val="(8)_Credits_to_OYL22"/>
      <sheetName val="(9)_DEBTS_FROM_OYL22"/>
      <sheetName val="(10)_SALES_to_OYL22"/>
      <sheetName val="(11)_PURCHASE_FROM_OYL22"/>
      <sheetName val="(12)_ROYALTIES_FROM_OYL22"/>
      <sheetName val="(13)_ROYALTIES_TO_OYL22"/>
      <sheetName val="(14)_NON_OP_INCOME22"/>
      <sheetName val="(15)_NON_OP_EXPENSE22"/>
      <sheetName val="(16)_Sales_by_Countries22"/>
      <sheetName val="(17)_SGA22"/>
      <sheetName val="(18)_CASH_EQUIVALENT22"/>
      <sheetName val="(19)_TANGIBLE_ASSETS22"/>
      <sheetName val="(20)_LONG_TERM_RECEIVABLE22"/>
      <sheetName val="(21)_ALLOWANCE_FOR_BAD_DEBT22"/>
      <sheetName val="(22)_WARRANTY22"/>
      <sheetName val="(23)_OTHER_CURRENT_ASSETS22"/>
      <sheetName val="(24)_PREPAID_EXPENSES22"/>
      <sheetName val="(25)_OTHER_LONG_TERM_ASSETS22"/>
      <sheetName val="(26)_OTHER_ACCRUED_EXPENSES22"/>
      <sheetName val="(27)_OTHER_LONGTERM_LIABILITI22"/>
      <sheetName val="(28)_COLLATERAL22"/>
      <sheetName val="(29)_GUARANTEES22"/>
      <sheetName val="(30)_EMPLOYEE22"/>
      <sheetName val="(31)_DAIKIN_GROUP22"/>
      <sheetName val="(32)_OYL_GROUP22"/>
      <sheetName val="SALES_to_OYL23"/>
      <sheetName val="PURCHASE_from_OYL23"/>
      <sheetName val="(1)_BS123"/>
      <sheetName val="(2)_BS223"/>
      <sheetName val="(3)_PL23"/>
      <sheetName val="(4)_CREDITS_to_DAIKIN_23"/>
      <sheetName val="(5)_DEBTS_FROM_DAIKIN23"/>
      <sheetName val="(6)_SALES_to_DAIKIN23"/>
      <sheetName val="(7)_PURCHASE_from_DAIKIN23"/>
      <sheetName val="(8)_Credits_to_OYL23"/>
      <sheetName val="(9)_DEBTS_FROM_OYL23"/>
      <sheetName val="(10)_SALES_to_OYL23"/>
      <sheetName val="(11)_PURCHASE_FROM_OYL23"/>
      <sheetName val="(12)_ROYALTIES_FROM_OYL23"/>
      <sheetName val="(13)_ROYALTIES_TO_OYL23"/>
      <sheetName val="(14)_NON_OP_INCOME23"/>
      <sheetName val="(15)_NON_OP_EXPENSE23"/>
      <sheetName val="(16)_Sales_by_Countries23"/>
      <sheetName val="(17)_SGA23"/>
      <sheetName val="(18)_CASH_EQUIVALENT23"/>
      <sheetName val="(19)_TANGIBLE_ASSETS23"/>
      <sheetName val="(20)_LONG_TERM_RECEIVABLE23"/>
      <sheetName val="(21)_ALLOWANCE_FOR_BAD_DEBT23"/>
      <sheetName val="(22)_WARRANTY23"/>
      <sheetName val="(23)_OTHER_CURRENT_ASSETS23"/>
      <sheetName val="(24)_PREPAID_EXPENSES23"/>
      <sheetName val="(25)_OTHER_LONG_TERM_ASSETS23"/>
      <sheetName val="(26)_OTHER_ACCRUED_EXPENSES23"/>
      <sheetName val="(27)_OTHER_LONGTERM_LIABILITI23"/>
      <sheetName val="(28)_COLLATERAL23"/>
      <sheetName val="(29)_GUARANTEES23"/>
      <sheetName val="(30)_EMPLOYEE23"/>
      <sheetName val="(31)_DAIKIN_GROUP23"/>
      <sheetName val="(32)_OYL_GROUP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NF"/>
      <sheetName val="Report"/>
      <sheetName val="Company"/>
      <sheetName val="NEW-PANEL"/>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_日バッチt"/>
      <sheetName val="p_日バッチt.xls"/>
      <sheetName val="p_%E6%97%A5%E3%83%90%E3%83%83%E"/>
      <sheetName val="MODELNF"/>
    </sheetNames>
    <definedNames>
      <definedName name="Main_R"/>
    </defined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inf"/>
      <sheetName val="portal"/>
      <sheetName val="2008 UP"/>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_日バッチt"/>
      <sheetName val="DI-ESTI"/>
    </sheetNames>
    <definedNames>
      <definedName name="Main_R"/>
    </defined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_日バッチt"/>
      <sheetName val="p_日バッチt.xls"/>
      <sheetName val="p_%E6%97%A5%E3%83%90%E3%83%83%E"/>
      <sheetName val="TRAILREV"/>
    </sheetNames>
    <definedNames>
      <definedName name="Main_R"/>
    </definedNames>
    <sheetDataSet>
      <sheetData sheetId="0" refreshError="1"/>
      <sheetData sheetId="1" refreshError="1"/>
      <sheetData sheetId="2" refreshError="1"/>
      <sheetData sheetId="3"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ampilan1" id="{083702BC-66C6-4C9B-9601-F7806648BAC4}"/>
  <namedSheetView name="View1" id="{BEB33150-4646-40EE-9FD4-D82580E7022E}"/>
</namedSheetViews>
</file>

<file path=xl/persons/person.xml><?xml version="1.0" encoding="utf-8"?>
<personList xmlns="http://schemas.microsoft.com/office/spreadsheetml/2018/threadedcomments" xmlns:x="http://schemas.openxmlformats.org/spreadsheetml/2006/main">
  <person displayName="Enggar Tyastiwi Munaroh (DASI)" id="{C266160B-42B2-4AF8-85CE-B83D99307D67}" userId="S::enggar@daikinapplied.co.id::750460fc-c252-4b91-bc14-d2c40fcfb6e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3.425431134259" createdVersion="8" refreshedVersion="8" minRefreshableVersion="3" recordCount="60" xr:uid="{7FDAD4A0-DE66-482C-ABC2-FB180CFB9126}">
  <cacheSource type="worksheet">
    <worksheetSource ref="B2:F76" sheet="EPL PARTNERSHIP"/>
  </cacheSource>
  <cacheFields count="5">
    <cacheField name="Klien Name" numFmtId="0">
      <sharedItems containsBlank="1"/>
    </cacheField>
    <cacheField name="Project" numFmtId="0">
      <sharedItems containsBlank="1" longText="1"/>
    </cacheField>
    <cacheField name="Sector" numFmtId="0">
      <sharedItems containsBlank="1" count="6">
        <s v="Industri"/>
        <s v="Komersial"/>
        <s v="Government"/>
        <s v="Hospital"/>
        <m/>
        <e v="#REF!" u="1"/>
      </sharedItems>
    </cacheField>
    <cacheField name="Quotation" numFmtId="171">
      <sharedItems containsString="0" containsBlank="1" containsNumber="1" containsInteger="1" minValue="11000000" maxValue="11000000000"/>
    </cacheField>
    <cacheField name="Status" numFmtId="0">
      <sharedItems containsBlank="1" count="7">
        <s v="A"/>
        <s v="H"/>
        <s v="E"/>
        <s v="T"/>
        <s v="L"/>
        <m/>
        <e v="#REF!"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rry Gunawan (DASI)" refreshedDate="46198.573702893518" createdVersion="8" refreshedVersion="8" minRefreshableVersion="3" recordCount="690" xr:uid="{13F52AF7-F7F9-4A8B-B432-94289B078F75}">
  <cacheSource type="worksheet">
    <worksheetSource name="Table1"/>
  </cacheSource>
  <cacheFields count="17">
    <cacheField name="Klien Name" numFmtId="0">
      <sharedItems containsBlank="1" count="465">
        <s v="RS Columbia Asia Medan"/>
        <s v="Plaza Indonesia"/>
        <s v="PT. WMK Lanud Pekanbaru"/>
        <s v="FX Sudirman"/>
        <s v="GS Battery-Audit System"/>
        <s v="PT. Gita Persada Mandiri"/>
        <s v="PT Wisana Matra Karya"/>
        <s v="PT. Cental Global"/>
        <s v="Patra Jasa"/>
        <s v="PT. Jawa Power"/>
        <s v="PT. Fajar Kreasindo"/>
        <s v="PT. Sanghiang Perkasa"/>
        <s v="PT. Wahana Teknik"/>
        <s v="PT. Daya Parama Intraguna"/>
        <s v="CV. Abuputra"/>
        <s v="Teruna Perkasa Optimal"/>
        <s v="PT. Kencana Sejuk Abadi Sunter"/>
        <s v="PT. Dwiarta Teknologi Internasional"/>
        <s v="Vision Ease"/>
        <s v="PT. Sarana Tunggal Mulia"/>
        <s v="PT. YKK Zipco 5"/>
        <s v="PT. Sumco Indonesia"/>
        <s v="PT Jaya Sakti Mulya (RC FCU &amp; AHU Tunjungan Plaza)"/>
        <s v="Oakwood Tower Tenant Burgreens"/>
        <s v="PT. Pillar Ekatama"/>
        <s v="Aryaduta Hotel Menteng"/>
        <s v="Indofood Fritolay"/>
        <s v="PT. Central Global"/>
        <s v="TPPI "/>
        <s v="JAPFA Comfeed "/>
        <s v="Star Energy "/>
        <s v="PT. Bukit Asam"/>
        <s v="PT Fujitron (RC AHU Netania Pasuruan)-David"/>
        <s v="CV Davindo Anugrah Unggul (RC FCU Trias DDB 300 BW)"/>
        <s v="Novell Pharmaceutical"/>
        <s v="PT. Global Integrasi Solusi"/>
        <s v="Aqua Klaten"/>
        <s v="BRIN gd 11"/>
        <s v="TD Automotive Compressore Indonesia"/>
        <s v="Terminal Teluk Lamong"/>
        <s v="Davindo ANugrah Unggul"/>
        <s v="Tirta Investama"/>
        <s v="Badak Natural Gas Liquefaction"/>
        <s v="Trakindo Utama"/>
        <s v="RS Premier"/>
        <s v="DIC Astra"/>
        <s v="Lion Wings"/>
        <s v="Tirta Investama (Aqua) Subang"/>
        <s v="Tirta Sibayakindo(Aqua) Berastagi"/>
        <s v="PT. Deltamas Solusindo"/>
        <s v="PT Indocool"/>
        <s v="Parker Engineering"/>
        <s v="Aesa Air Engineering"/>
        <s v="PT. Senayan Trikarya Sempana"/>
        <s v="PPRSBH Kirana Two"/>
        <s v="Mall Ciputra"/>
        <s v="RS Royal Taruma"/>
        <s v="RS Premier "/>
        <s v="Sakata Ink"/>
        <s v="Swadaya Pandhu Arta"/>
        <s v="PT Nusa Coolindo"/>
        <s v="PT Freeport Indonesia"/>
        <s v="Ayani Mall Pontianak (RC Chiller Ayani Mall)"/>
        <s v="Putra Jaya (RC FCU Beachwalk Bali)"/>
        <s v="Ayani Mall Pontianak (EPL Chiller Ayani Mall + Control)"/>
        <s v="PT Sakatama"/>
        <s v="BNI Banjarmasin"/>
        <s v="Plaza Indonesia Realty Tbk."/>
        <s v="DKSH"/>
        <s v="VES Condensor Chiller Carrier"/>
        <s v="PT Manunggal Adipura"/>
        <s v="PT Immanuel Solusi Sejahtera"/>
        <s v="PT. Dwiarta Teknologi  International "/>
        <s v="Hotel Aryaduta Manado"/>
        <s v="Sutan Raja Hotel Manado"/>
        <s v="CV Davindo Anugrah Unggul"/>
        <s v="Hotel Ibis Malioboro (Malyabhara)"/>
        <s v="PT Mitra Penta AHU Graha Pacific Surabaya"/>
        <s v="PT Megasurya Mas"/>
        <s v="PT Syakha Cakra Buana"/>
        <s v="ASTON Manado Hotel"/>
        <s v="Intiland Tower Surabaya"/>
        <s v="PT Unilever Indonesia Rungkut"/>
        <s v="JW Marriott Surabaya"/>
        <s v="Solo Square Mall"/>
        <s v="PT Nindya Karya (RC Chiller Hotel Grand Inna Malioboro Jogjakarta)"/>
        <s v="CV DOB Karunia (RC AHU Plaza Malioboro)"/>
        <s v="PT Microchem Indonesia"/>
        <s v="Plaza Surabaya"/>
        <s v="CV Duta Persada Indonesia (Alvicons Surabaya)"/>
        <s v="PT Anjaya Paramudya Perkasa (RC Mall Tarakan)"/>
        <s v="CV Davindo Anugrah Unggul (Cahaya Kharisma Plasindo Solo)"/>
        <s v="CV Duta Persada Indonesia (Kitoshindo Mojokerto)"/>
        <s v="CV ASTRO (RC Islamic Center Samarinda)"/>
        <s v="CV Air Bumi Insani (Gor Segiri Samarinda)"/>
        <s v="CV Davindo Anugrah Unggul (CMWI Daikin Oil Cooling Unit)"/>
        <s v="CV DOB KARUNIA (Clean Room Pasuruan)"/>
        <s v="PT Tanjung Benoa Indonesia (RC Chiller UAL080ER5)"/>
        <s v="CAP "/>
        <s v="PT Mitra Penta (Graha Pasific Chiller)"/>
        <s v="PT Dwiwahana Handayaprima (FCU Dwiwahana-Argha Karya)"/>
        <s v="Harsindo"/>
        <s v="Indofood Fortuna Makmur"/>
        <s v="PT Cira"/>
        <s v="PT Mars Symbioscience Indonesia (RC Chiller Mars)"/>
        <s v="PT Anjaya Paramudya Perkasa (RC Chiller Rumah Luwih Beach Resort)"/>
        <s v="PT Freeport Indonesa"/>
        <s v="Parker Engineering Indonesia"/>
        <s v="PT Rotiboy Surabaya (EPL HVAC Rotiboy)"/>
        <s v="PT Berlina Tbk (RC Chiller Berlina Cikarang)"/>
        <s v="CV Gloria Astra Solusindo (RC Chiller Ecco Tanery Sidoarjo)"/>
        <s v="Aqua Klaten Mizone"/>
        <s v="PT Bintang Indo Jaya (EPL HVAC Rotiboy)"/>
        <s v="RSUP Sardjito "/>
        <s v="CV DOB Karunia (EPL HVAC Gereja Kepanjen)"/>
        <s v="PT. SKF Indonesia"/>
        <s v="CV Davindo Anugrah Unggul (RC FCU Trias Sentosa Juni 2025)"/>
        <s v="PT. YKK Zipper"/>
        <s v="PT. Krakatau Perbengkelan dan Perawatan"/>
        <s v="Unair"/>
        <s v="TD Automotive Compressor Indonesia "/>
        <s v="Gita Persada Mandiri"/>
        <s v="Gita Persata Mandiri"/>
        <s v="Hikari Teknologi Indonesia"/>
        <s v="Freeport Indonesia"/>
        <s v="JAPFA "/>
        <s v="Graha Amerta "/>
        <s v="Widatra Bakti "/>
        <s v="JAWA POWER"/>
        <s v="APP"/>
        <s v="INDOFOOD"/>
        <s v="Media Data System"/>
        <s v="Greenfields Indonesia"/>
        <s v="Mega Teknik Solusindo"/>
        <s v="Sarana Surya Jaya"/>
        <s v="Pekerjaan Chiller Carrier Aqua Klaten A"/>
        <s v="Aqua Pandaan"/>
        <s v="PT Pubagot"/>
        <s v="PT Tirta Investama (Aqua) Plant Cianjur"/>
        <s v="PT Star Cosmos"/>
        <s v="Oakwood Tower Classy Fit"/>
        <s v="PT Dayaprama Intraguna"/>
        <s v="PT. Bekaert"/>
        <s v="MRCC RS Siloam Jakarta"/>
        <s v="Living World"/>
        <s v="Arthawena Sakti Gemilang"/>
        <s v="Pendopo Niaga"/>
        <s v="Dian Mandiri"/>
        <s v="CV Dian Mandiri"/>
        <s v="Gedung Krakatau Steel"/>
        <s v="RS Ciputra Banjarmasin"/>
        <s v="Energi Sejahtera Mas"/>
        <s v="Imecon"/>
        <s v="Yamatogawa"/>
        <s v="Aryaduta Semanggi (EPL Aryaduta Semanggi)"/>
        <s v="Vision Ease "/>
        <s v="Swadaya Pandu Artha"/>
        <s v="Mandom"/>
        <s v="Pekerjaan Chiller Carrier Aqua Klaten B  "/>
        <s v="Plaza Senayan"/>
        <s v="Metropolitan Land Tbk"/>
        <s v="LOC"/>
        <s v="Kansai Paint Indonesia"/>
        <s v="PT Satoria"/>
        <s v="Bringin Karya Sejahtera"/>
        <s v="Tanjungenim Lestari Pulp&amp;Paper"/>
        <s v="Bekaert Indonesia"/>
        <s v="IGD RSUD Dr Soetomo "/>
        <s v="Esa Surya"/>
        <s v="Mitra Penta"/>
        <s v="PT Natasyih Retail International"/>
        <s v="VES Chiller henbel Aqua Klaten"/>
        <s v="Indofood Lampung"/>
        <s v="BNI Gresik"/>
        <s v="PT Kemira Pasuruan"/>
        <s v="CV Sarana Surya Jaya (RC-Chiller SSJ)"/>
        <s v="Gress Mall"/>
        <s v="Harbayu Mitra Utama"/>
        <s v="Vision Ease Asia"/>
        <s v="Emblem Asia"/>
        <s v="Sequis"/>
        <s v="KAER (RC Chiller Sheraton Bali)"/>
        <s v="Sarana Teknik Wiratama"/>
        <s v="RS KARIADI "/>
        <s v="Adn Hadari Deedath"/>
        <s v="Senayan Trikarya Sempana"/>
        <s v="Aryaduta Manado (RC AHU-FCU Aryaduta Manado)"/>
        <s v="PT Nippon Paint (RC Chiller NP Purwakarta)"/>
        <s v="PT Smart Tbk (EPL Cold Storage)"/>
        <s v="PT Eterindo Nusa Graha"/>
        <s v="Hotel Surya Prigen"/>
        <s v="PT Batara Elok Semesta Terpadu (BEST Gresik)"/>
        <s v="Hotel Malyabhara Jogjakarta"/>
        <s v="VES Filler"/>
        <s v="Santos Jaya Abadi"/>
        <s v="Hotel Golden Tulip"/>
        <s v="Danone Prambanan"/>
        <s v="Manggala Jaya"/>
        <s v="PT. Stanley Electric Indonesia"/>
        <s v="NTT Indonesia Technology"/>
        <s v="Improvement SPS 1 dan 2"/>
        <s v="Aqua Golden Mississippi"/>
        <s v="Atria Tower"/>
        <s v="PT Cahaya Parama Niscala (RC FCU 10 PK Cirebon Superblok Mall)"/>
        <s v="RS Suriansyah"/>
        <s v="PT Nippon Paint Ancol Jakarta (EPL NP Ancol)"/>
        <s v="PT. Colombia Asia Medan"/>
        <s v="Ambarrukmo Plaza"/>
        <s v="Kaer Pte Ltd Singapore (RC Chiller Galaxy Mall Surabaya)"/>
        <s v="YEMI (YAMAHA ELECTRONIC)"/>
        <s v="GUMAYA TOWER"/>
        <s v="Bandara Lombok"/>
        <s v="PT Jaya Sakti Mulia (RC AHU Tunjungan Plaza Sby)"/>
        <s v="PT Unilever"/>
        <s v="CV Davindo Anugrah Unggul (RC FCU Nestle)"/>
        <s v="Bernofarm"/>
        <s v="UPA Sby"/>
        <s v="Swadaya Panduartha"/>
        <s v="PT Gita Persada Mandiri"/>
        <s v="Pertamina Geothermal Karaha"/>
        <s v="Rusli Vinilon Sakti"/>
        <s v="SPV Project - David"/>
        <s v="Santika Hotel Semarang"/>
        <s v="KAER (RC Chiller Lippo Mall Kemang Jkt)"/>
        <s v="Mitra Anda Pontianak"/>
        <s v="RSUD AWS"/>
        <s v="PT Nippon Paint (EPL NP Ancol Lab Labour Technical)"/>
        <s v="PT Smoore"/>
        <s v="Matsuo for Machine and Production Support"/>
        <s v="PT Hopak (Davindo)"/>
        <s v="CJ Jombang"/>
        <s v="PT Dwi Berkah Arga Kencana"/>
        <s v="PT Indo Cipta"/>
        <s v="Aqua Sambung Gede"/>
        <s v="BNI Graha Pangeran Surabaya"/>
        <s v="PT. FKS Tereos Indonesia"/>
        <s v="RS Emirates Solo"/>
        <s v="CAP CCR Room"/>
        <s v="CAP SMI Plant"/>
        <s v="PT Novell Pharmaceutical Laboratories"/>
        <s v="CV. Global System Mandiri"/>
        <s v="PT Tirta Investama"/>
        <s v="PT. Wahana Teknik -  Project Preangger Hotel - Bandung "/>
        <s v="PT. Sarana Tunggal Mulia - David - Samuel"/>
        <s v="PT. Mattel Indonesia"/>
        <s v="PT. Master Tritunggal Pratama - PT. Meij Rubber Cikarang - David"/>
        <s v="PT Surteckariya"/>
        <s v="PT. ZTT Cable Indonesia"/>
        <s v="PT Deltamas - David - Samuel"/>
        <s v="Metropolitan Mall"/>
        <s v="PT. Gita Mandiri Persada - RS Hasan Sadikin Bandung "/>
        <s v="PT VNLPE"/>
        <s v="DJK"/>
        <s v="Asttra Otoparts"/>
        <s v="RS Premier Bintaro"/>
        <s v="KOITO"/>
        <s v="Lintec Indonesia"/>
        <s v="Samator"/>
        <s v="PT. Gita Mandiri Persada -  RS Siloam Hospital "/>
        <s v="PT. Tisaga Konsultan"/>
        <s v="PT. WMK - Lanud Pekanbaru"/>
        <s v="PT Tirta Fresindo Jaya Pasuruan (EPL Ruang Trafo dan Ruang LVMDP)"/>
        <s v="POSA GROUP (RC Ambon City Center)"/>
        <s v="PT Sanggar Sarana Baja"/>
        <s v="PT Venindo (RC Verwood Hotel Surabaya)"/>
        <s v="PT Airtech (RC AHU Ritamall Purwokerto)-David"/>
        <s v="PT Sarana Nikoteknik (RC Chiller Pentacity Balikpapan)-David"/>
        <s v="CV Manado Inti Perkasa (RC Chiller GKN Manado)-David"/>
        <s v="PT Immanuel Solusi Sejahtera (RC FCU FWW300VC)"/>
        <s v="PT Nipsea Paint and Chemical (EPL HVAC Ruang Laboratorium)"/>
        <s v="PT Nipsea Paint and Chemical (EPL HVAC Ruang Hardener)"/>
        <s v="PT Hamparan Daya Cipta (RC FCU Grand Mirage)"/>
        <s v="PT Hamparan Daya Cipta (RC FCU FWW1400VC Beachwalk)"/>
        <s v="PT Hamparan Daya Cipta (RC FCU Harris POP Denpasar)"/>
        <s v="CV Davindo Anugrah Unggul (RC WCPU PGS Surabaya)"/>
        <s v="PT. Koito"/>
        <s v="PT Cheil Jedang Pasuruan (EPL Filter AHU)"/>
        <s v="PT Immanuel Solusi Sejahtera (RC FCU Hotel Melia Bali)"/>
        <s v="CV Davindo Anugrah Unggul (RC Petronika Gresik)"/>
        <s v="Mitra Medica (HVAC Rumah Sakit)"/>
        <s v="PT Fujitron (RC AHU GMF Jakarta)"/>
        <s v="PT CEO Internusa Aircon (RC Chiller PT BKP Bekasi)"/>
        <s v="PT Dian Mandiri (RC FCU Hotel Ayana Bali)"/>
        <s v="PT Dita Utama (RC Chiller Plaza Balikpapan)"/>
        <s v="CV DOB karunia (RC FCU Intiland Sby)"/>
        <s v="PT Unilever Tbk (EPL HVAC Unilever)"/>
        <s v="PT Hamparan Daya Cipta Infinity / Megamall Manado (RC Chiller Megamall Manado)"/>
        <s v="PT CEO Internusa Aircon (RC AHU Java paragon Sby Hotel)"/>
        <s v="PT Canada Green Gate"/>
        <s v="PT Smart Tbk (EPL HVAC Menara Meeting Room)"/>
        <s v="PT. Global Central"/>
        <s v="BADAK LNG - N2 B39"/>
        <s v="HIKARI "/>
        <s v="Linde Indonesia "/>
        <s v="Wilmar Ruang Filling "/>
        <s v="Aneka Tuna "/>
        <s v="Wilmar FRA Building Project "/>
        <s v="Greeefield"/>
        <s v="Pertamina Balongan "/>
        <s v="Petrolab"/>
        <s v="PT BSD Medica"/>
        <s v="RS Unair"/>
        <s v="PT. Master Tri Tunggal Pratama - David - Samuel"/>
        <s v="Teluk Lamong"/>
        <s v="HeatPump Aqua Wonosobo"/>
        <s v="HeatPump Aqua Mambal"/>
        <s v="Aqua Wonosobo"/>
        <s v="Aqua Mambal"/>
        <s v="Aqua Wonosobo Installasi Haetpump"/>
        <s v="RS Ciputra jakarta"/>
        <s v="PT Emart - David"/>
        <s v="PT Bintang Kreasi Aroma"/>
        <s v="PT AVI - David"/>
        <s v="PT Trisun Techiques Mandiri - David"/>
        <s v="CV. Sarana Air Cool - David"/>
        <s v="CV Gentraco - David"/>
        <s v="PT Deltamas - David"/>
        <s v="IHF"/>
        <s v="PT. Central Global "/>
        <s v="PT Immanuel Solusi Sejahtera - David"/>
        <s v="Indah Kiat Pulp and Paper"/>
        <s v="PT. Gita Persada Mandiri- David - Samuel"/>
        <s v="CV. Permata Tehnik - David - Samuel"/>
        <s v="PT Evo Manufacturing Indonesia"/>
        <s v="PT. Wahana Teknik - David - Samuel"/>
        <s v="PT. Central Global -   David Samuel"/>
        <s v="PT. AC Wahana - David Samuel"/>
        <s v="PT. Pillar Ekatama - David Samuel"/>
        <s v="PT Cilikon Tata Udara Indonesia"/>
        <s v=" PT.ANEKA SOLUSI ENGINEERING - David - Samuel"/>
        <s v="PT. Denki Engineering "/>
        <s v="PT. Dian Mandiri - David - Samuel"/>
        <s v="PT. Dover Chemical Merak"/>
        <s v="PT. Pillar Ekatama -David - Samuel"/>
        <m/>
        <s v="PT. Hanei Indonesia - David"/>
        <s v="PT. Janur Teknik Mandiri - David"/>
        <s v="PT. Sampoerna Tritunggal Pratama"/>
        <s v="PT. Candi Toba, Anugerah, Trihaga"/>
        <s v="PT. Graha Nusa Raya"/>
        <s v="PT. Cipta Kreasindo Teknika  - David"/>
        <s v="MNC Tower"/>
        <s v="Aqua Mambal installasi"/>
        <s v="Indofood gempol"/>
        <s v="PJB Gresik"/>
        <s v="BNI Graha Pangeran"/>
        <s v="Danone Klaten (Pekerjaan Instalasi AHU)"/>
        <s v="Stadiun Batakan Balik Papan"/>
        <s v="Petrokimia Gresik (1 B  Replace AHU)"/>
        <s v="PT Indofood Pasuruan"/>
        <s v="Sunter Office"/>
        <s v="PT. Pilar Ekatama - David - Samuel"/>
        <s v="Bukit Asam"/>
        <s v="PLTU"/>
        <s v="TPO "/>
        <s v="Unilever"/>
        <s v="Hilton Bali"/>
        <s v="PT. Prima Totech"/>
        <s v="Krakatau Properti"/>
        <s v="TJB Power"/>
        <s v="Danone Pandaan"/>
        <s v="PT Widatra Bakti"/>
        <s v="Bank HSBC Surabaya"/>
        <s v="PT Utomodect"/>
        <s v="Sun City Mall"/>
        <s v="Lab Univ Airlangga"/>
        <s v="RS Unhas"/>
        <s v="Hotel Royal Cilegon"/>
        <s v="PT Itama Rayonara"/>
        <s v="PT Toka Tindung"/>
        <s v="Sotis Kemang Hotel"/>
        <s v="CV Elektrindo"/>
        <s v="Intalasi HeatPump Wonosobo"/>
        <s v="Intalasi HeatPump Bali"/>
        <s v="RC Chiller RS Unair"/>
        <s v="PT Petrosea by Como"/>
        <s v="RS Muhamadiah"/>
        <s v="Squencing Chiller SS 1"/>
        <s v="Control Ruang OK RS. EMC"/>
        <s v="Sansho Rubber Indonesia"/>
        <s v="RC Chiller Hotel Golden Tulip Banjarmasin"/>
        <s v="Indocement Tbk"/>
        <s v="PT Corteva - David"/>
        <s v="PT Tumantiis Budi Mandiri - David"/>
        <s v="PT. Imecon Anugerah Perkasa"/>
        <s v="PT. KANSAI PAINT INDONESIA"/>
        <s v="Roxy"/>
        <s v="NIkasae"/>
        <s v="Tondano "/>
        <s v="PT. Graha Santika Dyandra (hotel santika medan)"/>
        <s v="PT Samudra Mas Nusantara"/>
        <s v="PT. Citraciti Pacific - Mall SKA PKU"/>
        <s v="THAMRIN CITY UOB -  Syakha Cakra  Buana"/>
        <s v="Primatekarsindo"/>
        <s v="Universitas Tarumanegara"/>
        <s v="YKK ZIPCO 5"/>
        <s v="Panasonic Industrial Component Indonesia"/>
        <s v="MM"/>
        <s v="Lion Wings "/>
        <s v="Oakwood Chopstick"/>
        <s v="CV. Hardikarya Nusantara binjai"/>
        <s v="PT. Pillar Ekatana"/>
        <s v="PT. Damai Lestari Sejahtera"/>
        <s v="Jakarta Aquarium Safari-PT PT Wahid Mandiri Sejahtera"/>
        <s v="CAP"/>
        <s v="WILMAR "/>
        <s v="Airnav"/>
        <s v="BADAK LNG "/>
        <s v="Tradco "/>
        <s v="Astro "/>
        <s v="Doubel Tree "/>
        <s v="Niko Teknik "/>
        <s v="Revorma "/>
        <s v="JOTR "/>
        <s v="Project Bahana - SDA"/>
        <s v="Grage Mall Cirebon"/>
        <s v="Project JICT - PT Awan Integrasi Sandidata"/>
        <s v="Project Indolakto"/>
        <s v="Project Sulfindo Merak ( PT. Gecko Indonesia)"/>
        <s v="CV Dian Mandiri Project W Bali"/>
        <s v="PT. Caterison Sukses  Project Japanese Resto Hilton Bali"/>
        <s v="PT Firmenich Indonesia"/>
        <s v="PT Rumakita Kreasi"/>
        <s v="PT Ichikoh Indonesia"/>
        <s v="PT Ichikoh Indoensia"/>
        <s v="PT. Gita Persada Mandiri -  Project RC Colombia Asia "/>
        <s v="Kavana Interior"/>
        <s v="PT Tirta Investama Plant SOlok"/>
        <s v="PT Tirta Investama Plant Citereup"/>
        <s v="Biofarma Bandung"/>
        <s v="Sarihusada Generasi Mahardika (SGM)"/>
        <s v="Berkah Maharta "/>
        <s v="PT. Taiyo Sinar Project Control AHU PICID"/>
        <s v="PT. Coca cola Europasific Indonesia"/>
        <s v="PT. Senayan Trikarya Sempana Project Replacment Control Chiller SS1"/>
        <s v="PT. Sarana Teknik Wiratama"/>
        <s v="PT. Panja CIpta Utama"/>
        <s v="Matahari Daan Mogot"/>
        <s v="PT. Coca cola Europasific Indonesia Project Syrup"/>
        <s v="Heartology"/>
        <s v="PT Sukacita Teknologi Indonesia"/>
        <s v="PT Pratama Amerta Solusi"/>
        <s v="RS Columbia Asia Medan (david)"/>
        <s v="Morrissey Hotel Jakarta"/>
        <s v="Umara Group"/>
        <s v="RS Murni Teguh Medan" u="1"/>
        <s v="Bank Indonesia Kpw Sumut" u="1"/>
        <s v="RS Siloam Medan" u="1"/>
        <s v="PT Schneider Electric Batam" u="1"/>
        <s v="RS Ciputra" u="1"/>
        <s v="PT Gita Persada Mandiri Project  Repalcement CHiller PT Sinergy Bandung " u="1"/>
        <s v="PT Gita Persada Mandiri Project  Repalcement CHiller MRI RS BHCC Bogor" u="1"/>
        <s v="Hotel W Bali" u="1"/>
        <s v="Aqua Wonosobo Installasi" u="1"/>
        <s v="Oakwood Tower" u="1"/>
        <s v="Hotel Aston Manado (RC Chiller Hotel Aston Manado)" u="1"/>
        <s v="Badak LNG" u="1"/>
        <s v="Wilmar Group " u="1"/>
        <s v="PT.Cipta Kreasindo Teknika  - David" u="1"/>
        <s v="Toyo Denso" u="1"/>
        <s v="CV. Hardikarya Nusantara" u="1"/>
        <s v="PT Manggala Jaya - David" u="1"/>
        <s v="CV. Candi Toba" u="1"/>
        <s v="PT. Anugerah Muara Technindo" u="1"/>
        <s v="CV. Trihaga" u="1"/>
      </sharedItems>
    </cacheField>
    <cacheField name="Area" numFmtId="0">
      <sharedItems containsBlank="1"/>
    </cacheField>
    <cacheField name="Project &amp; Bill Material" numFmtId="0">
      <sharedItems containsBlank="1" count="531">
        <s v="RC UAA204ST3"/>
        <s v="VES"/>
        <s v="Filter -IAQ"/>
        <s v="Pengadaan FCU 2026-Phase II"/>
        <s v="Instalasi Channel"/>
        <s v="Blower AHU"/>
        <s v="Blower Binus"/>
        <s v="EPL"/>
        <s v="RC Project PT. Sinergi Bandung"/>
        <s v="VES "/>
        <s v="RC Project PT. Alcon Batam 402"/>
        <s v="AHU Lt 1&amp;10"/>
        <s v="KPI Asset"/>
        <s v="RC Project Filter"/>
        <s v="Project Mall Park Pejanten Village Jakarta"/>
        <s v="RC Project Hotel Prangger Bandung"/>
        <s v="Breakup-L3"/>
        <s v="RC Project IRIS-3 STT Telemedia - Filter AHU"/>
        <s v="RC Project Wisma BCA Part 2"/>
        <s v="RC Project RS Jantung Medan"/>
        <s v="Pemasangan Valve"/>
        <s v="Project RC Mall Gandaria City - FCU DDB75BW"/>
        <s v="RC-Chiller"/>
        <s v="EPL -Installation Chiller"/>
        <s v="EPL-Installasi Chiller"/>
        <s v="RC DDB BW &amp; DDBBWDS"/>
        <s v="FCU DDB100BW + Installation"/>
        <s v="Project Replacement Chiller Bethsaida Hospitals Gading Serpong"/>
        <s v="RC Project Japfa Lamongan"/>
        <s v="RC Project IKN"/>
        <s v="Project Replacement Chiller RS Mandaya Royal Puri"/>
        <s v="EPL RC AHU dan FCU"/>
        <s v="EPL "/>
        <s v="RC Project PT. Sammyung Precision Batam"/>
        <s v="RC "/>
        <s v="IAQ"/>
        <s v="RC"/>
        <s v="RC AHU DDW100D"/>
        <s v="RC DDB300BW"/>
        <s v="UAA110CV"/>
        <s v="(Additional Area SPS 3)"/>
        <s v="UAA125ST3"/>
        <s v="Modular Chiller-UAL230E5"/>
        <s v="RC-Screw Chiller 420 Trias Krian"/>
        <s v="RC Project MRI RS BHCC Bogor "/>
        <s v="RC-SPS 3 Plant Klaten"/>
        <s v="RC-Loading Dock II Badak Bontang"/>
        <s v="RC-Screw Chiller 478 Trias Krian"/>
        <s v="EPL-Conexa Harmonic"/>
        <s v="EPL-HVAC TU KK Trakindo"/>
        <s v="RC-AHU SPS 3 TIV Klaten"/>
        <s v="EPL-Dismantling Compressor Klaten"/>
        <s v="UAL230"/>
        <s v="UAL450"/>
        <s v="UAL450 &amp; FCU"/>
        <s v="Heat Pump + Shell and tube"/>
        <s v="Cooling Tower"/>
        <s v="Installasi Chiller "/>
        <s v="RC-DDB Sorini Towa (APR)"/>
        <s v="RC-DDB Trias "/>
        <s v="RC Project Matahari Bimasakti PIK"/>
        <s v="Kerja Tambah"/>
        <s v="Channel"/>
        <s v="Calorifier"/>
        <s v="FCU New 2026"/>
        <s v="Sunstar"/>
        <s v="Masjid Q9 &amp; Q15"/>
        <s v="RC-Shinwa Pasuruan"/>
        <s v="EPL- Control Chiller 1"/>
        <s v="Kirana Two"/>
        <s v="RC Ciputra Mall Semarang Watercool "/>
        <s v="Chamber Box"/>
        <s v="RSUD Koja"/>
        <s v="EPL-RPH AC Lounge"/>
        <s v="RC Chiller UAL1000D5"/>
        <s v="Filter JAF"/>
        <s v="DDB100BW x 1 unit, DDB040BW x 8 unit"/>
        <s v="EPL Ayani Megamall Pontianak + Control"/>
        <s v="ZUWY"/>
        <s v="UAA125ST3-FBB"/>
        <s v="RC-Bakerman"/>
        <s v="RC-Chagee"/>
        <s v="RC-Beconcept"/>
        <s v="EPL-Beconcept CKD AHU"/>
        <s v="RC Chiller Centrifugal HTS 550 TR"/>
        <s v="Brine Chiller Pabrik Jakarta"/>
        <s v="RC Project RSUD Muara Dua Sumsel"/>
        <s v="RC AHU Lantai 5"/>
        <s v="HVAC Sutan Raja Manado Hotel"/>
        <s v="RC WCP PGS Surabaya"/>
        <s v="RC-Patra Jasa Hotel Bandung"/>
        <s v="UAA175ST3 x 1 Unit"/>
        <s v="DDM1316 x 1 Unit + DDM1319 x 1 unit"/>
        <s v="RC HVAC S2DN200V"/>
        <s v="RC FCU Hotel Oakwood Surabaya"/>
        <s v="Replacement Chiller WC 180 TR"/>
        <s v="Replacement FCU Double Six Hotel Bali"/>
        <s v="Replacement Chiller ZUWV 450 TR"/>
        <s v="Super Chiller Unilever Sby 60TR"/>
        <s v="Wacana Replacement Chiller ZUWY 210 TR"/>
        <s v="HVAC Lantai 4 additional Solo Square"/>
        <s v="Mini Chiller UAL080 PT Cellindo Sigmaperkasa"/>
        <s v="RC Air Cooled Chiller 144 TR"/>
        <s v="RC AHU Meratus"/>
        <s v="RC Chiller 125 TR x 2 Unit"/>
        <s v="RC AHU DDW150DB, DDB180DB"/>
        <s v="EPL Club Sorong Papua"/>
        <s v="RC HVAC"/>
        <s v="RC Chiller HTS087MAU49F"/>
        <s v="RC Chiller UAL230D5"/>
        <s v="RC Chiller + FCU Mall Tarakan"/>
        <s v="RC Chiller CUWD180B5Y"/>
        <s v="RC Chiller UAL070ER5"/>
        <s v="RC Chiller EWAD415TZ-XS"/>
        <s v="RC Chiller UAL450D5 x 7 Unit"/>
        <s v="EPL Oil Cooling Unit Daikin AKZ909-T C/W Tank"/>
        <s v="EPL Clean Room Pasuruan UAL090ER5 + DDM-10510B"/>
        <s v="RC Chiller UAL080ER5"/>
        <s v="UAL1000D5"/>
        <s v="RC Chiller 127 TR x 1 Unit"/>
        <s v="RC FCU FWWL"/>
        <s v="EPL-HVAC Indofood KSJ"/>
        <s v="Kedubes Malaysia (CKD AHU)"/>
        <s v="RC ZUWY3C2ASF"/>
        <s v="RC Chiller 500 TR, ZUWY6Q2OSF x 1 Unit"/>
        <s v="RC-FCU Musique-Batik Keris"/>
        <s v="EPL-Uncen Material"/>
        <s v="EPL-Uncen Labour"/>
        <s v="Cabanas Resto"/>
        <s v="RC-Sunstar Engineering Indonesia"/>
        <s v="RC-Cabanas Resto Jakarta"/>
        <s v="EPL SDN 100V"/>
        <s v="RC- Zara Relokasi"/>
        <s v="RC Chiller UAL230D5 x 2 Unit"/>
        <s v="EPL- Zara Relokasi"/>
        <s v="EPL HVAC Rotiboy"/>
        <s v="RC UAA245"/>
        <s v="EPL HVAC Gereja Kepanjen"/>
        <s v="EPL- Installation Chiller"/>
        <s v="RC DDB100BW"/>
        <s v="EPL- Add MCB"/>
        <s v="EPL-Insulation Ducting AC Assy TACI Fase 04"/>
        <s v="EPL-Jasa Pekerjaan Insulation Ducting AC Assy Fase 04"/>
        <s v="EPL-Insulation Ducting AC Assy TACI Fase 05"/>
        <s v="EPL-Jasa Pekerjaan Insulation Ducting AC Assy Fase 05"/>
        <s v="EPL-Insulation Ducting AC Assy TACI Fase 06"/>
        <s v="EPL-Jasa Pekerjaan Insulation Ducting AC Assy Fase 06"/>
        <s v="EPL-Insulation Ducting AC Assy TACI Fase 07"/>
        <s v="EPL-Jasa Pekerjaan Insulation Ducting AC Assy Fase 07"/>
        <s v="EPL-Insulation Ducting AC Assy TACI Fase 08"/>
        <s v="EPL-Jasa Pekerjaan Insulation Ducting AC Assy Fase 08"/>
        <s v="EPL- Insulation Pipa Refrigerant AC Assy Fase 1"/>
        <s v="RC-Chiller UAL230D5 x 2 unit"/>
        <s v="EPL Cooling Tower"/>
        <s v="EPL  Chiller Pump "/>
        <s v="RC-Chiller Siloam UAL150ER5 x 6 unit"/>
        <s v="EPL-HVAC R Admin"/>
        <s v="EPL-Electrical HVAC MBI"/>
        <s v="EPL-Warehouse Insulation Service Manyar Smelter(M)"/>
        <s v="EPL-Warehouse Insulation Service Manyar Smelter(L)"/>
        <s v="EPL-Data Center BRI Tabanan"/>
        <s v="RC-UAL Low Temp Greenfield"/>
        <s v="RC-UAL Nathos"/>
        <s v="RC-FCU Gudang Garam"/>
        <s v="RC-DDB Sorini Towa"/>
        <s v="Lantai 11 &amp; 12"/>
        <s v="Kedubes Malaysia"/>
        <s v="RC-Marks Spencer"/>
        <s v="Residential Kuningan"/>
        <s v="EPL- Insulation Pipa Refrigerant AC Assy Fase 2"/>
        <s v="Instalasi Sistem Remote Chiller Sequencer"/>
        <s v="UAL450 x2"/>
        <s v="RC-Pabrik Tepung Tapioka"/>
        <s v="EPL-Replacement Flow Meter"/>
        <s v="EPL-Filter"/>
        <s v="RC-UAL Arthawena Cikupa"/>
        <s v="EPL-WCP Hypermart Matos"/>
        <s v="EPL-Rekondisi site and Service WCP"/>
        <s v="RC-FCU Ayana Estate"/>
        <s v="Project W Hotel Bali -  FWW1200VC"/>
        <s v="EPL-Chiller"/>
        <s v="EPL-Replacement DX"/>
        <s v="EPL- Motorized Valve"/>
        <s v="FCU Zara"/>
        <s v="UAL340"/>
        <s v="EPL-Cooling Tower"/>
        <s v="EPL HVAC"/>
        <s v="AHU DDM1826 100 TR x 3 unit"/>
        <s v="Installasi AHU"/>
        <s v="EPL-Insulation Ducting AC Assy TACI Fase 03"/>
        <s v="EPL-Jasa Pekerjaan Insulation Ducting AC Assy Fase 03"/>
        <s v="AHU Diamond (Tawan)"/>
        <s v="CTRL-MWCP"/>
        <s v="EPL-Breakup L3 (Sushi Tei)"/>
        <s v="EPL-Retrofit Compressor Klaten - 2"/>
        <s v="RC-FCU LB PISC"/>
        <s v="FCU Toilet &amp; Nurse Station"/>
        <s v="EPL-CKD AHU Dior, Lamoda,Kids Station"/>
        <s v="Dior,Lamoda,Kids Station"/>
        <s v="AHU Zara"/>
        <s v="EPL-Replacement Condenser Pump"/>
        <s v="RC-Project G-Avenue"/>
        <s v="RC-WaterCooled"/>
        <s v="EPL-Pekerjaan Pemasangan Chiller Project G-Avenue"/>
        <s v="EPL-AC Daikin 10PK for Church"/>
        <s v="RC-FCU Factory 2 Kansai Paint"/>
        <s v="RC-Air Cooled Mini Chiller Inverter"/>
        <s v="EPL-Jasa Installasi Chiller Novell"/>
        <s v="EPL-Material Installasi Chiller Novell"/>
        <s v="EPL-Material Pompa &amp; VSD"/>
        <s v="RC-Plaza Indonesia H&amp;M (BEAUTY TENANT) L2"/>
        <s v="UAL040"/>
        <s v="RC-BRI 1 Jakarta"/>
        <s v="RC-FCU Masjid Plaza Indonesia"/>
        <s v="RC-Tanjungenim Lestari Pulp&amp;Paper"/>
        <s v="EPL-Add Control for motorized valve AHU"/>
        <s v="AHU - CHILLER "/>
        <s v="Chiller Kementrian Keuangan"/>
        <s v="RC-AHU PT TAS"/>
        <s v="Assesment FCU"/>
        <s v="RC UAL450 x 1 unit"/>
        <s v="EPL-Insulation Ducting AC Assy TACI Fase 02"/>
        <s v="EPL-Jasa Pekerjaan Insulation Ducting AC Assy Fase 02"/>
        <s v="RC Chiller SSJ"/>
        <s v="RC-FCU RS Puri Indah"/>
        <s v="RC-AHU and Dehumidifier HVAC Vision Ease"/>
        <s v="EPL-Jasa Installasi AHU and Dehumidifier HVAC"/>
        <s v="EPL-AC Packaged Inverter PT Emblem Asia"/>
        <s v="EPL-Penggantian Fin Coil Zara L2"/>
        <s v="Ruang Trafo"/>
        <s v="RC-FCU Gudang P3 Shopping Centre Plaza Indonesia"/>
        <s v="EPL-Insulation Ducting AC Assy TACI Fase 01"/>
        <s v="EPL-Jasa Pekerjaan Insulation Ducting AC Assy Fase 01"/>
        <s v="RC-Imperial"/>
        <s v="RC HXEV700"/>
        <s v="RC-Rudy Soetadi"/>
        <s v="RC-Deltamas Solusindo"/>
        <s v="RC - UHA100"/>
        <s v="RC-Project PT TAS (Wings Group Indonesia)"/>
        <s v="RC-IKPT"/>
        <s v="EPL-Repair and Install valve CWP no.2"/>
        <s v="RC FWWVC+DDBBWDS"/>
        <s v="RC UAL "/>
        <s v="EPL LRMSS0800AXY1"/>
        <s v="RC Chiller CUWD"/>
        <s v="RC FCU Hotel Surya FWW600"/>
        <s v="RC Chiller UAA150ST3M x 1 Unit"/>
        <s v="RC-FCU Plaza Indonesia FR 067 ex WATSONS L4"/>
        <s v="HXEV490 "/>
        <s v="System ERV Dehum Existing"/>
        <s v="EPL-Installation AC Office Vision Ease Phase 3"/>
        <s v="RC-Project Manggala Jaya"/>
        <s v="RC-AHU Bekaert Indonesia"/>
        <s v="EPL-Bekaert Indonesia"/>
        <s v="RC-Chiller HXEV700"/>
        <s v="RC-UCCP NTT Data"/>
        <s v="EPL-AC 15 Pk dan Installasi Area Koridor Lt. 3A"/>
        <s v="RC-Ruang HOD Line 7 dan 8 "/>
        <s v="Audit Grand Hyatt"/>
        <m/>
        <s v="Maintenance"/>
        <s v="Torenda"/>
        <s v="Bongkar Ducting"/>
        <s v="Correvtive Maintenance April 2026"/>
        <s v="Atria Tower"/>
        <s v="EPL-Instalasi Air Conditioning System Orange Room"/>
        <s v="RC DDB100 BW"/>
        <s v="RC - FCU "/>
        <s v="EPL UAL-DDW"/>
        <s v="RC Chiller UAL150ER5 "/>
        <s v="EPL HVAC Labour Room"/>
        <s v="RC Chiller ZUWS"/>
        <s v="RC Chiller HTS113 x 2 Unit"/>
        <s v="UHAS 100 "/>
        <s v="New Skyline Kitchen"/>
        <s v="RC UAA245ST3M"/>
        <s v="RC AHU Tunjungan Plaza"/>
        <s v="RC DDBBWDS"/>
        <s v="RC DDBBW"/>
        <s v="RC UAL"/>
        <s v="RC-AHU Patrajasa Lantai 13 dan 14"/>
        <s v="EPL-AC Split Duct 15 PK PT Kilang Pertamina"/>
        <s v="EPL-AC Split duct Patrajasa Starbuck &amp; R.Lift"/>
        <s v="RC-AHU AHU DB/B Basement MAG"/>
        <s v="EPL-Chiller Control System &amp; Installation Vinilon"/>
        <s v="Brine Chiller  179 TR "/>
        <s v="RC HXEV700Q"/>
        <s v="RC UAA150"/>
        <s v="EPL UAL-DDB"/>
        <s v="RC HTS"/>
        <s v="Replacement Dehum"/>
        <s v="Instalasi Replacement Dehum"/>
        <s v="ZUWY 300 x 4 TR"/>
        <s v="Instalasi New Chiller"/>
        <s v="UAL230 x 2"/>
        <s v="EPL- Temperature Sensor and Fire Alarm Connection"/>
        <s v="EPL- FTC Series Super Mini Split AC"/>
        <s v="EPL- HVAC Motors K55HXNCJ-0841"/>
        <s v="EPL-RPH Material"/>
        <s v="EPL-Greenheck Fan"/>
        <s v="EPL-RPH Resto (Labour)"/>
        <s v="EPL-RPH Resto (Unit &amp; Material)"/>
        <s v="EPL-AC 5 PK Split Duct Daikin High Static"/>
        <s v="EPL-Roadheader Rigid Vent Duct"/>
        <s v="EPL-Ventilation"/>
        <s v="EPL-DAIKIN AC Floor Standing Inverter"/>
        <s v="EPL-Compressor AC"/>
        <s v="EPL-TPRA Hospital Material Alternatif 1"/>
        <s v="EPL-TPRA Hospital Material Alternatif 2"/>
        <s v="EPL-TPRA Hospital Labour Alternatif 1"/>
        <s v="EPL-TPRA Hospital Labour Alternatif 2"/>
        <s v="EPL-Modul Outdoor VRV 3"/>
        <s v="AHU"/>
        <s v="EPL-Sparepart Barrack DD 72"/>
        <s v="EPL-Split Wall Portsite"/>
        <s v="EPL-RPH Chiller Golf"/>
        <s v="EPL-Rimba Golf - Labour"/>
        <s v="EPL-Rimba Golf - Labour Electrikal Alt 1"/>
        <s v="EPL-Rimba Golf - Labour Electrikal Alt 2"/>
        <s v="EPL-Rimba Golf - Material Electrikal Alt 1"/>
        <s v="EPL-Rimba Golf - Material Electrikal Alt 2"/>
        <s v="EPL-GBC Terminal Refuge Chamber"/>
        <s v="EPL-Fantech Direct Drive Axial"/>
        <s v="HeatPump"/>
        <s v="FCU"/>
        <s v="AHU DX"/>
        <s v="UAL"/>
        <s v="ERV Tahap 2"/>
        <s v="Control Softwater"/>
        <s v="Project RC Pakuwon Mall – Bekasi"/>
        <s v="Relokasi Unit"/>
        <s v="fIler - IAQ"/>
        <s v="Project PT. Vaksindo Bogor"/>
        <s v="GES4222"/>
        <s v="Instalasi Chiller"/>
        <s v="UAL090"/>
        <s v="UAL450D"/>
        <s v="MUWD080"/>
        <s v="RC Nitrogen system"/>
        <s v="UAL230 ER"/>
        <s v="EPL-Greenheck Fan for OB4"/>
        <s v="EPL-Fantech Axial Fan"/>
        <s v="EPL-RPH Chiller Golf Cable System"/>
        <s v="EPL- Greenheck Fire Damper"/>
        <s v="EPL-STEGO NC Enclosure Thermostat and Convection Heater"/>
        <s v="EPL Ruang Trafo dan Ruang LVMDP"/>
        <s v="RC UAA125ST3M-FBBA"/>
        <s v="EPL-Oil Cooling Unit SSB"/>
        <s v="EPL- Shutter Mounted Fans Complete Set"/>
        <s v="EPL-Bard Green Refrigerant R-410A"/>
        <s v="EPL-Flexible Connection Flange End"/>
        <s v="EPL-Electric Heater MN 40284977"/>
        <s v="RC ZUWY6P2OSF"/>
        <s v="RC DDB150BWDS x 12 Unit"/>
        <s v="RC HTS100 x 1 Unit"/>
        <s v="RC UAA175ST3"/>
        <s v="RC FCU FWW300VC x 1 Unit"/>
        <s v="EPL- DAIKIN Air Purifier"/>
        <s v="EPL-Spare Part Kulkas RT42K6231S8"/>
        <s v="EPL SDMC85 x 2 Unit"/>
        <s v="EPL-Alimak Shop Fan and Ducting"/>
        <s v="EPL SDMC85 x 1 Unit"/>
        <s v="EPL-Fan Ducting and Support"/>
        <s v="RC FWWVC x 17 Unit"/>
        <s v="RC FWW1400VC x 2 Unit"/>
        <s v="RC DDB075BW x 2 Unit"/>
        <s v="EPL- Ruskin Fire Smoke Damper Model FSD 60"/>
        <s v="EPL-Motor Siripat"/>
        <s v="RC UCCP210BP x 1 Unit"/>
        <s v="EPL-Wall Grille"/>
        <s v="EPL Filter AHU AAF"/>
        <s v="RC FCU FWWVC x 4 Unit"/>
        <s v="RC UAL450D5"/>
        <s v="EPL SBFC100"/>
        <s v="RC UAL070ER5"/>
        <s v="RC FCU FWW600VC x 131 Unit"/>
        <s v="RC UAA380ST3M"/>
        <s v="RC FCU DDB"/>
        <s v="EPL-Copper Pipe and Fitting"/>
        <s v="EPL-Daikin AC Cassette Ceiling Mounted for C30098 Integrated Port Control"/>
        <s v="EPL-Accoustic Louvre"/>
        <s v="EPL-VRV Jungle Office Material"/>
        <s v="EPL-VRV Jungle Office Labour"/>
        <s v="EPL SVC125AYL"/>
        <s v="RC HTS113"/>
        <s v="RC DDB600BW x 1 Unit"/>
        <s v="RC UAL230 x 1 Unit Low Leaving Water Temp"/>
        <s v="EPL Menara Meeting Room SVC125AYL"/>
        <s v="VES (Area SPS 1)"/>
        <s v="RC Project PT. Alcon Batam"/>
        <s v="EPL-MP28 Aviation Hangar Material"/>
        <s v="EPL-MP28 Aviation Hangar Labour"/>
        <s v="EPL Office Building"/>
        <s v="EPL Ruang Panel "/>
        <s v="Filling Room "/>
        <s v="Production Room "/>
        <s v="AHU - DM1"/>
        <s v="RC AHU Chiller Butter"/>
        <s v="EPL-Ventilation Door 4 X 4 M"/>
        <s v="EPL-Pipa AC 2 PK"/>
        <s v="EPL-AC Split Duct 6PK"/>
        <s v="EPL-AC Inverter 5PK 1Phase 50-60HZ 220-240V MN 40742133."/>
        <s v="RC-UAA245 &amp; Installation"/>
        <s v="RC-PT LEN Bandung"/>
        <s v="EPL-Chiller and Water Pump Golf"/>
        <s v="EPL-Duct Ventilation at Operation Office"/>
        <s v="Project Plaza Indonesia - FCU DDB75BW"/>
        <s v="EPL-Ventilation Greenheck Fan Operation Office"/>
        <s v="UAL450 x 3"/>
        <s v="VES Ducting"/>
        <s v="RC Heatpump"/>
        <s v="RC UAL340*2 + installasi"/>
        <s v="Project Brine Chiller PT Dover Chemical"/>
        <s v="EPL-Split Duct 5PK"/>
        <s v="Project Royal Medicalink Pharmalab"/>
        <s v="Project PSUGI"/>
        <s v="Project Gula Putih Mataram"/>
        <s v="Project PT Indofood Palembang"/>
        <s v="Project PT Sinde"/>
        <s v="RC Project RS POLRI"/>
        <s v="1 UAL 230, 1 UAL070, Standing DFS 2"/>
        <s v="RC Project Batam Karya"/>
        <s v="UAL450 x 3 - PT Plasindo"/>
        <s v="RC-Project Ovindo Metaltama Tehnik"/>
        <s v="AHU 7 Unit"/>
        <s v="RC Project PT. Narumi Indonesia Cikarang ; _x000a_UAL450D5 (2), DDB040BW(1), DDM2-1013B (1) "/>
        <s v="RC Project BRIN"/>
        <s v="RC-Cooling Sistem"/>
        <s v="RC Project MTP"/>
        <s v="RC Project EJIP Cikarang "/>
        <s v="RSBP Batam"/>
        <s v="Project Flex - industry clean room"/>
        <s v="Project Hotel Mercure Pontianak "/>
        <s v="Gedung Arinav"/>
        <s v="EPL- RSUD Kanujoso Balikpapan"/>
        <s v="Genebank Bogor"/>
        <s v="Project PT. Braja Mukti Cakra "/>
        <s v="RC Project PLTA Saguling"/>
        <s v="RC Project DNP Karawang (1)"/>
        <s v="RC Project The Laguna Nusa Dua Bali"/>
        <s v="RC Project St. Regis"/>
        <s v="C Project PT. Dover Chemical - Merak "/>
        <s v="RC Project Bandara Sentani"/>
        <s v="RC Project IKPP Perawang"/>
        <s v="RC Project CCO Factory Palembang "/>
        <s v="RC Project Garuda Food "/>
        <s v="“Daikin China”  Fan Coil Unit (10)"/>
        <s v="Indonesia Power Pangkalan susu Medan"/>
        <s v="UCCP170BP (1)"/>
        <s v="Project Filling room C3 – Indolakto"/>
        <s v="MNC"/>
        <s v="CT"/>
        <s v="MUWD"/>
        <s v="Filter-IAQ"/>
        <s v="EPL-Motirized"/>
        <s v="EPL-RC AHU Kitchen"/>
        <s v="EPL-Pintu AHU"/>
        <s v="EPL-Mobdemob"/>
        <s v="HVAC System"/>
        <s v="RC Project Bandara Soeta 1B"/>
        <s v="RC Chiller area 2 EWAH580"/>
        <s v="DDB100"/>
        <s v="UAA150"/>
        <s v="EPL - AHU BSL, ICU, General Room"/>
        <s v="EPL - Repalacment AC VRV "/>
        <s v="EPL-Instalasi Effice Lantai 19 ITS Tower"/>
        <s v="EPL - System Hvac for MCC Room"/>
        <s v="EPL-Cold Storage"/>
        <s v="PT. Tenaris SPIJ Cilegon"/>
        <s v="EPL- Control Office Tower 2"/>
        <s v="EPL - Isolasi Pipa CHWPp , CHWPp Plaza Senayan"/>
        <s v="EPL - Unit DX 10, 15 PK"/>
        <s v="EPL - CPOS Sentral Senayan 1"/>
        <s v="EPL - Control Ruang OK RS. EMC Sentul"/>
        <s v="EPL- Chiller AHU"/>
        <s v="Project Corteva - Medan"/>
        <s v="HTS 800 TR - SKA Mall - Pekanbaru"/>
        <s v="RC - AHU Wisma Asia 2 jakarta"/>
        <s v="RC - FCU"/>
        <s v="RC-DX 10 20 PK"/>
        <s v="RC- DX"/>
        <s v="Pengadaan Wall Mounted"/>
        <s v="Pengadaan Split Duct"/>
        <s v="Diffusser Lamoda"/>
        <s v="RC-Air Cooled Chiller 650 kW_Pertamina Hulu Kaltim"/>
        <s v="RC - UCCP"/>
        <s v="RC - Chiller Air Cooled"/>
        <s v="EPL - CPOS Sentral Senayan 2"/>
        <s v="RC - AHU "/>
        <s v="EPL - Panel Power dan Control AHU"/>
        <s v="UAA125"/>
        <s v="FCU DDB"/>
        <s v="UAA110 &amp;UAL 450"/>
        <s v="Split Duct Packaged DX "/>
        <s v="RC - Split Duct "/>
        <s v="RC Project Bandara Hang Nadim Batam"/>
        <s v="Control "/>
        <s v="EPL - AC Split Wall"/>
        <s v="EPL - Unit DX "/>
        <s v="RC -Chiller &amp; AHU"/>
        <s v="RC - System HVAC "/>
        <s v="RC AHU"/>
        <s v="RC- Cassette ke Ceiling suspend unit only"/>
        <s v="EPL- Instalasi"/>
        <s v="RC-UAL150D5"/>
        <s v="RC-Unit Only system HVAC &amp; AUB"/>
        <s v="Improvement Ducting Small Sachet"/>
        <s v="RC - System HVAC (Packaged duct + cassete)"/>
        <s v="EPL - CTRL"/>
        <s v="RC Project Mayora OB Daan Mogot"/>
        <s v="EPL -Unit DX SMA Kota Bekasi"/>
        <s v="EPL - Replace inverter CHWPs Sentral Senayan 2"/>
        <s v="Unit Dx"/>
        <s v="RC FCU lantai 6 &amp; 7 Project Columbia Asia Hospital Medan"/>
        <s v="EPL-Pengadaan dan Jasa Unit AC VRV Daikin"/>
        <s v="EPL-Unit Split Office Veteran Jaksel"/>
        <s v="UAA450ST3" u="1"/>
        <s v="RC-UAA125SV3M" u="1"/>
        <s v="RC-AHU DDB200BW x 3" u="1"/>
        <s v="RC-ZUWV5K8JSF" u="1"/>
        <s v="RC Chiller Mizone" u="1"/>
        <s v="RC ZUWY " u="1"/>
        <s v="ZUWY 300 x 3 TR" u="1"/>
        <s v="RC Admin Building " u="1"/>
        <s v="Gedung Putih RC" u="1"/>
        <s v="RC UAL1000 + installasi" u="1"/>
        <s v="RC EPL" u="1"/>
        <s v="Project LANUD - Pekanbaru " u="1"/>
        <s v=" RC Project EJIP Cikarang " u="1"/>
        <s v="“Daikin China” Air Cooled Scroll Chiller (1)" u="1"/>
        <s v="RC AHU Krisna" u="1"/>
      </sharedItems>
    </cacheField>
    <cacheField name="Tipe" numFmtId="0">
      <sharedItems containsBlank="1"/>
    </cacheField>
    <cacheField name="Area2" numFmtId="0">
      <sharedItems containsBlank="1" count="3">
        <s v="West"/>
        <s v="East"/>
        <m/>
      </sharedItems>
    </cacheField>
    <cacheField name="Sales Planner" numFmtId="0">
      <sharedItems containsBlank="1"/>
    </cacheField>
    <cacheField name="PIC" numFmtId="0">
      <sharedItems containsBlank="1" count="13">
        <s v="Mira"/>
        <s v="Dea"/>
        <s v="Danis"/>
        <s v="Aris"/>
        <m/>
        <s v="Erik"/>
        <s v="Azrul"/>
        <s v="Rangga"/>
        <s v="Faiz"/>
        <s v="Iik"/>
        <s v="Setyo"/>
        <s v="Zaqi"/>
        <s v="Fian"/>
      </sharedItems>
    </cacheField>
    <cacheField name="Category" numFmtId="0">
      <sharedItems containsBlank="1" count="8">
        <s v="RC"/>
        <s v="EPL"/>
        <s v="IAQ"/>
        <s v="VES"/>
        <s v="Cont Device"/>
        <m/>
        <s v="Cont Others"/>
        <s v="Cont Inst"/>
      </sharedItems>
    </cacheField>
    <cacheField name="Sector" numFmtId="0">
      <sharedItems containsBlank="1" count="6">
        <s v="Hospital"/>
        <s v="Komersial"/>
        <s v="Government"/>
        <s v="Industri"/>
        <s v="Heavy Industri"/>
        <m/>
      </sharedItems>
    </cacheField>
    <cacheField name="Quotation" numFmtId="0">
      <sharedItems containsString="0" containsBlank="1" containsNumber="1" minValue="875000" maxValue="30985990000"/>
    </cacheField>
    <cacheField name="Status" numFmtId="0">
      <sharedItems containsBlank="1" count="9">
        <s v="L"/>
        <s v="A"/>
        <s v="E"/>
        <s v="H"/>
        <s v="C"/>
        <s v="T"/>
        <s v="D"/>
        <s v="B"/>
        <m/>
      </sharedItems>
    </cacheField>
    <cacheField name="Est Booking Month" numFmtId="0">
      <sharedItems containsNonDate="0" containsDate="1" containsString="0" containsBlank="1" minDate="2023-07-11T00:00:00" maxDate="2027-01-29T00:00:00" count="216">
        <d v="2026-02-01T00:00:00"/>
        <d v="2026-01-18T00:00:00"/>
        <d v="2025-10-06T00:00:00"/>
        <d v="2026-05-18T00:00:00"/>
        <d v="2026-01-26T00:00:00"/>
        <d v="2026-02-11T00:00:00"/>
        <d v="2026-05-13T00:00:00"/>
        <d v="2026-01-01T00:00:00"/>
        <d v="2026-10-15T00:00:00"/>
        <d v="2026-07-10T00:00:00"/>
        <d v="2026-01-22T00:00:00"/>
        <d v="2026-07-30T00:00:00"/>
        <d v="2026-08-06T00:00:00"/>
        <m/>
        <d v="2026-02-26T00:00:00"/>
        <d v="2026-08-12T00:00:00"/>
        <d v="2026-01-02T00:00:00"/>
        <d v="2026-06-17T00:00:00"/>
        <d v="2026-10-08T00:00:00"/>
        <d v="2026-07-01T00:00:00"/>
        <d v="2026-06-05T00:00:00"/>
        <d v="2026-08-01T00:00:00"/>
        <d v="2025-06-24T00:00:00"/>
        <d v="2025-11-21T00:00:00"/>
        <d v="2026-03-27T00:00:00"/>
        <d v="2026-09-18T00:00:00"/>
        <d v="2026-03-30T00:00:00"/>
        <d v="2025-05-25T00:00:00"/>
        <d v="2026-09-11T00:00:00"/>
        <d v="2025-11-25T00:00:00"/>
        <d v="2025-05-16T00:00:00"/>
        <d v="2025-12-20T00:00:00"/>
        <d v="2025-04-11T00:00:00"/>
        <d v="2025-11-19T00:00:00"/>
        <d v="2026-05-15T00:00:00"/>
        <d v="2025-06-11T00:00:00"/>
        <d v="2024-10-11T00:00:00"/>
        <d v="2026-05-21T00:00:00"/>
        <d v="2024-11-20T00:00:00"/>
        <d v="2024-12-12T00:00:00"/>
        <d v="2024-12-11T00:00:00"/>
        <d v="2024-11-06T00:00:00"/>
        <d v="2026-05-16T00:00:00"/>
        <d v="2026-03-19T00:00:00"/>
        <d v="2026-01-08T00:00:00"/>
        <d v="2026-08-07T00:00:00"/>
        <d v="2025-04-09T00:00:00"/>
        <d v="2025-12-25T00:00:00"/>
        <d v="2026-02-20T00:00:00"/>
        <d v="2025-10-29T00:00:00"/>
        <d v="2025-08-22T00:00:00"/>
        <d v="2025-10-23T00:00:00"/>
        <d v="2025-10-01T00:00:00"/>
        <d v="2025-09-11T00:00:00"/>
        <d v="2025-09-19T00:00:00"/>
        <d v="2026-03-11T00:00:00"/>
        <d v="2025-09-18T00:00:00"/>
        <d v="2025-10-11T00:00:00"/>
        <d v="2025-08-06T00:00:00"/>
        <d v="2025-08-04T00:00:00"/>
        <d v="2026-05-04T00:00:00"/>
        <d v="2025-08-14T00:00:00"/>
        <d v="2025-08-15T00:00:00"/>
        <d v="2025-06-25T00:00:00"/>
        <d v="2025-09-10T00:00:00"/>
        <d v="2025-03-14T00:00:00"/>
        <d v="2025-07-25T00:00:00"/>
        <d v="2025-07-10T00:00:00"/>
        <d v="2025-07-17T00:00:00"/>
        <d v="2025-07-24T00:00:00"/>
        <d v="2025-07-23T00:00:00"/>
        <d v="2025-08-07T00:00:00"/>
        <d v="2025-07-15T00:00:00"/>
        <d v="2026-05-26T00:00:00"/>
        <d v="2025-10-07T00:00:00"/>
        <d v="2025-07-18T00:00:00"/>
        <d v="2025-08-11T00:00:00"/>
        <d v="2025-07-11T00:00:00"/>
        <d v="2025-09-17T00:00:00"/>
        <d v="2025-10-08T00:00:00"/>
        <d v="2025-12-10T00:00:00"/>
        <d v="2025-03-06T00:00:00"/>
        <d v="2025-10-16T00:00:00"/>
        <d v="2025-06-12T00:00:00"/>
        <d v="2025-07-16T00:00:00"/>
        <d v="2025-09-05T00:00:00"/>
        <d v="2025-03-13T00:00:00"/>
        <d v="2025-04-25T00:00:00"/>
        <d v="2025-06-26T00:00:00"/>
        <d v="2025-07-03T00:00:00"/>
        <d v="2025-06-05T00:00:00"/>
        <d v="2025-02-05T00:00:00"/>
        <d v="2026-05-08T00:00:00"/>
        <d v="2025-06-03T00:00:00"/>
        <d v="2025-11-07T00:00:00"/>
        <d v="2025-05-01T00:00:00"/>
        <d v="2025-05-08T00:00:00"/>
        <d v="2025-09-03T00:00:00"/>
        <d v="2025-05-14T00:00:00"/>
        <d v="2025-01-08T00:00:00"/>
        <d v="2025-05-07T00:00:00"/>
        <d v="2025-04-17T00:00:00"/>
        <d v="2025-04-10T00:00:00"/>
        <d v="2026-08-19T00:00:00"/>
        <d v="2025-10-09T00:00:00"/>
        <d v="2025-04-18T00:00:00"/>
        <d v="2026-03-26T00:00:00"/>
        <d v="2025-03-19T00:00:00"/>
        <d v="2025-03-11T00:00:00"/>
        <d v="2025-11-20T00:00:00"/>
        <d v="2025-03-12T00:00:00"/>
        <d v="2025-12-09T00:00:00"/>
        <d v="2025-02-12T00:00:00"/>
        <d v="2026-12-26T00:00:00"/>
        <d v="2026-08-26T00:00:00"/>
        <d v="2026-08-29T00:00:00"/>
        <d v="2026-07-29T00:00:00"/>
        <d v="2026-09-29T00:00:00"/>
        <d v="2025-01-09T00:00:00"/>
        <d v="2026-01-07T00:00:00"/>
        <d v="2026-11-11T00:00:00"/>
        <d v="2026-10-14T00:00:00"/>
        <d v="2025-01-16T00:00:00"/>
        <d v="2024-11-15T00:00:00"/>
        <d v="2027-01-28T00:00:00"/>
        <d v="2024-08-11T00:00:00"/>
        <d v="2026-04-17T00:00:00"/>
        <d v="2026-04-16T00:00:00"/>
        <d v="2026-04-18T00:00:00"/>
        <d v="2026-05-20T00:00:00"/>
        <d v="2026-05-07T00:00:00"/>
        <d v="2026-04-15T00:00:00"/>
        <d v="2024-07-11T00:00:00"/>
        <d v="2026-08-14T00:00:00"/>
        <d v="2026-09-26T00:00:00"/>
        <d v="2026-06-26T00:00:00"/>
        <d v="2026-07-26T00:00:00"/>
        <d v="2026-04-26T00:00:00"/>
        <d v="2026-06-08T00:00:00"/>
        <d v="2026-08-11T00:00:00"/>
        <d v="2024-06-12T00:00:00"/>
        <d v="2026-07-14T00:00:00"/>
        <d v="2026-02-23T00:00:00"/>
        <d v="2023-07-11T00:00:00"/>
        <d v="2026-07-15T00:00:00"/>
        <d v="2026-07-11T00:00:00"/>
        <d v="2026-09-01T00:00:00"/>
        <d v="2026-04-28T00:00:00"/>
        <d v="2026-02-12T00:00:00"/>
        <d v="2026-02-05T00:00:00"/>
        <d v="2026-02-19T00:00:00"/>
        <d v="2025-12-26T00:00:00"/>
        <d v="2026-10-01T00:00:00"/>
        <d v="2026-04-30T00:00:00"/>
        <d v="2026-03-01T00:00:00"/>
        <d v="2026-05-14T00:00:00"/>
        <d v="2026-01-29T00:00:00"/>
        <d v="2026-09-17T00:00:00"/>
        <d v="2026-10-09T00:00:00"/>
        <d v="2026-07-16T00:00:00"/>
        <d v="2026-07-08T00:00:00"/>
        <d v="2025-11-03T00:00:00"/>
        <d v="2025-12-01T00:00:00"/>
        <d v="2025-12-23T00:00:00"/>
        <d v="2025-11-24T00:00:00"/>
        <d v="2025-12-24T00:00:00"/>
        <d v="2025-03-24T00:00:00"/>
        <d v="2025-10-24T00:00:00"/>
        <d v="2025-05-30T00:00:00"/>
        <d v="2026-11-26T00:00:00"/>
        <d v="2026-10-26T00:00:00"/>
        <d v="2026-06-01T00:00:00"/>
        <d v="2026-05-06T00:00:00"/>
        <d v="2026-05-25T00:00:00"/>
        <d v="2025-12-11T00:00:00"/>
        <d v="2026-06-30T00:00:00"/>
        <d v="2026-11-12T00:00:00"/>
        <d v="2026-12-17T00:00:00"/>
        <d v="2026-12-25T00:00:00"/>
        <d v="2026-06-04T00:00:00"/>
        <d v="2026-08-20T00:00:00"/>
        <d v="2026-07-21T00:00:00"/>
        <d v="2026-12-04T00:00:00"/>
        <d v="2026-12-16T00:00:00"/>
        <d v="2026-05-12T00:00:00"/>
        <d v="2026-12-24T00:00:00"/>
        <d v="2026-09-10T00:00:00"/>
        <d v="2026-09-04T00:00:00"/>
        <d v="2026-06-11T00:00:00"/>
        <d v="2026-10-10T00:00:00"/>
        <d v="2026-11-06T00:00:00"/>
        <d v="2026-08-25T00:00:00"/>
        <d v="2026-12-01T00:00:00"/>
        <d v="2026-10-16T00:00:00"/>
        <d v="2026-11-01T00:00:00"/>
        <d v="2026-09-12T00:00:00"/>
        <d v="2026-08-04T00:00:00"/>
        <d v="2026-11-20T00:00:00"/>
        <d v="2026-11-30T00:00:00"/>
        <d v="2026-06-03T00:00:00"/>
        <d v="2026-04-01T00:00:00"/>
        <d v="2027-01-01T00:00:00"/>
        <d v="2026-08-30T00:00:00"/>
        <d v="2026-08-31T00:00:00"/>
        <d v="2026-02-04T00:00:00"/>
        <d v="2026-02-06T00:00:00"/>
        <d v="2026-03-04T00:00:00"/>
        <d v="2026-03-20T00:00:00"/>
        <d v="2026-09-09T00:00:00"/>
        <d v="2026-10-12T00:00:00"/>
        <d v="2026-05-01T00:00:00"/>
        <d v="2026-08-27T00:00:00"/>
        <d v="2026-07-27T00:00:00"/>
        <d v="2026-06-02T00:00:00"/>
        <d v="2026-07-31T00:00:00"/>
        <d v="2026-09-14T00:00:00"/>
      </sharedItems>
      <fieldGroup par="16"/>
    </cacheField>
    <cacheField name="booking fc" numFmtId="0">
      <sharedItems containsBlank="1" count="3">
        <m/>
        <s v="OK"/>
        <s v="-"/>
      </sharedItems>
    </cacheField>
    <cacheField name="keterangan" numFmtId="0">
      <sharedItems containsBlank="1"/>
    </cacheField>
    <cacheField name="Months (Est Booking Month)" numFmtId="0" databaseField="0">
      <fieldGroup base="11">
        <rangePr groupBy="months" startDate="2023-07-11T00:00:00" endDate="2027-01-29T00:00:00"/>
        <groupItems count="14">
          <s v="&lt;11/07/2023"/>
          <s v="Jan"/>
          <s v="Feb"/>
          <s v="Mar"/>
          <s v="Apr"/>
          <s v="May"/>
          <s v="Jun"/>
          <s v="Jul"/>
          <s v="Aug"/>
          <s v="Sep"/>
          <s v="Oct"/>
          <s v="Nov"/>
          <s v="Dec"/>
          <s v="&gt;29/01/2027"/>
        </groupItems>
      </fieldGroup>
    </cacheField>
    <cacheField name="Quarters (Est Booking Month)" numFmtId="0" databaseField="0">
      <fieldGroup base="11">
        <rangePr groupBy="quarters" startDate="2023-07-11T00:00:00" endDate="2027-01-29T00:00:00"/>
        <groupItems count="6">
          <s v="&lt;11/07/2023"/>
          <s v="Qtr1"/>
          <s v="Qtr2"/>
          <s v="Qtr3"/>
          <s v="Qtr4"/>
          <s v="&gt;29/01/2027"/>
        </groupItems>
      </fieldGroup>
    </cacheField>
    <cacheField name="Years (Est Booking Month)" numFmtId="0" databaseField="0">
      <fieldGroup base="11">
        <rangePr groupBy="years" startDate="2023-07-11T00:00:00" endDate="2027-01-29T00:00:00"/>
        <groupItems count="7">
          <s v="&lt;11/07/2023"/>
          <s v="2023"/>
          <s v="2024"/>
          <s v="2025"/>
          <s v="2026"/>
          <s v="2027"/>
          <s v="&gt;29/01/202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PT Gita Persada Mandiri (RC-UAL 150 Gita Persada) - David"/>
    <s v="RC Chiller UAL150 x 2 Unit"/>
    <x v="0"/>
    <n v="147000000"/>
    <x v="0"/>
  </r>
  <r>
    <s v="CV Dinamika Surya Kencana - David"/>
    <s v="PT United Rope"/>
    <x v="0"/>
    <n v="385000000"/>
    <x v="0"/>
  </r>
  <r>
    <s v="CV Dinamika Surya Kencana - David"/>
    <s v="PT Otani"/>
    <x v="0"/>
    <n v="192500000"/>
    <x v="0"/>
  </r>
  <r>
    <s v="PT AVI - David"/>
    <s v="PT AVI"/>
    <x v="0"/>
    <n v="90000000"/>
    <x v="0"/>
  </r>
  <r>
    <s v="PT Gita Persada Mandiri - David"/>
    <s v="PT Gita Persada Mandiri"/>
    <x v="1"/>
    <n v="360000000"/>
    <x v="0"/>
  </r>
  <r>
    <s v="PT Gita Persada Mandiri - David"/>
    <s v="PT Gita Persada Mandiri"/>
    <x v="1"/>
    <n v="180000000"/>
    <x v="0"/>
  </r>
  <r>
    <s v="PT Gita Persada Mandiri - David"/>
    <s v="PT Gita Persada Mandiri"/>
    <x v="1"/>
    <n v="325000000"/>
    <x v="0"/>
  </r>
  <r>
    <s v="PT AVI - David"/>
    <s v="PT Kurniatama Polypack"/>
    <x v="0"/>
    <n v="865000000"/>
    <x v="0"/>
  </r>
  <r>
    <s v="PT. GITA PERSADA MANDIRI - David"/>
    <s v="FCU"/>
    <x v="1"/>
    <n v="40000000"/>
    <x v="0"/>
  </r>
  <r>
    <s v="Trisun Technques Mandiri - David"/>
    <s v="HTS100 - SBHB"/>
    <x v="1"/>
    <n v="5140000000"/>
    <x v="0"/>
  </r>
  <r>
    <s v="Trisun Technques Mandiri - David"/>
    <s v="Cooling Tower - Kepri Mall"/>
    <x v="1"/>
    <n v="1059455000"/>
    <x v="0"/>
  </r>
  <r>
    <s v="PT WIKA Gedung - David"/>
    <s v="Project Bandara Hang Nadim - Batam"/>
    <x v="2"/>
    <n v="11000000000"/>
    <x v="1"/>
  </r>
  <r>
    <s v="PT Emart - David"/>
    <s v="Project Brine Chiller PT Dover Chemical"/>
    <x v="0"/>
    <n v="550000000"/>
    <x v="2"/>
  </r>
  <r>
    <s v="PT Corteva - David"/>
    <s v="Project Corteva - Medan"/>
    <x v="0"/>
    <n v="570000000"/>
    <x v="2"/>
  </r>
  <r>
    <s v="PT Manggala Jaya - David"/>
    <s v="Project LANUD - Pekanbaru "/>
    <x v="2"/>
    <n v="275000000"/>
    <x v="2"/>
  </r>
  <r>
    <s v="PT. Kontindo Panca Manunggal - David"/>
    <s v="Project Phytocemindo"/>
    <x v="0"/>
    <n v="2300000000"/>
    <x v="1"/>
  </r>
  <r>
    <s v="PT AVI - David"/>
    <s v="Project Royal Medicalink Pharmalab"/>
    <x v="0"/>
    <n v="516000000"/>
    <x v="2"/>
  </r>
  <r>
    <s v="PT Trisun Techiques Mandiri - David"/>
    <s v="Project PSUGI"/>
    <x v="1"/>
    <n v="680000000"/>
    <x v="2"/>
  </r>
  <r>
    <s v="CV. Sarana Air Cool - David"/>
    <s v="Project Gula Putih Mataram"/>
    <x v="0"/>
    <n v="700000000"/>
    <x v="2"/>
  </r>
  <r>
    <s v="CV Gentraco - David"/>
    <s v="Project PT Indofood Palembang"/>
    <x v="0"/>
    <n v="750000000"/>
    <x v="2"/>
  </r>
  <r>
    <s v="PT Deltamas - David"/>
    <s v="Project PT Sinde"/>
    <x v="0"/>
    <n v="950000000"/>
    <x v="2"/>
  </r>
  <r>
    <s v="IHF"/>
    <s v="1 UAL 230, 1 UAL070, Standing DFS 2"/>
    <x v="0"/>
    <n v="400000000"/>
    <x v="2"/>
  </r>
  <r>
    <s v="SPV Project"/>
    <s v="Brine Chiller  179 TR "/>
    <x v="0"/>
    <m/>
    <x v="3"/>
  </r>
  <r>
    <s v="Isuzu"/>
    <s v="UAL1000"/>
    <x v="0"/>
    <n v="400000000"/>
    <x v="4"/>
  </r>
  <r>
    <s v="PT Immanuel Solusi Sejahtera - David"/>
    <s v="UAL450 x 3 - PT Plasindo"/>
    <x v="0"/>
    <n v="425000000"/>
    <x v="2"/>
  </r>
  <r>
    <s v="PT Immanuel Solusi Sejahtera - David"/>
    <s v="Brine Chiller  60 TR - PT Plasindo"/>
    <x v="0"/>
    <m/>
    <x v="1"/>
  </r>
  <r>
    <s v="PT Tumantiis Budi Mandiri - David"/>
    <s v="HTS 800 TR - SKA Mall - Pekanbaru"/>
    <x v="1"/>
    <n v="2200000000"/>
    <x v="2"/>
  </r>
  <r>
    <s v="PT Tumantiis Budi Mandiri - David"/>
    <s v="Pompa - SKA Mall - Pekanbaru"/>
    <x v="1"/>
    <n v="1900000000"/>
    <x v="1"/>
  </r>
  <r>
    <s v="IKPP"/>
    <s v="AHU 7 Unit"/>
    <x v="0"/>
    <n v="895000000"/>
    <x v="2"/>
  </r>
  <r>
    <s v="RSJ"/>
    <s v="FCU 64 unit"/>
    <x v="0"/>
    <n v="300000000"/>
    <x v="4"/>
  </r>
  <r>
    <s v="PT. Wisana Matrakarya - David - Samuel"/>
    <s v="Project VES - Lanud"/>
    <x v="2"/>
    <n v="673000000"/>
    <x v="0"/>
  </r>
  <r>
    <s v="PT Managgala Jaya -David"/>
    <s v="FCU DCC30CW - Lanud"/>
    <x v="0"/>
    <n v="13320000"/>
    <x v="0"/>
  </r>
  <r>
    <s v="PT. Sarana Teknik Wiratama -  David - Samuel"/>
    <s v="DAIKIN ” Air Cooled Scroll Chiller “  (1 UNIT)"/>
    <x v="0"/>
    <n v="88000000"/>
    <x v="0"/>
  </r>
  <r>
    <s v="PT. Gita Persada Mandiri- David - Samuel"/>
    <s v="DAIKIN ” Air Cooled Scroll Chiller “  (6 UNIT)_x000a_Model : UAL 450 D5  _x000a_Capacity : 38 TR  _x000a_Power Input : 40.5 kW  _x000a_Refrigerant : R410 A "/>
    <x v="2"/>
    <n v="1130000000"/>
    <x v="0"/>
  </r>
  <r>
    <s v="PT. Gita Persada Mandiri- David - Samuel"/>
    <s v="RC Project PT. Narumi Indonesia Cikarang ; _x000a_UAL450D5 (2), DDB040BW(1), DDM2-1013B (1) "/>
    <x v="0"/>
    <n v="506750000"/>
    <x v="2"/>
  </r>
  <r>
    <s v="AC Wahana"/>
    <s v="RS Columbia, AHU &amp; FCU"/>
    <x v="3"/>
    <m/>
    <x v="3"/>
  </r>
  <r>
    <s v="PT Gita Persada Mandiri - David"/>
    <s v="AHU DM2 - PT Internusa Food"/>
    <x v="0"/>
    <n v="210900000"/>
    <x v="0"/>
  </r>
  <r>
    <s v="PT Gita Persada Mandiri - David - Samuel"/>
    <s v="Project Replacement Chiller RS Hasan Sadikin Bandung - UAL230D5  (2)"/>
    <x v="3"/>
    <n v="156000000"/>
    <x v="0"/>
  </r>
  <r>
    <s v="PT Gita Persada Mandiri - David - Samuel"/>
    <s v="Project Replacement Chiller Siloam Hospitals Jambi - UAL230D5   (1)"/>
    <x v="0"/>
    <n v="78000000"/>
    <x v="0"/>
  </r>
  <r>
    <s v="PT Gita Persada Mandiri - David"/>
    <s v="UAL230D5"/>
    <x v="0"/>
    <n v="336000000"/>
    <x v="0"/>
  </r>
  <r>
    <s v="PT Gita Persada Mandiri - David"/>
    <s v="UAL150ER5"/>
    <x v="0"/>
    <n v="73500000"/>
    <x v="0"/>
  </r>
  <r>
    <s v="PT. Master Tri Tunggal Pratama - David - Samuel"/>
    <s v="Project Replacement Chiller - PT. Meiji Ruber  - UAL230D5  (1)"/>
    <x v="0"/>
    <n v="95000000"/>
    <x v="0"/>
  </r>
  <r>
    <s v="PT. Wahana Teknik - David - Samuel"/>
    <s v="RSBP Batam_x000a__x000a_RC Project :_x000a_1. ZUWV6Q8OSF  CHiller (3)_x000a_2. xtended Warranty (Entire Unit) – 4 years  (3)_x000a_3. Control (1)_x000a_4. Pompa "/>
    <x v="3"/>
    <n v="9599613600"/>
    <x v="2"/>
  </r>
  <r>
    <s v="PT. Central Global -   David Samuel"/>
    <s v="Project Flex _x000a_RC Project :_x000a_“Daikin China” Air Cooled Scroll Chiller  Non Inverter _x000a_Model                         : UAL450D5 _x000a_Cooling Capacity        : 135.0 kW _x000a_Power Input                : 40.3 kW _x000a_Refrigerant                 : R410A _x000a_Compressor Quantity : 4 _x000a_ _x000a_ _x000a_“Daikin China” Air Cooled Scroll Chiller Inverter _x000a_Model                         : UAL450E5 _x000a_Cooling Capacity        : 130.0 kW _x000a_Power Input                : 38.5 kW _x000a_Refrigerant                 : R410A _x000a_Compressor Quantity : 2 _x000a_ _x000a_ _x000a_“Daikin China”  Air Handling Unit Standar _x000a_Model                      : DDM- E5 _x000a_ _x000a_“Daikin China”  Air Handling Unit EC Fan _x000a_Model                      : DDM- E5 _x000a_ _x000a_“Daikin China”  MAU Standar _x000a_Model                      : DDM- E5 _x000a_ _x000a_“Daikin China”  MAU EC Fan _x000a_Model                      : DDM- E5"/>
    <x v="1"/>
    <n v="2998200000"/>
    <x v="2"/>
  </r>
  <r>
    <s v="PT. AC Wahana - David Samuel"/>
    <s v="Gedung Arinav_x000a_“Daikin China” Air Cooled  Single Screw Chiller  (2)_x000a_Model                         : UAA105ST3-FBD _x000a_Cooling Capacity        : 370.0kW  _x000a_Power Input                : 115.5kW  _x000a_Refrigerant                 : R134a _x000a_Compressor Quantity : 1 unit _x000a_ _x000a_ _x000a_“Daikin China”  Fan Coil Unit  (35)_x000a_Model                      : FWW _x000a_ _x000a_ _x000a_ _x000a_“Daikin Indonesia”  Air Handling Unit  (8)_x000a_Model                         : DDB - DS"/>
    <x v="2"/>
    <n v="2055935000"/>
    <x v="2"/>
  </r>
  <r>
    <s v="PT. Pillar Ekatama - David Samuel"/>
    <s v="Genebank Bogor_x000a_“Daikin China” Air Cooled Scroll Chiller   (7)_x000a_Model                         : UAL1000D5 _x000a_Cooling Capacity        : 295.0kW  _x000a_Power Input                : 92.2kW  _x000a_Refrigerant                 : R410A _x000a_Compressor Quantity : 4 unit _x000a_ _x000a_ _x000a_“Daikin China”  Air Handling Unit (11)_x000a_Model                      : DDM- E5 _x000a_ _x000a_ _x000a_ _x000a_“Daikin Indonesia”  Fan Coil Unit (9)_x000a_Model                         : DDB - BW"/>
    <x v="1"/>
    <n v="4123150000"/>
    <x v="2"/>
  </r>
  <r>
    <s v="PT. Gita Persada Mandiri- David - Samuel"/>
    <s v="Genebank Bogor_x000a_“Daikin China” Air Cooled Scroll Chiller  (7)_x000a_Model                         : UAL1000D5 _x000a_Cooling Capacity        : 295.0kW  _x000a_Power Input                : 92.2kW  _x000a_Refrigerant                 : R410A _x000a_Compressor Quantity : 4 unit _x000a_ _x000a_ _x000a_“Daikin China”  Air Handling Unit (11)_x000a_Model                      : DDM- E5 _x000a_ _x000a_ _x000a_ _x000a_“Daikin Indonesia”  Fan Coil Unit (9)_x000a_Model                         : DDB - BW "/>
    <x v="1"/>
    <n v="4123150000"/>
    <x v="2"/>
  </r>
  <r>
    <s v="PT. Master Tri Tunggal Pratama - David - Samuel"/>
    <s v="Project PT. Braja Mukti Cakra "/>
    <x v="0"/>
    <n v="200000000"/>
    <x v="2"/>
  </r>
  <r>
    <s v=" PT.ANEKA SOLUSI ENGINEERING - David - Samuel"/>
    <s v="RC Project PLTA Saguling_x000a_“Daikin China” Air Cooled Scroll Chiller  (2)_x000a_Model                         : UAL1000D5 _x000a_Cooling Capacity        : 295 kW / 316.1416 TR _x000a_Power Input                :  92.2 kW  _x000a_Refrigerant                 : R410A _x000a_Compressor Quantity : 4 unit _x000a_ _x000a_ _x000a_ _x000a_“Daikin China”  Air Handling Unit  (4)_x000a_Model                      : DDM- E5 "/>
    <x v="0"/>
    <n v="1378120000"/>
    <x v="2"/>
  </r>
  <r>
    <s v="PT. Imecon Anugerah Perkasa - David - Samuel"/>
    <s v="Compressor Quantity : 1 unit "/>
    <x v="1"/>
    <n v="113000000"/>
    <x v="0"/>
  </r>
  <r>
    <s v="PT. Denki Engineering "/>
    <s v="RC Project DNP Karawang (1)_x000a_“Daikin China”  Air Handling Unit _x000a_Model                      : DDW120DB _x000a_Cooling Capacity    : 65.05kW _x000a_Supply Air Volume : 10800 CMH "/>
    <x v="0"/>
    <n v="65750000"/>
    <x v="2"/>
  </r>
  <r>
    <s v="PT. Dian Mandiri - David - Samuel"/>
    <s v="RC Project The Laguna Nusa Dua Bali_x000a_ _x000a_“Daikin Indonesia” Fan Coil Unit  (2)_x000a_Model                      : DDB- BW _x000a_ _x000a_ _x000a_ _x000a_“Daikin China”  Fan Coil Unit  (17)_x000a_Model                         : FWW-TC "/>
    <x v="1"/>
    <n v="213000000"/>
    <x v="2"/>
  </r>
  <r>
    <s v="PT. Dian Mandiri - David - Samuel"/>
    <s v="RC Project St. Regis_x000a_ _x000a_“Daikin Indonesia” Fan Coil Unit (2)_x000a_Model                      : DDB- BW _x000a_ _x000a_ _x000a_ _x000a_“Daikin China”  Fan Coil Unit (13)_x000a_Model                         : FWW1600TC _x000a_Air Flow                     : 2700 CMH _x000a_Cooling Capacity       : 13.85 kW  "/>
    <x v="1"/>
    <n v="199020000"/>
    <x v="2"/>
  </r>
  <r>
    <s v="PT. Pillar Ekatama -David - Samuel"/>
    <s v="RC Project Bandara Sentani_x000a_“Daikin China” Water Cooled Single Screw Chiller   (2)_x000a_Model                         : ZUWY5K2JSF/F3012-QE-2 _x000a_Cooling Capacity        : 1122.6264 kW/ 319.2 TR _x000a_Power Input                : 173.9 kW at 100% load _x000a_Refrigerant                 : R134a _x000a_Compressor Quantity : 1 unit _x000a_ _x000a_ _x000a_“Daikin China”  Air Handling Unit  (5)_x000a_Model                      : DDM- E5 _x000a_ _x000a_ _x000a_ _x000a_“Daikin China”  Fan Coil Unit (25)_x000a_Model                         : FWW1000VC _x000a_Air Flow                     : 1711 CMH _x000a_Cooling Capacity       : 9.16Kw "/>
    <x v="2"/>
    <n v="4839200000"/>
    <x v="2"/>
  </r>
  <r>
    <m/>
    <m/>
    <x v="4"/>
    <m/>
    <x v="5"/>
  </r>
  <r>
    <s v="PT.Hanei Indonesia - David"/>
    <s v=" "/>
    <x v="0"/>
    <n v="438000000"/>
    <x v="2"/>
  </r>
  <r>
    <s v="PT. Janur Teknik Mandiri - David"/>
    <s v=" "/>
    <x v="0"/>
    <n v="978000000"/>
    <x v="2"/>
  </r>
  <r>
    <s v="PT. Wahana Teknik Indonesia - David"/>
    <s v="“Daikin Indonesia”  Air Handling Unit "/>
    <x v="1"/>
    <n v="11000000"/>
    <x v="0"/>
  </r>
  <r>
    <s v="Trisun Technques Mandiri - David"/>
    <s v="Model                         : DDB - DS "/>
    <x v="1"/>
    <n v="1544882000"/>
    <x v="0"/>
  </r>
  <r>
    <s v="MNC Tower"/>
    <s v="MNC"/>
    <x v="1"/>
    <n v="243500000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0">
  <r>
    <x v="0"/>
    <m/>
    <x v="0"/>
    <m/>
    <x v="0"/>
    <m/>
    <x v="0"/>
    <x v="0"/>
    <x v="0"/>
    <n v="1369000000"/>
    <x v="0"/>
    <x v="0"/>
    <x v="0"/>
    <m/>
  </r>
  <r>
    <x v="1"/>
    <m/>
    <x v="1"/>
    <m/>
    <x v="0"/>
    <m/>
    <x v="1"/>
    <x v="1"/>
    <x v="1"/>
    <n v="490000000"/>
    <x v="1"/>
    <x v="1"/>
    <x v="1"/>
    <s v="Already PO"/>
  </r>
  <r>
    <x v="2"/>
    <m/>
    <x v="2"/>
    <s v="EPL"/>
    <x v="0"/>
    <s v="Dede"/>
    <x v="2"/>
    <x v="2"/>
    <x v="2"/>
    <n v="673000000"/>
    <x v="1"/>
    <x v="2"/>
    <x v="1"/>
    <s v="Menerima PO VES dari lanud."/>
  </r>
  <r>
    <x v="1"/>
    <m/>
    <x v="3"/>
    <m/>
    <x v="0"/>
    <m/>
    <x v="1"/>
    <x v="0"/>
    <x v="1"/>
    <n v="622485000"/>
    <x v="1"/>
    <x v="3"/>
    <x v="0"/>
    <s v="Already PO"/>
  </r>
  <r>
    <x v="1"/>
    <s v="Channel"/>
    <x v="4"/>
    <m/>
    <x v="0"/>
    <m/>
    <x v="1"/>
    <x v="1"/>
    <x v="1"/>
    <n v="1348000000"/>
    <x v="1"/>
    <x v="4"/>
    <x v="1"/>
    <s v="Already PO"/>
  </r>
  <r>
    <x v="3"/>
    <s v="Hokben"/>
    <x v="5"/>
    <m/>
    <x v="0"/>
    <m/>
    <x v="1"/>
    <x v="1"/>
    <x v="1"/>
    <n v="47090700"/>
    <x v="1"/>
    <x v="5"/>
    <x v="1"/>
    <s v="Already PO"/>
  </r>
  <r>
    <x v="3"/>
    <s v="Binus"/>
    <x v="6"/>
    <m/>
    <x v="0"/>
    <m/>
    <x v="1"/>
    <x v="1"/>
    <x v="3"/>
    <n v="182045000"/>
    <x v="1"/>
    <x v="6"/>
    <x v="0"/>
    <m/>
  </r>
  <r>
    <x v="4"/>
    <m/>
    <x v="7"/>
    <m/>
    <x v="0"/>
    <m/>
    <x v="1"/>
    <x v="1"/>
    <x v="3"/>
    <n v="49500000"/>
    <x v="1"/>
    <x v="6"/>
    <x v="0"/>
    <m/>
  </r>
  <r>
    <x v="5"/>
    <m/>
    <x v="8"/>
    <s v="Chiller UAL100ER5"/>
    <x v="0"/>
    <s v="David"/>
    <x v="3"/>
    <x v="1"/>
    <x v="3"/>
    <n v="115000000"/>
    <x v="1"/>
    <x v="6"/>
    <x v="1"/>
    <s v="Sudah terima PO  di 20 Mei 2026"/>
  </r>
  <r>
    <x v="6"/>
    <m/>
    <x v="9"/>
    <s v="VES-Value Engineering Service Lanud TNI"/>
    <x v="0"/>
    <m/>
    <x v="2"/>
    <x v="3"/>
    <x v="2"/>
    <n v="487000000"/>
    <x v="1"/>
    <x v="7"/>
    <x v="0"/>
    <s v="Already PO"/>
  </r>
  <r>
    <x v="7"/>
    <m/>
    <x v="10"/>
    <s v="AHU DDM &amp; DXE"/>
    <x v="0"/>
    <s v="David"/>
    <x v="4"/>
    <x v="1"/>
    <x v="3"/>
    <n v="2281717980"/>
    <x v="2"/>
    <x v="8"/>
    <x v="0"/>
    <s v="ubmit penawran di 2026/06/12"/>
  </r>
  <r>
    <x v="8"/>
    <m/>
    <x v="11"/>
    <m/>
    <x v="0"/>
    <m/>
    <x v="1"/>
    <x v="0"/>
    <x v="1"/>
    <n v="1200000000"/>
    <x v="2"/>
    <x v="9"/>
    <x v="0"/>
    <m/>
  </r>
  <r>
    <x v="8"/>
    <s v="KPI"/>
    <x v="12"/>
    <m/>
    <x v="0"/>
    <m/>
    <x v="1"/>
    <x v="1"/>
    <x v="2"/>
    <n v="61500000"/>
    <x v="1"/>
    <x v="10"/>
    <x v="1"/>
    <s v="Already PO"/>
  </r>
  <r>
    <x v="9"/>
    <m/>
    <x v="13"/>
    <m/>
    <x v="0"/>
    <s v="Samuel"/>
    <x v="4"/>
    <x v="2"/>
    <x v="3"/>
    <n v="55062530"/>
    <x v="2"/>
    <x v="11"/>
    <x v="0"/>
    <s v="Sudah submit penawaran by email di 2026/06/19"/>
  </r>
  <r>
    <x v="10"/>
    <m/>
    <x v="14"/>
    <m/>
    <x v="0"/>
    <s v="David"/>
    <x v="4"/>
    <x v="1"/>
    <x v="1"/>
    <n v="2978970000"/>
    <x v="2"/>
    <x v="8"/>
    <x v="0"/>
    <s v="sudah submit by email di 2026/05/12"/>
  </r>
  <r>
    <x v="11"/>
    <m/>
    <x v="13"/>
    <m/>
    <x v="0"/>
    <s v="Samuel"/>
    <x v="4"/>
    <x v="2"/>
    <x v="3"/>
    <n v="18099245"/>
    <x v="2"/>
    <x v="12"/>
    <x v="0"/>
    <m/>
  </r>
  <r>
    <x v="12"/>
    <m/>
    <x v="15"/>
    <m/>
    <x v="0"/>
    <s v="David"/>
    <x v="4"/>
    <x v="1"/>
    <x v="1"/>
    <n v="6000000"/>
    <x v="0"/>
    <x v="13"/>
    <x v="0"/>
    <s v="Kalah karena kendala di delivery time, yang menang Fuji Air."/>
  </r>
  <r>
    <x v="1"/>
    <s v="L3"/>
    <x v="16"/>
    <m/>
    <x v="0"/>
    <m/>
    <x v="1"/>
    <x v="1"/>
    <x v="1"/>
    <n v="927835614"/>
    <x v="1"/>
    <x v="14"/>
    <x v="1"/>
    <s v="Pekerjaan Tambah Breakup L3"/>
  </r>
  <r>
    <x v="13"/>
    <m/>
    <x v="13"/>
    <m/>
    <x v="0"/>
    <s v="Samuel"/>
    <x v="4"/>
    <x v="2"/>
    <x v="1"/>
    <n v="66252090"/>
    <x v="0"/>
    <x v="13"/>
    <x v="0"/>
    <s v="Harga tidak kompetitif"/>
  </r>
  <r>
    <x v="14"/>
    <m/>
    <x v="17"/>
    <m/>
    <x v="0"/>
    <s v="Samuel"/>
    <x v="5"/>
    <x v="2"/>
    <x v="1"/>
    <n v="4464000"/>
    <x v="2"/>
    <x v="15"/>
    <x v="0"/>
    <s v="Sudah submit penawaran di 2026/06/12"/>
  </r>
  <r>
    <x v="15"/>
    <m/>
    <x v="2"/>
    <s v="EPL"/>
    <x v="0"/>
    <s v="Samuel"/>
    <x v="6"/>
    <x v="2"/>
    <x v="1"/>
    <n v="26841600"/>
    <x v="1"/>
    <x v="16"/>
    <x v="1"/>
    <s v="PO"/>
  </r>
  <r>
    <x v="16"/>
    <m/>
    <x v="18"/>
    <s v="DDW120DB (1)"/>
    <x v="0"/>
    <s v="David"/>
    <x v="3"/>
    <x v="1"/>
    <x v="1"/>
    <n v="60000000"/>
    <x v="1"/>
    <x v="17"/>
    <x v="1"/>
    <s v="Sudah terima PO"/>
  </r>
  <r>
    <x v="17"/>
    <m/>
    <x v="19"/>
    <m/>
    <x v="0"/>
    <s v="David"/>
    <x v="4"/>
    <x v="1"/>
    <x v="0"/>
    <n v="1126600000"/>
    <x v="2"/>
    <x v="18"/>
    <x v="0"/>
    <s v="Sudah submit penawaran di 2026/04/22"/>
  </r>
  <r>
    <x v="18"/>
    <m/>
    <x v="20"/>
    <m/>
    <x v="0"/>
    <m/>
    <x v="7"/>
    <x v="1"/>
    <x v="3"/>
    <n v="125000000"/>
    <x v="2"/>
    <x v="19"/>
    <x v="0"/>
    <m/>
  </r>
  <r>
    <x v="19"/>
    <m/>
    <x v="21"/>
    <m/>
    <x v="0"/>
    <s v="David"/>
    <x v="1"/>
    <x v="1"/>
    <x v="1"/>
    <n v="10670000"/>
    <x v="1"/>
    <x v="20"/>
    <x v="1"/>
    <m/>
  </r>
  <r>
    <x v="20"/>
    <m/>
    <x v="22"/>
    <s v="AS"/>
    <x v="0"/>
    <m/>
    <x v="8"/>
    <x v="0"/>
    <x v="3"/>
    <n v="2000000000"/>
    <x v="1"/>
    <x v="0"/>
    <x v="0"/>
    <s v="Already PO"/>
  </r>
  <r>
    <x v="20"/>
    <m/>
    <x v="23"/>
    <m/>
    <x v="0"/>
    <m/>
    <x v="8"/>
    <x v="1"/>
    <x v="3"/>
    <n v="1181874600"/>
    <x v="1"/>
    <x v="0"/>
    <x v="0"/>
    <s v="Already PO"/>
  </r>
  <r>
    <x v="21"/>
    <m/>
    <x v="22"/>
    <m/>
    <x v="0"/>
    <m/>
    <x v="8"/>
    <x v="1"/>
    <x v="3"/>
    <n v="2250000000"/>
    <x v="2"/>
    <x v="21"/>
    <x v="0"/>
    <m/>
  </r>
  <r>
    <x v="21"/>
    <m/>
    <x v="24"/>
    <m/>
    <x v="0"/>
    <m/>
    <x v="8"/>
    <x v="1"/>
    <x v="3"/>
    <n v="315000000"/>
    <x v="2"/>
    <x v="21"/>
    <x v="0"/>
    <m/>
  </r>
  <r>
    <x v="22"/>
    <m/>
    <x v="25"/>
    <s v="FCU DUC"/>
    <x v="1"/>
    <m/>
    <x v="9"/>
    <x v="0"/>
    <x v="1"/>
    <n v="400000000"/>
    <x v="1"/>
    <x v="22"/>
    <x v="1"/>
    <m/>
  </r>
  <r>
    <x v="23"/>
    <m/>
    <x v="26"/>
    <m/>
    <x v="0"/>
    <m/>
    <x v="6"/>
    <x v="1"/>
    <x v="1"/>
    <n v="105000000"/>
    <x v="1"/>
    <x v="23"/>
    <x v="0"/>
    <s v="PO"/>
  </r>
  <r>
    <x v="5"/>
    <m/>
    <x v="27"/>
    <m/>
    <x v="0"/>
    <s v="David"/>
    <x v="7"/>
    <x v="1"/>
    <x v="0"/>
    <n v="80000000"/>
    <x v="1"/>
    <x v="24"/>
    <x v="1"/>
    <s v="2026/04/01 Sudah menerima PO tanggal 27 Maret 2026"/>
  </r>
  <r>
    <x v="24"/>
    <m/>
    <x v="28"/>
    <m/>
    <x v="0"/>
    <s v="David"/>
    <x v="4"/>
    <x v="1"/>
    <x v="3"/>
    <n v="5416801180"/>
    <x v="2"/>
    <x v="25"/>
    <x v="0"/>
    <s v="Sudah submit penawaran di 2026/04/22"/>
  </r>
  <r>
    <x v="24"/>
    <m/>
    <x v="29"/>
    <m/>
    <x v="0"/>
    <s v="David"/>
    <x v="4"/>
    <x v="1"/>
    <x v="2"/>
    <n v="2999341740"/>
    <x v="3"/>
    <x v="13"/>
    <x v="0"/>
    <s v="Harga tidak kompetitif"/>
  </r>
  <r>
    <x v="5"/>
    <m/>
    <x v="30"/>
    <m/>
    <x v="0"/>
    <s v="David"/>
    <x v="7"/>
    <x v="1"/>
    <x v="0"/>
    <n v="146000000"/>
    <x v="1"/>
    <x v="26"/>
    <x v="1"/>
    <s v="2026/04/01 Sudah menerima PO tanggal 30 Maret 2026"/>
  </r>
  <r>
    <x v="25"/>
    <m/>
    <x v="31"/>
    <m/>
    <x v="0"/>
    <m/>
    <x v="6"/>
    <x v="1"/>
    <x v="1"/>
    <n v="1200000000"/>
    <x v="0"/>
    <x v="13"/>
    <x v="0"/>
    <m/>
  </r>
  <r>
    <x v="26"/>
    <m/>
    <x v="32"/>
    <m/>
    <x v="1"/>
    <m/>
    <x v="10"/>
    <x v="1"/>
    <x v="3"/>
    <n v="14300000"/>
    <x v="1"/>
    <x v="27"/>
    <x v="1"/>
    <m/>
  </r>
  <r>
    <x v="27"/>
    <m/>
    <x v="33"/>
    <m/>
    <x v="0"/>
    <s v="David"/>
    <x v="4"/>
    <x v="1"/>
    <x v="3"/>
    <n v="85000000"/>
    <x v="2"/>
    <x v="28"/>
    <x v="0"/>
    <s v="Submit penawraan by email di 2026/06/25"/>
  </r>
  <r>
    <x v="28"/>
    <m/>
    <x v="34"/>
    <m/>
    <x v="1"/>
    <m/>
    <x v="10"/>
    <x v="0"/>
    <x v="3"/>
    <n v="4295000000"/>
    <x v="1"/>
    <x v="27"/>
    <x v="1"/>
    <m/>
  </r>
  <r>
    <x v="26"/>
    <m/>
    <x v="7"/>
    <m/>
    <x v="1"/>
    <m/>
    <x v="10"/>
    <x v="1"/>
    <x v="3"/>
    <n v="14300000"/>
    <x v="1"/>
    <x v="27"/>
    <x v="1"/>
    <m/>
  </r>
  <r>
    <x v="29"/>
    <m/>
    <x v="35"/>
    <m/>
    <x v="1"/>
    <m/>
    <x v="10"/>
    <x v="1"/>
    <x v="3"/>
    <n v="2900000"/>
    <x v="1"/>
    <x v="27"/>
    <x v="1"/>
    <m/>
  </r>
  <r>
    <x v="30"/>
    <m/>
    <x v="32"/>
    <m/>
    <x v="1"/>
    <m/>
    <x v="10"/>
    <x v="1"/>
    <x v="3"/>
    <n v="7750850000"/>
    <x v="1"/>
    <x v="29"/>
    <x v="1"/>
    <s v="Waiting Management Approval "/>
  </r>
  <r>
    <x v="31"/>
    <m/>
    <x v="36"/>
    <s v="EPL"/>
    <x v="0"/>
    <s v="Samuel"/>
    <x v="6"/>
    <x v="0"/>
    <x v="3"/>
    <n v="69792000"/>
    <x v="0"/>
    <x v="13"/>
    <x v="0"/>
    <m/>
  </r>
  <r>
    <x v="32"/>
    <m/>
    <x v="37"/>
    <s v="AHU STD"/>
    <x v="1"/>
    <m/>
    <x v="9"/>
    <x v="0"/>
    <x v="3"/>
    <n v="80000000"/>
    <x v="1"/>
    <x v="30"/>
    <x v="1"/>
    <m/>
  </r>
  <r>
    <x v="33"/>
    <m/>
    <x v="38"/>
    <s v="FCU DUC"/>
    <x v="1"/>
    <m/>
    <x v="9"/>
    <x v="0"/>
    <x v="3"/>
    <n v="31000000"/>
    <x v="1"/>
    <x v="30"/>
    <x v="1"/>
    <m/>
  </r>
  <r>
    <x v="34"/>
    <m/>
    <x v="39"/>
    <m/>
    <x v="0"/>
    <m/>
    <x v="5"/>
    <x v="0"/>
    <x v="3"/>
    <n v="3150000000"/>
    <x v="1"/>
    <x v="31"/>
    <x v="1"/>
    <m/>
  </r>
  <r>
    <x v="35"/>
    <m/>
    <x v="2"/>
    <s v="EPL"/>
    <x v="0"/>
    <s v="Samuel"/>
    <x v="6"/>
    <x v="2"/>
    <x v="3"/>
    <n v="11214000"/>
    <x v="0"/>
    <x v="13"/>
    <x v="0"/>
    <m/>
  </r>
  <r>
    <x v="36"/>
    <m/>
    <x v="40"/>
    <m/>
    <x v="1"/>
    <m/>
    <x v="11"/>
    <x v="1"/>
    <x v="3"/>
    <n v="370000000"/>
    <x v="1"/>
    <x v="32"/>
    <x v="1"/>
    <s v="Proses SO"/>
  </r>
  <r>
    <x v="37"/>
    <m/>
    <x v="41"/>
    <s v="AS CSD"/>
    <x v="0"/>
    <m/>
    <x v="5"/>
    <x v="0"/>
    <x v="2"/>
    <n v="800000000"/>
    <x v="1"/>
    <x v="33"/>
    <x v="1"/>
    <m/>
  </r>
  <r>
    <x v="38"/>
    <m/>
    <x v="42"/>
    <s v="AL"/>
    <x v="0"/>
    <m/>
    <x v="7"/>
    <x v="0"/>
    <x v="3"/>
    <n v="1500000000"/>
    <x v="1"/>
    <x v="34"/>
    <x v="1"/>
    <s v="Nego"/>
  </r>
  <r>
    <x v="39"/>
    <m/>
    <x v="32"/>
    <m/>
    <x v="1"/>
    <m/>
    <x v="11"/>
    <x v="1"/>
    <x v="3"/>
    <n v="1443400000"/>
    <x v="1"/>
    <x v="35"/>
    <x v="1"/>
    <m/>
  </r>
  <r>
    <x v="40"/>
    <m/>
    <x v="43"/>
    <m/>
    <x v="1"/>
    <m/>
    <x v="9"/>
    <x v="0"/>
    <x v="3"/>
    <n v="1988500000"/>
    <x v="1"/>
    <x v="36"/>
    <x v="0"/>
    <m/>
  </r>
  <r>
    <x v="5"/>
    <m/>
    <x v="44"/>
    <s v="UAL150ER5 (3)"/>
    <x v="0"/>
    <s v="David"/>
    <x v="3"/>
    <x v="0"/>
    <x v="0"/>
    <n v="219000000"/>
    <x v="1"/>
    <x v="37"/>
    <x v="1"/>
    <s v="Sudah terima PO di 20 Mei 2026 "/>
  </r>
  <r>
    <x v="41"/>
    <m/>
    <x v="45"/>
    <m/>
    <x v="1"/>
    <m/>
    <x v="11"/>
    <x v="0"/>
    <x v="3"/>
    <n v="2330000000"/>
    <x v="1"/>
    <x v="36"/>
    <x v="0"/>
    <m/>
  </r>
  <r>
    <x v="42"/>
    <m/>
    <x v="46"/>
    <m/>
    <x v="1"/>
    <m/>
    <x v="10"/>
    <x v="0"/>
    <x v="3"/>
    <n v="2529908164"/>
    <x v="1"/>
    <x v="38"/>
    <x v="0"/>
    <m/>
  </r>
  <r>
    <x v="40"/>
    <m/>
    <x v="47"/>
    <m/>
    <x v="1"/>
    <m/>
    <x v="10"/>
    <x v="0"/>
    <x v="3"/>
    <n v="2015000000"/>
    <x v="1"/>
    <x v="39"/>
    <x v="0"/>
    <m/>
  </r>
  <r>
    <x v="40"/>
    <m/>
    <x v="48"/>
    <m/>
    <x v="1"/>
    <m/>
    <x v="10"/>
    <x v="1"/>
    <x v="3"/>
    <n v="205000000"/>
    <x v="1"/>
    <x v="39"/>
    <x v="0"/>
    <m/>
  </r>
  <r>
    <x v="43"/>
    <m/>
    <x v="49"/>
    <m/>
    <x v="1"/>
    <m/>
    <x v="9"/>
    <x v="1"/>
    <x v="3"/>
    <n v="14750000"/>
    <x v="1"/>
    <x v="40"/>
    <x v="0"/>
    <m/>
  </r>
  <r>
    <x v="41"/>
    <m/>
    <x v="50"/>
    <m/>
    <x v="1"/>
    <m/>
    <x v="11"/>
    <x v="0"/>
    <x v="3"/>
    <n v="3450000000"/>
    <x v="1"/>
    <x v="41"/>
    <x v="0"/>
    <m/>
  </r>
  <r>
    <x v="41"/>
    <m/>
    <x v="51"/>
    <m/>
    <x v="1"/>
    <m/>
    <x v="11"/>
    <x v="1"/>
    <x v="3"/>
    <n v="25000000"/>
    <x v="1"/>
    <x v="40"/>
    <x v="0"/>
    <m/>
  </r>
  <r>
    <x v="44"/>
    <m/>
    <x v="52"/>
    <s v="AS CSD"/>
    <x v="0"/>
    <m/>
    <x v="5"/>
    <x v="1"/>
    <x v="1"/>
    <n v="500000000"/>
    <x v="1"/>
    <x v="33"/>
    <x v="0"/>
    <m/>
  </r>
  <r>
    <x v="45"/>
    <m/>
    <x v="53"/>
    <s v="AS CSD"/>
    <x v="0"/>
    <m/>
    <x v="5"/>
    <x v="0"/>
    <x v="3"/>
    <n v="260000000"/>
    <x v="1"/>
    <x v="42"/>
    <x v="0"/>
    <m/>
  </r>
  <r>
    <x v="46"/>
    <m/>
    <x v="54"/>
    <s v="AS CSD"/>
    <x v="0"/>
    <m/>
    <x v="5"/>
    <x v="0"/>
    <x v="3"/>
    <n v="460500000"/>
    <x v="1"/>
    <x v="43"/>
    <x v="1"/>
    <s v="Already PO"/>
  </r>
  <r>
    <x v="47"/>
    <m/>
    <x v="55"/>
    <m/>
    <x v="0"/>
    <m/>
    <x v="7"/>
    <x v="1"/>
    <x v="3"/>
    <n v="1297780000"/>
    <x v="1"/>
    <x v="44"/>
    <x v="0"/>
    <m/>
  </r>
  <r>
    <x v="48"/>
    <m/>
    <x v="55"/>
    <m/>
    <x v="0"/>
    <m/>
    <x v="7"/>
    <x v="1"/>
    <x v="3"/>
    <n v="2659930000"/>
    <x v="1"/>
    <x v="44"/>
    <x v="0"/>
    <m/>
  </r>
  <r>
    <x v="38"/>
    <m/>
    <x v="56"/>
    <m/>
    <x v="0"/>
    <m/>
    <x v="7"/>
    <x v="1"/>
    <x v="3"/>
    <n v="695653000"/>
    <x v="4"/>
    <x v="45"/>
    <x v="0"/>
    <s v="Negosiasi"/>
  </r>
  <r>
    <x v="38"/>
    <m/>
    <x v="57"/>
    <m/>
    <x v="0"/>
    <m/>
    <x v="7"/>
    <x v="1"/>
    <x v="3"/>
    <n v="2000000000"/>
    <x v="2"/>
    <x v="21"/>
    <x v="1"/>
    <m/>
  </r>
  <r>
    <x v="40"/>
    <m/>
    <x v="58"/>
    <m/>
    <x v="1"/>
    <m/>
    <x v="9"/>
    <x v="0"/>
    <x v="3"/>
    <n v="12000000"/>
    <x v="1"/>
    <x v="46"/>
    <x v="0"/>
    <m/>
  </r>
  <r>
    <x v="40"/>
    <m/>
    <x v="59"/>
    <m/>
    <x v="1"/>
    <m/>
    <x v="9"/>
    <x v="0"/>
    <x v="3"/>
    <n v="8000000"/>
    <x v="1"/>
    <x v="46"/>
    <x v="0"/>
    <m/>
  </r>
  <r>
    <x v="49"/>
    <m/>
    <x v="60"/>
    <m/>
    <x v="0"/>
    <s v="David"/>
    <x v="4"/>
    <x v="0"/>
    <x v="1"/>
    <n v="1250000000"/>
    <x v="2"/>
    <x v="45"/>
    <x v="0"/>
    <s v="Sudah submit penawaran di 18/05/2026"/>
  </r>
  <r>
    <x v="1"/>
    <s v="Masjid P4"/>
    <x v="61"/>
    <m/>
    <x v="0"/>
    <m/>
    <x v="1"/>
    <x v="1"/>
    <x v="1"/>
    <n v="21600000"/>
    <x v="1"/>
    <x v="4"/>
    <x v="1"/>
    <s v="Already PO"/>
  </r>
  <r>
    <x v="50"/>
    <s v="Channel-L2"/>
    <x v="62"/>
    <m/>
    <x v="0"/>
    <m/>
    <x v="1"/>
    <x v="1"/>
    <x v="1"/>
    <n v="136616960"/>
    <x v="1"/>
    <x v="14"/>
    <x v="1"/>
    <s v="Already PO"/>
  </r>
  <r>
    <x v="1"/>
    <s v="Grand Hyatt"/>
    <x v="63"/>
    <m/>
    <x v="0"/>
    <m/>
    <x v="1"/>
    <x v="1"/>
    <x v="1"/>
    <n v="137213000"/>
    <x v="1"/>
    <x v="4"/>
    <x v="1"/>
    <s v="Already PO"/>
  </r>
  <r>
    <x v="1"/>
    <m/>
    <x v="64"/>
    <m/>
    <x v="0"/>
    <m/>
    <x v="1"/>
    <x v="0"/>
    <x v="1"/>
    <n v="1348680000"/>
    <x v="1"/>
    <x v="5"/>
    <x v="1"/>
    <s v="Already PO"/>
  </r>
  <r>
    <x v="51"/>
    <s v="Sunstar"/>
    <x v="65"/>
    <s v="AL"/>
    <x v="0"/>
    <m/>
    <x v="1"/>
    <x v="0"/>
    <x v="3"/>
    <n v="200000000"/>
    <x v="1"/>
    <x v="4"/>
    <x v="1"/>
    <s v="Already PO"/>
  </r>
  <r>
    <x v="1"/>
    <m/>
    <x v="4"/>
    <m/>
    <x v="0"/>
    <m/>
    <x v="1"/>
    <x v="1"/>
    <x v="1"/>
    <n v="1350000000"/>
    <x v="1"/>
    <x v="47"/>
    <x v="0"/>
    <m/>
  </r>
  <r>
    <x v="1"/>
    <s v="Masjid P4"/>
    <x v="66"/>
    <m/>
    <x v="0"/>
    <m/>
    <x v="1"/>
    <x v="1"/>
    <x v="1"/>
    <n v="320311759"/>
    <x v="1"/>
    <x v="48"/>
    <x v="0"/>
    <s v="Pengadaan Split Duct Masjid Q9 dan Q15"/>
  </r>
  <r>
    <x v="52"/>
    <m/>
    <x v="67"/>
    <m/>
    <x v="1"/>
    <m/>
    <x v="11"/>
    <x v="0"/>
    <x v="3"/>
    <n v="986810603"/>
    <x v="1"/>
    <x v="40"/>
    <x v="0"/>
    <m/>
  </r>
  <r>
    <x v="53"/>
    <m/>
    <x v="68"/>
    <m/>
    <x v="0"/>
    <m/>
    <x v="8"/>
    <x v="1"/>
    <x v="1"/>
    <n v="155000000"/>
    <x v="1"/>
    <x v="0"/>
    <x v="1"/>
    <s v="Already PO"/>
  </r>
  <r>
    <x v="54"/>
    <m/>
    <x v="69"/>
    <s v="RC"/>
    <x v="0"/>
    <m/>
    <x v="1"/>
    <x v="0"/>
    <x v="1"/>
    <n v="783000000"/>
    <x v="1"/>
    <x v="49"/>
    <x v="0"/>
    <m/>
  </r>
  <r>
    <x v="55"/>
    <m/>
    <x v="70"/>
    <s v="WC CSD"/>
    <x v="1"/>
    <m/>
    <x v="10"/>
    <x v="0"/>
    <x v="1"/>
    <n v="2700000000"/>
    <x v="1"/>
    <x v="50"/>
    <x v="1"/>
    <e v="#REF!"/>
  </r>
  <r>
    <x v="56"/>
    <m/>
    <x v="52"/>
    <s v="AS CSD"/>
    <x v="0"/>
    <m/>
    <x v="5"/>
    <x v="0"/>
    <x v="0"/>
    <n v="249252000"/>
    <x v="1"/>
    <x v="51"/>
    <x v="1"/>
    <m/>
  </r>
  <r>
    <x v="57"/>
    <m/>
    <x v="52"/>
    <s v="AS CSD"/>
    <x v="0"/>
    <m/>
    <x v="5"/>
    <x v="0"/>
    <x v="0"/>
    <n v="475000000"/>
    <x v="1"/>
    <x v="51"/>
    <x v="1"/>
    <m/>
  </r>
  <r>
    <x v="58"/>
    <m/>
    <x v="52"/>
    <s v="AS CSD"/>
    <x v="0"/>
    <m/>
    <x v="5"/>
    <x v="0"/>
    <x v="3"/>
    <n v="140000000"/>
    <x v="1"/>
    <x v="51"/>
    <x v="1"/>
    <m/>
  </r>
  <r>
    <x v="59"/>
    <m/>
    <x v="71"/>
    <s v="EPL"/>
    <x v="0"/>
    <m/>
    <x v="1"/>
    <x v="1"/>
    <x v="1"/>
    <n v="75000000"/>
    <x v="1"/>
    <x v="52"/>
    <x v="0"/>
    <m/>
  </r>
  <r>
    <x v="60"/>
    <m/>
    <x v="72"/>
    <s v="RC"/>
    <x v="0"/>
    <m/>
    <x v="1"/>
    <x v="0"/>
    <x v="2"/>
    <n v="2775000000"/>
    <x v="1"/>
    <x v="52"/>
    <x v="0"/>
    <m/>
  </r>
  <r>
    <x v="61"/>
    <s v="ST"/>
    <x v="73"/>
    <m/>
    <x v="0"/>
    <m/>
    <x v="12"/>
    <x v="1"/>
    <x v="4"/>
    <n v="371250000"/>
    <x v="1"/>
    <x v="53"/>
    <x v="0"/>
    <s v="PO#5200777589 amount PO IDR 371,250,000"/>
  </r>
  <r>
    <x v="62"/>
    <m/>
    <x v="74"/>
    <s v="AL"/>
    <x v="1"/>
    <m/>
    <x v="9"/>
    <x v="0"/>
    <x v="1"/>
    <n v="8000000000"/>
    <x v="1"/>
    <x v="53"/>
    <x v="1"/>
    <m/>
  </r>
  <r>
    <x v="1"/>
    <m/>
    <x v="75"/>
    <m/>
    <x v="0"/>
    <m/>
    <x v="1"/>
    <x v="0"/>
    <x v="1"/>
    <n v="60000000"/>
    <x v="1"/>
    <x v="54"/>
    <x v="0"/>
    <m/>
  </r>
  <r>
    <x v="63"/>
    <s v="Bali"/>
    <x v="76"/>
    <m/>
    <x v="0"/>
    <m/>
    <x v="9"/>
    <x v="0"/>
    <x v="1"/>
    <n v="78450000"/>
    <x v="5"/>
    <x v="13"/>
    <x v="2"/>
    <m/>
  </r>
  <r>
    <x v="64"/>
    <m/>
    <x v="77"/>
    <m/>
    <x v="1"/>
    <m/>
    <x v="9"/>
    <x v="1"/>
    <x v="1"/>
    <n v="3518000000"/>
    <x v="1"/>
    <x v="53"/>
    <x v="1"/>
    <m/>
  </r>
  <r>
    <x v="65"/>
    <m/>
    <x v="78"/>
    <m/>
    <x v="1"/>
    <m/>
    <x v="11"/>
    <x v="0"/>
    <x v="3"/>
    <n v="1900000000"/>
    <x v="1"/>
    <x v="55"/>
    <x v="1"/>
    <m/>
  </r>
  <r>
    <x v="66"/>
    <m/>
    <x v="79"/>
    <s v="AS CSD"/>
    <x v="1"/>
    <m/>
    <x v="11"/>
    <x v="0"/>
    <x v="1"/>
    <n v="4261261261"/>
    <x v="1"/>
    <x v="43"/>
    <x v="1"/>
    <s v="Menunggu TTD 3 direksi di Jakarta"/>
  </r>
  <r>
    <x v="67"/>
    <m/>
    <x v="80"/>
    <m/>
    <x v="0"/>
    <m/>
    <x v="1"/>
    <x v="0"/>
    <x v="1"/>
    <n v="167755000"/>
    <x v="1"/>
    <x v="50"/>
    <x v="0"/>
    <m/>
  </r>
  <r>
    <x v="67"/>
    <m/>
    <x v="81"/>
    <m/>
    <x v="0"/>
    <m/>
    <x v="1"/>
    <x v="0"/>
    <x v="1"/>
    <n v="95860000"/>
    <x v="1"/>
    <x v="50"/>
    <x v="0"/>
    <m/>
  </r>
  <r>
    <x v="68"/>
    <m/>
    <x v="32"/>
    <m/>
    <x v="1"/>
    <m/>
    <x v="10"/>
    <x v="1"/>
    <x v="3"/>
    <n v="49000000"/>
    <x v="1"/>
    <x v="56"/>
    <x v="1"/>
    <m/>
  </r>
  <r>
    <x v="69"/>
    <m/>
    <x v="1"/>
    <m/>
    <x v="1"/>
    <m/>
    <x v="11"/>
    <x v="3"/>
    <x v="3"/>
    <n v="19000000"/>
    <x v="1"/>
    <x v="57"/>
    <x v="1"/>
    <m/>
  </r>
  <r>
    <x v="67"/>
    <m/>
    <x v="82"/>
    <m/>
    <x v="0"/>
    <m/>
    <x v="1"/>
    <x v="0"/>
    <x v="1"/>
    <n v="190957000"/>
    <x v="1"/>
    <x v="58"/>
    <x v="0"/>
    <m/>
  </r>
  <r>
    <x v="67"/>
    <m/>
    <x v="83"/>
    <m/>
    <x v="0"/>
    <m/>
    <x v="1"/>
    <x v="1"/>
    <x v="1"/>
    <n v="17000000"/>
    <x v="1"/>
    <x v="58"/>
    <x v="0"/>
    <m/>
  </r>
  <r>
    <x v="70"/>
    <m/>
    <x v="84"/>
    <s v="WC CSD"/>
    <x v="0"/>
    <m/>
    <x v="9"/>
    <x v="0"/>
    <x v="3"/>
    <n v="2320000000"/>
    <x v="5"/>
    <x v="13"/>
    <x v="0"/>
    <s v="Budgeting Penggantian Water Cooled Centrifugal Chiller 550 TR x 1 Unit PT Manunggal Adipura Solo"/>
  </r>
  <r>
    <x v="71"/>
    <m/>
    <x v="85"/>
    <s v="WS CSD"/>
    <x v="0"/>
    <m/>
    <x v="9"/>
    <x v="0"/>
    <x v="3"/>
    <n v="1270000000"/>
    <x v="5"/>
    <x v="13"/>
    <x v="2"/>
    <s v="Rencana Replacement Brine Chiller Pabrik di Jakarta untuk Solvent Condensation"/>
  </r>
  <r>
    <x v="72"/>
    <m/>
    <x v="86"/>
    <m/>
    <x v="0"/>
    <s v="David"/>
    <x v="4"/>
    <x v="0"/>
    <x v="0"/>
    <n v="174000000"/>
    <x v="2"/>
    <x v="13"/>
    <x v="0"/>
    <s v="Sudah submit penawaran di 2026/04/22"/>
  </r>
  <r>
    <x v="73"/>
    <m/>
    <x v="87"/>
    <s v="AHU STD"/>
    <x v="0"/>
    <m/>
    <x v="9"/>
    <x v="0"/>
    <x v="1"/>
    <n v="168000000"/>
    <x v="5"/>
    <x v="13"/>
    <x v="0"/>
    <s v="Budgeting untuk penggantian AHU Lantai 5 Hotel Aryaduta Manado"/>
  </r>
  <r>
    <x v="74"/>
    <m/>
    <x v="88"/>
    <m/>
    <x v="0"/>
    <m/>
    <x v="9"/>
    <x v="1"/>
    <x v="1"/>
    <n v="342000000"/>
    <x v="5"/>
    <x v="13"/>
    <x v="0"/>
    <s v="Budgeting Renovasi Hotel Sutan Raja Manado"/>
  </r>
  <r>
    <x v="75"/>
    <m/>
    <x v="89"/>
    <s v="WC CSD"/>
    <x v="0"/>
    <m/>
    <x v="9"/>
    <x v="0"/>
    <x v="1"/>
    <n v="600000000"/>
    <x v="5"/>
    <x v="13"/>
    <x v="0"/>
    <s v="Budgeting penggantian WCP di PGS Surabaya"/>
  </r>
  <r>
    <x v="8"/>
    <m/>
    <x v="90"/>
    <m/>
    <x v="0"/>
    <m/>
    <x v="1"/>
    <x v="0"/>
    <x v="2"/>
    <n v="69008400"/>
    <x v="1"/>
    <x v="59"/>
    <x v="0"/>
    <m/>
  </r>
  <r>
    <x v="76"/>
    <m/>
    <x v="91"/>
    <m/>
    <x v="0"/>
    <m/>
    <x v="9"/>
    <x v="0"/>
    <x v="1"/>
    <n v="1250000000"/>
    <x v="5"/>
    <x v="13"/>
    <x v="2"/>
    <s v="Budgeting Replacement Chiller AC 170TR dengan menggunakan UAA175ST3 x 1 Unit"/>
  </r>
  <r>
    <x v="77"/>
    <m/>
    <x v="92"/>
    <m/>
    <x v="0"/>
    <m/>
    <x v="9"/>
    <x v="1"/>
    <x v="1"/>
    <n v="235000000"/>
    <x v="5"/>
    <x v="13"/>
    <x v="2"/>
    <s v="Budgeting Replacement AHU 40TR, AHU 50TR, kita akan coba buatkan untuk detail instalasinya"/>
  </r>
  <r>
    <x v="78"/>
    <m/>
    <x v="93"/>
    <s v="FCU DUC"/>
    <x v="0"/>
    <m/>
    <x v="9"/>
    <x v="0"/>
    <x v="3"/>
    <n v="108500000"/>
    <x v="5"/>
    <x v="13"/>
    <x v="0"/>
    <s v="Budgeting untuk penggantian HVAC 20PK di PT Megasurya Mas (Evaporator existing bocor)"/>
  </r>
  <r>
    <x v="79"/>
    <m/>
    <x v="94"/>
    <s v="FCU DUC"/>
    <x v="0"/>
    <m/>
    <x v="9"/>
    <x v="0"/>
    <x v="1"/>
    <n v="122300000"/>
    <x v="5"/>
    <x v="13"/>
    <x v="0"/>
    <s v="Budgeting untuk penggantian FCU existing"/>
  </r>
  <r>
    <x v="80"/>
    <m/>
    <x v="95"/>
    <m/>
    <x v="1"/>
    <m/>
    <x v="9"/>
    <x v="0"/>
    <x v="1"/>
    <n v="1950000000"/>
    <x v="1"/>
    <x v="60"/>
    <x v="1"/>
    <m/>
  </r>
  <r>
    <x v="75"/>
    <m/>
    <x v="96"/>
    <s v="FCU DUC"/>
    <x v="0"/>
    <m/>
    <x v="9"/>
    <x v="0"/>
    <x v="1"/>
    <n v="46800000"/>
    <x v="5"/>
    <x v="13"/>
    <x v="0"/>
    <s v="Budgeting penggantian FCU Double Six Bali"/>
  </r>
  <r>
    <x v="81"/>
    <m/>
    <x v="97"/>
    <s v="WS CSD"/>
    <x v="0"/>
    <m/>
    <x v="9"/>
    <x v="0"/>
    <x v="1"/>
    <n v="3000000000"/>
    <x v="5"/>
    <x v="13"/>
    <x v="0"/>
    <s v="Budgeting penggantian chiller Intiland Tower Surabaya, ada wacana kerjasama dengan synergy"/>
  </r>
  <r>
    <x v="82"/>
    <m/>
    <x v="98"/>
    <s v="WC CSD"/>
    <x v="0"/>
    <m/>
    <x v="9"/>
    <x v="0"/>
    <x v="3"/>
    <n v="1129398887"/>
    <x v="5"/>
    <x v="13"/>
    <x v="0"/>
    <s v="Final Nego already done, price daikin no 2."/>
  </r>
  <r>
    <x v="83"/>
    <m/>
    <x v="99"/>
    <s v="WS CSD"/>
    <x v="0"/>
    <m/>
    <x v="9"/>
    <x v="0"/>
    <x v="1"/>
    <n v="2100000000"/>
    <x v="5"/>
    <x v="13"/>
    <x v="0"/>
    <s v="Wacana Replacement Chiller 210 TR di JW Marriott Surabaya untuk menggantian Existing Chiller lama"/>
  </r>
  <r>
    <x v="84"/>
    <m/>
    <x v="100"/>
    <s v="AHU STD"/>
    <x v="0"/>
    <m/>
    <x v="9"/>
    <x v="0"/>
    <x v="1"/>
    <n v="697058000"/>
    <x v="5"/>
    <x v="13"/>
    <x v="0"/>
    <s v="Tender HVAC Additional Lantai 4 Solo Square, Design, Unit Split Duct and Instalation"/>
  </r>
  <r>
    <x v="71"/>
    <m/>
    <x v="101"/>
    <s v="AL"/>
    <x v="0"/>
    <m/>
    <x v="9"/>
    <x v="0"/>
    <x v="3"/>
    <n v="65500000"/>
    <x v="5"/>
    <x v="13"/>
    <x v="2"/>
    <s v="Rencana Replacement Chiller Cellindo Sigmaperkasa"/>
  </r>
  <r>
    <x v="84"/>
    <m/>
    <x v="102"/>
    <s v="AL"/>
    <x v="0"/>
    <m/>
    <x v="9"/>
    <x v="0"/>
    <x v="1"/>
    <n v="1100000000"/>
    <x v="5"/>
    <x v="13"/>
    <x v="0"/>
    <s v="Budgeting untuk wacana penggantian existing chiller Air Cooled Reciprocating YORK"/>
  </r>
  <r>
    <x v="75"/>
    <m/>
    <x v="103"/>
    <s v="AHU STD"/>
    <x v="0"/>
    <m/>
    <x v="9"/>
    <x v="0"/>
    <x v="1"/>
    <n v="120000000"/>
    <x v="5"/>
    <x v="13"/>
    <x v="0"/>
    <s v="Budgeting untuk penggantian AHU Meratus. ada opsi menggunakan DDB tetapi lead time lama"/>
  </r>
  <r>
    <x v="85"/>
    <m/>
    <x v="104"/>
    <s v="AS CSD"/>
    <x v="0"/>
    <m/>
    <x v="9"/>
    <x v="0"/>
    <x v="1"/>
    <n v="2000000000"/>
    <x v="5"/>
    <x v="13"/>
    <x v="0"/>
    <s v="Replacement Chiller Grand Inna Malioboro Jogjakarta"/>
  </r>
  <r>
    <x v="86"/>
    <m/>
    <x v="105"/>
    <s v="AHU STD"/>
    <x v="0"/>
    <m/>
    <x v="9"/>
    <x v="0"/>
    <x v="1"/>
    <n v="187000000"/>
    <x v="5"/>
    <x v="13"/>
    <x v="0"/>
    <s v="Budgeting Replacement AHU Plaza Malioboro"/>
  </r>
  <r>
    <x v="87"/>
    <m/>
    <x v="106"/>
    <s v="AL"/>
    <x v="0"/>
    <m/>
    <x v="9"/>
    <x v="1"/>
    <x v="1"/>
    <n v="1648200000"/>
    <x v="5"/>
    <x v="13"/>
    <x v="2"/>
    <s v="Budgeting untuk Club Sorong Papua"/>
  </r>
  <r>
    <x v="78"/>
    <m/>
    <x v="107"/>
    <s v="AL"/>
    <x v="0"/>
    <m/>
    <x v="9"/>
    <x v="0"/>
    <x v="3"/>
    <n v="85500000"/>
    <x v="5"/>
    <x v="13"/>
    <x v="0"/>
    <s v="AC Daikin Wall Mounted 2.5 PK and 2 PK"/>
  </r>
  <r>
    <x v="88"/>
    <m/>
    <x v="108"/>
    <s v="WC CSD"/>
    <x v="0"/>
    <m/>
    <x v="9"/>
    <x v="0"/>
    <x v="1"/>
    <n v="2300000000"/>
    <x v="5"/>
    <x v="13"/>
    <x v="2"/>
    <s v="Budgeting untuk replacement Chiller Plaza Surabaya"/>
  </r>
  <r>
    <x v="89"/>
    <m/>
    <x v="109"/>
    <s v="AL"/>
    <x v="0"/>
    <m/>
    <x v="9"/>
    <x v="0"/>
    <x v="3"/>
    <n v="120000000"/>
    <x v="5"/>
    <x v="13"/>
    <x v="0"/>
    <s v="Replacement Chiller Existing Kap 53 kW"/>
  </r>
  <r>
    <x v="90"/>
    <m/>
    <x v="110"/>
    <s v="AL"/>
    <x v="0"/>
    <m/>
    <x v="9"/>
    <x v="1"/>
    <x v="1"/>
    <n v="783000000"/>
    <x v="5"/>
    <x v="13"/>
    <x v="0"/>
    <s v="Renovasi Mall Tarakan"/>
  </r>
  <r>
    <x v="91"/>
    <m/>
    <x v="111"/>
    <s v="WS CSD"/>
    <x v="0"/>
    <m/>
    <x v="9"/>
    <x v="0"/>
    <x v="3"/>
    <n v="1150000000"/>
    <x v="5"/>
    <x v="13"/>
    <x v="0"/>
    <s v="Untuk replacement pabrik solo (unit ready stock UAL450D5-FC)"/>
  </r>
  <r>
    <x v="92"/>
    <m/>
    <x v="112"/>
    <s v="AL"/>
    <x v="0"/>
    <m/>
    <x v="9"/>
    <x v="0"/>
    <x v="3"/>
    <n v="70000000"/>
    <x v="5"/>
    <x v="13"/>
    <x v="0"/>
    <s v="Replacement Chiller Existing Kap 7 PK"/>
  </r>
  <r>
    <x v="93"/>
    <m/>
    <x v="113"/>
    <s v="AS VSD"/>
    <x v="0"/>
    <m/>
    <x v="9"/>
    <x v="0"/>
    <x v="1"/>
    <n v="1700000000"/>
    <x v="5"/>
    <x v="13"/>
    <x v="0"/>
    <s v="Replacement Chiller Islamic Center Samarinda, perbandingan dengan repair chiller"/>
  </r>
  <r>
    <x v="94"/>
    <m/>
    <x v="114"/>
    <s v="AL"/>
    <x v="0"/>
    <m/>
    <x v="9"/>
    <x v="0"/>
    <x v="1"/>
    <n v="1680000000"/>
    <x v="5"/>
    <x v="13"/>
    <x v="0"/>
    <s v="Replacement Chiller di Gor Segiri Samarinda"/>
  </r>
  <r>
    <x v="95"/>
    <m/>
    <x v="115"/>
    <s v="AL"/>
    <x v="0"/>
    <m/>
    <x v="9"/>
    <x v="1"/>
    <x v="3"/>
    <n v="280000000"/>
    <x v="5"/>
    <x v="13"/>
    <x v="0"/>
    <s v="Untuk replacement Daikin Oil Cooling Unit AKZ909-T C/W Tank"/>
  </r>
  <r>
    <x v="96"/>
    <m/>
    <x v="116"/>
    <s v="AL"/>
    <x v="0"/>
    <m/>
    <x v="9"/>
    <x v="0"/>
    <x v="3"/>
    <n v="163000000"/>
    <x v="5"/>
    <x v="13"/>
    <x v="0"/>
    <s v="EPL Clean Room Pasuruan"/>
  </r>
  <r>
    <x v="97"/>
    <s v="Bali"/>
    <x v="117"/>
    <s v="AL"/>
    <x v="0"/>
    <m/>
    <x v="9"/>
    <x v="0"/>
    <x v="1"/>
    <n v="80000000"/>
    <x v="5"/>
    <x v="13"/>
    <x v="0"/>
    <s v="Replacement Chiller Tanjung Benoa Indonesia"/>
  </r>
  <r>
    <x v="98"/>
    <m/>
    <x v="118"/>
    <m/>
    <x v="0"/>
    <m/>
    <x v="5"/>
    <x v="0"/>
    <x v="3"/>
    <n v="2603747175"/>
    <x v="1"/>
    <x v="61"/>
    <x v="1"/>
    <m/>
  </r>
  <r>
    <x v="55"/>
    <m/>
    <x v="7"/>
    <m/>
    <x v="1"/>
    <m/>
    <x v="10"/>
    <x v="1"/>
    <x v="1"/>
    <n v="256500000"/>
    <x v="1"/>
    <x v="62"/>
    <x v="1"/>
    <s v="PO PROCCESSED"/>
  </r>
  <r>
    <x v="55"/>
    <m/>
    <x v="7"/>
    <m/>
    <x v="1"/>
    <m/>
    <x v="10"/>
    <x v="1"/>
    <x v="1"/>
    <n v="110000000"/>
    <x v="1"/>
    <x v="62"/>
    <x v="1"/>
    <s v="PO PROCCESSED"/>
  </r>
  <r>
    <x v="99"/>
    <m/>
    <x v="119"/>
    <s v="AS CSD"/>
    <x v="1"/>
    <m/>
    <x v="9"/>
    <x v="0"/>
    <x v="1"/>
    <n v="750000000"/>
    <x v="1"/>
    <x v="63"/>
    <x v="1"/>
    <s v="Replacement Chiller Graha Pasific Surabaya"/>
  </r>
  <r>
    <x v="100"/>
    <m/>
    <x v="120"/>
    <s v="FCU DUC"/>
    <x v="1"/>
    <m/>
    <x v="9"/>
    <x v="0"/>
    <x v="3"/>
    <n v="90000000"/>
    <x v="1"/>
    <x v="64"/>
    <x v="1"/>
    <m/>
  </r>
  <r>
    <x v="46"/>
    <m/>
    <x v="53"/>
    <s v="AS CSD"/>
    <x v="0"/>
    <m/>
    <x v="5"/>
    <x v="0"/>
    <x v="3"/>
    <n v="620000000"/>
    <x v="1"/>
    <x v="61"/>
    <x v="1"/>
    <m/>
  </r>
  <r>
    <x v="101"/>
    <m/>
    <x v="53"/>
    <s v="AS CSD"/>
    <x v="0"/>
    <m/>
    <x v="5"/>
    <x v="0"/>
    <x v="3"/>
    <n v="164000000"/>
    <x v="1"/>
    <x v="61"/>
    <x v="1"/>
    <m/>
  </r>
  <r>
    <x v="102"/>
    <m/>
    <x v="121"/>
    <m/>
    <x v="1"/>
    <m/>
    <x v="10"/>
    <x v="1"/>
    <x v="3"/>
    <n v="14190000"/>
    <x v="1"/>
    <x v="65"/>
    <x v="0"/>
    <m/>
  </r>
  <r>
    <x v="103"/>
    <m/>
    <x v="122"/>
    <m/>
    <x v="0"/>
    <m/>
    <x v="1"/>
    <x v="1"/>
    <x v="2"/>
    <n v="40800000"/>
    <x v="1"/>
    <x v="66"/>
    <x v="0"/>
    <m/>
  </r>
  <r>
    <x v="104"/>
    <m/>
    <x v="123"/>
    <s v="WS CSD"/>
    <x v="1"/>
    <m/>
    <x v="9"/>
    <x v="0"/>
    <x v="3"/>
    <n v="840000000"/>
    <x v="1"/>
    <x v="67"/>
    <x v="1"/>
    <m/>
  </r>
  <r>
    <x v="105"/>
    <s v="Bali"/>
    <x v="124"/>
    <s v="WC CSD"/>
    <x v="0"/>
    <m/>
    <x v="9"/>
    <x v="0"/>
    <x v="1"/>
    <n v="2200000000"/>
    <x v="5"/>
    <x v="13"/>
    <x v="0"/>
    <s v="RC Chiller Rumah Luwih Beach Resort"/>
  </r>
  <r>
    <x v="67"/>
    <m/>
    <x v="125"/>
    <s v="FCU"/>
    <x v="0"/>
    <m/>
    <x v="1"/>
    <x v="0"/>
    <x v="1"/>
    <n v="24100000"/>
    <x v="1"/>
    <x v="66"/>
    <x v="0"/>
    <m/>
  </r>
  <r>
    <x v="106"/>
    <s v="ST"/>
    <x v="126"/>
    <m/>
    <x v="0"/>
    <m/>
    <x v="12"/>
    <x v="1"/>
    <x v="4"/>
    <n v="291515000"/>
    <x v="1"/>
    <x v="68"/>
    <x v="0"/>
    <s v="Kontrak No TP1000338-025 IDR 291,515,000"/>
  </r>
  <r>
    <x v="106"/>
    <s v="ST"/>
    <x v="127"/>
    <m/>
    <x v="0"/>
    <m/>
    <x v="12"/>
    <x v="1"/>
    <x v="4"/>
    <n v="60234800"/>
    <x v="1"/>
    <x v="68"/>
    <x v="0"/>
    <s v="Kontrak No TP1000338-025 IDR 60,234,800"/>
  </r>
  <r>
    <x v="1"/>
    <m/>
    <x v="62"/>
    <s v="AHU STD"/>
    <x v="0"/>
    <m/>
    <x v="1"/>
    <x v="0"/>
    <x v="1"/>
    <n v="350000000"/>
    <x v="1"/>
    <x v="69"/>
    <x v="0"/>
    <m/>
  </r>
  <r>
    <x v="8"/>
    <m/>
    <x v="128"/>
    <m/>
    <x v="0"/>
    <m/>
    <x v="1"/>
    <x v="0"/>
    <x v="2"/>
    <n v="500601000"/>
    <x v="1"/>
    <x v="70"/>
    <x v="0"/>
    <m/>
  </r>
  <r>
    <x v="107"/>
    <m/>
    <x v="129"/>
    <m/>
    <x v="0"/>
    <m/>
    <x v="1"/>
    <x v="0"/>
    <x v="3"/>
    <n v="100000000"/>
    <x v="1"/>
    <x v="70"/>
    <x v="0"/>
    <m/>
  </r>
  <r>
    <x v="8"/>
    <m/>
    <x v="130"/>
    <m/>
    <x v="0"/>
    <m/>
    <x v="1"/>
    <x v="0"/>
    <x v="2"/>
    <n v="500601000"/>
    <x v="1"/>
    <x v="70"/>
    <x v="0"/>
    <m/>
  </r>
  <r>
    <x v="108"/>
    <m/>
    <x v="131"/>
    <s v="AL"/>
    <x v="1"/>
    <m/>
    <x v="9"/>
    <x v="1"/>
    <x v="3"/>
    <n v="79000000"/>
    <x v="1"/>
    <x v="63"/>
    <x v="1"/>
    <m/>
  </r>
  <r>
    <x v="109"/>
    <m/>
    <x v="74"/>
    <s v="AL"/>
    <x v="1"/>
    <m/>
    <x v="9"/>
    <x v="0"/>
    <x v="3"/>
    <n v="500000000"/>
    <x v="1"/>
    <x v="71"/>
    <x v="1"/>
    <m/>
  </r>
  <r>
    <x v="67"/>
    <m/>
    <x v="132"/>
    <m/>
    <x v="0"/>
    <m/>
    <x v="1"/>
    <x v="0"/>
    <x v="1"/>
    <n v="700000000"/>
    <x v="1"/>
    <x v="72"/>
    <x v="0"/>
    <m/>
  </r>
  <r>
    <x v="110"/>
    <m/>
    <x v="133"/>
    <s v="AL"/>
    <x v="1"/>
    <m/>
    <x v="9"/>
    <x v="0"/>
    <x v="3"/>
    <n v="210000000"/>
    <x v="1"/>
    <x v="71"/>
    <x v="1"/>
    <m/>
  </r>
  <r>
    <x v="67"/>
    <m/>
    <x v="134"/>
    <m/>
    <x v="0"/>
    <m/>
    <x v="1"/>
    <x v="1"/>
    <x v="1"/>
    <n v="875000"/>
    <x v="1"/>
    <x v="72"/>
    <x v="0"/>
    <m/>
  </r>
  <r>
    <x v="111"/>
    <m/>
    <x v="36"/>
    <m/>
    <x v="1"/>
    <m/>
    <x v="11"/>
    <x v="0"/>
    <x v="3"/>
    <n v="2450000000"/>
    <x v="1"/>
    <x v="73"/>
    <x v="1"/>
    <m/>
  </r>
  <r>
    <x v="112"/>
    <m/>
    <x v="135"/>
    <s v="AL"/>
    <x v="1"/>
    <m/>
    <x v="9"/>
    <x v="1"/>
    <x v="3"/>
    <n v="79000000"/>
    <x v="1"/>
    <x v="63"/>
    <x v="1"/>
    <m/>
  </r>
  <r>
    <x v="113"/>
    <m/>
    <x v="136"/>
    <m/>
    <x v="1"/>
    <m/>
    <x v="10"/>
    <x v="0"/>
    <x v="3"/>
    <n v="1800000000"/>
    <x v="5"/>
    <x v="13"/>
    <x v="0"/>
    <s v="Hold"/>
  </r>
  <r>
    <x v="114"/>
    <m/>
    <x v="137"/>
    <s v="AL"/>
    <x v="1"/>
    <m/>
    <x v="9"/>
    <x v="1"/>
    <x v="1"/>
    <n v="174000000"/>
    <x v="1"/>
    <x v="63"/>
    <x v="1"/>
    <m/>
  </r>
  <r>
    <x v="115"/>
    <m/>
    <x v="22"/>
    <m/>
    <x v="0"/>
    <m/>
    <x v="8"/>
    <x v="0"/>
    <x v="3"/>
    <n v="3850000000"/>
    <x v="1"/>
    <x v="68"/>
    <x v="1"/>
    <s v="Already PO"/>
  </r>
  <r>
    <x v="115"/>
    <m/>
    <x v="138"/>
    <m/>
    <x v="0"/>
    <m/>
    <x v="8"/>
    <x v="1"/>
    <x v="3"/>
    <n v="496928200"/>
    <x v="1"/>
    <x v="68"/>
    <x v="1"/>
    <s v="Already PO"/>
  </r>
  <r>
    <x v="116"/>
    <m/>
    <x v="139"/>
    <s v="FCU DUC"/>
    <x v="1"/>
    <m/>
    <x v="9"/>
    <x v="0"/>
    <x v="3"/>
    <n v="12000000"/>
    <x v="1"/>
    <x v="74"/>
    <x v="1"/>
    <m/>
  </r>
  <r>
    <x v="117"/>
    <m/>
    <x v="22"/>
    <m/>
    <x v="0"/>
    <m/>
    <x v="8"/>
    <x v="0"/>
    <x v="3"/>
    <n v="161500000"/>
    <x v="1"/>
    <x v="68"/>
    <x v="1"/>
    <s v="Already PO"/>
  </r>
  <r>
    <x v="118"/>
    <m/>
    <x v="140"/>
    <m/>
    <x v="0"/>
    <m/>
    <x v="8"/>
    <x v="1"/>
    <x v="3"/>
    <n v="37273000"/>
    <x v="1"/>
    <x v="68"/>
    <x v="1"/>
    <s v="Already PO"/>
  </r>
  <r>
    <x v="46"/>
    <m/>
    <x v="52"/>
    <m/>
    <x v="0"/>
    <m/>
    <x v="5"/>
    <x v="0"/>
    <x v="3"/>
    <n v="85000000"/>
    <x v="1"/>
    <x v="75"/>
    <x v="1"/>
    <m/>
  </r>
  <r>
    <x v="119"/>
    <m/>
    <x v="7"/>
    <m/>
    <x v="1"/>
    <m/>
    <x v="11"/>
    <x v="1"/>
    <x v="0"/>
    <n v="5320000000"/>
    <x v="1"/>
    <x v="76"/>
    <x v="1"/>
    <m/>
  </r>
  <r>
    <x v="120"/>
    <m/>
    <x v="141"/>
    <m/>
    <x v="0"/>
    <m/>
    <x v="7"/>
    <x v="1"/>
    <x v="3"/>
    <n v="55320000"/>
    <x v="1"/>
    <x v="77"/>
    <x v="0"/>
    <s v="Close"/>
  </r>
  <r>
    <x v="120"/>
    <m/>
    <x v="142"/>
    <m/>
    <x v="0"/>
    <m/>
    <x v="7"/>
    <x v="1"/>
    <x v="3"/>
    <n v="42366249.5"/>
    <x v="1"/>
    <x v="77"/>
    <x v="0"/>
    <s v="Close"/>
  </r>
  <r>
    <x v="120"/>
    <m/>
    <x v="143"/>
    <m/>
    <x v="0"/>
    <m/>
    <x v="7"/>
    <x v="1"/>
    <x v="3"/>
    <n v="55320000"/>
    <x v="1"/>
    <x v="78"/>
    <x v="0"/>
    <s v="Close"/>
  </r>
  <r>
    <x v="120"/>
    <m/>
    <x v="144"/>
    <m/>
    <x v="0"/>
    <m/>
    <x v="7"/>
    <x v="1"/>
    <x v="3"/>
    <n v="42366249.5"/>
    <x v="1"/>
    <x v="78"/>
    <x v="0"/>
    <s v="Close"/>
  </r>
  <r>
    <x v="120"/>
    <m/>
    <x v="145"/>
    <m/>
    <x v="0"/>
    <m/>
    <x v="7"/>
    <x v="1"/>
    <x v="3"/>
    <n v="55320000"/>
    <x v="1"/>
    <x v="79"/>
    <x v="0"/>
    <s v="Close"/>
  </r>
  <r>
    <x v="120"/>
    <m/>
    <x v="146"/>
    <m/>
    <x v="0"/>
    <m/>
    <x v="7"/>
    <x v="1"/>
    <x v="3"/>
    <n v="42366249.5"/>
    <x v="1"/>
    <x v="79"/>
    <x v="0"/>
    <s v="Close"/>
  </r>
  <r>
    <x v="120"/>
    <m/>
    <x v="147"/>
    <m/>
    <x v="0"/>
    <m/>
    <x v="7"/>
    <x v="1"/>
    <x v="3"/>
    <n v="55320000"/>
    <x v="1"/>
    <x v="79"/>
    <x v="0"/>
    <s v="Close"/>
  </r>
  <r>
    <x v="120"/>
    <m/>
    <x v="148"/>
    <m/>
    <x v="0"/>
    <m/>
    <x v="7"/>
    <x v="1"/>
    <x v="3"/>
    <n v="42366249.5"/>
    <x v="1"/>
    <x v="79"/>
    <x v="0"/>
    <s v="Close"/>
  </r>
  <r>
    <x v="120"/>
    <m/>
    <x v="149"/>
    <m/>
    <x v="0"/>
    <m/>
    <x v="7"/>
    <x v="1"/>
    <x v="3"/>
    <n v="55320000"/>
    <x v="1"/>
    <x v="80"/>
    <x v="0"/>
    <s v="Close"/>
  </r>
  <r>
    <x v="120"/>
    <m/>
    <x v="150"/>
    <m/>
    <x v="0"/>
    <m/>
    <x v="7"/>
    <x v="1"/>
    <x v="3"/>
    <n v="42366249.5"/>
    <x v="1"/>
    <x v="80"/>
    <x v="0"/>
    <s v="Close"/>
  </r>
  <r>
    <x v="120"/>
    <m/>
    <x v="151"/>
    <m/>
    <x v="0"/>
    <m/>
    <x v="7"/>
    <x v="1"/>
    <x v="3"/>
    <n v="34165400"/>
    <x v="1"/>
    <x v="49"/>
    <x v="0"/>
    <m/>
  </r>
  <r>
    <x v="121"/>
    <m/>
    <x v="152"/>
    <m/>
    <x v="0"/>
    <m/>
    <x v="7"/>
    <x v="0"/>
    <x v="3"/>
    <n v="150000000"/>
    <x v="1"/>
    <x v="75"/>
    <x v="0"/>
    <m/>
  </r>
  <r>
    <x v="55"/>
    <m/>
    <x v="153"/>
    <m/>
    <x v="1"/>
    <m/>
    <x v="10"/>
    <x v="1"/>
    <x v="1"/>
    <n v="969000000"/>
    <x v="1"/>
    <x v="62"/>
    <x v="1"/>
    <s v="Budgeting Renovasi Hotel Sutan Raja Manado"/>
  </r>
  <r>
    <x v="55"/>
    <m/>
    <x v="154"/>
    <m/>
    <x v="1"/>
    <m/>
    <x v="10"/>
    <x v="1"/>
    <x v="1"/>
    <n v="196500000"/>
    <x v="1"/>
    <x v="62"/>
    <x v="1"/>
    <s v="Budgeting Renovasi Hotel Sutan Raja Manado"/>
  </r>
  <r>
    <x v="122"/>
    <m/>
    <x v="155"/>
    <m/>
    <x v="0"/>
    <m/>
    <x v="7"/>
    <x v="0"/>
    <x v="0"/>
    <n v="420000000"/>
    <x v="1"/>
    <x v="75"/>
    <x v="0"/>
    <m/>
  </r>
  <r>
    <x v="102"/>
    <m/>
    <x v="156"/>
    <m/>
    <x v="1"/>
    <m/>
    <x v="10"/>
    <x v="1"/>
    <x v="3"/>
    <n v="4730000"/>
    <x v="1"/>
    <x v="81"/>
    <x v="0"/>
    <m/>
  </r>
  <r>
    <x v="123"/>
    <m/>
    <x v="157"/>
    <m/>
    <x v="1"/>
    <m/>
    <x v="10"/>
    <x v="1"/>
    <x v="3"/>
    <n v="100000000"/>
    <x v="1"/>
    <x v="81"/>
    <x v="0"/>
    <m/>
  </r>
  <r>
    <x v="124"/>
    <m/>
    <x v="158"/>
    <m/>
    <x v="0"/>
    <m/>
    <x v="12"/>
    <x v="1"/>
    <x v="3"/>
    <n v="2223062400"/>
    <x v="1"/>
    <x v="65"/>
    <x v="0"/>
    <m/>
  </r>
  <r>
    <x v="124"/>
    <m/>
    <x v="159"/>
    <m/>
    <x v="0"/>
    <m/>
    <x v="12"/>
    <x v="1"/>
    <x v="3"/>
    <n v="1585693200"/>
    <x v="1"/>
    <x v="65"/>
    <x v="0"/>
    <m/>
  </r>
  <r>
    <x v="125"/>
    <m/>
    <x v="35"/>
    <m/>
    <x v="1"/>
    <m/>
    <x v="10"/>
    <x v="2"/>
    <x v="3"/>
    <n v="5800000"/>
    <x v="1"/>
    <x v="82"/>
    <x v="1"/>
    <m/>
  </r>
  <r>
    <x v="126"/>
    <m/>
    <x v="36"/>
    <m/>
    <x v="1"/>
    <m/>
    <x v="10"/>
    <x v="0"/>
    <x v="0"/>
    <n v="1260000000"/>
    <x v="1"/>
    <x v="83"/>
    <x v="1"/>
    <m/>
  </r>
  <r>
    <x v="102"/>
    <m/>
    <x v="7"/>
    <m/>
    <x v="1"/>
    <m/>
    <x v="10"/>
    <x v="1"/>
    <x v="3"/>
    <n v="56620000"/>
    <x v="1"/>
    <x v="84"/>
    <x v="1"/>
    <m/>
  </r>
  <r>
    <x v="98"/>
    <m/>
    <x v="35"/>
    <m/>
    <x v="1"/>
    <m/>
    <x v="10"/>
    <x v="2"/>
    <x v="0"/>
    <n v="5600000"/>
    <x v="1"/>
    <x v="84"/>
    <x v="1"/>
    <m/>
  </r>
  <r>
    <x v="127"/>
    <m/>
    <x v="34"/>
    <s v="WC VSD"/>
    <x v="1"/>
    <m/>
    <x v="10"/>
    <x v="0"/>
    <x v="3"/>
    <n v="10500000000"/>
    <x v="5"/>
    <x v="13"/>
    <x v="0"/>
    <m/>
  </r>
  <r>
    <x v="128"/>
    <m/>
    <x v="35"/>
    <m/>
    <x v="1"/>
    <m/>
    <x v="10"/>
    <x v="2"/>
    <x v="3"/>
    <n v="15757500"/>
    <x v="1"/>
    <x v="84"/>
    <x v="1"/>
    <m/>
  </r>
  <r>
    <x v="129"/>
    <m/>
    <x v="35"/>
    <m/>
    <x v="1"/>
    <m/>
    <x v="10"/>
    <x v="2"/>
    <x v="3"/>
    <n v="2000000"/>
    <x v="1"/>
    <x v="84"/>
    <x v="1"/>
    <m/>
  </r>
  <r>
    <x v="130"/>
    <m/>
    <x v="7"/>
    <m/>
    <x v="1"/>
    <m/>
    <x v="10"/>
    <x v="1"/>
    <x v="3"/>
    <n v="7150000"/>
    <x v="1"/>
    <x v="85"/>
    <x v="1"/>
    <m/>
  </r>
  <r>
    <x v="130"/>
    <m/>
    <x v="7"/>
    <m/>
    <x v="1"/>
    <m/>
    <x v="10"/>
    <x v="1"/>
    <x v="3"/>
    <n v="63270000"/>
    <x v="1"/>
    <x v="85"/>
    <x v="1"/>
    <m/>
  </r>
  <r>
    <x v="125"/>
    <m/>
    <x v="32"/>
    <m/>
    <x v="1"/>
    <m/>
    <x v="10"/>
    <x v="1"/>
    <x v="3"/>
    <n v="98850000"/>
    <x v="1"/>
    <x v="83"/>
    <x v="1"/>
    <m/>
  </r>
  <r>
    <x v="102"/>
    <m/>
    <x v="7"/>
    <m/>
    <x v="1"/>
    <m/>
    <x v="10"/>
    <x v="1"/>
    <x v="3"/>
    <n v="56260000"/>
    <x v="1"/>
    <x v="83"/>
    <x v="1"/>
    <m/>
  </r>
  <r>
    <x v="131"/>
    <m/>
    <x v="160"/>
    <m/>
    <x v="1"/>
    <m/>
    <x v="10"/>
    <x v="1"/>
    <x v="1"/>
    <n v="7709192000"/>
    <x v="1"/>
    <x v="86"/>
    <x v="0"/>
    <m/>
  </r>
  <r>
    <x v="132"/>
    <m/>
    <x v="161"/>
    <m/>
    <x v="1"/>
    <m/>
    <x v="10"/>
    <x v="0"/>
    <x v="3"/>
    <n v="350000000"/>
    <x v="1"/>
    <x v="86"/>
    <x v="0"/>
    <m/>
  </r>
  <r>
    <x v="133"/>
    <m/>
    <x v="162"/>
    <m/>
    <x v="1"/>
    <m/>
    <x v="11"/>
    <x v="0"/>
    <x v="3"/>
    <n v="72000000"/>
    <x v="1"/>
    <x v="87"/>
    <x v="0"/>
    <m/>
  </r>
  <r>
    <x v="134"/>
    <m/>
    <x v="163"/>
    <m/>
    <x v="1"/>
    <m/>
    <x v="9"/>
    <x v="0"/>
    <x v="3"/>
    <n v="95000000"/>
    <x v="1"/>
    <x v="81"/>
    <x v="0"/>
    <m/>
  </r>
  <r>
    <x v="40"/>
    <m/>
    <x v="164"/>
    <m/>
    <x v="1"/>
    <m/>
    <x v="9"/>
    <x v="0"/>
    <x v="3"/>
    <n v="12000000"/>
    <x v="1"/>
    <x v="81"/>
    <x v="0"/>
    <m/>
  </r>
  <r>
    <x v="135"/>
    <m/>
    <x v="1"/>
    <m/>
    <x v="1"/>
    <m/>
    <x v="11"/>
    <x v="1"/>
    <x v="3"/>
    <n v="19000000"/>
    <x v="1"/>
    <x v="64"/>
    <x v="1"/>
    <m/>
  </r>
  <r>
    <x v="136"/>
    <m/>
    <x v="7"/>
    <m/>
    <x v="1"/>
    <m/>
    <x v="11"/>
    <x v="0"/>
    <x v="3"/>
    <n v="140000000"/>
    <x v="1"/>
    <x v="76"/>
    <x v="1"/>
    <m/>
  </r>
  <r>
    <x v="8"/>
    <m/>
    <x v="165"/>
    <s v="AHU STD"/>
    <x v="0"/>
    <m/>
    <x v="1"/>
    <x v="0"/>
    <x v="2"/>
    <n v="1726550000"/>
    <x v="1"/>
    <x v="63"/>
    <x v="0"/>
    <m/>
  </r>
  <r>
    <x v="137"/>
    <m/>
    <x v="166"/>
    <s v="AHU STD"/>
    <x v="0"/>
    <m/>
    <x v="1"/>
    <x v="0"/>
    <x v="2"/>
    <n v="731053564"/>
    <x v="1"/>
    <x v="63"/>
    <x v="0"/>
    <m/>
  </r>
  <r>
    <x v="67"/>
    <m/>
    <x v="167"/>
    <s v="FCU"/>
    <x v="0"/>
    <m/>
    <x v="1"/>
    <x v="0"/>
    <x v="1"/>
    <n v="63222000"/>
    <x v="1"/>
    <x v="88"/>
    <x v="0"/>
    <m/>
  </r>
  <r>
    <x v="8"/>
    <m/>
    <x v="168"/>
    <m/>
    <x v="0"/>
    <m/>
    <x v="1"/>
    <x v="0"/>
    <x v="2"/>
    <n v="437017400"/>
    <x v="1"/>
    <x v="63"/>
    <x v="0"/>
    <m/>
  </r>
  <r>
    <x v="120"/>
    <m/>
    <x v="169"/>
    <m/>
    <x v="0"/>
    <m/>
    <x v="7"/>
    <x v="1"/>
    <x v="3"/>
    <n v="21685400"/>
    <x v="1"/>
    <x v="49"/>
    <x v="0"/>
    <m/>
  </r>
  <r>
    <x v="138"/>
    <m/>
    <x v="170"/>
    <m/>
    <x v="0"/>
    <m/>
    <x v="7"/>
    <x v="1"/>
    <x v="3"/>
    <n v="757926000"/>
    <x v="1"/>
    <x v="80"/>
    <x v="0"/>
    <m/>
  </r>
  <r>
    <x v="139"/>
    <m/>
    <x v="171"/>
    <m/>
    <x v="0"/>
    <m/>
    <x v="6"/>
    <x v="0"/>
    <x v="3"/>
    <n v="360000000"/>
    <x v="1"/>
    <x v="75"/>
    <x v="0"/>
    <s v="PO"/>
  </r>
  <r>
    <x v="140"/>
    <m/>
    <x v="26"/>
    <m/>
    <x v="0"/>
    <m/>
    <x v="6"/>
    <x v="1"/>
    <x v="1"/>
    <n v="82000000"/>
    <x v="1"/>
    <x v="89"/>
    <x v="0"/>
    <s v="PO"/>
  </r>
  <r>
    <x v="141"/>
    <m/>
    <x v="172"/>
    <m/>
    <x v="0"/>
    <m/>
    <x v="1"/>
    <x v="0"/>
    <x v="3"/>
    <n v="1038000000"/>
    <x v="1"/>
    <x v="83"/>
    <x v="0"/>
    <m/>
  </r>
  <r>
    <x v="142"/>
    <m/>
    <x v="22"/>
    <s v="WCP"/>
    <x v="0"/>
    <m/>
    <x v="8"/>
    <x v="0"/>
    <x v="3"/>
    <n v="748000000"/>
    <x v="1"/>
    <x v="90"/>
    <x v="1"/>
    <s v="Already PO"/>
  </r>
  <r>
    <x v="143"/>
    <m/>
    <x v="173"/>
    <m/>
    <x v="0"/>
    <m/>
    <x v="8"/>
    <x v="1"/>
    <x v="1"/>
    <n v="425059995"/>
    <x v="1"/>
    <x v="90"/>
    <x v="1"/>
    <s v="Already PO"/>
  </r>
  <r>
    <x v="144"/>
    <m/>
    <x v="174"/>
    <m/>
    <x v="0"/>
    <m/>
    <x v="8"/>
    <x v="1"/>
    <x v="1"/>
    <n v="11087304"/>
    <x v="1"/>
    <x v="90"/>
    <x v="1"/>
    <s v="Already PO"/>
  </r>
  <r>
    <x v="145"/>
    <m/>
    <x v="175"/>
    <m/>
    <x v="1"/>
    <m/>
    <x v="9"/>
    <x v="0"/>
    <x v="3"/>
    <n v="199000000"/>
    <x v="1"/>
    <x v="91"/>
    <x v="0"/>
    <m/>
  </r>
  <r>
    <x v="146"/>
    <m/>
    <x v="176"/>
    <m/>
    <x v="1"/>
    <m/>
    <x v="9"/>
    <x v="1"/>
    <x v="1"/>
    <n v="258600000"/>
    <x v="1"/>
    <x v="91"/>
    <x v="0"/>
    <m/>
  </r>
  <r>
    <x v="146"/>
    <m/>
    <x v="177"/>
    <m/>
    <x v="1"/>
    <m/>
    <x v="9"/>
    <x v="1"/>
    <x v="1"/>
    <n v="53400000"/>
    <x v="1"/>
    <x v="91"/>
    <x v="0"/>
    <m/>
  </r>
  <r>
    <x v="147"/>
    <m/>
    <x v="178"/>
    <m/>
    <x v="1"/>
    <m/>
    <x v="9"/>
    <x v="0"/>
    <x v="1"/>
    <n v="143000000"/>
    <x v="1"/>
    <x v="91"/>
    <x v="0"/>
    <m/>
  </r>
  <r>
    <x v="148"/>
    <m/>
    <x v="179"/>
    <m/>
    <x v="1"/>
    <m/>
    <x v="3"/>
    <x v="0"/>
    <x v="1"/>
    <n v="51000000"/>
    <x v="1"/>
    <x v="92"/>
    <x v="1"/>
    <s v="Already PO"/>
  </r>
  <r>
    <x v="149"/>
    <m/>
    <x v="22"/>
    <s v="WS"/>
    <x v="0"/>
    <m/>
    <x v="8"/>
    <x v="1"/>
    <x v="1"/>
    <n v="1670000000"/>
    <x v="1"/>
    <x v="90"/>
    <x v="1"/>
    <s v="Already PO"/>
  </r>
  <r>
    <x v="149"/>
    <m/>
    <x v="180"/>
    <m/>
    <x v="0"/>
    <m/>
    <x v="8"/>
    <x v="1"/>
    <x v="1"/>
    <n v="780000000"/>
    <x v="1"/>
    <x v="90"/>
    <x v="1"/>
    <s v="Already PO"/>
  </r>
  <r>
    <x v="150"/>
    <m/>
    <x v="52"/>
    <m/>
    <x v="1"/>
    <m/>
    <x v="11"/>
    <x v="0"/>
    <x v="0"/>
    <n v="215000000"/>
    <x v="1"/>
    <x v="14"/>
    <x v="1"/>
    <s v="Proses SO"/>
  </r>
  <r>
    <x v="151"/>
    <m/>
    <x v="181"/>
    <m/>
    <x v="0"/>
    <m/>
    <x v="8"/>
    <x v="1"/>
    <x v="3"/>
    <n v="1613696000"/>
    <x v="1"/>
    <x v="90"/>
    <x v="1"/>
    <s v="Already PO"/>
  </r>
  <r>
    <x v="53"/>
    <m/>
    <x v="182"/>
    <m/>
    <x v="0"/>
    <m/>
    <x v="8"/>
    <x v="1"/>
    <x v="1"/>
    <n v="550000000"/>
    <x v="1"/>
    <x v="90"/>
    <x v="1"/>
    <s v="Already PO"/>
  </r>
  <r>
    <x v="67"/>
    <m/>
    <x v="183"/>
    <m/>
    <x v="0"/>
    <m/>
    <x v="1"/>
    <x v="1"/>
    <x v="1"/>
    <n v="140406000"/>
    <x v="1"/>
    <x v="93"/>
    <x v="1"/>
    <m/>
  </r>
  <r>
    <x v="152"/>
    <m/>
    <x v="184"/>
    <s v="AS CSD"/>
    <x v="0"/>
    <m/>
    <x v="5"/>
    <x v="0"/>
    <x v="3"/>
    <n v="1185000000"/>
    <x v="1"/>
    <x v="83"/>
    <x v="1"/>
    <m/>
  </r>
  <r>
    <x v="153"/>
    <m/>
    <x v="185"/>
    <m/>
    <x v="0"/>
    <m/>
    <x v="8"/>
    <x v="1"/>
    <x v="3"/>
    <n v="306618000"/>
    <x v="1"/>
    <x v="90"/>
    <x v="1"/>
    <s v="Already PO"/>
  </r>
  <r>
    <x v="154"/>
    <m/>
    <x v="186"/>
    <s v="FCU DUC"/>
    <x v="1"/>
    <m/>
    <x v="9"/>
    <x v="1"/>
    <x v="1"/>
    <n v="424500000"/>
    <x v="1"/>
    <x v="94"/>
    <x v="1"/>
    <m/>
  </r>
  <r>
    <x v="155"/>
    <m/>
    <x v="187"/>
    <m/>
    <x v="0"/>
    <m/>
    <x v="7"/>
    <x v="0"/>
    <x v="3"/>
    <n v="729000000"/>
    <x v="1"/>
    <x v="83"/>
    <x v="1"/>
    <s v="1st Quotation"/>
  </r>
  <r>
    <x v="155"/>
    <m/>
    <x v="188"/>
    <m/>
    <x v="0"/>
    <m/>
    <x v="7"/>
    <x v="1"/>
    <x v="3"/>
    <n v="2601000000"/>
    <x v="1"/>
    <x v="83"/>
    <x v="1"/>
    <s v="1st Quotation"/>
  </r>
  <r>
    <x v="120"/>
    <m/>
    <x v="189"/>
    <m/>
    <x v="0"/>
    <m/>
    <x v="7"/>
    <x v="1"/>
    <x v="3"/>
    <n v="55320000"/>
    <x v="1"/>
    <x v="83"/>
    <x v="0"/>
    <s v="Close"/>
  </r>
  <r>
    <x v="120"/>
    <m/>
    <x v="190"/>
    <m/>
    <x v="0"/>
    <m/>
    <x v="7"/>
    <x v="1"/>
    <x v="3"/>
    <n v="42366249.5"/>
    <x v="1"/>
    <x v="83"/>
    <x v="0"/>
    <s v="Close"/>
  </r>
  <r>
    <x v="156"/>
    <m/>
    <x v="191"/>
    <m/>
    <x v="0"/>
    <m/>
    <x v="1"/>
    <x v="0"/>
    <x v="1"/>
    <n v="438333333"/>
    <x v="1"/>
    <x v="95"/>
    <x v="0"/>
    <m/>
  </r>
  <r>
    <x v="157"/>
    <m/>
    <x v="192"/>
    <m/>
    <x v="0"/>
    <m/>
    <x v="1"/>
    <x v="4"/>
    <x v="3"/>
    <n v="228600000"/>
    <x v="1"/>
    <x v="96"/>
    <x v="0"/>
    <m/>
  </r>
  <r>
    <x v="158"/>
    <m/>
    <x v="7"/>
    <m/>
    <x v="1"/>
    <m/>
    <x v="11"/>
    <x v="0"/>
    <x v="3"/>
    <n v="16300000"/>
    <x v="1"/>
    <x v="97"/>
    <x v="1"/>
    <m/>
  </r>
  <r>
    <x v="67"/>
    <m/>
    <x v="193"/>
    <m/>
    <x v="0"/>
    <m/>
    <x v="1"/>
    <x v="1"/>
    <x v="1"/>
    <n v="1490000000"/>
    <x v="1"/>
    <x v="98"/>
    <x v="0"/>
    <m/>
  </r>
  <r>
    <x v="41"/>
    <m/>
    <x v="194"/>
    <m/>
    <x v="1"/>
    <m/>
    <x v="11"/>
    <x v="1"/>
    <x v="3"/>
    <n v="19000000"/>
    <x v="1"/>
    <x v="99"/>
    <x v="0"/>
    <m/>
  </r>
  <r>
    <x v="67"/>
    <m/>
    <x v="195"/>
    <m/>
    <x v="0"/>
    <m/>
    <x v="1"/>
    <x v="0"/>
    <x v="1"/>
    <n v="224246800"/>
    <x v="1"/>
    <x v="96"/>
    <x v="0"/>
    <m/>
  </r>
  <r>
    <x v="67"/>
    <m/>
    <x v="196"/>
    <m/>
    <x v="0"/>
    <m/>
    <x v="1"/>
    <x v="0"/>
    <x v="1"/>
    <n v="12390000"/>
    <x v="1"/>
    <x v="30"/>
    <x v="0"/>
    <m/>
  </r>
  <r>
    <x v="67"/>
    <m/>
    <x v="197"/>
    <m/>
    <x v="0"/>
    <m/>
    <x v="1"/>
    <x v="1"/>
    <x v="1"/>
    <n v="51000000"/>
    <x v="1"/>
    <x v="100"/>
    <x v="0"/>
    <m/>
  </r>
  <r>
    <x v="67"/>
    <m/>
    <x v="198"/>
    <s v="AHU STD"/>
    <x v="0"/>
    <m/>
    <x v="1"/>
    <x v="0"/>
    <x v="1"/>
    <n v="572871000"/>
    <x v="1"/>
    <x v="98"/>
    <x v="0"/>
    <m/>
  </r>
  <r>
    <x v="67"/>
    <m/>
    <x v="199"/>
    <m/>
    <x v="0"/>
    <m/>
    <x v="1"/>
    <x v="1"/>
    <x v="1"/>
    <n v="157094000"/>
    <x v="1"/>
    <x v="96"/>
    <x v="1"/>
    <m/>
  </r>
  <r>
    <x v="159"/>
    <m/>
    <x v="200"/>
    <m/>
    <x v="0"/>
    <m/>
    <x v="8"/>
    <x v="1"/>
    <x v="1"/>
    <n v="500000000"/>
    <x v="1"/>
    <x v="96"/>
    <x v="1"/>
    <s v="Already PO"/>
  </r>
  <r>
    <x v="160"/>
    <m/>
    <x v="201"/>
    <m/>
    <x v="0"/>
    <m/>
    <x v="5"/>
    <x v="0"/>
    <x v="1"/>
    <n v="4050500000"/>
    <x v="1"/>
    <x v="101"/>
    <x v="1"/>
    <m/>
  </r>
  <r>
    <x v="161"/>
    <m/>
    <x v="202"/>
    <m/>
    <x v="0"/>
    <m/>
    <x v="5"/>
    <x v="0"/>
    <x v="3"/>
    <n v="1300000000"/>
    <x v="1"/>
    <x v="101"/>
    <x v="1"/>
    <m/>
  </r>
  <r>
    <x v="160"/>
    <m/>
    <x v="203"/>
    <m/>
    <x v="0"/>
    <m/>
    <x v="5"/>
    <x v="1"/>
    <x v="1"/>
    <n v="55000000"/>
    <x v="1"/>
    <x v="101"/>
    <x v="1"/>
    <m/>
  </r>
  <r>
    <x v="124"/>
    <m/>
    <x v="204"/>
    <m/>
    <x v="0"/>
    <m/>
    <x v="12"/>
    <x v="1"/>
    <x v="3"/>
    <n v="653240000"/>
    <x v="1"/>
    <x v="46"/>
    <x v="0"/>
    <m/>
  </r>
  <r>
    <x v="162"/>
    <m/>
    <x v="205"/>
    <m/>
    <x v="0"/>
    <m/>
    <x v="8"/>
    <x v="0"/>
    <x v="3"/>
    <n v="56000000"/>
    <x v="1"/>
    <x v="102"/>
    <x v="1"/>
    <s v="Already PO"/>
  </r>
  <r>
    <x v="121"/>
    <m/>
    <x v="206"/>
    <m/>
    <x v="0"/>
    <m/>
    <x v="5"/>
    <x v="0"/>
    <x v="3"/>
    <n v="33000000"/>
    <x v="1"/>
    <x v="101"/>
    <x v="1"/>
    <m/>
  </r>
  <r>
    <x v="34"/>
    <m/>
    <x v="207"/>
    <m/>
    <x v="0"/>
    <m/>
    <x v="5"/>
    <x v="1"/>
    <x v="3"/>
    <n v="102809000"/>
    <x v="1"/>
    <x v="101"/>
    <x v="1"/>
    <m/>
  </r>
  <r>
    <x v="34"/>
    <m/>
    <x v="208"/>
    <m/>
    <x v="0"/>
    <m/>
    <x v="5"/>
    <x v="1"/>
    <x v="3"/>
    <n v="633191000"/>
    <x v="1"/>
    <x v="101"/>
    <x v="1"/>
    <m/>
  </r>
  <r>
    <x v="34"/>
    <m/>
    <x v="209"/>
    <m/>
    <x v="0"/>
    <m/>
    <x v="5"/>
    <x v="1"/>
    <x v="3"/>
    <n v="155988000"/>
    <x v="1"/>
    <x v="101"/>
    <x v="1"/>
    <m/>
  </r>
  <r>
    <x v="67"/>
    <m/>
    <x v="210"/>
    <m/>
    <x v="0"/>
    <m/>
    <x v="1"/>
    <x v="0"/>
    <x v="1"/>
    <n v="97350000"/>
    <x v="1"/>
    <x v="101"/>
    <x v="0"/>
    <m/>
  </r>
  <r>
    <x v="163"/>
    <m/>
    <x v="211"/>
    <m/>
    <x v="1"/>
    <m/>
    <x v="11"/>
    <x v="0"/>
    <x v="3"/>
    <n v="50000000"/>
    <x v="1"/>
    <x v="76"/>
    <x v="1"/>
    <m/>
  </r>
  <r>
    <x v="164"/>
    <m/>
    <x v="212"/>
    <m/>
    <x v="0"/>
    <m/>
    <x v="1"/>
    <x v="0"/>
    <x v="1"/>
    <n v="2820000000"/>
    <x v="1"/>
    <x v="46"/>
    <x v="0"/>
    <m/>
  </r>
  <r>
    <x v="67"/>
    <m/>
    <x v="213"/>
    <m/>
    <x v="0"/>
    <m/>
    <x v="1"/>
    <x v="0"/>
    <x v="1"/>
    <n v="143790000"/>
    <x v="1"/>
    <x v="46"/>
    <x v="0"/>
    <m/>
  </r>
  <r>
    <x v="165"/>
    <m/>
    <x v="214"/>
    <m/>
    <x v="0"/>
    <m/>
    <x v="8"/>
    <x v="0"/>
    <x v="3"/>
    <n v="3550000000"/>
    <x v="1"/>
    <x v="102"/>
    <x v="1"/>
    <s v="Already PO"/>
  </r>
  <r>
    <x v="166"/>
    <m/>
    <x v="215"/>
    <m/>
    <x v="0"/>
    <m/>
    <x v="8"/>
    <x v="1"/>
    <x v="3"/>
    <n v="155000000"/>
    <x v="1"/>
    <x v="102"/>
    <x v="1"/>
    <s v="Already PO"/>
  </r>
  <r>
    <x v="167"/>
    <m/>
    <x v="216"/>
    <m/>
    <x v="1"/>
    <m/>
    <x v="10"/>
    <x v="1"/>
    <x v="1"/>
    <n v="1650000000"/>
    <x v="2"/>
    <x v="103"/>
    <x v="0"/>
    <m/>
  </r>
  <r>
    <x v="168"/>
    <m/>
    <x v="217"/>
    <m/>
    <x v="1"/>
    <m/>
    <x v="10"/>
    <x v="0"/>
    <x v="1"/>
    <n v="2650000000"/>
    <x v="2"/>
    <x v="103"/>
    <x v="0"/>
    <m/>
  </r>
  <r>
    <x v="169"/>
    <m/>
    <x v="218"/>
    <m/>
    <x v="0"/>
    <m/>
    <x v="1"/>
    <x v="0"/>
    <x v="3"/>
    <n v="570000000"/>
    <x v="1"/>
    <x v="46"/>
    <x v="0"/>
    <m/>
  </r>
  <r>
    <x v="170"/>
    <m/>
    <x v="7"/>
    <m/>
    <x v="1"/>
    <m/>
    <x v="11"/>
    <x v="1"/>
    <x v="1"/>
    <n v="490000000"/>
    <x v="1"/>
    <x v="97"/>
    <x v="1"/>
    <m/>
  </r>
  <r>
    <x v="171"/>
    <m/>
    <x v="1"/>
    <m/>
    <x v="1"/>
    <m/>
    <x v="11"/>
    <x v="3"/>
    <x v="3"/>
    <n v="117000000"/>
    <x v="1"/>
    <x v="52"/>
    <x v="1"/>
    <m/>
  </r>
  <r>
    <x v="172"/>
    <m/>
    <x v="219"/>
    <m/>
    <x v="0"/>
    <m/>
    <x v="5"/>
    <x v="1"/>
    <x v="3"/>
    <n v="19000000"/>
    <x v="1"/>
    <x v="101"/>
    <x v="1"/>
    <m/>
  </r>
  <r>
    <x v="173"/>
    <m/>
    <x v="7"/>
    <m/>
    <x v="1"/>
    <m/>
    <x v="11"/>
    <x v="1"/>
    <x v="2"/>
    <n v="700000000"/>
    <x v="1"/>
    <x v="52"/>
    <x v="1"/>
    <m/>
  </r>
  <r>
    <x v="174"/>
    <m/>
    <x v="220"/>
    <s v="AL"/>
    <x v="1"/>
    <m/>
    <x v="9"/>
    <x v="0"/>
    <x v="1"/>
    <n v="185000000"/>
    <x v="1"/>
    <x v="104"/>
    <x v="1"/>
    <m/>
  </r>
  <r>
    <x v="120"/>
    <m/>
    <x v="221"/>
    <m/>
    <x v="0"/>
    <m/>
    <x v="7"/>
    <x v="1"/>
    <x v="3"/>
    <n v="55000000"/>
    <x v="1"/>
    <x v="105"/>
    <x v="0"/>
    <s v="Close"/>
  </r>
  <r>
    <x v="120"/>
    <m/>
    <x v="222"/>
    <m/>
    <x v="0"/>
    <m/>
    <x v="7"/>
    <x v="1"/>
    <x v="3"/>
    <n v="42366249.5"/>
    <x v="1"/>
    <x v="105"/>
    <x v="0"/>
    <s v="Close"/>
  </r>
  <r>
    <x v="175"/>
    <m/>
    <x v="223"/>
    <s v="AL"/>
    <x v="1"/>
    <m/>
    <x v="9"/>
    <x v="0"/>
    <x v="3"/>
    <n v="210000000"/>
    <x v="1"/>
    <x v="104"/>
    <x v="1"/>
    <m/>
  </r>
  <r>
    <x v="176"/>
    <m/>
    <x v="7"/>
    <m/>
    <x v="1"/>
    <m/>
    <x v="11"/>
    <x v="1"/>
    <x v="1"/>
    <n v="161010000"/>
    <x v="1"/>
    <x v="106"/>
    <x v="0"/>
    <m/>
  </r>
  <r>
    <x v="177"/>
    <m/>
    <x v="224"/>
    <m/>
    <x v="0"/>
    <m/>
    <x v="5"/>
    <x v="0"/>
    <x v="0"/>
    <n v="22170000"/>
    <x v="1"/>
    <x v="81"/>
    <x v="1"/>
    <m/>
  </r>
  <r>
    <x v="178"/>
    <m/>
    <x v="225"/>
    <m/>
    <x v="0"/>
    <m/>
    <x v="7"/>
    <x v="0"/>
    <x v="3"/>
    <n v="2905673000.8899999"/>
    <x v="1"/>
    <x v="107"/>
    <x v="0"/>
    <m/>
  </r>
  <r>
    <x v="178"/>
    <m/>
    <x v="226"/>
    <m/>
    <x v="0"/>
    <m/>
    <x v="7"/>
    <x v="1"/>
    <x v="3"/>
    <n v="634566954.95000005"/>
    <x v="1"/>
    <x v="107"/>
    <x v="0"/>
    <m/>
  </r>
  <r>
    <x v="179"/>
    <m/>
    <x v="227"/>
    <m/>
    <x v="0"/>
    <m/>
    <x v="8"/>
    <x v="1"/>
    <x v="3"/>
    <n v="92758000"/>
    <x v="1"/>
    <x v="108"/>
    <x v="1"/>
    <s v="Already PO"/>
  </r>
  <r>
    <x v="67"/>
    <m/>
    <x v="228"/>
    <m/>
    <x v="0"/>
    <m/>
    <x v="1"/>
    <x v="1"/>
    <x v="1"/>
    <n v="299487400"/>
    <x v="1"/>
    <x v="86"/>
    <x v="0"/>
    <m/>
  </r>
  <r>
    <x v="180"/>
    <m/>
    <x v="229"/>
    <m/>
    <x v="0"/>
    <m/>
    <x v="1"/>
    <x v="0"/>
    <x v="1"/>
    <n v="80000000"/>
    <x v="1"/>
    <x v="109"/>
    <x v="0"/>
    <m/>
  </r>
  <r>
    <x v="67"/>
    <m/>
    <x v="230"/>
    <m/>
    <x v="0"/>
    <m/>
    <x v="1"/>
    <x v="0"/>
    <x v="1"/>
    <n v="858450000"/>
    <x v="1"/>
    <x v="110"/>
    <x v="0"/>
    <m/>
  </r>
  <r>
    <x v="120"/>
    <m/>
    <x v="231"/>
    <m/>
    <x v="0"/>
    <m/>
    <x v="7"/>
    <x v="1"/>
    <x v="3"/>
    <n v="55000000"/>
    <x v="1"/>
    <x v="107"/>
    <x v="0"/>
    <s v="Close"/>
  </r>
  <r>
    <x v="120"/>
    <m/>
    <x v="232"/>
    <m/>
    <x v="0"/>
    <m/>
    <x v="7"/>
    <x v="1"/>
    <x v="3"/>
    <n v="42366249.5"/>
    <x v="1"/>
    <x v="107"/>
    <x v="0"/>
    <s v="Close"/>
  </r>
  <r>
    <x v="67"/>
    <m/>
    <x v="233"/>
    <m/>
    <x v="0"/>
    <m/>
    <x v="1"/>
    <x v="0"/>
    <x v="1"/>
    <n v="120000000"/>
    <x v="1"/>
    <x v="110"/>
    <x v="0"/>
    <m/>
  </r>
  <r>
    <x v="181"/>
    <m/>
    <x v="234"/>
    <s v="WC MB"/>
    <x v="1"/>
    <m/>
    <x v="9"/>
    <x v="0"/>
    <x v="1"/>
    <n v="11950000000"/>
    <x v="1"/>
    <x v="111"/>
    <x v="1"/>
    <m/>
  </r>
  <r>
    <x v="182"/>
    <m/>
    <x v="235"/>
    <m/>
    <x v="0"/>
    <m/>
    <x v="1"/>
    <x v="0"/>
    <x v="1"/>
    <n v="699000000"/>
    <x v="1"/>
    <x v="112"/>
    <x v="0"/>
    <m/>
  </r>
  <r>
    <x v="121"/>
    <m/>
    <x v="236"/>
    <m/>
    <x v="0"/>
    <m/>
    <x v="7"/>
    <x v="0"/>
    <x v="3"/>
    <n v="57500000"/>
    <x v="1"/>
    <x v="112"/>
    <x v="0"/>
    <m/>
  </r>
  <r>
    <x v="183"/>
    <m/>
    <x v="237"/>
    <s v="AL"/>
    <x v="1"/>
    <m/>
    <x v="10"/>
    <x v="0"/>
    <x v="0"/>
    <n v="110250000"/>
    <x v="2"/>
    <x v="113"/>
    <x v="0"/>
    <s v="Update: Minta penawaran dari pihak DASI. Tender di kementrian sedang Efesiensi "/>
  </r>
  <r>
    <x v="169"/>
    <m/>
    <x v="238"/>
    <m/>
    <x v="0"/>
    <m/>
    <x v="1"/>
    <x v="0"/>
    <x v="3"/>
    <n v="3540000000"/>
    <x v="1"/>
    <x v="112"/>
    <x v="0"/>
    <m/>
  </r>
  <r>
    <x v="184"/>
    <m/>
    <x v="239"/>
    <m/>
    <x v="0"/>
    <m/>
    <x v="1"/>
    <x v="0"/>
    <x v="2"/>
    <n v="1320000000"/>
    <x v="1"/>
    <x v="112"/>
    <x v="0"/>
    <m/>
  </r>
  <r>
    <x v="107"/>
    <m/>
    <x v="129"/>
    <m/>
    <x v="0"/>
    <m/>
    <x v="1"/>
    <x v="0"/>
    <x v="3"/>
    <n v="100000000"/>
    <x v="1"/>
    <x v="112"/>
    <x v="0"/>
    <m/>
  </r>
  <r>
    <x v="185"/>
    <m/>
    <x v="240"/>
    <m/>
    <x v="0"/>
    <m/>
    <x v="8"/>
    <x v="1"/>
    <x v="1"/>
    <n v="35625000"/>
    <x v="1"/>
    <x v="112"/>
    <x v="1"/>
    <s v="Already PO"/>
  </r>
  <r>
    <x v="186"/>
    <m/>
    <x v="241"/>
    <s v="FCU DUC"/>
    <x v="1"/>
    <m/>
    <x v="9"/>
    <x v="0"/>
    <x v="1"/>
    <n v="1700000000"/>
    <x v="2"/>
    <x v="114"/>
    <x v="1"/>
    <m/>
  </r>
  <r>
    <x v="187"/>
    <m/>
    <x v="242"/>
    <s v="AL"/>
    <x v="1"/>
    <m/>
    <x v="9"/>
    <x v="0"/>
    <x v="3"/>
    <n v="250000000"/>
    <x v="2"/>
    <x v="114"/>
    <x v="2"/>
    <m/>
  </r>
  <r>
    <x v="188"/>
    <m/>
    <x v="243"/>
    <s v="AL"/>
    <x v="1"/>
    <m/>
    <x v="9"/>
    <x v="0"/>
    <x v="3"/>
    <n v="278500000"/>
    <x v="2"/>
    <x v="115"/>
    <x v="2"/>
    <m/>
  </r>
  <r>
    <x v="189"/>
    <m/>
    <x v="244"/>
    <s v="WS CSD"/>
    <x v="1"/>
    <m/>
    <x v="9"/>
    <x v="0"/>
    <x v="3"/>
    <n v="550000000"/>
    <x v="2"/>
    <x v="116"/>
    <x v="0"/>
    <s v="Budgeting untuk penggantian chiller existing, estimasi di bulan Jan 2024"/>
  </r>
  <r>
    <x v="190"/>
    <m/>
    <x v="245"/>
    <s v="FCU DUC"/>
    <x v="1"/>
    <m/>
    <x v="9"/>
    <x v="0"/>
    <x v="1"/>
    <n v="80000000"/>
    <x v="2"/>
    <x v="117"/>
    <x v="0"/>
    <s v="Budgeting untuk Replacement FCU Kamar"/>
  </r>
  <r>
    <x v="191"/>
    <m/>
    <x v="220"/>
    <s v="AL"/>
    <x v="1"/>
    <m/>
    <x v="9"/>
    <x v="0"/>
    <x v="3"/>
    <n v="207000000"/>
    <x v="2"/>
    <x v="117"/>
    <x v="0"/>
    <s v="Competitor Midea, Air Cooled Scroll Chiller 130 kW with Shell and Tube Evaporator"/>
  </r>
  <r>
    <x v="192"/>
    <m/>
    <x v="246"/>
    <s v="AS CSD"/>
    <x v="1"/>
    <m/>
    <x v="9"/>
    <x v="0"/>
    <x v="1"/>
    <n v="1150000000"/>
    <x v="2"/>
    <x v="116"/>
    <x v="2"/>
    <m/>
  </r>
  <r>
    <x v="67"/>
    <m/>
    <x v="247"/>
    <m/>
    <x v="0"/>
    <m/>
    <x v="1"/>
    <x v="0"/>
    <x v="1"/>
    <n v="40000000"/>
    <x v="1"/>
    <x v="118"/>
    <x v="0"/>
    <m/>
  </r>
  <r>
    <x v="193"/>
    <m/>
    <x v="9"/>
    <m/>
    <x v="1"/>
    <m/>
    <x v="11"/>
    <x v="0"/>
    <x v="3"/>
    <n v="92000000"/>
    <x v="1"/>
    <x v="119"/>
    <x v="0"/>
    <m/>
  </r>
  <r>
    <x v="194"/>
    <m/>
    <x v="22"/>
    <m/>
    <x v="1"/>
    <m/>
    <x v="11"/>
    <x v="0"/>
    <x v="3"/>
    <n v="950000000"/>
    <x v="3"/>
    <x v="13"/>
    <x v="0"/>
    <m/>
  </r>
  <r>
    <x v="195"/>
    <m/>
    <x v="36"/>
    <m/>
    <x v="1"/>
    <m/>
    <x v="11"/>
    <x v="0"/>
    <x v="1"/>
    <n v="1400000000"/>
    <x v="2"/>
    <x v="120"/>
    <x v="0"/>
    <m/>
  </r>
  <r>
    <x v="196"/>
    <m/>
    <x v="248"/>
    <s v="WC MB"/>
    <x v="1"/>
    <m/>
    <x v="11"/>
    <x v="0"/>
    <x v="3"/>
    <n v="5000000000"/>
    <x v="2"/>
    <x v="121"/>
    <x v="1"/>
    <s v="Tunggu Hasil Sugisindo WEST"/>
  </r>
  <r>
    <x v="178"/>
    <m/>
    <x v="249"/>
    <m/>
    <x v="0"/>
    <m/>
    <x v="7"/>
    <x v="1"/>
    <x v="3"/>
    <n v="150000000"/>
    <x v="1"/>
    <x v="53"/>
    <x v="0"/>
    <m/>
  </r>
  <r>
    <x v="178"/>
    <m/>
    <x v="250"/>
    <m/>
    <x v="0"/>
    <m/>
    <x v="7"/>
    <x v="1"/>
    <x v="3"/>
    <n v="92000000"/>
    <x v="1"/>
    <x v="118"/>
    <x v="0"/>
    <m/>
  </r>
  <r>
    <x v="197"/>
    <m/>
    <x v="251"/>
    <m/>
    <x v="0"/>
    <m/>
    <x v="8"/>
    <x v="0"/>
    <x v="2"/>
    <n v="770000000.0999999"/>
    <x v="1"/>
    <x v="122"/>
    <x v="1"/>
    <s v="Already PO"/>
  </r>
  <r>
    <x v="166"/>
    <m/>
    <x v="252"/>
    <m/>
    <x v="0"/>
    <m/>
    <x v="8"/>
    <x v="0"/>
    <x v="3"/>
    <n v="1140000000"/>
    <x v="1"/>
    <x v="40"/>
    <x v="1"/>
    <s v="Already PO"/>
  </r>
  <r>
    <x v="166"/>
    <m/>
    <x v="252"/>
    <m/>
    <x v="0"/>
    <m/>
    <x v="8"/>
    <x v="0"/>
    <x v="3"/>
    <n v="814000000"/>
    <x v="1"/>
    <x v="40"/>
    <x v="1"/>
    <s v="Already PO"/>
  </r>
  <r>
    <x v="166"/>
    <m/>
    <x v="253"/>
    <m/>
    <x v="0"/>
    <m/>
    <x v="8"/>
    <x v="1"/>
    <x v="3"/>
    <n v="756000000"/>
    <x v="1"/>
    <x v="40"/>
    <x v="1"/>
    <s v="Already PO"/>
  </r>
  <r>
    <x v="198"/>
    <m/>
    <x v="254"/>
    <m/>
    <x v="0"/>
    <m/>
    <x v="8"/>
    <x v="0"/>
    <x v="3"/>
    <n v="5000000000"/>
    <x v="5"/>
    <x v="13"/>
    <x v="0"/>
    <s v="Hold"/>
  </r>
  <r>
    <x v="199"/>
    <m/>
    <x v="255"/>
    <m/>
    <x v="0"/>
    <m/>
    <x v="5"/>
    <x v="0"/>
    <x v="1"/>
    <n v="81845000"/>
    <x v="1"/>
    <x v="39"/>
    <x v="1"/>
    <m/>
  </r>
  <r>
    <x v="8"/>
    <m/>
    <x v="256"/>
    <m/>
    <x v="0"/>
    <m/>
    <x v="1"/>
    <x v="1"/>
    <x v="2"/>
    <n v="14650000"/>
    <x v="1"/>
    <x v="123"/>
    <x v="0"/>
    <m/>
  </r>
  <r>
    <x v="200"/>
    <m/>
    <x v="36"/>
    <m/>
    <x v="1"/>
    <m/>
    <x v="11"/>
    <x v="0"/>
    <x v="3"/>
    <n v="3000000000"/>
    <x v="2"/>
    <x v="124"/>
    <x v="0"/>
    <m/>
  </r>
  <r>
    <x v="201"/>
    <m/>
    <x v="257"/>
    <m/>
    <x v="0"/>
    <m/>
    <x v="7"/>
    <x v="0"/>
    <x v="3"/>
    <n v="170000000"/>
    <x v="1"/>
    <x v="125"/>
    <x v="0"/>
    <m/>
  </r>
  <r>
    <x v="201"/>
    <m/>
    <x v="257"/>
    <m/>
    <x v="0"/>
    <m/>
    <x v="7"/>
    <x v="0"/>
    <x v="3"/>
    <n v="305000000"/>
    <x v="1"/>
    <x v="125"/>
    <x v="0"/>
    <m/>
  </r>
  <r>
    <x v="201"/>
    <m/>
    <x v="257"/>
    <m/>
    <x v="0"/>
    <m/>
    <x v="7"/>
    <x v="0"/>
    <x v="3"/>
    <n v="1087045200"/>
    <x v="1"/>
    <x v="125"/>
    <x v="0"/>
    <m/>
  </r>
  <r>
    <x v="1"/>
    <m/>
    <x v="258"/>
    <m/>
    <x v="0"/>
    <m/>
    <x v="1"/>
    <x v="1"/>
    <x v="1"/>
    <n v="11400000"/>
    <x v="1"/>
    <x v="126"/>
    <x v="0"/>
    <m/>
  </r>
  <r>
    <x v="1"/>
    <s v="Hagendaz"/>
    <x v="259"/>
    <m/>
    <x v="0"/>
    <m/>
    <x v="1"/>
    <x v="1"/>
    <x v="1"/>
    <n v="23965000"/>
    <x v="1"/>
    <x v="127"/>
    <x v="0"/>
    <m/>
  </r>
  <r>
    <x v="1"/>
    <s v="Pastriella"/>
    <x v="259"/>
    <m/>
    <x v="0"/>
    <m/>
    <x v="1"/>
    <x v="1"/>
    <x v="1"/>
    <n v="23965000"/>
    <x v="1"/>
    <x v="73"/>
    <x v="0"/>
    <m/>
  </r>
  <r>
    <x v="1"/>
    <m/>
    <x v="260"/>
    <m/>
    <x v="0"/>
    <m/>
    <x v="1"/>
    <x v="1"/>
    <x v="1"/>
    <n v="1551708000"/>
    <x v="1"/>
    <x v="43"/>
    <x v="1"/>
    <s v="Already PO"/>
  </r>
  <r>
    <x v="1"/>
    <s v="Torenda"/>
    <x v="261"/>
    <m/>
    <x v="0"/>
    <m/>
    <x v="1"/>
    <x v="0"/>
    <x v="1"/>
    <n v="79949766"/>
    <x v="1"/>
    <x v="128"/>
    <x v="1"/>
    <s v="Already PO"/>
  </r>
  <r>
    <x v="1"/>
    <s v="Lanore"/>
    <x v="262"/>
    <m/>
    <x v="0"/>
    <m/>
    <x v="1"/>
    <x v="1"/>
    <x v="1"/>
    <n v="3500000"/>
    <x v="1"/>
    <x v="129"/>
    <x v="1"/>
    <s v="Already PO"/>
  </r>
  <r>
    <x v="1"/>
    <m/>
    <x v="263"/>
    <m/>
    <x v="0"/>
    <m/>
    <x v="1"/>
    <x v="1"/>
    <x v="1"/>
    <n v="14225000"/>
    <x v="1"/>
    <x v="130"/>
    <x v="1"/>
    <s v="Already PO"/>
  </r>
  <r>
    <x v="202"/>
    <s v="Atria Tower"/>
    <x v="264"/>
    <s v="WC CSD"/>
    <x v="0"/>
    <m/>
    <x v="1"/>
    <x v="0"/>
    <x v="1"/>
    <n v="3000000000"/>
    <x v="1"/>
    <x v="131"/>
    <x v="1"/>
    <s v="Already PO"/>
  </r>
  <r>
    <x v="151"/>
    <m/>
    <x v="265"/>
    <m/>
    <x v="0"/>
    <m/>
    <x v="8"/>
    <x v="1"/>
    <x v="3"/>
    <n v="97869132.619999886"/>
    <x v="1"/>
    <x v="132"/>
    <x v="1"/>
    <s v="Already PO"/>
  </r>
  <r>
    <x v="203"/>
    <m/>
    <x v="266"/>
    <s v="FCU DUC"/>
    <x v="1"/>
    <m/>
    <x v="9"/>
    <x v="0"/>
    <x v="1"/>
    <n v="14000000"/>
    <x v="2"/>
    <x v="117"/>
    <x v="0"/>
    <m/>
  </r>
  <r>
    <x v="126"/>
    <m/>
    <x v="267"/>
    <m/>
    <x v="1"/>
    <m/>
    <x v="10"/>
    <x v="0"/>
    <x v="0"/>
    <n v="330000000"/>
    <x v="1"/>
    <x v="104"/>
    <x v="1"/>
    <m/>
  </r>
  <r>
    <x v="204"/>
    <m/>
    <x v="7"/>
    <m/>
    <x v="1"/>
    <m/>
    <x v="11"/>
    <x v="1"/>
    <x v="0"/>
    <n v="687000000"/>
    <x v="2"/>
    <x v="133"/>
    <x v="0"/>
    <m/>
  </r>
  <r>
    <x v="205"/>
    <m/>
    <x v="268"/>
    <s v="AL"/>
    <x v="1"/>
    <m/>
    <x v="9"/>
    <x v="1"/>
    <x v="3"/>
    <n v="3000000000"/>
    <x v="2"/>
    <x v="134"/>
    <x v="1"/>
    <m/>
  </r>
  <r>
    <x v="206"/>
    <m/>
    <x v="269"/>
    <m/>
    <x v="0"/>
    <m/>
    <x v="6"/>
    <x v="1"/>
    <x v="0"/>
    <n v="146000000"/>
    <x v="1"/>
    <x v="60"/>
    <x v="1"/>
    <m/>
  </r>
  <r>
    <x v="205"/>
    <m/>
    <x v="270"/>
    <s v="AL"/>
    <x v="1"/>
    <m/>
    <x v="9"/>
    <x v="1"/>
    <x v="3"/>
    <n v="687000000"/>
    <x v="1"/>
    <x v="5"/>
    <x v="1"/>
    <m/>
  </r>
  <r>
    <x v="207"/>
    <m/>
    <x v="271"/>
    <s v="WS CSD"/>
    <x v="1"/>
    <m/>
    <x v="9"/>
    <x v="0"/>
    <x v="3"/>
    <n v="1600000000"/>
    <x v="1"/>
    <x v="135"/>
    <x v="1"/>
    <m/>
  </r>
  <r>
    <x v="208"/>
    <m/>
    <x v="272"/>
    <s v="WC CSD"/>
    <x v="1"/>
    <m/>
    <x v="9"/>
    <x v="0"/>
    <x v="1"/>
    <n v="6800000000"/>
    <x v="2"/>
    <x v="136"/>
    <x v="1"/>
    <m/>
  </r>
  <r>
    <x v="209"/>
    <m/>
    <x v="273"/>
    <m/>
    <x v="1"/>
    <m/>
    <x v="10"/>
    <x v="0"/>
    <x v="3"/>
    <n v="1049000000"/>
    <x v="2"/>
    <x v="114"/>
    <x v="0"/>
    <s v="Proses review di management untuk dapat di lanjutkan proses lebih lanjut pada pengadaan barang "/>
  </r>
  <r>
    <x v="210"/>
    <m/>
    <x v="274"/>
    <m/>
    <x v="1"/>
    <m/>
    <x v="10"/>
    <x v="0"/>
    <x v="1"/>
    <n v="416158000"/>
    <x v="2"/>
    <x v="28"/>
    <x v="0"/>
    <s v="Supply FCU dan installasi unit menggunakan koneksi chiller existing "/>
  </r>
  <r>
    <x v="211"/>
    <m/>
    <x v="275"/>
    <s v="AS CSD"/>
    <x v="1"/>
    <m/>
    <x v="9"/>
    <x v="0"/>
    <x v="1"/>
    <n v="2020000000"/>
    <x v="2"/>
    <x v="9"/>
    <x v="0"/>
    <m/>
  </r>
  <r>
    <x v="212"/>
    <m/>
    <x v="276"/>
    <m/>
    <x v="1"/>
    <m/>
    <x v="9"/>
    <x v="0"/>
    <x v="1"/>
    <n v="498000000"/>
    <x v="1"/>
    <x v="137"/>
    <x v="1"/>
    <m/>
  </r>
  <r>
    <x v="213"/>
    <m/>
    <x v="277"/>
    <s v="AHU STD"/>
    <x v="1"/>
    <m/>
    <x v="9"/>
    <x v="0"/>
    <x v="3"/>
    <n v="160000000"/>
    <x v="2"/>
    <x v="18"/>
    <x v="0"/>
    <m/>
  </r>
  <r>
    <x v="214"/>
    <m/>
    <x v="278"/>
    <s v="FCU STD"/>
    <x v="1"/>
    <m/>
    <x v="9"/>
    <x v="0"/>
    <x v="3"/>
    <n v="19200000"/>
    <x v="1"/>
    <x v="138"/>
    <x v="1"/>
    <m/>
  </r>
  <r>
    <x v="215"/>
    <m/>
    <x v="279"/>
    <s v="AL"/>
    <x v="1"/>
    <m/>
    <x v="9"/>
    <x v="0"/>
    <x v="3"/>
    <n v="110000000"/>
    <x v="2"/>
    <x v="139"/>
    <x v="2"/>
    <m/>
  </r>
  <r>
    <x v="8"/>
    <m/>
    <x v="280"/>
    <m/>
    <x v="0"/>
    <m/>
    <x v="1"/>
    <x v="0"/>
    <x v="2"/>
    <n v="73500000"/>
    <x v="1"/>
    <x v="140"/>
    <x v="0"/>
    <m/>
  </r>
  <r>
    <x v="8"/>
    <m/>
    <x v="281"/>
    <m/>
    <x v="0"/>
    <m/>
    <x v="1"/>
    <x v="1"/>
    <x v="2"/>
    <n v="27650000"/>
    <x v="1"/>
    <x v="140"/>
    <x v="0"/>
    <m/>
  </r>
  <r>
    <x v="8"/>
    <m/>
    <x v="282"/>
    <m/>
    <x v="0"/>
    <m/>
    <x v="1"/>
    <x v="1"/>
    <x v="2"/>
    <n v="24235000"/>
    <x v="1"/>
    <x v="140"/>
    <x v="0"/>
    <m/>
  </r>
  <r>
    <x v="216"/>
    <m/>
    <x v="279"/>
    <s v="AL"/>
    <x v="1"/>
    <m/>
    <x v="9"/>
    <x v="0"/>
    <x v="3"/>
    <n v="59000000"/>
    <x v="2"/>
    <x v="141"/>
    <x v="2"/>
    <m/>
  </r>
  <r>
    <x v="217"/>
    <m/>
    <x v="283"/>
    <m/>
    <x v="0"/>
    <m/>
    <x v="1"/>
    <x v="0"/>
    <x v="3"/>
    <n v="15000000"/>
    <x v="1"/>
    <x v="140"/>
    <x v="0"/>
    <m/>
  </r>
  <r>
    <x v="218"/>
    <m/>
    <x v="36"/>
    <s v="UAL 450 D5"/>
    <x v="0"/>
    <m/>
    <x v="2"/>
    <x v="0"/>
    <x v="1"/>
    <n v="1130000000"/>
    <x v="1"/>
    <x v="142"/>
    <x v="0"/>
    <s v="Already SO"/>
  </r>
  <r>
    <x v="9"/>
    <m/>
    <x v="2"/>
    <s v="EPL"/>
    <x v="1"/>
    <s v="Samuel"/>
    <x v="10"/>
    <x v="2"/>
    <x v="3"/>
    <n v="106932000"/>
    <x v="1"/>
    <x v="137"/>
    <x v="1"/>
    <s v="Sudah submit quotation ke bu ulfah via email di 2026/03/16 dan akan di fu berkala (seminggu)"/>
  </r>
  <r>
    <x v="219"/>
    <m/>
    <x v="2"/>
    <s v="EPL"/>
    <x v="0"/>
    <s v="Samuel"/>
    <x v="6"/>
    <x v="2"/>
    <x v="3"/>
    <n v="239792000"/>
    <x v="0"/>
    <x v="13"/>
    <x v="0"/>
    <m/>
  </r>
  <r>
    <x v="220"/>
    <m/>
    <x v="284"/>
    <m/>
    <x v="0"/>
    <m/>
    <x v="5"/>
    <x v="1"/>
    <x v="3"/>
    <n v="69544542.969999999"/>
    <x v="1"/>
    <x v="143"/>
    <x v="1"/>
    <m/>
  </r>
  <r>
    <x v="221"/>
    <m/>
    <x v="285"/>
    <s v="WS CSD"/>
    <x v="0"/>
    <m/>
    <x v="8"/>
    <x v="0"/>
    <x v="3"/>
    <m/>
    <x v="5"/>
    <x v="13"/>
    <x v="0"/>
    <s v="Quotation"/>
  </r>
  <r>
    <x v="222"/>
    <m/>
    <x v="53"/>
    <s v="AL"/>
    <x v="1"/>
    <m/>
    <x v="10"/>
    <x v="0"/>
    <x v="1"/>
    <n v="688128000"/>
    <x v="2"/>
    <x v="136"/>
    <x v="1"/>
    <s v="Kompetitor Euroklimat, budgeting pengadaan 2025 dengan komposisi chiller UAL450 HR x 2 dan UAL450 STD x 1 "/>
  </r>
  <r>
    <x v="223"/>
    <m/>
    <x v="286"/>
    <s v="WC MB"/>
    <x v="1"/>
    <m/>
    <x v="9"/>
    <x v="0"/>
    <x v="1"/>
    <n v="5300000000"/>
    <x v="2"/>
    <x v="18"/>
    <x v="0"/>
    <m/>
  </r>
  <r>
    <x v="224"/>
    <m/>
    <x v="279"/>
    <s v="AL"/>
    <x v="1"/>
    <m/>
    <x v="9"/>
    <x v="0"/>
    <x v="1"/>
    <n v="5000000000"/>
    <x v="2"/>
    <x v="133"/>
    <x v="2"/>
    <m/>
  </r>
  <r>
    <x v="225"/>
    <m/>
    <x v="287"/>
    <m/>
    <x v="1"/>
    <m/>
    <x v="10"/>
    <x v="0"/>
    <x v="0"/>
    <n v="3423325000"/>
    <x v="6"/>
    <x v="134"/>
    <x v="0"/>
    <s v="Budgeting"/>
  </r>
  <r>
    <x v="226"/>
    <m/>
    <x v="288"/>
    <s v="AL"/>
    <x v="1"/>
    <m/>
    <x v="9"/>
    <x v="0"/>
    <x v="3"/>
    <n v="640000000"/>
    <x v="1"/>
    <x v="5"/>
    <x v="1"/>
    <m/>
  </r>
  <r>
    <x v="227"/>
    <m/>
    <x v="289"/>
    <s v="WC CSD"/>
    <x v="1"/>
    <m/>
    <x v="9"/>
    <x v="0"/>
    <x v="3"/>
    <n v="2000000000"/>
    <x v="2"/>
    <x v="144"/>
    <x v="0"/>
    <m/>
  </r>
  <r>
    <x v="178"/>
    <m/>
    <x v="290"/>
    <m/>
    <x v="0"/>
    <m/>
    <x v="7"/>
    <x v="1"/>
    <x v="3"/>
    <n v="492519600"/>
    <x v="1"/>
    <x v="53"/>
    <x v="0"/>
    <m/>
  </r>
  <r>
    <x v="178"/>
    <m/>
    <x v="291"/>
    <m/>
    <x v="0"/>
    <m/>
    <x v="7"/>
    <x v="1"/>
    <x v="3"/>
    <n v="370899700"/>
    <x v="1"/>
    <x v="53"/>
    <x v="0"/>
    <m/>
  </r>
  <r>
    <x v="18"/>
    <m/>
    <x v="292"/>
    <s v="WS CSD"/>
    <x v="0"/>
    <m/>
    <x v="7"/>
    <x v="0"/>
    <x v="3"/>
    <n v="7000000000"/>
    <x v="5"/>
    <x v="13"/>
    <x v="0"/>
    <s v="Design"/>
  </r>
  <r>
    <x v="18"/>
    <m/>
    <x v="293"/>
    <m/>
    <x v="0"/>
    <m/>
    <x v="7"/>
    <x v="1"/>
    <x v="3"/>
    <n v="10000000000"/>
    <x v="5"/>
    <x v="13"/>
    <x v="0"/>
    <s v="Design"/>
  </r>
  <r>
    <x v="228"/>
    <m/>
    <x v="294"/>
    <s v="AL"/>
    <x v="0"/>
    <m/>
    <x v="8"/>
    <x v="1"/>
    <x v="3"/>
    <n v="2900000000"/>
    <x v="5"/>
    <x v="13"/>
    <x v="0"/>
    <m/>
  </r>
  <r>
    <x v="61"/>
    <s v="ST"/>
    <x v="295"/>
    <m/>
    <x v="0"/>
    <m/>
    <x v="12"/>
    <x v="1"/>
    <x v="4"/>
    <n v="43440000"/>
    <x v="2"/>
    <x v="13"/>
    <x v="0"/>
    <s v="Quotation"/>
  </r>
  <r>
    <x v="229"/>
    <m/>
    <x v="36"/>
    <m/>
    <x v="1"/>
    <m/>
    <x v="11"/>
    <x v="0"/>
    <x v="3"/>
    <n v="1400000000"/>
    <x v="2"/>
    <x v="145"/>
    <x v="1"/>
    <s v="existing Mitsubishi 240TR WC Piston"/>
  </r>
  <r>
    <x v="61"/>
    <s v="ST"/>
    <x v="296"/>
    <m/>
    <x v="0"/>
    <m/>
    <x v="12"/>
    <x v="1"/>
    <x v="4"/>
    <n v="333830000"/>
    <x v="2"/>
    <x v="13"/>
    <x v="0"/>
    <s v="Quotation"/>
  </r>
  <r>
    <x v="61"/>
    <s v="ST"/>
    <x v="297"/>
    <m/>
    <x v="0"/>
    <m/>
    <x v="12"/>
    <x v="1"/>
    <x v="4"/>
    <n v="9740000"/>
    <x v="2"/>
    <x v="13"/>
    <x v="0"/>
    <s v="Quotation"/>
  </r>
  <r>
    <x v="61"/>
    <s v="ST"/>
    <x v="298"/>
    <m/>
    <x v="0"/>
    <m/>
    <x v="12"/>
    <x v="1"/>
    <x v="4"/>
    <n v="293890000"/>
    <x v="2"/>
    <x v="13"/>
    <x v="0"/>
    <s v="Quotation"/>
  </r>
  <r>
    <x v="61"/>
    <s v="ST"/>
    <x v="299"/>
    <m/>
    <x v="0"/>
    <m/>
    <x v="12"/>
    <x v="1"/>
    <x v="4"/>
    <n v="954889000"/>
    <x v="2"/>
    <x v="13"/>
    <x v="0"/>
    <s v="Quotation"/>
  </r>
  <r>
    <x v="61"/>
    <s v="ST"/>
    <x v="300"/>
    <m/>
    <x v="0"/>
    <m/>
    <x v="12"/>
    <x v="1"/>
    <x v="4"/>
    <n v="133645000"/>
    <x v="2"/>
    <x v="13"/>
    <x v="0"/>
    <s v="Quotation"/>
  </r>
  <r>
    <x v="61"/>
    <s v="ST"/>
    <x v="301"/>
    <m/>
    <x v="0"/>
    <m/>
    <x v="12"/>
    <x v="1"/>
    <x v="4"/>
    <n v="374250000"/>
    <x v="2"/>
    <x v="13"/>
    <x v="0"/>
    <s v="Quotation"/>
  </r>
  <r>
    <x v="61"/>
    <s v="ST"/>
    <x v="302"/>
    <m/>
    <x v="0"/>
    <m/>
    <x v="12"/>
    <x v="1"/>
    <x v="4"/>
    <n v="556314000"/>
    <x v="2"/>
    <x v="13"/>
    <x v="0"/>
    <s v="Quotation"/>
  </r>
  <r>
    <x v="61"/>
    <s v="ST"/>
    <x v="303"/>
    <m/>
    <x v="0"/>
    <m/>
    <x v="12"/>
    <x v="1"/>
    <x v="4"/>
    <n v="15649170000"/>
    <x v="2"/>
    <x v="13"/>
    <x v="0"/>
    <s v="Quotation"/>
  </r>
  <r>
    <x v="61"/>
    <s v="ST"/>
    <x v="304"/>
    <m/>
    <x v="0"/>
    <m/>
    <x v="12"/>
    <x v="1"/>
    <x v="4"/>
    <n v="22286000"/>
    <x v="2"/>
    <x v="13"/>
    <x v="0"/>
    <s v="Quotation"/>
  </r>
  <r>
    <x v="61"/>
    <s v="ST"/>
    <x v="305"/>
    <m/>
    <x v="0"/>
    <m/>
    <x v="12"/>
    <x v="1"/>
    <x v="4"/>
    <n v="68638000"/>
    <x v="2"/>
    <x v="13"/>
    <x v="0"/>
    <s v="Quotation"/>
  </r>
  <r>
    <x v="61"/>
    <s v="ST"/>
    <x v="306"/>
    <m/>
    <x v="0"/>
    <m/>
    <x v="12"/>
    <x v="1"/>
    <x v="4"/>
    <n v="165680000"/>
    <x v="2"/>
    <x v="13"/>
    <x v="0"/>
    <s v="Quotation"/>
  </r>
  <r>
    <x v="61"/>
    <s v="ST"/>
    <x v="307"/>
    <m/>
    <x v="0"/>
    <m/>
    <x v="12"/>
    <x v="1"/>
    <x v="4"/>
    <n v="2002924250"/>
    <x v="2"/>
    <x v="13"/>
    <x v="0"/>
    <s v="Quotation"/>
  </r>
  <r>
    <x v="61"/>
    <s v="ST"/>
    <x v="308"/>
    <m/>
    <x v="0"/>
    <m/>
    <x v="12"/>
    <x v="1"/>
    <x v="4"/>
    <n v="3045928250"/>
    <x v="2"/>
    <x v="13"/>
    <x v="0"/>
    <s v="Quotation"/>
  </r>
  <r>
    <x v="61"/>
    <s v="ST"/>
    <x v="309"/>
    <m/>
    <x v="0"/>
    <m/>
    <x v="12"/>
    <x v="1"/>
    <x v="4"/>
    <n v="540440875"/>
    <x v="2"/>
    <x v="13"/>
    <x v="0"/>
    <s v="Quotation"/>
  </r>
  <r>
    <x v="61"/>
    <s v="ST"/>
    <x v="310"/>
    <m/>
    <x v="0"/>
    <m/>
    <x v="12"/>
    <x v="1"/>
    <x v="4"/>
    <n v="642450000"/>
    <x v="2"/>
    <x v="13"/>
    <x v="0"/>
    <s v="Quotation"/>
  </r>
  <r>
    <x v="61"/>
    <s v="ST"/>
    <x v="311"/>
    <m/>
    <x v="0"/>
    <m/>
    <x v="12"/>
    <x v="1"/>
    <x v="4"/>
    <n v="206720000"/>
    <x v="2"/>
    <x v="13"/>
    <x v="0"/>
    <s v="Quotation"/>
  </r>
  <r>
    <x v="230"/>
    <m/>
    <x v="312"/>
    <m/>
    <x v="1"/>
    <m/>
    <x v="11"/>
    <x v="0"/>
    <x v="3"/>
    <n v="350000000"/>
    <x v="2"/>
    <x v="145"/>
    <x v="0"/>
    <m/>
  </r>
  <r>
    <x v="61"/>
    <s v="ST"/>
    <x v="313"/>
    <m/>
    <x v="0"/>
    <m/>
    <x v="12"/>
    <x v="1"/>
    <x v="4"/>
    <n v="243200000"/>
    <x v="2"/>
    <x v="13"/>
    <x v="0"/>
    <s v="Quotation"/>
  </r>
  <r>
    <x v="231"/>
    <s v="ST"/>
    <x v="314"/>
    <m/>
    <x v="0"/>
    <m/>
    <x v="12"/>
    <x v="1"/>
    <x v="4"/>
    <n v="2836200000"/>
    <x v="2"/>
    <x v="13"/>
    <x v="0"/>
    <s v="Quotation"/>
  </r>
  <r>
    <x v="61"/>
    <s v="ST"/>
    <x v="315"/>
    <m/>
    <x v="0"/>
    <m/>
    <x v="12"/>
    <x v="1"/>
    <x v="4"/>
    <n v="1514785000"/>
    <x v="2"/>
    <x v="13"/>
    <x v="0"/>
    <s v="Quotation"/>
  </r>
  <r>
    <x v="61"/>
    <s v="ST"/>
    <x v="316"/>
    <m/>
    <x v="0"/>
    <m/>
    <x v="12"/>
    <x v="1"/>
    <x v="4"/>
    <n v="229618000"/>
    <x v="2"/>
    <x v="13"/>
    <x v="0"/>
    <s v="Quotation"/>
  </r>
  <r>
    <x v="232"/>
    <m/>
    <x v="36"/>
    <m/>
    <x v="1"/>
    <m/>
    <x v="11"/>
    <x v="0"/>
    <x v="3"/>
    <n v="1400000000"/>
    <x v="2"/>
    <x v="120"/>
    <x v="0"/>
    <m/>
  </r>
  <r>
    <x v="61"/>
    <s v="ST"/>
    <x v="317"/>
    <m/>
    <x v="0"/>
    <m/>
    <x v="12"/>
    <x v="1"/>
    <x v="4"/>
    <n v="222080000"/>
    <x v="2"/>
    <x v="13"/>
    <x v="0"/>
    <s v="Quotation"/>
  </r>
  <r>
    <x v="61"/>
    <s v="ST"/>
    <x v="318"/>
    <m/>
    <x v="0"/>
    <m/>
    <x v="12"/>
    <x v="1"/>
    <x v="4"/>
    <n v="277445000"/>
    <x v="2"/>
    <x v="13"/>
    <x v="0"/>
    <s v="Quotation"/>
  </r>
  <r>
    <x v="61"/>
    <s v="ST"/>
    <x v="319"/>
    <m/>
    <x v="0"/>
    <m/>
    <x v="12"/>
    <x v="1"/>
    <x v="4"/>
    <n v="146180000"/>
    <x v="2"/>
    <x v="13"/>
    <x v="0"/>
    <s v="Quotation"/>
  </r>
  <r>
    <x v="61"/>
    <s v="ST"/>
    <x v="320"/>
    <m/>
    <x v="0"/>
    <m/>
    <x v="12"/>
    <x v="1"/>
    <x v="4"/>
    <n v="574846000"/>
    <x v="2"/>
    <x v="13"/>
    <x v="0"/>
    <s v="Quotation"/>
  </r>
  <r>
    <x v="61"/>
    <s v="ST"/>
    <x v="321"/>
    <m/>
    <x v="0"/>
    <m/>
    <x v="12"/>
    <x v="1"/>
    <x v="4"/>
    <n v="217974000"/>
    <x v="2"/>
    <x v="13"/>
    <x v="0"/>
    <s v="Quotation"/>
  </r>
  <r>
    <x v="61"/>
    <s v="ST"/>
    <x v="322"/>
    <m/>
    <x v="0"/>
    <m/>
    <x v="12"/>
    <x v="1"/>
    <x v="4"/>
    <n v="16659000"/>
    <x v="2"/>
    <x v="13"/>
    <x v="0"/>
    <s v="Costing approved pak afandy 3 Sep'24"/>
  </r>
  <r>
    <x v="233"/>
    <m/>
    <x v="323"/>
    <m/>
    <x v="1"/>
    <m/>
    <x v="11"/>
    <x v="0"/>
    <x v="3"/>
    <n v="1300000000"/>
    <x v="2"/>
    <x v="113"/>
    <x v="0"/>
    <m/>
  </r>
  <r>
    <x v="234"/>
    <m/>
    <x v="324"/>
    <m/>
    <x v="1"/>
    <m/>
    <x v="11"/>
    <x v="0"/>
    <x v="1"/>
    <n v="522000000"/>
    <x v="5"/>
    <x v="13"/>
    <x v="0"/>
    <s v="Saat ini project ME masih belum selesai. Info bu Indah akan dimintakan budget ke pusat"/>
  </r>
  <r>
    <x v="235"/>
    <m/>
    <x v="2"/>
    <s v="EPL"/>
    <x v="0"/>
    <s v="Samuel"/>
    <x v="6"/>
    <x v="2"/>
    <x v="3"/>
    <n v="1810128626"/>
    <x v="5"/>
    <x v="13"/>
    <x v="0"/>
    <s v="Submit quotation : _x000a_1. Fresh air blower and exhaust fan untuk ruangan trafo_x000a_di 28 Novermber 2025 by email."/>
  </r>
  <r>
    <x v="235"/>
    <m/>
    <x v="2"/>
    <s v="EPL"/>
    <x v="0"/>
    <s v="Samuel"/>
    <x v="6"/>
    <x v="2"/>
    <x v="3"/>
    <n v="467534490"/>
    <x v="5"/>
    <x v="13"/>
    <x v="0"/>
    <s v="Submit quotation project  ventilasi ruangan trafo dengan menggunakan ac split duct cassete."/>
  </r>
  <r>
    <x v="235"/>
    <m/>
    <x v="2"/>
    <s v="EPL"/>
    <x v="0"/>
    <s v="Samuel"/>
    <x v="6"/>
    <x v="2"/>
    <x v="3"/>
    <n v="635137058"/>
    <x v="5"/>
    <x v="13"/>
    <x v="0"/>
    <s v="Submit quotation project  ventilasi ruangan trafo dengan menggunakan exhaust fan."/>
  </r>
  <r>
    <x v="236"/>
    <m/>
    <x v="2"/>
    <s v="EPL"/>
    <x v="0"/>
    <s v="Samuel"/>
    <x v="6"/>
    <x v="2"/>
    <x v="0"/>
    <n v="8004000"/>
    <x v="5"/>
    <x v="13"/>
    <x v="0"/>
    <s v="User (Bu Farsya) : mereka butuh hanya 3 filter, sementara dari JAF tidak ada stock yang ready sehingga harus indent dengan quantity minimum order. Mereka keberatan dengan hal ini. Akan di follow up lagi untuk kebutuhan filter di masa mendatang."/>
  </r>
  <r>
    <x v="237"/>
    <m/>
    <x v="325"/>
    <s v="EPL"/>
    <x v="0"/>
    <m/>
    <x v="5"/>
    <x v="1"/>
    <x v="3"/>
    <n v="1000000000"/>
    <x v="2"/>
    <x v="21"/>
    <x v="0"/>
    <m/>
  </r>
  <r>
    <x v="238"/>
    <m/>
    <x v="326"/>
    <s v="RC"/>
    <x v="0"/>
    <m/>
    <x v="5"/>
    <x v="0"/>
    <x v="3"/>
    <n v="2300000000"/>
    <x v="2"/>
    <x v="146"/>
    <x v="0"/>
    <m/>
  </r>
  <r>
    <x v="239"/>
    <m/>
    <x v="36"/>
    <s v="EPL"/>
    <x v="0"/>
    <s v="Samuel"/>
    <x v="5"/>
    <x v="0"/>
    <x v="3"/>
    <n v="23278140"/>
    <x v="1"/>
    <x v="5"/>
    <x v="0"/>
    <s v="Menerima PO di 25 Februari 2026"/>
  </r>
  <r>
    <x v="239"/>
    <m/>
    <x v="36"/>
    <s v="EPL"/>
    <x v="0"/>
    <s v="Samuel"/>
    <x v="5"/>
    <x v="0"/>
    <x v="3"/>
    <n v="1195683410"/>
    <x v="5"/>
    <x v="13"/>
    <x v="0"/>
    <s v="Sudah submit quotation 2 AHU DX by email pada Fri 05/12/2025 10:52 PM._x000a__x000a_ 2026/03/13 : info bapak reza, sedang di review internal."/>
  </r>
  <r>
    <x v="240"/>
    <m/>
    <x v="36"/>
    <s v="EPL"/>
    <x v="0"/>
    <s v="David"/>
    <x v="2"/>
    <x v="0"/>
    <x v="1"/>
    <n v="148000000"/>
    <x v="1"/>
    <x v="147"/>
    <x v="1"/>
    <m/>
  </r>
  <r>
    <x v="239"/>
    <m/>
    <x v="36"/>
    <s v="EPL"/>
    <x v="0"/>
    <s v="Samuel"/>
    <x v="5"/>
    <x v="0"/>
    <x v="3"/>
    <n v="10617396"/>
    <x v="0"/>
    <x v="13"/>
    <x v="0"/>
    <s v="Sudah submit quotation ac single split 2 PK 1 unit pada Mon 01/12/2025 1:21 PM"/>
  </r>
  <r>
    <x v="178"/>
    <m/>
    <x v="327"/>
    <m/>
    <x v="0"/>
    <m/>
    <x v="7"/>
    <x v="1"/>
    <x v="3"/>
    <n v="350000000"/>
    <x v="3"/>
    <x v="13"/>
    <x v="0"/>
    <m/>
  </r>
  <r>
    <x v="241"/>
    <m/>
    <x v="328"/>
    <m/>
    <x v="0"/>
    <m/>
    <x v="7"/>
    <x v="1"/>
    <x v="3"/>
    <n v="300000000"/>
    <x v="2"/>
    <x v="21"/>
    <x v="0"/>
    <m/>
  </r>
  <r>
    <x v="242"/>
    <m/>
    <x v="36"/>
    <s v="EPL"/>
    <x v="0"/>
    <m/>
    <x v="7"/>
    <x v="0"/>
    <x v="1"/>
    <n v="11000000"/>
    <x v="1"/>
    <x v="148"/>
    <x v="0"/>
    <s v="Sudah menerima PO"/>
  </r>
  <r>
    <x v="239"/>
    <m/>
    <x v="36"/>
    <s v="EPL"/>
    <x v="0"/>
    <s v="Samuel"/>
    <x v="5"/>
    <x v="0"/>
    <x v="3"/>
    <n v="52500000"/>
    <x v="1"/>
    <x v="149"/>
    <x v="1"/>
    <s v="Sudah menerima PO dari PT. Novel dan sudah di proses ke mba ana."/>
  </r>
  <r>
    <x v="239"/>
    <m/>
    <x v="36"/>
    <s v="EPL"/>
    <x v="0"/>
    <s v="Samuel"/>
    <x v="5"/>
    <x v="0"/>
    <x v="3"/>
    <n v="23278140"/>
    <x v="1"/>
    <x v="150"/>
    <x v="1"/>
    <s v="Sudah menerima PO dari PT. Novel dan sudah di proses ke mba ana."/>
  </r>
  <r>
    <x v="239"/>
    <m/>
    <x v="36"/>
    <s v="EPL"/>
    <x v="0"/>
    <s v="Samuel"/>
    <x v="5"/>
    <x v="0"/>
    <x v="3"/>
    <n v="42000000"/>
    <x v="1"/>
    <x v="151"/>
    <x v="1"/>
    <s v="1. Akan diplaningkan untuk eksekusi pekerjaan dan delivery unit split duct di 2 Januari 2026._x000a_2. Pekerjaan installasi sudah selesai di 4 Januari 2026, akan dikirimkan report di 6-9 Januari 2026."/>
  </r>
  <r>
    <x v="1"/>
    <m/>
    <x v="36"/>
    <s v="EPL"/>
    <x v="0"/>
    <s v="Samuel"/>
    <x v="1"/>
    <x v="2"/>
    <x v="1"/>
    <n v="104980000"/>
    <x v="2"/>
    <x v="152"/>
    <x v="0"/>
    <s v="Sudah submit quotation oleh mba Dea dan sedang di review  oleh internal PI."/>
  </r>
  <r>
    <x v="243"/>
    <m/>
    <x v="329"/>
    <s v="EPL"/>
    <x v="0"/>
    <s v="Samuel"/>
    <x v="2"/>
    <x v="0"/>
    <x v="1"/>
    <n v="76000000"/>
    <x v="1"/>
    <x v="153"/>
    <x v="1"/>
    <s v="Sudah submit penawran by email ke yonatan@saranatunggalmulia.com di 2026/03/12"/>
  </r>
  <r>
    <x v="244"/>
    <m/>
    <x v="36"/>
    <s v="EPL"/>
    <x v="0"/>
    <s v="Samuel"/>
    <x v="6"/>
    <x v="2"/>
    <x v="3"/>
    <n v="23046288"/>
    <x v="0"/>
    <x v="13"/>
    <x v="0"/>
    <m/>
  </r>
  <r>
    <x v="244"/>
    <m/>
    <x v="36"/>
    <s v="EPL"/>
    <x v="0"/>
    <s v="Samuel"/>
    <x v="6"/>
    <x v="2"/>
    <x v="3"/>
    <n v="23337600"/>
    <x v="0"/>
    <x v="13"/>
    <x v="0"/>
    <m/>
  </r>
  <r>
    <x v="1"/>
    <s v="Hokben"/>
    <x v="330"/>
    <m/>
    <x v="0"/>
    <m/>
    <x v="1"/>
    <x v="1"/>
    <x v="1"/>
    <n v="28473000"/>
    <x v="1"/>
    <x v="154"/>
    <x v="1"/>
    <s v="Already PO"/>
  </r>
  <r>
    <x v="245"/>
    <m/>
    <x v="36"/>
    <s v="EPL"/>
    <x v="0"/>
    <m/>
    <x v="1"/>
    <x v="0"/>
    <x v="3"/>
    <n v="95000000"/>
    <x v="1"/>
    <x v="150"/>
    <x v="0"/>
    <s v="Sudah menerima PO dari customer di tanggal  28 JANUARI 2026."/>
  </r>
  <r>
    <x v="246"/>
    <m/>
    <x v="36"/>
    <s v="EPL"/>
    <x v="0"/>
    <m/>
    <x v="7"/>
    <x v="0"/>
    <x v="3"/>
    <n v="153000000"/>
    <x v="1"/>
    <x v="148"/>
    <x v="0"/>
    <s v="Deliveri ke site"/>
  </r>
  <r>
    <x v="8"/>
    <m/>
    <x v="331"/>
    <s v="EPL"/>
    <x v="0"/>
    <s v="Samuel"/>
    <x v="1"/>
    <x v="2"/>
    <x v="1"/>
    <n v="3555400"/>
    <x v="2"/>
    <x v="15"/>
    <x v="0"/>
    <s v="2026/03/13 : Sudah di submit penawaran oleh mba Dea dan menunggu jadwal dari pihak patra untuk presentasi quotation."/>
  </r>
  <r>
    <x v="11"/>
    <m/>
    <x v="36"/>
    <s v="EPL"/>
    <x v="0"/>
    <s v="Samuel"/>
    <x v="7"/>
    <x v="0"/>
    <x v="3"/>
    <n v="162785280"/>
    <x v="5"/>
    <x v="13"/>
    <x v="0"/>
    <s v="1. Sudah submit quotation kedua (nego) untuk projek corrective maintenance VRV IV Loby Cakung.2. _x000a_2. Menunggu feedback dari user terkait TOP, apakah mau memebrikan DP atau tidak."/>
  </r>
  <r>
    <x v="247"/>
    <m/>
    <x v="2"/>
    <s v="EPL"/>
    <x v="0"/>
    <s v="Samuel"/>
    <x v="5"/>
    <x v="2"/>
    <x v="3"/>
    <n v="100000000"/>
    <x v="2"/>
    <x v="103"/>
    <x v="0"/>
    <s v="19 Januari 2026 sudah submit quoation filter ke Bu Nina by email."/>
  </r>
  <r>
    <x v="248"/>
    <m/>
    <x v="332"/>
    <s v="EPL"/>
    <x v="0"/>
    <s v="David"/>
    <x v="2"/>
    <x v="0"/>
    <x v="3"/>
    <n v="1390000000"/>
    <x v="1"/>
    <x v="155"/>
    <x v="0"/>
    <s v="sudah submit quotation by email di 2026/03/05 ke didin setiyono &lt;didinsetiyono22@yahoo.com&gt;"/>
  </r>
  <r>
    <x v="249"/>
    <m/>
    <x v="36"/>
    <m/>
    <x v="0"/>
    <m/>
    <x v="5"/>
    <x v="0"/>
    <x v="3"/>
    <n v="1000000000"/>
    <x v="6"/>
    <x v="21"/>
    <x v="0"/>
    <m/>
  </r>
  <r>
    <x v="250"/>
    <m/>
    <x v="36"/>
    <s v="EPL"/>
    <x v="0"/>
    <s v="David"/>
    <x v="5"/>
    <x v="0"/>
    <x v="3"/>
    <n v="156000000"/>
    <x v="1"/>
    <x v="156"/>
    <x v="1"/>
    <s v="29 Januari submit quotation UAL450D5 2 unit untuk project RS Hasan Sadikin Bandung dan sudah trima PO"/>
  </r>
  <r>
    <x v="34"/>
    <m/>
    <x v="259"/>
    <s v="EPL"/>
    <x v="0"/>
    <m/>
    <x v="5"/>
    <x v="1"/>
    <x v="3"/>
    <n v="52000000"/>
    <x v="1"/>
    <x v="148"/>
    <x v="1"/>
    <m/>
  </r>
  <r>
    <x v="251"/>
    <m/>
    <x v="36"/>
    <s v="RC"/>
    <x v="0"/>
    <m/>
    <x v="5"/>
    <x v="0"/>
    <x v="3"/>
    <n v="2000000000"/>
    <x v="2"/>
    <x v="146"/>
    <x v="0"/>
    <m/>
  </r>
  <r>
    <x v="252"/>
    <m/>
    <x v="259"/>
    <s v="EPL"/>
    <x v="0"/>
    <m/>
    <x v="5"/>
    <x v="1"/>
    <x v="3"/>
    <n v="200000000"/>
    <x v="2"/>
    <x v="152"/>
    <x v="0"/>
    <m/>
  </r>
  <r>
    <x v="161"/>
    <m/>
    <x v="333"/>
    <s v="RC"/>
    <x v="0"/>
    <m/>
    <x v="5"/>
    <x v="1"/>
    <x v="3"/>
    <n v="2403750000"/>
    <x v="6"/>
    <x v="157"/>
    <x v="0"/>
    <m/>
  </r>
  <r>
    <x v="161"/>
    <m/>
    <x v="334"/>
    <s v="EPL"/>
    <x v="0"/>
    <m/>
    <x v="5"/>
    <x v="0"/>
    <x v="3"/>
    <n v="1000000000"/>
    <x v="2"/>
    <x v="157"/>
    <x v="0"/>
    <m/>
  </r>
  <r>
    <x v="253"/>
    <m/>
    <x v="335"/>
    <s v="RC"/>
    <x v="0"/>
    <m/>
    <x v="5"/>
    <x v="0"/>
    <x v="3"/>
    <n v="98000000"/>
    <x v="2"/>
    <x v="158"/>
    <x v="0"/>
    <m/>
  </r>
  <r>
    <x v="254"/>
    <m/>
    <x v="336"/>
    <s v="RC"/>
    <x v="0"/>
    <s v="David"/>
    <x v="5"/>
    <x v="0"/>
    <x v="0"/>
    <n v="2248000000"/>
    <x v="7"/>
    <x v="21"/>
    <x v="0"/>
    <m/>
  </r>
  <r>
    <x v="255"/>
    <m/>
    <x v="337"/>
    <s v="RC"/>
    <x v="0"/>
    <m/>
    <x v="5"/>
    <x v="0"/>
    <x v="3"/>
    <n v="1126200000"/>
    <x v="7"/>
    <x v="146"/>
    <x v="0"/>
    <m/>
  </r>
  <r>
    <x v="256"/>
    <m/>
    <x v="259"/>
    <s v="EPL"/>
    <x v="0"/>
    <m/>
    <x v="5"/>
    <x v="1"/>
    <x v="3"/>
    <n v="800000000"/>
    <x v="2"/>
    <x v="159"/>
    <x v="0"/>
    <m/>
  </r>
  <r>
    <x v="257"/>
    <m/>
    <x v="338"/>
    <s v="RC"/>
    <x v="0"/>
    <m/>
    <x v="5"/>
    <x v="0"/>
    <x v="3"/>
    <n v="1200000000"/>
    <x v="2"/>
    <x v="160"/>
    <x v="0"/>
    <m/>
  </r>
  <r>
    <x v="258"/>
    <m/>
    <x v="339"/>
    <s v="RC"/>
    <x v="0"/>
    <m/>
    <x v="5"/>
    <x v="0"/>
    <x v="3"/>
    <n v="78000000"/>
    <x v="1"/>
    <x v="148"/>
    <x v="1"/>
    <s v="29 Januari submit quotation UAL423D5 1 unit untuk project RS Siloam Hospital Jambi dan sudah trima PO"/>
  </r>
  <r>
    <x v="259"/>
    <m/>
    <x v="2"/>
    <s v="EPL"/>
    <x v="1"/>
    <s v="Samuel"/>
    <x v="11"/>
    <x v="2"/>
    <x v="3"/>
    <n v="385050000"/>
    <x v="5"/>
    <x v="13"/>
    <x v="0"/>
    <s v="Sudah submit quotaiton by WA ke pak dirga"/>
  </r>
  <r>
    <x v="259"/>
    <m/>
    <x v="2"/>
    <s v="EPL"/>
    <x v="1"/>
    <s v="Samuel"/>
    <x v="11"/>
    <x v="2"/>
    <x v="3"/>
    <n v="1732590000"/>
    <x v="5"/>
    <x v="13"/>
    <x v="0"/>
    <s v="Sudah submit quotaiton by WA ke pak dirga"/>
  </r>
  <r>
    <x v="260"/>
    <m/>
    <x v="36"/>
    <s v="EPL"/>
    <x v="0"/>
    <s v="Samuel"/>
    <x v="6"/>
    <x v="0"/>
    <x v="3"/>
    <n v="32000000"/>
    <x v="1"/>
    <x v="161"/>
    <x v="1"/>
    <s v="PO"/>
  </r>
  <r>
    <x v="219"/>
    <m/>
    <x v="2"/>
    <s v="EPL"/>
    <x v="0"/>
    <s v="Samuel"/>
    <x v="6"/>
    <x v="2"/>
    <x v="3"/>
    <n v="24688000"/>
    <x v="0"/>
    <x v="13"/>
    <x v="0"/>
    <m/>
  </r>
  <r>
    <x v="219"/>
    <m/>
    <x v="2"/>
    <s v="EPL"/>
    <x v="0"/>
    <s v="Samuel"/>
    <x v="6"/>
    <x v="2"/>
    <x v="3"/>
    <n v="12050000"/>
    <x v="0"/>
    <x v="13"/>
    <x v="0"/>
    <m/>
  </r>
  <r>
    <x v="61"/>
    <s v="ST"/>
    <x v="340"/>
    <m/>
    <x v="0"/>
    <m/>
    <x v="12"/>
    <x v="1"/>
    <x v="4"/>
    <n v="1578128000"/>
    <x v="2"/>
    <x v="13"/>
    <x v="0"/>
    <s v="Quotation"/>
  </r>
  <r>
    <x v="61"/>
    <s v="ST"/>
    <x v="341"/>
    <m/>
    <x v="0"/>
    <m/>
    <x v="12"/>
    <x v="1"/>
    <x v="4"/>
    <n v="166590000"/>
    <x v="2"/>
    <x v="13"/>
    <x v="0"/>
    <s v="Quotation"/>
  </r>
  <r>
    <x v="61"/>
    <s v="ST"/>
    <x v="342"/>
    <m/>
    <x v="0"/>
    <m/>
    <x v="12"/>
    <x v="1"/>
    <x v="4"/>
    <n v="114000000"/>
    <x v="2"/>
    <x v="13"/>
    <x v="0"/>
    <s v="Quotation"/>
  </r>
  <r>
    <x v="61"/>
    <s v="ST"/>
    <x v="343"/>
    <m/>
    <x v="0"/>
    <m/>
    <x v="12"/>
    <x v="1"/>
    <x v="4"/>
    <n v="126390000"/>
    <x v="2"/>
    <x v="13"/>
    <x v="0"/>
    <s v="Quotation"/>
  </r>
  <r>
    <x v="61"/>
    <s v="ST"/>
    <x v="344"/>
    <m/>
    <x v="0"/>
    <m/>
    <x v="12"/>
    <x v="1"/>
    <x v="4"/>
    <n v="26088000"/>
    <x v="2"/>
    <x v="13"/>
    <x v="0"/>
    <s v="Quotation"/>
  </r>
  <r>
    <x v="261"/>
    <m/>
    <x v="345"/>
    <s v="AL"/>
    <x v="1"/>
    <m/>
    <x v="9"/>
    <x v="1"/>
    <x v="3"/>
    <n v="699000000"/>
    <x v="5"/>
    <x v="162"/>
    <x v="2"/>
    <s v="HVAC Ruang Trafo dan Ruang LVMDP. Budget 2024 belum diapprove. Diajukan kembali di 2025"/>
  </r>
  <r>
    <x v="262"/>
    <m/>
    <x v="346"/>
    <s v="AS CSD"/>
    <x v="1"/>
    <m/>
    <x v="9"/>
    <x v="0"/>
    <x v="1"/>
    <n v="1200000000"/>
    <x v="5"/>
    <x v="47"/>
    <x v="2"/>
    <s v="Budgeting untuk penggantian Chiller matahari dan hypermart"/>
  </r>
  <r>
    <x v="263"/>
    <s v="ST"/>
    <x v="347"/>
    <m/>
    <x v="0"/>
    <m/>
    <x v="12"/>
    <x v="1"/>
    <x v="4"/>
    <n v="283176000"/>
    <x v="2"/>
    <x v="13"/>
    <x v="0"/>
    <s v="Quotation"/>
  </r>
  <r>
    <x v="61"/>
    <s v="ST"/>
    <x v="348"/>
    <m/>
    <x v="0"/>
    <m/>
    <x v="12"/>
    <x v="1"/>
    <x v="4"/>
    <n v="179820000"/>
    <x v="2"/>
    <x v="13"/>
    <x v="0"/>
    <s v="Quotation"/>
  </r>
  <r>
    <x v="61"/>
    <s v="ST"/>
    <x v="349"/>
    <m/>
    <x v="0"/>
    <m/>
    <x v="12"/>
    <x v="1"/>
    <x v="4"/>
    <n v="510534000"/>
    <x v="2"/>
    <x v="13"/>
    <x v="0"/>
    <s v="Quotation"/>
  </r>
  <r>
    <x v="61"/>
    <s v="ST"/>
    <x v="350"/>
    <m/>
    <x v="0"/>
    <m/>
    <x v="12"/>
    <x v="1"/>
    <x v="4"/>
    <n v="8772000"/>
    <x v="2"/>
    <x v="13"/>
    <x v="0"/>
    <s v="Quotation"/>
  </r>
  <r>
    <x v="61"/>
    <s v="ST"/>
    <x v="351"/>
    <m/>
    <x v="0"/>
    <m/>
    <x v="12"/>
    <x v="1"/>
    <x v="4"/>
    <n v="13650000"/>
    <x v="2"/>
    <x v="13"/>
    <x v="0"/>
    <s v="Quotation"/>
  </r>
  <r>
    <x v="264"/>
    <m/>
    <x v="352"/>
    <s v="WS CSD"/>
    <x v="1"/>
    <m/>
    <x v="9"/>
    <x v="0"/>
    <x v="1"/>
    <n v="2350000000"/>
    <x v="5"/>
    <x v="163"/>
    <x v="2"/>
    <m/>
  </r>
  <r>
    <x v="265"/>
    <m/>
    <x v="353"/>
    <s v="AHU STD"/>
    <x v="1"/>
    <m/>
    <x v="9"/>
    <x v="0"/>
    <x v="1"/>
    <n v="348000000"/>
    <x v="5"/>
    <x v="162"/>
    <x v="0"/>
    <m/>
  </r>
  <r>
    <x v="266"/>
    <m/>
    <x v="354"/>
    <s v="WC CSD"/>
    <x v="1"/>
    <m/>
    <x v="9"/>
    <x v="0"/>
    <x v="1"/>
    <n v="2800000000"/>
    <x v="5"/>
    <x v="162"/>
    <x v="0"/>
    <m/>
  </r>
  <r>
    <x v="267"/>
    <m/>
    <x v="355"/>
    <s v="AS CSD"/>
    <x v="1"/>
    <m/>
    <x v="9"/>
    <x v="0"/>
    <x v="1"/>
    <n v="1500000000"/>
    <x v="5"/>
    <x v="47"/>
    <x v="0"/>
    <m/>
  </r>
  <r>
    <x v="61"/>
    <s v="ST"/>
    <x v="305"/>
    <m/>
    <x v="0"/>
    <m/>
    <x v="12"/>
    <x v="1"/>
    <x v="4"/>
    <n v="371772000"/>
    <x v="2"/>
    <x v="13"/>
    <x v="0"/>
    <s v="Quotation"/>
  </r>
  <r>
    <x v="268"/>
    <m/>
    <x v="356"/>
    <s v="FCU DUC"/>
    <x v="1"/>
    <m/>
    <x v="9"/>
    <x v="0"/>
    <x v="1"/>
    <n v="6000000"/>
    <x v="5"/>
    <x v="162"/>
    <x v="0"/>
    <m/>
  </r>
  <r>
    <x v="106"/>
    <s v="ST"/>
    <x v="357"/>
    <m/>
    <x v="0"/>
    <m/>
    <x v="12"/>
    <x v="1"/>
    <x v="4"/>
    <n v="17405000"/>
    <x v="2"/>
    <x v="13"/>
    <x v="0"/>
    <s v="Quotation"/>
  </r>
  <r>
    <x v="61"/>
    <s v="ST"/>
    <x v="358"/>
    <m/>
    <x v="0"/>
    <m/>
    <x v="12"/>
    <x v="1"/>
    <x v="4"/>
    <n v="4750000"/>
    <x v="2"/>
    <x v="13"/>
    <x v="0"/>
    <s v="Quotation"/>
  </r>
  <r>
    <x v="269"/>
    <m/>
    <x v="359"/>
    <s v="FCU DUC"/>
    <x v="1"/>
    <m/>
    <x v="9"/>
    <x v="1"/>
    <x v="3"/>
    <n v="106559000"/>
    <x v="5"/>
    <x v="164"/>
    <x v="2"/>
    <s v="Budget diajukan untuk 2025"/>
  </r>
  <r>
    <x v="106"/>
    <s v="ST"/>
    <x v="360"/>
    <m/>
    <x v="0"/>
    <m/>
    <x v="12"/>
    <x v="1"/>
    <x v="4"/>
    <n v="1212908000"/>
    <x v="2"/>
    <x v="13"/>
    <x v="0"/>
    <s v="Quotation 28Feb'25"/>
  </r>
  <r>
    <x v="270"/>
    <m/>
    <x v="361"/>
    <s v="FCU DUC"/>
    <x v="1"/>
    <m/>
    <x v="9"/>
    <x v="1"/>
    <x v="3"/>
    <n v="62318500"/>
    <x v="5"/>
    <x v="164"/>
    <x v="2"/>
    <s v="Budget diajukan untuk 2025"/>
  </r>
  <r>
    <x v="106"/>
    <s v="ST"/>
    <x v="362"/>
    <m/>
    <x v="0"/>
    <m/>
    <x v="12"/>
    <x v="1"/>
    <x v="4"/>
    <n v="831286000"/>
    <x v="2"/>
    <x v="13"/>
    <x v="0"/>
    <s v="Quotation 25 Feb'25"/>
  </r>
  <r>
    <x v="271"/>
    <m/>
    <x v="363"/>
    <s v="FCU DUC"/>
    <x v="1"/>
    <m/>
    <x v="9"/>
    <x v="0"/>
    <x v="1"/>
    <n v="58000000"/>
    <x v="5"/>
    <x v="165"/>
    <x v="2"/>
    <m/>
  </r>
  <r>
    <x v="272"/>
    <m/>
    <x v="364"/>
    <s v="FCU DUC"/>
    <x v="1"/>
    <m/>
    <x v="9"/>
    <x v="0"/>
    <x v="1"/>
    <n v="14000000"/>
    <x v="5"/>
    <x v="165"/>
    <x v="0"/>
    <m/>
  </r>
  <r>
    <x v="273"/>
    <m/>
    <x v="365"/>
    <s v="FCU DUC"/>
    <x v="1"/>
    <m/>
    <x v="9"/>
    <x v="0"/>
    <x v="1"/>
    <n v="22000000"/>
    <x v="5"/>
    <x v="165"/>
    <x v="2"/>
    <m/>
  </r>
  <r>
    <x v="106"/>
    <s v="ST"/>
    <x v="366"/>
    <m/>
    <x v="0"/>
    <m/>
    <x v="12"/>
    <x v="1"/>
    <x v="4"/>
    <n v="197327000"/>
    <x v="2"/>
    <x v="13"/>
    <x v="0"/>
    <s v="Quotation 5 Mar'25"/>
  </r>
  <r>
    <x v="106"/>
    <s v="ST"/>
    <x v="367"/>
    <m/>
    <x v="0"/>
    <m/>
    <x v="12"/>
    <x v="1"/>
    <x v="4"/>
    <n v="118160000"/>
    <x v="2"/>
    <x v="13"/>
    <x v="0"/>
    <s v="Quotation 7 Apr'25"/>
  </r>
  <r>
    <x v="274"/>
    <m/>
    <x v="368"/>
    <s v="AL"/>
    <x v="1"/>
    <m/>
    <x v="9"/>
    <x v="0"/>
    <x v="1"/>
    <n v="280000000"/>
    <x v="5"/>
    <x v="164"/>
    <x v="0"/>
    <m/>
  </r>
  <r>
    <x v="106"/>
    <s v="ST"/>
    <x v="369"/>
    <m/>
    <x v="0"/>
    <m/>
    <x v="12"/>
    <x v="1"/>
    <x v="4"/>
    <n v="7933000"/>
    <x v="2"/>
    <x v="13"/>
    <x v="0"/>
    <s v="Quotation 8 Apr'25"/>
  </r>
  <r>
    <x v="275"/>
    <m/>
    <x v="22"/>
    <m/>
    <x v="0"/>
    <m/>
    <x v="8"/>
    <x v="1"/>
    <x v="3"/>
    <n v="387000000"/>
    <x v="1"/>
    <x v="166"/>
    <x v="1"/>
    <s v="Already PO"/>
  </r>
  <r>
    <x v="276"/>
    <m/>
    <x v="370"/>
    <m/>
    <x v="1"/>
    <m/>
    <x v="9"/>
    <x v="1"/>
    <x v="3"/>
    <n v="11000000"/>
    <x v="5"/>
    <x v="164"/>
    <x v="0"/>
    <m/>
  </r>
  <r>
    <x v="277"/>
    <m/>
    <x v="371"/>
    <s v="FCU DUC"/>
    <x v="1"/>
    <m/>
    <x v="9"/>
    <x v="0"/>
    <x v="1"/>
    <n v="21000000"/>
    <x v="5"/>
    <x v="164"/>
    <x v="2"/>
    <m/>
  </r>
  <r>
    <x v="278"/>
    <m/>
    <x v="372"/>
    <s v="AL"/>
    <x v="1"/>
    <m/>
    <x v="9"/>
    <x v="0"/>
    <x v="3"/>
    <n v="210000000"/>
    <x v="5"/>
    <x v="164"/>
    <x v="2"/>
    <m/>
  </r>
  <r>
    <x v="279"/>
    <m/>
    <x v="373"/>
    <m/>
    <x v="1"/>
    <m/>
    <x v="9"/>
    <x v="0"/>
    <x v="0"/>
    <n v="27000000"/>
    <x v="5"/>
    <x v="164"/>
    <x v="2"/>
    <m/>
  </r>
  <r>
    <x v="280"/>
    <m/>
    <x v="277"/>
    <s v="AHU STD"/>
    <x v="1"/>
    <m/>
    <x v="9"/>
    <x v="0"/>
    <x v="1"/>
    <n v="340000000"/>
    <x v="5"/>
    <x v="29"/>
    <x v="2"/>
    <m/>
  </r>
  <r>
    <x v="281"/>
    <m/>
    <x v="374"/>
    <s v="AL"/>
    <x v="1"/>
    <m/>
    <x v="9"/>
    <x v="0"/>
    <x v="3"/>
    <n v="70000000"/>
    <x v="5"/>
    <x v="164"/>
    <x v="2"/>
    <m/>
  </r>
  <r>
    <x v="282"/>
    <m/>
    <x v="375"/>
    <s v="FCU DUC"/>
    <x v="1"/>
    <m/>
    <x v="9"/>
    <x v="0"/>
    <x v="1"/>
    <n v="298025000"/>
    <x v="5"/>
    <x v="164"/>
    <x v="2"/>
    <m/>
  </r>
  <r>
    <x v="283"/>
    <m/>
    <x v="376"/>
    <s v="AS CSD"/>
    <x v="1"/>
    <m/>
    <x v="9"/>
    <x v="0"/>
    <x v="1"/>
    <n v="2400000000"/>
    <x v="5"/>
    <x v="164"/>
    <x v="0"/>
    <m/>
  </r>
  <r>
    <x v="284"/>
    <m/>
    <x v="377"/>
    <s v="FCU DUC"/>
    <x v="1"/>
    <m/>
    <x v="9"/>
    <x v="0"/>
    <x v="3"/>
    <n v="7300000"/>
    <x v="5"/>
    <x v="164"/>
    <x v="0"/>
    <m/>
  </r>
  <r>
    <x v="106"/>
    <s v="ST"/>
    <x v="378"/>
    <m/>
    <x v="0"/>
    <m/>
    <x v="12"/>
    <x v="1"/>
    <x v="4"/>
    <n v="87340000"/>
    <x v="2"/>
    <x v="13"/>
    <x v="0"/>
    <s v="Quotation 8 Apr'25"/>
  </r>
  <r>
    <x v="61"/>
    <s v="ST"/>
    <x v="379"/>
    <m/>
    <x v="0"/>
    <m/>
    <x v="12"/>
    <x v="1"/>
    <x v="4"/>
    <n v="82763000"/>
    <x v="2"/>
    <x v="13"/>
    <x v="0"/>
    <s v="Quotation 14 May'25"/>
  </r>
  <r>
    <x v="106"/>
    <s v="ST"/>
    <x v="380"/>
    <m/>
    <x v="0"/>
    <m/>
    <x v="12"/>
    <x v="1"/>
    <x v="4"/>
    <n v="5352928000"/>
    <x v="2"/>
    <x v="13"/>
    <x v="0"/>
    <s v="Quotaion 5 May'25"/>
  </r>
  <r>
    <x v="106"/>
    <s v="ST"/>
    <x v="381"/>
    <m/>
    <x v="0"/>
    <m/>
    <x v="12"/>
    <x v="1"/>
    <x v="4"/>
    <n v="1902992000"/>
    <x v="2"/>
    <x v="13"/>
    <x v="0"/>
    <s v="Quotation 12 Jun'25"/>
  </r>
  <r>
    <x v="106"/>
    <s v="ST"/>
    <x v="382"/>
    <m/>
    <x v="0"/>
    <m/>
    <x v="12"/>
    <x v="1"/>
    <x v="4"/>
    <n v="357276000"/>
    <x v="2"/>
    <x v="13"/>
    <x v="0"/>
    <s v="Quotation 12 Jun'25"/>
  </r>
  <r>
    <x v="285"/>
    <m/>
    <x v="383"/>
    <s v="AL"/>
    <x v="1"/>
    <m/>
    <x v="9"/>
    <x v="0"/>
    <x v="3"/>
    <n v="46000000"/>
    <x v="5"/>
    <x v="164"/>
    <x v="2"/>
    <m/>
  </r>
  <r>
    <x v="286"/>
    <m/>
    <x v="384"/>
    <s v="WC CSD"/>
    <x v="1"/>
    <m/>
    <x v="9"/>
    <x v="0"/>
    <x v="1"/>
    <n v="2250000000"/>
    <x v="5"/>
    <x v="164"/>
    <x v="2"/>
    <m/>
  </r>
  <r>
    <x v="287"/>
    <m/>
    <x v="385"/>
    <s v="AHU STD"/>
    <x v="1"/>
    <m/>
    <x v="9"/>
    <x v="0"/>
    <x v="1"/>
    <n v="110000000"/>
    <x v="5"/>
    <x v="167"/>
    <x v="2"/>
    <m/>
  </r>
  <r>
    <x v="288"/>
    <m/>
    <x v="386"/>
    <s v="AL"/>
    <x v="1"/>
    <m/>
    <x v="9"/>
    <x v="0"/>
    <x v="3"/>
    <n v="172000000"/>
    <x v="5"/>
    <x v="165"/>
    <x v="2"/>
    <m/>
  </r>
  <r>
    <x v="289"/>
    <m/>
    <x v="387"/>
    <m/>
    <x v="1"/>
    <m/>
    <x v="9"/>
    <x v="1"/>
    <x v="3"/>
    <n v="95320000"/>
    <x v="5"/>
    <x v="165"/>
    <x v="2"/>
    <m/>
  </r>
  <r>
    <x v="36"/>
    <m/>
    <x v="388"/>
    <m/>
    <x v="1"/>
    <m/>
    <x v="11"/>
    <x v="1"/>
    <x v="3"/>
    <n v="143667500"/>
    <x v="1"/>
    <x v="168"/>
    <x v="1"/>
    <m/>
  </r>
  <r>
    <x v="290"/>
    <m/>
    <x v="389"/>
    <m/>
    <x v="0"/>
    <s v="David"/>
    <x v="4"/>
    <x v="1"/>
    <x v="3"/>
    <n v="44100000"/>
    <x v="2"/>
    <x v="133"/>
    <x v="0"/>
    <s v="Sudah submit quotation di 2026/05/29"/>
  </r>
  <r>
    <x v="106"/>
    <s v="ST"/>
    <x v="390"/>
    <m/>
    <x v="0"/>
    <m/>
    <x v="12"/>
    <x v="1"/>
    <x v="4"/>
    <n v="827640000"/>
    <x v="2"/>
    <x v="13"/>
    <x v="0"/>
    <s v="Quotation 12 Jun'25"/>
  </r>
  <r>
    <x v="291"/>
    <m/>
    <x v="32"/>
    <m/>
    <x v="1"/>
    <m/>
    <x v="10"/>
    <x v="1"/>
    <x v="3"/>
    <n v="248000000"/>
    <x v="5"/>
    <x v="169"/>
    <x v="1"/>
    <m/>
  </r>
  <r>
    <x v="106"/>
    <s v="ST"/>
    <x v="391"/>
    <m/>
    <x v="0"/>
    <m/>
    <x v="12"/>
    <x v="1"/>
    <x v="4"/>
    <n v="169662836"/>
    <x v="2"/>
    <x v="13"/>
    <x v="0"/>
    <s v="Quotation 12 Jun'25"/>
  </r>
  <r>
    <x v="292"/>
    <m/>
    <x v="392"/>
    <m/>
    <x v="1"/>
    <m/>
    <x v="10"/>
    <x v="1"/>
    <x v="3"/>
    <n v="39000000"/>
    <x v="2"/>
    <x v="114"/>
    <x v="0"/>
    <s v="Waiting Official PO "/>
  </r>
  <r>
    <x v="293"/>
    <m/>
    <x v="393"/>
    <m/>
    <x v="1"/>
    <m/>
    <x v="10"/>
    <x v="1"/>
    <x v="3"/>
    <n v="165000000"/>
    <x v="2"/>
    <x v="113"/>
    <x v="0"/>
    <s v="Tender"/>
  </r>
  <r>
    <x v="294"/>
    <m/>
    <x v="394"/>
    <m/>
    <x v="1"/>
    <m/>
    <x v="10"/>
    <x v="1"/>
    <x v="3"/>
    <n v="647000000"/>
    <x v="2"/>
    <x v="134"/>
    <x v="0"/>
    <s v="Budgeting"/>
  </r>
  <r>
    <x v="295"/>
    <m/>
    <x v="395"/>
    <m/>
    <x v="1"/>
    <m/>
    <x v="10"/>
    <x v="1"/>
    <x v="3"/>
    <n v="1400000000"/>
    <x v="2"/>
    <x v="170"/>
    <x v="0"/>
    <s v="Budgeting"/>
  </r>
  <r>
    <x v="296"/>
    <m/>
    <x v="396"/>
    <m/>
    <x v="1"/>
    <m/>
    <x v="10"/>
    <x v="0"/>
    <x v="3"/>
    <n v="1600000000"/>
    <x v="2"/>
    <x v="136"/>
    <x v="0"/>
    <s v="Budgeting"/>
  </r>
  <r>
    <x v="297"/>
    <m/>
    <x v="397"/>
    <m/>
    <x v="1"/>
    <m/>
    <x v="10"/>
    <x v="0"/>
    <x v="3"/>
    <n v="2500000000"/>
    <x v="1"/>
    <x v="137"/>
    <x v="1"/>
    <m/>
  </r>
  <r>
    <x v="298"/>
    <m/>
    <x v="32"/>
    <m/>
    <x v="1"/>
    <m/>
    <x v="10"/>
    <x v="0"/>
    <x v="3"/>
    <n v="1385000000"/>
    <x v="4"/>
    <x v="169"/>
    <x v="0"/>
    <s v="Lost "/>
  </r>
  <r>
    <x v="299"/>
    <m/>
    <x v="32"/>
    <m/>
    <x v="1"/>
    <m/>
    <x v="10"/>
    <x v="1"/>
    <x v="3"/>
    <n v="178000000"/>
    <x v="2"/>
    <x v="134"/>
    <x v="0"/>
    <m/>
  </r>
  <r>
    <x v="106"/>
    <s v="ST"/>
    <x v="398"/>
    <m/>
    <x v="0"/>
    <m/>
    <x v="12"/>
    <x v="1"/>
    <x v="4"/>
    <n v="3090088000"/>
    <x v="2"/>
    <x v="13"/>
    <x v="0"/>
    <s v="Quotation in PTFI system SAP 1/7/25"/>
  </r>
  <r>
    <x v="106"/>
    <s v="ST"/>
    <x v="399"/>
    <m/>
    <x v="0"/>
    <m/>
    <x v="12"/>
    <x v="1"/>
    <x v="4"/>
    <n v="39000000"/>
    <x v="2"/>
    <x v="13"/>
    <x v="0"/>
    <s v="Quotation submit 25 Jun'25"/>
  </r>
  <r>
    <x v="106"/>
    <s v="ST"/>
    <x v="400"/>
    <m/>
    <x v="0"/>
    <m/>
    <x v="12"/>
    <x v="1"/>
    <x v="4"/>
    <n v="170100000"/>
    <x v="2"/>
    <x v="13"/>
    <x v="0"/>
    <s v="Quotation submit 5 Ags'25"/>
  </r>
  <r>
    <x v="106"/>
    <s v="ST"/>
    <x v="401"/>
    <m/>
    <x v="0"/>
    <m/>
    <x v="12"/>
    <x v="1"/>
    <x v="4"/>
    <n v="43860000"/>
    <x v="2"/>
    <x v="13"/>
    <x v="0"/>
    <s v="Quotation in PTFI system SAP 22/8/25"/>
  </r>
  <r>
    <x v="300"/>
    <m/>
    <x v="402"/>
    <s v="UAA245"/>
    <x v="0"/>
    <s v="David"/>
    <x v="2"/>
    <x v="0"/>
    <x v="0"/>
    <n v="2172000000"/>
    <x v="1"/>
    <x v="171"/>
    <x v="1"/>
    <m/>
  </r>
  <r>
    <x v="79"/>
    <m/>
    <x v="403"/>
    <s v="UAL230D5"/>
    <x v="0"/>
    <m/>
    <x v="2"/>
    <x v="0"/>
    <x v="1"/>
    <n v="112500000"/>
    <x v="1"/>
    <x v="171"/>
    <x v="1"/>
    <m/>
  </r>
  <r>
    <x v="106"/>
    <s v="ST"/>
    <x v="404"/>
    <m/>
    <x v="0"/>
    <m/>
    <x v="12"/>
    <x v="1"/>
    <x v="4"/>
    <n v="3085248000"/>
    <x v="2"/>
    <x v="13"/>
    <x v="0"/>
    <s v="Quotation in PTFI system SAP 29/8/25"/>
  </r>
  <r>
    <x v="301"/>
    <m/>
    <x v="7"/>
    <m/>
    <x v="1"/>
    <m/>
    <x v="11"/>
    <x v="0"/>
    <x v="2"/>
    <n v="385000000"/>
    <x v="2"/>
    <x v="136"/>
    <x v="0"/>
    <m/>
  </r>
  <r>
    <x v="106"/>
    <s v="ST"/>
    <x v="405"/>
    <m/>
    <x v="0"/>
    <m/>
    <x v="12"/>
    <x v="1"/>
    <x v="4"/>
    <n v="158645000"/>
    <x v="2"/>
    <x v="13"/>
    <x v="0"/>
    <s v="Quotation 14 Nov'25"/>
  </r>
  <r>
    <x v="302"/>
    <m/>
    <x v="406"/>
    <m/>
    <x v="0"/>
    <s v="David"/>
    <x v="1"/>
    <x v="1"/>
    <x v="1"/>
    <n v="16000000"/>
    <x v="1"/>
    <x v="172"/>
    <x v="1"/>
    <m/>
  </r>
  <r>
    <x v="106"/>
    <s v="ST"/>
    <x v="407"/>
    <m/>
    <x v="0"/>
    <m/>
    <x v="12"/>
    <x v="1"/>
    <x v="4"/>
    <n v="750678000"/>
    <x v="2"/>
    <x v="13"/>
    <x v="0"/>
    <s v="Quotation in PTFI system SAP 10/11/25"/>
  </r>
  <r>
    <x v="194"/>
    <m/>
    <x v="408"/>
    <m/>
    <x v="1"/>
    <m/>
    <x v="11"/>
    <x v="0"/>
    <x v="3"/>
    <n v="2900000000"/>
    <x v="3"/>
    <x v="114"/>
    <x v="0"/>
    <s v="Menggantikan DX"/>
  </r>
  <r>
    <x v="303"/>
    <m/>
    <x v="1"/>
    <m/>
    <x v="1"/>
    <m/>
    <x v="11"/>
    <x v="3"/>
    <x v="1"/>
    <n v="61429000"/>
    <x v="1"/>
    <x v="13"/>
    <x v="0"/>
    <m/>
  </r>
  <r>
    <x v="301"/>
    <m/>
    <x v="409"/>
    <m/>
    <x v="1"/>
    <m/>
    <x v="11"/>
    <x v="3"/>
    <x v="0"/>
    <n v="441441441"/>
    <x v="1"/>
    <x v="73"/>
    <x v="0"/>
    <m/>
  </r>
  <r>
    <x v="301"/>
    <m/>
    <x v="1"/>
    <m/>
    <x v="1"/>
    <m/>
    <x v="11"/>
    <x v="3"/>
    <x v="0"/>
    <n v="49549549"/>
    <x v="1"/>
    <x v="173"/>
    <x v="0"/>
    <m/>
  </r>
  <r>
    <x v="304"/>
    <m/>
    <x v="36"/>
    <m/>
    <x v="1"/>
    <m/>
    <x v="11"/>
    <x v="0"/>
    <x v="3"/>
    <n v="1787420000"/>
    <x v="1"/>
    <x v="165"/>
    <x v="0"/>
    <m/>
  </r>
  <r>
    <x v="305"/>
    <m/>
    <x v="36"/>
    <m/>
    <x v="1"/>
    <m/>
    <x v="11"/>
    <x v="0"/>
    <x v="3"/>
    <n v="914870000"/>
    <x v="1"/>
    <x v="174"/>
    <x v="0"/>
    <m/>
  </r>
  <r>
    <x v="306"/>
    <m/>
    <x v="410"/>
    <s v="EWYE70"/>
    <x v="1"/>
    <m/>
    <x v="11"/>
    <x v="1"/>
    <x v="3"/>
    <n v="1787420000"/>
    <x v="1"/>
    <x v="174"/>
    <x v="1"/>
    <s v="Proses SO"/>
  </r>
  <r>
    <x v="307"/>
    <m/>
    <x v="410"/>
    <s v="EWYE70"/>
    <x v="1"/>
    <m/>
    <x v="11"/>
    <x v="1"/>
    <x v="3"/>
    <n v="914870000"/>
    <x v="1"/>
    <x v="174"/>
    <x v="1"/>
    <s v="Proses SO"/>
  </r>
  <r>
    <x v="308"/>
    <m/>
    <x v="7"/>
    <m/>
    <x v="1"/>
    <m/>
    <x v="11"/>
    <x v="1"/>
    <x v="3"/>
    <n v="858000000"/>
    <x v="1"/>
    <x v="175"/>
    <x v="1"/>
    <s v="Installasi Heatpump"/>
  </r>
  <r>
    <x v="309"/>
    <m/>
    <x v="411"/>
    <m/>
    <x v="1"/>
    <m/>
    <x v="11"/>
    <x v="0"/>
    <x v="0"/>
    <n v="586923200"/>
    <x v="1"/>
    <x v="175"/>
    <x v="1"/>
    <s v="Installasi Heatpump"/>
  </r>
  <r>
    <x v="310"/>
    <m/>
    <x v="412"/>
    <s v="EPL"/>
    <x v="0"/>
    <s v="David"/>
    <x v="5"/>
    <x v="0"/>
    <x v="3"/>
    <n v="550000000"/>
    <x v="3"/>
    <x v="176"/>
    <x v="0"/>
    <m/>
  </r>
  <r>
    <x v="311"/>
    <m/>
    <x v="413"/>
    <s v="DX"/>
    <x v="0"/>
    <m/>
    <x v="2"/>
    <x v="1"/>
    <x v="3"/>
    <n v="58000000"/>
    <x v="1"/>
    <x v="171"/>
    <x v="1"/>
    <m/>
  </r>
  <r>
    <x v="312"/>
    <m/>
    <x v="414"/>
    <s v="EPL"/>
    <x v="2"/>
    <s v="David"/>
    <x v="4"/>
    <x v="0"/>
    <x v="3"/>
    <n v="516000000"/>
    <x v="2"/>
    <x v="116"/>
    <x v="0"/>
    <m/>
  </r>
  <r>
    <x v="313"/>
    <m/>
    <x v="415"/>
    <s v="EPL"/>
    <x v="0"/>
    <s v="David"/>
    <x v="5"/>
    <x v="0"/>
    <x v="1"/>
    <n v="680000000"/>
    <x v="3"/>
    <x v="176"/>
    <x v="0"/>
    <m/>
  </r>
  <r>
    <x v="314"/>
    <m/>
    <x v="416"/>
    <s v="EPL"/>
    <x v="2"/>
    <s v="David"/>
    <x v="4"/>
    <x v="0"/>
    <x v="3"/>
    <n v="700000000"/>
    <x v="2"/>
    <x v="116"/>
    <x v="0"/>
    <m/>
  </r>
  <r>
    <x v="315"/>
    <m/>
    <x v="417"/>
    <s v="EPL"/>
    <x v="0"/>
    <s v="David"/>
    <x v="7"/>
    <x v="0"/>
    <x v="3"/>
    <n v="750000000"/>
    <x v="0"/>
    <x v="13"/>
    <x v="0"/>
    <m/>
  </r>
  <r>
    <x v="316"/>
    <m/>
    <x v="418"/>
    <s v="EPL"/>
    <x v="2"/>
    <s v="David"/>
    <x v="4"/>
    <x v="0"/>
    <x v="3"/>
    <n v="950000000"/>
    <x v="2"/>
    <x v="116"/>
    <x v="0"/>
    <m/>
  </r>
  <r>
    <x v="5"/>
    <m/>
    <x v="419"/>
    <s v="Chiller UAL230D5 (2)"/>
    <x v="0"/>
    <s v="David"/>
    <x v="2"/>
    <x v="1"/>
    <x v="0"/>
    <n v="174500000"/>
    <x v="1"/>
    <x v="17"/>
    <x v="1"/>
    <s v="Sudah terima PO"/>
  </r>
  <r>
    <x v="317"/>
    <m/>
    <x v="420"/>
    <s v="EPL"/>
    <x v="0"/>
    <s v="David"/>
    <x v="5"/>
    <x v="0"/>
    <x v="3"/>
    <n v="400000000"/>
    <x v="2"/>
    <x v="116"/>
    <x v="1"/>
    <m/>
  </r>
  <r>
    <x v="318"/>
    <m/>
    <x v="421"/>
    <s v="EPL"/>
    <x v="0"/>
    <s v="David"/>
    <x v="4"/>
    <x v="0"/>
    <x v="3"/>
    <n v="153940000"/>
    <x v="2"/>
    <x v="177"/>
    <x v="0"/>
    <s v="Sudah submit penawaran 2026/06/04"/>
  </r>
  <r>
    <x v="319"/>
    <m/>
    <x v="422"/>
    <s v="EPL"/>
    <x v="0"/>
    <s v="David"/>
    <x v="1"/>
    <x v="0"/>
    <x v="3"/>
    <n v="425000000"/>
    <x v="0"/>
    <x v="178"/>
    <x v="0"/>
    <m/>
  </r>
  <r>
    <x v="5"/>
    <m/>
    <x v="423"/>
    <s v="UAL 450 D5 &amp; UAL340D5"/>
    <x v="0"/>
    <s v="David"/>
    <x v="2"/>
    <x v="1"/>
    <x v="3"/>
    <n v="315500000"/>
    <x v="1"/>
    <x v="135"/>
    <x v="1"/>
    <s v="Already PO - SO046808"/>
  </r>
  <r>
    <x v="320"/>
    <m/>
    <x v="424"/>
    <s v="EPL"/>
    <x v="2"/>
    <s v="David"/>
    <x v="4"/>
    <x v="0"/>
    <x v="3"/>
    <n v="895000000"/>
    <x v="2"/>
    <x v="116"/>
    <x v="0"/>
    <m/>
  </r>
  <r>
    <x v="321"/>
    <m/>
    <x v="425"/>
    <s v="EPL"/>
    <x v="0"/>
    <s v="Samuel"/>
    <x v="5"/>
    <x v="0"/>
    <x v="3"/>
    <n v="506750000"/>
    <x v="2"/>
    <x v="176"/>
    <x v="0"/>
    <s v="1. belum ada update dari Jepang, statusnya masih budgeting._x000a_2. Ada request untuk assetment chiller, solenoid valve pecah, dan bisa di kerjakan hanya di hari minggu. "/>
  </r>
  <r>
    <x v="322"/>
    <m/>
    <x v="426"/>
    <s v="EPL"/>
    <x v="0"/>
    <s v="Samuel"/>
    <x v="4"/>
    <x v="0"/>
    <x v="3"/>
    <n v="369000000"/>
    <x v="2"/>
    <x v="176"/>
    <x v="0"/>
    <s v="Sudah submit penawaran by email ke marketing@permatateknik.com di 09/04/2026 7:51 AM"/>
  </r>
  <r>
    <x v="323"/>
    <m/>
    <x v="427"/>
    <s v="Main Equipment"/>
    <x v="0"/>
    <m/>
    <x v="2"/>
    <x v="1"/>
    <x v="3"/>
    <n v="414000000"/>
    <x v="7"/>
    <x v="152"/>
    <x v="0"/>
    <m/>
  </r>
  <r>
    <x v="302"/>
    <m/>
    <x v="428"/>
    <s v="EPL"/>
    <x v="0"/>
    <s v="Samuel"/>
    <x v="4"/>
    <x v="0"/>
    <x v="3"/>
    <n v="185000000"/>
    <x v="2"/>
    <x v="116"/>
    <x v="0"/>
    <s v="Sudah di submit quotation by email ke  hendro@stpindo.co.id  di 2026/03/12"/>
  </r>
  <r>
    <x v="322"/>
    <m/>
    <x v="429"/>
    <s v="EPL"/>
    <x v="0"/>
    <s v="Samuel"/>
    <x v="3"/>
    <x v="0"/>
    <x v="3"/>
    <n v="136400000"/>
    <x v="2"/>
    <x v="178"/>
    <x v="0"/>
    <s v="Sudah di submit quotation by email ke  marketing@permatateknik.com   di 2026/03/12"/>
  </r>
  <r>
    <x v="318"/>
    <m/>
    <x v="389"/>
    <s v="EPL"/>
    <x v="0"/>
    <s v="David"/>
    <x v="3"/>
    <x v="0"/>
    <x v="3"/>
    <n v="29000000"/>
    <x v="1"/>
    <x v="179"/>
    <x v="1"/>
    <s v="Sudah terima PO di 2026/06/04"/>
  </r>
  <r>
    <x v="324"/>
    <m/>
    <x v="430"/>
    <s v="EPL"/>
    <x v="2"/>
    <s v="David"/>
    <x v="4"/>
    <x v="0"/>
    <x v="0"/>
    <n v="9599613600"/>
    <x v="2"/>
    <x v="116"/>
    <x v="0"/>
    <s v="1. Sudah submit penawaran 2026/02/23 by email_x000a_2. Sudah submit penawaranrevisi 1  di 2026/02/27 by email_x000a_"/>
  </r>
  <r>
    <x v="325"/>
    <m/>
    <x v="431"/>
    <s v="EPL"/>
    <x v="2"/>
    <s v="David"/>
    <x v="4"/>
    <x v="0"/>
    <x v="1"/>
    <n v="2998200000"/>
    <x v="2"/>
    <x v="180"/>
    <x v="0"/>
    <m/>
  </r>
  <r>
    <x v="326"/>
    <m/>
    <x v="432"/>
    <s v="EPL"/>
    <x v="1"/>
    <s v="David"/>
    <x v="9"/>
    <x v="0"/>
    <x v="1"/>
    <n v="1278900000"/>
    <x v="2"/>
    <x v="181"/>
    <x v="0"/>
    <s v="Sudah submit penawaran  2026/03/06 by email"/>
  </r>
  <r>
    <x v="326"/>
    <m/>
    <x v="433"/>
    <s v="EPL"/>
    <x v="0"/>
    <s v="Samuel"/>
    <x v="5"/>
    <x v="0"/>
    <x v="2"/>
    <n v="2055935000"/>
    <x v="2"/>
    <x v="176"/>
    <x v="0"/>
    <s v="Sudah submit penawaran 2026/02/27by email"/>
  </r>
  <r>
    <x v="327"/>
    <m/>
    <x v="86"/>
    <s v="EPL"/>
    <x v="2"/>
    <s v="David"/>
    <x v="4"/>
    <x v="0"/>
    <x v="0"/>
    <n v="174000000"/>
    <x v="2"/>
    <x v="116"/>
    <x v="0"/>
    <s v="Sudah submit penawran ke risha@pilarekatama.com di 2026/03/17"/>
  </r>
  <r>
    <x v="328"/>
    <m/>
    <x v="434"/>
    <s v="DID - DM2TB-0510B"/>
    <x v="0"/>
    <m/>
    <x v="2"/>
    <x v="1"/>
    <x v="0"/>
    <n v="841500000"/>
    <x v="6"/>
    <x v="19"/>
    <x v="0"/>
    <s v="OKB MOT R.OK Mayor Antiradiasi"/>
  </r>
  <r>
    <x v="321"/>
    <m/>
    <x v="435"/>
    <s v="EPL"/>
    <x v="2"/>
    <s v="David"/>
    <x v="4"/>
    <x v="0"/>
    <x v="1"/>
    <n v="4123150000"/>
    <x v="2"/>
    <x v="116"/>
    <x v="0"/>
    <s v="Sudah submit ke email 'gitamandiri@gmail.com di 2026/02/24"/>
  </r>
  <r>
    <x v="302"/>
    <m/>
    <x v="436"/>
    <s v="EPL"/>
    <x v="2"/>
    <s v="David"/>
    <x v="4"/>
    <x v="0"/>
    <x v="3"/>
    <n v="200000000"/>
    <x v="2"/>
    <x v="116"/>
    <x v="0"/>
    <s v="Info dari MTP, user condong memilih york karena existing memakai york, 9:50 2026/02/19"/>
  </r>
  <r>
    <x v="329"/>
    <m/>
    <x v="437"/>
    <s v="EPL"/>
    <x v="0"/>
    <s v="Samuel"/>
    <x v="3"/>
    <x v="0"/>
    <x v="3"/>
    <n v="1378120000"/>
    <x v="2"/>
    <x v="182"/>
    <x v="0"/>
    <m/>
  </r>
  <r>
    <x v="330"/>
    <m/>
    <x v="438"/>
    <s v="EPL"/>
    <x v="0"/>
    <s v="David"/>
    <x v="3"/>
    <x v="0"/>
    <x v="3"/>
    <n v="65750000"/>
    <x v="2"/>
    <x v="113"/>
    <x v="0"/>
    <m/>
  </r>
  <r>
    <x v="331"/>
    <m/>
    <x v="439"/>
    <s v="EPL"/>
    <x v="1"/>
    <s v="David"/>
    <x v="4"/>
    <x v="0"/>
    <x v="1"/>
    <n v="213000000"/>
    <x v="2"/>
    <x v="45"/>
    <x v="0"/>
    <m/>
  </r>
  <r>
    <x v="331"/>
    <m/>
    <x v="440"/>
    <s v="EPL"/>
    <x v="0"/>
    <s v="Samuel"/>
    <x v="7"/>
    <x v="0"/>
    <x v="1"/>
    <n v="199020000"/>
    <x v="2"/>
    <x v="183"/>
    <x v="0"/>
    <m/>
  </r>
  <r>
    <x v="34"/>
    <m/>
    <x v="334"/>
    <s v="EPL"/>
    <x v="0"/>
    <m/>
    <x v="5"/>
    <x v="0"/>
    <x v="3"/>
    <n v="700000000"/>
    <x v="1"/>
    <x v="184"/>
    <x v="0"/>
    <m/>
  </r>
  <r>
    <x v="332"/>
    <m/>
    <x v="441"/>
    <s v="EPL"/>
    <x v="0"/>
    <s v="David"/>
    <x v="5"/>
    <x v="0"/>
    <x v="3"/>
    <n v="2598000000"/>
    <x v="2"/>
    <x v="176"/>
    <x v="0"/>
    <s v="Sudah submit quotation by email ke zuhadi@dovechem.co.id di 2026/03/10"/>
  </r>
  <r>
    <x v="333"/>
    <m/>
    <x v="442"/>
    <s v="EPL"/>
    <x v="1"/>
    <s v="David"/>
    <x v="11"/>
    <x v="0"/>
    <x v="2"/>
    <n v="4839200000"/>
    <x v="5"/>
    <x v="13"/>
    <x v="0"/>
    <s v="Project di hold"/>
  </r>
  <r>
    <x v="324"/>
    <m/>
    <x v="443"/>
    <s v="EPL"/>
    <x v="2"/>
    <s v="David"/>
    <x v="4"/>
    <x v="0"/>
    <x v="3"/>
    <n v="935000000"/>
    <x v="2"/>
    <x v="116"/>
    <x v="0"/>
    <s v="Sudah submit by quotaiton di 2026/03/04"/>
  </r>
  <r>
    <x v="334"/>
    <m/>
    <x v="259"/>
    <m/>
    <x v="2"/>
    <m/>
    <x v="4"/>
    <x v="5"/>
    <x v="5"/>
    <m/>
    <x v="8"/>
    <x v="13"/>
    <x v="0"/>
    <m/>
  </r>
  <r>
    <x v="335"/>
    <m/>
    <x v="444"/>
    <s v="EPL"/>
    <x v="0"/>
    <s v="David"/>
    <x v="1"/>
    <x v="0"/>
    <x v="3"/>
    <n v="438000000"/>
    <x v="2"/>
    <x v="177"/>
    <x v="0"/>
    <s v="Submit quotation di 10 Februari 2026"/>
  </r>
  <r>
    <x v="336"/>
    <m/>
    <x v="445"/>
    <s v="EPL"/>
    <x v="0"/>
    <s v="David"/>
    <x v="1"/>
    <x v="0"/>
    <x v="3"/>
    <n v="978000000"/>
    <x v="2"/>
    <x v="185"/>
    <x v="0"/>
    <s v="Submit quotation di 10 Februari 2026"/>
  </r>
  <r>
    <x v="337"/>
    <m/>
    <x v="446"/>
    <s v="EPL"/>
    <x v="1"/>
    <s v="David"/>
    <x v="4"/>
    <x v="0"/>
    <x v="3"/>
    <n v="217540000"/>
    <x v="2"/>
    <x v="186"/>
    <x v="0"/>
    <s v="sudah submit quotation ke tikakris@stpindo.co.id di 28/03/2026"/>
  </r>
  <r>
    <x v="338"/>
    <m/>
    <x v="447"/>
    <s v="EPL"/>
    <x v="0"/>
    <s v="David"/>
    <x v="4"/>
    <x v="0"/>
    <x v="3"/>
    <n v="175000000"/>
    <x v="2"/>
    <x v="116"/>
    <x v="0"/>
    <s v="sudah submit quotation ke stogih@yahoo.co.id  di 28/03/2026"/>
  </r>
  <r>
    <x v="339"/>
    <m/>
    <x v="448"/>
    <s v="EPL"/>
    <x v="2"/>
    <s v="David"/>
    <x v="4"/>
    <x v="0"/>
    <x v="1"/>
    <n v="385000000"/>
    <x v="2"/>
    <x v="116"/>
    <x v="0"/>
    <s v="Submit harga di email di 2026/03/05"/>
  </r>
  <r>
    <x v="340"/>
    <m/>
    <x v="449"/>
    <s v="EPL"/>
    <x v="0"/>
    <s v="David"/>
    <x v="1"/>
    <x v="0"/>
    <x v="3"/>
    <n v="361000000"/>
    <x v="1"/>
    <x v="153"/>
    <x v="0"/>
    <s v="Submit quotation di 2026/03/02"/>
  </r>
  <r>
    <x v="341"/>
    <m/>
    <x v="450"/>
    <s v="EPL"/>
    <x v="0"/>
    <s v="David"/>
    <x v="1"/>
    <x v="0"/>
    <x v="1"/>
    <n v="2435000000"/>
    <x v="2"/>
    <x v="187"/>
    <x v="0"/>
    <s v="Submit Qou To PT Hijau"/>
  </r>
  <r>
    <x v="342"/>
    <m/>
    <x v="7"/>
    <m/>
    <x v="1"/>
    <m/>
    <x v="11"/>
    <x v="1"/>
    <x v="3"/>
    <n v="900000000"/>
    <x v="2"/>
    <x v="11"/>
    <x v="1"/>
    <s v="Installasi Heatpump"/>
  </r>
  <r>
    <x v="343"/>
    <m/>
    <x v="36"/>
    <m/>
    <x v="1"/>
    <m/>
    <x v="11"/>
    <x v="5"/>
    <x v="3"/>
    <n v="950000000"/>
    <x v="2"/>
    <x v="11"/>
    <x v="1"/>
    <m/>
  </r>
  <r>
    <x v="344"/>
    <m/>
    <x v="451"/>
    <m/>
    <x v="0"/>
    <m/>
    <x v="11"/>
    <x v="0"/>
    <x v="3"/>
    <n v="1200000000"/>
    <x v="5"/>
    <x v="188"/>
    <x v="0"/>
    <m/>
  </r>
  <r>
    <x v="345"/>
    <m/>
    <x v="324"/>
    <s v="FCU DC"/>
    <x v="0"/>
    <m/>
    <x v="11"/>
    <x v="1"/>
    <x v="1"/>
    <n v="173500000"/>
    <x v="5"/>
    <x v="13"/>
    <x v="0"/>
    <m/>
  </r>
  <r>
    <x v="345"/>
    <m/>
    <x v="452"/>
    <s v="WC CSD"/>
    <x v="0"/>
    <m/>
    <x v="11"/>
    <x v="0"/>
    <x v="1"/>
    <n v="3000000000"/>
    <x v="5"/>
    <x v="13"/>
    <x v="2"/>
    <s v="Saat ini project ME masih belum selesai. Info bu Desy akan dimintakan budget ke pusat"/>
  </r>
  <r>
    <x v="346"/>
    <m/>
    <x v="7"/>
    <m/>
    <x v="0"/>
    <m/>
    <x v="11"/>
    <x v="1"/>
    <x v="3"/>
    <n v="600000000"/>
    <x v="5"/>
    <x v="13"/>
    <x v="0"/>
    <m/>
  </r>
  <r>
    <x v="347"/>
    <m/>
    <x v="36"/>
    <m/>
    <x v="0"/>
    <m/>
    <x v="11"/>
    <x v="0"/>
    <x v="1"/>
    <n v="2970000000"/>
    <x v="5"/>
    <x v="13"/>
    <x v="0"/>
    <m/>
  </r>
  <r>
    <x v="348"/>
    <m/>
    <x v="32"/>
    <m/>
    <x v="0"/>
    <m/>
    <x v="11"/>
    <x v="1"/>
    <x v="3"/>
    <n v="4500000000"/>
    <x v="5"/>
    <x v="13"/>
    <x v="0"/>
    <m/>
  </r>
  <r>
    <x v="349"/>
    <m/>
    <x v="36"/>
    <m/>
    <x v="0"/>
    <m/>
    <x v="11"/>
    <x v="0"/>
    <x v="3"/>
    <n v="895000000"/>
    <x v="5"/>
    <x v="155"/>
    <x v="0"/>
    <m/>
  </r>
  <r>
    <x v="350"/>
    <m/>
    <x v="7"/>
    <m/>
    <x v="0"/>
    <m/>
    <x v="6"/>
    <x v="1"/>
    <x v="1"/>
    <n v="5000000000"/>
    <x v="5"/>
    <x v="13"/>
    <x v="0"/>
    <s v="Budgeting"/>
  </r>
  <r>
    <x v="351"/>
    <m/>
    <x v="7"/>
    <s v="EPL"/>
    <x v="0"/>
    <m/>
    <x v="4"/>
    <x v="1"/>
    <x v="1"/>
    <n v="2908842000"/>
    <x v="2"/>
    <x v="189"/>
    <x v="0"/>
    <s v="Sudah submit quotation ke pilar ekatama di 2026/04/27"/>
  </r>
  <r>
    <x v="352"/>
    <m/>
    <x v="7"/>
    <m/>
    <x v="0"/>
    <m/>
    <x v="6"/>
    <x v="1"/>
    <x v="4"/>
    <n v="3500000000"/>
    <x v="5"/>
    <x v="13"/>
    <x v="0"/>
    <s v="Budgeting"/>
  </r>
  <r>
    <x v="353"/>
    <m/>
    <x v="32"/>
    <m/>
    <x v="0"/>
    <m/>
    <x v="6"/>
    <x v="1"/>
    <x v="3"/>
    <n v="1500000000"/>
    <x v="5"/>
    <x v="13"/>
    <x v="0"/>
    <s v="Budgeting"/>
  </r>
  <r>
    <x v="354"/>
    <m/>
    <x v="453"/>
    <m/>
    <x v="0"/>
    <m/>
    <x v="6"/>
    <x v="2"/>
    <x v="3"/>
    <n v="26841600"/>
    <x v="1"/>
    <x v="5"/>
    <x v="0"/>
    <s v="PO"/>
  </r>
  <r>
    <x v="355"/>
    <m/>
    <x v="454"/>
    <m/>
    <x v="0"/>
    <m/>
    <x v="6"/>
    <x v="1"/>
    <x v="3"/>
    <n v="331200000"/>
    <x v="1"/>
    <x v="14"/>
    <x v="0"/>
    <s v="PO"/>
  </r>
  <r>
    <x v="356"/>
    <m/>
    <x v="455"/>
    <m/>
    <x v="0"/>
    <m/>
    <x v="6"/>
    <x v="1"/>
    <x v="1"/>
    <n v="61200000"/>
    <x v="1"/>
    <x v="14"/>
    <x v="0"/>
    <s v="PO"/>
  </r>
  <r>
    <x v="357"/>
    <m/>
    <x v="456"/>
    <m/>
    <x v="0"/>
    <m/>
    <x v="6"/>
    <x v="1"/>
    <x v="3"/>
    <n v="46400000"/>
    <x v="1"/>
    <x v="153"/>
    <x v="1"/>
    <s v="PO"/>
  </r>
  <r>
    <x v="358"/>
    <m/>
    <x v="457"/>
    <m/>
    <x v="0"/>
    <m/>
    <x v="6"/>
    <x v="1"/>
    <x v="3"/>
    <n v="20000000"/>
    <x v="1"/>
    <x v="4"/>
    <x v="0"/>
    <s v="PO"/>
  </r>
  <r>
    <x v="359"/>
    <m/>
    <x v="458"/>
    <m/>
    <x v="0"/>
    <m/>
    <x v="6"/>
    <x v="1"/>
    <x v="3"/>
    <n v="149900000"/>
    <x v="0"/>
    <x v="13"/>
    <x v="0"/>
    <m/>
  </r>
  <r>
    <x v="351"/>
    <m/>
    <x v="459"/>
    <s v="EPL"/>
    <x v="0"/>
    <m/>
    <x v="4"/>
    <x v="1"/>
    <x v="2"/>
    <n v="22474500000"/>
    <x v="2"/>
    <x v="190"/>
    <x v="0"/>
    <s v="Sudah submit quotation by email ke bu risha di 2026/05/04"/>
  </r>
  <r>
    <x v="360"/>
    <m/>
    <x v="460"/>
    <s v="AS VSD"/>
    <x v="0"/>
    <m/>
    <x v="11"/>
    <x v="0"/>
    <x v="3"/>
    <n v="3200000000"/>
    <x v="5"/>
    <x v="13"/>
    <x v="0"/>
    <m/>
  </r>
  <r>
    <x v="361"/>
    <m/>
    <x v="36"/>
    <m/>
    <x v="0"/>
    <m/>
    <x v="11"/>
    <x v="0"/>
    <x v="3"/>
    <n v="340000000"/>
    <x v="5"/>
    <x v="13"/>
    <x v="0"/>
    <m/>
  </r>
  <r>
    <x v="196"/>
    <m/>
    <x v="461"/>
    <m/>
    <x v="0"/>
    <m/>
    <x v="11"/>
    <x v="0"/>
    <x v="3"/>
    <n v="30000000"/>
    <x v="5"/>
    <x v="13"/>
    <x v="0"/>
    <m/>
  </r>
  <r>
    <x v="362"/>
    <m/>
    <x v="462"/>
    <m/>
    <x v="0"/>
    <m/>
    <x v="11"/>
    <x v="0"/>
    <x v="1"/>
    <n v="2300000000"/>
    <x v="5"/>
    <x v="13"/>
    <x v="0"/>
    <m/>
  </r>
  <r>
    <x v="363"/>
    <m/>
    <x v="32"/>
    <m/>
    <x v="1"/>
    <m/>
    <x v="11"/>
    <x v="1"/>
    <x v="3"/>
    <n v="1050000000"/>
    <x v="5"/>
    <x v="13"/>
    <x v="0"/>
    <m/>
  </r>
  <r>
    <x v="364"/>
    <m/>
    <x v="32"/>
    <m/>
    <x v="1"/>
    <m/>
    <x v="11"/>
    <x v="1"/>
    <x v="1"/>
    <n v="600000000"/>
    <x v="5"/>
    <x v="13"/>
    <x v="0"/>
    <m/>
  </r>
  <r>
    <x v="365"/>
    <m/>
    <x v="7"/>
    <m/>
    <x v="1"/>
    <m/>
    <x v="11"/>
    <x v="1"/>
    <x v="2"/>
    <n v="1687545000"/>
    <x v="5"/>
    <x v="13"/>
    <x v="0"/>
    <m/>
  </r>
  <r>
    <x v="366"/>
    <m/>
    <x v="463"/>
    <m/>
    <x v="0"/>
    <m/>
    <x v="3"/>
    <x v="1"/>
    <x v="0"/>
    <n v="958950000"/>
    <x v="0"/>
    <x v="191"/>
    <x v="0"/>
    <s v="LOSE = =&gt; Secara Spek DID tidak bisa mengikuti dan tahap seleksi lama jadi user memutuskan untuk ganti brand"/>
  </r>
  <r>
    <x v="367"/>
    <m/>
    <x v="464"/>
    <m/>
    <x v="0"/>
    <m/>
    <x v="3"/>
    <x v="1"/>
    <x v="1"/>
    <n v="2983769100"/>
    <x v="3"/>
    <x v="192"/>
    <x v="0"/>
    <s v="Review BOD ==&gt; Belum ada update apakah proeject dilanjutkan atau tidak"/>
  </r>
  <r>
    <x v="368"/>
    <m/>
    <x v="465"/>
    <s v="VRV"/>
    <x v="0"/>
    <m/>
    <x v="2"/>
    <x v="1"/>
    <x v="1"/>
    <n v="1129500000"/>
    <x v="6"/>
    <x v="19"/>
    <x v="0"/>
    <m/>
  </r>
  <r>
    <x v="369"/>
    <m/>
    <x v="466"/>
    <s v="DX"/>
    <x v="0"/>
    <m/>
    <x v="2"/>
    <x v="1"/>
    <x v="3"/>
    <n v="4500000000"/>
    <x v="4"/>
    <x v="19"/>
    <x v="0"/>
    <s v="Capex already submitted, waiting TOKA menghubungi DASI untuk klarifikasi penawaran  pic Pak Yusuf &amp; Pak Ade Jatmika"/>
  </r>
  <r>
    <x v="370"/>
    <m/>
    <x v="7"/>
    <s v="AC Split System Cafe n Resto Lantai Roof"/>
    <x v="0"/>
    <m/>
    <x v="2"/>
    <x v="1"/>
    <x v="1"/>
    <n v="260196000"/>
    <x v="6"/>
    <x v="146"/>
    <x v="0"/>
    <s v="(09 February 2026) Revisi Penawaran Alternatif 1 &amp; 2"/>
  </r>
  <r>
    <x v="323"/>
    <m/>
    <x v="467"/>
    <s v="DX"/>
    <x v="0"/>
    <m/>
    <x v="2"/>
    <x v="1"/>
    <x v="3"/>
    <n v="2219343000"/>
    <x v="6"/>
    <x v="146"/>
    <x v="0"/>
    <m/>
  </r>
  <r>
    <x v="121"/>
    <m/>
    <x v="468"/>
    <m/>
    <x v="0"/>
    <s v="Samuel"/>
    <x v="2"/>
    <x v="1"/>
    <x v="3"/>
    <n v="329000000"/>
    <x v="2"/>
    <x v="193"/>
    <x v="0"/>
    <s v="Submit quotation ke GPM di 2026/04/21"/>
  </r>
  <r>
    <x v="328"/>
    <m/>
    <x v="7"/>
    <s v="Pump Grunfos - Jakarta Annex Center Phase-1"/>
    <x v="0"/>
    <m/>
    <x v="2"/>
    <x v="1"/>
    <x v="1"/>
    <n v="3058200000"/>
    <x v="0"/>
    <x v="194"/>
    <x v="0"/>
    <s v="Tender"/>
  </r>
  <r>
    <x v="328"/>
    <m/>
    <x v="7"/>
    <s v="PHE - Jakarta Annex Center Phase-1"/>
    <x v="0"/>
    <m/>
    <x v="2"/>
    <x v="1"/>
    <x v="1"/>
    <n v="763470000"/>
    <x v="0"/>
    <x v="194"/>
    <x v="0"/>
    <s v="Tender"/>
  </r>
  <r>
    <x v="328"/>
    <m/>
    <x v="7"/>
    <s v="Chemical System - Jakarta Annex Center Phase-1"/>
    <x v="0"/>
    <m/>
    <x v="2"/>
    <x v="1"/>
    <x v="1"/>
    <n v="238240000"/>
    <x v="0"/>
    <x v="194"/>
    <x v="0"/>
    <s v="Tender"/>
  </r>
  <r>
    <x v="371"/>
    <m/>
    <x v="32"/>
    <m/>
    <x v="1"/>
    <m/>
    <x v="11"/>
    <x v="1"/>
    <x v="3"/>
    <n v="350000000"/>
    <x v="5"/>
    <x v="13"/>
    <x v="0"/>
    <m/>
  </r>
  <r>
    <x v="372"/>
    <m/>
    <x v="7"/>
    <m/>
    <x v="1"/>
    <m/>
    <x v="11"/>
    <x v="1"/>
    <x v="3"/>
    <n v="1200000000"/>
    <x v="5"/>
    <x v="13"/>
    <x v="0"/>
    <m/>
  </r>
  <r>
    <x v="373"/>
    <m/>
    <x v="7"/>
    <m/>
    <x v="1"/>
    <m/>
    <x v="11"/>
    <x v="1"/>
    <x v="3"/>
    <n v="800000000"/>
    <x v="5"/>
    <x v="13"/>
    <x v="0"/>
    <m/>
  </r>
  <r>
    <x v="374"/>
    <m/>
    <x v="7"/>
    <m/>
    <x v="1"/>
    <m/>
    <x v="11"/>
    <x v="1"/>
    <x v="2"/>
    <n v="1800000000"/>
    <x v="5"/>
    <x v="13"/>
    <x v="0"/>
    <m/>
  </r>
  <r>
    <x v="53"/>
    <m/>
    <x v="469"/>
    <m/>
    <x v="0"/>
    <m/>
    <x v="8"/>
    <x v="1"/>
    <x v="1"/>
    <n v="986387850"/>
    <x v="1"/>
    <x v="0"/>
    <x v="1"/>
    <s v="Already PO"/>
  </r>
  <r>
    <x v="375"/>
    <m/>
    <x v="458"/>
    <s v="STKH25YV"/>
    <x v="0"/>
    <m/>
    <x v="6"/>
    <x v="1"/>
    <x v="3"/>
    <n v="36000000"/>
    <x v="0"/>
    <x v="13"/>
    <x v="0"/>
    <s v="Lost "/>
  </r>
  <r>
    <x v="185"/>
    <m/>
    <x v="470"/>
    <m/>
    <x v="0"/>
    <m/>
    <x v="3"/>
    <x v="1"/>
    <x v="1"/>
    <n v="212550000"/>
    <x v="1"/>
    <x v="195"/>
    <x v="1"/>
    <s v="Already SO"/>
  </r>
  <r>
    <x v="376"/>
    <m/>
    <x v="471"/>
    <m/>
    <x v="0"/>
    <m/>
    <x v="3"/>
    <x v="1"/>
    <x v="0"/>
    <n v="56000000"/>
    <x v="2"/>
    <x v="192"/>
    <x v="0"/>
    <s v="Tender"/>
  </r>
  <r>
    <x v="377"/>
    <m/>
    <x v="472"/>
    <m/>
    <x v="0"/>
    <m/>
    <x v="3"/>
    <x v="6"/>
    <x v="1"/>
    <n v="350000000"/>
    <x v="0"/>
    <x v="196"/>
    <x v="0"/>
    <s v="Revisi Budged ==&gt; Update terbaru budged sudah di Approved akan dilakukan nego ulang menunggu dipanggil user"/>
  </r>
  <r>
    <x v="378"/>
    <m/>
    <x v="473"/>
    <m/>
    <x v="0"/>
    <m/>
    <x v="3"/>
    <x v="6"/>
    <x v="0"/>
    <n v="150000000"/>
    <x v="2"/>
    <x v="192"/>
    <x v="0"/>
    <s v="Budgeting"/>
  </r>
  <r>
    <x v="379"/>
    <m/>
    <x v="180"/>
    <m/>
    <x v="0"/>
    <m/>
    <x v="6"/>
    <x v="1"/>
    <x v="3"/>
    <n v="150000000"/>
    <x v="0"/>
    <x v="13"/>
    <x v="0"/>
    <m/>
  </r>
  <r>
    <x v="380"/>
    <m/>
    <x v="7"/>
    <m/>
    <x v="1"/>
    <m/>
    <x v="11"/>
    <x v="0"/>
    <x v="1"/>
    <n v="1400000000"/>
    <x v="5"/>
    <x v="13"/>
    <x v="0"/>
    <m/>
  </r>
  <r>
    <x v="381"/>
    <m/>
    <x v="474"/>
    <m/>
    <x v="0"/>
    <m/>
    <x v="7"/>
    <x v="1"/>
    <x v="3"/>
    <n v="2000000000"/>
    <x v="2"/>
    <x v="114"/>
    <x v="0"/>
    <s v="Revisi Quote, User mau pakai system exiting "/>
  </r>
  <r>
    <x v="382"/>
    <m/>
    <x v="475"/>
    <s v="EPL"/>
    <x v="0"/>
    <s v="David"/>
    <x v="2"/>
    <x v="0"/>
    <x v="3"/>
    <n v="570000000"/>
    <x v="3"/>
    <x v="120"/>
    <x v="0"/>
    <m/>
  </r>
  <r>
    <x v="383"/>
    <m/>
    <x v="476"/>
    <s v="EPL"/>
    <x v="0"/>
    <s v="David"/>
    <x v="2"/>
    <x v="0"/>
    <x v="1"/>
    <n v="2200000000"/>
    <x v="2"/>
    <x v="176"/>
    <x v="0"/>
    <m/>
  </r>
  <r>
    <x v="327"/>
    <m/>
    <x v="435"/>
    <s v="EPL"/>
    <x v="0"/>
    <s v="Samuel"/>
    <x v="2"/>
    <x v="0"/>
    <x v="1"/>
    <n v="4123150000"/>
    <x v="2"/>
    <x v="197"/>
    <x v="0"/>
    <s v="Sudah submit ke email 'Risha' &lt;risha@pilarekatama.com&gt; di 2026/02/24"/>
  </r>
  <r>
    <x v="384"/>
    <m/>
    <x v="477"/>
    <s v="DDW070,080"/>
    <x v="0"/>
    <s v="David"/>
    <x v="3"/>
    <x v="0"/>
    <x v="1"/>
    <n v="113000000"/>
    <x v="1"/>
    <x v="48"/>
    <x v="1"/>
    <s v="Already SO"/>
  </r>
  <r>
    <x v="385"/>
    <m/>
    <x v="478"/>
    <s v="DDW150"/>
    <x v="0"/>
    <m/>
    <x v="3"/>
    <x v="0"/>
    <x v="3"/>
    <n v="359445615"/>
    <x v="3"/>
    <x v="146"/>
    <x v="0"/>
    <s v="Tender ==&gt; Project Di hold menunggu info dari user"/>
  </r>
  <r>
    <x v="386"/>
    <m/>
    <x v="7"/>
    <s v="Control Maruto"/>
    <x v="0"/>
    <m/>
    <x v="6"/>
    <x v="1"/>
    <x v="1"/>
    <n v="3000000000"/>
    <x v="5"/>
    <x v="13"/>
    <x v="0"/>
    <s v="Budgeting"/>
  </r>
  <r>
    <x v="387"/>
    <m/>
    <x v="479"/>
    <s v="Packaged FloorStanding Inv"/>
    <x v="0"/>
    <m/>
    <x v="6"/>
    <x v="0"/>
    <x v="3"/>
    <n v="200000000"/>
    <x v="5"/>
    <x v="13"/>
    <x v="0"/>
    <s v="Budgeting"/>
  </r>
  <r>
    <x v="388"/>
    <m/>
    <x v="480"/>
    <s v="Wall Mounted &amp; Packaged"/>
    <x v="0"/>
    <m/>
    <x v="6"/>
    <x v="0"/>
    <x v="3"/>
    <n v="350000000"/>
    <x v="5"/>
    <x v="13"/>
    <x v="0"/>
    <m/>
  </r>
  <r>
    <x v="389"/>
    <m/>
    <x v="36"/>
    <s v="EPL"/>
    <x v="0"/>
    <s v="Samuel"/>
    <x v="2"/>
    <x v="0"/>
    <x v="1"/>
    <n v="704117700"/>
    <x v="2"/>
    <x v="198"/>
    <x v="0"/>
    <s v="Sudah submit quotation project fcu resto di 2026/03/12_x000a_30/03/2026 : Quotation Minggu 1 April akan di ajukan oleh Bapak Arno ke GM dan HS Pusat"/>
  </r>
  <r>
    <x v="8"/>
    <s v="Patra Residential"/>
    <x v="481"/>
    <s v="DX"/>
    <x v="0"/>
    <m/>
    <x v="1"/>
    <x v="1"/>
    <x v="2"/>
    <n v="337898295"/>
    <x v="1"/>
    <x v="199"/>
    <x v="1"/>
    <s v="Already PO"/>
  </r>
  <r>
    <x v="8"/>
    <s v="Graha Pertamina"/>
    <x v="482"/>
    <s v="DX"/>
    <x v="0"/>
    <m/>
    <x v="1"/>
    <x v="1"/>
    <x v="2"/>
    <n v="145227600"/>
    <x v="1"/>
    <x v="199"/>
    <x v="1"/>
    <s v="Already PO"/>
  </r>
  <r>
    <x v="1"/>
    <m/>
    <x v="483"/>
    <m/>
    <x v="0"/>
    <m/>
    <x v="1"/>
    <x v="1"/>
    <x v="1"/>
    <n v="200687000"/>
    <x v="1"/>
    <x v="200"/>
    <x v="0"/>
    <m/>
  </r>
  <r>
    <x v="390"/>
    <m/>
    <x v="484"/>
    <s v="UAA175ST3-FDD"/>
    <x v="0"/>
    <m/>
    <x v="2"/>
    <x v="0"/>
    <x v="4"/>
    <n v="1460000000"/>
    <x v="6"/>
    <x v="201"/>
    <x v="0"/>
    <m/>
  </r>
  <r>
    <x v="391"/>
    <m/>
    <x v="2"/>
    <s v="EPL"/>
    <x v="0"/>
    <s v="Samuel"/>
    <x v="2"/>
    <x v="2"/>
    <x v="1"/>
    <n v="3555400"/>
    <x v="5"/>
    <x v="13"/>
    <x v="0"/>
    <s v="2026/03/13 : Sudah submit penawaran by email ke  Purchasing@malska.com  bapak Adi"/>
  </r>
  <r>
    <x v="392"/>
    <m/>
    <x v="267"/>
    <s v="FWW"/>
    <x v="0"/>
    <m/>
    <x v="3"/>
    <x v="0"/>
    <x v="1"/>
    <n v="300000000"/>
    <x v="0"/>
    <x v="202"/>
    <x v="0"/>
    <s v="LOSE ==&gt; Perubahan spek"/>
  </r>
  <r>
    <x v="393"/>
    <m/>
    <x v="485"/>
    <s v="UCCP18"/>
    <x v="0"/>
    <m/>
    <x v="3"/>
    <x v="0"/>
    <x v="1"/>
    <n v="32000000"/>
    <x v="3"/>
    <x v="21"/>
    <x v="0"/>
    <s v="Tender - Submit Quo 28-03-2026 "/>
  </r>
  <r>
    <x v="394"/>
    <m/>
    <x v="486"/>
    <s v="UAA175ST3  X2"/>
    <x v="0"/>
    <m/>
    <x v="3"/>
    <x v="0"/>
    <x v="1"/>
    <n v="1687600000"/>
    <x v="2"/>
    <x v="203"/>
    <x v="0"/>
    <s v="Budgeting ==&gt; sudah berikan penawaran saat ini info sedang pengajuan ke Yayasan"/>
  </r>
  <r>
    <x v="395"/>
    <m/>
    <x v="486"/>
    <s v="UWXA150GLDR (HEX)"/>
    <x v="0"/>
    <m/>
    <x v="3"/>
    <x v="0"/>
    <x v="3"/>
    <n v="2000000000"/>
    <x v="1"/>
    <x v="204"/>
    <x v="1"/>
    <s v="Already SO"/>
  </r>
  <r>
    <x v="395"/>
    <m/>
    <x v="486"/>
    <s v="Installation"/>
    <x v="0"/>
    <m/>
    <x v="3"/>
    <x v="1"/>
    <x v="3"/>
    <n v="1181000000"/>
    <x v="1"/>
    <x v="204"/>
    <x v="1"/>
    <s v="Already SO"/>
  </r>
  <r>
    <x v="185"/>
    <m/>
    <x v="487"/>
    <s v="Control"/>
    <x v="0"/>
    <m/>
    <x v="3"/>
    <x v="6"/>
    <x v="1"/>
    <n v="986387850"/>
    <x v="1"/>
    <x v="205"/>
    <x v="1"/>
    <s v="Already SO"/>
  </r>
  <r>
    <x v="396"/>
    <m/>
    <x v="488"/>
    <s v="DDW270DA-BMMQ0C35E"/>
    <x v="0"/>
    <m/>
    <x v="3"/>
    <x v="0"/>
    <x v="3"/>
    <n v="260005500"/>
    <x v="1"/>
    <x v="206"/>
    <x v="1"/>
    <s v="Already PO"/>
  </r>
  <r>
    <x v="396"/>
    <m/>
    <x v="489"/>
    <m/>
    <x v="0"/>
    <m/>
    <x v="3"/>
    <x v="1"/>
    <x v="3"/>
    <n v="270013800"/>
    <x v="1"/>
    <x v="206"/>
    <x v="1"/>
    <s v="Already PO"/>
  </r>
  <r>
    <x v="397"/>
    <m/>
    <x v="490"/>
    <s v="RC"/>
    <x v="0"/>
    <m/>
    <x v="5"/>
    <x v="0"/>
    <x v="3"/>
    <n v="2000000000"/>
    <x v="6"/>
    <x v="176"/>
    <x v="0"/>
    <m/>
  </r>
  <r>
    <x v="398"/>
    <m/>
    <x v="491"/>
    <s v="EPL"/>
    <x v="0"/>
    <m/>
    <x v="5"/>
    <x v="1"/>
    <x v="3"/>
    <n v="22500000"/>
    <x v="1"/>
    <x v="184"/>
    <x v="0"/>
    <m/>
  </r>
  <r>
    <x v="34"/>
    <m/>
    <x v="492"/>
    <s v="RC"/>
    <x v="0"/>
    <m/>
    <x v="5"/>
    <x v="0"/>
    <x v="3"/>
    <n v="2750000000"/>
    <x v="1"/>
    <x v="207"/>
    <x v="1"/>
    <s v="Already PO"/>
  </r>
  <r>
    <x v="179"/>
    <m/>
    <x v="493"/>
    <s v="FDN100HV14/RN100HY14"/>
    <x v="0"/>
    <m/>
    <x v="3"/>
    <x v="1"/>
    <x v="3"/>
    <n v="62800000"/>
    <x v="1"/>
    <x v="24"/>
    <x v="1"/>
    <s v="Already PO"/>
  </r>
  <r>
    <x v="399"/>
    <m/>
    <x v="32"/>
    <s v="DDB100W"/>
    <x v="0"/>
    <m/>
    <x v="6"/>
    <x v="1"/>
    <x v="1"/>
    <n v="196000000"/>
    <x v="1"/>
    <x v="200"/>
    <x v="0"/>
    <s v="PO, Unit Ready July dan akan di install July "/>
  </r>
  <r>
    <x v="400"/>
    <m/>
    <x v="494"/>
    <s v="DDB450BW"/>
    <x v="0"/>
    <m/>
    <x v="3"/>
    <x v="1"/>
    <x v="3"/>
    <n v="95000000"/>
    <x v="3"/>
    <x v="144"/>
    <x v="0"/>
    <s v="Submit Quo tanggal 14 April 2024 - Project di hold karena perubahan Spek dari user"/>
  </r>
  <r>
    <x v="401"/>
    <m/>
    <x v="495"/>
    <m/>
    <x v="0"/>
    <s v="David"/>
    <x v="2"/>
    <x v="1"/>
    <x v="2"/>
    <n v="30985990000"/>
    <x v="3"/>
    <x v="13"/>
    <x v="0"/>
    <s v="sudah submit by email di 2026/05/07"/>
  </r>
  <r>
    <x v="402"/>
    <m/>
    <x v="495"/>
    <m/>
    <x v="0"/>
    <s v="David"/>
    <x v="2"/>
    <x v="1"/>
    <x v="2"/>
    <n v="30985990000"/>
    <x v="3"/>
    <x v="13"/>
    <x v="0"/>
    <s v="sudah submit by email di 2026/05/07"/>
  </r>
  <r>
    <x v="403"/>
    <m/>
    <x v="36"/>
    <s v="UAL450D5"/>
    <x v="0"/>
    <m/>
    <x v="2"/>
    <x v="0"/>
    <x v="1"/>
    <n v="598000000"/>
    <x v="0"/>
    <x v="13"/>
    <x v="0"/>
    <m/>
  </r>
  <r>
    <x v="404"/>
    <m/>
    <x v="35"/>
    <s v="IAQ"/>
    <x v="1"/>
    <m/>
    <x v="10"/>
    <x v="2"/>
    <x v="0"/>
    <n v="11000000"/>
    <x v="2"/>
    <x v="114"/>
    <x v="0"/>
    <m/>
  </r>
  <r>
    <x v="405"/>
    <m/>
    <x v="32"/>
    <s v="EPL "/>
    <x v="1"/>
    <m/>
    <x v="10"/>
    <x v="1"/>
    <x v="3"/>
    <n v="57000000"/>
    <x v="1"/>
    <x v="73"/>
    <x v="1"/>
    <m/>
  </r>
  <r>
    <x v="406"/>
    <m/>
    <x v="36"/>
    <m/>
    <x v="1"/>
    <m/>
    <x v="10"/>
    <x v="0"/>
    <x v="2"/>
    <n v="1500000000"/>
    <x v="4"/>
    <x v="136"/>
    <x v="1"/>
    <m/>
  </r>
  <r>
    <x v="407"/>
    <m/>
    <x v="36"/>
    <s v="EWAD"/>
    <x v="1"/>
    <m/>
    <x v="10"/>
    <x v="0"/>
    <x v="3"/>
    <n v="4650000000"/>
    <x v="2"/>
    <x v="136"/>
    <x v="1"/>
    <m/>
  </r>
  <r>
    <x v="408"/>
    <m/>
    <x v="32"/>
    <s v="EPL "/>
    <x v="1"/>
    <m/>
    <x v="10"/>
    <x v="1"/>
    <x v="3"/>
    <n v="6000000000"/>
    <x v="2"/>
    <x v="114"/>
    <x v="0"/>
    <m/>
  </r>
  <r>
    <x v="409"/>
    <m/>
    <x v="34"/>
    <s v="RC "/>
    <x v="1"/>
    <m/>
    <x v="10"/>
    <x v="0"/>
    <x v="3"/>
    <n v="80000000"/>
    <x v="2"/>
    <x v="169"/>
    <x v="0"/>
    <m/>
  </r>
  <r>
    <x v="28"/>
    <m/>
    <x v="32"/>
    <s v="EPL "/>
    <x v="1"/>
    <m/>
    <x v="10"/>
    <x v="1"/>
    <x v="3"/>
    <n v="135000000"/>
    <x v="2"/>
    <x v="170"/>
    <x v="0"/>
    <m/>
  </r>
  <r>
    <x v="410"/>
    <m/>
    <x v="496"/>
    <s v="Control "/>
    <x v="1"/>
    <m/>
    <x v="10"/>
    <x v="6"/>
    <x v="1"/>
    <n v="1631073000"/>
    <x v="2"/>
    <x v="170"/>
    <x v="0"/>
    <m/>
  </r>
  <r>
    <x v="411"/>
    <m/>
    <x v="34"/>
    <m/>
    <x v="1"/>
    <m/>
    <x v="10"/>
    <x v="0"/>
    <x v="3"/>
    <n v="752000000"/>
    <x v="2"/>
    <x v="134"/>
    <x v="0"/>
    <m/>
  </r>
  <r>
    <x v="412"/>
    <m/>
    <x v="36"/>
    <m/>
    <x v="1"/>
    <m/>
    <x v="10"/>
    <x v="0"/>
    <x v="0"/>
    <n v="149000000"/>
    <x v="2"/>
    <x v="114"/>
    <x v="0"/>
    <m/>
  </r>
  <r>
    <x v="413"/>
    <m/>
    <x v="32"/>
    <m/>
    <x v="1"/>
    <m/>
    <x v="10"/>
    <x v="1"/>
    <x v="4"/>
    <n v="302000000"/>
    <x v="1"/>
    <x v="73"/>
    <x v="0"/>
    <m/>
  </r>
  <r>
    <x v="414"/>
    <m/>
    <x v="486"/>
    <s v="RC- UAL340D5"/>
    <x v="0"/>
    <m/>
    <x v="3"/>
    <x v="0"/>
    <x v="3"/>
    <n v="220000000"/>
    <x v="2"/>
    <x v="208"/>
    <x v="0"/>
    <s v="Tender - Submit Quo 22-04-2026 ==&gt; Budgeting ulang"/>
  </r>
  <r>
    <x v="415"/>
    <m/>
    <x v="486"/>
    <s v="RC- 3x UAA105ST3-FBD "/>
    <x v="0"/>
    <m/>
    <x v="3"/>
    <x v="0"/>
    <x v="1"/>
    <n v="1874000000"/>
    <x v="2"/>
    <x v="209"/>
    <x v="0"/>
    <s v="Budgeting - Submit 23-04-2026"/>
  </r>
  <r>
    <x v="416"/>
    <m/>
    <x v="497"/>
    <m/>
    <x v="0"/>
    <m/>
    <x v="3"/>
    <x v="1"/>
    <x v="1"/>
    <n v="91900000"/>
    <x v="2"/>
    <x v="21"/>
    <x v="0"/>
    <s v="Tender - Submit Quo 25-04-2026"/>
  </r>
  <r>
    <x v="417"/>
    <m/>
    <x v="488"/>
    <s v=" - DDM1113_x000a_ - DDB200BW"/>
    <x v="0"/>
    <s v="David"/>
    <x v="3"/>
    <x v="0"/>
    <x v="1"/>
    <n v="241000000"/>
    <x v="1"/>
    <x v="137"/>
    <x v="1"/>
    <s v="Already SO"/>
  </r>
  <r>
    <x v="418"/>
    <m/>
    <x v="498"/>
    <s v="S2DN200V"/>
    <x v="0"/>
    <m/>
    <x v="3"/>
    <x v="1"/>
    <x v="3"/>
    <n v="293800000"/>
    <x v="0"/>
    <x v="203"/>
    <x v="0"/>
    <s v="Submit Quo tanggal 27 April 2024 ==&gt; Tidak ada update"/>
  </r>
  <r>
    <x v="419"/>
    <m/>
    <x v="478"/>
    <s v="FWW1200VC"/>
    <x v="0"/>
    <s v="David"/>
    <x v="3"/>
    <x v="1"/>
    <x v="1"/>
    <n v="51000000"/>
    <x v="1"/>
    <x v="92"/>
    <x v="1"/>
    <s v="PO tanggal 08 Mei 2026 - Ready To SO"/>
  </r>
  <r>
    <x v="420"/>
    <m/>
    <x v="499"/>
    <s v="DDM0610,1114 &amp; UHAS200"/>
    <x v="0"/>
    <m/>
    <x v="3"/>
    <x v="1"/>
    <x v="1"/>
    <n v="740000000"/>
    <x v="1"/>
    <x v="172"/>
    <x v="1"/>
    <s v="PO tanggal 06 Mei 2026 - Ready To SO"/>
  </r>
  <r>
    <x v="421"/>
    <m/>
    <x v="500"/>
    <s v="DX"/>
    <x v="0"/>
    <m/>
    <x v="6"/>
    <x v="0"/>
    <x v="3"/>
    <n v="110593500"/>
    <x v="1"/>
    <x v="210"/>
    <x v="0"/>
    <s v="PO"/>
  </r>
  <r>
    <x v="422"/>
    <m/>
    <x v="501"/>
    <s v="DDW040DE"/>
    <x v="0"/>
    <m/>
    <x v="6"/>
    <x v="0"/>
    <x v="1"/>
    <n v="170000000"/>
    <x v="0"/>
    <x v="13"/>
    <x v="0"/>
    <s v="pakai system VRV dan pemenang vendor nya Roda Mas"/>
  </r>
  <r>
    <x v="423"/>
    <m/>
    <x v="502"/>
    <m/>
    <x v="0"/>
    <m/>
    <x v="5"/>
    <x v="0"/>
    <x v="3"/>
    <n v="2400000000"/>
    <x v="2"/>
    <x v="146"/>
    <x v="0"/>
    <s v="Budgeting"/>
  </r>
  <r>
    <x v="424"/>
    <m/>
    <x v="503"/>
    <m/>
    <x v="0"/>
    <m/>
    <x v="5"/>
    <x v="1"/>
    <x v="3"/>
    <n v="2000000000"/>
    <x v="2"/>
    <x v="146"/>
    <x v="0"/>
    <s v="Budgeting"/>
  </r>
  <r>
    <x v="403"/>
    <m/>
    <x v="7"/>
    <s v="PHE-Alfa laval PHE type T8-BFM"/>
    <x v="0"/>
    <m/>
    <x v="2"/>
    <x v="1"/>
    <x v="1"/>
    <n v="100800000"/>
    <x v="0"/>
    <x v="13"/>
    <x v="0"/>
    <m/>
  </r>
  <r>
    <x v="425"/>
    <m/>
    <x v="504"/>
    <m/>
    <x v="0"/>
    <s v="David"/>
    <x v="6"/>
    <x v="0"/>
    <x v="0"/>
    <n v="146000000"/>
    <x v="1"/>
    <x v="210"/>
    <x v="0"/>
    <s v="PO"/>
  </r>
  <r>
    <x v="426"/>
    <m/>
    <x v="505"/>
    <m/>
    <x v="0"/>
    <m/>
    <x v="6"/>
    <x v="0"/>
    <x v="1"/>
    <n v="834000000"/>
    <x v="0"/>
    <x v="13"/>
    <x v="0"/>
    <s v="Budgeting"/>
  </r>
  <r>
    <x v="427"/>
    <m/>
    <x v="36"/>
    <s v="EWAH300"/>
    <x v="0"/>
    <m/>
    <x v="7"/>
    <x v="0"/>
    <x v="3"/>
    <n v="1300000000"/>
    <x v="2"/>
    <x v="211"/>
    <x v="0"/>
    <s v="Submit Quo"/>
  </r>
  <r>
    <x v="428"/>
    <m/>
    <x v="36"/>
    <s v="EWAH350"/>
    <x v="0"/>
    <m/>
    <x v="7"/>
    <x v="0"/>
    <x v="3"/>
    <n v="1500000000"/>
    <x v="2"/>
    <x v="211"/>
    <x v="0"/>
    <s v="Submit Quo"/>
  </r>
  <r>
    <x v="429"/>
    <m/>
    <x v="36"/>
    <s v="UAA150"/>
    <x v="0"/>
    <m/>
    <x v="7"/>
    <x v="0"/>
    <x v="3"/>
    <n v="1200000000"/>
    <x v="2"/>
    <x v="211"/>
    <x v="0"/>
    <s v="Submit Quo"/>
  </r>
  <r>
    <x v="430"/>
    <m/>
    <x v="506"/>
    <m/>
    <x v="0"/>
    <m/>
    <x v="7"/>
    <x v="1"/>
    <x v="3"/>
    <n v="200000000"/>
    <x v="2"/>
    <x v="212"/>
    <x v="0"/>
    <s v="Submit Quo"/>
  </r>
  <r>
    <x v="431"/>
    <m/>
    <x v="507"/>
    <s v="DX"/>
    <x v="0"/>
    <m/>
    <x v="6"/>
    <x v="0"/>
    <x v="1"/>
    <n v="107000000"/>
    <x v="0"/>
    <x v="13"/>
    <x v="0"/>
    <s v="pakai brand lokal karena budged under 80 jt"/>
  </r>
  <r>
    <x v="432"/>
    <m/>
    <x v="508"/>
    <s v="Sensor AHU"/>
    <x v="0"/>
    <m/>
    <x v="3"/>
    <x v="7"/>
    <x v="3"/>
    <n v="112000000"/>
    <x v="1"/>
    <x v="34"/>
    <x v="1"/>
    <s v="PO tanggal 13 Mei 2026 - Proses To SO (akan dikonfrimasi terlebih dahulu ke Taiyo Sinar karena antara penawran dan PO Berbeda)"/>
  </r>
  <r>
    <x v="433"/>
    <m/>
    <x v="497"/>
    <s v="Split Wall 2 Pk"/>
    <x v="0"/>
    <m/>
    <x v="3"/>
    <x v="1"/>
    <x v="3"/>
    <n v="121000000"/>
    <x v="2"/>
    <x v="196"/>
    <x v="0"/>
    <s v="Submit Quo tanggal 14 May 2026 ==&gt; Under Review "/>
  </r>
  <r>
    <x v="434"/>
    <m/>
    <x v="508"/>
    <s v="Maruto"/>
    <x v="0"/>
    <m/>
    <x v="3"/>
    <x v="7"/>
    <x v="1"/>
    <n v="590000000"/>
    <x v="7"/>
    <x v="11"/>
    <x v="0"/>
    <s v="User Revisi Budged dan Info dari user budeg sudah di revisi "/>
  </r>
  <r>
    <x v="435"/>
    <m/>
    <x v="509"/>
    <s v="UAL450D5"/>
    <x v="0"/>
    <s v="David"/>
    <x v="3"/>
    <x v="1"/>
    <x v="3"/>
    <n v="180000000"/>
    <x v="1"/>
    <x v="213"/>
    <x v="1"/>
    <m/>
  </r>
  <r>
    <x v="436"/>
    <m/>
    <x v="510"/>
    <m/>
    <x v="0"/>
    <m/>
    <x v="3"/>
    <x v="1"/>
    <x v="1"/>
    <n v="123650000"/>
    <x v="1"/>
    <x v="13"/>
    <x v="0"/>
    <m/>
  </r>
  <r>
    <x v="185"/>
    <m/>
    <x v="511"/>
    <s v="Inverter Mitsubishi 55kW"/>
    <x v="0"/>
    <m/>
    <x v="3"/>
    <x v="1"/>
    <x v="1"/>
    <n v="135000000"/>
    <x v="4"/>
    <x v="214"/>
    <x v="1"/>
    <s v="Nego  tanggal 5 Juni 2025"/>
  </r>
  <r>
    <x v="437"/>
    <m/>
    <x v="486"/>
    <s v="UAA348ST3-FBD"/>
    <x v="0"/>
    <m/>
    <x v="3"/>
    <x v="0"/>
    <x v="1"/>
    <n v="2000000000"/>
    <x v="2"/>
    <x v="203"/>
    <x v="0"/>
    <s v="Submit tanggal 19 May. Kompetiror Daikin, Hitachi, York "/>
  </r>
  <r>
    <x v="438"/>
    <m/>
    <x v="499"/>
    <s v="UAL450 &amp; DDM1619"/>
    <x v="0"/>
    <m/>
    <x v="3"/>
    <x v="0"/>
    <x v="3"/>
    <n v="2023000000"/>
    <x v="2"/>
    <x v="215"/>
    <x v="0"/>
    <s v="Submit Qou tanggal 15 April , Masih tahap Awal perencanaan dan budgeting , menunggu undangan klarifikasi design dan harga dari CCEP"/>
  </r>
  <r>
    <x v="439"/>
    <m/>
    <x v="498"/>
    <s v="VES"/>
    <x v="0"/>
    <m/>
    <x v="1"/>
    <x v="3"/>
    <x v="0"/>
    <n v="267807600"/>
    <x v="7"/>
    <x v="21"/>
    <x v="0"/>
    <s v="Negosiasi budged owner 194 jt, negosiasi internal dengan Kang Dede dan Harsindo"/>
  </r>
  <r>
    <x v="440"/>
    <m/>
    <x v="512"/>
    <s v="DX"/>
    <x v="0"/>
    <m/>
    <x v="6"/>
    <x v="1"/>
    <x v="1"/>
    <n v="169190000"/>
    <x v="2"/>
    <x v="136"/>
    <x v="0"/>
    <s v="Quote Submitted"/>
  </r>
  <r>
    <x v="441"/>
    <m/>
    <x v="9"/>
    <s v="Asessment Hall Room Hotel Mercure Jakarta Gatot Subroto"/>
    <x v="0"/>
    <m/>
    <x v="2"/>
    <x v="3"/>
    <x v="1"/>
    <n v="25000000"/>
    <x v="0"/>
    <x v="13"/>
    <x v="0"/>
    <m/>
  </r>
  <r>
    <x v="442"/>
    <m/>
    <x v="513"/>
    <m/>
    <x v="0"/>
    <m/>
    <x v="2"/>
    <x v="1"/>
    <x v="1"/>
    <n v="516000000"/>
    <x v="0"/>
    <x v="13"/>
    <x v="0"/>
    <s v="Submit Final Quotation 13 Maret 2026"/>
  </r>
  <r>
    <x v="443"/>
    <m/>
    <x v="514"/>
    <s v="VRV"/>
    <x v="0"/>
    <m/>
    <x v="2"/>
    <x v="1"/>
    <x v="1"/>
    <n v="132762350"/>
    <x v="0"/>
    <x v="13"/>
    <x v="0"/>
    <m/>
  </r>
  <r>
    <x v="444"/>
    <m/>
    <x v="515"/>
    <m/>
    <x v="0"/>
    <m/>
    <x v="2"/>
    <x v="1"/>
    <x v="1"/>
    <n v="250870400"/>
    <x v="0"/>
    <x v="13"/>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D5E298-9265-45D1-98FF-1387E7FA08E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12" firstHeaderRow="1" firstDataRow="4" firstDataCol="1"/>
  <pivotFields count="17">
    <pivotField showAll="0"/>
    <pivotField showAll="0"/>
    <pivotField showAll="0"/>
    <pivotField showAll="0"/>
    <pivotField showAll="0"/>
    <pivotField showAll="0"/>
    <pivotField showAll="0"/>
    <pivotField showAll="0"/>
    <pivotField showAll="0"/>
    <pivotField dataField="1" showAll="0"/>
    <pivotField axis="axisRow" showAll="0">
      <items count="10">
        <item x="1"/>
        <item x="7"/>
        <item x="4"/>
        <item x="6"/>
        <item x="2"/>
        <item h="1" x="3"/>
        <item h="1" x="0"/>
        <item h="1" x="5"/>
        <item h="1" x="8"/>
        <item t="default"/>
      </items>
    </pivotField>
    <pivotField axis="axisCol" showAll="0">
      <items count="217">
        <item x="143"/>
        <item x="140"/>
        <item x="132"/>
        <item x="125"/>
        <item x="36"/>
        <item x="41"/>
        <item x="123"/>
        <item x="38"/>
        <item x="40"/>
        <item x="39"/>
        <item x="99"/>
        <item x="118"/>
        <item x="122"/>
        <item x="91"/>
        <item x="112"/>
        <item x="81"/>
        <item x="108"/>
        <item x="110"/>
        <item x="86"/>
        <item x="65"/>
        <item x="107"/>
        <item x="166"/>
        <item x="46"/>
        <item x="102"/>
        <item x="32"/>
        <item x="101"/>
        <item x="105"/>
        <item x="87"/>
        <item x="95"/>
        <item x="100"/>
        <item x="96"/>
        <item x="98"/>
        <item x="30"/>
        <item x="27"/>
        <item x="168"/>
        <item x="93"/>
        <item x="90"/>
        <item x="35"/>
        <item x="83"/>
        <item x="22"/>
        <item x="63"/>
        <item x="88"/>
        <item x="89"/>
        <item x="67"/>
        <item x="77"/>
        <item x="72"/>
        <item x="84"/>
        <item x="68"/>
        <item x="75"/>
        <item x="70"/>
        <item x="69"/>
        <item x="66"/>
        <item x="59"/>
        <item x="58"/>
        <item x="71"/>
        <item x="76"/>
        <item x="61"/>
        <item x="62"/>
        <item x="50"/>
        <item x="97"/>
        <item x="85"/>
        <item x="64"/>
        <item x="53"/>
        <item x="78"/>
        <item x="56"/>
        <item x="54"/>
        <item x="52"/>
        <item x="2"/>
        <item x="74"/>
        <item x="79"/>
        <item x="104"/>
        <item x="57"/>
        <item x="82"/>
        <item x="51"/>
        <item x="167"/>
        <item x="49"/>
        <item x="161"/>
        <item x="94"/>
        <item x="33"/>
        <item x="109"/>
        <item x="23"/>
        <item x="164"/>
        <item x="29"/>
        <item x="162"/>
        <item x="111"/>
        <item x="80"/>
        <item x="174"/>
        <item x="31"/>
        <item x="163"/>
        <item x="165"/>
        <item x="47"/>
        <item x="151"/>
        <item x="7"/>
        <item x="16"/>
        <item x="119"/>
        <item x="44"/>
        <item x="1"/>
        <item x="10"/>
        <item x="4"/>
        <item x="156"/>
        <item x="0"/>
        <item x="204"/>
        <item x="149"/>
        <item x="205"/>
        <item x="5"/>
        <item x="148"/>
        <item x="150"/>
        <item x="48"/>
        <item x="142"/>
        <item x="14"/>
        <item x="154"/>
        <item x="206"/>
        <item x="55"/>
        <item x="43"/>
        <item x="207"/>
        <item x="106"/>
        <item x="24"/>
        <item x="26"/>
        <item x="200"/>
        <item x="131"/>
        <item x="127"/>
        <item x="126"/>
        <item x="128"/>
        <item x="137"/>
        <item x="153"/>
        <item x="210"/>
        <item x="60"/>
        <item x="92"/>
        <item x="6"/>
        <item x="155"/>
        <item x="34"/>
        <item x="42"/>
        <item x="37"/>
        <item x="73"/>
        <item x="171"/>
        <item x="188"/>
        <item x="135"/>
        <item x="19"/>
        <item x="160"/>
        <item x="9"/>
        <item x="145"/>
        <item x="141"/>
        <item x="144"/>
        <item x="159"/>
        <item x="136"/>
        <item x="116"/>
        <item x="21"/>
        <item x="196"/>
        <item x="15"/>
        <item x="133"/>
        <item x="103"/>
        <item x="191"/>
        <item x="114"/>
        <item x="202"/>
        <item x="203"/>
        <item x="28"/>
        <item x="195"/>
        <item x="157"/>
        <item x="25"/>
        <item x="18"/>
        <item x="158"/>
        <item x="209"/>
        <item x="121"/>
        <item x="193"/>
        <item x="194"/>
        <item x="120"/>
        <item x="176"/>
        <item x="197"/>
        <item x="169"/>
        <item x="198"/>
        <item x="192"/>
        <item x="182"/>
        <item x="183"/>
        <item x="177"/>
        <item x="185"/>
        <item x="178"/>
        <item x="113"/>
        <item x="13"/>
        <item x="3"/>
        <item x="8"/>
        <item x="214"/>
        <item x="45"/>
        <item x="115"/>
        <item x="117"/>
        <item x="124"/>
        <item x="134"/>
        <item x="147"/>
        <item x="170"/>
        <item x="172"/>
        <item x="173"/>
        <item x="175"/>
        <item x="181"/>
        <item x="184"/>
        <item x="186"/>
        <item x="11"/>
        <item x="189"/>
        <item x="190"/>
        <item x="129"/>
        <item x="146"/>
        <item x="211"/>
        <item x="212"/>
        <item x="215"/>
        <item x="138"/>
        <item x="139"/>
        <item x="213"/>
        <item x="12"/>
        <item x="17"/>
        <item x="20"/>
        <item x="130"/>
        <item x="179"/>
        <item x="180"/>
        <item x="187"/>
        <item x="199"/>
        <item x="201"/>
        <item x="208"/>
        <item x="152"/>
        <item t="default"/>
      </items>
    </pivotField>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0"/>
        <item x="1"/>
        <item x="2"/>
        <item x="3"/>
        <item x="4"/>
        <item x="5"/>
      </items>
    </pivotField>
    <pivotField axis="axisCol" showAll="0" defaultSubtotal="0">
      <items count="7">
        <item x="0"/>
        <item x="1"/>
        <item x="2"/>
        <item x="3"/>
        <item x="4"/>
        <item x="5"/>
        <item x="6"/>
      </items>
    </pivotField>
  </pivotFields>
  <rowFields count="1">
    <field x="10"/>
  </rowFields>
  <rowItems count="6">
    <i>
      <x/>
    </i>
    <i>
      <x v="1"/>
    </i>
    <i>
      <x v="2"/>
    </i>
    <i>
      <x v="3"/>
    </i>
    <i>
      <x v="4"/>
    </i>
    <i t="grand">
      <x/>
    </i>
  </rowItems>
  <colFields count="3">
    <field x="16"/>
    <field x="14"/>
    <field x="11"/>
  </colFields>
  <colItems count="16">
    <i>
      <x v="3"/>
      <x v="11"/>
    </i>
    <i r="1">
      <x v="12"/>
    </i>
    <i>
      <x v="4"/>
      <x v="1"/>
    </i>
    <i r="1">
      <x v="2"/>
    </i>
    <i r="1">
      <x v="3"/>
    </i>
    <i r="1">
      <x v="4"/>
    </i>
    <i r="1">
      <x v="5"/>
    </i>
    <i r="1">
      <x v="6"/>
    </i>
    <i r="1">
      <x v="7"/>
    </i>
    <i r="1">
      <x v="8"/>
    </i>
    <i r="1">
      <x v="9"/>
    </i>
    <i r="1">
      <x v="10"/>
    </i>
    <i r="1">
      <x v="11"/>
    </i>
    <i r="1">
      <x v="12"/>
    </i>
    <i>
      <x v="5"/>
      <x v="1"/>
    </i>
    <i t="grand">
      <x/>
    </i>
  </colItems>
  <dataFields count="1">
    <dataField name="Sum of Quotation" fld="9" baseField="10" baseItem="0" numFmtId="3"/>
  </dataFields>
  <pivotTableStyleInfo name="PivotStyleLight16" showRowHeaders="1" showColHeaders="1" showRowStripes="0" showColStripes="0" showLastColumn="1"/>
  <filters count="1">
    <filter fld="11" type="dateNewerThan" evalOrder="-1" id="1">
      <autoFilter ref="A1">
        <filterColumn colId="0">
          <customFilters>
            <customFilter operator="greaterThan" val="4596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2ACD35-042C-4453-BF5E-CC50244A12C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50" firstHeaderRow="1" firstDataRow="3" firstDataCol="1" rowPageCount="2" colPageCount="1"/>
  <pivotFields count="17">
    <pivotField axis="axisRow" showAll="0">
      <items count="466">
        <item x="329"/>
        <item x="184"/>
        <item x="52"/>
        <item x="295"/>
        <item x="129"/>
        <item x="201"/>
        <item x="36"/>
        <item x="111"/>
        <item x="307"/>
        <item x="342"/>
        <item x="136"/>
        <item x="233"/>
        <item x="306"/>
        <item m="1" x="453"/>
        <item x="145"/>
        <item x="25"/>
        <item x="186"/>
        <item x="154"/>
        <item x="80"/>
        <item x="253"/>
        <item x="202"/>
        <item x="64"/>
        <item x="62"/>
        <item x="407"/>
        <item x="291"/>
        <item x="42"/>
        <item x="211"/>
        <item x="362"/>
        <item m="1" x="446"/>
        <item x="166"/>
        <item x="215"/>
        <item x="66"/>
        <item x="345"/>
        <item x="234"/>
        <item x="173"/>
        <item x="37"/>
        <item x="164"/>
        <item x="352"/>
        <item x="98"/>
        <item x="230"/>
        <item x="378"/>
        <item x="94"/>
        <item x="93"/>
        <item x="75"/>
        <item x="91"/>
        <item x="95"/>
        <item x="33"/>
        <item x="116"/>
        <item x="278"/>
        <item x="274"/>
        <item x="96"/>
        <item x="114"/>
        <item x="86"/>
        <item x="284"/>
        <item x="89"/>
        <item x="92"/>
        <item x="371"/>
        <item x="315"/>
        <item x="110"/>
        <item x="267"/>
        <item x="175"/>
        <item m="1" x="462"/>
        <item x="322"/>
        <item x="314"/>
        <item m="1" x="464"/>
        <item x="346"/>
        <item x="360"/>
        <item x="196"/>
        <item x="40"/>
        <item x="147"/>
        <item x="45"/>
        <item x="252"/>
        <item x="68"/>
        <item x="179"/>
        <item x="151"/>
        <item x="124"/>
        <item x="3"/>
        <item x="149"/>
        <item x="121"/>
        <item x="122"/>
        <item x="126"/>
        <item x="297"/>
        <item x="132"/>
        <item x="176"/>
        <item x="210"/>
        <item x="177"/>
        <item x="101"/>
        <item x="305"/>
        <item x="304"/>
        <item x="292"/>
        <item x="123"/>
        <item x="356"/>
        <item x="73"/>
        <item m="1" x="455"/>
        <item x="195"/>
        <item x="76"/>
        <item x="192"/>
        <item x="367"/>
        <item x="190"/>
        <item x="167"/>
        <item x="317"/>
        <item x="152"/>
        <item x="200"/>
        <item x="320"/>
        <item x="381"/>
        <item x="130"/>
        <item x="102"/>
        <item x="26"/>
        <item x="172"/>
        <item x="373"/>
        <item x="372"/>
        <item x="81"/>
        <item x="403"/>
        <item x="125"/>
        <item x="29"/>
        <item x="128"/>
        <item x="83"/>
        <item x="223"/>
        <item x="181"/>
        <item x="208"/>
        <item x="162"/>
        <item x="358"/>
        <item x="365"/>
        <item x="293"/>
        <item x="256"/>
        <item x="46"/>
        <item x="144"/>
        <item x="161"/>
        <item x="55"/>
        <item x="157"/>
        <item x="197"/>
        <item x="228"/>
        <item x="131"/>
        <item x="133"/>
        <item x="160"/>
        <item x="249"/>
        <item x="279"/>
        <item x="169"/>
        <item x="341"/>
        <item x="443"/>
        <item x="143"/>
        <item x="387"/>
        <item x="34"/>
        <item x="199"/>
        <item m="1" x="454"/>
        <item x="23"/>
        <item x="396"/>
        <item x="51"/>
        <item x="107"/>
        <item x="8"/>
        <item x="135"/>
        <item x="158"/>
        <item x="146"/>
        <item x="298"/>
        <item x="219"/>
        <item x="348"/>
        <item x="299"/>
        <item x="344"/>
        <item x="1"/>
        <item x="67"/>
        <item x="159"/>
        <item x="88"/>
        <item x="353"/>
        <item x="262"/>
        <item x="54"/>
        <item x="393"/>
        <item x="265"/>
        <item x="105"/>
        <item x="90"/>
        <item x="312"/>
        <item x="191"/>
        <item x="109"/>
        <item x="112"/>
        <item x="203"/>
        <item x="288"/>
        <item x="287"/>
        <item x="281"/>
        <item x="276"/>
        <item x="328"/>
        <item x="103"/>
        <item x="382"/>
        <item x="141"/>
        <item x="316"/>
        <item x="248"/>
        <item x="282"/>
        <item x="283"/>
        <item x="231"/>
        <item x="100"/>
        <item x="310"/>
        <item x="189"/>
        <item x="106"/>
        <item x="61"/>
        <item x="280"/>
        <item x="32"/>
        <item x="218"/>
        <item x="272"/>
        <item x="271"/>
        <item x="273"/>
        <item x="286"/>
        <item x="229"/>
        <item x="71"/>
        <item x="319"/>
        <item x="268"/>
        <item x="277"/>
        <item x="232"/>
        <item x="50"/>
        <item x="349"/>
        <item x="212"/>
        <item x="22"/>
        <item x="174"/>
        <item m="1" x="461"/>
        <item x="70"/>
        <item x="104"/>
        <item x="78"/>
        <item x="87"/>
        <item x="99"/>
        <item x="77"/>
        <item x="170"/>
        <item x="85"/>
        <item x="226"/>
        <item x="187"/>
        <item x="205"/>
        <item x="270"/>
        <item x="269"/>
        <item x="239"/>
        <item x="60"/>
        <item x="375"/>
        <item x="441"/>
        <item x="137"/>
        <item x="108"/>
        <item x="65"/>
        <item x="390"/>
        <item x="263"/>
        <item x="266"/>
        <item x="163"/>
        <item m="1" x="448"/>
        <item x="188"/>
        <item x="289"/>
        <item x="227"/>
        <item x="139"/>
        <item x="246"/>
        <item x="79"/>
        <item x="97"/>
        <item x="261"/>
        <item x="241"/>
        <item x="138"/>
        <item x="313"/>
        <item x="383"/>
        <item x="213"/>
        <item x="82"/>
        <item x="285"/>
        <item x="363"/>
        <item x="264"/>
        <item x="361"/>
        <item x="6"/>
        <item x="326"/>
        <item m="1" x="463"/>
        <item x="142"/>
        <item x="31"/>
        <item x="325"/>
        <item x="391"/>
        <item x="330"/>
        <item x="331"/>
        <item x="332"/>
        <item x="235"/>
        <item x="258"/>
        <item x="250"/>
        <item x="321"/>
        <item x="35"/>
        <item x="339"/>
        <item x="389"/>
        <item x="335"/>
        <item x="384"/>
        <item x="336"/>
        <item x="9"/>
        <item x="385"/>
        <item x="275"/>
        <item x="118"/>
        <item x="302"/>
        <item x="245"/>
        <item x="244"/>
        <item x="327"/>
        <item x="333"/>
        <item x="357"/>
        <item x="337"/>
        <item x="11"/>
        <item x="243"/>
        <item x="53"/>
        <item x="115"/>
        <item x="198"/>
        <item x="21"/>
        <item x="259"/>
        <item x="242"/>
        <item x="324"/>
        <item x="260"/>
        <item x="2"/>
        <item x="20"/>
        <item x="117"/>
        <item x="247"/>
        <item m="1" x="458"/>
        <item x="63"/>
        <item x="380"/>
        <item x="374"/>
        <item x="386"/>
        <item m="1" x="449"/>
        <item x="150"/>
        <item x="0"/>
        <item x="442"/>
        <item x="236"/>
        <item x="183"/>
        <item x="376"/>
        <item m="1" x="445"/>
        <item x="44"/>
        <item x="57"/>
        <item x="56"/>
        <item m="1" x="447"/>
        <item x="204"/>
        <item x="301"/>
        <item x="366"/>
        <item x="225"/>
        <item x="113"/>
        <item x="220"/>
        <item x="58"/>
        <item x="257"/>
        <item x="379"/>
        <item x="222"/>
        <item x="194"/>
        <item x="134"/>
        <item x="182"/>
        <item x="185"/>
        <item x="180"/>
        <item x="84"/>
        <item x="370"/>
        <item x="221"/>
        <item x="377"/>
        <item x="347"/>
        <item x="30"/>
        <item x="364"/>
        <item x="350"/>
        <item x="74"/>
        <item x="59"/>
        <item x="156"/>
        <item x="217"/>
        <item x="165"/>
        <item x="120"/>
        <item x="38"/>
        <item x="303"/>
        <item x="39"/>
        <item x="15"/>
        <item x="392"/>
        <item x="41"/>
        <item x="47"/>
        <item x="48"/>
        <item x="359"/>
        <item x="388"/>
        <item m="1" x="459"/>
        <item x="354"/>
        <item x="28"/>
        <item x="43"/>
        <item x="444"/>
        <item x="119"/>
        <item x="355"/>
        <item x="394"/>
        <item x="216"/>
        <item x="171"/>
        <item x="69"/>
        <item x="193"/>
        <item x="18"/>
        <item x="155"/>
        <item x="178"/>
        <item x="127"/>
        <item x="296"/>
        <item m="1" x="457"/>
        <item x="294"/>
        <item x="153"/>
        <item x="209"/>
        <item x="395"/>
        <item x="17"/>
        <item x="5"/>
        <item x="24"/>
        <item x="72"/>
        <item x="168"/>
        <item m="1" x="456"/>
        <item x="338"/>
        <item x="399"/>
        <item m="1" x="460"/>
        <item x="323"/>
        <item x="368"/>
        <item x="404"/>
        <item x="405"/>
        <item x="408"/>
        <item x="414"/>
        <item x="415"/>
        <item x="416"/>
        <item x="4"/>
        <item x="10"/>
        <item x="19"/>
        <item x="49"/>
        <item x="140"/>
        <item x="148"/>
        <item x="206"/>
        <item x="207"/>
        <item x="224"/>
        <item x="237"/>
        <item x="238"/>
        <item x="240"/>
        <item x="251"/>
        <item x="401"/>
        <item x="402"/>
        <item x="334"/>
        <item x="340"/>
        <item x="351"/>
        <item x="397"/>
        <item x="398"/>
        <item x="400"/>
        <item x="409"/>
        <item x="410"/>
        <item x="411"/>
        <item x="412"/>
        <item x="413"/>
        <item x="417"/>
        <item x="418"/>
        <item m="1" x="450"/>
        <item m="1" x="451"/>
        <item x="419"/>
        <item x="420"/>
        <item x="421"/>
        <item x="422"/>
        <item x="423"/>
        <item x="424"/>
        <item x="369"/>
        <item x="425"/>
        <item x="426"/>
        <item x="427"/>
        <item x="428"/>
        <item x="429"/>
        <item x="430"/>
        <item x="431"/>
        <item m="1" x="452"/>
        <item x="432"/>
        <item x="433"/>
        <item x="434"/>
        <item x="437"/>
        <item x="438"/>
        <item x="439"/>
        <item x="214"/>
        <item x="254"/>
        <item x="255"/>
        <item x="290"/>
        <item x="308"/>
        <item x="435"/>
        <item x="7"/>
        <item x="12"/>
        <item x="13"/>
        <item x="14"/>
        <item x="16"/>
        <item x="300"/>
        <item x="309"/>
        <item x="311"/>
        <item x="318"/>
        <item x="343"/>
        <item x="406"/>
        <item x="436"/>
        <item x="440"/>
        <item x="27"/>
        <item t="default"/>
      </items>
    </pivotField>
    <pivotField showAll="0"/>
    <pivotField axis="axisRow" showAll="0">
      <items count="532">
        <item m="1" x="528"/>
        <item x="40"/>
        <item x="446"/>
        <item m="1" x="529"/>
        <item x="420"/>
        <item x="312"/>
        <item x="216"/>
        <item x="396"/>
        <item x="424"/>
        <item x="187"/>
        <item x="191"/>
        <item x="11"/>
        <item x="199"/>
        <item x="219"/>
        <item x="264"/>
        <item x="258"/>
        <item x="5"/>
        <item x="16"/>
        <item x="285"/>
        <item x="85"/>
        <item x="441"/>
        <item x="128"/>
        <item x="63"/>
        <item x="71"/>
        <item x="62"/>
        <item x="328"/>
        <item x="56"/>
        <item x="451"/>
        <item x="192"/>
        <item x="461"/>
        <item x="76"/>
        <item x="92"/>
        <item x="483"/>
        <item x="198"/>
        <item x="7"/>
        <item x="32"/>
        <item x="463"/>
        <item x="154"/>
        <item x="473"/>
        <item x="472"/>
        <item x="487"/>
        <item x="470"/>
        <item x="489"/>
        <item x="464"/>
        <item x="471"/>
        <item x="140"/>
        <item x="77"/>
        <item x="474"/>
        <item x="116"/>
        <item x="106"/>
        <item x="68"/>
        <item x="469"/>
        <item x="153"/>
        <item x="357"/>
        <item x="370"/>
        <item x="296"/>
        <item x="343"/>
        <item x="186"/>
        <item x="137"/>
        <item x="270"/>
        <item x="297"/>
        <item x="135"/>
        <item x="23"/>
        <item x="138"/>
        <item x="151"/>
        <item x="169"/>
        <item x="243"/>
        <item x="387"/>
        <item x="182"/>
        <item x="392"/>
        <item x="115"/>
        <item x="31"/>
        <item x="434"/>
        <item x="393"/>
        <item x="345"/>
        <item x="366"/>
        <item x="373"/>
        <item x="361"/>
        <item x="359"/>
        <item x="131"/>
        <item x="348"/>
        <item x="383"/>
        <item x="295"/>
        <item x="288"/>
        <item x="268"/>
        <item x="134"/>
        <item x="256"/>
        <item x="302"/>
        <item x="204"/>
        <item x="401"/>
        <item x="227"/>
        <item x="281"/>
        <item x="400"/>
        <item x="282"/>
        <item x="380"/>
        <item x="215"/>
        <item x="360"/>
        <item x="349"/>
        <item x="83"/>
        <item x="253"/>
        <item x="193"/>
        <item x="180"/>
        <item x="404"/>
        <item x="284"/>
        <item x="197"/>
        <item x="306"/>
        <item x="48"/>
        <item x="185"/>
        <item x="378"/>
        <item x="379"/>
        <item x="305"/>
        <item x="160"/>
        <item x="51"/>
        <item x="405"/>
        <item x="351"/>
        <item x="157"/>
        <item x="362"/>
        <item x="341"/>
        <item x="322"/>
        <item x="174"/>
        <item x="350"/>
        <item x="321"/>
        <item x="299"/>
        <item x="340"/>
        <item x="121"/>
        <item x="156"/>
        <item x="49"/>
        <item x="265"/>
        <item x="24"/>
        <item x="250"/>
        <item x="231"/>
        <item x="221"/>
        <item x="189"/>
        <item x="141"/>
        <item x="143"/>
        <item x="145"/>
        <item x="147"/>
        <item x="149"/>
        <item x="226"/>
        <item x="207"/>
        <item x="232"/>
        <item x="222"/>
        <item x="190"/>
        <item x="142"/>
        <item x="144"/>
        <item x="146"/>
        <item x="148"/>
        <item x="150"/>
        <item x="208"/>
        <item x="209"/>
        <item x="457"/>
        <item x="311"/>
        <item x="454"/>
        <item x="367"/>
        <item x="391"/>
        <item x="390"/>
        <item x="347"/>
        <item x="203"/>
        <item x="514"/>
        <item x="228"/>
        <item x="456"/>
        <item x="399"/>
        <item x="455"/>
        <item x="177"/>
        <item x="240"/>
        <item x="200"/>
        <item x="181"/>
        <item x="173"/>
        <item x="194"/>
        <item x="316"/>
        <item x="317"/>
        <item x="318"/>
        <item x="319"/>
        <item x="320"/>
        <item x="303"/>
        <item x="73"/>
        <item x="315"/>
        <item x="342"/>
        <item x="298"/>
        <item x="300"/>
        <item x="301"/>
        <item x="358"/>
        <item x="313"/>
        <item x="314"/>
        <item x="344"/>
        <item x="309"/>
        <item x="310"/>
        <item x="307"/>
        <item x="308"/>
        <item x="127"/>
        <item x="126"/>
        <item x="515"/>
        <item x="304"/>
        <item x="398"/>
        <item x="407"/>
        <item x="382"/>
        <item x="381"/>
        <item x="369"/>
        <item x="159"/>
        <item x="158"/>
        <item x="176"/>
        <item x="327"/>
        <item x="324"/>
        <item x="26"/>
        <item x="64"/>
        <item x="196"/>
        <item x="183"/>
        <item x="331"/>
        <item x="394"/>
        <item x="2"/>
        <item x="75"/>
        <item x="453"/>
        <item x="433"/>
        <item x="435"/>
        <item x="333"/>
        <item x="55"/>
        <item x="323"/>
        <item x="476"/>
        <item x="100"/>
        <item x="88"/>
        <item x="458"/>
        <item x="248"/>
        <item x="35"/>
        <item x="4"/>
        <item x="293"/>
        <item x="291"/>
        <item x="170"/>
        <item x="188"/>
        <item x="57"/>
        <item x="166"/>
        <item x="122"/>
        <item x="61"/>
        <item x="69"/>
        <item x="12"/>
        <item x="165"/>
        <item x="260"/>
        <item x="66"/>
        <item x="101"/>
        <item x="450"/>
        <item x="42"/>
        <item x="452"/>
        <item x="274"/>
        <item x="20"/>
        <item x="395"/>
        <item x="412"/>
        <item x="475"/>
        <item x="449"/>
        <item x="431"/>
        <item x="416"/>
        <item x="432"/>
        <item m="1" x="527"/>
        <item x="415"/>
        <item x="417"/>
        <item x="418"/>
        <item x="436"/>
        <item x="332"/>
        <item x="329"/>
        <item x="414"/>
        <item x="36"/>
        <item x="34"/>
        <item x="488"/>
        <item x="477"/>
        <item x="486"/>
        <item x="478"/>
        <item x="267"/>
        <item x="485"/>
        <item x="237"/>
        <item m="1" x="523"/>
        <item x="397"/>
        <item x="37"/>
        <item x="105"/>
        <item m="1" x="530"/>
        <item x="87"/>
        <item x="103"/>
        <item x="276"/>
        <item x="102"/>
        <item x="110"/>
        <item x="104"/>
        <item x="119"/>
        <item x="124"/>
        <item x="460"/>
        <item x="84"/>
        <item x="244"/>
        <item x="111"/>
        <item x="113"/>
        <item x="108"/>
        <item x="272"/>
        <item m="1" x="520"/>
        <item x="223"/>
        <item x="246"/>
        <item x="112"/>
        <item x="117"/>
        <item x="74"/>
        <item x="109"/>
        <item x="133"/>
        <item x="114"/>
        <item x="70"/>
        <item x="25"/>
        <item x="365"/>
        <item x="266"/>
        <item x="139"/>
        <item x="353"/>
        <item x="38"/>
        <item x="385"/>
        <item x="277"/>
        <item x="480"/>
        <item x="377"/>
        <item x="356"/>
        <item x="375"/>
        <item x="120"/>
        <item x="371"/>
        <item x="94"/>
        <item x="245"/>
        <item x="513"/>
        <item x="364"/>
        <item x="363"/>
        <item x="241"/>
        <item x="410"/>
        <item x="289"/>
        <item x="354"/>
        <item x="384"/>
        <item x="107"/>
        <item x="93"/>
        <item x="234"/>
        <item x="286"/>
        <item x="442"/>
        <item x="444"/>
        <item x="438"/>
        <item x="445"/>
        <item x="443"/>
        <item x="428"/>
        <item x="437"/>
        <item x="425"/>
        <item x="86"/>
        <item x="440"/>
        <item x="439"/>
        <item x="346"/>
        <item x="287"/>
        <item x="355"/>
        <item x="0"/>
        <item x="136"/>
        <item x="275"/>
        <item x="376"/>
        <item x="279"/>
        <item x="242"/>
        <item x="374"/>
        <item m="1" x="525"/>
        <item x="386"/>
        <item x="220"/>
        <item x="372"/>
        <item x="368"/>
        <item x="89"/>
        <item x="132"/>
        <item m="1" x="521"/>
        <item x="123"/>
        <item x="352"/>
        <item x="283"/>
        <item x="225"/>
        <item x="252"/>
        <item m="1" x="518"/>
        <item x="280"/>
        <item x="218"/>
        <item x="50"/>
        <item x="484"/>
        <item x="206"/>
        <item x="80"/>
        <item x="82"/>
        <item x="212"/>
        <item x="130"/>
        <item x="81"/>
        <item x="22"/>
        <item x="254"/>
        <item x="155"/>
        <item x="152"/>
        <item x="164"/>
        <item x="58"/>
        <item x="59"/>
        <item x="236"/>
        <item x="479"/>
        <item x="178"/>
        <item x="205"/>
        <item x="163"/>
        <item x="230"/>
        <item x="195"/>
        <item x="213"/>
        <item x="125"/>
        <item x="247"/>
        <item x="224"/>
        <item x="239"/>
        <item x="233"/>
        <item x="46"/>
        <item x="167"/>
        <item x="172"/>
        <item x="90"/>
        <item x="210"/>
        <item x="201"/>
        <item x="251"/>
        <item x="238"/>
        <item x="257"/>
        <item x="235"/>
        <item x="43"/>
        <item x="47"/>
        <item x="67"/>
        <item x="45"/>
        <item x="129"/>
        <item x="214"/>
        <item m="1" x="517"/>
        <item x="175"/>
        <item x="161"/>
        <item x="162"/>
        <item x="255"/>
        <item x="202"/>
        <item m="1" x="519"/>
        <item x="330"/>
        <item x="95"/>
        <item x="97"/>
        <item x="290"/>
        <item x="96"/>
        <item x="168"/>
        <item x="430"/>
        <item x="72"/>
        <item x="229"/>
        <item x="65"/>
        <item x="98"/>
        <item x="249"/>
        <item x="261"/>
        <item x="492"/>
        <item x="39"/>
        <item x="41"/>
        <item x="79"/>
        <item x="462"/>
        <item x="91"/>
        <item m="1" x="516"/>
        <item x="211"/>
        <item x="335"/>
        <item x="118"/>
        <item x="52"/>
        <item x="339"/>
        <item x="294"/>
        <item x="184"/>
        <item x="53"/>
        <item x="54"/>
        <item x="408"/>
        <item x="422"/>
        <item x="171"/>
        <item x="448"/>
        <item x="273"/>
        <item x="1"/>
        <item x="9"/>
        <item x="388"/>
        <item x="99"/>
        <item x="78"/>
        <item m="1" x="522"/>
        <item x="259"/>
        <item x="468"/>
        <item x="19"/>
        <item x="27"/>
        <item x="28"/>
        <item x="29"/>
        <item x="30"/>
        <item x="217"/>
        <item x="338"/>
        <item m="1" x="524"/>
        <item x="426"/>
        <item x="429"/>
        <item x="447"/>
        <item m="1" x="526"/>
        <item x="493"/>
        <item x="494"/>
        <item x="423"/>
        <item x="427"/>
        <item x="465"/>
        <item x="497"/>
        <item x="3"/>
        <item x="6"/>
        <item x="8"/>
        <item x="14"/>
        <item x="21"/>
        <item x="44"/>
        <item x="60"/>
        <item x="179"/>
        <item x="269"/>
        <item x="271"/>
        <item x="292"/>
        <item x="325"/>
        <item x="326"/>
        <item x="334"/>
        <item x="495"/>
        <item x="406"/>
        <item x="409"/>
        <item x="411"/>
        <item x="459"/>
        <item x="490"/>
        <item x="491"/>
        <item x="496"/>
        <item x="498"/>
        <item x="499"/>
        <item x="500"/>
        <item x="501"/>
        <item x="502"/>
        <item x="503"/>
        <item x="466"/>
        <item x="504"/>
        <item x="505"/>
        <item x="506"/>
        <item x="507"/>
        <item x="508"/>
        <item x="278"/>
        <item x="336"/>
        <item x="337"/>
        <item x="389"/>
        <item x="509"/>
        <item x="10"/>
        <item x="13"/>
        <item x="15"/>
        <item x="17"/>
        <item x="18"/>
        <item x="262"/>
        <item x="263"/>
        <item x="402"/>
        <item x="403"/>
        <item x="413"/>
        <item x="419"/>
        <item x="421"/>
        <item x="467"/>
        <item x="481"/>
        <item x="482"/>
        <item x="510"/>
        <item x="511"/>
        <item x="512"/>
        <item x="33"/>
        <item t="default"/>
      </items>
    </pivotField>
    <pivotField showAll="0"/>
    <pivotField axis="axisRow" showAll="0">
      <items count="4">
        <item x="1"/>
        <item x="0"/>
        <item x="2"/>
        <item t="default"/>
      </items>
    </pivotField>
    <pivotField showAll="0"/>
    <pivotField axis="axisRow" showAll="0">
      <items count="14">
        <item x="3"/>
        <item x="6"/>
        <item x="2"/>
        <item x="1"/>
        <item x="5"/>
        <item x="8"/>
        <item x="12"/>
        <item x="9"/>
        <item x="0"/>
        <item x="7"/>
        <item x="10"/>
        <item x="11"/>
        <item x="4"/>
        <item t="default"/>
      </items>
    </pivotField>
    <pivotField axis="axisRow" showAll="0">
      <items count="9">
        <item x="4"/>
        <item x="6"/>
        <item x="1"/>
        <item x="2"/>
        <item x="0"/>
        <item x="3"/>
        <item x="5"/>
        <item x="7"/>
        <item t="default"/>
      </items>
    </pivotField>
    <pivotField showAll="0"/>
    <pivotField dataField="1" showAll="0"/>
    <pivotField axis="axisPage" multipleItemSelectionAllowed="1" showAll="0">
      <items count="10">
        <item h="1" x="1"/>
        <item x="7"/>
        <item x="4"/>
        <item x="6"/>
        <item x="2"/>
        <item h="1" x="0"/>
        <item h="1" x="5"/>
        <item h="1" x="3"/>
        <item h="1" x="8"/>
        <item t="default"/>
      </items>
    </pivotField>
    <pivotField showAll="0">
      <items count="217">
        <item x="143"/>
        <item x="140"/>
        <item x="132"/>
        <item x="125"/>
        <item x="36"/>
        <item x="41"/>
        <item x="123"/>
        <item x="38"/>
        <item x="40"/>
        <item x="39"/>
        <item x="99"/>
        <item x="118"/>
        <item x="122"/>
        <item x="91"/>
        <item x="112"/>
        <item x="81"/>
        <item x="108"/>
        <item x="110"/>
        <item x="86"/>
        <item x="65"/>
        <item x="107"/>
        <item x="46"/>
        <item x="102"/>
        <item x="32"/>
        <item x="101"/>
        <item x="105"/>
        <item x="87"/>
        <item x="95"/>
        <item x="100"/>
        <item x="96"/>
        <item x="98"/>
        <item x="30"/>
        <item x="27"/>
        <item x="168"/>
        <item x="93"/>
        <item x="90"/>
        <item x="35"/>
        <item x="83"/>
        <item x="22"/>
        <item x="63"/>
        <item x="88"/>
        <item x="89"/>
        <item x="67"/>
        <item x="77"/>
        <item x="72"/>
        <item x="84"/>
        <item x="68"/>
        <item x="75"/>
        <item x="70"/>
        <item x="69"/>
        <item x="66"/>
        <item x="59"/>
        <item x="58"/>
        <item x="71"/>
        <item x="76"/>
        <item x="61"/>
        <item x="62"/>
        <item x="50"/>
        <item x="97"/>
        <item x="85"/>
        <item x="64"/>
        <item x="53"/>
        <item x="78"/>
        <item x="56"/>
        <item x="54"/>
        <item x="52"/>
        <item x="2"/>
        <item x="74"/>
        <item x="79"/>
        <item x="104"/>
        <item x="57"/>
        <item x="82"/>
        <item x="51"/>
        <item x="167"/>
        <item x="49"/>
        <item x="161"/>
        <item x="94"/>
        <item x="33"/>
        <item x="109"/>
        <item x="23"/>
        <item x="164"/>
        <item x="29"/>
        <item x="162"/>
        <item x="111"/>
        <item x="80"/>
        <item x="174"/>
        <item x="31"/>
        <item x="163"/>
        <item x="165"/>
        <item x="47"/>
        <item x="151"/>
        <item x="7"/>
        <item x="16"/>
        <item x="119"/>
        <item x="44"/>
        <item x="1"/>
        <item x="10"/>
        <item x="4"/>
        <item x="156"/>
        <item x="0"/>
        <item x="204"/>
        <item x="149"/>
        <item x="205"/>
        <item x="5"/>
        <item x="148"/>
        <item x="150"/>
        <item x="48"/>
        <item x="142"/>
        <item x="14"/>
        <item x="154"/>
        <item x="206"/>
        <item x="55"/>
        <item x="43"/>
        <item x="207"/>
        <item x="106"/>
        <item x="200"/>
        <item x="131"/>
        <item x="127"/>
        <item x="126"/>
        <item x="128"/>
        <item x="137"/>
        <item x="210"/>
        <item x="92"/>
        <item x="6"/>
        <item x="155"/>
        <item x="34"/>
        <item x="42"/>
        <item x="37"/>
        <item x="171"/>
        <item x="188"/>
        <item x="135"/>
        <item x="19"/>
        <item x="160"/>
        <item x="9"/>
        <item x="145"/>
        <item x="141"/>
        <item x="144"/>
        <item x="159"/>
        <item x="136"/>
        <item x="116"/>
        <item x="21"/>
        <item x="196"/>
        <item x="15"/>
        <item x="133"/>
        <item x="103"/>
        <item x="191"/>
        <item x="114"/>
        <item x="202"/>
        <item x="203"/>
        <item x="28"/>
        <item x="195"/>
        <item x="157"/>
        <item x="18"/>
        <item x="158"/>
        <item x="121"/>
        <item x="193"/>
        <item x="194"/>
        <item x="120"/>
        <item x="176"/>
        <item x="197"/>
        <item x="169"/>
        <item x="198"/>
        <item x="192"/>
        <item x="182"/>
        <item x="183"/>
        <item x="177"/>
        <item x="185"/>
        <item x="178"/>
        <item x="113"/>
        <item x="13"/>
        <item x="24"/>
        <item x="25"/>
        <item x="26"/>
        <item x="60"/>
        <item x="73"/>
        <item x="166"/>
        <item x="153"/>
        <item x="209"/>
        <item x="3"/>
        <item x="8"/>
        <item x="214"/>
        <item x="45"/>
        <item x="115"/>
        <item x="117"/>
        <item x="124"/>
        <item x="134"/>
        <item x="147"/>
        <item x="170"/>
        <item x="172"/>
        <item x="173"/>
        <item x="175"/>
        <item x="181"/>
        <item x="184"/>
        <item x="186"/>
        <item x="11"/>
        <item x="189"/>
        <item x="190"/>
        <item x="129"/>
        <item x="146"/>
        <item x="211"/>
        <item x="212"/>
        <item x="215"/>
        <item x="138"/>
        <item x="139"/>
        <item x="213"/>
        <item x="12"/>
        <item x="17"/>
        <item x="20"/>
        <item x="130"/>
        <item x="179"/>
        <item x="180"/>
        <item x="187"/>
        <item x="199"/>
        <item x="201"/>
        <item x="208"/>
        <item x="152"/>
        <item t="default"/>
      </items>
    </pivotField>
    <pivotField axis="axisPage" multipleItemSelectionAllowed="1" showAll="0">
      <items count="4">
        <item h="1" x="2"/>
        <item x="1"/>
        <item h="1" x="0"/>
        <item t="default"/>
      </items>
    </pivotField>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axis="axisCol" showAll="0" defaultSubtotal="0">
      <items count="7">
        <item x="0"/>
        <item x="1"/>
        <item x="2"/>
        <item x="3"/>
        <item x="4"/>
        <item x="5"/>
        <item x="6"/>
      </items>
    </pivotField>
  </pivotFields>
  <rowFields count="5">
    <field x="4"/>
    <field x="6"/>
    <field x="7"/>
    <field x="0"/>
    <field x="2"/>
  </rowFields>
  <rowItems count="44">
    <i>
      <x/>
    </i>
    <i r="1">
      <x v="7"/>
    </i>
    <i r="2">
      <x v="2"/>
    </i>
    <i r="3">
      <x v="221"/>
    </i>
    <i r="4">
      <x v="84"/>
    </i>
    <i r="2">
      <x v="4"/>
    </i>
    <i r="3">
      <x v="16"/>
    </i>
    <i r="4">
      <x v="316"/>
    </i>
    <i r="3">
      <x v="119"/>
    </i>
    <i r="4">
      <x v="286"/>
    </i>
    <i r="1">
      <x v="10"/>
    </i>
    <i r="2">
      <x v="4"/>
    </i>
    <i r="3">
      <x v="23"/>
    </i>
    <i r="4">
      <x v="258"/>
    </i>
    <i r="3">
      <x v="325"/>
    </i>
    <i r="4">
      <x v="440"/>
    </i>
    <i r="3">
      <x v="461"/>
    </i>
    <i r="4">
      <x v="258"/>
    </i>
    <i r="1">
      <x v="11"/>
    </i>
    <i r="2">
      <x v="2"/>
    </i>
    <i r="3">
      <x v="9"/>
    </i>
    <i r="4">
      <x v="34"/>
    </i>
    <i r="2">
      <x v="4"/>
    </i>
    <i r="3">
      <x v="67"/>
    </i>
    <i r="4">
      <x v="221"/>
    </i>
    <i r="3">
      <x v="199"/>
    </i>
    <i r="4">
      <x v="258"/>
    </i>
    <i r="2">
      <x v="6"/>
    </i>
    <i r="3">
      <x v="460"/>
    </i>
    <i r="4">
      <x v="258"/>
    </i>
    <i>
      <x v="1"/>
    </i>
    <i r="1">
      <x/>
    </i>
    <i r="2">
      <x v="2"/>
    </i>
    <i r="3">
      <x v="329"/>
    </i>
    <i r="4">
      <x v="528"/>
    </i>
    <i r="1">
      <x v="4"/>
    </i>
    <i r="2">
      <x v="4"/>
    </i>
    <i r="3">
      <x v="100"/>
    </i>
    <i r="4">
      <x v="4"/>
    </i>
    <i r="1">
      <x v="9"/>
    </i>
    <i r="2">
      <x v="2"/>
    </i>
    <i r="3">
      <x v="345"/>
    </i>
    <i r="4">
      <x v="228"/>
    </i>
    <i t="grand">
      <x/>
    </i>
  </rowItems>
  <colFields count="2">
    <field x="16"/>
    <field x="14"/>
  </colFields>
  <colItems count="5">
    <i>
      <x v="4"/>
      <x v="7"/>
    </i>
    <i r="1">
      <x v="8"/>
    </i>
    <i r="1">
      <x v="9"/>
    </i>
    <i r="1">
      <x v="10"/>
    </i>
    <i t="grand">
      <x/>
    </i>
  </colItems>
  <pageFields count="2">
    <pageField fld="12" hier="-1"/>
    <pageField fld="10" hier="-1"/>
  </pageFields>
  <dataFields count="1">
    <dataField name="Sum of Quotation" fld="9" baseField="4"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5BE1B-3A1C-4E08-8DA0-417032E5C96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I250" firstHeaderRow="1" firstDataRow="3" firstDataCol="1" rowPageCount="2" colPageCount="1"/>
  <pivotFields count="17">
    <pivotField axis="axisRow" showAll="0">
      <items count="466">
        <item x="329"/>
        <item x="184"/>
        <item x="52"/>
        <item x="295"/>
        <item x="129"/>
        <item x="201"/>
        <item x="36"/>
        <item x="111"/>
        <item x="307"/>
        <item x="342"/>
        <item x="136"/>
        <item x="233"/>
        <item x="306"/>
        <item m="1" x="453"/>
        <item x="145"/>
        <item x="25"/>
        <item x="186"/>
        <item x="154"/>
        <item x="80"/>
        <item x="253"/>
        <item x="202"/>
        <item x="64"/>
        <item x="62"/>
        <item x="407"/>
        <item x="291"/>
        <item x="42"/>
        <item x="211"/>
        <item x="362"/>
        <item m="1" x="446"/>
        <item x="166"/>
        <item x="215"/>
        <item x="66"/>
        <item x="345"/>
        <item x="234"/>
        <item x="173"/>
        <item x="37"/>
        <item x="164"/>
        <item x="352"/>
        <item x="98"/>
        <item x="230"/>
        <item x="378"/>
        <item x="94"/>
        <item x="93"/>
        <item x="75"/>
        <item x="91"/>
        <item x="95"/>
        <item x="33"/>
        <item x="116"/>
        <item x="278"/>
        <item x="274"/>
        <item x="96"/>
        <item x="114"/>
        <item x="86"/>
        <item x="284"/>
        <item x="89"/>
        <item x="92"/>
        <item x="371"/>
        <item x="315"/>
        <item x="110"/>
        <item x="267"/>
        <item x="175"/>
        <item m="1" x="462"/>
        <item x="322"/>
        <item x="314"/>
        <item m="1" x="464"/>
        <item x="346"/>
        <item x="360"/>
        <item x="196"/>
        <item x="40"/>
        <item x="147"/>
        <item x="45"/>
        <item x="252"/>
        <item x="68"/>
        <item x="179"/>
        <item x="151"/>
        <item x="124"/>
        <item x="3"/>
        <item x="149"/>
        <item x="121"/>
        <item x="122"/>
        <item x="126"/>
        <item x="297"/>
        <item x="132"/>
        <item x="176"/>
        <item x="210"/>
        <item x="177"/>
        <item x="101"/>
        <item x="305"/>
        <item x="304"/>
        <item x="292"/>
        <item x="123"/>
        <item x="356"/>
        <item x="73"/>
        <item m="1" x="455"/>
        <item x="195"/>
        <item x="76"/>
        <item x="192"/>
        <item x="367"/>
        <item x="190"/>
        <item x="167"/>
        <item x="317"/>
        <item x="152"/>
        <item x="200"/>
        <item x="320"/>
        <item x="381"/>
        <item x="130"/>
        <item x="102"/>
        <item x="26"/>
        <item x="172"/>
        <item x="373"/>
        <item x="372"/>
        <item x="81"/>
        <item x="403"/>
        <item x="125"/>
        <item x="29"/>
        <item x="128"/>
        <item x="83"/>
        <item x="223"/>
        <item x="181"/>
        <item x="208"/>
        <item x="162"/>
        <item x="358"/>
        <item x="365"/>
        <item x="293"/>
        <item x="256"/>
        <item x="46"/>
        <item x="144"/>
        <item x="161"/>
        <item x="55"/>
        <item x="157"/>
        <item x="197"/>
        <item x="228"/>
        <item x="131"/>
        <item x="133"/>
        <item x="160"/>
        <item x="249"/>
        <item x="279"/>
        <item x="169"/>
        <item x="341"/>
        <item x="443"/>
        <item x="143"/>
        <item x="387"/>
        <item x="34"/>
        <item x="199"/>
        <item m="1" x="454"/>
        <item x="23"/>
        <item x="396"/>
        <item x="51"/>
        <item x="107"/>
        <item x="8"/>
        <item x="135"/>
        <item x="158"/>
        <item x="146"/>
        <item x="298"/>
        <item x="219"/>
        <item x="348"/>
        <item x="299"/>
        <item x="344"/>
        <item x="1"/>
        <item x="67"/>
        <item x="159"/>
        <item x="88"/>
        <item x="353"/>
        <item x="262"/>
        <item x="54"/>
        <item x="393"/>
        <item x="265"/>
        <item x="105"/>
        <item x="90"/>
        <item x="312"/>
        <item x="191"/>
        <item x="109"/>
        <item x="112"/>
        <item x="203"/>
        <item x="288"/>
        <item x="287"/>
        <item x="281"/>
        <item x="276"/>
        <item x="328"/>
        <item x="103"/>
        <item x="382"/>
        <item x="141"/>
        <item x="316"/>
        <item x="248"/>
        <item x="282"/>
        <item x="283"/>
        <item x="231"/>
        <item x="100"/>
        <item x="310"/>
        <item x="189"/>
        <item x="106"/>
        <item x="61"/>
        <item x="280"/>
        <item x="32"/>
        <item x="218"/>
        <item x="272"/>
        <item x="271"/>
        <item x="273"/>
        <item x="286"/>
        <item x="229"/>
        <item x="71"/>
        <item x="319"/>
        <item x="268"/>
        <item x="277"/>
        <item x="232"/>
        <item x="50"/>
        <item x="349"/>
        <item x="212"/>
        <item x="22"/>
        <item x="174"/>
        <item m="1" x="461"/>
        <item x="70"/>
        <item x="104"/>
        <item x="78"/>
        <item x="87"/>
        <item x="99"/>
        <item x="77"/>
        <item x="170"/>
        <item x="85"/>
        <item x="226"/>
        <item x="187"/>
        <item x="205"/>
        <item x="270"/>
        <item x="269"/>
        <item x="239"/>
        <item x="60"/>
        <item x="375"/>
        <item x="441"/>
        <item x="137"/>
        <item x="108"/>
        <item x="65"/>
        <item x="390"/>
        <item x="263"/>
        <item x="266"/>
        <item x="163"/>
        <item m="1" x="448"/>
        <item x="188"/>
        <item x="289"/>
        <item x="227"/>
        <item x="139"/>
        <item x="246"/>
        <item x="79"/>
        <item x="97"/>
        <item x="261"/>
        <item x="241"/>
        <item x="138"/>
        <item x="313"/>
        <item x="383"/>
        <item x="213"/>
        <item x="82"/>
        <item x="285"/>
        <item x="363"/>
        <item x="264"/>
        <item x="361"/>
        <item x="6"/>
        <item x="326"/>
        <item m="1" x="463"/>
        <item x="142"/>
        <item x="31"/>
        <item x="325"/>
        <item x="391"/>
        <item x="330"/>
        <item x="331"/>
        <item x="332"/>
        <item x="235"/>
        <item x="258"/>
        <item x="250"/>
        <item x="321"/>
        <item x="35"/>
        <item x="339"/>
        <item x="389"/>
        <item x="335"/>
        <item x="384"/>
        <item x="336"/>
        <item x="9"/>
        <item x="385"/>
        <item x="275"/>
        <item x="118"/>
        <item x="302"/>
        <item x="245"/>
        <item x="244"/>
        <item x="327"/>
        <item x="333"/>
        <item x="357"/>
        <item x="337"/>
        <item x="11"/>
        <item x="243"/>
        <item x="53"/>
        <item x="115"/>
        <item x="198"/>
        <item x="21"/>
        <item x="259"/>
        <item x="242"/>
        <item x="324"/>
        <item x="260"/>
        <item x="2"/>
        <item x="20"/>
        <item x="117"/>
        <item x="247"/>
        <item m="1" x="458"/>
        <item x="63"/>
        <item x="380"/>
        <item x="374"/>
        <item x="386"/>
        <item m="1" x="449"/>
        <item x="150"/>
        <item x="0"/>
        <item x="442"/>
        <item x="236"/>
        <item x="183"/>
        <item x="376"/>
        <item m="1" x="445"/>
        <item x="44"/>
        <item x="57"/>
        <item x="56"/>
        <item m="1" x="447"/>
        <item x="204"/>
        <item x="301"/>
        <item x="366"/>
        <item x="225"/>
        <item x="113"/>
        <item x="220"/>
        <item x="58"/>
        <item x="257"/>
        <item x="379"/>
        <item x="222"/>
        <item x="194"/>
        <item x="134"/>
        <item x="182"/>
        <item x="185"/>
        <item x="180"/>
        <item x="84"/>
        <item x="370"/>
        <item x="221"/>
        <item x="377"/>
        <item x="347"/>
        <item x="30"/>
        <item x="364"/>
        <item x="350"/>
        <item x="74"/>
        <item x="59"/>
        <item x="156"/>
        <item x="217"/>
        <item x="165"/>
        <item x="120"/>
        <item x="38"/>
        <item x="303"/>
        <item x="39"/>
        <item x="15"/>
        <item x="392"/>
        <item x="41"/>
        <item x="47"/>
        <item x="48"/>
        <item x="359"/>
        <item x="388"/>
        <item m="1" x="459"/>
        <item x="354"/>
        <item x="28"/>
        <item x="43"/>
        <item x="444"/>
        <item x="119"/>
        <item x="355"/>
        <item x="394"/>
        <item x="216"/>
        <item x="171"/>
        <item x="69"/>
        <item x="193"/>
        <item x="18"/>
        <item x="155"/>
        <item x="178"/>
        <item x="127"/>
        <item x="296"/>
        <item m="1" x="457"/>
        <item x="294"/>
        <item x="153"/>
        <item x="209"/>
        <item x="395"/>
        <item x="17"/>
        <item x="5"/>
        <item x="24"/>
        <item x="72"/>
        <item x="168"/>
        <item m="1" x="456"/>
        <item x="338"/>
        <item x="399"/>
        <item m="1" x="460"/>
        <item x="323"/>
        <item x="368"/>
        <item x="404"/>
        <item x="405"/>
        <item x="408"/>
        <item x="414"/>
        <item x="415"/>
        <item x="416"/>
        <item x="4"/>
        <item x="10"/>
        <item x="19"/>
        <item x="49"/>
        <item x="140"/>
        <item x="148"/>
        <item x="206"/>
        <item x="207"/>
        <item x="224"/>
        <item x="237"/>
        <item x="238"/>
        <item x="240"/>
        <item x="251"/>
        <item x="401"/>
        <item x="402"/>
        <item x="334"/>
        <item x="340"/>
        <item x="351"/>
        <item x="397"/>
        <item x="398"/>
        <item x="400"/>
        <item x="409"/>
        <item x="410"/>
        <item x="411"/>
        <item x="412"/>
        <item x="413"/>
        <item x="417"/>
        <item x="418"/>
        <item m="1" x="450"/>
        <item m="1" x="451"/>
        <item x="419"/>
        <item x="420"/>
        <item x="421"/>
        <item x="422"/>
        <item x="423"/>
        <item x="424"/>
        <item x="369"/>
        <item x="425"/>
        <item x="426"/>
        <item x="427"/>
        <item x="428"/>
        <item x="429"/>
        <item x="430"/>
        <item x="431"/>
        <item m="1" x="452"/>
        <item x="432"/>
        <item x="433"/>
        <item x="434"/>
        <item x="437"/>
        <item x="438"/>
        <item x="439"/>
        <item x="214"/>
        <item x="254"/>
        <item x="255"/>
        <item x="290"/>
        <item x="308"/>
        <item x="435"/>
        <item x="7"/>
        <item x="12"/>
        <item x="13"/>
        <item x="14"/>
        <item x="16"/>
        <item x="300"/>
        <item x="309"/>
        <item x="311"/>
        <item x="318"/>
        <item x="343"/>
        <item x="406"/>
        <item x="436"/>
        <item x="440"/>
        <item x="27"/>
        <item t="default"/>
      </items>
    </pivotField>
    <pivotField showAll="0"/>
    <pivotField axis="axisRow" showAll="0">
      <items count="532">
        <item m="1" x="528"/>
        <item x="40"/>
        <item x="446"/>
        <item m="1" x="529"/>
        <item x="420"/>
        <item x="312"/>
        <item x="216"/>
        <item x="396"/>
        <item x="424"/>
        <item x="187"/>
        <item x="191"/>
        <item x="11"/>
        <item x="199"/>
        <item x="219"/>
        <item x="264"/>
        <item x="258"/>
        <item x="5"/>
        <item x="16"/>
        <item x="285"/>
        <item x="85"/>
        <item x="441"/>
        <item x="128"/>
        <item x="63"/>
        <item x="71"/>
        <item x="62"/>
        <item x="328"/>
        <item x="56"/>
        <item x="451"/>
        <item x="192"/>
        <item x="461"/>
        <item x="76"/>
        <item x="92"/>
        <item x="483"/>
        <item x="198"/>
        <item x="7"/>
        <item x="32"/>
        <item x="463"/>
        <item x="154"/>
        <item x="473"/>
        <item x="472"/>
        <item x="487"/>
        <item x="470"/>
        <item x="489"/>
        <item x="464"/>
        <item x="471"/>
        <item x="140"/>
        <item x="77"/>
        <item x="474"/>
        <item x="116"/>
        <item x="106"/>
        <item x="68"/>
        <item x="469"/>
        <item x="153"/>
        <item x="357"/>
        <item x="370"/>
        <item x="296"/>
        <item x="343"/>
        <item x="186"/>
        <item x="137"/>
        <item x="270"/>
        <item x="297"/>
        <item x="135"/>
        <item x="23"/>
        <item x="138"/>
        <item x="151"/>
        <item x="169"/>
        <item x="243"/>
        <item x="387"/>
        <item x="182"/>
        <item x="392"/>
        <item x="115"/>
        <item x="31"/>
        <item x="434"/>
        <item x="393"/>
        <item x="345"/>
        <item x="366"/>
        <item x="373"/>
        <item x="361"/>
        <item x="359"/>
        <item x="131"/>
        <item x="348"/>
        <item x="383"/>
        <item x="295"/>
        <item x="288"/>
        <item x="268"/>
        <item x="134"/>
        <item x="256"/>
        <item x="302"/>
        <item x="204"/>
        <item x="401"/>
        <item x="227"/>
        <item x="281"/>
        <item x="400"/>
        <item x="282"/>
        <item x="380"/>
        <item x="215"/>
        <item x="360"/>
        <item x="349"/>
        <item x="83"/>
        <item x="253"/>
        <item x="193"/>
        <item x="180"/>
        <item x="404"/>
        <item x="284"/>
        <item x="197"/>
        <item x="306"/>
        <item x="48"/>
        <item x="185"/>
        <item x="378"/>
        <item x="379"/>
        <item x="305"/>
        <item x="160"/>
        <item x="51"/>
        <item x="405"/>
        <item x="351"/>
        <item x="157"/>
        <item x="362"/>
        <item x="341"/>
        <item x="322"/>
        <item x="174"/>
        <item x="350"/>
        <item x="321"/>
        <item x="299"/>
        <item x="340"/>
        <item x="121"/>
        <item x="156"/>
        <item x="49"/>
        <item x="265"/>
        <item x="24"/>
        <item x="250"/>
        <item x="231"/>
        <item x="221"/>
        <item x="189"/>
        <item x="141"/>
        <item x="143"/>
        <item x="145"/>
        <item x="147"/>
        <item x="149"/>
        <item x="226"/>
        <item x="207"/>
        <item x="232"/>
        <item x="222"/>
        <item x="190"/>
        <item x="142"/>
        <item x="144"/>
        <item x="146"/>
        <item x="148"/>
        <item x="150"/>
        <item x="208"/>
        <item x="209"/>
        <item x="457"/>
        <item x="311"/>
        <item x="454"/>
        <item x="367"/>
        <item x="391"/>
        <item x="390"/>
        <item x="347"/>
        <item x="203"/>
        <item x="514"/>
        <item x="228"/>
        <item x="456"/>
        <item x="399"/>
        <item x="455"/>
        <item x="177"/>
        <item x="240"/>
        <item x="200"/>
        <item x="181"/>
        <item x="173"/>
        <item x="194"/>
        <item x="316"/>
        <item x="317"/>
        <item x="318"/>
        <item x="319"/>
        <item x="320"/>
        <item x="303"/>
        <item x="73"/>
        <item x="315"/>
        <item x="342"/>
        <item x="298"/>
        <item x="300"/>
        <item x="301"/>
        <item x="358"/>
        <item x="313"/>
        <item x="314"/>
        <item x="344"/>
        <item x="309"/>
        <item x="310"/>
        <item x="307"/>
        <item x="308"/>
        <item x="127"/>
        <item x="126"/>
        <item x="515"/>
        <item x="304"/>
        <item x="398"/>
        <item x="407"/>
        <item x="382"/>
        <item x="381"/>
        <item x="369"/>
        <item x="159"/>
        <item x="158"/>
        <item x="176"/>
        <item x="327"/>
        <item x="324"/>
        <item x="26"/>
        <item x="64"/>
        <item x="196"/>
        <item x="183"/>
        <item x="331"/>
        <item x="394"/>
        <item x="2"/>
        <item x="75"/>
        <item x="453"/>
        <item x="433"/>
        <item x="435"/>
        <item x="333"/>
        <item x="55"/>
        <item x="323"/>
        <item x="476"/>
        <item x="100"/>
        <item x="88"/>
        <item x="458"/>
        <item x="248"/>
        <item x="35"/>
        <item x="4"/>
        <item x="293"/>
        <item x="291"/>
        <item x="170"/>
        <item x="188"/>
        <item x="57"/>
        <item x="166"/>
        <item x="122"/>
        <item x="61"/>
        <item x="69"/>
        <item x="12"/>
        <item x="165"/>
        <item x="260"/>
        <item x="66"/>
        <item x="101"/>
        <item x="450"/>
        <item x="42"/>
        <item x="452"/>
        <item x="274"/>
        <item x="20"/>
        <item x="395"/>
        <item x="412"/>
        <item x="475"/>
        <item x="449"/>
        <item x="431"/>
        <item x="416"/>
        <item x="432"/>
        <item m="1" x="527"/>
        <item x="415"/>
        <item x="417"/>
        <item x="418"/>
        <item x="436"/>
        <item x="332"/>
        <item x="329"/>
        <item x="414"/>
        <item x="36"/>
        <item x="34"/>
        <item x="488"/>
        <item x="477"/>
        <item x="486"/>
        <item x="478"/>
        <item x="267"/>
        <item x="485"/>
        <item x="237"/>
        <item m="1" x="523"/>
        <item x="397"/>
        <item x="37"/>
        <item x="105"/>
        <item m="1" x="530"/>
        <item x="87"/>
        <item x="103"/>
        <item x="276"/>
        <item x="102"/>
        <item x="110"/>
        <item x="104"/>
        <item x="119"/>
        <item x="124"/>
        <item x="460"/>
        <item x="84"/>
        <item x="244"/>
        <item x="111"/>
        <item x="113"/>
        <item x="108"/>
        <item x="272"/>
        <item m="1" x="520"/>
        <item x="223"/>
        <item x="246"/>
        <item x="112"/>
        <item x="117"/>
        <item x="74"/>
        <item x="109"/>
        <item x="133"/>
        <item x="114"/>
        <item x="70"/>
        <item x="25"/>
        <item x="365"/>
        <item x="266"/>
        <item x="139"/>
        <item x="353"/>
        <item x="38"/>
        <item x="385"/>
        <item x="277"/>
        <item x="480"/>
        <item x="377"/>
        <item x="356"/>
        <item x="375"/>
        <item x="120"/>
        <item x="371"/>
        <item x="94"/>
        <item x="245"/>
        <item x="513"/>
        <item x="364"/>
        <item x="363"/>
        <item x="241"/>
        <item x="410"/>
        <item x="289"/>
        <item x="354"/>
        <item x="384"/>
        <item x="107"/>
        <item x="93"/>
        <item x="234"/>
        <item x="286"/>
        <item x="442"/>
        <item x="444"/>
        <item x="438"/>
        <item x="445"/>
        <item x="443"/>
        <item x="428"/>
        <item x="437"/>
        <item x="425"/>
        <item x="86"/>
        <item x="440"/>
        <item x="439"/>
        <item x="346"/>
        <item x="287"/>
        <item x="355"/>
        <item x="0"/>
        <item x="136"/>
        <item x="275"/>
        <item x="376"/>
        <item x="279"/>
        <item x="242"/>
        <item x="374"/>
        <item m="1" x="525"/>
        <item x="386"/>
        <item x="220"/>
        <item x="372"/>
        <item x="368"/>
        <item x="89"/>
        <item x="132"/>
        <item m="1" x="521"/>
        <item x="123"/>
        <item x="352"/>
        <item x="283"/>
        <item x="225"/>
        <item x="252"/>
        <item m="1" x="518"/>
        <item x="280"/>
        <item x="218"/>
        <item x="50"/>
        <item x="484"/>
        <item x="206"/>
        <item x="80"/>
        <item x="82"/>
        <item x="212"/>
        <item x="130"/>
        <item x="81"/>
        <item x="22"/>
        <item x="254"/>
        <item x="155"/>
        <item x="152"/>
        <item x="164"/>
        <item x="58"/>
        <item x="59"/>
        <item x="236"/>
        <item x="479"/>
        <item x="178"/>
        <item x="205"/>
        <item x="163"/>
        <item x="230"/>
        <item x="195"/>
        <item x="213"/>
        <item x="125"/>
        <item x="247"/>
        <item x="224"/>
        <item x="239"/>
        <item x="233"/>
        <item x="46"/>
        <item x="167"/>
        <item x="172"/>
        <item x="90"/>
        <item x="210"/>
        <item x="201"/>
        <item x="251"/>
        <item x="238"/>
        <item x="257"/>
        <item x="235"/>
        <item x="43"/>
        <item x="47"/>
        <item x="67"/>
        <item x="45"/>
        <item x="129"/>
        <item x="214"/>
        <item m="1" x="517"/>
        <item x="175"/>
        <item x="161"/>
        <item x="162"/>
        <item x="255"/>
        <item x="202"/>
        <item m="1" x="519"/>
        <item x="330"/>
        <item x="95"/>
        <item x="97"/>
        <item x="290"/>
        <item x="96"/>
        <item x="168"/>
        <item x="430"/>
        <item x="72"/>
        <item x="229"/>
        <item x="65"/>
        <item x="98"/>
        <item x="249"/>
        <item x="261"/>
        <item x="492"/>
        <item x="39"/>
        <item x="41"/>
        <item x="79"/>
        <item x="462"/>
        <item x="91"/>
        <item m="1" x="516"/>
        <item x="211"/>
        <item x="335"/>
        <item x="118"/>
        <item x="52"/>
        <item x="339"/>
        <item x="294"/>
        <item x="184"/>
        <item x="53"/>
        <item x="54"/>
        <item x="408"/>
        <item x="422"/>
        <item x="171"/>
        <item x="448"/>
        <item x="273"/>
        <item x="1"/>
        <item x="9"/>
        <item x="388"/>
        <item x="99"/>
        <item x="78"/>
        <item m="1" x="522"/>
        <item x="259"/>
        <item x="468"/>
        <item x="19"/>
        <item x="27"/>
        <item x="28"/>
        <item x="29"/>
        <item x="30"/>
        <item x="217"/>
        <item x="338"/>
        <item m="1" x="524"/>
        <item x="426"/>
        <item x="429"/>
        <item x="447"/>
        <item m="1" x="526"/>
        <item x="493"/>
        <item x="494"/>
        <item x="423"/>
        <item x="427"/>
        <item x="465"/>
        <item x="497"/>
        <item x="3"/>
        <item x="6"/>
        <item x="8"/>
        <item x="14"/>
        <item x="21"/>
        <item x="44"/>
        <item x="60"/>
        <item x="179"/>
        <item x="269"/>
        <item x="271"/>
        <item x="292"/>
        <item x="325"/>
        <item x="326"/>
        <item x="334"/>
        <item x="495"/>
        <item x="406"/>
        <item x="409"/>
        <item x="411"/>
        <item x="459"/>
        <item x="490"/>
        <item x="491"/>
        <item x="496"/>
        <item x="498"/>
        <item x="499"/>
        <item x="500"/>
        <item x="501"/>
        <item x="502"/>
        <item x="503"/>
        <item x="466"/>
        <item x="504"/>
        <item x="505"/>
        <item x="506"/>
        <item x="507"/>
        <item x="508"/>
        <item x="278"/>
        <item x="336"/>
        <item x="337"/>
        <item x="389"/>
        <item x="509"/>
        <item x="10"/>
        <item x="13"/>
        <item x="15"/>
        <item x="17"/>
        <item x="18"/>
        <item x="262"/>
        <item x="263"/>
        <item x="402"/>
        <item x="403"/>
        <item x="413"/>
        <item x="419"/>
        <item x="421"/>
        <item x="467"/>
        <item x="481"/>
        <item x="482"/>
        <item x="510"/>
        <item x="511"/>
        <item x="512"/>
        <item x="33"/>
        <item t="default"/>
      </items>
    </pivotField>
    <pivotField showAll="0"/>
    <pivotField axis="axisRow" showAll="0">
      <items count="4">
        <item x="1"/>
        <item x="0"/>
        <item sd="0" x="2"/>
        <item t="default"/>
      </items>
    </pivotField>
    <pivotField showAll="0"/>
    <pivotField axis="axisRow" showAll="0">
      <items count="14">
        <item x="3"/>
        <item x="6"/>
        <item x="2"/>
        <item x="1"/>
        <item x="5"/>
        <item x="8"/>
        <item h="1" x="12"/>
        <item x="9"/>
        <item h="1" x="0"/>
        <item x="7"/>
        <item x="10"/>
        <item x="11"/>
        <item h="1" x="4"/>
        <item t="default"/>
      </items>
    </pivotField>
    <pivotField axis="axisRow" showAll="0">
      <items count="9">
        <item x="4"/>
        <item x="6"/>
        <item x="1"/>
        <item x="2"/>
        <item x="0"/>
        <item x="3"/>
        <item x="5"/>
        <item x="7"/>
        <item t="default"/>
      </items>
    </pivotField>
    <pivotField showAll="0"/>
    <pivotField dataField="1" showAll="0"/>
    <pivotField axis="axisPage" multipleItemSelectionAllowed="1" showAll="0">
      <items count="10">
        <item h="1" x="1"/>
        <item x="7"/>
        <item x="4"/>
        <item x="6"/>
        <item x="2"/>
        <item h="1" x="0"/>
        <item h="1" x="5"/>
        <item h="1" x="3"/>
        <item h="1" x="8"/>
        <item t="default"/>
      </items>
    </pivotField>
    <pivotField showAll="0">
      <items count="217">
        <item x="143"/>
        <item x="140"/>
        <item x="132"/>
        <item x="125"/>
        <item x="36"/>
        <item x="41"/>
        <item x="123"/>
        <item x="38"/>
        <item x="40"/>
        <item x="39"/>
        <item x="99"/>
        <item x="118"/>
        <item x="122"/>
        <item x="91"/>
        <item x="112"/>
        <item x="81"/>
        <item x="108"/>
        <item x="110"/>
        <item x="86"/>
        <item x="65"/>
        <item x="107"/>
        <item x="46"/>
        <item x="102"/>
        <item x="32"/>
        <item x="101"/>
        <item x="105"/>
        <item x="87"/>
        <item x="95"/>
        <item x="100"/>
        <item x="96"/>
        <item x="98"/>
        <item x="30"/>
        <item x="27"/>
        <item x="168"/>
        <item x="93"/>
        <item x="90"/>
        <item x="35"/>
        <item x="83"/>
        <item x="22"/>
        <item x="63"/>
        <item x="88"/>
        <item x="89"/>
        <item x="67"/>
        <item x="77"/>
        <item x="72"/>
        <item x="84"/>
        <item x="68"/>
        <item x="75"/>
        <item x="70"/>
        <item x="69"/>
        <item x="66"/>
        <item x="59"/>
        <item x="58"/>
        <item x="71"/>
        <item x="76"/>
        <item x="61"/>
        <item x="62"/>
        <item x="50"/>
        <item x="97"/>
        <item x="85"/>
        <item x="64"/>
        <item x="53"/>
        <item x="78"/>
        <item x="56"/>
        <item x="54"/>
        <item x="52"/>
        <item x="2"/>
        <item x="74"/>
        <item x="79"/>
        <item x="104"/>
        <item x="57"/>
        <item x="82"/>
        <item x="51"/>
        <item x="167"/>
        <item x="49"/>
        <item x="161"/>
        <item x="94"/>
        <item x="33"/>
        <item x="109"/>
        <item x="23"/>
        <item x="164"/>
        <item x="29"/>
        <item x="162"/>
        <item x="111"/>
        <item x="80"/>
        <item x="174"/>
        <item x="31"/>
        <item x="163"/>
        <item x="165"/>
        <item x="47"/>
        <item x="151"/>
        <item x="7"/>
        <item x="16"/>
        <item x="119"/>
        <item x="44"/>
        <item x="1"/>
        <item x="10"/>
        <item x="4"/>
        <item x="156"/>
        <item x="0"/>
        <item x="204"/>
        <item x="149"/>
        <item x="205"/>
        <item x="5"/>
        <item x="148"/>
        <item x="150"/>
        <item x="48"/>
        <item x="142"/>
        <item x="14"/>
        <item x="154"/>
        <item x="206"/>
        <item x="55"/>
        <item x="43"/>
        <item x="207"/>
        <item x="106"/>
        <item x="200"/>
        <item x="131"/>
        <item x="127"/>
        <item x="126"/>
        <item x="128"/>
        <item x="137"/>
        <item x="210"/>
        <item x="92"/>
        <item x="6"/>
        <item x="155"/>
        <item x="34"/>
        <item x="42"/>
        <item x="37"/>
        <item x="171"/>
        <item x="188"/>
        <item x="135"/>
        <item x="19"/>
        <item x="160"/>
        <item x="9"/>
        <item x="145"/>
        <item x="141"/>
        <item x="144"/>
        <item x="159"/>
        <item x="136"/>
        <item x="116"/>
        <item x="21"/>
        <item x="196"/>
        <item x="15"/>
        <item x="133"/>
        <item x="103"/>
        <item x="191"/>
        <item x="114"/>
        <item x="202"/>
        <item x="203"/>
        <item x="28"/>
        <item x="195"/>
        <item x="157"/>
        <item x="18"/>
        <item x="158"/>
        <item x="121"/>
        <item x="193"/>
        <item x="194"/>
        <item x="120"/>
        <item x="176"/>
        <item x="197"/>
        <item x="169"/>
        <item x="198"/>
        <item x="192"/>
        <item x="182"/>
        <item x="183"/>
        <item x="177"/>
        <item x="185"/>
        <item x="178"/>
        <item x="113"/>
        <item x="13"/>
        <item x="24"/>
        <item x="25"/>
        <item x="26"/>
        <item x="60"/>
        <item x="73"/>
        <item x="166"/>
        <item x="153"/>
        <item x="209"/>
        <item x="3"/>
        <item x="8"/>
        <item x="214"/>
        <item x="45"/>
        <item x="115"/>
        <item x="117"/>
        <item x="124"/>
        <item x="134"/>
        <item x="147"/>
        <item x="170"/>
        <item x="172"/>
        <item x="173"/>
        <item x="175"/>
        <item x="181"/>
        <item x="184"/>
        <item x="186"/>
        <item x="11"/>
        <item x="189"/>
        <item x="190"/>
        <item x="129"/>
        <item x="146"/>
        <item x="211"/>
        <item x="212"/>
        <item x="215"/>
        <item x="138"/>
        <item x="139"/>
        <item x="213"/>
        <item x="12"/>
        <item x="17"/>
        <item x="20"/>
        <item x="130"/>
        <item x="179"/>
        <item x="180"/>
        <item x="187"/>
        <item x="199"/>
        <item x="201"/>
        <item x="208"/>
        <item x="152"/>
        <item t="default"/>
      </items>
    </pivotField>
    <pivotField axis="axisPage" multipleItemSelectionAllowed="1" showAll="0">
      <items count="4">
        <item x="2"/>
        <item h="1" x="1"/>
        <item x="0"/>
        <item t="default"/>
      </items>
    </pivotField>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0"/>
        <item x="1"/>
        <item x="2"/>
        <item x="3"/>
        <item x="4"/>
        <item x="5"/>
      </items>
    </pivotField>
    <pivotField axis="axisCol" showAll="0" defaultSubtotal="0">
      <items count="7">
        <item x="0"/>
        <item x="1"/>
        <item x="2"/>
        <item x="3"/>
        <item x="4"/>
        <item x="5"/>
        <item x="6"/>
      </items>
    </pivotField>
  </pivotFields>
  <rowFields count="5">
    <field x="4"/>
    <field x="6"/>
    <field x="7"/>
    <field x="0"/>
    <field x="2"/>
  </rowFields>
  <rowItems count="244">
    <i>
      <x/>
    </i>
    <i r="1">
      <x v="7"/>
    </i>
    <i r="2">
      <x v="4"/>
    </i>
    <i r="3">
      <x v="26"/>
    </i>
    <i r="4">
      <x v="341"/>
    </i>
    <i r="3">
      <x v="30"/>
    </i>
    <i r="4">
      <x v="343"/>
    </i>
    <i r="3">
      <x v="96"/>
    </i>
    <i r="4">
      <x v="289"/>
    </i>
    <i r="3">
      <x v="98"/>
    </i>
    <i r="4">
      <x v="312"/>
    </i>
    <i r="3">
      <x v="117"/>
    </i>
    <i r="4">
      <x v="324"/>
    </i>
    <i r="3">
      <x v="170"/>
    </i>
    <i r="4">
      <x v="348"/>
    </i>
    <i r="3">
      <x v="173"/>
    </i>
    <i r="4">
      <x v="299"/>
    </i>
    <i r="3">
      <x v="189"/>
    </i>
    <i r="4">
      <x v="282"/>
    </i>
    <i r="3">
      <x v="220"/>
    </i>
    <i r="4">
      <x v="344"/>
    </i>
    <i r="3">
      <x v="236"/>
    </i>
    <i r="4">
      <x v="66"/>
    </i>
    <i r="3">
      <x v="238"/>
    </i>
    <i r="4">
      <x v="318"/>
    </i>
    <i r="3">
      <x v="248"/>
    </i>
    <i r="4">
      <x v="304"/>
    </i>
    <i r="3">
      <x v="255"/>
    </i>
    <i r="4">
      <x v="249"/>
    </i>
    <i r="3">
      <x v="363"/>
    </i>
    <i r="4">
      <x v="343"/>
    </i>
    <i r="3">
      <x v="402"/>
    </i>
    <i r="4">
      <x v="343"/>
    </i>
    <i r="1">
      <x v="10"/>
    </i>
    <i r="2">
      <x v="1"/>
    </i>
    <i r="3">
      <x v="416"/>
    </i>
    <i r="4">
      <x v="494"/>
    </i>
    <i r="2">
      <x v="2"/>
    </i>
    <i r="3">
      <x v="3"/>
    </i>
    <i r="4">
      <x v="243"/>
    </i>
    <i r="3">
      <x v="89"/>
    </i>
    <i r="4">
      <x v="69"/>
    </i>
    <i r="3">
      <x v="99"/>
    </i>
    <i r="4">
      <x v="6"/>
    </i>
    <i r="3">
      <x v="123"/>
    </i>
    <i r="4">
      <x v="73"/>
    </i>
    <i r="3">
      <x v="156"/>
    </i>
    <i r="4">
      <x v="35"/>
    </i>
    <i r="3">
      <x v="357"/>
    </i>
    <i r="4">
      <x v="35"/>
    </i>
    <i r="3">
      <x v="373"/>
    </i>
    <i r="4">
      <x v="208"/>
    </i>
    <i r="3">
      <x v="390"/>
    </i>
    <i r="4">
      <x v="35"/>
    </i>
    <i r="2">
      <x v="3"/>
    </i>
    <i r="3">
      <x v="388"/>
    </i>
    <i r="4">
      <x v="222"/>
    </i>
    <i r="2">
      <x v="4"/>
    </i>
    <i r="3">
      <x v="84"/>
    </i>
    <i r="4">
      <x v="241"/>
    </i>
    <i r="3">
      <x v="153"/>
    </i>
    <i r="4">
      <x v="35"/>
    </i>
    <i r="3">
      <x v="309"/>
    </i>
    <i r="4">
      <x v="266"/>
    </i>
    <i r="3">
      <x v="319"/>
    </i>
    <i r="4">
      <x v="337"/>
    </i>
    <i r="3">
      <x v="371"/>
    </i>
    <i r="4">
      <x v="7"/>
    </i>
    <i r="3">
      <x v="375"/>
    </i>
    <i r="4">
      <x v="446"/>
    </i>
    <i r="3">
      <x v="381"/>
    </i>
    <i r="4">
      <x v="460"/>
    </i>
    <i r="3">
      <x v="415"/>
    </i>
    <i r="4">
      <x v="259"/>
    </i>
    <i r="3">
      <x v="417"/>
    </i>
    <i r="4">
      <x v="259"/>
    </i>
    <i r="3">
      <x v="418"/>
    </i>
    <i r="4">
      <x v="258"/>
    </i>
    <i r="1">
      <x v="11"/>
    </i>
    <i r="2">
      <x v="2"/>
    </i>
    <i r="3">
      <x v="316"/>
    </i>
    <i r="4">
      <x v="34"/>
    </i>
    <i r="2">
      <x v="4"/>
    </i>
    <i r="3">
      <x v="11"/>
    </i>
    <i r="4">
      <x v="216"/>
    </i>
    <i r="3">
      <x v="39"/>
    </i>
    <i r="4">
      <x v="5"/>
    </i>
    <i r="3">
      <x v="94"/>
    </i>
    <i r="4">
      <x v="258"/>
    </i>
    <i r="3">
      <x v="102"/>
    </i>
    <i r="4">
      <x v="258"/>
    </i>
    <i r="3">
      <x v="204"/>
    </i>
    <i r="4">
      <x v="258"/>
    </i>
    <i r="3">
      <x v="317"/>
    </i>
    <i r="4">
      <x v="34"/>
    </i>
    <i>
      <x v="1"/>
    </i>
    <i r="1">
      <x/>
    </i>
    <i r="2">
      <x v="1"/>
    </i>
    <i r="3">
      <x v="40"/>
    </i>
    <i r="4">
      <x v="38"/>
    </i>
    <i r="2">
      <x v="2"/>
    </i>
    <i r="3">
      <x v="310"/>
    </i>
    <i r="4">
      <x v="44"/>
    </i>
    <i r="3">
      <x v="393"/>
    </i>
    <i r="4">
      <x v="472"/>
    </i>
    <i r="3">
      <x v="440"/>
    </i>
    <i r="4">
      <x v="472"/>
    </i>
    <i r="2">
      <x v="4"/>
    </i>
    <i r="3">
      <x/>
    </i>
    <i r="4">
      <x v="331"/>
    </i>
    <i r="3">
      <x v="62"/>
    </i>
    <i r="4">
      <x v="464"/>
    </i>
    <i r="3">
      <x v="261"/>
    </i>
    <i r="4">
      <x v="327"/>
    </i>
    <i r="3">
      <x v="362"/>
    </i>
    <i r="4">
      <x v="262"/>
    </i>
    <i r="3">
      <x v="391"/>
    </i>
    <i r="4">
      <x v="262"/>
    </i>
    <i r="3">
      <x v="392"/>
    </i>
    <i r="4">
      <x v="262"/>
    </i>
    <i r="3">
      <x v="442"/>
    </i>
    <i r="4">
      <x v="262"/>
    </i>
    <i r="3">
      <x v="443"/>
    </i>
    <i r="4">
      <x v="496"/>
    </i>
    <i r="2">
      <x v="7"/>
    </i>
    <i r="3">
      <x v="441"/>
    </i>
    <i r="4">
      <x v="506"/>
    </i>
    <i r="1">
      <x v="1"/>
    </i>
    <i r="2">
      <x v="2"/>
    </i>
    <i r="3">
      <x v="463"/>
    </i>
    <i r="4">
      <x v="529"/>
    </i>
    <i r="1">
      <x v="2"/>
    </i>
    <i r="2">
      <x v="2"/>
    </i>
    <i r="3">
      <x v="78"/>
    </i>
    <i r="4">
      <x v="454"/>
    </i>
    <i r="3">
      <x v="178"/>
    </i>
    <i r="4">
      <x v="72"/>
    </i>
    <i r="3">
      <x v="332"/>
    </i>
    <i r="4">
      <x v="34"/>
    </i>
    <i r="3">
      <x v="386"/>
    </i>
    <i r="4">
      <x v="470"/>
    </i>
    <i r="4">
      <x v="524"/>
    </i>
    <i r="3">
      <x v="387"/>
    </i>
    <i r="4">
      <x v="471"/>
    </i>
    <i r="3">
      <x v="430"/>
    </i>
    <i r="4">
      <x v="501"/>
    </i>
    <i r="2">
      <x v="4"/>
    </i>
    <i r="3">
      <x v="231"/>
    </i>
    <i r="4">
      <x v="363"/>
    </i>
    <i r="3">
      <x v="247"/>
    </i>
    <i r="4">
      <x v="217"/>
    </i>
    <i r="3">
      <x v="270"/>
    </i>
    <i r="4">
      <x v="258"/>
    </i>
    <i r="3">
      <x v="281"/>
    </i>
    <i r="4">
      <x v="213"/>
    </i>
    <i r="1">
      <x v="3"/>
    </i>
    <i r="2">
      <x v="3"/>
    </i>
    <i r="3">
      <x v="149"/>
    </i>
    <i r="4">
      <x v="207"/>
    </i>
    <i r="3">
      <x v="158"/>
    </i>
    <i r="4">
      <x v="258"/>
    </i>
    <i r="2">
      <x v="4"/>
    </i>
    <i r="3">
      <x v="138"/>
    </i>
    <i r="4">
      <x v="238"/>
    </i>
    <i r="3">
      <x v="149"/>
    </i>
    <i r="4">
      <x v="11"/>
    </i>
    <i r="3">
      <x v="271"/>
    </i>
    <i r="4">
      <x v="326"/>
    </i>
    <i r="3">
      <x v="273"/>
    </i>
    <i r="4">
      <x v="328"/>
    </i>
    <i r="2">
      <x v="5"/>
    </i>
    <i r="3">
      <x v="444"/>
    </i>
    <i r="4">
      <x v="495"/>
    </i>
    <i r="1">
      <x v="4"/>
    </i>
    <i r="2">
      <x v="2"/>
    </i>
    <i r="3">
      <x v="71"/>
    </i>
    <i r="4">
      <x v="453"/>
    </i>
    <i r="3">
      <x v="124"/>
    </i>
    <i r="4">
      <x v="453"/>
    </i>
    <i r="3">
      <x v="127"/>
    </i>
    <i r="4">
      <x v="214"/>
    </i>
    <i r="3">
      <x v="403"/>
    </i>
    <i r="4">
      <x v="484"/>
    </i>
    <i r="3">
      <x v="429"/>
    </i>
    <i r="4">
      <x v="500"/>
    </i>
    <i r="2">
      <x v="3"/>
    </i>
    <i r="3">
      <x v="298"/>
    </i>
    <i r="4">
      <x v="209"/>
    </i>
    <i r="3">
      <x v="454"/>
    </i>
    <i r="4">
      <x v="515"/>
    </i>
    <i r="2">
      <x v="4"/>
    </i>
    <i r="3">
      <x v="19"/>
    </i>
    <i r="4">
      <x v="434"/>
    </i>
    <i r="3">
      <x v="127"/>
    </i>
    <i r="4">
      <x v="486"/>
    </i>
    <i r="3">
      <x v="135"/>
    </i>
    <i r="4">
      <x v="258"/>
    </i>
    <i r="3">
      <x v="255"/>
    </i>
    <i r="4">
      <x v="212"/>
    </i>
    <i r="3">
      <x v="263"/>
    </i>
    <i r="4">
      <x v="20"/>
    </i>
    <i r="3">
      <x v="267"/>
    </i>
    <i r="4">
      <x v="332"/>
    </i>
    <i r="3">
      <x v="323"/>
    </i>
    <i r="4">
      <x v="461"/>
    </i>
    <i r="3">
      <x v="404"/>
    </i>
    <i r="4">
      <x v="485"/>
    </i>
    <i r="3">
      <x v="406"/>
    </i>
    <i r="4">
      <x v="258"/>
    </i>
    <i r="3">
      <x v="412"/>
    </i>
    <i r="4">
      <x v="492"/>
    </i>
    <i r="3">
      <x v="428"/>
    </i>
    <i r="4">
      <x v="499"/>
    </i>
    <i r="3">
      <x v="446"/>
    </i>
    <i r="4">
      <x v="508"/>
    </i>
    <i r="3">
      <x v="447"/>
    </i>
    <i r="4">
      <x v="509"/>
    </i>
    <i r="1">
      <x v="5"/>
    </i>
    <i r="2">
      <x v="2"/>
    </i>
    <i r="3">
      <x v="290"/>
    </i>
    <i r="4">
      <x v="128"/>
    </i>
    <i r="4">
      <x v="370"/>
    </i>
    <i r="1">
      <x v="9"/>
    </i>
    <i r="2">
      <x v="2"/>
    </i>
    <i r="3">
      <x v="104"/>
    </i>
    <i r="4">
      <x v="47"/>
    </i>
    <i r="3">
      <x v="244"/>
    </i>
    <i r="4">
      <x v="25"/>
    </i>
    <i r="3">
      <x v="345"/>
    </i>
    <i r="4">
      <x v="26"/>
    </i>
    <i r="3">
      <x v="367"/>
    </i>
    <i r="4">
      <x v="242"/>
    </i>
    <i r="3">
      <x v="436"/>
    </i>
    <i r="4">
      <x v="504"/>
    </i>
    <i r="2">
      <x v="4"/>
    </i>
    <i r="3">
      <x v="262"/>
    </i>
    <i r="4">
      <x v="334"/>
    </i>
    <i r="3">
      <x v="433"/>
    </i>
    <i r="4">
      <x v="258"/>
    </i>
    <i r="3">
      <x v="434"/>
    </i>
    <i r="4">
      <x v="258"/>
    </i>
    <i r="3">
      <x v="435"/>
    </i>
    <i r="4">
      <x v="258"/>
    </i>
    <i t="grand">
      <x/>
    </i>
  </rowItems>
  <colFields count="2">
    <field x="16"/>
    <field x="14"/>
  </colFields>
  <colItems count="8">
    <i>
      <x v="4"/>
      <x v="7"/>
    </i>
    <i r="1">
      <x v="8"/>
    </i>
    <i r="1">
      <x v="9"/>
    </i>
    <i r="1">
      <x v="10"/>
    </i>
    <i r="1">
      <x v="11"/>
    </i>
    <i r="1">
      <x v="12"/>
    </i>
    <i>
      <x v="5"/>
      <x v="1"/>
    </i>
    <i t="grand">
      <x/>
    </i>
  </colItems>
  <pageFields count="2">
    <pageField fld="10" hier="-1"/>
    <pageField fld="12" hier="-1"/>
  </pageFields>
  <dataFields count="1">
    <dataField name="Sum of Quotation" fld="9" baseField="4"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40E8B1-B465-4902-A5C3-B0B59885B39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Q15" firstHeaderRow="1" firstDataRow="4" firstDataCol="1" rowPageCount="1" colPageCount="1"/>
  <pivotFields count="17">
    <pivotField showAll="0"/>
    <pivotField showAll="0"/>
    <pivotField showAll="0"/>
    <pivotField showAll="0"/>
    <pivotField showAll="0"/>
    <pivotField showAll="0"/>
    <pivotField showAll="0"/>
    <pivotField axis="axisRow" showAll="0">
      <items count="9">
        <item x="4"/>
        <item x="6"/>
        <item sd="0" x="1"/>
        <item sd="0" x="2"/>
        <item sd="0" x="0"/>
        <item x="3"/>
        <item x="5"/>
        <item x="7"/>
        <item t="default"/>
      </items>
    </pivotField>
    <pivotField axis="axisPage" multipleItemSelectionAllowed="1" showAll="0">
      <items count="7">
        <item h="1" x="2"/>
        <item x="4"/>
        <item h="1" x="0"/>
        <item x="3"/>
        <item h="1" x="1"/>
        <item h="1" x="5"/>
        <item t="default"/>
      </items>
    </pivotField>
    <pivotField dataField="1" showAll="0"/>
    <pivotField axis="axisRow" multipleItemSelectionAllowed="1" showAll="0">
      <items count="10">
        <item sd="0" x="1"/>
        <item sd="0" x="7"/>
        <item sd="0" x="4"/>
        <item sd="0" x="6"/>
        <item sd="0" x="2"/>
        <item h="1" x="0"/>
        <item h="1" x="5"/>
        <item h="1" x="3"/>
        <item h="1" x="8"/>
        <item t="default"/>
      </items>
    </pivotField>
    <pivotField axis="axisCol" showAll="0">
      <items count="217">
        <item x="143"/>
        <item x="140"/>
        <item x="132"/>
        <item x="125"/>
        <item x="36"/>
        <item x="41"/>
        <item x="123"/>
        <item x="38"/>
        <item x="40"/>
        <item x="39"/>
        <item x="99"/>
        <item x="118"/>
        <item x="122"/>
        <item x="91"/>
        <item x="112"/>
        <item x="81"/>
        <item x="108"/>
        <item x="110"/>
        <item x="86"/>
        <item x="65"/>
        <item x="107"/>
        <item x="46"/>
        <item x="102"/>
        <item x="32"/>
        <item x="101"/>
        <item x="105"/>
        <item x="87"/>
        <item x="95"/>
        <item x="100"/>
        <item x="96"/>
        <item x="98"/>
        <item x="30"/>
        <item x="27"/>
        <item x="168"/>
        <item x="93"/>
        <item x="90"/>
        <item x="35"/>
        <item x="83"/>
        <item x="22"/>
        <item x="63"/>
        <item x="88"/>
        <item x="89"/>
        <item x="67"/>
        <item x="77"/>
        <item x="72"/>
        <item x="84"/>
        <item x="68"/>
        <item x="75"/>
        <item x="70"/>
        <item x="69"/>
        <item x="66"/>
        <item x="59"/>
        <item x="58"/>
        <item x="71"/>
        <item x="76"/>
        <item x="61"/>
        <item x="62"/>
        <item x="50"/>
        <item x="97"/>
        <item x="85"/>
        <item x="64"/>
        <item x="53"/>
        <item x="78"/>
        <item x="56"/>
        <item x="54"/>
        <item x="52"/>
        <item x="2"/>
        <item x="74"/>
        <item x="79"/>
        <item x="104"/>
        <item x="57"/>
        <item x="82"/>
        <item x="51"/>
        <item x="167"/>
        <item x="49"/>
        <item x="161"/>
        <item x="94"/>
        <item x="33"/>
        <item x="109"/>
        <item x="23"/>
        <item x="164"/>
        <item x="29"/>
        <item x="162"/>
        <item x="111"/>
        <item x="80"/>
        <item x="174"/>
        <item x="31"/>
        <item x="163"/>
        <item x="165"/>
        <item x="47"/>
        <item x="151"/>
        <item x="7"/>
        <item x="16"/>
        <item x="119"/>
        <item x="44"/>
        <item x="1"/>
        <item x="10"/>
        <item x="4"/>
        <item x="156"/>
        <item x="0"/>
        <item x="204"/>
        <item x="149"/>
        <item x="205"/>
        <item x="5"/>
        <item x="148"/>
        <item x="150"/>
        <item x="48"/>
        <item x="142"/>
        <item x="14"/>
        <item x="154"/>
        <item x="206"/>
        <item x="55"/>
        <item x="43"/>
        <item x="207"/>
        <item x="106"/>
        <item x="200"/>
        <item x="131"/>
        <item x="127"/>
        <item x="126"/>
        <item x="128"/>
        <item x="137"/>
        <item x="210"/>
        <item x="92"/>
        <item x="6"/>
        <item x="155"/>
        <item x="34"/>
        <item x="42"/>
        <item x="37"/>
        <item x="171"/>
        <item x="188"/>
        <item x="135"/>
        <item x="19"/>
        <item x="160"/>
        <item x="9"/>
        <item x="145"/>
        <item x="141"/>
        <item x="144"/>
        <item x="159"/>
        <item x="136"/>
        <item x="116"/>
        <item x="21"/>
        <item x="196"/>
        <item x="15"/>
        <item x="133"/>
        <item x="103"/>
        <item x="191"/>
        <item x="114"/>
        <item x="202"/>
        <item x="203"/>
        <item x="28"/>
        <item x="195"/>
        <item x="157"/>
        <item x="18"/>
        <item x="158"/>
        <item x="121"/>
        <item x="193"/>
        <item x="194"/>
        <item x="120"/>
        <item x="176"/>
        <item x="197"/>
        <item x="169"/>
        <item x="198"/>
        <item x="192"/>
        <item x="182"/>
        <item x="183"/>
        <item x="177"/>
        <item x="185"/>
        <item x="178"/>
        <item x="113"/>
        <item x="13"/>
        <item x="24"/>
        <item x="25"/>
        <item x="26"/>
        <item x="60"/>
        <item x="73"/>
        <item x="166"/>
        <item x="153"/>
        <item x="209"/>
        <item x="3"/>
        <item x="8"/>
        <item x="214"/>
        <item x="45"/>
        <item x="115"/>
        <item x="117"/>
        <item x="124"/>
        <item x="134"/>
        <item x="147"/>
        <item x="170"/>
        <item x="172"/>
        <item x="173"/>
        <item x="175"/>
        <item x="181"/>
        <item x="184"/>
        <item x="186"/>
        <item x="11"/>
        <item x="189"/>
        <item x="190"/>
        <item x="129"/>
        <item x="146"/>
        <item x="211"/>
        <item x="212"/>
        <item x="215"/>
        <item x="138"/>
        <item x="139"/>
        <item x="213"/>
        <item x="12"/>
        <item x="17"/>
        <item x="20"/>
        <item x="130"/>
        <item x="179"/>
        <item x="180"/>
        <item x="187"/>
        <item x="199"/>
        <item x="201"/>
        <item x="208"/>
        <item x="152"/>
        <item t="default"/>
      </items>
    </pivotField>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0"/>
        <item x="1"/>
        <item x="2"/>
        <item x="3"/>
        <item x="4"/>
        <item x="5"/>
      </items>
    </pivotField>
    <pivotField axis="axisCol" showAll="0" defaultSubtotal="0">
      <items count="7">
        <item x="0"/>
        <item x="1"/>
        <item x="2"/>
        <item x="3"/>
        <item x="4"/>
        <item x="5"/>
        <item x="6"/>
      </items>
    </pivotField>
  </pivotFields>
  <rowFields count="2">
    <field x="7"/>
    <field x="10"/>
  </rowFields>
  <rowItems count="8">
    <i>
      <x v="2"/>
    </i>
    <i>
      <x v="3"/>
    </i>
    <i>
      <x v="4"/>
    </i>
    <i>
      <x v="6"/>
    </i>
    <i r="1">
      <x v="4"/>
    </i>
    <i>
      <x v="7"/>
    </i>
    <i r="1">
      <x/>
    </i>
    <i t="grand">
      <x/>
    </i>
  </rowItems>
  <colFields count="3">
    <field x="16"/>
    <field x="14"/>
    <field x="11"/>
  </colFields>
  <colItems count="16">
    <i>
      <x v="3"/>
      <x v="11"/>
    </i>
    <i r="1">
      <x v="12"/>
    </i>
    <i>
      <x v="4"/>
      <x v="1"/>
    </i>
    <i r="1">
      <x v="2"/>
    </i>
    <i r="1">
      <x v="3"/>
    </i>
    <i r="1">
      <x v="4"/>
    </i>
    <i r="1">
      <x v="5"/>
    </i>
    <i r="1">
      <x v="6"/>
    </i>
    <i r="1">
      <x v="7"/>
    </i>
    <i r="1">
      <x v="8"/>
    </i>
    <i r="1">
      <x v="9"/>
    </i>
    <i r="1">
      <x v="10"/>
    </i>
    <i r="1">
      <x v="11"/>
    </i>
    <i r="1">
      <x v="12"/>
    </i>
    <i>
      <x v="5"/>
      <x v="1"/>
    </i>
    <i t="grand">
      <x/>
    </i>
  </colItems>
  <pageFields count="1">
    <pageField fld="8" hier="-1"/>
  </pageFields>
  <dataFields count="1">
    <dataField name="Sum of Quotation" fld="9" baseField="10" baseItem="0" numFmtId="3"/>
  </dataFields>
  <chartFormats count="15">
    <chartFormat chart="2" format="85" series="1">
      <pivotArea type="data" outline="0" fieldPosition="0">
        <references count="3">
          <reference field="4294967294" count="1" selected="0">
            <x v="0"/>
          </reference>
          <reference field="14" count="1" selected="0">
            <x v="11"/>
          </reference>
          <reference field="16" count="1" selected="0">
            <x v="3"/>
          </reference>
        </references>
      </pivotArea>
    </chartFormat>
    <chartFormat chart="2" format="86" series="1">
      <pivotArea type="data" outline="0" fieldPosition="0">
        <references count="3">
          <reference field="4294967294" count="1" selected="0">
            <x v="0"/>
          </reference>
          <reference field="14" count="1" selected="0">
            <x v="12"/>
          </reference>
          <reference field="16" count="1" selected="0">
            <x v="3"/>
          </reference>
        </references>
      </pivotArea>
    </chartFormat>
    <chartFormat chart="2" format="87" series="1">
      <pivotArea type="data" outline="0" fieldPosition="0">
        <references count="3">
          <reference field="4294967294" count="1" selected="0">
            <x v="0"/>
          </reference>
          <reference field="14" count="1" selected="0">
            <x v="1"/>
          </reference>
          <reference field="16" count="1" selected="0">
            <x v="4"/>
          </reference>
        </references>
      </pivotArea>
    </chartFormat>
    <chartFormat chart="2" format="88" series="1">
      <pivotArea type="data" outline="0" fieldPosition="0">
        <references count="3">
          <reference field="4294967294" count="1" selected="0">
            <x v="0"/>
          </reference>
          <reference field="14" count="1" selected="0">
            <x v="2"/>
          </reference>
          <reference field="16" count="1" selected="0">
            <x v="4"/>
          </reference>
        </references>
      </pivotArea>
    </chartFormat>
    <chartFormat chart="2" format="89" series="1">
      <pivotArea type="data" outline="0" fieldPosition="0">
        <references count="3">
          <reference field="4294967294" count="1" selected="0">
            <x v="0"/>
          </reference>
          <reference field="14" count="1" selected="0">
            <x v="3"/>
          </reference>
          <reference field="16" count="1" selected="0">
            <x v="4"/>
          </reference>
        </references>
      </pivotArea>
    </chartFormat>
    <chartFormat chart="2" format="90" series="1">
      <pivotArea type="data" outline="0" fieldPosition="0">
        <references count="3">
          <reference field="4294967294" count="1" selected="0">
            <x v="0"/>
          </reference>
          <reference field="14" count="1" selected="0">
            <x v="4"/>
          </reference>
          <reference field="16" count="1" selected="0">
            <x v="4"/>
          </reference>
        </references>
      </pivotArea>
    </chartFormat>
    <chartFormat chart="2" format="91" series="1">
      <pivotArea type="data" outline="0" fieldPosition="0">
        <references count="3">
          <reference field="4294967294" count="1" selected="0">
            <x v="0"/>
          </reference>
          <reference field="14" count="1" selected="0">
            <x v="5"/>
          </reference>
          <reference field="16" count="1" selected="0">
            <x v="4"/>
          </reference>
        </references>
      </pivotArea>
    </chartFormat>
    <chartFormat chart="2" format="92" series="1">
      <pivotArea type="data" outline="0" fieldPosition="0">
        <references count="3">
          <reference field="4294967294" count="1" selected="0">
            <x v="0"/>
          </reference>
          <reference field="14" count="1" selected="0">
            <x v="6"/>
          </reference>
          <reference field="16" count="1" selected="0">
            <x v="4"/>
          </reference>
        </references>
      </pivotArea>
    </chartFormat>
    <chartFormat chart="2" format="93" series="1">
      <pivotArea type="data" outline="0" fieldPosition="0">
        <references count="3">
          <reference field="4294967294" count="1" selected="0">
            <x v="0"/>
          </reference>
          <reference field="14" count="1" selected="0">
            <x v="7"/>
          </reference>
          <reference field="16" count="1" selected="0">
            <x v="4"/>
          </reference>
        </references>
      </pivotArea>
    </chartFormat>
    <chartFormat chart="2" format="94" series="1">
      <pivotArea type="data" outline="0" fieldPosition="0">
        <references count="3">
          <reference field="4294967294" count="1" selected="0">
            <x v="0"/>
          </reference>
          <reference field="14" count="1" selected="0">
            <x v="8"/>
          </reference>
          <reference field="16" count="1" selected="0">
            <x v="4"/>
          </reference>
        </references>
      </pivotArea>
    </chartFormat>
    <chartFormat chart="2" format="95" series="1">
      <pivotArea type="data" outline="0" fieldPosition="0">
        <references count="3">
          <reference field="4294967294" count="1" selected="0">
            <x v="0"/>
          </reference>
          <reference field="14" count="1" selected="0">
            <x v="9"/>
          </reference>
          <reference field="16" count="1" selected="0">
            <x v="4"/>
          </reference>
        </references>
      </pivotArea>
    </chartFormat>
    <chartFormat chart="2" format="96" series="1">
      <pivotArea type="data" outline="0" fieldPosition="0">
        <references count="3">
          <reference field="4294967294" count="1" selected="0">
            <x v="0"/>
          </reference>
          <reference field="14" count="1" selected="0">
            <x v="10"/>
          </reference>
          <reference field="16" count="1" selected="0">
            <x v="4"/>
          </reference>
        </references>
      </pivotArea>
    </chartFormat>
    <chartFormat chart="2" format="97" series="1">
      <pivotArea type="data" outline="0" fieldPosition="0">
        <references count="3">
          <reference field="4294967294" count="1" selected="0">
            <x v="0"/>
          </reference>
          <reference field="14" count="1" selected="0">
            <x v="11"/>
          </reference>
          <reference field="16" count="1" selected="0">
            <x v="4"/>
          </reference>
        </references>
      </pivotArea>
    </chartFormat>
    <chartFormat chart="2" format="98" series="1">
      <pivotArea type="data" outline="0" fieldPosition="0">
        <references count="3">
          <reference field="4294967294" count="1" selected="0">
            <x v="0"/>
          </reference>
          <reference field="14" count="1" selected="0">
            <x v="12"/>
          </reference>
          <reference field="16" count="1" selected="0">
            <x v="4"/>
          </reference>
        </references>
      </pivotArea>
    </chartFormat>
    <chartFormat chart="2" format="99" series="1">
      <pivotArea type="data" outline="0" fieldPosition="0">
        <references count="3">
          <reference field="4294967294" count="1" selected="0">
            <x v="0"/>
          </reference>
          <reference field="14" count="1" selected="0">
            <x v="1"/>
          </reference>
          <reference field="16" count="1" selected="0">
            <x v="5"/>
          </reference>
        </references>
      </pivotArea>
    </chartFormat>
  </chartFormats>
  <pivotTableStyleInfo name="PivotStyleLight16" showRowHeaders="1" showColHeaders="1" showRowStripes="0" showColStripes="0" showLastColumn="1"/>
  <filters count="1">
    <filter fld="11" type="dateNewerThan" evalOrder="-1" id="2">
      <autoFilter ref="A1">
        <filterColumn colId="0">
          <customFilters>
            <customFilter operator="greaterThan" val="4596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DF9C9C-CB3B-45F9-AC5E-379BF6266E9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6" firstHeaderRow="1" firstDataRow="1" firstDataCol="1"/>
  <pivotFields count="5">
    <pivotField showAll="0"/>
    <pivotField showAll="0"/>
    <pivotField showAll="0"/>
    <pivotField dataField="1" showAll="0"/>
    <pivotField axis="axisRow" showAll="0">
      <items count="8">
        <item x="0"/>
        <item x="2"/>
        <item h="1" x="1"/>
        <item h="1" x="4"/>
        <item h="1" x="3"/>
        <item h="1" x="5"/>
        <item h="1" m="1" x="6"/>
        <item t="default"/>
      </items>
    </pivotField>
  </pivotFields>
  <rowFields count="1">
    <field x="4"/>
  </rowFields>
  <rowItems count="3">
    <i>
      <x/>
    </i>
    <i>
      <x v="1"/>
    </i>
    <i t="grand">
      <x/>
    </i>
  </rowItems>
  <colItems count="1">
    <i/>
  </colItems>
  <dataFields count="1">
    <dataField name="Sum of Quotation" fld="3" baseField="4"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1B6495-AAE2-442B-9899-CF8635F7CE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8" firstHeaderRow="1" firstDataRow="1" firstDataCol="1"/>
  <pivotFields count="5">
    <pivotField showAll="0"/>
    <pivotField showAll="0"/>
    <pivotField axis="axisRow" showAll="0">
      <items count="7">
        <item x="2"/>
        <item x="3"/>
        <item x="0"/>
        <item x="1"/>
        <item h="1" x="4"/>
        <item h="1" m="1" x="5"/>
        <item t="default"/>
      </items>
    </pivotField>
    <pivotField dataField="1" showAll="0"/>
    <pivotField showAll="0"/>
  </pivotFields>
  <rowFields count="1">
    <field x="2"/>
  </rowFields>
  <rowItems count="5">
    <i>
      <x/>
    </i>
    <i>
      <x v="1"/>
    </i>
    <i>
      <x v="2"/>
    </i>
    <i>
      <x v="3"/>
    </i>
    <i t="grand">
      <x/>
    </i>
  </rowItems>
  <colItems count="1">
    <i/>
  </colItems>
  <dataFields count="1">
    <dataField name="Sum of Quotation" fld="3" baseField="2"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1:N694" totalsRowCount="1" dataDxfId="44" totalsRowDxfId="43">
  <autoFilter ref="A1:N693" xr:uid="{00000000-000C-0000-FFFF-FFFF03000000}">
    <filterColumn colId="6">
      <filters>
        <filter val="Iik"/>
      </filters>
    </filterColumn>
  </autoFilter>
  <tableColumns count="14">
    <tableColumn id="2" xr3:uid="{00000000-0010-0000-0300-000002000000}" name="Klien Name" dataDxfId="42" totalsRowDxfId="41"/>
    <tableColumn id="12" xr3:uid="{18ADD159-7949-4D38-A738-20BF00A3F62C}" name="Area" dataDxfId="40" totalsRowDxfId="39" dataCellStyle="Normal 9"/>
    <tableColumn id="1" xr3:uid="{5AA21F2D-E3C7-41A0-ADA4-7F3B4EA12BC2}" name="Project &amp; Bill Material" dataDxfId="38" totalsRowDxfId="37"/>
    <tableColumn id="11" xr3:uid="{72DE45CF-E40B-4D53-B71B-4551D1301708}" name="Tipe" dataDxfId="36" totalsRowDxfId="35" dataCellStyle="Normal 4 2 2"/>
    <tableColumn id="3" xr3:uid="{00000000-0010-0000-0300-000003000000}" name="Area2" dataDxfId="34" totalsRowDxfId="33"/>
    <tableColumn id="14" xr3:uid="{838F224F-4A6A-4CA3-BCDD-DD0A07EF34D7}" name="Sales Planner" dataDxfId="32" totalsRowDxfId="31" dataCellStyle="Normal 4 2 2"/>
    <tableColumn id="4" xr3:uid="{00000000-0010-0000-0300-000004000000}" name="PIC" dataDxfId="30" totalsRowDxfId="29"/>
    <tableColumn id="5" xr3:uid="{00000000-0010-0000-0300-000005000000}" name="Category" dataDxfId="28" totalsRowDxfId="27"/>
    <tableColumn id="9" xr3:uid="{5589F2CB-F0B0-4966-8C1D-70CBF2041495}" name="Sector" dataDxfId="26" totalsRowDxfId="25" dataCellStyle="Normal 4 2 2"/>
    <tableColumn id="6" xr3:uid="{00000000-0010-0000-0300-000006000000}" name="Quotation" totalsRowFunction="sum" dataDxfId="24" totalsRowDxfId="23"/>
    <tableColumn id="7" xr3:uid="{00000000-0010-0000-0300-000007000000}" name="Status" dataDxfId="22" totalsRowDxfId="21"/>
    <tableColumn id="8" xr3:uid="{00000000-0010-0000-0300-000008000000}" name="Est Booking Month" dataDxfId="20" totalsRowDxfId="19"/>
    <tableColumn id="13" xr3:uid="{00000000-0010-0000-0300-00000D000000}" name="booking fc" dataDxfId="18" totalsRowDxfId="17"/>
    <tableColumn id="10" xr3:uid="{00000000-0010-0000-0300-00000A000000}" name="keterangan" dataDxfId="16" totalsRowDxfId="15"/>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8C63D9-05B8-445B-ABDF-181639096105}" name="Table2" displayName="Table2" ref="B2:G77" totalsRowCount="1" headerRowDxfId="14" dataDxfId="12" headerRowBorderDxfId="13" tableBorderDxfId="11" dataCellStyle="Normal 4 2 2">
  <autoFilter ref="B2:G76" xr:uid="{7185D5F4-CD38-4888-9431-FDBAA23794CD}">
    <filterColumn colId="4">
      <filters>
        <filter val="E"/>
      </filters>
    </filterColumn>
  </autoFilter>
  <tableColumns count="6">
    <tableColumn id="1" xr3:uid="{A3929714-3D1C-4213-B38B-A1794A1CC85D}" name="Klien Name" totalsRowDxfId="10" dataCellStyle="Normal 4 2 2"/>
    <tableColumn id="2" xr3:uid="{024D90BA-968E-40B5-85CC-EB8C91B23D76}" name="Project" dataDxfId="9" totalsRowDxfId="8" dataCellStyle="Normal 4 2 2"/>
    <tableColumn id="3" xr3:uid="{C79A3A37-20FE-441B-AA8B-23072C2C8CF2}" name="Sector" dataDxfId="7" totalsRowDxfId="6" dataCellStyle="Normal 4 2 2"/>
    <tableColumn id="4" xr3:uid="{4F8549C2-0A87-4160-BDBC-7960AA689CCA}" name="Quotation" totalsRowFunction="sum" dataDxfId="5" totalsRowDxfId="4" dataCellStyle="Normal 4 2 2"/>
    <tableColumn id="5" xr3:uid="{8A9426EF-C64A-4D61-8F67-38180C1DD036}" name="Status" dataDxfId="3" totalsRowDxfId="2" dataCellStyle="Normal 4 2 2"/>
    <tableColumn id="6" xr3:uid="{F4A60447-C580-460E-BB6E-31041A4ADBFD}" name="Column1" dataDxfId="1" totalsRowDxfId="0" dataCellStyle="Normal 4 2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90" dT="2024-09-24T08:10:56.53" personId="{C266160B-42B2-4AF8-85CE-B83D99307D67}" id="{8FC04DA3-E2C7-422F-8850-2E1954AACE6D}">
    <text>submit quotation 9 sept'24</text>
  </threadedComment>
  <threadedComment ref="N364" dT="2024-09-24T06:36:24.93" personId="{C266160B-42B2-4AF8-85CE-B83D99307D67}" id="{3EC96804-6CE8-4FFD-9A23-A7CE3696E8A2}">
    <text>Quotation submit 3 Apr'24</text>
  </threadedComment>
  <threadedComment ref="N366" dT="2024-09-24T06:41:37.48" personId="{C266160B-42B2-4AF8-85CE-B83D99307D67}" id="{B9F57680-BC40-4AB0-8037-0B96B625E0B6}">
    <text>Quotation submit 4 Apr'24</text>
  </threadedComment>
  <threadedComment ref="N367" dT="2024-09-24T06:51:56.31" personId="{C266160B-42B2-4AF8-85CE-B83D99307D67}" id="{6840F5D2-3FF0-4E8E-BC27-59777140E993}">
    <text>Quotation submit 8 Apr'24</text>
  </threadedComment>
  <threadedComment ref="N368" dT="2024-09-24T06:55:31.74" personId="{C266160B-42B2-4AF8-85CE-B83D99307D67}" id="{A195BC2C-48C7-45FE-A1FB-C49DA56F2A95}">
    <text>Submit Quotation 8 Apr'24</text>
  </threadedComment>
  <threadedComment ref="N369" dT="2024-09-24T06:57:33.11" personId="{C266160B-42B2-4AF8-85CE-B83D99307D67}" id="{E8835498-D52C-47C8-B0DC-82B7F8083706}">
    <text>submit quotation 23 Apr'24</text>
  </threadedComment>
  <threadedComment ref="N370" dT="2024-09-24T07:11:15.68" personId="{C266160B-42B2-4AF8-85CE-B83D99307D67}" id="{F333D61A-65BB-47DF-9843-644FEF415FBD}">
    <text>sent quotation to pak afandy 3 Jul'24</text>
  </threadedComment>
  <threadedComment ref="N371" dT="2024-09-24T07:11:15.68" personId="{C266160B-42B2-4AF8-85CE-B83D99307D67}" id="{86A5470F-B0E4-441B-808A-5BFAAF704669}">
    <text>sent quotation to pak afandy 3 Jul'24</text>
  </threadedComment>
  <threadedComment ref="N372" dT="2024-09-24T07:14:17.06" personId="{C266160B-42B2-4AF8-85CE-B83D99307D67}" id="{1C9EEEC8-012C-4FD8-B03C-5FF55C98F351}">
    <text>submit quotation 18 Jun'24</text>
  </threadedComment>
  <threadedComment ref="N373" dT="2024-09-24T07:16:34.27" personId="{C266160B-42B2-4AF8-85CE-B83D99307D67}" id="{2E8E087A-27EA-4CB1-8E09-180C025D0F31}">
    <text>submit quotation 12 Jun'24</text>
  </threadedComment>
  <threadedComment ref="N374" dT="2024-09-24T07:27:48.43" personId="{C266160B-42B2-4AF8-85CE-B83D99307D67}" id="{BAAF6959-55B7-44D9-AB71-CD35B1A6433A}">
    <text>submit quotation 28 May'24</text>
  </threadedComment>
  <threadedComment ref="N375" dT="2024-09-24T07:41:33.44" personId="{C266160B-42B2-4AF8-85CE-B83D99307D67}" id="{930E665C-B1A4-494B-9E68-9EEC812C6826}">
    <text>submit quotation 18 Jun'24</text>
  </threadedComment>
  <threadedComment ref="N376" dT="2024-09-24T07:43:08.05" personId="{C266160B-42B2-4AF8-85CE-B83D99307D67}" id="{6EC85262-27C0-4759-B727-505A5A1FCF3A}">
    <text>submit quotation 29 Jul'24</text>
  </threadedComment>
  <threadedComment ref="N377" dT="2024-09-24T07:48:47.14" personId="{C266160B-42B2-4AF8-85CE-B83D99307D67}" id="{2C37CE92-4208-4A22-B11E-751937762F2F}">
    <text>submit quotation 11 Jul'24</text>
  </threadedComment>
  <threadedComment ref="N378" dT="2024-09-24T07:48:47.14" personId="{C266160B-42B2-4AF8-85CE-B83D99307D67}" id="{7BE7AF61-7D03-4355-AE6F-838068D2A92B}">
    <text>submit quotation 11 Jul'24</text>
  </threadedComment>
  <threadedComment ref="N379" dT="2024-09-24T07:48:47.14" personId="{C266160B-42B2-4AF8-85CE-B83D99307D67}" id="{D0EDB556-D48A-4BFB-B293-E0C4327BB05E}">
    <text>submit quotation 11 Jul'24</text>
  </threadedComment>
  <threadedComment ref="N380" dT="2024-09-24T07:48:47.14" personId="{C266160B-42B2-4AF8-85CE-B83D99307D67}" id="{1B41AD38-6424-433D-A406-3C44E22FC1F2}">
    <text>submit quotation 11 Jul'24</text>
  </threadedComment>
  <threadedComment ref="N381" dT="2024-09-24T07:52:06.58" personId="{C266160B-42B2-4AF8-85CE-B83D99307D67}" id="{65986036-C1CC-47A0-8DE4-A26B804C4050}">
    <text>submit quotation 3 Jul'24</text>
  </threadedComment>
  <threadedComment ref="N383" dT="2024-09-24T07:53:37.01" personId="{C266160B-42B2-4AF8-85CE-B83D99307D67}" id="{4D73465C-81A5-4D00-88BC-FBADF9EE16F3}">
    <text>submit quotation 12 Ags'24</text>
  </threadedComment>
  <threadedComment ref="N384" dT="2024-09-24T08:02:16.64" personId="{C266160B-42B2-4AF8-85CE-B83D99307D67}" id="{B55B352E-3226-4234-8FEC-1478FE494CC6}">
    <text>submit quotation 16 Ags'24</text>
  </threadedComment>
  <threadedComment ref="N384" dT="2024-09-27T08:38:42.51" personId="{C266160B-42B2-4AF8-85CE-B83D99307D67}" id="{129A6DBF-A8B2-4074-98BD-13913D12BA59}" parentId="{B55B352E-3226-4234-8FEC-1478FE494CC6}">
    <text>amount  2,836,200,000
ada revisi spec, sehingga revisi costing. amount penawaran 4,715,922,000
27 Sept 24</text>
  </threadedComment>
  <threadedComment ref="N385" dT="2024-09-24T08:03:59.65" personId="{C266160B-42B2-4AF8-85CE-B83D99307D67}" id="{F08E4DAD-92C0-42A2-9894-7FA7B42CBA05}">
    <text>submit quotation 26 Ags'24</text>
  </threadedComment>
  <threadedComment ref="N386" dT="2024-09-25T01:49:22.55" personId="{C266160B-42B2-4AF8-85CE-B83D99307D67}" id="{68C5C7D4-8B3B-4C04-807C-E5ABB3E510D1}">
    <text>sent quotation to pak afandy 3 Jul 24</text>
  </threadedComment>
  <threadedComment ref="N388" dT="2024-09-25T01:38:58.87" personId="{C266160B-42B2-4AF8-85CE-B83D99307D67}" id="{B1FC9CC1-D161-40DD-B06A-777FDCE605E0}">
    <text>sent quotation to pak afandy 10 sep 24</text>
  </threadedComment>
  <threadedComment ref="N389" dT="2024-09-25T01:38:58.87" personId="{C266160B-42B2-4AF8-85CE-B83D99307D67}" id="{B5ACAB2F-7AE8-4E48-9AB0-8C2B81D0296C}">
    <text>sent quotation to pak afandy 10 sep 24</text>
  </threadedComment>
  <threadedComment ref="N390" dT="2024-09-25T01:38:58.87" personId="{C266160B-42B2-4AF8-85CE-B83D99307D67}" id="{ADE62DA2-AE1C-47F0-AFEA-C2E60177A018}">
    <text>sent quotation to pak afandy 10 sep 24</text>
  </threadedComment>
  <threadedComment ref="N391" dT="2024-09-25T01:38:58.87" personId="{C266160B-42B2-4AF8-85CE-B83D99307D67}" id="{7F7183AE-5BF7-4243-8282-74E0B8ABC705}">
    <text>sent quotation to pak afandy 10 sep 24</text>
  </threadedComment>
  <threadedComment ref="N392" dT="2024-09-24T08:06:01.47" personId="{C266160B-42B2-4AF8-85CE-B83D99307D67}" id="{A9920482-321B-41C8-A889-49FB23FC9907}">
    <text>submit quotation 19 Sep'24</text>
  </threadedComment>
  <threadedComment ref="N441" dT="2024-09-24T08:10:23.93" personId="{C266160B-42B2-4AF8-85CE-B83D99307D67}" id="{36E5C828-8F42-4240-937B-EF6DF0E73A8A}">
    <text>submit quotation 6 sep'24</text>
  </threadedComment>
  <threadedComment ref="N442" dT="2024-10-07T02:43:23.27" personId="{C266160B-42B2-4AF8-85CE-B83D99307D67}" id="{C35D4AC7-AF31-453D-A98F-A49B5981851F}">
    <text>submit quotation 7 Oct-24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8"/>
  <sheetViews>
    <sheetView workbookViewId="0">
      <pane xSplit="8" ySplit="2" topLeftCell="I48" activePane="bottomRight" state="frozen"/>
      <selection pane="topRight"/>
      <selection pane="bottomLeft"/>
      <selection pane="bottomRight"/>
    </sheetView>
  </sheetViews>
  <sheetFormatPr defaultColWidth="9" defaultRowHeight="14.4"/>
  <cols>
    <col min="1" max="1" width="9" style="348"/>
    <col min="2" max="2" width="9.33203125" style="349" customWidth="1"/>
    <col min="3" max="3" width="25.33203125" style="349" customWidth="1"/>
    <col min="4" max="4" width="10.33203125" style="349" customWidth="1"/>
    <col min="5" max="6" width="9" style="349" customWidth="1"/>
    <col min="7" max="7" width="20.33203125" style="349" customWidth="1"/>
    <col min="8" max="8" width="10.88671875" style="349" customWidth="1"/>
    <col min="9" max="9" width="19" style="350" customWidth="1"/>
    <col min="10" max="10" width="14.88671875" style="349" customWidth="1"/>
    <col min="11" max="21" width="14.33203125" style="349" customWidth="1"/>
    <col min="22" max="22" width="74.109375" style="349" customWidth="1"/>
    <col min="23" max="16384" width="9" style="349"/>
  </cols>
  <sheetData>
    <row r="1" spans="1:22">
      <c r="F1" s="351" t="s">
        <v>0</v>
      </c>
      <c r="G1" s="352">
        <f>SUM(J1:U1)</f>
        <v>63137356260</v>
      </c>
      <c r="J1" s="384">
        <f t="shared" ref="J1:U1" si="0">SUBTOTAL(9,J3:J67)</f>
        <v>10028000000</v>
      </c>
      <c r="K1" s="384">
        <f t="shared" si="0"/>
        <v>247247000</v>
      </c>
      <c r="L1" s="384">
        <f t="shared" si="0"/>
        <v>9106269240</v>
      </c>
      <c r="M1" s="384">
        <f t="shared" si="0"/>
        <v>3590840020</v>
      </c>
      <c r="N1" s="384">
        <f t="shared" si="0"/>
        <v>12391500000</v>
      </c>
      <c r="O1" s="384">
        <f t="shared" si="0"/>
        <v>10917500000</v>
      </c>
      <c r="P1" s="384">
        <f t="shared" si="0"/>
        <v>2561000000</v>
      </c>
      <c r="Q1" s="384">
        <f t="shared" si="0"/>
        <v>3600000000</v>
      </c>
      <c r="R1" s="384">
        <f t="shared" si="0"/>
        <v>7195000000</v>
      </c>
      <c r="S1" s="384">
        <f t="shared" si="0"/>
        <v>0</v>
      </c>
      <c r="T1" s="384">
        <f t="shared" si="0"/>
        <v>0</v>
      </c>
      <c r="U1" s="384">
        <f t="shared" si="0"/>
        <v>3500000000</v>
      </c>
    </row>
    <row r="2" spans="1:22">
      <c r="B2" s="381" t="s">
        <v>1</v>
      </c>
      <c r="C2" s="353" t="s">
        <v>2</v>
      </c>
      <c r="D2" s="353" t="s">
        <v>3</v>
      </c>
      <c r="E2" s="353" t="s">
        <v>4</v>
      </c>
      <c r="F2" s="353" t="s">
        <v>5</v>
      </c>
      <c r="G2" s="354" t="s">
        <v>6</v>
      </c>
      <c r="H2" s="353" t="s">
        <v>7</v>
      </c>
      <c r="I2" s="355" t="s">
        <v>8</v>
      </c>
      <c r="J2" s="385" t="s">
        <v>9</v>
      </c>
      <c r="K2" s="385" t="s">
        <v>10</v>
      </c>
      <c r="L2" s="385" t="s">
        <v>11</v>
      </c>
      <c r="M2" s="385" t="s">
        <v>12</v>
      </c>
      <c r="N2" s="385" t="s">
        <v>13</v>
      </c>
      <c r="O2" s="385" t="s">
        <v>14</v>
      </c>
      <c r="P2" s="385" t="s">
        <v>15</v>
      </c>
      <c r="Q2" s="385" t="s">
        <v>16</v>
      </c>
      <c r="R2" s="385" t="s">
        <v>17</v>
      </c>
      <c r="S2" s="385" t="s">
        <v>18</v>
      </c>
      <c r="T2" s="385" t="s">
        <v>19</v>
      </c>
      <c r="U2" s="385" t="s">
        <v>20</v>
      </c>
      <c r="V2" s="379" t="s">
        <v>21</v>
      </c>
    </row>
    <row r="3" spans="1:22" s="347" customFormat="1" ht="12">
      <c r="A3" s="356" t="s">
        <v>22</v>
      </c>
      <c r="B3" s="382">
        <v>1</v>
      </c>
      <c r="C3" s="357" t="s">
        <v>23</v>
      </c>
      <c r="D3" s="357" t="s">
        <v>24</v>
      </c>
      <c r="E3" s="357" t="s">
        <v>25</v>
      </c>
      <c r="F3" s="357" t="s">
        <v>26</v>
      </c>
      <c r="G3" s="358">
        <v>1200000000</v>
      </c>
      <c r="H3" s="359" t="s">
        <v>27</v>
      </c>
      <c r="I3" s="371" t="s">
        <v>13</v>
      </c>
      <c r="J3" s="386">
        <f>IF($I3="April",$G3,0)</f>
        <v>0</v>
      </c>
      <c r="K3" s="386">
        <f>IF($I3="May",$G3,0)</f>
        <v>0</v>
      </c>
      <c r="L3" s="386">
        <f>IF($I3="June",$G3,0)</f>
        <v>0</v>
      </c>
      <c r="M3" s="386">
        <f>IF($I3="July",$G3,0)</f>
        <v>0</v>
      </c>
      <c r="N3" s="386">
        <f>IF($I3="August",$G3,0)</f>
        <v>1200000000</v>
      </c>
      <c r="O3" s="386">
        <f>IF($I3="September",$G3,0)</f>
        <v>0</v>
      </c>
      <c r="P3" s="386">
        <f>IF($I3="October",$G3,0)</f>
        <v>0</v>
      </c>
      <c r="Q3" s="386">
        <f>IF($I3="November",$G3,0)</f>
        <v>0</v>
      </c>
      <c r="R3" s="386">
        <f>IF($I3="December",$G3,0)</f>
        <v>0</v>
      </c>
      <c r="S3" s="386">
        <f>IF($I3="January",$G3,0)</f>
        <v>0</v>
      </c>
      <c r="T3" s="386">
        <f>IF($I3="February",$G3,0)</f>
        <v>0</v>
      </c>
      <c r="U3" s="386">
        <f>IF($I3="March",$G3,0)</f>
        <v>0</v>
      </c>
      <c r="V3" s="357" t="s">
        <v>28</v>
      </c>
    </row>
    <row r="4" spans="1:22" s="347" customFormat="1" ht="12">
      <c r="A4" s="356" t="s">
        <v>22</v>
      </c>
      <c r="B4" s="382">
        <v>2</v>
      </c>
      <c r="C4" s="357" t="s">
        <v>29</v>
      </c>
      <c r="D4" s="357" t="s">
        <v>24</v>
      </c>
      <c r="E4" s="357" t="s">
        <v>25</v>
      </c>
      <c r="F4" s="357" t="s">
        <v>26</v>
      </c>
      <c r="G4" s="358">
        <v>3000000000</v>
      </c>
      <c r="H4" s="359" t="s">
        <v>30</v>
      </c>
      <c r="I4" s="371" t="s">
        <v>13</v>
      </c>
      <c r="J4" s="386">
        <f t="shared" ref="J4:J10" si="1">IF($I4="April",$G4,0)</f>
        <v>0</v>
      </c>
      <c r="K4" s="386">
        <f t="shared" ref="K4:K10" si="2">IF($I4="May",$G4,0)</f>
        <v>0</v>
      </c>
      <c r="L4" s="386">
        <f t="shared" ref="L4:L10" si="3">IF($I4="June",$G4,0)</f>
        <v>0</v>
      </c>
      <c r="M4" s="386">
        <f t="shared" ref="M4:M12" si="4">IF($I4="July",$G4,0)</f>
        <v>0</v>
      </c>
      <c r="N4" s="386">
        <f t="shared" ref="N4:N10" si="5">IF($I4="August",$G4,0)</f>
        <v>3000000000</v>
      </c>
      <c r="O4" s="386">
        <f t="shared" ref="O4:O12" si="6">IF($I4="September",$G4,0)</f>
        <v>0</v>
      </c>
      <c r="P4" s="386">
        <f t="shared" ref="P4:P10" si="7">IF($I4="October",$G4,0)</f>
        <v>0</v>
      </c>
      <c r="Q4" s="386">
        <f t="shared" ref="Q4:Q10" si="8">IF($I4="November",$G4,0)</f>
        <v>0</v>
      </c>
      <c r="R4" s="386">
        <f t="shared" ref="R4:R10" si="9">IF($I4="December",$G4,0)</f>
        <v>0</v>
      </c>
      <c r="S4" s="386">
        <f t="shared" ref="S4:S10" si="10">IF($I4="January",$G4,0)</f>
        <v>0</v>
      </c>
      <c r="T4" s="386">
        <f t="shared" ref="T4:T10" si="11">IF($I4="February",$G4,0)</f>
        <v>0</v>
      </c>
      <c r="U4" s="386">
        <f t="shared" ref="U4:U10" si="12">IF($I4="March",$G4,0)</f>
        <v>0</v>
      </c>
      <c r="V4" s="357" t="s">
        <v>31</v>
      </c>
    </row>
    <row r="5" spans="1:22" s="347" customFormat="1" ht="12">
      <c r="A5" s="356"/>
      <c r="B5" s="382">
        <v>3</v>
      </c>
      <c r="C5" s="357" t="s">
        <v>32</v>
      </c>
      <c r="D5" s="357" t="s">
        <v>24</v>
      </c>
      <c r="E5" s="357" t="s">
        <v>25</v>
      </c>
      <c r="F5" s="357" t="s">
        <v>33</v>
      </c>
      <c r="G5" s="358">
        <v>300000000</v>
      </c>
      <c r="H5" s="359" t="s">
        <v>30</v>
      </c>
      <c r="I5" s="371" t="s">
        <v>14</v>
      </c>
      <c r="J5" s="386">
        <f t="shared" si="1"/>
        <v>0</v>
      </c>
      <c r="K5" s="386">
        <f t="shared" si="2"/>
        <v>0</v>
      </c>
      <c r="L5" s="386">
        <f t="shared" si="3"/>
        <v>0</v>
      </c>
      <c r="M5" s="386">
        <f t="shared" si="4"/>
        <v>0</v>
      </c>
      <c r="N5" s="386">
        <f t="shared" si="5"/>
        <v>0</v>
      </c>
      <c r="O5" s="386">
        <f t="shared" si="6"/>
        <v>300000000</v>
      </c>
      <c r="P5" s="386">
        <f t="shared" si="7"/>
        <v>0</v>
      </c>
      <c r="Q5" s="386">
        <f t="shared" si="8"/>
        <v>0</v>
      </c>
      <c r="R5" s="386">
        <f t="shared" si="9"/>
        <v>0</v>
      </c>
      <c r="S5" s="386">
        <f t="shared" si="10"/>
        <v>0</v>
      </c>
      <c r="T5" s="386">
        <f t="shared" si="11"/>
        <v>0</v>
      </c>
      <c r="U5" s="386">
        <f t="shared" si="12"/>
        <v>0</v>
      </c>
      <c r="V5" s="357" t="s">
        <v>34</v>
      </c>
    </row>
    <row r="6" spans="1:22" s="347" customFormat="1" ht="12">
      <c r="A6" s="356"/>
      <c r="B6" s="382">
        <v>4</v>
      </c>
      <c r="C6" s="357" t="s">
        <v>35</v>
      </c>
      <c r="D6" s="357" t="s">
        <v>24</v>
      </c>
      <c r="E6" s="357" t="s">
        <v>25</v>
      </c>
      <c r="F6" s="357" t="s">
        <v>26</v>
      </c>
      <c r="G6" s="358">
        <v>1800000000</v>
      </c>
      <c r="H6" s="359" t="s">
        <v>27</v>
      </c>
      <c r="I6" s="371" t="s">
        <v>17</v>
      </c>
      <c r="J6" s="386">
        <f t="shared" si="1"/>
        <v>0</v>
      </c>
      <c r="K6" s="386">
        <f t="shared" si="2"/>
        <v>0</v>
      </c>
      <c r="L6" s="386">
        <f t="shared" si="3"/>
        <v>0</v>
      </c>
      <c r="M6" s="386">
        <f t="shared" si="4"/>
        <v>0</v>
      </c>
      <c r="N6" s="386">
        <f t="shared" si="5"/>
        <v>0</v>
      </c>
      <c r="O6" s="386">
        <f t="shared" si="6"/>
        <v>0</v>
      </c>
      <c r="P6" s="386">
        <f t="shared" si="7"/>
        <v>0</v>
      </c>
      <c r="Q6" s="386">
        <f t="shared" si="8"/>
        <v>0</v>
      </c>
      <c r="R6" s="386">
        <f t="shared" si="9"/>
        <v>1800000000</v>
      </c>
      <c r="S6" s="386">
        <f t="shared" si="10"/>
        <v>0</v>
      </c>
      <c r="T6" s="386">
        <f t="shared" si="11"/>
        <v>0</v>
      </c>
      <c r="U6" s="386">
        <f t="shared" si="12"/>
        <v>0</v>
      </c>
      <c r="V6" s="357" t="s">
        <v>36</v>
      </c>
    </row>
    <row r="7" spans="1:22" s="347" customFormat="1" ht="12">
      <c r="A7" s="356" t="s">
        <v>22</v>
      </c>
      <c r="B7" s="382">
        <v>5</v>
      </c>
      <c r="C7" s="357" t="s">
        <v>37</v>
      </c>
      <c r="D7" s="357" t="s">
        <v>24</v>
      </c>
      <c r="E7" s="357" t="s">
        <v>25</v>
      </c>
      <c r="F7" s="357" t="s">
        <v>26</v>
      </c>
      <c r="G7" s="358">
        <v>895000000</v>
      </c>
      <c r="H7" s="359" t="s">
        <v>27</v>
      </c>
      <c r="I7" s="371" t="s">
        <v>17</v>
      </c>
      <c r="J7" s="386">
        <f t="shared" si="1"/>
        <v>0</v>
      </c>
      <c r="K7" s="386">
        <f t="shared" si="2"/>
        <v>0</v>
      </c>
      <c r="L7" s="386">
        <f t="shared" si="3"/>
        <v>0</v>
      </c>
      <c r="M7" s="386">
        <f t="shared" si="4"/>
        <v>0</v>
      </c>
      <c r="N7" s="386">
        <f t="shared" si="5"/>
        <v>0</v>
      </c>
      <c r="O7" s="386">
        <f t="shared" si="6"/>
        <v>0</v>
      </c>
      <c r="P7" s="386">
        <f t="shared" si="7"/>
        <v>0</v>
      </c>
      <c r="Q7" s="386">
        <f t="shared" si="8"/>
        <v>0</v>
      </c>
      <c r="R7" s="386">
        <f t="shared" si="9"/>
        <v>895000000</v>
      </c>
      <c r="S7" s="386">
        <f t="shared" si="10"/>
        <v>0</v>
      </c>
      <c r="T7" s="386">
        <f t="shared" si="11"/>
        <v>0</v>
      </c>
      <c r="U7" s="386">
        <f t="shared" si="12"/>
        <v>0</v>
      </c>
      <c r="V7" s="357" t="s">
        <v>36</v>
      </c>
    </row>
    <row r="8" spans="1:22" s="347" customFormat="1" ht="12">
      <c r="A8" s="356"/>
      <c r="B8" s="382">
        <v>6</v>
      </c>
      <c r="C8" s="357" t="s">
        <v>38</v>
      </c>
      <c r="D8" s="357" t="s">
        <v>24</v>
      </c>
      <c r="E8" s="357" t="s">
        <v>25</v>
      </c>
      <c r="F8" s="357" t="s">
        <v>26</v>
      </c>
      <c r="G8" s="358">
        <v>1100000000</v>
      </c>
      <c r="H8" s="359" t="s">
        <v>30</v>
      </c>
      <c r="I8" s="371" t="s">
        <v>14</v>
      </c>
      <c r="J8" s="386">
        <f t="shared" si="1"/>
        <v>0</v>
      </c>
      <c r="K8" s="386">
        <f t="shared" si="2"/>
        <v>0</v>
      </c>
      <c r="L8" s="386">
        <f t="shared" si="3"/>
        <v>0</v>
      </c>
      <c r="M8" s="386">
        <f t="shared" si="4"/>
        <v>0</v>
      </c>
      <c r="N8" s="386">
        <f t="shared" si="5"/>
        <v>0</v>
      </c>
      <c r="O8" s="386">
        <f t="shared" si="6"/>
        <v>1100000000</v>
      </c>
      <c r="P8" s="386">
        <f t="shared" si="7"/>
        <v>0</v>
      </c>
      <c r="Q8" s="386">
        <f t="shared" si="8"/>
        <v>0</v>
      </c>
      <c r="R8" s="386">
        <f t="shared" si="9"/>
        <v>0</v>
      </c>
      <c r="S8" s="386">
        <f t="shared" si="10"/>
        <v>0</v>
      </c>
      <c r="T8" s="386">
        <f t="shared" si="11"/>
        <v>0</v>
      </c>
      <c r="U8" s="386">
        <f t="shared" si="12"/>
        <v>0</v>
      </c>
      <c r="V8" s="357" t="s">
        <v>31</v>
      </c>
    </row>
    <row r="9" spans="1:22" s="347" customFormat="1" ht="12">
      <c r="A9" s="356"/>
      <c r="B9" s="382">
        <v>7</v>
      </c>
      <c r="C9" s="360" t="s">
        <v>39</v>
      </c>
      <c r="D9" s="357" t="s">
        <v>24</v>
      </c>
      <c r="E9" s="357" t="s">
        <v>25</v>
      </c>
      <c r="F9" s="357" t="s">
        <v>26</v>
      </c>
      <c r="G9" s="358">
        <v>5900000000</v>
      </c>
      <c r="H9" s="359" t="s">
        <v>40</v>
      </c>
      <c r="I9" s="371" t="s">
        <v>9</v>
      </c>
      <c r="J9" s="386">
        <f t="shared" si="1"/>
        <v>5900000000</v>
      </c>
      <c r="K9" s="386">
        <f t="shared" si="2"/>
        <v>0</v>
      </c>
      <c r="L9" s="386">
        <f t="shared" si="3"/>
        <v>0</v>
      </c>
      <c r="M9" s="386">
        <f t="shared" si="4"/>
        <v>0</v>
      </c>
      <c r="N9" s="386">
        <f t="shared" si="5"/>
        <v>0</v>
      </c>
      <c r="O9" s="386">
        <f t="shared" si="6"/>
        <v>0</v>
      </c>
      <c r="P9" s="386">
        <f t="shared" si="7"/>
        <v>0</v>
      </c>
      <c r="Q9" s="386">
        <f t="shared" si="8"/>
        <v>0</v>
      </c>
      <c r="R9" s="386">
        <f t="shared" si="9"/>
        <v>0</v>
      </c>
      <c r="S9" s="386">
        <f t="shared" si="10"/>
        <v>0</v>
      </c>
      <c r="T9" s="386">
        <f t="shared" si="11"/>
        <v>0</v>
      </c>
      <c r="U9" s="386">
        <f t="shared" si="12"/>
        <v>0</v>
      </c>
      <c r="V9" s="357"/>
    </row>
    <row r="10" spans="1:22" s="347" customFormat="1" ht="12">
      <c r="A10" s="356" t="s">
        <v>22</v>
      </c>
      <c r="B10" s="382">
        <v>8</v>
      </c>
      <c r="C10" s="360" t="s">
        <v>41</v>
      </c>
      <c r="D10" s="357" t="s">
        <v>24</v>
      </c>
      <c r="E10" s="357" t="s">
        <v>25</v>
      </c>
      <c r="F10" s="357" t="s">
        <v>26</v>
      </c>
      <c r="G10" s="358">
        <v>265000000</v>
      </c>
      <c r="H10" s="359" t="s">
        <v>27</v>
      </c>
      <c r="I10" s="371" t="s">
        <v>13</v>
      </c>
      <c r="J10" s="386">
        <f t="shared" si="1"/>
        <v>0</v>
      </c>
      <c r="K10" s="386">
        <f t="shared" si="2"/>
        <v>0</v>
      </c>
      <c r="L10" s="386">
        <f t="shared" si="3"/>
        <v>0</v>
      </c>
      <c r="M10" s="386">
        <f t="shared" si="4"/>
        <v>0</v>
      </c>
      <c r="N10" s="386">
        <f t="shared" si="5"/>
        <v>265000000</v>
      </c>
      <c r="O10" s="386">
        <f t="shared" si="6"/>
        <v>0</v>
      </c>
      <c r="P10" s="386">
        <f t="shared" si="7"/>
        <v>0</v>
      </c>
      <c r="Q10" s="386">
        <f t="shared" si="8"/>
        <v>0</v>
      </c>
      <c r="R10" s="386">
        <f t="shared" si="9"/>
        <v>0</v>
      </c>
      <c r="S10" s="386">
        <f t="shared" si="10"/>
        <v>0</v>
      </c>
      <c r="T10" s="386">
        <f t="shared" si="11"/>
        <v>0</v>
      </c>
      <c r="U10" s="386">
        <f t="shared" si="12"/>
        <v>0</v>
      </c>
      <c r="V10" s="357" t="s">
        <v>34</v>
      </c>
    </row>
    <row r="11" spans="1:22" s="347" customFormat="1" ht="12">
      <c r="A11" s="356"/>
      <c r="B11" s="382">
        <v>9</v>
      </c>
      <c r="C11" s="360" t="s">
        <v>42</v>
      </c>
      <c r="D11" s="357" t="s">
        <v>24</v>
      </c>
      <c r="E11" s="357" t="s">
        <v>43</v>
      </c>
      <c r="F11" s="357" t="s">
        <v>26</v>
      </c>
      <c r="G11" s="358">
        <v>2000000000</v>
      </c>
      <c r="H11" s="359" t="s">
        <v>44</v>
      </c>
      <c r="I11" s="371" t="s">
        <v>14</v>
      </c>
      <c r="J11" s="386">
        <f t="shared" ref="J11:J17" si="13">IF($I11="April",$G11,0)</f>
        <v>0</v>
      </c>
      <c r="K11" s="386">
        <f t="shared" ref="K11:K17" si="14">IF($I11="May",$G11,0)</f>
        <v>0</v>
      </c>
      <c r="L11" s="386">
        <f t="shared" ref="L11:L31" si="15">IF($I11="June",$G11,0)</f>
        <v>0</v>
      </c>
      <c r="M11" s="386">
        <f t="shared" si="4"/>
        <v>0</v>
      </c>
      <c r="N11" s="386">
        <f t="shared" ref="N11:N31" si="16">IF($I11="August",$G11,0)</f>
        <v>0</v>
      </c>
      <c r="O11" s="386">
        <f t="shared" si="6"/>
        <v>2000000000</v>
      </c>
      <c r="P11" s="386">
        <f t="shared" ref="P11:P31" si="17">IF($I11="October",$G11,0)</f>
        <v>0</v>
      </c>
      <c r="Q11" s="386">
        <f t="shared" ref="Q11:Q31" si="18">IF($I11="November",$G11,0)</f>
        <v>0</v>
      </c>
      <c r="R11" s="386">
        <f t="shared" ref="R11:R31" si="19">IF($I11="December",$G11,0)</f>
        <v>0</v>
      </c>
      <c r="S11" s="386">
        <f t="shared" ref="S11:S31" si="20">IF($I11="January",$G11,0)</f>
        <v>0</v>
      </c>
      <c r="T11" s="386">
        <f t="shared" ref="T11:T31" si="21">IF($I11="February",$G11,0)</f>
        <v>0</v>
      </c>
      <c r="U11" s="386">
        <f t="shared" ref="U11:U31" si="22">IF($I11="March",$G11,0)</f>
        <v>0</v>
      </c>
      <c r="V11" s="357" t="s">
        <v>45</v>
      </c>
    </row>
    <row r="12" spans="1:22" s="347" customFormat="1" ht="12">
      <c r="A12" s="356"/>
      <c r="B12" s="382">
        <v>10</v>
      </c>
      <c r="C12" s="360" t="s">
        <v>42</v>
      </c>
      <c r="D12" s="357" t="s">
        <v>24</v>
      </c>
      <c r="E12" s="357" t="s">
        <v>43</v>
      </c>
      <c r="F12" s="357" t="s">
        <v>33</v>
      </c>
      <c r="G12" s="358">
        <v>2000000000</v>
      </c>
      <c r="H12" s="359" t="s">
        <v>44</v>
      </c>
      <c r="I12" s="371" t="s">
        <v>14</v>
      </c>
      <c r="J12" s="386">
        <f t="shared" si="13"/>
        <v>0</v>
      </c>
      <c r="K12" s="386">
        <f t="shared" si="14"/>
        <v>0</v>
      </c>
      <c r="L12" s="386">
        <f t="shared" si="15"/>
        <v>0</v>
      </c>
      <c r="M12" s="386">
        <f t="shared" si="4"/>
        <v>0</v>
      </c>
      <c r="N12" s="386">
        <f t="shared" si="16"/>
        <v>0</v>
      </c>
      <c r="O12" s="386">
        <f t="shared" si="6"/>
        <v>2000000000</v>
      </c>
      <c r="P12" s="386">
        <f t="shared" si="17"/>
        <v>0</v>
      </c>
      <c r="Q12" s="386">
        <f t="shared" si="18"/>
        <v>0</v>
      </c>
      <c r="R12" s="386">
        <f t="shared" si="19"/>
        <v>0</v>
      </c>
      <c r="S12" s="386">
        <f t="shared" si="20"/>
        <v>0</v>
      </c>
      <c r="T12" s="386">
        <f t="shared" si="21"/>
        <v>0</v>
      </c>
      <c r="U12" s="386">
        <f t="shared" si="22"/>
        <v>0</v>
      </c>
      <c r="V12" s="357" t="s">
        <v>45</v>
      </c>
    </row>
    <row r="13" spans="1:22" s="347" customFormat="1" ht="12">
      <c r="A13" s="356"/>
      <c r="B13" s="382">
        <v>11</v>
      </c>
      <c r="C13" s="361" t="s">
        <v>46</v>
      </c>
      <c r="D13" s="357" t="s">
        <v>24</v>
      </c>
      <c r="E13" s="357" t="s">
        <v>43</v>
      </c>
      <c r="F13" s="361" t="s">
        <v>26</v>
      </c>
      <c r="G13" s="362">
        <v>1100000000</v>
      </c>
      <c r="H13" s="363" t="s">
        <v>27</v>
      </c>
      <c r="I13" s="371" t="s">
        <v>14</v>
      </c>
      <c r="J13" s="386">
        <f t="shared" si="13"/>
        <v>0</v>
      </c>
      <c r="K13" s="386">
        <f t="shared" si="14"/>
        <v>0</v>
      </c>
      <c r="L13" s="386">
        <f t="shared" si="15"/>
        <v>0</v>
      </c>
      <c r="M13" s="386"/>
      <c r="N13" s="386">
        <f t="shared" si="16"/>
        <v>0</v>
      </c>
      <c r="O13" s="386">
        <f t="shared" ref="O13:O15" si="23">IF($I13="September",$G13,0)</f>
        <v>1100000000</v>
      </c>
      <c r="P13" s="386">
        <f t="shared" si="17"/>
        <v>0</v>
      </c>
      <c r="Q13" s="386">
        <f t="shared" si="18"/>
        <v>0</v>
      </c>
      <c r="R13" s="386">
        <f t="shared" si="19"/>
        <v>0</v>
      </c>
      <c r="S13" s="386">
        <f t="shared" si="20"/>
        <v>0</v>
      </c>
      <c r="T13" s="386">
        <f t="shared" si="21"/>
        <v>0</v>
      </c>
      <c r="U13" s="386">
        <f t="shared" si="22"/>
        <v>0</v>
      </c>
      <c r="V13" s="361" t="s">
        <v>6</v>
      </c>
    </row>
    <row r="14" spans="1:22" s="347" customFormat="1" ht="12">
      <c r="A14" s="364"/>
      <c r="B14" s="382">
        <v>12</v>
      </c>
      <c r="C14" s="365" t="s">
        <v>47</v>
      </c>
      <c r="D14" s="357" t="s">
        <v>24</v>
      </c>
      <c r="E14" s="357" t="s">
        <v>43</v>
      </c>
      <c r="F14" s="361" t="s">
        <v>26</v>
      </c>
      <c r="G14" s="362">
        <v>565000000</v>
      </c>
      <c r="H14" s="363" t="s">
        <v>40</v>
      </c>
      <c r="I14" s="371" t="s">
        <v>9</v>
      </c>
      <c r="J14" s="386">
        <f t="shared" si="13"/>
        <v>565000000</v>
      </c>
      <c r="K14" s="386">
        <f t="shared" si="14"/>
        <v>0</v>
      </c>
      <c r="L14" s="386">
        <f t="shared" si="15"/>
        <v>0</v>
      </c>
      <c r="M14" s="386">
        <f t="shared" ref="M14:M31" si="24">IF($I14="July",$G14,0)</f>
        <v>0</v>
      </c>
      <c r="N14" s="386">
        <f t="shared" si="16"/>
        <v>0</v>
      </c>
      <c r="O14" s="386">
        <f t="shared" si="23"/>
        <v>0</v>
      </c>
      <c r="P14" s="386">
        <f t="shared" si="17"/>
        <v>0</v>
      </c>
      <c r="Q14" s="386">
        <f t="shared" si="18"/>
        <v>0</v>
      </c>
      <c r="R14" s="386">
        <f t="shared" si="19"/>
        <v>0</v>
      </c>
      <c r="S14" s="386">
        <f t="shared" si="20"/>
        <v>0</v>
      </c>
      <c r="T14" s="386">
        <f t="shared" si="21"/>
        <v>0</v>
      </c>
      <c r="U14" s="386">
        <f t="shared" si="22"/>
        <v>0</v>
      </c>
      <c r="V14" s="361" t="s">
        <v>48</v>
      </c>
    </row>
    <row r="15" spans="1:22" s="347" customFormat="1" ht="12">
      <c r="A15" s="356"/>
      <c r="B15" s="382">
        <v>13</v>
      </c>
      <c r="C15" s="365" t="s">
        <v>49</v>
      </c>
      <c r="D15" s="357" t="s">
        <v>24</v>
      </c>
      <c r="E15" s="357" t="s">
        <v>43</v>
      </c>
      <c r="F15" s="361" t="s">
        <v>26</v>
      </c>
      <c r="G15" s="362">
        <v>2000000000</v>
      </c>
      <c r="H15" s="363" t="s">
        <v>27</v>
      </c>
      <c r="I15" s="371" t="s">
        <v>13</v>
      </c>
      <c r="J15" s="386">
        <f t="shared" si="13"/>
        <v>0</v>
      </c>
      <c r="K15" s="386">
        <f t="shared" si="14"/>
        <v>0</v>
      </c>
      <c r="L15" s="386">
        <f t="shared" si="15"/>
        <v>0</v>
      </c>
      <c r="M15" s="386">
        <f t="shared" si="24"/>
        <v>0</v>
      </c>
      <c r="N15" s="386">
        <f t="shared" si="16"/>
        <v>2000000000</v>
      </c>
      <c r="O15" s="386">
        <f t="shared" si="23"/>
        <v>0</v>
      </c>
      <c r="P15" s="386">
        <f t="shared" si="17"/>
        <v>0</v>
      </c>
      <c r="Q15" s="386">
        <f t="shared" si="18"/>
        <v>0</v>
      </c>
      <c r="R15" s="386">
        <f t="shared" si="19"/>
        <v>0</v>
      </c>
      <c r="S15" s="386">
        <f t="shared" si="20"/>
        <v>0</v>
      </c>
      <c r="T15" s="386">
        <f t="shared" si="21"/>
        <v>0</v>
      </c>
      <c r="U15" s="386">
        <f t="shared" si="22"/>
        <v>0</v>
      </c>
      <c r="V15" s="361" t="s">
        <v>6</v>
      </c>
    </row>
    <row r="16" spans="1:22" s="347" customFormat="1" ht="12">
      <c r="A16" s="356"/>
      <c r="B16" s="382">
        <v>14</v>
      </c>
      <c r="C16" s="365" t="s">
        <v>49</v>
      </c>
      <c r="D16" s="357" t="s">
        <v>24</v>
      </c>
      <c r="E16" s="357" t="s">
        <v>43</v>
      </c>
      <c r="F16" s="361" t="s">
        <v>33</v>
      </c>
      <c r="G16" s="362">
        <v>270000000</v>
      </c>
      <c r="H16" s="363" t="s">
        <v>27</v>
      </c>
      <c r="I16" s="371" t="s">
        <v>13</v>
      </c>
      <c r="J16" s="386">
        <f t="shared" si="13"/>
        <v>0</v>
      </c>
      <c r="K16" s="386">
        <f t="shared" si="14"/>
        <v>0</v>
      </c>
      <c r="L16" s="386">
        <f t="shared" si="15"/>
        <v>0</v>
      </c>
      <c r="M16" s="386">
        <f t="shared" si="24"/>
        <v>0</v>
      </c>
      <c r="N16" s="386">
        <f t="shared" si="16"/>
        <v>270000000</v>
      </c>
      <c r="O16" s="386">
        <f t="shared" ref="O16:O31" si="25">IF($I16="September",$G16,0)</f>
        <v>0</v>
      </c>
      <c r="P16" s="386">
        <f t="shared" si="17"/>
        <v>0</v>
      </c>
      <c r="Q16" s="386">
        <f t="shared" si="18"/>
        <v>0</v>
      </c>
      <c r="R16" s="386">
        <f t="shared" si="19"/>
        <v>0</v>
      </c>
      <c r="S16" s="386">
        <f t="shared" si="20"/>
        <v>0</v>
      </c>
      <c r="T16" s="386">
        <f t="shared" si="21"/>
        <v>0</v>
      </c>
      <c r="U16" s="386">
        <f t="shared" si="22"/>
        <v>0</v>
      </c>
      <c r="V16" s="361" t="s">
        <v>6</v>
      </c>
    </row>
    <row r="17" spans="1:22" s="347" customFormat="1" ht="12">
      <c r="A17" s="356"/>
      <c r="B17" s="382">
        <v>15</v>
      </c>
      <c r="C17" s="365" t="s">
        <v>50</v>
      </c>
      <c r="D17" s="357" t="s">
        <v>24</v>
      </c>
      <c r="E17" s="357" t="s">
        <v>43</v>
      </c>
      <c r="F17" s="361" t="s">
        <v>33</v>
      </c>
      <c r="G17" s="362">
        <v>435000000</v>
      </c>
      <c r="H17" s="363" t="s">
        <v>27</v>
      </c>
      <c r="I17" s="371" t="s">
        <v>15</v>
      </c>
      <c r="J17" s="386">
        <f t="shared" si="13"/>
        <v>0</v>
      </c>
      <c r="K17" s="386">
        <f t="shared" si="14"/>
        <v>0</v>
      </c>
      <c r="L17" s="386">
        <f t="shared" si="15"/>
        <v>0</v>
      </c>
      <c r="M17" s="386">
        <f t="shared" si="24"/>
        <v>0</v>
      </c>
      <c r="N17" s="386">
        <f t="shared" si="16"/>
        <v>0</v>
      </c>
      <c r="O17" s="386">
        <f t="shared" si="25"/>
        <v>0</v>
      </c>
      <c r="P17" s="386">
        <f t="shared" si="17"/>
        <v>435000000</v>
      </c>
      <c r="Q17" s="386">
        <f t="shared" si="18"/>
        <v>0</v>
      </c>
      <c r="R17" s="386">
        <f t="shared" si="19"/>
        <v>0</v>
      </c>
      <c r="S17" s="386">
        <f t="shared" si="20"/>
        <v>0</v>
      </c>
      <c r="T17" s="386">
        <f t="shared" si="21"/>
        <v>0</v>
      </c>
      <c r="U17" s="386">
        <f t="shared" si="22"/>
        <v>0</v>
      </c>
      <c r="V17" s="361" t="s">
        <v>6</v>
      </c>
    </row>
    <row r="18" spans="1:22" s="347" customFormat="1" ht="12">
      <c r="A18" s="364"/>
      <c r="B18" s="382">
        <v>16</v>
      </c>
      <c r="C18" s="365" t="s">
        <v>51</v>
      </c>
      <c r="D18" s="357" t="s">
        <v>24</v>
      </c>
      <c r="E18" s="357" t="s">
        <v>43</v>
      </c>
      <c r="F18" s="361" t="s">
        <v>26</v>
      </c>
      <c r="G18" s="362">
        <v>85000000</v>
      </c>
      <c r="H18" s="363" t="s">
        <v>40</v>
      </c>
      <c r="I18" s="371" t="s">
        <v>9</v>
      </c>
      <c r="J18" s="386">
        <v>85000000</v>
      </c>
      <c r="K18" s="386"/>
      <c r="L18" s="386">
        <f t="shared" si="15"/>
        <v>0</v>
      </c>
      <c r="M18" s="386">
        <f t="shared" si="24"/>
        <v>0</v>
      </c>
      <c r="N18" s="386">
        <f t="shared" si="16"/>
        <v>0</v>
      </c>
      <c r="O18" s="386">
        <f t="shared" si="25"/>
        <v>0</v>
      </c>
      <c r="P18" s="386">
        <f t="shared" si="17"/>
        <v>0</v>
      </c>
      <c r="Q18" s="386">
        <f t="shared" si="18"/>
        <v>0</v>
      </c>
      <c r="R18" s="386">
        <f t="shared" si="19"/>
        <v>0</v>
      </c>
      <c r="S18" s="386">
        <f t="shared" si="20"/>
        <v>0</v>
      </c>
      <c r="T18" s="386">
        <f t="shared" si="21"/>
        <v>0</v>
      </c>
      <c r="U18" s="386">
        <f t="shared" si="22"/>
        <v>0</v>
      </c>
      <c r="V18" s="357" t="s">
        <v>45</v>
      </c>
    </row>
    <row r="19" spans="1:22" s="347" customFormat="1" ht="12">
      <c r="A19" s="356" t="s">
        <v>22</v>
      </c>
      <c r="B19" s="382">
        <v>17</v>
      </c>
      <c r="C19" s="357" t="s">
        <v>52</v>
      </c>
      <c r="D19" s="357" t="s">
        <v>24</v>
      </c>
      <c r="E19" s="357" t="s">
        <v>43</v>
      </c>
      <c r="F19" s="357" t="s">
        <v>26</v>
      </c>
      <c r="G19" s="358">
        <v>3600000000</v>
      </c>
      <c r="H19" s="363" t="s">
        <v>27</v>
      </c>
      <c r="I19" s="371" t="s">
        <v>16</v>
      </c>
      <c r="J19" s="386">
        <f t="shared" ref="J19:J31" si="26">IF($I19="April",$G19,0)</f>
        <v>0</v>
      </c>
      <c r="K19" s="386">
        <f t="shared" ref="K19:K31" si="27">IF($I19="May",$G19,0)</f>
        <v>0</v>
      </c>
      <c r="L19" s="386">
        <f t="shared" si="15"/>
        <v>0</v>
      </c>
      <c r="M19" s="386">
        <f t="shared" si="24"/>
        <v>0</v>
      </c>
      <c r="N19" s="386">
        <f t="shared" si="16"/>
        <v>0</v>
      </c>
      <c r="O19" s="386">
        <f t="shared" si="25"/>
        <v>0</v>
      </c>
      <c r="P19" s="386">
        <f t="shared" si="17"/>
        <v>0</v>
      </c>
      <c r="Q19" s="386">
        <f t="shared" si="18"/>
        <v>3600000000</v>
      </c>
      <c r="R19" s="386">
        <f t="shared" si="19"/>
        <v>0</v>
      </c>
      <c r="S19" s="386">
        <f t="shared" si="20"/>
        <v>0</v>
      </c>
      <c r="T19" s="386">
        <f t="shared" si="21"/>
        <v>0</v>
      </c>
      <c r="U19" s="386">
        <f t="shared" si="22"/>
        <v>0</v>
      </c>
      <c r="V19" s="361" t="s">
        <v>6</v>
      </c>
    </row>
    <row r="20" spans="1:22" s="347" customFormat="1" ht="12">
      <c r="A20" s="366"/>
      <c r="B20" s="382">
        <v>18</v>
      </c>
      <c r="C20" s="357" t="s">
        <v>53</v>
      </c>
      <c r="D20" s="357" t="s">
        <v>24</v>
      </c>
      <c r="E20" s="357" t="s">
        <v>54</v>
      </c>
      <c r="F20" s="357" t="s">
        <v>55</v>
      </c>
      <c r="G20" s="358">
        <v>640000000</v>
      </c>
      <c r="H20" s="363" t="s">
        <v>27</v>
      </c>
      <c r="I20" s="371" t="s">
        <v>13</v>
      </c>
      <c r="J20" s="386">
        <f t="shared" si="26"/>
        <v>0</v>
      </c>
      <c r="K20" s="386">
        <f t="shared" si="27"/>
        <v>0</v>
      </c>
      <c r="L20" s="386">
        <f t="shared" si="15"/>
        <v>0</v>
      </c>
      <c r="M20" s="386">
        <f t="shared" si="24"/>
        <v>0</v>
      </c>
      <c r="N20" s="386">
        <f t="shared" si="16"/>
        <v>640000000</v>
      </c>
      <c r="O20" s="386">
        <f t="shared" si="25"/>
        <v>0</v>
      </c>
      <c r="P20" s="386">
        <f t="shared" si="17"/>
        <v>0</v>
      </c>
      <c r="Q20" s="386">
        <f t="shared" si="18"/>
        <v>0</v>
      </c>
      <c r="R20" s="386">
        <f t="shared" si="19"/>
        <v>0</v>
      </c>
      <c r="S20" s="386">
        <f t="shared" si="20"/>
        <v>0</v>
      </c>
      <c r="T20" s="386">
        <f t="shared" si="21"/>
        <v>0</v>
      </c>
      <c r="U20" s="386">
        <f t="shared" si="22"/>
        <v>0</v>
      </c>
      <c r="V20" s="361" t="s">
        <v>6</v>
      </c>
    </row>
    <row r="21" spans="1:22" s="347" customFormat="1" ht="12">
      <c r="A21" s="356" t="s">
        <v>22</v>
      </c>
      <c r="B21" s="382">
        <v>19</v>
      </c>
      <c r="C21" s="357" t="s">
        <v>56</v>
      </c>
      <c r="D21" s="357" t="s">
        <v>24</v>
      </c>
      <c r="E21" s="357" t="s">
        <v>54</v>
      </c>
      <c r="F21" s="357" t="s">
        <v>26</v>
      </c>
      <c r="G21" s="358">
        <v>1240000000</v>
      </c>
      <c r="H21" s="359" t="s">
        <v>27</v>
      </c>
      <c r="I21" s="371" t="s">
        <v>14</v>
      </c>
      <c r="J21" s="386">
        <f t="shared" si="26"/>
        <v>0</v>
      </c>
      <c r="K21" s="386">
        <f t="shared" si="27"/>
        <v>0</v>
      </c>
      <c r="L21" s="386">
        <f t="shared" si="15"/>
        <v>0</v>
      </c>
      <c r="M21" s="386">
        <f t="shared" si="24"/>
        <v>0</v>
      </c>
      <c r="N21" s="386">
        <f t="shared" si="16"/>
        <v>0</v>
      </c>
      <c r="O21" s="386">
        <f t="shared" si="25"/>
        <v>1240000000</v>
      </c>
      <c r="P21" s="386">
        <f t="shared" si="17"/>
        <v>0</v>
      </c>
      <c r="Q21" s="386">
        <f t="shared" si="18"/>
        <v>0</v>
      </c>
      <c r="R21" s="386">
        <f t="shared" si="19"/>
        <v>0</v>
      </c>
      <c r="S21" s="386">
        <f t="shared" si="20"/>
        <v>0</v>
      </c>
      <c r="T21" s="386">
        <f t="shared" si="21"/>
        <v>0</v>
      </c>
      <c r="U21" s="386">
        <f t="shared" si="22"/>
        <v>0</v>
      </c>
      <c r="V21" s="357" t="s">
        <v>57</v>
      </c>
    </row>
    <row r="22" spans="1:22" s="347" customFormat="1" ht="12">
      <c r="A22" s="366"/>
      <c r="B22" s="382">
        <v>20</v>
      </c>
      <c r="C22" s="357" t="s">
        <v>58</v>
      </c>
      <c r="D22" s="357" t="s">
        <v>24</v>
      </c>
      <c r="E22" s="357" t="s">
        <v>54</v>
      </c>
      <c r="F22" s="357" t="s">
        <v>26</v>
      </c>
      <c r="G22" s="358">
        <v>3100000000</v>
      </c>
      <c r="H22" s="359" t="s">
        <v>30</v>
      </c>
      <c r="I22" s="371" t="s">
        <v>13</v>
      </c>
      <c r="J22" s="386">
        <f t="shared" si="26"/>
        <v>0</v>
      </c>
      <c r="K22" s="386">
        <f t="shared" si="27"/>
        <v>0</v>
      </c>
      <c r="L22" s="386">
        <f t="shared" si="15"/>
        <v>0</v>
      </c>
      <c r="M22" s="386">
        <f t="shared" si="24"/>
        <v>0</v>
      </c>
      <c r="N22" s="386">
        <f t="shared" si="16"/>
        <v>3100000000</v>
      </c>
      <c r="O22" s="386">
        <f t="shared" si="25"/>
        <v>0</v>
      </c>
      <c r="P22" s="386">
        <f t="shared" si="17"/>
        <v>0</v>
      </c>
      <c r="Q22" s="386">
        <f t="shared" si="18"/>
        <v>0</v>
      </c>
      <c r="R22" s="386">
        <f t="shared" si="19"/>
        <v>0</v>
      </c>
      <c r="S22" s="386">
        <f t="shared" si="20"/>
        <v>0</v>
      </c>
      <c r="T22" s="386">
        <f t="shared" si="21"/>
        <v>0</v>
      </c>
      <c r="U22" s="386">
        <f t="shared" si="22"/>
        <v>0</v>
      </c>
      <c r="V22" s="357" t="s">
        <v>59</v>
      </c>
    </row>
    <row r="23" spans="1:22" s="347" customFormat="1" ht="12">
      <c r="A23" s="367"/>
      <c r="B23" s="382">
        <v>21</v>
      </c>
      <c r="C23" s="360" t="s">
        <v>60</v>
      </c>
      <c r="D23" s="357" t="s">
        <v>24</v>
      </c>
      <c r="E23" s="357" t="s">
        <v>54</v>
      </c>
      <c r="F23" s="357" t="s">
        <v>26</v>
      </c>
      <c r="G23" s="358">
        <v>1690000000</v>
      </c>
      <c r="H23" s="359" t="s">
        <v>40</v>
      </c>
      <c r="I23" s="371" t="s">
        <v>11</v>
      </c>
      <c r="J23" s="386">
        <f t="shared" si="26"/>
        <v>0</v>
      </c>
      <c r="K23" s="386">
        <f t="shared" si="27"/>
        <v>0</v>
      </c>
      <c r="L23" s="386">
        <f t="shared" si="15"/>
        <v>1690000000</v>
      </c>
      <c r="M23" s="386">
        <f t="shared" si="24"/>
        <v>0</v>
      </c>
      <c r="N23" s="386">
        <f t="shared" si="16"/>
        <v>0</v>
      </c>
      <c r="O23" s="386">
        <f t="shared" si="25"/>
        <v>0</v>
      </c>
      <c r="P23" s="386">
        <f t="shared" si="17"/>
        <v>0</v>
      </c>
      <c r="Q23" s="386">
        <f t="shared" si="18"/>
        <v>0</v>
      </c>
      <c r="R23" s="386">
        <f t="shared" si="19"/>
        <v>0</v>
      </c>
      <c r="S23" s="386">
        <f t="shared" si="20"/>
        <v>0</v>
      </c>
      <c r="T23" s="386">
        <f t="shared" si="21"/>
        <v>0</v>
      </c>
      <c r="U23" s="386">
        <f t="shared" si="22"/>
        <v>0</v>
      </c>
      <c r="V23" s="357" t="s">
        <v>61</v>
      </c>
    </row>
    <row r="24" spans="1:22" s="347" customFormat="1" ht="12">
      <c r="A24" s="367"/>
      <c r="B24" s="382">
        <v>22</v>
      </c>
      <c r="C24" s="360" t="s">
        <v>62</v>
      </c>
      <c r="D24" s="357" t="s">
        <v>24</v>
      </c>
      <c r="E24" s="357" t="s">
        <v>54</v>
      </c>
      <c r="F24" s="357" t="s">
        <v>26</v>
      </c>
      <c r="G24" s="358">
        <v>829500000</v>
      </c>
      <c r="H24" s="359" t="s">
        <v>40</v>
      </c>
      <c r="I24" s="371" t="s">
        <v>9</v>
      </c>
      <c r="J24" s="386">
        <f t="shared" si="26"/>
        <v>829500000</v>
      </c>
      <c r="K24" s="386">
        <f t="shared" si="27"/>
        <v>0</v>
      </c>
      <c r="L24" s="386">
        <f t="shared" si="15"/>
        <v>0</v>
      </c>
      <c r="M24" s="386">
        <f t="shared" si="24"/>
        <v>0</v>
      </c>
      <c r="N24" s="386">
        <f t="shared" si="16"/>
        <v>0</v>
      </c>
      <c r="O24" s="386">
        <f t="shared" si="25"/>
        <v>0</v>
      </c>
      <c r="P24" s="386">
        <f t="shared" si="17"/>
        <v>0</v>
      </c>
      <c r="Q24" s="386">
        <f t="shared" si="18"/>
        <v>0</v>
      </c>
      <c r="R24" s="386">
        <f t="shared" si="19"/>
        <v>0</v>
      </c>
      <c r="S24" s="386">
        <f t="shared" si="20"/>
        <v>0</v>
      </c>
      <c r="T24" s="386">
        <f t="shared" si="21"/>
        <v>0</v>
      </c>
      <c r="U24" s="386">
        <f t="shared" si="22"/>
        <v>0</v>
      </c>
      <c r="V24" s="357" t="s">
        <v>61</v>
      </c>
    </row>
    <row r="25" spans="1:22" s="347" customFormat="1" ht="12">
      <c r="A25" s="356" t="s">
        <v>22</v>
      </c>
      <c r="B25" s="382">
        <v>23</v>
      </c>
      <c r="C25" s="357" t="s">
        <v>63</v>
      </c>
      <c r="D25" s="357" t="s">
        <v>24</v>
      </c>
      <c r="E25" s="357" t="s">
        <v>54</v>
      </c>
      <c r="F25" s="357" t="s">
        <v>26</v>
      </c>
      <c r="G25" s="358">
        <v>337500000</v>
      </c>
      <c r="H25" s="359" t="s">
        <v>27</v>
      </c>
      <c r="I25" s="371" t="s">
        <v>14</v>
      </c>
      <c r="J25" s="386">
        <f t="shared" si="26"/>
        <v>0</v>
      </c>
      <c r="K25" s="386">
        <f t="shared" si="27"/>
        <v>0</v>
      </c>
      <c r="L25" s="386">
        <f t="shared" si="15"/>
        <v>0</v>
      </c>
      <c r="M25" s="386">
        <f t="shared" si="24"/>
        <v>0</v>
      </c>
      <c r="N25" s="386">
        <f t="shared" si="16"/>
        <v>0</v>
      </c>
      <c r="O25" s="386">
        <f t="shared" si="25"/>
        <v>337500000</v>
      </c>
      <c r="P25" s="386">
        <f t="shared" si="17"/>
        <v>0</v>
      </c>
      <c r="Q25" s="386">
        <f t="shared" si="18"/>
        <v>0</v>
      </c>
      <c r="R25" s="386">
        <f t="shared" si="19"/>
        <v>0</v>
      </c>
      <c r="S25" s="386">
        <f t="shared" si="20"/>
        <v>0</v>
      </c>
      <c r="T25" s="386">
        <f t="shared" si="21"/>
        <v>0</v>
      </c>
      <c r="U25" s="386">
        <f t="shared" si="22"/>
        <v>0</v>
      </c>
      <c r="V25" s="357" t="s">
        <v>64</v>
      </c>
    </row>
    <row r="26" spans="1:22" s="347" customFormat="1" ht="12">
      <c r="A26" s="356" t="s">
        <v>22</v>
      </c>
      <c r="B26" s="382">
        <v>24</v>
      </c>
      <c r="C26" s="368" t="s">
        <v>65</v>
      </c>
      <c r="D26" s="357" t="s">
        <v>24</v>
      </c>
      <c r="E26" s="357" t="s">
        <v>54</v>
      </c>
      <c r="F26" s="357" t="s">
        <v>26</v>
      </c>
      <c r="G26" s="358">
        <v>275000000</v>
      </c>
      <c r="H26" s="369" t="s">
        <v>27</v>
      </c>
      <c r="I26" s="371" t="s">
        <v>13</v>
      </c>
      <c r="J26" s="386">
        <f t="shared" si="26"/>
        <v>0</v>
      </c>
      <c r="K26" s="386">
        <f t="shared" si="27"/>
        <v>0</v>
      </c>
      <c r="L26" s="386">
        <f t="shared" si="15"/>
        <v>0</v>
      </c>
      <c r="M26" s="386">
        <f t="shared" si="24"/>
        <v>0</v>
      </c>
      <c r="N26" s="386">
        <f t="shared" si="16"/>
        <v>275000000</v>
      </c>
      <c r="O26" s="386">
        <f t="shared" si="25"/>
        <v>0</v>
      </c>
      <c r="P26" s="386">
        <f t="shared" si="17"/>
        <v>0</v>
      </c>
      <c r="Q26" s="386">
        <f t="shared" si="18"/>
        <v>0</v>
      </c>
      <c r="R26" s="386">
        <f t="shared" si="19"/>
        <v>0</v>
      </c>
      <c r="S26" s="386">
        <f t="shared" si="20"/>
        <v>0</v>
      </c>
      <c r="T26" s="386">
        <f t="shared" si="21"/>
        <v>0</v>
      </c>
      <c r="U26" s="386">
        <f t="shared" si="22"/>
        <v>0</v>
      </c>
      <c r="V26" s="357" t="s">
        <v>6</v>
      </c>
    </row>
    <row r="27" spans="1:22" s="347" customFormat="1" ht="12">
      <c r="A27" s="367"/>
      <c r="B27" s="382">
        <v>25</v>
      </c>
      <c r="C27" s="368" t="s">
        <v>66</v>
      </c>
      <c r="D27" s="357" t="s">
        <v>24</v>
      </c>
      <c r="E27" s="357" t="s">
        <v>54</v>
      </c>
      <c r="F27" s="357" t="s">
        <v>33</v>
      </c>
      <c r="G27" s="358">
        <v>51000000</v>
      </c>
      <c r="H27" s="370" t="s">
        <v>67</v>
      </c>
      <c r="I27" s="371"/>
      <c r="J27" s="386">
        <f t="shared" si="26"/>
        <v>0</v>
      </c>
      <c r="K27" s="386">
        <f t="shared" si="27"/>
        <v>0</v>
      </c>
      <c r="L27" s="386">
        <f t="shared" si="15"/>
        <v>0</v>
      </c>
      <c r="M27" s="386">
        <f t="shared" si="24"/>
        <v>0</v>
      </c>
      <c r="N27" s="386">
        <f t="shared" si="16"/>
        <v>0</v>
      </c>
      <c r="O27" s="386">
        <f t="shared" si="25"/>
        <v>0</v>
      </c>
      <c r="P27" s="386">
        <f t="shared" si="17"/>
        <v>0</v>
      </c>
      <c r="Q27" s="386">
        <f t="shared" si="18"/>
        <v>0</v>
      </c>
      <c r="R27" s="386">
        <f t="shared" si="19"/>
        <v>0</v>
      </c>
      <c r="S27" s="386">
        <f t="shared" si="20"/>
        <v>0</v>
      </c>
      <c r="T27" s="386">
        <f t="shared" si="21"/>
        <v>0</v>
      </c>
      <c r="U27" s="386">
        <f t="shared" si="22"/>
        <v>0</v>
      </c>
      <c r="V27" s="357" t="s">
        <v>6</v>
      </c>
    </row>
    <row r="28" spans="1:22" s="347" customFormat="1" ht="12">
      <c r="A28" s="366"/>
      <c r="B28" s="382">
        <v>26</v>
      </c>
      <c r="C28" s="368" t="s">
        <v>68</v>
      </c>
      <c r="D28" s="357" t="s">
        <v>24</v>
      </c>
      <c r="E28" s="357" t="s">
        <v>54</v>
      </c>
      <c r="F28" s="357" t="s">
        <v>33</v>
      </c>
      <c r="G28" s="358">
        <v>1300000000</v>
      </c>
      <c r="H28" s="370" t="s">
        <v>27</v>
      </c>
      <c r="I28" s="371" t="s">
        <v>15</v>
      </c>
      <c r="J28" s="386">
        <f t="shared" si="26"/>
        <v>0</v>
      </c>
      <c r="K28" s="386">
        <f t="shared" si="27"/>
        <v>0</v>
      </c>
      <c r="L28" s="386">
        <f t="shared" si="15"/>
        <v>0</v>
      </c>
      <c r="M28" s="386">
        <f t="shared" si="24"/>
        <v>0</v>
      </c>
      <c r="N28" s="386">
        <f t="shared" si="16"/>
        <v>0</v>
      </c>
      <c r="O28" s="386">
        <f t="shared" si="25"/>
        <v>0</v>
      </c>
      <c r="P28" s="386">
        <f t="shared" si="17"/>
        <v>1300000000</v>
      </c>
      <c r="Q28" s="386">
        <f t="shared" si="18"/>
        <v>0</v>
      </c>
      <c r="R28" s="386">
        <f t="shared" si="19"/>
        <v>0</v>
      </c>
      <c r="S28" s="386">
        <f t="shared" si="20"/>
        <v>0</v>
      </c>
      <c r="T28" s="386">
        <f t="shared" si="21"/>
        <v>0</v>
      </c>
      <c r="U28" s="386">
        <f t="shared" si="22"/>
        <v>0</v>
      </c>
      <c r="V28" s="357" t="s">
        <v>69</v>
      </c>
    </row>
    <row r="29" spans="1:22" s="347" customFormat="1" ht="12">
      <c r="A29" s="367"/>
      <c r="B29" s="382">
        <v>27</v>
      </c>
      <c r="C29" s="368" t="s">
        <v>70</v>
      </c>
      <c r="D29" s="357" t="s">
        <v>24</v>
      </c>
      <c r="E29" s="357" t="s">
        <v>54</v>
      </c>
      <c r="F29" s="357" t="s">
        <v>26</v>
      </c>
      <c r="G29" s="358">
        <v>98500000</v>
      </c>
      <c r="H29" s="370" t="s">
        <v>40</v>
      </c>
      <c r="I29" s="371" t="s">
        <v>9</v>
      </c>
      <c r="J29" s="386">
        <f t="shared" si="26"/>
        <v>98500000</v>
      </c>
      <c r="K29" s="386">
        <f t="shared" si="27"/>
        <v>0</v>
      </c>
      <c r="L29" s="386">
        <f t="shared" si="15"/>
        <v>0</v>
      </c>
      <c r="M29" s="386">
        <f t="shared" si="24"/>
        <v>0</v>
      </c>
      <c r="N29" s="386">
        <f t="shared" si="16"/>
        <v>0</v>
      </c>
      <c r="O29" s="386">
        <f t="shared" si="25"/>
        <v>0</v>
      </c>
      <c r="P29" s="386">
        <f t="shared" si="17"/>
        <v>0</v>
      </c>
      <c r="Q29" s="386">
        <f t="shared" si="18"/>
        <v>0</v>
      </c>
      <c r="R29" s="386">
        <f t="shared" si="19"/>
        <v>0</v>
      </c>
      <c r="S29" s="386">
        <f t="shared" si="20"/>
        <v>0</v>
      </c>
      <c r="T29" s="386">
        <f t="shared" si="21"/>
        <v>0</v>
      </c>
      <c r="U29" s="386">
        <f t="shared" si="22"/>
        <v>0</v>
      </c>
      <c r="V29" s="357" t="s">
        <v>61</v>
      </c>
    </row>
    <row r="30" spans="1:22" s="347" customFormat="1" ht="12">
      <c r="A30" s="356"/>
      <c r="B30" s="382">
        <v>28</v>
      </c>
      <c r="C30" s="357" t="s">
        <v>71</v>
      </c>
      <c r="D30" s="357" t="s">
        <v>24</v>
      </c>
      <c r="E30" s="357" t="s">
        <v>25</v>
      </c>
      <c r="F30" s="357" t="s">
        <v>26</v>
      </c>
      <c r="G30" s="358">
        <v>370000000</v>
      </c>
      <c r="H30" s="359" t="s">
        <v>40</v>
      </c>
      <c r="I30" s="371" t="s">
        <v>9</v>
      </c>
      <c r="J30" s="386">
        <f t="shared" si="26"/>
        <v>370000000</v>
      </c>
      <c r="K30" s="386">
        <f t="shared" si="27"/>
        <v>0</v>
      </c>
      <c r="L30" s="386">
        <f t="shared" si="15"/>
        <v>0</v>
      </c>
      <c r="M30" s="386">
        <f t="shared" si="24"/>
        <v>0</v>
      </c>
      <c r="N30" s="386">
        <f t="shared" si="16"/>
        <v>0</v>
      </c>
      <c r="O30" s="386">
        <f t="shared" si="25"/>
        <v>0</v>
      </c>
      <c r="P30" s="386">
        <f t="shared" si="17"/>
        <v>0</v>
      </c>
      <c r="Q30" s="386">
        <f t="shared" si="18"/>
        <v>0</v>
      </c>
      <c r="R30" s="386">
        <f t="shared" si="19"/>
        <v>0</v>
      </c>
      <c r="S30" s="386">
        <f t="shared" si="20"/>
        <v>0</v>
      </c>
      <c r="T30" s="386">
        <f t="shared" si="21"/>
        <v>0</v>
      </c>
      <c r="U30" s="386">
        <f t="shared" si="22"/>
        <v>0</v>
      </c>
      <c r="V30" s="357"/>
    </row>
    <row r="31" spans="1:22" s="347" customFormat="1" ht="12">
      <c r="A31" s="356"/>
      <c r="B31" s="382">
        <v>29</v>
      </c>
      <c r="C31" s="357" t="s">
        <v>39</v>
      </c>
      <c r="D31" s="357" t="s">
        <v>24</v>
      </c>
      <c r="E31" s="357" t="s">
        <v>25</v>
      </c>
      <c r="F31" s="357" t="s">
        <v>26</v>
      </c>
      <c r="G31" s="358">
        <v>300000000</v>
      </c>
      <c r="H31" s="370" t="s">
        <v>72</v>
      </c>
      <c r="I31" s="371" t="s">
        <v>14</v>
      </c>
      <c r="J31" s="386">
        <f t="shared" si="26"/>
        <v>0</v>
      </c>
      <c r="K31" s="386">
        <f t="shared" si="27"/>
        <v>0</v>
      </c>
      <c r="L31" s="386">
        <f t="shared" si="15"/>
        <v>0</v>
      </c>
      <c r="M31" s="386">
        <f t="shared" si="24"/>
        <v>0</v>
      </c>
      <c r="N31" s="386">
        <f t="shared" si="16"/>
        <v>0</v>
      </c>
      <c r="O31" s="386">
        <f t="shared" si="25"/>
        <v>300000000</v>
      </c>
      <c r="P31" s="386">
        <f t="shared" si="17"/>
        <v>0</v>
      </c>
      <c r="Q31" s="386">
        <f t="shared" si="18"/>
        <v>0</v>
      </c>
      <c r="R31" s="386">
        <f t="shared" si="19"/>
        <v>0</v>
      </c>
      <c r="S31" s="386">
        <f t="shared" si="20"/>
        <v>0</v>
      </c>
      <c r="T31" s="386">
        <f t="shared" si="21"/>
        <v>0</v>
      </c>
      <c r="U31" s="386">
        <f t="shared" si="22"/>
        <v>0</v>
      </c>
      <c r="V31" s="357"/>
    </row>
    <row r="32" spans="1:22" s="347" customFormat="1" ht="14.25" customHeight="1">
      <c r="A32" s="366"/>
      <c r="B32" s="382">
        <v>30</v>
      </c>
      <c r="C32" s="357" t="s">
        <v>73</v>
      </c>
      <c r="D32" s="357" t="s">
        <v>24</v>
      </c>
      <c r="E32" s="357" t="s">
        <v>43</v>
      </c>
      <c r="F32" s="357" t="s">
        <v>26</v>
      </c>
      <c r="G32" s="358">
        <v>400000000</v>
      </c>
      <c r="H32" s="370" t="s">
        <v>27</v>
      </c>
      <c r="I32" s="371" t="s">
        <v>14</v>
      </c>
      <c r="J32" s="386">
        <f t="shared" ref="J32:J67" si="28">IF($I32="April",$G32,0)</f>
        <v>0</v>
      </c>
      <c r="K32" s="386">
        <f t="shared" ref="K32:K67" si="29">IF($I32="May",$G32,0)</f>
        <v>0</v>
      </c>
      <c r="L32" s="386">
        <f t="shared" ref="L32:L67" si="30">IF($I32="June",$G32,0)</f>
        <v>0</v>
      </c>
      <c r="M32" s="386">
        <f t="shared" ref="M32:M67" si="31">IF($I32="July",$G32,0)</f>
        <v>0</v>
      </c>
      <c r="N32" s="386">
        <f t="shared" ref="N32:N67" si="32">IF($I32="August",$G32,0)</f>
        <v>0</v>
      </c>
      <c r="O32" s="386">
        <f t="shared" ref="O32:O67" si="33">IF($I32="September",$G32,0)</f>
        <v>400000000</v>
      </c>
      <c r="P32" s="386">
        <f t="shared" ref="P32:P67" si="34">IF($I32="October",$G32,0)</f>
        <v>0</v>
      </c>
      <c r="Q32" s="386">
        <f t="shared" ref="Q32:Q67" si="35">IF($I32="November",$G32,0)</f>
        <v>0</v>
      </c>
      <c r="R32" s="386">
        <f t="shared" ref="R32:R67" si="36">IF($I32="December",$G32,0)</f>
        <v>0</v>
      </c>
      <c r="S32" s="386">
        <f t="shared" ref="S32:S67" si="37">IF($I32="January",$G32,0)</f>
        <v>0</v>
      </c>
      <c r="T32" s="386">
        <f t="shared" ref="T32:T67" si="38">IF($I32="February",$G32,0)</f>
        <v>0</v>
      </c>
      <c r="U32" s="386">
        <f t="shared" ref="U32:U67" si="39">IF($I32="March",$G32,0)</f>
        <v>0</v>
      </c>
      <c r="V32" s="357"/>
    </row>
    <row r="33" spans="1:22" s="347" customFormat="1" ht="14.25" customHeight="1">
      <c r="A33" s="367"/>
      <c r="B33" s="382">
        <v>31</v>
      </c>
      <c r="C33" s="357" t="s">
        <v>74</v>
      </c>
      <c r="D33" s="357" t="s">
        <v>24</v>
      </c>
      <c r="E33" s="357" t="s">
        <v>25</v>
      </c>
      <c r="F33" s="357" t="s">
        <v>26</v>
      </c>
      <c r="G33" s="358">
        <v>380660000</v>
      </c>
      <c r="H33" s="370" t="s">
        <v>40</v>
      </c>
      <c r="I33" s="371" t="s">
        <v>11</v>
      </c>
      <c r="J33" s="386">
        <f t="shared" si="28"/>
        <v>0</v>
      </c>
      <c r="K33" s="386">
        <f t="shared" si="29"/>
        <v>0</v>
      </c>
      <c r="L33" s="386">
        <f t="shared" si="30"/>
        <v>380660000</v>
      </c>
      <c r="M33" s="386">
        <f t="shared" si="31"/>
        <v>0</v>
      </c>
      <c r="N33" s="386">
        <f t="shared" si="32"/>
        <v>0</v>
      </c>
      <c r="O33" s="386">
        <f t="shared" si="33"/>
        <v>0</v>
      </c>
      <c r="P33" s="386">
        <f t="shared" si="34"/>
        <v>0</v>
      </c>
      <c r="Q33" s="386">
        <f t="shared" si="35"/>
        <v>0</v>
      </c>
      <c r="R33" s="386">
        <f t="shared" si="36"/>
        <v>0</v>
      </c>
      <c r="S33" s="386">
        <f t="shared" si="37"/>
        <v>0</v>
      </c>
      <c r="T33" s="386">
        <f t="shared" si="38"/>
        <v>0</v>
      </c>
      <c r="U33" s="386">
        <f t="shared" si="39"/>
        <v>0</v>
      </c>
      <c r="V33" s="357"/>
    </row>
    <row r="34" spans="1:22" s="347" customFormat="1" ht="14.25" customHeight="1">
      <c r="A34" s="366"/>
      <c r="B34" s="382">
        <v>32</v>
      </c>
      <c r="C34" s="357" t="s">
        <v>75</v>
      </c>
      <c r="D34" s="357" t="s">
        <v>24</v>
      </c>
      <c r="E34" s="357" t="s">
        <v>54</v>
      </c>
      <c r="F34" s="357" t="s">
        <v>33</v>
      </c>
      <c r="G34" s="358">
        <v>850000000</v>
      </c>
      <c r="H34" s="370" t="s">
        <v>30</v>
      </c>
      <c r="I34" s="371" t="s">
        <v>11</v>
      </c>
      <c r="J34" s="386">
        <f t="shared" si="28"/>
        <v>0</v>
      </c>
      <c r="K34" s="386">
        <f t="shared" si="29"/>
        <v>0</v>
      </c>
      <c r="L34" s="386">
        <f t="shared" si="30"/>
        <v>850000000</v>
      </c>
      <c r="M34" s="386">
        <f t="shared" si="31"/>
        <v>0</v>
      </c>
      <c r="N34" s="386">
        <f t="shared" si="32"/>
        <v>0</v>
      </c>
      <c r="O34" s="386">
        <f t="shared" si="33"/>
        <v>0</v>
      </c>
      <c r="P34" s="386">
        <f t="shared" si="34"/>
        <v>0</v>
      </c>
      <c r="Q34" s="386">
        <f t="shared" si="35"/>
        <v>0</v>
      </c>
      <c r="R34" s="386">
        <f t="shared" si="36"/>
        <v>0</v>
      </c>
      <c r="S34" s="386">
        <f t="shared" si="37"/>
        <v>0</v>
      </c>
      <c r="T34" s="386">
        <f t="shared" si="38"/>
        <v>0</v>
      </c>
      <c r="U34" s="386">
        <f t="shared" si="39"/>
        <v>0</v>
      </c>
      <c r="V34" s="357" t="s">
        <v>76</v>
      </c>
    </row>
    <row r="35" spans="1:22" s="347" customFormat="1" ht="14.25" customHeight="1">
      <c r="A35" s="367"/>
      <c r="B35" s="382">
        <v>33</v>
      </c>
      <c r="C35" s="357" t="s">
        <v>77</v>
      </c>
      <c r="D35" s="357" t="s">
        <v>24</v>
      </c>
      <c r="E35" s="357" t="s">
        <v>43</v>
      </c>
      <c r="F35" s="357" t="s">
        <v>33</v>
      </c>
      <c r="G35" s="358">
        <v>78247000</v>
      </c>
      <c r="H35" s="370" t="s">
        <v>40</v>
      </c>
      <c r="I35" s="371" t="s">
        <v>10</v>
      </c>
      <c r="J35" s="386">
        <f t="shared" si="28"/>
        <v>0</v>
      </c>
      <c r="K35" s="386">
        <f t="shared" si="29"/>
        <v>78247000</v>
      </c>
      <c r="L35" s="386">
        <f t="shared" si="30"/>
        <v>0</v>
      </c>
      <c r="M35" s="386">
        <f t="shared" si="31"/>
        <v>0</v>
      </c>
      <c r="N35" s="386">
        <f t="shared" si="32"/>
        <v>0</v>
      </c>
      <c r="O35" s="386">
        <f t="shared" si="33"/>
        <v>0</v>
      </c>
      <c r="P35" s="386">
        <f t="shared" si="34"/>
        <v>0</v>
      </c>
      <c r="Q35" s="386">
        <f t="shared" si="35"/>
        <v>0</v>
      </c>
      <c r="R35" s="386">
        <f t="shared" si="36"/>
        <v>0</v>
      </c>
      <c r="S35" s="386">
        <f t="shared" si="37"/>
        <v>0</v>
      </c>
      <c r="T35" s="386">
        <f t="shared" si="38"/>
        <v>0</v>
      </c>
      <c r="U35" s="386">
        <f t="shared" si="39"/>
        <v>0</v>
      </c>
      <c r="V35" s="357" t="s">
        <v>76</v>
      </c>
    </row>
    <row r="36" spans="1:22" s="347" customFormat="1" ht="12">
      <c r="A36" s="356" t="s">
        <v>22</v>
      </c>
      <c r="B36" s="382">
        <v>34</v>
      </c>
      <c r="C36" s="357" t="s">
        <v>78</v>
      </c>
      <c r="D36" s="357" t="s">
        <v>24</v>
      </c>
      <c r="E36" s="357" t="s">
        <v>25</v>
      </c>
      <c r="F36" s="357" t="s">
        <v>33</v>
      </c>
      <c r="G36" s="358">
        <v>1000000000</v>
      </c>
      <c r="H36" s="369" t="s">
        <v>27</v>
      </c>
      <c r="I36" s="371" t="s">
        <v>20</v>
      </c>
      <c r="J36" s="386">
        <f t="shared" si="28"/>
        <v>0</v>
      </c>
      <c r="K36" s="386">
        <f t="shared" si="29"/>
        <v>0</v>
      </c>
      <c r="L36" s="386">
        <f t="shared" si="30"/>
        <v>0</v>
      </c>
      <c r="M36" s="386">
        <f t="shared" si="31"/>
        <v>0</v>
      </c>
      <c r="N36" s="386">
        <f t="shared" si="32"/>
        <v>0</v>
      </c>
      <c r="O36" s="386">
        <f t="shared" si="33"/>
        <v>0</v>
      </c>
      <c r="P36" s="386">
        <f t="shared" si="34"/>
        <v>0</v>
      </c>
      <c r="Q36" s="386">
        <f t="shared" si="35"/>
        <v>0</v>
      </c>
      <c r="R36" s="386">
        <f t="shared" si="36"/>
        <v>0</v>
      </c>
      <c r="S36" s="386">
        <f t="shared" si="37"/>
        <v>0</v>
      </c>
      <c r="T36" s="386">
        <f t="shared" si="38"/>
        <v>0</v>
      </c>
      <c r="U36" s="386">
        <f t="shared" si="39"/>
        <v>1000000000</v>
      </c>
      <c r="V36" s="357" t="s">
        <v>36</v>
      </c>
    </row>
    <row r="37" spans="1:22" s="347" customFormat="1" ht="12">
      <c r="A37" s="356" t="s">
        <v>22</v>
      </c>
      <c r="B37" s="382">
        <v>35</v>
      </c>
      <c r="C37" s="357" t="s">
        <v>71</v>
      </c>
      <c r="D37" s="357" t="s">
        <v>24</v>
      </c>
      <c r="E37" s="357" t="s">
        <v>25</v>
      </c>
      <c r="F37" s="357" t="s">
        <v>33</v>
      </c>
      <c r="G37" s="358">
        <v>2000000000</v>
      </c>
      <c r="H37" s="369" t="s">
        <v>30</v>
      </c>
      <c r="I37" s="371" t="s">
        <v>20</v>
      </c>
      <c r="J37" s="386">
        <f t="shared" si="28"/>
        <v>0</v>
      </c>
      <c r="K37" s="386">
        <f t="shared" si="29"/>
        <v>0</v>
      </c>
      <c r="L37" s="386">
        <f t="shared" si="30"/>
        <v>0</v>
      </c>
      <c r="M37" s="386">
        <f t="shared" si="31"/>
        <v>0</v>
      </c>
      <c r="N37" s="386">
        <f t="shared" si="32"/>
        <v>0</v>
      </c>
      <c r="O37" s="386">
        <f t="shared" si="33"/>
        <v>0</v>
      </c>
      <c r="P37" s="386">
        <f t="shared" si="34"/>
        <v>0</v>
      </c>
      <c r="Q37" s="386">
        <f t="shared" si="35"/>
        <v>0</v>
      </c>
      <c r="R37" s="386">
        <f t="shared" si="36"/>
        <v>0</v>
      </c>
      <c r="S37" s="386">
        <f t="shared" si="37"/>
        <v>0</v>
      </c>
      <c r="T37" s="386">
        <f t="shared" si="38"/>
        <v>0</v>
      </c>
      <c r="U37" s="386">
        <f t="shared" si="39"/>
        <v>2000000000</v>
      </c>
      <c r="V37" s="357" t="s">
        <v>79</v>
      </c>
    </row>
    <row r="38" spans="1:22" s="347" customFormat="1" ht="12">
      <c r="A38" s="356"/>
      <c r="B38" s="382">
        <v>36</v>
      </c>
      <c r="C38" s="357" t="s">
        <v>80</v>
      </c>
      <c r="D38" s="357" t="s">
        <v>24</v>
      </c>
      <c r="E38" s="357" t="s">
        <v>25</v>
      </c>
      <c r="F38" s="357" t="s">
        <v>33</v>
      </c>
      <c r="G38" s="358">
        <v>600000000</v>
      </c>
      <c r="H38" s="369" t="s">
        <v>27</v>
      </c>
      <c r="I38" s="371" t="s">
        <v>15</v>
      </c>
      <c r="J38" s="386">
        <f t="shared" si="28"/>
        <v>0</v>
      </c>
      <c r="K38" s="386">
        <f t="shared" si="29"/>
        <v>0</v>
      </c>
      <c r="L38" s="386">
        <f t="shared" si="30"/>
        <v>0</v>
      </c>
      <c r="M38" s="386">
        <f t="shared" si="31"/>
        <v>0</v>
      </c>
      <c r="N38" s="386">
        <f t="shared" si="32"/>
        <v>0</v>
      </c>
      <c r="O38" s="386">
        <f t="shared" si="33"/>
        <v>0</v>
      </c>
      <c r="P38" s="386">
        <f t="shared" si="34"/>
        <v>600000000</v>
      </c>
      <c r="Q38" s="386">
        <f t="shared" si="35"/>
        <v>0</v>
      </c>
      <c r="R38" s="386">
        <f t="shared" si="36"/>
        <v>0</v>
      </c>
      <c r="S38" s="386">
        <f t="shared" si="37"/>
        <v>0</v>
      </c>
      <c r="T38" s="386">
        <f t="shared" si="38"/>
        <v>0</v>
      </c>
      <c r="U38" s="386">
        <f t="shared" si="39"/>
        <v>0</v>
      </c>
      <c r="V38" s="357" t="s">
        <v>81</v>
      </c>
    </row>
    <row r="39" spans="1:22" s="347" customFormat="1" ht="12">
      <c r="A39" s="356" t="s">
        <v>22</v>
      </c>
      <c r="B39" s="382">
        <v>37</v>
      </c>
      <c r="C39" s="347" t="s">
        <v>82</v>
      </c>
      <c r="D39" s="347" t="s">
        <v>24</v>
      </c>
      <c r="E39" s="357" t="s">
        <v>43</v>
      </c>
      <c r="F39" s="357" t="s">
        <v>26</v>
      </c>
      <c r="G39" s="358">
        <v>500000000</v>
      </c>
      <c r="H39" s="369" t="s">
        <v>27</v>
      </c>
      <c r="I39" s="371" t="s">
        <v>20</v>
      </c>
      <c r="J39" s="386">
        <f t="shared" si="28"/>
        <v>0</v>
      </c>
      <c r="K39" s="386">
        <f t="shared" si="29"/>
        <v>0</v>
      </c>
      <c r="L39" s="386">
        <f t="shared" si="30"/>
        <v>0</v>
      </c>
      <c r="M39" s="386">
        <f t="shared" si="31"/>
        <v>0</v>
      </c>
      <c r="N39" s="386">
        <f t="shared" si="32"/>
        <v>0</v>
      </c>
      <c r="O39" s="386">
        <f t="shared" si="33"/>
        <v>0</v>
      </c>
      <c r="P39" s="386">
        <f t="shared" si="34"/>
        <v>0</v>
      </c>
      <c r="Q39" s="386">
        <f t="shared" si="35"/>
        <v>0</v>
      </c>
      <c r="R39" s="386">
        <f t="shared" si="36"/>
        <v>0</v>
      </c>
      <c r="S39" s="386">
        <f t="shared" si="37"/>
        <v>0</v>
      </c>
      <c r="T39" s="386">
        <f t="shared" si="38"/>
        <v>0</v>
      </c>
      <c r="U39" s="386">
        <f t="shared" si="39"/>
        <v>500000000</v>
      </c>
      <c r="V39" s="361"/>
    </row>
    <row r="40" spans="1:22" s="347" customFormat="1" ht="14.25" customHeight="1">
      <c r="A40" s="366"/>
      <c r="B40" s="382">
        <v>38</v>
      </c>
      <c r="C40" s="347" t="s">
        <v>83</v>
      </c>
      <c r="D40" s="347" t="s">
        <v>24</v>
      </c>
      <c r="E40" s="357" t="s">
        <v>43</v>
      </c>
      <c r="F40" s="357" t="s">
        <v>26</v>
      </c>
      <c r="G40" s="358">
        <v>16000000</v>
      </c>
      <c r="H40" s="369" t="s">
        <v>27</v>
      </c>
      <c r="I40" s="371" t="s">
        <v>12</v>
      </c>
      <c r="J40" s="386">
        <f t="shared" si="28"/>
        <v>0</v>
      </c>
      <c r="K40" s="386">
        <f t="shared" si="29"/>
        <v>0</v>
      </c>
      <c r="L40" s="386">
        <f t="shared" si="30"/>
        <v>0</v>
      </c>
      <c r="M40" s="386">
        <f t="shared" si="31"/>
        <v>16000000</v>
      </c>
      <c r="N40" s="386">
        <f t="shared" si="32"/>
        <v>0</v>
      </c>
      <c r="O40" s="386">
        <f t="shared" si="33"/>
        <v>0</v>
      </c>
      <c r="P40" s="386">
        <f t="shared" si="34"/>
        <v>0</v>
      </c>
      <c r="Q40" s="386">
        <f t="shared" si="35"/>
        <v>0</v>
      </c>
      <c r="R40" s="386">
        <f t="shared" si="36"/>
        <v>0</v>
      </c>
      <c r="S40" s="386">
        <f t="shared" si="37"/>
        <v>0</v>
      </c>
      <c r="T40" s="386">
        <f t="shared" si="38"/>
        <v>0</v>
      </c>
      <c r="U40" s="386">
        <f t="shared" si="39"/>
        <v>0</v>
      </c>
      <c r="V40" s="357"/>
    </row>
    <row r="41" spans="1:22" s="347" customFormat="1" ht="14.25" customHeight="1">
      <c r="A41" s="367"/>
      <c r="B41" s="382">
        <v>39</v>
      </c>
      <c r="C41" s="347" t="s">
        <v>84</v>
      </c>
      <c r="D41" s="357" t="s">
        <v>24</v>
      </c>
      <c r="E41" s="357" t="s">
        <v>54</v>
      </c>
      <c r="F41" s="357" t="s">
        <v>33</v>
      </c>
      <c r="G41" s="358">
        <v>237714000</v>
      </c>
      <c r="H41" s="371" t="s">
        <v>40</v>
      </c>
      <c r="I41" s="371" t="s">
        <v>11</v>
      </c>
      <c r="J41" s="386">
        <f t="shared" si="28"/>
        <v>0</v>
      </c>
      <c r="K41" s="386">
        <f t="shared" si="29"/>
        <v>0</v>
      </c>
      <c r="L41" s="386">
        <f t="shared" si="30"/>
        <v>237714000</v>
      </c>
      <c r="M41" s="386">
        <f t="shared" si="31"/>
        <v>0</v>
      </c>
      <c r="N41" s="386">
        <f t="shared" si="32"/>
        <v>0</v>
      </c>
      <c r="O41" s="386">
        <f t="shared" si="33"/>
        <v>0</v>
      </c>
      <c r="P41" s="386">
        <f t="shared" si="34"/>
        <v>0</v>
      </c>
      <c r="Q41" s="386">
        <f t="shared" si="35"/>
        <v>0</v>
      </c>
      <c r="R41" s="386">
        <f t="shared" si="36"/>
        <v>0</v>
      </c>
      <c r="S41" s="386">
        <f t="shared" si="37"/>
        <v>0</v>
      </c>
      <c r="T41" s="386">
        <f t="shared" si="38"/>
        <v>0</v>
      </c>
      <c r="U41" s="386">
        <f t="shared" si="39"/>
        <v>0</v>
      </c>
      <c r="V41" s="357"/>
    </row>
    <row r="42" spans="1:22" s="347" customFormat="1" ht="14.25" customHeight="1">
      <c r="A42" s="366"/>
      <c r="B42" s="382">
        <v>40</v>
      </c>
      <c r="C42" s="347" t="s">
        <v>85</v>
      </c>
      <c r="D42" s="357" t="s">
        <v>24</v>
      </c>
      <c r="E42" s="357" t="s">
        <v>54</v>
      </c>
      <c r="F42" s="357" t="s">
        <v>86</v>
      </c>
      <c r="G42" s="358">
        <v>179900000</v>
      </c>
      <c r="H42" s="371" t="s">
        <v>27</v>
      </c>
      <c r="I42" s="371" t="s">
        <v>12</v>
      </c>
      <c r="J42" s="386">
        <f t="shared" si="28"/>
        <v>0</v>
      </c>
      <c r="K42" s="386">
        <f t="shared" si="29"/>
        <v>0</v>
      </c>
      <c r="L42" s="386">
        <f t="shared" si="30"/>
        <v>0</v>
      </c>
      <c r="M42" s="386">
        <f t="shared" si="31"/>
        <v>179900000</v>
      </c>
      <c r="N42" s="386">
        <f t="shared" si="32"/>
        <v>0</v>
      </c>
      <c r="O42" s="386">
        <f t="shared" si="33"/>
        <v>0</v>
      </c>
      <c r="P42" s="386">
        <f t="shared" si="34"/>
        <v>0</v>
      </c>
      <c r="Q42" s="386">
        <f t="shared" si="35"/>
        <v>0</v>
      </c>
      <c r="R42" s="386">
        <f t="shared" si="36"/>
        <v>0</v>
      </c>
      <c r="S42" s="386">
        <f t="shared" si="37"/>
        <v>0</v>
      </c>
      <c r="T42" s="386">
        <f t="shared" si="38"/>
        <v>0</v>
      </c>
      <c r="U42" s="386">
        <f t="shared" si="39"/>
        <v>0</v>
      </c>
      <c r="V42" s="357" t="s">
        <v>76</v>
      </c>
    </row>
    <row r="43" spans="1:22" s="347" customFormat="1" ht="14.25" customHeight="1">
      <c r="A43" s="366"/>
      <c r="B43" s="382">
        <v>41</v>
      </c>
      <c r="C43" s="372" t="s">
        <v>87</v>
      </c>
      <c r="D43" s="357" t="s">
        <v>24</v>
      </c>
      <c r="E43" s="357" t="s">
        <v>54</v>
      </c>
      <c r="F43" s="357" t="s">
        <v>88</v>
      </c>
      <c r="G43" s="358">
        <v>180000000</v>
      </c>
      <c r="H43" s="371" t="s">
        <v>27</v>
      </c>
      <c r="I43" s="371" t="s">
        <v>14</v>
      </c>
      <c r="J43" s="386">
        <f t="shared" si="28"/>
        <v>0</v>
      </c>
      <c r="K43" s="386">
        <f t="shared" si="29"/>
        <v>0</v>
      </c>
      <c r="L43" s="386">
        <f t="shared" si="30"/>
        <v>0</v>
      </c>
      <c r="M43" s="386">
        <f t="shared" si="31"/>
        <v>0</v>
      </c>
      <c r="N43" s="386">
        <f t="shared" si="32"/>
        <v>0</v>
      </c>
      <c r="O43" s="386">
        <f t="shared" si="33"/>
        <v>180000000</v>
      </c>
      <c r="P43" s="386">
        <f t="shared" si="34"/>
        <v>0</v>
      </c>
      <c r="Q43" s="386">
        <f t="shared" si="35"/>
        <v>0</v>
      </c>
      <c r="R43" s="386">
        <f t="shared" si="36"/>
        <v>0</v>
      </c>
      <c r="S43" s="386">
        <f t="shared" si="37"/>
        <v>0</v>
      </c>
      <c r="T43" s="386">
        <f t="shared" si="38"/>
        <v>0</v>
      </c>
      <c r="U43" s="386">
        <f t="shared" si="39"/>
        <v>0</v>
      </c>
      <c r="V43" s="357" t="s">
        <v>76</v>
      </c>
    </row>
    <row r="44" spans="1:22" s="347" customFormat="1" ht="12">
      <c r="A44" s="356" t="s">
        <v>22</v>
      </c>
      <c r="B44" s="382">
        <v>1</v>
      </c>
      <c r="C44" s="357" t="s">
        <v>89</v>
      </c>
      <c r="D44" s="357" t="s">
        <v>90</v>
      </c>
      <c r="E44" s="357" t="s">
        <v>91</v>
      </c>
      <c r="F44" s="357" t="s">
        <v>26</v>
      </c>
      <c r="G44" s="358">
        <v>1100000000</v>
      </c>
      <c r="H44" s="359" t="s">
        <v>27</v>
      </c>
      <c r="I44" s="359"/>
      <c r="J44" s="386">
        <f t="shared" si="28"/>
        <v>0</v>
      </c>
      <c r="K44" s="386">
        <f t="shared" si="29"/>
        <v>0</v>
      </c>
      <c r="L44" s="386">
        <f t="shared" si="30"/>
        <v>0</v>
      </c>
      <c r="M44" s="386">
        <f t="shared" si="31"/>
        <v>0</v>
      </c>
      <c r="N44" s="386">
        <f t="shared" si="32"/>
        <v>0</v>
      </c>
      <c r="O44" s="386">
        <f t="shared" si="33"/>
        <v>0</v>
      </c>
      <c r="P44" s="386">
        <f t="shared" si="34"/>
        <v>0</v>
      </c>
      <c r="Q44" s="386">
        <f t="shared" si="35"/>
        <v>0</v>
      </c>
      <c r="R44" s="386">
        <f t="shared" si="36"/>
        <v>0</v>
      </c>
      <c r="S44" s="386">
        <f t="shared" si="37"/>
        <v>0</v>
      </c>
      <c r="T44" s="386">
        <f t="shared" si="38"/>
        <v>0</v>
      </c>
      <c r="U44" s="386">
        <f t="shared" si="39"/>
        <v>0</v>
      </c>
      <c r="V44" s="357" t="s">
        <v>92</v>
      </c>
    </row>
    <row r="45" spans="1:22" s="347" customFormat="1" ht="12">
      <c r="A45" s="367"/>
      <c r="B45" s="382">
        <v>2</v>
      </c>
      <c r="C45" s="357" t="s">
        <v>93</v>
      </c>
      <c r="D45" s="357" t="s">
        <v>90</v>
      </c>
      <c r="E45" s="357" t="s">
        <v>91</v>
      </c>
      <c r="F45" s="357" t="s">
        <v>33</v>
      </c>
      <c r="G45" s="358">
        <v>40000000</v>
      </c>
      <c r="H45" s="359" t="s">
        <v>94</v>
      </c>
      <c r="I45" s="359"/>
      <c r="J45" s="386">
        <f t="shared" si="28"/>
        <v>0</v>
      </c>
      <c r="K45" s="386">
        <f t="shared" si="29"/>
        <v>0</v>
      </c>
      <c r="L45" s="386">
        <f t="shared" si="30"/>
        <v>0</v>
      </c>
      <c r="M45" s="386">
        <f t="shared" si="31"/>
        <v>0</v>
      </c>
      <c r="N45" s="386">
        <f t="shared" si="32"/>
        <v>0</v>
      </c>
      <c r="O45" s="386">
        <f t="shared" si="33"/>
        <v>0</v>
      </c>
      <c r="P45" s="386">
        <f t="shared" si="34"/>
        <v>0</v>
      </c>
      <c r="Q45" s="386">
        <f t="shared" si="35"/>
        <v>0</v>
      </c>
      <c r="R45" s="386">
        <f t="shared" si="36"/>
        <v>0</v>
      </c>
      <c r="S45" s="386">
        <f t="shared" si="37"/>
        <v>0</v>
      </c>
      <c r="T45" s="386">
        <f t="shared" si="38"/>
        <v>0</v>
      </c>
      <c r="U45" s="386">
        <f t="shared" si="39"/>
        <v>0</v>
      </c>
      <c r="V45" s="357" t="s">
        <v>92</v>
      </c>
    </row>
    <row r="46" spans="1:22" s="347" customFormat="1" ht="12">
      <c r="A46" s="367"/>
      <c r="B46" s="382">
        <v>3</v>
      </c>
      <c r="C46" s="357" t="s">
        <v>95</v>
      </c>
      <c r="D46" s="357" t="s">
        <v>90</v>
      </c>
      <c r="E46" s="357" t="s">
        <v>96</v>
      </c>
      <c r="F46" s="357" t="s">
        <v>26</v>
      </c>
      <c r="G46" s="358">
        <v>1300000000</v>
      </c>
      <c r="H46" s="359" t="s">
        <v>94</v>
      </c>
      <c r="I46" s="359"/>
      <c r="J46" s="386">
        <f t="shared" si="28"/>
        <v>0</v>
      </c>
      <c r="K46" s="386">
        <f t="shared" si="29"/>
        <v>0</v>
      </c>
      <c r="L46" s="386">
        <f t="shared" si="30"/>
        <v>0</v>
      </c>
      <c r="M46" s="386">
        <f t="shared" si="31"/>
        <v>0</v>
      </c>
      <c r="N46" s="386">
        <f t="shared" si="32"/>
        <v>0</v>
      </c>
      <c r="O46" s="386">
        <f t="shared" si="33"/>
        <v>0</v>
      </c>
      <c r="P46" s="386">
        <f t="shared" si="34"/>
        <v>0</v>
      </c>
      <c r="Q46" s="386">
        <f t="shared" si="35"/>
        <v>0</v>
      </c>
      <c r="R46" s="386">
        <f t="shared" si="36"/>
        <v>0</v>
      </c>
      <c r="S46" s="386">
        <f t="shared" si="37"/>
        <v>0</v>
      </c>
      <c r="T46" s="386">
        <f t="shared" si="38"/>
        <v>0</v>
      </c>
      <c r="U46" s="386">
        <f t="shared" si="39"/>
        <v>0</v>
      </c>
      <c r="V46" s="357" t="s">
        <v>97</v>
      </c>
    </row>
    <row r="47" spans="1:22" s="347" customFormat="1" ht="12">
      <c r="A47" s="367"/>
      <c r="B47" s="382">
        <v>4</v>
      </c>
      <c r="C47" s="357" t="s">
        <v>98</v>
      </c>
      <c r="D47" s="357" t="s">
        <v>90</v>
      </c>
      <c r="E47" s="357" t="s">
        <v>96</v>
      </c>
      <c r="F47" s="357" t="s">
        <v>26</v>
      </c>
      <c r="G47" s="358">
        <v>520000000</v>
      </c>
      <c r="H47" s="359" t="s">
        <v>94</v>
      </c>
      <c r="I47" s="359"/>
      <c r="J47" s="386">
        <f t="shared" si="28"/>
        <v>0</v>
      </c>
      <c r="K47" s="386">
        <f t="shared" si="29"/>
        <v>0</v>
      </c>
      <c r="L47" s="386">
        <f t="shared" si="30"/>
        <v>0</v>
      </c>
      <c r="M47" s="386">
        <f t="shared" si="31"/>
        <v>0</v>
      </c>
      <c r="N47" s="386">
        <f t="shared" si="32"/>
        <v>0</v>
      </c>
      <c r="O47" s="386">
        <f t="shared" si="33"/>
        <v>0</v>
      </c>
      <c r="P47" s="386">
        <f t="shared" si="34"/>
        <v>0</v>
      </c>
      <c r="Q47" s="386">
        <f t="shared" si="35"/>
        <v>0</v>
      </c>
      <c r="R47" s="386">
        <f t="shared" si="36"/>
        <v>0</v>
      </c>
      <c r="S47" s="386">
        <f t="shared" si="37"/>
        <v>0</v>
      </c>
      <c r="T47" s="386">
        <f t="shared" si="38"/>
        <v>0</v>
      </c>
      <c r="U47" s="386">
        <f t="shared" si="39"/>
        <v>0</v>
      </c>
      <c r="V47" s="357" t="s">
        <v>92</v>
      </c>
    </row>
    <row r="48" spans="1:22" s="347" customFormat="1" ht="12">
      <c r="A48" s="366"/>
      <c r="B48" s="382">
        <v>5</v>
      </c>
      <c r="C48" s="357" t="s">
        <v>99</v>
      </c>
      <c r="D48" s="357" t="s">
        <v>90</v>
      </c>
      <c r="E48" s="357" t="s">
        <v>96</v>
      </c>
      <c r="F48" s="357" t="s">
        <v>100</v>
      </c>
      <c r="G48" s="358">
        <v>1450000000</v>
      </c>
      <c r="H48" s="359" t="s">
        <v>30</v>
      </c>
      <c r="I48" s="359" t="s">
        <v>13</v>
      </c>
      <c r="J48" s="386">
        <f t="shared" si="28"/>
        <v>0</v>
      </c>
      <c r="K48" s="386">
        <f t="shared" si="29"/>
        <v>0</v>
      </c>
      <c r="L48" s="386">
        <f t="shared" si="30"/>
        <v>0</v>
      </c>
      <c r="M48" s="386">
        <f t="shared" si="31"/>
        <v>0</v>
      </c>
      <c r="N48" s="386">
        <f t="shared" si="32"/>
        <v>1450000000</v>
      </c>
      <c r="O48" s="386">
        <f t="shared" si="33"/>
        <v>0</v>
      </c>
      <c r="P48" s="386">
        <f t="shared" si="34"/>
        <v>0</v>
      </c>
      <c r="Q48" s="386">
        <f t="shared" si="35"/>
        <v>0</v>
      </c>
      <c r="R48" s="386">
        <f t="shared" si="36"/>
        <v>0</v>
      </c>
      <c r="S48" s="386">
        <f t="shared" si="37"/>
        <v>0</v>
      </c>
      <c r="T48" s="386">
        <f t="shared" si="38"/>
        <v>0</v>
      </c>
      <c r="U48" s="386">
        <f t="shared" si="39"/>
        <v>0</v>
      </c>
      <c r="V48" s="357" t="s">
        <v>101</v>
      </c>
    </row>
    <row r="49" spans="1:22" s="347" customFormat="1" ht="12">
      <c r="A49" s="367"/>
      <c r="B49" s="382">
        <v>6</v>
      </c>
      <c r="C49" s="373" t="s">
        <v>102</v>
      </c>
      <c r="D49" s="373" t="s">
        <v>90</v>
      </c>
      <c r="E49" s="373" t="s">
        <v>103</v>
      </c>
      <c r="F49" s="373" t="s">
        <v>26</v>
      </c>
      <c r="G49" s="374">
        <v>1800000000</v>
      </c>
      <c r="H49" s="375" t="s">
        <v>67</v>
      </c>
      <c r="I49" s="359"/>
      <c r="J49" s="386">
        <f t="shared" si="28"/>
        <v>0</v>
      </c>
      <c r="K49" s="386">
        <f t="shared" si="29"/>
        <v>0</v>
      </c>
      <c r="L49" s="386">
        <f t="shared" si="30"/>
        <v>0</v>
      </c>
      <c r="M49" s="386">
        <f t="shared" si="31"/>
        <v>0</v>
      </c>
      <c r="N49" s="386">
        <f t="shared" si="32"/>
        <v>0</v>
      </c>
      <c r="O49" s="386">
        <f t="shared" si="33"/>
        <v>0</v>
      </c>
      <c r="P49" s="386">
        <f t="shared" si="34"/>
        <v>0</v>
      </c>
      <c r="Q49" s="386">
        <f t="shared" si="35"/>
        <v>0</v>
      </c>
      <c r="R49" s="386">
        <f t="shared" si="36"/>
        <v>0</v>
      </c>
      <c r="S49" s="386">
        <f t="shared" si="37"/>
        <v>0</v>
      </c>
      <c r="T49" s="386">
        <f t="shared" si="38"/>
        <v>0</v>
      </c>
      <c r="U49" s="386">
        <f t="shared" si="39"/>
        <v>0</v>
      </c>
      <c r="V49" s="357" t="s">
        <v>101</v>
      </c>
    </row>
    <row r="50" spans="1:22" s="347" customFormat="1" ht="16.5" customHeight="1">
      <c r="A50" s="367"/>
      <c r="B50" s="382">
        <v>7</v>
      </c>
      <c r="C50" s="357" t="s">
        <v>104</v>
      </c>
      <c r="D50" s="357" t="s">
        <v>90</v>
      </c>
      <c r="E50" s="357" t="s">
        <v>103</v>
      </c>
      <c r="F50" s="357" t="s">
        <v>100</v>
      </c>
      <c r="G50" s="358">
        <v>342000000</v>
      </c>
      <c r="H50" s="359" t="s">
        <v>67</v>
      </c>
      <c r="I50" s="359"/>
      <c r="J50" s="386">
        <f t="shared" si="28"/>
        <v>0</v>
      </c>
      <c r="K50" s="386">
        <f t="shared" si="29"/>
        <v>0</v>
      </c>
      <c r="L50" s="386">
        <f t="shared" si="30"/>
        <v>0</v>
      </c>
      <c r="M50" s="386">
        <f t="shared" si="31"/>
        <v>0</v>
      </c>
      <c r="N50" s="386">
        <f t="shared" si="32"/>
        <v>0</v>
      </c>
      <c r="O50" s="386">
        <f t="shared" si="33"/>
        <v>0</v>
      </c>
      <c r="P50" s="386">
        <f t="shared" si="34"/>
        <v>0</v>
      </c>
      <c r="Q50" s="386">
        <f t="shared" si="35"/>
        <v>0</v>
      </c>
      <c r="R50" s="386">
        <f t="shared" si="36"/>
        <v>0</v>
      </c>
      <c r="S50" s="386">
        <f t="shared" si="37"/>
        <v>0</v>
      </c>
      <c r="T50" s="386">
        <f t="shared" si="38"/>
        <v>0</v>
      </c>
      <c r="U50" s="386">
        <f t="shared" si="39"/>
        <v>0</v>
      </c>
      <c r="V50" s="380" t="s">
        <v>105</v>
      </c>
    </row>
    <row r="51" spans="1:22" s="347" customFormat="1" ht="12">
      <c r="A51" s="367"/>
      <c r="B51" s="382">
        <v>8</v>
      </c>
      <c r="C51" s="357" t="s">
        <v>106</v>
      </c>
      <c r="D51" s="357" t="s">
        <v>90</v>
      </c>
      <c r="E51" s="357" t="s">
        <v>103</v>
      </c>
      <c r="F51" s="357" t="s">
        <v>26</v>
      </c>
      <c r="G51" s="358">
        <v>352000000</v>
      </c>
      <c r="H51" s="359" t="s">
        <v>94</v>
      </c>
      <c r="I51" s="359"/>
      <c r="J51" s="386">
        <f t="shared" si="28"/>
        <v>0</v>
      </c>
      <c r="K51" s="386">
        <f t="shared" si="29"/>
        <v>0</v>
      </c>
      <c r="L51" s="386">
        <f t="shared" si="30"/>
        <v>0</v>
      </c>
      <c r="M51" s="386">
        <f t="shared" si="31"/>
        <v>0</v>
      </c>
      <c r="N51" s="386">
        <f t="shared" si="32"/>
        <v>0</v>
      </c>
      <c r="O51" s="386">
        <f t="shared" si="33"/>
        <v>0</v>
      </c>
      <c r="P51" s="386">
        <f t="shared" si="34"/>
        <v>0</v>
      </c>
      <c r="Q51" s="386">
        <f t="shared" si="35"/>
        <v>0</v>
      </c>
      <c r="R51" s="386">
        <f t="shared" si="36"/>
        <v>0</v>
      </c>
      <c r="S51" s="386">
        <f t="shared" si="37"/>
        <v>0</v>
      </c>
      <c r="T51" s="386">
        <f t="shared" si="38"/>
        <v>0</v>
      </c>
      <c r="U51" s="386">
        <f t="shared" si="39"/>
        <v>0</v>
      </c>
      <c r="V51" s="380" t="s">
        <v>107</v>
      </c>
    </row>
    <row r="52" spans="1:22" s="347" customFormat="1" ht="12">
      <c r="A52" s="367"/>
      <c r="B52" s="382">
        <v>9</v>
      </c>
      <c r="C52" s="357" t="s">
        <v>108</v>
      </c>
      <c r="D52" s="357" t="s">
        <v>90</v>
      </c>
      <c r="E52" s="357" t="s">
        <v>103</v>
      </c>
      <c r="F52" s="357" t="s">
        <v>26</v>
      </c>
      <c r="G52" s="358">
        <v>215249000</v>
      </c>
      <c r="H52" s="359" t="s">
        <v>67</v>
      </c>
      <c r="I52" s="359"/>
      <c r="J52" s="386">
        <f t="shared" si="28"/>
        <v>0</v>
      </c>
      <c r="K52" s="386">
        <f t="shared" si="29"/>
        <v>0</v>
      </c>
      <c r="L52" s="386">
        <f t="shared" si="30"/>
        <v>0</v>
      </c>
      <c r="M52" s="386">
        <f t="shared" si="31"/>
        <v>0</v>
      </c>
      <c r="N52" s="386">
        <f t="shared" si="32"/>
        <v>0</v>
      </c>
      <c r="O52" s="386">
        <f t="shared" si="33"/>
        <v>0</v>
      </c>
      <c r="P52" s="386">
        <f t="shared" si="34"/>
        <v>0</v>
      </c>
      <c r="Q52" s="386">
        <f t="shared" si="35"/>
        <v>0</v>
      </c>
      <c r="R52" s="386">
        <f t="shared" si="36"/>
        <v>0</v>
      </c>
      <c r="S52" s="386">
        <f t="shared" si="37"/>
        <v>0</v>
      </c>
      <c r="T52" s="386">
        <f t="shared" si="38"/>
        <v>0</v>
      </c>
      <c r="U52" s="386">
        <f t="shared" si="39"/>
        <v>0</v>
      </c>
      <c r="V52" s="357" t="s">
        <v>109</v>
      </c>
    </row>
    <row r="53" spans="1:22" s="347" customFormat="1" ht="12">
      <c r="A53" s="367"/>
      <c r="B53" s="382">
        <v>10</v>
      </c>
      <c r="C53" s="357" t="s">
        <v>110</v>
      </c>
      <c r="D53" s="357" t="s">
        <v>90</v>
      </c>
      <c r="E53" s="357" t="s">
        <v>103</v>
      </c>
      <c r="F53" s="357" t="s">
        <v>33</v>
      </c>
      <c r="G53" s="358">
        <v>1520000000</v>
      </c>
      <c r="H53" s="359" t="s">
        <v>40</v>
      </c>
      <c r="I53" s="359" t="s">
        <v>9</v>
      </c>
      <c r="J53" s="386">
        <f t="shared" si="28"/>
        <v>1520000000</v>
      </c>
      <c r="K53" s="386">
        <f t="shared" si="29"/>
        <v>0</v>
      </c>
      <c r="L53" s="386">
        <f t="shared" si="30"/>
        <v>0</v>
      </c>
      <c r="M53" s="386">
        <f t="shared" si="31"/>
        <v>0</v>
      </c>
      <c r="N53" s="386">
        <f t="shared" si="32"/>
        <v>0</v>
      </c>
      <c r="O53" s="386">
        <f t="shared" si="33"/>
        <v>0</v>
      </c>
      <c r="P53" s="386">
        <f t="shared" si="34"/>
        <v>0</v>
      </c>
      <c r="Q53" s="386">
        <f t="shared" si="35"/>
        <v>0</v>
      </c>
      <c r="R53" s="386">
        <f t="shared" si="36"/>
        <v>0</v>
      </c>
      <c r="S53" s="386">
        <f t="shared" si="37"/>
        <v>0</v>
      </c>
      <c r="T53" s="386">
        <f t="shared" si="38"/>
        <v>0</v>
      </c>
      <c r="U53" s="386">
        <f t="shared" si="39"/>
        <v>0</v>
      </c>
      <c r="V53" s="357" t="s">
        <v>111</v>
      </c>
    </row>
    <row r="54" spans="1:22" s="347" customFormat="1" ht="12">
      <c r="A54" s="356" t="s">
        <v>22</v>
      </c>
      <c r="B54" s="382">
        <v>11</v>
      </c>
      <c r="C54" s="357" t="s">
        <v>112</v>
      </c>
      <c r="D54" s="357" t="s">
        <v>90</v>
      </c>
      <c r="E54" s="357" t="s">
        <v>103</v>
      </c>
      <c r="F54" s="357" t="s">
        <v>100</v>
      </c>
      <c r="G54" s="358">
        <v>4500000000</v>
      </c>
      <c r="H54" s="375" t="s">
        <v>27</v>
      </c>
      <c r="I54" s="375" t="s">
        <v>17</v>
      </c>
      <c r="J54" s="386">
        <f t="shared" si="28"/>
        <v>0</v>
      </c>
      <c r="K54" s="386">
        <f t="shared" si="29"/>
        <v>0</v>
      </c>
      <c r="L54" s="386">
        <f t="shared" si="30"/>
        <v>0</v>
      </c>
      <c r="M54" s="386">
        <f t="shared" si="31"/>
        <v>0</v>
      </c>
      <c r="N54" s="386">
        <f t="shared" si="32"/>
        <v>0</v>
      </c>
      <c r="O54" s="386">
        <f t="shared" si="33"/>
        <v>0</v>
      </c>
      <c r="P54" s="386">
        <f t="shared" si="34"/>
        <v>0</v>
      </c>
      <c r="Q54" s="386">
        <f t="shared" si="35"/>
        <v>0</v>
      </c>
      <c r="R54" s="386">
        <f t="shared" si="36"/>
        <v>4500000000</v>
      </c>
      <c r="S54" s="386">
        <f t="shared" si="37"/>
        <v>0</v>
      </c>
      <c r="T54" s="386">
        <f t="shared" si="38"/>
        <v>0</v>
      </c>
      <c r="U54" s="386">
        <f t="shared" si="39"/>
        <v>0</v>
      </c>
      <c r="V54" s="347" t="s">
        <v>113</v>
      </c>
    </row>
    <row r="55" spans="1:22" s="347" customFormat="1" ht="12">
      <c r="A55" s="367"/>
      <c r="B55" s="382">
        <v>12</v>
      </c>
      <c r="C55" s="373" t="s">
        <v>110</v>
      </c>
      <c r="D55" s="373" t="s">
        <v>90</v>
      </c>
      <c r="E55" s="373" t="s">
        <v>103</v>
      </c>
      <c r="F55" s="373" t="s">
        <v>33</v>
      </c>
      <c r="G55" s="374">
        <v>660000000</v>
      </c>
      <c r="H55" s="375" t="s">
        <v>40</v>
      </c>
      <c r="I55" s="375" t="s">
        <v>9</v>
      </c>
      <c r="J55" s="386">
        <f t="shared" si="28"/>
        <v>660000000</v>
      </c>
      <c r="K55" s="386">
        <f t="shared" si="29"/>
        <v>0</v>
      </c>
      <c r="L55" s="386">
        <f t="shared" si="30"/>
        <v>0</v>
      </c>
      <c r="M55" s="386">
        <f t="shared" si="31"/>
        <v>0</v>
      </c>
      <c r="N55" s="386">
        <f t="shared" si="32"/>
        <v>0</v>
      </c>
      <c r="O55" s="386">
        <f t="shared" si="33"/>
        <v>0</v>
      </c>
      <c r="P55" s="386">
        <f t="shared" si="34"/>
        <v>0</v>
      </c>
      <c r="Q55" s="386">
        <f t="shared" si="35"/>
        <v>0</v>
      </c>
      <c r="R55" s="386">
        <f t="shared" si="36"/>
        <v>0</v>
      </c>
      <c r="S55" s="386">
        <f t="shared" si="37"/>
        <v>0</v>
      </c>
      <c r="T55" s="386">
        <f t="shared" si="38"/>
        <v>0</v>
      </c>
      <c r="U55" s="386">
        <f t="shared" si="39"/>
        <v>0</v>
      </c>
      <c r="V55" s="347" t="s">
        <v>114</v>
      </c>
    </row>
    <row r="56" spans="1:22" s="347" customFormat="1" ht="12">
      <c r="A56" s="366"/>
      <c r="B56" s="382">
        <v>13</v>
      </c>
      <c r="C56" s="357" t="s">
        <v>115</v>
      </c>
      <c r="D56" s="357" t="s">
        <v>90</v>
      </c>
      <c r="E56" s="357" t="s">
        <v>96</v>
      </c>
      <c r="F56" s="357" t="s">
        <v>100</v>
      </c>
      <c r="G56" s="358">
        <v>2394940020</v>
      </c>
      <c r="H56" s="359" t="s">
        <v>72</v>
      </c>
      <c r="I56" s="359" t="s">
        <v>12</v>
      </c>
      <c r="J56" s="386">
        <f t="shared" si="28"/>
        <v>0</v>
      </c>
      <c r="K56" s="386">
        <f t="shared" si="29"/>
        <v>0</v>
      </c>
      <c r="L56" s="386">
        <f t="shared" si="30"/>
        <v>0</v>
      </c>
      <c r="M56" s="386">
        <f t="shared" si="31"/>
        <v>2394940020</v>
      </c>
      <c r="N56" s="386">
        <f t="shared" si="32"/>
        <v>0</v>
      </c>
      <c r="O56" s="386">
        <f t="shared" si="33"/>
        <v>0</v>
      </c>
      <c r="P56" s="386">
        <f t="shared" si="34"/>
        <v>0</v>
      </c>
      <c r="Q56" s="386">
        <f t="shared" si="35"/>
        <v>0</v>
      </c>
      <c r="R56" s="386">
        <f t="shared" si="36"/>
        <v>0</v>
      </c>
      <c r="S56" s="386">
        <f t="shared" si="37"/>
        <v>0</v>
      </c>
      <c r="T56" s="386">
        <f t="shared" si="38"/>
        <v>0</v>
      </c>
      <c r="U56" s="386">
        <f t="shared" si="39"/>
        <v>0</v>
      </c>
      <c r="V56" s="357" t="s">
        <v>116</v>
      </c>
    </row>
    <row r="57" spans="1:22" s="347" customFormat="1" ht="12">
      <c r="A57" s="367"/>
      <c r="B57" s="382">
        <v>14</v>
      </c>
      <c r="C57" s="357" t="s">
        <v>117</v>
      </c>
      <c r="D57" s="357" t="s">
        <v>90</v>
      </c>
      <c r="E57" s="357" t="s">
        <v>96</v>
      </c>
      <c r="F57" s="357" t="s">
        <v>33</v>
      </c>
      <c r="G57" s="358">
        <v>2567891000</v>
      </c>
      <c r="H57" s="375" t="s">
        <v>40</v>
      </c>
      <c r="I57" s="375" t="s">
        <v>11</v>
      </c>
      <c r="J57" s="386">
        <f t="shared" si="28"/>
        <v>0</v>
      </c>
      <c r="K57" s="386">
        <f t="shared" si="29"/>
        <v>0</v>
      </c>
      <c r="L57" s="386">
        <f t="shared" si="30"/>
        <v>2567891000</v>
      </c>
      <c r="M57" s="386">
        <f t="shared" si="31"/>
        <v>0</v>
      </c>
      <c r="N57" s="386">
        <f t="shared" si="32"/>
        <v>0</v>
      </c>
      <c r="O57" s="386">
        <f t="shared" si="33"/>
        <v>0</v>
      </c>
      <c r="P57" s="386">
        <f t="shared" si="34"/>
        <v>0</v>
      </c>
      <c r="Q57" s="386">
        <f t="shared" si="35"/>
        <v>0</v>
      </c>
      <c r="R57" s="386">
        <f t="shared" si="36"/>
        <v>0</v>
      </c>
      <c r="S57" s="386">
        <f t="shared" si="37"/>
        <v>0</v>
      </c>
      <c r="T57" s="386">
        <f t="shared" si="38"/>
        <v>0</v>
      </c>
      <c r="U57" s="386">
        <f t="shared" si="39"/>
        <v>0</v>
      </c>
      <c r="V57" s="347" t="s">
        <v>118</v>
      </c>
    </row>
    <row r="58" spans="1:22" s="347" customFormat="1" ht="12">
      <c r="A58" s="367"/>
      <c r="B58" s="382">
        <v>15</v>
      </c>
      <c r="C58" s="373" t="s">
        <v>110</v>
      </c>
      <c r="D58" s="373" t="s">
        <v>90</v>
      </c>
      <c r="E58" s="373" t="s">
        <v>103</v>
      </c>
      <c r="F58" s="373" t="s">
        <v>33</v>
      </c>
      <c r="G58" s="374">
        <v>169000000</v>
      </c>
      <c r="H58" s="359" t="s">
        <v>40</v>
      </c>
      <c r="I58" s="371" t="s">
        <v>10</v>
      </c>
      <c r="J58" s="386">
        <f t="shared" si="28"/>
        <v>0</v>
      </c>
      <c r="K58" s="386">
        <f t="shared" si="29"/>
        <v>169000000</v>
      </c>
      <c r="L58" s="386">
        <f t="shared" si="30"/>
        <v>0</v>
      </c>
      <c r="M58" s="386">
        <f t="shared" si="31"/>
        <v>0</v>
      </c>
      <c r="N58" s="386">
        <f t="shared" si="32"/>
        <v>0</v>
      </c>
      <c r="O58" s="386">
        <f t="shared" si="33"/>
        <v>0</v>
      </c>
      <c r="P58" s="386">
        <f t="shared" si="34"/>
        <v>0</v>
      </c>
      <c r="Q58" s="386">
        <f t="shared" si="35"/>
        <v>0</v>
      </c>
      <c r="R58" s="386">
        <f t="shared" si="36"/>
        <v>0</v>
      </c>
      <c r="S58" s="386">
        <f t="shared" si="37"/>
        <v>0</v>
      </c>
      <c r="T58" s="386">
        <f t="shared" si="38"/>
        <v>0</v>
      </c>
      <c r="U58" s="386">
        <f t="shared" si="39"/>
        <v>0</v>
      </c>
      <c r="V58" s="357" t="s">
        <v>119</v>
      </c>
    </row>
    <row r="59" spans="1:22" s="347" customFormat="1" ht="12">
      <c r="A59" s="366"/>
      <c r="B59" s="382">
        <v>16</v>
      </c>
      <c r="C59" s="373" t="s">
        <v>120</v>
      </c>
      <c r="D59" s="373" t="s">
        <v>90</v>
      </c>
      <c r="E59" s="373" t="s">
        <v>103</v>
      </c>
      <c r="F59" s="373" t="s">
        <v>26</v>
      </c>
      <c r="G59" s="374">
        <v>1000000000</v>
      </c>
      <c r="H59" s="375" t="s">
        <v>27</v>
      </c>
      <c r="I59" s="359" t="s">
        <v>12</v>
      </c>
      <c r="J59" s="386">
        <f t="shared" si="28"/>
        <v>0</v>
      </c>
      <c r="K59" s="386">
        <f t="shared" si="29"/>
        <v>0</v>
      </c>
      <c r="L59" s="386">
        <f t="shared" si="30"/>
        <v>0</v>
      </c>
      <c r="M59" s="386">
        <f t="shared" si="31"/>
        <v>1000000000</v>
      </c>
      <c r="N59" s="386">
        <f t="shared" si="32"/>
        <v>0</v>
      </c>
      <c r="O59" s="386">
        <f t="shared" si="33"/>
        <v>0</v>
      </c>
      <c r="P59" s="386">
        <f t="shared" si="34"/>
        <v>0</v>
      </c>
      <c r="Q59" s="386">
        <f t="shared" si="35"/>
        <v>0</v>
      </c>
      <c r="R59" s="386">
        <f t="shared" si="36"/>
        <v>0</v>
      </c>
      <c r="S59" s="386">
        <f t="shared" si="37"/>
        <v>0</v>
      </c>
      <c r="T59" s="386">
        <f t="shared" si="38"/>
        <v>0</v>
      </c>
      <c r="U59" s="386">
        <f t="shared" si="39"/>
        <v>0</v>
      </c>
      <c r="V59" s="357" t="s">
        <v>121</v>
      </c>
    </row>
    <row r="60" spans="1:22" s="347" customFormat="1" ht="12">
      <c r="A60" s="367"/>
      <c r="B60" s="382">
        <v>17</v>
      </c>
      <c r="C60" s="373" t="s">
        <v>122</v>
      </c>
      <c r="D60" s="373" t="s">
        <v>90</v>
      </c>
      <c r="E60" s="373" t="s">
        <v>103</v>
      </c>
      <c r="F60" s="373" t="s">
        <v>33</v>
      </c>
      <c r="G60" s="374">
        <v>934000000</v>
      </c>
      <c r="H60" s="375" t="s">
        <v>40</v>
      </c>
      <c r="I60" s="359" t="s">
        <v>11</v>
      </c>
      <c r="J60" s="386">
        <f t="shared" si="28"/>
        <v>0</v>
      </c>
      <c r="K60" s="386">
        <f t="shared" si="29"/>
        <v>0</v>
      </c>
      <c r="L60" s="386">
        <f t="shared" si="30"/>
        <v>934000000</v>
      </c>
      <c r="M60" s="386">
        <f t="shared" si="31"/>
        <v>0</v>
      </c>
      <c r="N60" s="386">
        <f t="shared" si="32"/>
        <v>0</v>
      </c>
      <c r="O60" s="386">
        <f t="shared" si="33"/>
        <v>0</v>
      </c>
      <c r="P60" s="386">
        <f t="shared" si="34"/>
        <v>0</v>
      </c>
      <c r="Q60" s="386">
        <f t="shared" si="35"/>
        <v>0</v>
      </c>
      <c r="R60" s="386">
        <f t="shared" si="36"/>
        <v>0</v>
      </c>
      <c r="S60" s="386">
        <f t="shared" si="37"/>
        <v>0</v>
      </c>
      <c r="T60" s="386">
        <f t="shared" si="38"/>
        <v>0</v>
      </c>
      <c r="U60" s="386">
        <f t="shared" si="39"/>
        <v>0</v>
      </c>
      <c r="V60" s="357" t="s">
        <v>123</v>
      </c>
    </row>
    <row r="61" spans="1:22" s="347" customFormat="1" ht="12">
      <c r="A61" s="367"/>
      <c r="B61" s="383">
        <v>18</v>
      </c>
      <c r="C61" s="376" t="s">
        <v>124</v>
      </c>
      <c r="D61" s="376" t="s">
        <v>90</v>
      </c>
      <c r="E61" s="376" t="s">
        <v>96</v>
      </c>
      <c r="F61" s="376" t="s">
        <v>33</v>
      </c>
      <c r="G61" s="377">
        <v>1500000000</v>
      </c>
      <c r="H61" s="378" t="s">
        <v>94</v>
      </c>
      <c r="I61" s="371"/>
      <c r="J61" s="387">
        <f t="shared" si="28"/>
        <v>0</v>
      </c>
      <c r="K61" s="387">
        <f t="shared" si="29"/>
        <v>0</v>
      </c>
      <c r="L61" s="387">
        <f t="shared" si="30"/>
        <v>0</v>
      </c>
      <c r="M61" s="387">
        <f t="shared" si="31"/>
        <v>0</v>
      </c>
      <c r="N61" s="387">
        <f t="shared" si="32"/>
        <v>0</v>
      </c>
      <c r="O61" s="387">
        <f t="shared" si="33"/>
        <v>0</v>
      </c>
      <c r="P61" s="387">
        <f t="shared" si="34"/>
        <v>0</v>
      </c>
      <c r="Q61" s="387">
        <f t="shared" si="35"/>
        <v>0</v>
      </c>
      <c r="R61" s="387">
        <f t="shared" si="36"/>
        <v>0</v>
      </c>
      <c r="S61" s="387">
        <f t="shared" si="37"/>
        <v>0</v>
      </c>
      <c r="T61" s="387">
        <f t="shared" si="38"/>
        <v>0</v>
      </c>
      <c r="U61" s="387">
        <f t="shared" si="39"/>
        <v>0</v>
      </c>
      <c r="V61" s="376" t="s">
        <v>125</v>
      </c>
    </row>
    <row r="62" spans="1:22" s="347" customFormat="1" ht="12">
      <c r="A62" s="356" t="s">
        <v>22</v>
      </c>
      <c r="B62" s="382">
        <v>19</v>
      </c>
      <c r="C62" s="357" t="s">
        <v>126</v>
      </c>
      <c r="D62" s="357" t="s">
        <v>90</v>
      </c>
      <c r="E62" s="357" t="s">
        <v>103</v>
      </c>
      <c r="F62" s="357" t="s">
        <v>26</v>
      </c>
      <c r="G62" s="358">
        <v>1000000000</v>
      </c>
      <c r="H62" s="359" t="s">
        <v>27</v>
      </c>
      <c r="I62" s="359" t="s">
        <v>14</v>
      </c>
      <c r="J62" s="386">
        <f t="shared" si="28"/>
        <v>0</v>
      </c>
      <c r="K62" s="386">
        <f t="shared" si="29"/>
        <v>0</v>
      </c>
      <c r="L62" s="386">
        <f t="shared" si="30"/>
        <v>0</v>
      </c>
      <c r="M62" s="386">
        <f t="shared" si="31"/>
        <v>0</v>
      </c>
      <c r="N62" s="386">
        <f t="shared" si="32"/>
        <v>0</v>
      </c>
      <c r="O62" s="386">
        <f t="shared" si="33"/>
        <v>1000000000</v>
      </c>
      <c r="P62" s="386">
        <f t="shared" si="34"/>
        <v>0</v>
      </c>
      <c r="Q62" s="386">
        <f t="shared" si="35"/>
        <v>0</v>
      </c>
      <c r="R62" s="386">
        <f t="shared" si="36"/>
        <v>0</v>
      </c>
      <c r="S62" s="386">
        <f t="shared" si="37"/>
        <v>0</v>
      </c>
      <c r="T62" s="386">
        <f t="shared" si="38"/>
        <v>0</v>
      </c>
      <c r="U62" s="386">
        <f t="shared" si="39"/>
        <v>0</v>
      </c>
      <c r="V62" s="357"/>
    </row>
    <row r="63" spans="1:22" s="347" customFormat="1" ht="12">
      <c r="A63" s="367"/>
      <c r="B63" s="383">
        <v>20</v>
      </c>
      <c r="C63" s="357" t="s">
        <v>127</v>
      </c>
      <c r="D63" s="357" t="s">
        <v>90</v>
      </c>
      <c r="E63" s="357" t="s">
        <v>103</v>
      </c>
      <c r="F63" s="357" t="s">
        <v>33</v>
      </c>
      <c r="G63" s="358">
        <v>2250000000</v>
      </c>
      <c r="H63" s="359" t="s">
        <v>40</v>
      </c>
      <c r="I63" s="359" t="s">
        <v>11</v>
      </c>
      <c r="J63" s="387">
        <f t="shared" si="28"/>
        <v>0</v>
      </c>
      <c r="K63" s="387">
        <f t="shared" si="29"/>
        <v>0</v>
      </c>
      <c r="L63" s="387">
        <f t="shared" si="30"/>
        <v>2250000000</v>
      </c>
      <c r="M63" s="387">
        <f t="shared" si="31"/>
        <v>0</v>
      </c>
      <c r="N63" s="387">
        <f t="shared" si="32"/>
        <v>0</v>
      </c>
      <c r="O63" s="387">
        <f t="shared" si="33"/>
        <v>0</v>
      </c>
      <c r="P63" s="387">
        <f t="shared" si="34"/>
        <v>0</v>
      </c>
      <c r="Q63" s="387">
        <f t="shared" si="35"/>
        <v>0</v>
      </c>
      <c r="R63" s="387">
        <f t="shared" si="36"/>
        <v>0</v>
      </c>
      <c r="S63" s="387">
        <f t="shared" si="37"/>
        <v>0</v>
      </c>
      <c r="T63" s="387">
        <f t="shared" si="38"/>
        <v>0</v>
      </c>
      <c r="U63" s="387">
        <f t="shared" si="39"/>
        <v>0</v>
      </c>
      <c r="V63" s="376"/>
    </row>
    <row r="64" spans="1:22" s="347" customFormat="1" ht="12">
      <c r="A64" s="366"/>
      <c r="B64" s="382">
        <v>21</v>
      </c>
      <c r="C64" s="373" t="s">
        <v>122</v>
      </c>
      <c r="D64" s="373" t="s">
        <v>90</v>
      </c>
      <c r="E64" s="373" t="s">
        <v>103</v>
      </c>
      <c r="F64" s="373" t="s">
        <v>33</v>
      </c>
      <c r="G64" s="374">
        <v>960000000</v>
      </c>
      <c r="H64" s="375" t="s">
        <v>27</v>
      </c>
      <c r="I64" s="359" t="s">
        <v>14</v>
      </c>
      <c r="J64" s="386">
        <f t="shared" si="28"/>
        <v>0</v>
      </c>
      <c r="K64" s="386">
        <f t="shared" si="29"/>
        <v>0</v>
      </c>
      <c r="L64" s="386">
        <f t="shared" si="30"/>
        <v>0</v>
      </c>
      <c r="M64" s="386">
        <f t="shared" si="31"/>
        <v>0</v>
      </c>
      <c r="N64" s="386">
        <f t="shared" si="32"/>
        <v>0</v>
      </c>
      <c r="O64" s="386">
        <f t="shared" si="33"/>
        <v>960000000</v>
      </c>
      <c r="P64" s="386">
        <f t="shared" si="34"/>
        <v>0</v>
      </c>
      <c r="Q64" s="386">
        <f t="shared" si="35"/>
        <v>0</v>
      </c>
      <c r="R64" s="386">
        <f t="shared" si="36"/>
        <v>0</v>
      </c>
      <c r="S64" s="386">
        <f t="shared" si="37"/>
        <v>0</v>
      </c>
      <c r="T64" s="386">
        <f t="shared" si="38"/>
        <v>0</v>
      </c>
      <c r="U64" s="386">
        <f t="shared" si="39"/>
        <v>0</v>
      </c>
      <c r="V64" s="357" t="s">
        <v>128</v>
      </c>
    </row>
    <row r="65" spans="1:22" s="347" customFormat="1" ht="12">
      <c r="A65" s="367"/>
      <c r="B65" s="383">
        <v>22</v>
      </c>
      <c r="C65" s="373" t="s">
        <v>129</v>
      </c>
      <c r="D65" s="373" t="s">
        <v>90</v>
      </c>
      <c r="E65" s="373" t="s">
        <v>96</v>
      </c>
      <c r="F65" s="373" t="s">
        <v>33</v>
      </c>
      <c r="G65" s="374">
        <v>196004240</v>
      </c>
      <c r="H65" s="375" t="s">
        <v>40</v>
      </c>
      <c r="I65" s="359" t="s">
        <v>11</v>
      </c>
      <c r="J65" s="386">
        <f t="shared" si="28"/>
        <v>0</v>
      </c>
      <c r="K65" s="386">
        <f t="shared" si="29"/>
        <v>0</v>
      </c>
      <c r="L65" s="386">
        <f t="shared" si="30"/>
        <v>196004240</v>
      </c>
      <c r="M65" s="386">
        <f t="shared" si="31"/>
        <v>0</v>
      </c>
      <c r="N65" s="386">
        <f t="shared" si="32"/>
        <v>0</v>
      </c>
      <c r="O65" s="386">
        <f t="shared" si="33"/>
        <v>0</v>
      </c>
      <c r="P65" s="386">
        <f t="shared" si="34"/>
        <v>0</v>
      </c>
      <c r="Q65" s="386">
        <f t="shared" si="35"/>
        <v>0</v>
      </c>
      <c r="R65" s="386">
        <f t="shared" si="36"/>
        <v>0</v>
      </c>
      <c r="S65" s="386">
        <f t="shared" si="37"/>
        <v>0</v>
      </c>
      <c r="T65" s="386">
        <f t="shared" si="38"/>
        <v>0</v>
      </c>
      <c r="U65" s="386">
        <f t="shared" si="39"/>
        <v>0</v>
      </c>
      <c r="V65" s="357"/>
    </row>
    <row r="66" spans="1:22" s="347" customFormat="1" ht="12">
      <c r="A66" s="366"/>
      <c r="B66" s="382">
        <v>23</v>
      </c>
      <c r="C66" s="373" t="s">
        <v>130</v>
      </c>
      <c r="D66" s="373" t="s">
        <v>90</v>
      </c>
      <c r="E66" s="373" t="s">
        <v>96</v>
      </c>
      <c r="F66" s="373" t="s">
        <v>131</v>
      </c>
      <c r="G66" s="374">
        <v>191500000</v>
      </c>
      <c r="H66" s="375" t="s">
        <v>72</v>
      </c>
      <c r="I66" s="378" t="s">
        <v>13</v>
      </c>
      <c r="J66" s="386">
        <f t="shared" si="28"/>
        <v>0</v>
      </c>
      <c r="K66" s="386">
        <f t="shared" si="29"/>
        <v>0</v>
      </c>
      <c r="L66" s="386">
        <f t="shared" si="30"/>
        <v>0</v>
      </c>
      <c r="M66" s="386">
        <f t="shared" si="31"/>
        <v>0</v>
      </c>
      <c r="N66" s="386">
        <f t="shared" si="32"/>
        <v>191500000</v>
      </c>
      <c r="O66" s="386">
        <f t="shared" si="33"/>
        <v>0</v>
      </c>
      <c r="P66" s="386">
        <f t="shared" si="34"/>
        <v>0</v>
      </c>
      <c r="Q66" s="386">
        <f t="shared" si="35"/>
        <v>0</v>
      </c>
      <c r="R66" s="386">
        <f t="shared" si="36"/>
        <v>0</v>
      </c>
      <c r="S66" s="386">
        <f t="shared" si="37"/>
        <v>0</v>
      </c>
      <c r="T66" s="386">
        <f t="shared" si="38"/>
        <v>0</v>
      </c>
      <c r="U66" s="386">
        <f t="shared" si="39"/>
        <v>0</v>
      </c>
      <c r="V66" s="357"/>
    </row>
    <row r="67" spans="1:22" s="347" customFormat="1" ht="12">
      <c r="A67" s="366"/>
      <c r="B67" s="383">
        <v>24</v>
      </c>
      <c r="C67" s="357" t="s">
        <v>132</v>
      </c>
      <c r="D67" s="357" t="s">
        <v>90</v>
      </c>
      <c r="E67" s="357" t="s">
        <v>103</v>
      </c>
      <c r="F67" s="357" t="s">
        <v>33</v>
      </c>
      <c r="G67" s="358">
        <v>226000000</v>
      </c>
      <c r="H67" s="359" t="s">
        <v>27</v>
      </c>
      <c r="I67" s="359" t="s">
        <v>15</v>
      </c>
      <c r="J67" s="386">
        <f t="shared" si="28"/>
        <v>0</v>
      </c>
      <c r="K67" s="386">
        <f t="shared" si="29"/>
        <v>0</v>
      </c>
      <c r="L67" s="386">
        <f t="shared" si="30"/>
        <v>0</v>
      </c>
      <c r="M67" s="386">
        <f t="shared" si="31"/>
        <v>0</v>
      </c>
      <c r="N67" s="386">
        <f t="shared" si="32"/>
        <v>0</v>
      </c>
      <c r="O67" s="386">
        <f t="shared" si="33"/>
        <v>0</v>
      </c>
      <c r="P67" s="386">
        <f t="shared" si="34"/>
        <v>226000000</v>
      </c>
      <c r="Q67" s="386">
        <f t="shared" si="35"/>
        <v>0</v>
      </c>
      <c r="R67" s="386">
        <f t="shared" si="36"/>
        <v>0</v>
      </c>
      <c r="S67" s="386">
        <f t="shared" si="37"/>
        <v>0</v>
      </c>
      <c r="T67" s="386">
        <f t="shared" si="38"/>
        <v>0</v>
      </c>
      <c r="U67" s="386">
        <f t="shared" si="39"/>
        <v>0</v>
      </c>
      <c r="V67" s="357"/>
    </row>
    <row r="68" spans="1:22" s="347" customFormat="1" ht="12">
      <c r="A68" s="371"/>
      <c r="I68" s="350"/>
    </row>
  </sheetData>
  <autoFilter ref="A2:W67" xr:uid="{00000000-0009-0000-0000-000004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09"/>
  <sheetViews>
    <sheetView tabSelected="1" topLeftCell="I1" zoomScale="89" zoomScaleNormal="100" workbookViewId="0">
      <selection activeCell="E1" sqref="E1"/>
    </sheetView>
  </sheetViews>
  <sheetFormatPr defaultColWidth="9" defaultRowHeight="15" customHeight="1"/>
  <cols>
    <col min="1" max="1" width="28.88671875" style="349" customWidth="1"/>
    <col min="2" max="2" width="12.109375" style="349" customWidth="1"/>
    <col min="3" max="3" width="35.33203125" style="574" customWidth="1"/>
    <col min="4" max="4" width="18.33203125" style="349" customWidth="1"/>
    <col min="5" max="5" width="7.33203125" style="349" customWidth="1"/>
    <col min="6" max="6" width="15.109375" style="349" bestFit="1" customWidth="1"/>
    <col min="7" max="7" width="15.6640625" style="349" customWidth="1"/>
    <col min="8" max="8" width="11.109375" style="349" bestFit="1" customWidth="1"/>
    <col min="9" max="9" width="13.88671875" style="349" bestFit="1" customWidth="1"/>
    <col min="10" max="10" width="21.33203125" style="349" bestFit="1" customWidth="1"/>
    <col min="11" max="11" width="14.33203125" style="349" customWidth="1"/>
    <col min="12" max="12" width="14.88671875" style="350" customWidth="1"/>
    <col min="13" max="13" width="12.33203125" style="350" bestFit="1" customWidth="1"/>
    <col min="14" max="14" width="120.88671875" style="349" bestFit="1" customWidth="1"/>
    <col min="15" max="16384" width="9" style="349"/>
  </cols>
  <sheetData>
    <row r="1" spans="1:14" customFormat="1" ht="14.4">
      <c r="A1" t="s">
        <v>133</v>
      </c>
      <c r="B1" t="s">
        <v>134</v>
      </c>
      <c r="C1" s="459" t="s">
        <v>135</v>
      </c>
      <c r="D1" s="408" t="s">
        <v>136</v>
      </c>
      <c r="E1" s="408" t="s">
        <v>137</v>
      </c>
      <c r="F1" s="408" t="s">
        <v>138</v>
      </c>
      <c r="G1" s="408" t="s">
        <v>4</v>
      </c>
      <c r="H1" s="408" t="s">
        <v>5</v>
      </c>
      <c r="I1" s="408" t="s">
        <v>139</v>
      </c>
      <c r="J1" t="s">
        <v>6</v>
      </c>
      <c r="K1" s="408" t="s">
        <v>7</v>
      </c>
      <c r="L1" s="410" t="s">
        <v>8</v>
      </c>
      <c r="M1" s="408" t="s">
        <v>140</v>
      </c>
      <c r="N1" t="s">
        <v>141</v>
      </c>
    </row>
    <row r="2" spans="1:14" customFormat="1" ht="14.4" hidden="1">
      <c r="A2" s="389" t="s">
        <v>142</v>
      </c>
      <c r="B2" s="610"/>
      <c r="C2" s="568" t="s">
        <v>143</v>
      </c>
      <c r="D2" s="611"/>
      <c r="E2" s="417" t="s">
        <v>24</v>
      </c>
      <c r="F2" s="415"/>
      <c r="G2" s="418" t="s">
        <v>144</v>
      </c>
      <c r="H2" s="418" t="s">
        <v>26</v>
      </c>
      <c r="I2" s="415" t="s">
        <v>145</v>
      </c>
      <c r="J2" s="390">
        <v>1369000000</v>
      </c>
      <c r="K2" s="420" t="s">
        <v>67</v>
      </c>
      <c r="L2" s="421">
        <v>46054</v>
      </c>
      <c r="M2" s="422"/>
      <c r="N2" s="448"/>
    </row>
    <row r="3" spans="1:14" customFormat="1" ht="14.4" hidden="1">
      <c r="A3" s="415" t="s">
        <v>146</v>
      </c>
      <c r="B3" s="347"/>
      <c r="C3" s="568" t="s">
        <v>147</v>
      </c>
      <c r="D3" s="414"/>
      <c r="E3" s="417" t="s">
        <v>24</v>
      </c>
      <c r="F3" s="415"/>
      <c r="G3" s="418" t="s">
        <v>25</v>
      </c>
      <c r="H3" s="418" t="s">
        <v>33</v>
      </c>
      <c r="I3" s="414" t="s">
        <v>148</v>
      </c>
      <c r="J3" s="419">
        <v>490000000</v>
      </c>
      <c r="K3" s="420" t="s">
        <v>40</v>
      </c>
      <c r="L3" s="421">
        <v>46040</v>
      </c>
      <c r="M3" s="422" t="s">
        <v>149</v>
      </c>
      <c r="N3" s="448" t="s">
        <v>61</v>
      </c>
    </row>
    <row r="4" spans="1:14" customFormat="1" ht="14.4" hidden="1">
      <c r="A4" s="415" t="s">
        <v>150</v>
      </c>
      <c r="B4" s="349"/>
      <c r="C4" s="577" t="s">
        <v>151</v>
      </c>
      <c r="D4" s="414" t="s">
        <v>33</v>
      </c>
      <c r="E4" s="417" t="s">
        <v>24</v>
      </c>
      <c r="F4" s="415" t="s">
        <v>152</v>
      </c>
      <c r="G4" s="418" t="s">
        <v>153</v>
      </c>
      <c r="H4" s="418" t="s">
        <v>88</v>
      </c>
      <c r="I4" s="415" t="s">
        <v>154</v>
      </c>
      <c r="J4" s="424">
        <v>673000000</v>
      </c>
      <c r="K4" s="425" t="s">
        <v>40</v>
      </c>
      <c r="L4" s="421">
        <v>45936</v>
      </c>
      <c r="M4" s="421" t="s">
        <v>149</v>
      </c>
      <c r="N4" s="448" t="s">
        <v>155</v>
      </c>
    </row>
    <row r="5" spans="1:14" customFormat="1" ht="14.4" hidden="1">
      <c r="A5" s="415" t="s">
        <v>146</v>
      </c>
      <c r="B5" s="610"/>
      <c r="C5" s="568" t="s">
        <v>156</v>
      </c>
      <c r="D5" s="611"/>
      <c r="E5" s="417" t="s">
        <v>24</v>
      </c>
      <c r="F5" s="415"/>
      <c r="G5" s="418" t="s">
        <v>25</v>
      </c>
      <c r="H5" s="418" t="s">
        <v>26</v>
      </c>
      <c r="I5" s="611" t="s">
        <v>148</v>
      </c>
      <c r="J5" s="419">
        <v>622485000</v>
      </c>
      <c r="K5" s="420" t="s">
        <v>40</v>
      </c>
      <c r="L5" s="421">
        <v>46160</v>
      </c>
      <c r="M5" s="422"/>
      <c r="N5" s="448" t="s">
        <v>61</v>
      </c>
    </row>
    <row r="6" spans="1:14" customFormat="1" ht="14.4" hidden="1">
      <c r="A6" s="415" t="s">
        <v>146</v>
      </c>
      <c r="B6" s="347" t="s">
        <v>157</v>
      </c>
      <c r="C6" s="568" t="s">
        <v>158</v>
      </c>
      <c r="D6" s="414"/>
      <c r="E6" s="417" t="s">
        <v>24</v>
      </c>
      <c r="F6" s="415"/>
      <c r="G6" s="418" t="s">
        <v>25</v>
      </c>
      <c r="H6" s="418" t="s">
        <v>33</v>
      </c>
      <c r="I6" s="414" t="s">
        <v>148</v>
      </c>
      <c r="J6" s="419">
        <v>1348000000</v>
      </c>
      <c r="K6" s="420" t="s">
        <v>40</v>
      </c>
      <c r="L6" s="421">
        <v>46048</v>
      </c>
      <c r="M6" s="422" t="s">
        <v>149</v>
      </c>
      <c r="N6" s="448" t="s">
        <v>61</v>
      </c>
    </row>
    <row r="7" spans="1:14" customFormat="1" ht="14.4" hidden="1">
      <c r="A7" s="415" t="s">
        <v>159</v>
      </c>
      <c r="B7" s="347" t="s">
        <v>160</v>
      </c>
      <c r="C7" s="568" t="s">
        <v>161</v>
      </c>
      <c r="D7" s="414"/>
      <c r="E7" s="417" t="s">
        <v>24</v>
      </c>
      <c r="F7" s="415"/>
      <c r="G7" s="418" t="s">
        <v>25</v>
      </c>
      <c r="H7" s="418" t="s">
        <v>33</v>
      </c>
      <c r="I7" s="414" t="s">
        <v>148</v>
      </c>
      <c r="J7" s="419">
        <v>47090700</v>
      </c>
      <c r="K7" s="420" t="s">
        <v>40</v>
      </c>
      <c r="L7" s="421">
        <v>46064</v>
      </c>
      <c r="M7" s="422" t="s">
        <v>149</v>
      </c>
      <c r="N7" s="448" t="s">
        <v>61</v>
      </c>
    </row>
    <row r="8" spans="1:14" customFormat="1" ht="14.4" hidden="1">
      <c r="A8" s="415" t="s">
        <v>159</v>
      </c>
      <c r="B8" s="349" t="s">
        <v>162</v>
      </c>
      <c r="C8" s="568" t="s">
        <v>163</v>
      </c>
      <c r="D8" s="414"/>
      <c r="E8" s="417" t="s">
        <v>24</v>
      </c>
      <c r="F8" s="415"/>
      <c r="G8" s="418" t="s">
        <v>25</v>
      </c>
      <c r="H8" s="418" t="s">
        <v>33</v>
      </c>
      <c r="I8" s="414" t="s">
        <v>164</v>
      </c>
      <c r="J8" s="419">
        <v>182045000</v>
      </c>
      <c r="K8" s="420" t="s">
        <v>40</v>
      </c>
      <c r="L8" s="421">
        <v>46155</v>
      </c>
      <c r="M8" s="422"/>
      <c r="N8" s="448"/>
    </row>
    <row r="9" spans="1:14" customFormat="1" ht="14.4" hidden="1">
      <c r="A9" s="415" t="s">
        <v>165</v>
      </c>
      <c r="B9" s="349"/>
      <c r="C9" s="568" t="s">
        <v>33</v>
      </c>
      <c r="D9" s="414"/>
      <c r="E9" s="417" t="s">
        <v>24</v>
      </c>
      <c r="F9" s="415"/>
      <c r="G9" s="418" t="s">
        <v>25</v>
      </c>
      <c r="H9" s="418" t="s">
        <v>33</v>
      </c>
      <c r="I9" s="414" t="s">
        <v>164</v>
      </c>
      <c r="J9" s="419">
        <v>49500000</v>
      </c>
      <c r="K9" s="420" t="s">
        <v>40</v>
      </c>
      <c r="L9" s="421">
        <v>46155</v>
      </c>
      <c r="M9" s="422"/>
      <c r="N9" s="448"/>
    </row>
    <row r="10" spans="1:14" customFormat="1" ht="14.4" hidden="1">
      <c r="A10" s="415" t="s">
        <v>166</v>
      </c>
      <c r="B10" s="610"/>
      <c r="C10" s="568" t="s">
        <v>167</v>
      </c>
      <c r="D10" s="444" t="s">
        <v>168</v>
      </c>
      <c r="E10" s="417" t="s">
        <v>24</v>
      </c>
      <c r="F10" s="415" t="s">
        <v>169</v>
      </c>
      <c r="G10" s="418" t="s">
        <v>170</v>
      </c>
      <c r="H10" s="418" t="s">
        <v>33</v>
      </c>
      <c r="I10" s="611" t="s">
        <v>164</v>
      </c>
      <c r="J10" s="419">
        <v>115000000</v>
      </c>
      <c r="K10" s="420" t="s">
        <v>40</v>
      </c>
      <c r="L10" s="421">
        <v>46155</v>
      </c>
      <c r="M10" s="422" t="s">
        <v>149</v>
      </c>
      <c r="N10" s="448" t="s">
        <v>171</v>
      </c>
    </row>
    <row r="11" spans="1:14" customFormat="1" ht="14.4" hidden="1">
      <c r="A11" s="415" t="s">
        <v>172</v>
      </c>
      <c r="B11" s="349"/>
      <c r="C11" s="568" t="s">
        <v>173</v>
      </c>
      <c r="D11" s="414" t="s">
        <v>174</v>
      </c>
      <c r="E11" s="417" t="s">
        <v>24</v>
      </c>
      <c r="F11" s="415"/>
      <c r="G11" s="418" t="s">
        <v>153</v>
      </c>
      <c r="H11" s="418" t="s">
        <v>147</v>
      </c>
      <c r="I11" s="414" t="s">
        <v>154</v>
      </c>
      <c r="J11" s="419">
        <v>487000000</v>
      </c>
      <c r="K11" s="420" t="s">
        <v>40</v>
      </c>
      <c r="L11" s="421">
        <v>46023</v>
      </c>
      <c r="M11" s="422"/>
      <c r="N11" s="448" t="s">
        <v>61</v>
      </c>
    </row>
    <row r="12" spans="1:14" customFormat="1" ht="14.4" hidden="1">
      <c r="A12" s="415" t="s">
        <v>175</v>
      </c>
      <c r="B12" s="349"/>
      <c r="C12" s="568" t="s">
        <v>176</v>
      </c>
      <c r="D12" s="414" t="s">
        <v>177</v>
      </c>
      <c r="E12" s="417" t="s">
        <v>24</v>
      </c>
      <c r="F12" s="415" t="s">
        <v>169</v>
      </c>
      <c r="G12" s="418"/>
      <c r="H12" s="418" t="s">
        <v>33</v>
      </c>
      <c r="I12" s="611" t="s">
        <v>164</v>
      </c>
      <c r="J12" s="419">
        <v>2281717980</v>
      </c>
      <c r="K12" s="420" t="s">
        <v>27</v>
      </c>
      <c r="L12" s="624">
        <v>46310</v>
      </c>
      <c r="M12" s="422"/>
      <c r="N12" s="615" t="s">
        <v>178</v>
      </c>
    </row>
    <row r="13" spans="1:14" customFormat="1" ht="14.4" hidden="1">
      <c r="A13" s="415" t="s">
        <v>179</v>
      </c>
      <c r="B13" s="349"/>
      <c r="C13" s="568" t="s">
        <v>180</v>
      </c>
      <c r="D13" s="414"/>
      <c r="E13" s="417" t="s">
        <v>24</v>
      </c>
      <c r="F13" s="415"/>
      <c r="G13" s="418" t="s">
        <v>25</v>
      </c>
      <c r="H13" s="418" t="s">
        <v>26</v>
      </c>
      <c r="I13" s="414" t="s">
        <v>148</v>
      </c>
      <c r="J13" s="419">
        <v>1200000000</v>
      </c>
      <c r="K13" s="420" t="s">
        <v>27</v>
      </c>
      <c r="L13" s="421">
        <v>46213</v>
      </c>
      <c r="M13" s="422"/>
      <c r="N13" s="448"/>
    </row>
    <row r="14" spans="1:14" customFormat="1" ht="14.4" hidden="1">
      <c r="A14" s="415" t="s">
        <v>179</v>
      </c>
      <c r="B14" s="347" t="s">
        <v>181</v>
      </c>
      <c r="C14" s="568" t="s">
        <v>182</v>
      </c>
      <c r="D14" s="414"/>
      <c r="E14" s="417" t="s">
        <v>24</v>
      </c>
      <c r="F14" s="415"/>
      <c r="G14" s="418" t="s">
        <v>25</v>
      </c>
      <c r="H14" s="418" t="s">
        <v>33</v>
      </c>
      <c r="I14" s="414" t="s">
        <v>154</v>
      </c>
      <c r="J14" s="419">
        <v>61500000</v>
      </c>
      <c r="K14" s="420" t="s">
        <v>40</v>
      </c>
      <c r="L14" s="421">
        <v>46044</v>
      </c>
      <c r="M14" s="422" t="s">
        <v>149</v>
      </c>
      <c r="N14" s="448" t="s">
        <v>61</v>
      </c>
    </row>
    <row r="15" spans="1:14" customFormat="1" ht="14.4" hidden="1">
      <c r="A15" s="415" t="s">
        <v>183</v>
      </c>
      <c r="B15" s="349"/>
      <c r="C15" s="568" t="s">
        <v>184</v>
      </c>
      <c r="D15" s="414"/>
      <c r="E15" s="417" t="s">
        <v>24</v>
      </c>
      <c r="F15" s="415" t="s">
        <v>185</v>
      </c>
      <c r="G15" s="418"/>
      <c r="H15" s="418" t="s">
        <v>88</v>
      </c>
      <c r="I15" s="414" t="s">
        <v>164</v>
      </c>
      <c r="J15" s="419">
        <v>55062530</v>
      </c>
      <c r="K15" s="420" t="s">
        <v>27</v>
      </c>
      <c r="L15" s="421">
        <v>46233</v>
      </c>
      <c r="M15" s="422"/>
      <c r="N15" s="448" t="s">
        <v>186</v>
      </c>
    </row>
    <row r="16" spans="1:14" customFormat="1" ht="14.4" hidden="1">
      <c r="A16" s="415" t="s">
        <v>187</v>
      </c>
      <c r="B16" s="349"/>
      <c r="C16" s="568" t="s">
        <v>188</v>
      </c>
      <c r="D16" s="414"/>
      <c r="E16" s="417" t="s">
        <v>24</v>
      </c>
      <c r="F16" s="415" t="s">
        <v>169</v>
      </c>
      <c r="G16" s="418"/>
      <c r="H16" s="418" t="s">
        <v>33</v>
      </c>
      <c r="I16" s="414" t="s">
        <v>148</v>
      </c>
      <c r="J16" s="419">
        <v>2978970000</v>
      </c>
      <c r="K16" s="420" t="s">
        <v>27</v>
      </c>
      <c r="L16" s="421">
        <v>46310</v>
      </c>
      <c r="M16" s="422"/>
      <c r="N16" s="448" t="s">
        <v>189</v>
      </c>
    </row>
    <row r="17" spans="1:14" customFormat="1" ht="14.4" hidden="1">
      <c r="A17" s="415" t="s">
        <v>190</v>
      </c>
      <c r="B17" s="349"/>
      <c r="C17" s="568" t="s">
        <v>184</v>
      </c>
      <c r="D17" s="414"/>
      <c r="E17" s="417" t="s">
        <v>24</v>
      </c>
      <c r="F17" s="415" t="s">
        <v>185</v>
      </c>
      <c r="G17" s="418"/>
      <c r="H17" s="418" t="s">
        <v>88</v>
      </c>
      <c r="I17" s="414" t="s">
        <v>164</v>
      </c>
      <c r="J17" s="419">
        <v>18099245</v>
      </c>
      <c r="K17" s="420" t="s">
        <v>27</v>
      </c>
      <c r="L17" s="421">
        <v>46240</v>
      </c>
      <c r="M17" s="422"/>
      <c r="N17" s="448"/>
    </row>
    <row r="18" spans="1:14" customFormat="1" ht="14.4" hidden="1">
      <c r="A18" s="415" t="s">
        <v>191</v>
      </c>
      <c r="B18" s="349"/>
      <c r="C18" s="568" t="s">
        <v>192</v>
      </c>
      <c r="D18" s="414"/>
      <c r="E18" s="417" t="s">
        <v>24</v>
      </c>
      <c r="F18" s="415" t="s">
        <v>169</v>
      </c>
      <c r="G18" s="418"/>
      <c r="H18" s="418" t="s">
        <v>33</v>
      </c>
      <c r="I18" s="414" t="s">
        <v>148</v>
      </c>
      <c r="J18" s="419">
        <v>6000000</v>
      </c>
      <c r="K18" s="420" t="s">
        <v>67</v>
      </c>
      <c r="L18" s="421"/>
      <c r="M18" s="422"/>
      <c r="N18" s="448" t="s">
        <v>193</v>
      </c>
    </row>
    <row r="19" spans="1:14" customFormat="1" ht="14.4" hidden="1">
      <c r="A19" s="415" t="s">
        <v>146</v>
      </c>
      <c r="B19" s="347" t="s">
        <v>194</v>
      </c>
      <c r="C19" s="568" t="s">
        <v>195</v>
      </c>
      <c r="D19" s="414"/>
      <c r="E19" s="417" t="s">
        <v>24</v>
      </c>
      <c r="F19" s="415"/>
      <c r="G19" s="418" t="s">
        <v>25</v>
      </c>
      <c r="H19" s="418" t="s">
        <v>33</v>
      </c>
      <c r="I19" s="414" t="s">
        <v>148</v>
      </c>
      <c r="J19" s="419">
        <f>836671614+91164000</f>
        <v>927835614</v>
      </c>
      <c r="K19" s="420" t="s">
        <v>40</v>
      </c>
      <c r="L19" s="421">
        <v>46079</v>
      </c>
      <c r="M19" s="422" t="s">
        <v>149</v>
      </c>
      <c r="N19" s="448" t="s">
        <v>196</v>
      </c>
    </row>
    <row r="20" spans="1:14" customFormat="1" ht="14.4" hidden="1">
      <c r="A20" s="415" t="s">
        <v>197</v>
      </c>
      <c r="B20" s="349"/>
      <c r="C20" s="568" t="s">
        <v>184</v>
      </c>
      <c r="D20" s="414"/>
      <c r="E20" s="417" t="s">
        <v>24</v>
      </c>
      <c r="F20" s="415" t="s">
        <v>185</v>
      </c>
      <c r="G20" s="418"/>
      <c r="H20" s="418" t="s">
        <v>88</v>
      </c>
      <c r="I20" s="414" t="s">
        <v>148</v>
      </c>
      <c r="J20" s="419">
        <v>66252090</v>
      </c>
      <c r="K20" s="420" t="s">
        <v>67</v>
      </c>
      <c r="L20" s="421"/>
      <c r="M20" s="422"/>
      <c r="N20" s="448" t="s">
        <v>198</v>
      </c>
    </row>
    <row r="21" spans="1:14" customFormat="1" ht="14.4" hidden="1">
      <c r="A21" s="415" t="s">
        <v>199</v>
      </c>
      <c r="B21" s="349"/>
      <c r="C21" s="568" t="s">
        <v>200</v>
      </c>
      <c r="D21" s="414"/>
      <c r="E21" s="417" t="s">
        <v>24</v>
      </c>
      <c r="F21" s="415" t="s">
        <v>185</v>
      </c>
      <c r="G21" s="418" t="s">
        <v>201</v>
      </c>
      <c r="H21" s="418" t="s">
        <v>88</v>
      </c>
      <c r="I21" s="414" t="s">
        <v>148</v>
      </c>
      <c r="J21" s="419">
        <v>4464000</v>
      </c>
      <c r="K21" s="420" t="s">
        <v>27</v>
      </c>
      <c r="L21" s="421">
        <v>46246</v>
      </c>
      <c r="M21" s="422"/>
      <c r="N21" s="448" t="s">
        <v>202</v>
      </c>
    </row>
    <row r="22" spans="1:14" customFormat="1" ht="14.4" hidden="1">
      <c r="A22" s="415" t="s">
        <v>203</v>
      </c>
      <c r="B22" s="349"/>
      <c r="C22" s="577" t="s">
        <v>151</v>
      </c>
      <c r="D22" s="414" t="s">
        <v>33</v>
      </c>
      <c r="E22" s="417" t="s">
        <v>24</v>
      </c>
      <c r="F22" s="415" t="s">
        <v>185</v>
      </c>
      <c r="G22" s="418" t="s">
        <v>204</v>
      </c>
      <c r="H22" s="418" t="s">
        <v>88</v>
      </c>
      <c r="I22" s="414" t="s">
        <v>148</v>
      </c>
      <c r="J22" s="419">
        <v>26841600</v>
      </c>
      <c r="K22" s="420" t="s">
        <v>40</v>
      </c>
      <c r="L22" s="421">
        <v>46024</v>
      </c>
      <c r="M22" s="422" t="s">
        <v>149</v>
      </c>
      <c r="N22" s="448" t="s">
        <v>205</v>
      </c>
    </row>
    <row r="23" spans="1:14" customFormat="1" ht="14.4" hidden="1">
      <c r="A23" s="415" t="s">
        <v>206</v>
      </c>
      <c r="B23" s="349"/>
      <c r="C23" s="577" t="s">
        <v>207</v>
      </c>
      <c r="D23" s="414" t="s">
        <v>208</v>
      </c>
      <c r="E23" s="417" t="s">
        <v>24</v>
      </c>
      <c r="F23" s="415" t="s">
        <v>169</v>
      </c>
      <c r="G23" s="418" t="s">
        <v>170</v>
      </c>
      <c r="H23" s="418" t="s">
        <v>33</v>
      </c>
      <c r="I23" s="414" t="s">
        <v>148</v>
      </c>
      <c r="J23" s="419">
        <v>60000000</v>
      </c>
      <c r="K23" s="420" t="s">
        <v>40</v>
      </c>
      <c r="L23" s="421">
        <v>46190</v>
      </c>
      <c r="M23" s="422" t="s">
        <v>149</v>
      </c>
      <c r="N23" s="448" t="s">
        <v>209</v>
      </c>
    </row>
    <row r="24" spans="1:14" customFormat="1" ht="14.4" hidden="1">
      <c r="A24" s="415" t="s">
        <v>210</v>
      </c>
      <c r="B24" s="349"/>
      <c r="C24" s="577" t="s">
        <v>211</v>
      </c>
      <c r="D24" s="414"/>
      <c r="E24" s="417" t="s">
        <v>24</v>
      </c>
      <c r="F24" s="415" t="s">
        <v>169</v>
      </c>
      <c r="G24" s="418"/>
      <c r="H24" s="418" t="s">
        <v>33</v>
      </c>
      <c r="I24" s="414" t="s">
        <v>145</v>
      </c>
      <c r="J24" s="419">
        <v>1126600000</v>
      </c>
      <c r="K24" s="420" t="s">
        <v>27</v>
      </c>
      <c r="L24" s="421">
        <v>46303</v>
      </c>
      <c r="M24" s="422"/>
      <c r="N24" s="448" t="s">
        <v>212</v>
      </c>
    </row>
    <row r="25" spans="1:14" customFormat="1" ht="14.4" hidden="1">
      <c r="A25" s="415" t="s">
        <v>213</v>
      </c>
      <c r="B25" s="415"/>
      <c r="C25" s="568" t="s">
        <v>214</v>
      </c>
      <c r="D25" s="415"/>
      <c r="E25" s="417" t="s">
        <v>24</v>
      </c>
      <c r="F25" s="415"/>
      <c r="G25" s="418" t="s">
        <v>54</v>
      </c>
      <c r="H25" s="357" t="s">
        <v>33</v>
      </c>
      <c r="I25" s="415" t="s">
        <v>164</v>
      </c>
      <c r="J25" s="424">
        <v>125000000</v>
      </c>
      <c r="K25" s="425" t="s">
        <v>27</v>
      </c>
      <c r="L25" s="421">
        <v>46204</v>
      </c>
      <c r="M25" s="456"/>
      <c r="N25" s="426"/>
    </row>
    <row r="26" spans="1:14" customFormat="1" ht="14.4" hidden="1">
      <c r="A26" s="415" t="s">
        <v>215</v>
      </c>
      <c r="B26" s="349"/>
      <c r="C26" s="568" t="s">
        <v>216</v>
      </c>
      <c r="D26" s="414"/>
      <c r="E26" s="417" t="s">
        <v>24</v>
      </c>
      <c r="F26" s="415" t="s">
        <v>169</v>
      </c>
      <c r="G26" s="418" t="s">
        <v>25</v>
      </c>
      <c r="H26" s="357" t="s">
        <v>33</v>
      </c>
      <c r="I26" s="414" t="s">
        <v>148</v>
      </c>
      <c r="J26" s="424">
        <v>10670000</v>
      </c>
      <c r="K26" s="425" t="s">
        <v>40</v>
      </c>
      <c r="L26" s="421">
        <v>46178</v>
      </c>
      <c r="M26" s="456" t="s">
        <v>217</v>
      </c>
      <c r="N26" s="426"/>
    </row>
    <row r="27" spans="1:14" customFormat="1" ht="14.4" hidden="1">
      <c r="A27" s="416" t="s">
        <v>218</v>
      </c>
      <c r="B27" s="416"/>
      <c r="C27" s="568" t="s">
        <v>219</v>
      </c>
      <c r="D27" s="415" t="s">
        <v>220</v>
      </c>
      <c r="E27" s="417" t="s">
        <v>24</v>
      </c>
      <c r="F27" s="415"/>
      <c r="G27" s="427" t="s">
        <v>43</v>
      </c>
      <c r="H27" s="427" t="s">
        <v>26</v>
      </c>
      <c r="I27" s="415" t="s">
        <v>164</v>
      </c>
      <c r="J27" s="424">
        <v>2000000000</v>
      </c>
      <c r="K27" s="425" t="s">
        <v>40</v>
      </c>
      <c r="L27" s="421">
        <v>46054</v>
      </c>
      <c r="M27" s="456"/>
      <c r="N27" s="448" t="s">
        <v>61</v>
      </c>
    </row>
    <row r="28" spans="1:14" customFormat="1" ht="14.4" hidden="1">
      <c r="A28" s="416" t="s">
        <v>218</v>
      </c>
      <c r="B28" s="416"/>
      <c r="C28" s="568" t="s">
        <v>221</v>
      </c>
      <c r="D28" s="415"/>
      <c r="E28" s="417" t="s">
        <v>24</v>
      </c>
      <c r="F28" s="415"/>
      <c r="G28" s="427" t="s">
        <v>43</v>
      </c>
      <c r="H28" s="427" t="s">
        <v>33</v>
      </c>
      <c r="I28" s="415" t="s">
        <v>164</v>
      </c>
      <c r="J28" s="424">
        <v>1181874600</v>
      </c>
      <c r="K28" s="425" t="s">
        <v>40</v>
      </c>
      <c r="L28" s="421">
        <v>46054</v>
      </c>
      <c r="M28" s="456"/>
      <c r="N28" s="448" t="s">
        <v>61</v>
      </c>
    </row>
    <row r="29" spans="1:14" customFormat="1" ht="14.4" hidden="1">
      <c r="A29" s="415" t="s">
        <v>222</v>
      </c>
      <c r="B29" s="349"/>
      <c r="C29" s="568" t="s">
        <v>219</v>
      </c>
      <c r="D29" s="414"/>
      <c r="E29" s="417" t="s">
        <v>24</v>
      </c>
      <c r="F29" s="415"/>
      <c r="G29" s="418" t="s">
        <v>43</v>
      </c>
      <c r="H29" s="418" t="s">
        <v>33</v>
      </c>
      <c r="I29" s="415" t="s">
        <v>164</v>
      </c>
      <c r="J29" s="419">
        <v>2250000000</v>
      </c>
      <c r="K29" s="420" t="s">
        <v>27</v>
      </c>
      <c r="L29" s="421">
        <v>46235</v>
      </c>
      <c r="M29" s="456"/>
      <c r="N29" s="448"/>
    </row>
    <row r="30" spans="1:14" customFormat="1" ht="14.4" hidden="1">
      <c r="A30" s="415" t="s">
        <v>222</v>
      </c>
      <c r="B30" s="349"/>
      <c r="C30" s="568" t="s">
        <v>223</v>
      </c>
      <c r="D30" s="414"/>
      <c r="E30" s="417" t="s">
        <v>24</v>
      </c>
      <c r="F30" s="415"/>
      <c r="G30" s="418" t="s">
        <v>43</v>
      </c>
      <c r="H30" s="418" t="s">
        <v>33</v>
      </c>
      <c r="I30" s="415" t="s">
        <v>164</v>
      </c>
      <c r="J30" s="419">
        <v>315000000</v>
      </c>
      <c r="K30" s="420" t="s">
        <v>27</v>
      </c>
      <c r="L30" s="421">
        <v>46235</v>
      </c>
      <c r="M30" s="456"/>
      <c r="N30" s="448"/>
    </row>
    <row r="31" spans="1:14" customFormat="1" ht="14.4">
      <c r="A31" s="415" t="s">
        <v>224</v>
      </c>
      <c r="B31" s="416"/>
      <c r="C31" s="568" t="s">
        <v>225</v>
      </c>
      <c r="D31" s="415" t="s">
        <v>226</v>
      </c>
      <c r="E31" s="417" t="s">
        <v>90</v>
      </c>
      <c r="F31" s="415"/>
      <c r="G31" s="418" t="s">
        <v>227</v>
      </c>
      <c r="H31" s="418" t="s">
        <v>26</v>
      </c>
      <c r="I31" s="415" t="s">
        <v>148</v>
      </c>
      <c r="J31" s="419">
        <v>400000000</v>
      </c>
      <c r="K31" s="420" t="s">
        <v>40</v>
      </c>
      <c r="L31" s="421">
        <v>45832</v>
      </c>
      <c r="M31" s="421" t="s">
        <v>149</v>
      </c>
      <c r="N31" s="426"/>
    </row>
    <row r="32" spans="1:14" customFormat="1" ht="14.4" hidden="1">
      <c r="A32" s="415" t="s">
        <v>228</v>
      </c>
      <c r="B32" s="349"/>
      <c r="C32" s="568" t="s">
        <v>229</v>
      </c>
      <c r="D32" s="414"/>
      <c r="E32" s="417" t="s">
        <v>24</v>
      </c>
      <c r="F32" s="415"/>
      <c r="G32" s="418" t="s">
        <v>204</v>
      </c>
      <c r="H32" s="418" t="s">
        <v>33</v>
      </c>
      <c r="I32" s="415" t="s">
        <v>148</v>
      </c>
      <c r="J32" s="419">
        <v>105000000</v>
      </c>
      <c r="K32" s="420" t="s">
        <v>40</v>
      </c>
      <c r="L32" s="421">
        <v>45982</v>
      </c>
      <c r="M32" s="422"/>
      <c r="N32" s="448" t="s">
        <v>205</v>
      </c>
    </row>
    <row r="33" spans="1:14" customFormat="1" ht="24.6" hidden="1">
      <c r="A33" s="415" t="s">
        <v>166</v>
      </c>
      <c r="B33" s="610"/>
      <c r="C33" s="568" t="s">
        <v>230</v>
      </c>
      <c r="D33" s="611"/>
      <c r="E33" s="417" t="s">
        <v>24</v>
      </c>
      <c r="F33" s="415" t="s">
        <v>169</v>
      </c>
      <c r="G33" s="418" t="s">
        <v>54</v>
      </c>
      <c r="H33" s="418" t="s">
        <v>33</v>
      </c>
      <c r="I33" s="611" t="s">
        <v>145</v>
      </c>
      <c r="J33" s="419">
        <v>80000000</v>
      </c>
      <c r="K33" s="420" t="s">
        <v>40</v>
      </c>
      <c r="L33" s="421">
        <v>46108</v>
      </c>
      <c r="M33" s="422" t="s">
        <v>149</v>
      </c>
      <c r="N33" s="448" t="s">
        <v>231</v>
      </c>
    </row>
    <row r="34" spans="1:14" customFormat="1" ht="14.4" hidden="1">
      <c r="A34" s="415" t="s">
        <v>232</v>
      </c>
      <c r="B34" s="349"/>
      <c r="C34" s="589" t="s">
        <v>233</v>
      </c>
      <c r="D34" s="617"/>
      <c r="E34" s="417" t="s">
        <v>24</v>
      </c>
      <c r="F34" s="453" t="s">
        <v>169</v>
      </c>
      <c r="G34" s="418"/>
      <c r="H34" s="418" t="s">
        <v>33</v>
      </c>
      <c r="I34" s="414" t="s">
        <v>164</v>
      </c>
      <c r="J34" s="419">
        <v>5416801180</v>
      </c>
      <c r="K34" s="420" t="s">
        <v>27</v>
      </c>
      <c r="L34" s="421">
        <v>46283</v>
      </c>
      <c r="M34" s="422"/>
      <c r="N34" s="448" t="s">
        <v>212</v>
      </c>
    </row>
    <row r="35" spans="1:14" customFormat="1" ht="14.4" hidden="1">
      <c r="A35" s="415" t="s">
        <v>232</v>
      </c>
      <c r="B35" s="349"/>
      <c r="C35" s="589" t="s">
        <v>234</v>
      </c>
      <c r="D35" s="617"/>
      <c r="E35" s="417" t="s">
        <v>24</v>
      </c>
      <c r="F35" s="453" t="s">
        <v>169</v>
      </c>
      <c r="G35" s="418"/>
      <c r="H35" s="418" t="s">
        <v>33</v>
      </c>
      <c r="I35" s="414" t="s">
        <v>154</v>
      </c>
      <c r="J35" s="419">
        <v>2999341740</v>
      </c>
      <c r="K35" s="420" t="s">
        <v>94</v>
      </c>
      <c r="L35" s="421"/>
      <c r="M35" s="422"/>
      <c r="N35" s="448" t="s">
        <v>198</v>
      </c>
    </row>
    <row r="36" spans="1:14" customFormat="1" ht="24.6" hidden="1">
      <c r="A36" s="415" t="s">
        <v>166</v>
      </c>
      <c r="B36" s="610"/>
      <c r="C36" s="568" t="s">
        <v>235</v>
      </c>
      <c r="D36" s="611"/>
      <c r="E36" s="417" t="s">
        <v>24</v>
      </c>
      <c r="F36" s="415" t="s">
        <v>169</v>
      </c>
      <c r="G36" s="418" t="s">
        <v>54</v>
      </c>
      <c r="H36" s="418" t="s">
        <v>33</v>
      </c>
      <c r="I36" s="611" t="s">
        <v>145</v>
      </c>
      <c r="J36" s="419">
        <v>146000000</v>
      </c>
      <c r="K36" s="420" t="s">
        <v>40</v>
      </c>
      <c r="L36" s="421">
        <v>46111</v>
      </c>
      <c r="M36" s="422" t="s">
        <v>149</v>
      </c>
      <c r="N36" s="448" t="s">
        <v>236</v>
      </c>
    </row>
    <row r="37" spans="1:14" customFormat="1" ht="14.4" hidden="1">
      <c r="A37" s="415" t="s">
        <v>237</v>
      </c>
      <c r="B37" s="349"/>
      <c r="C37" s="568" t="s">
        <v>238</v>
      </c>
      <c r="D37" s="414"/>
      <c r="E37" s="417" t="s">
        <v>24</v>
      </c>
      <c r="F37" s="415"/>
      <c r="G37" s="418" t="s">
        <v>204</v>
      </c>
      <c r="H37" s="418" t="s">
        <v>33</v>
      </c>
      <c r="I37" s="414" t="s">
        <v>148</v>
      </c>
      <c r="J37" s="419">
        <v>1200000000</v>
      </c>
      <c r="K37" s="420" t="s">
        <v>67</v>
      </c>
      <c r="L37" s="421"/>
      <c r="M37" s="422"/>
      <c r="N37" s="448"/>
    </row>
    <row r="38" spans="1:14" customFormat="1" ht="14.4" hidden="1">
      <c r="A38" s="416" t="s">
        <v>239</v>
      </c>
      <c r="B38" s="416"/>
      <c r="C38" s="568" t="s">
        <v>131</v>
      </c>
      <c r="D38" s="415"/>
      <c r="E38" s="417" t="s">
        <v>90</v>
      </c>
      <c r="F38" s="415"/>
      <c r="G38" s="418" t="s">
        <v>96</v>
      </c>
      <c r="H38" s="418" t="s">
        <v>33</v>
      </c>
      <c r="I38" s="415" t="s">
        <v>164</v>
      </c>
      <c r="J38" s="424">
        <f>7150000*2</f>
        <v>14300000</v>
      </c>
      <c r="K38" s="425" t="s">
        <v>40</v>
      </c>
      <c r="L38" s="421">
        <v>45802</v>
      </c>
      <c r="M38" s="422" t="s">
        <v>149</v>
      </c>
      <c r="N38" s="423"/>
    </row>
    <row r="39" spans="1:14" customFormat="1" ht="14.4" hidden="1">
      <c r="A39" s="416" t="s">
        <v>240</v>
      </c>
      <c r="B39" s="349"/>
      <c r="C39" s="568" t="s">
        <v>241</v>
      </c>
      <c r="D39" s="414"/>
      <c r="E39" s="417" t="s">
        <v>24</v>
      </c>
      <c r="F39" s="415" t="s">
        <v>169</v>
      </c>
      <c r="G39" s="418"/>
      <c r="H39" s="418" t="s">
        <v>33</v>
      </c>
      <c r="I39" s="414" t="s">
        <v>164</v>
      </c>
      <c r="J39" s="424">
        <v>85000000</v>
      </c>
      <c r="K39" s="425" t="s">
        <v>27</v>
      </c>
      <c r="L39" s="421">
        <v>46276</v>
      </c>
      <c r="M39" s="422"/>
      <c r="N39" s="448" t="s">
        <v>242</v>
      </c>
    </row>
    <row r="40" spans="1:14" customFormat="1" ht="14.4" hidden="1">
      <c r="A40" s="416" t="s">
        <v>117</v>
      </c>
      <c r="B40" s="416"/>
      <c r="C40" s="568" t="s">
        <v>243</v>
      </c>
      <c r="D40" s="415"/>
      <c r="E40" s="417" t="s">
        <v>90</v>
      </c>
      <c r="F40" s="415"/>
      <c r="G40" s="418" t="s">
        <v>96</v>
      </c>
      <c r="H40" s="418" t="s">
        <v>26</v>
      </c>
      <c r="I40" s="415" t="s">
        <v>164</v>
      </c>
      <c r="J40" s="424">
        <v>4295000000</v>
      </c>
      <c r="K40" s="425" t="s">
        <v>40</v>
      </c>
      <c r="L40" s="421">
        <v>45802</v>
      </c>
      <c r="M40" s="422" t="s">
        <v>149</v>
      </c>
      <c r="N40" s="448"/>
    </row>
    <row r="41" spans="1:14" customFormat="1" ht="14.4" hidden="1">
      <c r="A41" s="416" t="s">
        <v>239</v>
      </c>
      <c r="B41" s="416"/>
      <c r="C41" s="568" t="s">
        <v>33</v>
      </c>
      <c r="D41" s="415"/>
      <c r="E41" s="417" t="s">
        <v>90</v>
      </c>
      <c r="F41" s="415"/>
      <c r="G41" s="418" t="s">
        <v>96</v>
      </c>
      <c r="H41" s="418" t="s">
        <v>33</v>
      </c>
      <c r="I41" s="415" t="s">
        <v>164</v>
      </c>
      <c r="J41" s="424">
        <v>14300000</v>
      </c>
      <c r="K41" s="425" t="s">
        <v>40</v>
      </c>
      <c r="L41" s="421">
        <v>45802</v>
      </c>
      <c r="M41" s="422" t="s">
        <v>149</v>
      </c>
      <c r="N41" s="448"/>
    </row>
    <row r="42" spans="1:14" customFormat="1" ht="14.4" hidden="1">
      <c r="A42" s="416" t="s">
        <v>215</v>
      </c>
      <c r="B42" s="349"/>
      <c r="C42" s="568" t="s">
        <v>33</v>
      </c>
      <c r="D42" s="414" t="s">
        <v>244</v>
      </c>
      <c r="E42" s="417" t="s">
        <v>24</v>
      </c>
      <c r="F42" s="415"/>
      <c r="G42" s="418" t="s">
        <v>25</v>
      </c>
      <c r="H42" s="418" t="s">
        <v>33</v>
      </c>
      <c r="I42" s="414" t="s">
        <v>164</v>
      </c>
      <c r="J42" s="424">
        <v>21340000</v>
      </c>
      <c r="K42" s="425" t="s">
        <v>40</v>
      </c>
      <c r="L42" s="421">
        <v>46198</v>
      </c>
      <c r="M42" s="422" t="s">
        <v>149</v>
      </c>
      <c r="N42" s="448" t="s">
        <v>209</v>
      </c>
    </row>
    <row r="43" spans="1:14" customFormat="1" ht="14.4" hidden="1">
      <c r="A43" s="416" t="s">
        <v>245</v>
      </c>
      <c r="B43" s="416"/>
      <c r="C43" s="568" t="s">
        <v>88</v>
      </c>
      <c r="D43" s="415"/>
      <c r="E43" s="417" t="s">
        <v>90</v>
      </c>
      <c r="F43" s="415"/>
      <c r="G43" s="418" t="s">
        <v>96</v>
      </c>
      <c r="H43" s="418" t="s">
        <v>33</v>
      </c>
      <c r="I43" s="415" t="s">
        <v>164</v>
      </c>
      <c r="J43" s="424">
        <v>2900000</v>
      </c>
      <c r="K43" s="425" t="s">
        <v>40</v>
      </c>
      <c r="L43" s="421">
        <v>45802</v>
      </c>
      <c r="M43" s="422" t="s">
        <v>149</v>
      </c>
      <c r="N43" s="448"/>
    </row>
    <row r="44" spans="1:14" customFormat="1" ht="14.4" hidden="1">
      <c r="A44" s="389" t="s">
        <v>246</v>
      </c>
      <c r="B44" s="349"/>
      <c r="C44" s="569" t="s">
        <v>131</v>
      </c>
      <c r="D44" s="414"/>
      <c r="E44" s="417" t="s">
        <v>90</v>
      </c>
      <c r="F44" s="415"/>
      <c r="G44" s="418" t="s">
        <v>96</v>
      </c>
      <c r="H44" s="418" t="s">
        <v>33</v>
      </c>
      <c r="I44" s="415" t="s">
        <v>164</v>
      </c>
      <c r="J44" s="601">
        <v>7750850000</v>
      </c>
      <c r="K44" s="420" t="s">
        <v>40</v>
      </c>
      <c r="L44" s="421">
        <v>45986</v>
      </c>
      <c r="M44" s="391" t="s">
        <v>149</v>
      </c>
      <c r="N44" s="412" t="s">
        <v>247</v>
      </c>
    </row>
    <row r="45" spans="1:14" customFormat="1" ht="14.4" hidden="1">
      <c r="A45" s="455" t="s">
        <v>248</v>
      </c>
      <c r="B45" s="562"/>
      <c r="C45" s="577" t="s">
        <v>26</v>
      </c>
      <c r="D45" s="579" t="s">
        <v>33</v>
      </c>
      <c r="E45" s="579" t="s">
        <v>24</v>
      </c>
      <c r="F45" s="483" t="s">
        <v>185</v>
      </c>
      <c r="G45" s="593" t="s">
        <v>204</v>
      </c>
      <c r="H45" s="593" t="s">
        <v>26</v>
      </c>
      <c r="I45" s="579" t="s">
        <v>164</v>
      </c>
      <c r="J45" s="564">
        <v>69792000</v>
      </c>
      <c r="K45" s="594" t="s">
        <v>67</v>
      </c>
      <c r="L45" s="566"/>
      <c r="M45" s="566"/>
      <c r="N45" s="595"/>
    </row>
    <row r="46" spans="1:14" customFormat="1" ht="14.4" hidden="1">
      <c r="A46" s="455" t="s">
        <v>197</v>
      </c>
      <c r="B46" s="349"/>
      <c r="C46" s="577" t="s">
        <v>88</v>
      </c>
      <c r="D46" s="414" t="s">
        <v>249</v>
      </c>
      <c r="E46" s="579" t="s">
        <v>24</v>
      </c>
      <c r="F46" s="415" t="s">
        <v>185</v>
      </c>
      <c r="G46" s="593"/>
      <c r="H46" s="593" t="s">
        <v>33</v>
      </c>
      <c r="I46" s="414" t="s">
        <v>164</v>
      </c>
      <c r="J46" s="564">
        <v>3000000</v>
      </c>
      <c r="K46" s="594" t="s">
        <v>67</v>
      </c>
      <c r="L46" s="566"/>
      <c r="M46" s="566"/>
      <c r="N46" s="595" t="s">
        <v>250</v>
      </c>
    </row>
    <row r="47" spans="1:14" customFormat="1" ht="14.4">
      <c r="A47" s="415" t="s">
        <v>251</v>
      </c>
      <c r="B47" s="416"/>
      <c r="C47" s="568" t="s">
        <v>252</v>
      </c>
      <c r="D47" s="415" t="s">
        <v>253</v>
      </c>
      <c r="E47" s="417" t="s">
        <v>90</v>
      </c>
      <c r="F47" s="415"/>
      <c r="G47" s="418" t="s">
        <v>227</v>
      </c>
      <c r="H47" s="418" t="s">
        <v>26</v>
      </c>
      <c r="I47" s="415" t="s">
        <v>164</v>
      </c>
      <c r="J47" s="419">
        <v>80000000</v>
      </c>
      <c r="K47" s="420" t="s">
        <v>40</v>
      </c>
      <c r="L47" s="421">
        <v>45793</v>
      </c>
      <c r="M47" s="421" t="s">
        <v>149</v>
      </c>
      <c r="N47" s="426"/>
    </row>
    <row r="48" spans="1:14" customFormat="1" ht="14.4">
      <c r="A48" s="415" t="s">
        <v>254</v>
      </c>
      <c r="B48" s="416"/>
      <c r="C48" s="568" t="s">
        <v>255</v>
      </c>
      <c r="D48" s="415" t="s">
        <v>226</v>
      </c>
      <c r="E48" s="417" t="s">
        <v>90</v>
      </c>
      <c r="F48" s="415"/>
      <c r="G48" s="418" t="s">
        <v>227</v>
      </c>
      <c r="H48" s="418" t="s">
        <v>26</v>
      </c>
      <c r="I48" s="415" t="s">
        <v>164</v>
      </c>
      <c r="J48" s="419">
        <v>31000000</v>
      </c>
      <c r="K48" s="420" t="s">
        <v>40</v>
      </c>
      <c r="L48" s="421">
        <v>45793</v>
      </c>
      <c r="M48" s="421" t="s">
        <v>149</v>
      </c>
      <c r="N48" s="426"/>
    </row>
    <row r="49" spans="1:14" customFormat="1" ht="14.4" hidden="1">
      <c r="A49" s="389" t="s">
        <v>256</v>
      </c>
      <c r="B49" s="349"/>
      <c r="C49" s="568" t="s">
        <v>257</v>
      </c>
      <c r="D49" s="414"/>
      <c r="E49" s="417" t="s">
        <v>24</v>
      </c>
      <c r="F49" s="415"/>
      <c r="G49" s="418" t="s">
        <v>201</v>
      </c>
      <c r="H49" s="418" t="s">
        <v>26</v>
      </c>
      <c r="I49" s="415" t="s">
        <v>164</v>
      </c>
      <c r="J49" s="390">
        <v>3150000000</v>
      </c>
      <c r="K49" s="420" t="s">
        <v>40</v>
      </c>
      <c r="L49" s="421">
        <v>46011</v>
      </c>
      <c r="M49" s="422" t="s">
        <v>149</v>
      </c>
      <c r="N49" s="448"/>
    </row>
    <row r="50" spans="1:14" customFormat="1" ht="14.4" hidden="1">
      <c r="A50" s="483" t="s">
        <v>258</v>
      </c>
      <c r="B50" s="562"/>
      <c r="C50" s="577" t="s">
        <v>151</v>
      </c>
      <c r="D50" s="579" t="s">
        <v>33</v>
      </c>
      <c r="E50" s="579" t="s">
        <v>24</v>
      </c>
      <c r="F50" s="483" t="s">
        <v>185</v>
      </c>
      <c r="G50" s="593" t="s">
        <v>204</v>
      </c>
      <c r="H50" s="593" t="s">
        <v>88</v>
      </c>
      <c r="I50" s="579" t="s">
        <v>164</v>
      </c>
      <c r="J50" s="564">
        <v>11214000</v>
      </c>
      <c r="K50" s="594" t="s">
        <v>67</v>
      </c>
      <c r="L50" s="566"/>
      <c r="M50" s="567"/>
      <c r="N50" s="576"/>
    </row>
    <row r="51" spans="1:14" customFormat="1" ht="14.4" hidden="1">
      <c r="A51" s="415" t="s">
        <v>132</v>
      </c>
      <c r="B51" s="416"/>
      <c r="C51" s="568" t="s">
        <v>259</v>
      </c>
      <c r="D51" s="415"/>
      <c r="E51" s="417" t="s">
        <v>90</v>
      </c>
      <c r="F51" s="415"/>
      <c r="G51" s="418" t="s">
        <v>103</v>
      </c>
      <c r="H51" s="418" t="s">
        <v>33</v>
      </c>
      <c r="I51" s="415" t="s">
        <v>164</v>
      </c>
      <c r="J51" s="419">
        <v>370000000</v>
      </c>
      <c r="K51" s="420" t="s">
        <v>40</v>
      </c>
      <c r="L51" s="421">
        <v>45758</v>
      </c>
      <c r="M51" s="422" t="s">
        <v>149</v>
      </c>
      <c r="N51" s="448" t="s">
        <v>260</v>
      </c>
    </row>
    <row r="52" spans="1:14" customFormat="1" ht="14.4" hidden="1">
      <c r="A52" s="416" t="s">
        <v>261</v>
      </c>
      <c r="B52" s="416"/>
      <c r="C52" s="568" t="s">
        <v>262</v>
      </c>
      <c r="D52" s="415" t="s">
        <v>263</v>
      </c>
      <c r="E52" s="417" t="s">
        <v>24</v>
      </c>
      <c r="F52" s="415"/>
      <c r="G52" s="418" t="s">
        <v>201</v>
      </c>
      <c r="H52" s="418" t="s">
        <v>26</v>
      </c>
      <c r="I52" s="415" t="s">
        <v>154</v>
      </c>
      <c r="J52" s="424">
        <v>800000000</v>
      </c>
      <c r="K52" s="425" t="s">
        <v>40</v>
      </c>
      <c r="L52" s="421">
        <v>45980</v>
      </c>
      <c r="M52" s="422" t="s">
        <v>149</v>
      </c>
      <c r="N52" s="448"/>
    </row>
    <row r="53" spans="1:14" customFormat="1" ht="14.4" hidden="1">
      <c r="A53" s="389" t="s">
        <v>264</v>
      </c>
      <c r="B53" s="389"/>
      <c r="C53" s="569" t="s">
        <v>265</v>
      </c>
      <c r="D53" s="389" t="s">
        <v>266</v>
      </c>
      <c r="E53" s="417" t="s">
        <v>24</v>
      </c>
      <c r="F53" s="415"/>
      <c r="G53" s="440" t="s">
        <v>54</v>
      </c>
      <c r="H53" s="440" t="s">
        <v>26</v>
      </c>
      <c r="I53" s="415" t="s">
        <v>164</v>
      </c>
      <c r="J53" s="424">
        <v>1500000000</v>
      </c>
      <c r="K53" s="425" t="s">
        <v>40</v>
      </c>
      <c r="L53" s="421">
        <v>46157</v>
      </c>
      <c r="M53" s="421" t="s">
        <v>149</v>
      </c>
      <c r="N53" s="389" t="s">
        <v>267</v>
      </c>
    </row>
    <row r="54" spans="1:14" customFormat="1" ht="14.4" hidden="1">
      <c r="A54" s="416" t="s">
        <v>268</v>
      </c>
      <c r="B54" s="416"/>
      <c r="C54" s="568" t="s">
        <v>131</v>
      </c>
      <c r="D54" s="415"/>
      <c r="E54" s="417" t="s">
        <v>90</v>
      </c>
      <c r="F54" s="415"/>
      <c r="G54" s="427" t="s">
        <v>103</v>
      </c>
      <c r="H54" s="427" t="s">
        <v>33</v>
      </c>
      <c r="I54" s="415" t="s">
        <v>164</v>
      </c>
      <c r="J54" s="424">
        <v>1443400000</v>
      </c>
      <c r="K54" s="425" t="s">
        <v>40</v>
      </c>
      <c r="L54" s="421">
        <v>45819</v>
      </c>
      <c r="M54" s="422" t="s">
        <v>149</v>
      </c>
      <c r="N54" s="448"/>
    </row>
    <row r="55" spans="1:14" customFormat="1" ht="14.4">
      <c r="A55" s="389" t="s">
        <v>269</v>
      </c>
      <c r="B55" s="416"/>
      <c r="C55" s="569" t="s">
        <v>270</v>
      </c>
      <c r="D55" s="415"/>
      <c r="E55" s="417" t="s">
        <v>90</v>
      </c>
      <c r="F55" s="415"/>
      <c r="G55" s="418" t="s">
        <v>227</v>
      </c>
      <c r="H55" s="418" t="s">
        <v>26</v>
      </c>
      <c r="I55" s="415" t="s">
        <v>164</v>
      </c>
      <c r="J55" s="390">
        <v>1988500000</v>
      </c>
      <c r="K55" s="420" t="s">
        <v>40</v>
      </c>
      <c r="L55" s="421">
        <v>45576</v>
      </c>
      <c r="M55" s="391"/>
      <c r="N55" s="412"/>
    </row>
    <row r="56" spans="1:14" customFormat="1" ht="14.4" hidden="1">
      <c r="A56" s="389" t="s">
        <v>166</v>
      </c>
      <c r="B56" s="349"/>
      <c r="C56" s="569" t="s">
        <v>271</v>
      </c>
      <c r="D56" s="444" t="s">
        <v>272</v>
      </c>
      <c r="E56" s="417" t="s">
        <v>24</v>
      </c>
      <c r="F56" s="415" t="s">
        <v>169</v>
      </c>
      <c r="G56" s="418" t="s">
        <v>170</v>
      </c>
      <c r="H56" s="418" t="s">
        <v>26</v>
      </c>
      <c r="I56" s="414" t="s">
        <v>145</v>
      </c>
      <c r="J56" s="390">
        <v>219000000</v>
      </c>
      <c r="K56" s="420" t="s">
        <v>40</v>
      </c>
      <c r="L56" s="421">
        <v>46163</v>
      </c>
      <c r="M56" s="391" t="s">
        <v>149</v>
      </c>
      <c r="N56" s="412" t="s">
        <v>273</v>
      </c>
    </row>
    <row r="57" spans="1:14" customFormat="1" ht="14.4" hidden="1">
      <c r="A57" s="389" t="s">
        <v>274</v>
      </c>
      <c r="B57" s="416"/>
      <c r="C57" s="569" t="s">
        <v>275</v>
      </c>
      <c r="D57" s="415"/>
      <c r="E57" s="417" t="s">
        <v>90</v>
      </c>
      <c r="F57" s="415"/>
      <c r="G57" s="418" t="s">
        <v>103</v>
      </c>
      <c r="H57" s="418" t="s">
        <v>26</v>
      </c>
      <c r="I57" s="415" t="s">
        <v>164</v>
      </c>
      <c r="J57" s="390">
        <v>2330000000</v>
      </c>
      <c r="K57" s="420" t="s">
        <v>40</v>
      </c>
      <c r="L57" s="421">
        <v>45576</v>
      </c>
      <c r="M57" s="391"/>
      <c r="N57" s="412"/>
    </row>
    <row r="58" spans="1:14" customFormat="1" ht="14.4" hidden="1">
      <c r="A58" s="389" t="s">
        <v>276</v>
      </c>
      <c r="B58" s="416"/>
      <c r="C58" s="569" t="s">
        <v>277</v>
      </c>
      <c r="D58" s="415"/>
      <c r="E58" s="417" t="s">
        <v>90</v>
      </c>
      <c r="F58" s="415"/>
      <c r="G58" s="418" t="s">
        <v>96</v>
      </c>
      <c r="H58" s="418" t="s">
        <v>26</v>
      </c>
      <c r="I58" s="415" t="s">
        <v>164</v>
      </c>
      <c r="J58" s="390">
        <v>2529908164</v>
      </c>
      <c r="K58" s="420" t="s">
        <v>40</v>
      </c>
      <c r="L58" s="421">
        <v>45616</v>
      </c>
      <c r="M58" s="391"/>
      <c r="N58" s="412"/>
    </row>
    <row r="59" spans="1:14" customFormat="1" ht="14.4" hidden="1">
      <c r="A59" s="389" t="s">
        <v>269</v>
      </c>
      <c r="B59" s="416"/>
      <c r="C59" s="569" t="s">
        <v>278</v>
      </c>
      <c r="D59" s="415"/>
      <c r="E59" s="417" t="s">
        <v>90</v>
      </c>
      <c r="F59" s="415"/>
      <c r="G59" s="418" t="s">
        <v>96</v>
      </c>
      <c r="H59" s="418" t="s">
        <v>26</v>
      </c>
      <c r="I59" s="415" t="s">
        <v>164</v>
      </c>
      <c r="J59" s="390">
        <v>2015000000</v>
      </c>
      <c r="K59" s="420" t="s">
        <v>40</v>
      </c>
      <c r="L59" s="421">
        <v>45638</v>
      </c>
      <c r="M59" s="391"/>
      <c r="N59" s="412"/>
    </row>
    <row r="60" spans="1:14" customFormat="1" ht="14.4" hidden="1">
      <c r="A60" s="389" t="s">
        <v>279</v>
      </c>
      <c r="B60" s="416"/>
      <c r="C60" s="569" t="s">
        <v>280</v>
      </c>
      <c r="D60" s="415"/>
      <c r="E60" s="417" t="s">
        <v>90</v>
      </c>
      <c r="F60" s="415"/>
      <c r="G60" s="418" t="s">
        <v>96</v>
      </c>
      <c r="H60" s="418" t="s">
        <v>33</v>
      </c>
      <c r="I60" s="415" t="s">
        <v>164</v>
      </c>
      <c r="J60" s="390">
        <v>205000000</v>
      </c>
      <c r="K60" s="420" t="s">
        <v>40</v>
      </c>
      <c r="L60" s="421">
        <v>45638</v>
      </c>
      <c r="M60" s="391"/>
      <c r="N60" s="412"/>
    </row>
    <row r="61" spans="1:14" customFormat="1" ht="14.4">
      <c r="A61" s="389" t="s">
        <v>281</v>
      </c>
      <c r="B61" s="416"/>
      <c r="C61" s="569" t="s">
        <v>282</v>
      </c>
      <c r="D61" s="415"/>
      <c r="E61" s="417" t="s">
        <v>90</v>
      </c>
      <c r="F61" s="415"/>
      <c r="G61" s="418" t="s">
        <v>227</v>
      </c>
      <c r="H61" s="418" t="s">
        <v>33</v>
      </c>
      <c r="I61" s="415" t="s">
        <v>164</v>
      </c>
      <c r="J61" s="390">
        <v>14750000</v>
      </c>
      <c r="K61" s="420" t="s">
        <v>40</v>
      </c>
      <c r="L61" s="421">
        <v>45637</v>
      </c>
      <c r="M61" s="391"/>
      <c r="N61" s="412"/>
    </row>
    <row r="62" spans="1:14" customFormat="1" ht="14.4" hidden="1">
      <c r="A62" s="389" t="s">
        <v>274</v>
      </c>
      <c r="B62" s="416"/>
      <c r="C62" s="569" t="s">
        <v>283</v>
      </c>
      <c r="D62" s="415"/>
      <c r="E62" s="417" t="s">
        <v>90</v>
      </c>
      <c r="F62" s="415"/>
      <c r="G62" s="418" t="s">
        <v>103</v>
      </c>
      <c r="H62" s="418" t="s">
        <v>26</v>
      </c>
      <c r="I62" s="415" t="s">
        <v>164</v>
      </c>
      <c r="J62" s="390">
        <v>3450000000</v>
      </c>
      <c r="K62" s="420" t="s">
        <v>40</v>
      </c>
      <c r="L62" s="421">
        <v>45602</v>
      </c>
      <c r="M62" s="391"/>
      <c r="N62" s="412"/>
    </row>
    <row r="63" spans="1:14" customFormat="1" ht="14.4" hidden="1">
      <c r="A63" s="389" t="s">
        <v>274</v>
      </c>
      <c r="B63" s="416"/>
      <c r="C63" s="569" t="s">
        <v>284</v>
      </c>
      <c r="D63" s="415"/>
      <c r="E63" s="417" t="s">
        <v>90</v>
      </c>
      <c r="F63" s="415"/>
      <c r="G63" s="418" t="s">
        <v>103</v>
      </c>
      <c r="H63" s="418" t="s">
        <v>33</v>
      </c>
      <c r="I63" s="415" t="s">
        <v>164</v>
      </c>
      <c r="J63" s="390">
        <v>25000000</v>
      </c>
      <c r="K63" s="420" t="s">
        <v>40</v>
      </c>
      <c r="L63" s="421">
        <v>45637</v>
      </c>
      <c r="M63" s="391"/>
      <c r="N63" s="412"/>
    </row>
    <row r="64" spans="1:14" customFormat="1" ht="14.4" hidden="1">
      <c r="A64" s="416" t="s">
        <v>285</v>
      </c>
      <c r="B64" s="416"/>
      <c r="C64" s="568" t="s">
        <v>286</v>
      </c>
      <c r="D64" s="415" t="s">
        <v>263</v>
      </c>
      <c r="E64" s="417" t="s">
        <v>24</v>
      </c>
      <c r="F64" s="415"/>
      <c r="G64" s="418" t="s">
        <v>201</v>
      </c>
      <c r="H64" s="418" t="s">
        <v>33</v>
      </c>
      <c r="I64" s="415" t="s">
        <v>148</v>
      </c>
      <c r="J64" s="424">
        <v>500000000</v>
      </c>
      <c r="K64" s="425" t="s">
        <v>40</v>
      </c>
      <c r="L64" s="421">
        <v>45980</v>
      </c>
      <c r="M64" s="422"/>
      <c r="N64" s="423"/>
    </row>
    <row r="65" spans="1:14" customFormat="1" ht="14.4" hidden="1">
      <c r="A65" s="416" t="s">
        <v>287</v>
      </c>
      <c r="B65" s="416"/>
      <c r="C65" s="568" t="s">
        <v>288</v>
      </c>
      <c r="D65" s="415" t="s">
        <v>263</v>
      </c>
      <c r="E65" s="417" t="s">
        <v>24</v>
      </c>
      <c r="F65" s="415"/>
      <c r="G65" s="418" t="s">
        <v>201</v>
      </c>
      <c r="H65" s="418" t="s">
        <v>26</v>
      </c>
      <c r="I65" s="415" t="s">
        <v>164</v>
      </c>
      <c r="J65" s="424">
        <v>260000000</v>
      </c>
      <c r="K65" s="425" t="s">
        <v>40</v>
      </c>
      <c r="L65" s="421">
        <v>46158</v>
      </c>
      <c r="M65" s="422"/>
      <c r="N65" s="448"/>
    </row>
    <row r="66" spans="1:14" customFormat="1" ht="14.4" hidden="1">
      <c r="A66" s="415" t="s">
        <v>289</v>
      </c>
      <c r="B66" s="349"/>
      <c r="C66" s="568" t="s">
        <v>290</v>
      </c>
      <c r="D66" s="415" t="s">
        <v>263</v>
      </c>
      <c r="E66" s="417" t="s">
        <v>24</v>
      </c>
      <c r="F66" s="415"/>
      <c r="G66" s="418" t="s">
        <v>201</v>
      </c>
      <c r="H66" s="418" t="s">
        <v>26</v>
      </c>
      <c r="I66" s="414" t="s">
        <v>164</v>
      </c>
      <c r="J66" s="419">
        <f>330000000+130500000</f>
        <v>460500000</v>
      </c>
      <c r="K66" s="420" t="s">
        <v>40</v>
      </c>
      <c r="L66" s="421">
        <v>46100</v>
      </c>
      <c r="M66" s="422" t="s">
        <v>149</v>
      </c>
      <c r="N66" s="448" t="s">
        <v>61</v>
      </c>
    </row>
    <row r="67" spans="1:14" customFormat="1" ht="14.4" hidden="1">
      <c r="A67" s="389" t="s">
        <v>291</v>
      </c>
      <c r="B67" s="349"/>
      <c r="C67" s="568" t="s">
        <v>292</v>
      </c>
      <c r="D67" s="414"/>
      <c r="E67" s="417" t="s">
        <v>24</v>
      </c>
      <c r="F67" s="415"/>
      <c r="G67" s="440" t="s">
        <v>54</v>
      </c>
      <c r="H67" s="357" t="s">
        <v>33</v>
      </c>
      <c r="I67" s="415" t="s">
        <v>164</v>
      </c>
      <c r="J67" s="390">
        <v>1297780000</v>
      </c>
      <c r="K67" s="420" t="s">
        <v>40</v>
      </c>
      <c r="L67" s="421">
        <v>46030</v>
      </c>
      <c r="M67" s="422"/>
      <c r="N67" s="448"/>
    </row>
    <row r="68" spans="1:14" customFormat="1" ht="14.4" hidden="1">
      <c r="A68" s="389" t="s">
        <v>293</v>
      </c>
      <c r="B68" s="349"/>
      <c r="C68" s="568" t="s">
        <v>292</v>
      </c>
      <c r="D68" s="414"/>
      <c r="E68" s="417" t="s">
        <v>24</v>
      </c>
      <c r="F68" s="415"/>
      <c r="G68" s="440" t="s">
        <v>54</v>
      </c>
      <c r="H68" s="357" t="s">
        <v>33</v>
      </c>
      <c r="I68" s="415" t="s">
        <v>164</v>
      </c>
      <c r="J68" s="390">
        <v>2659930000</v>
      </c>
      <c r="K68" s="420" t="s">
        <v>40</v>
      </c>
      <c r="L68" s="421">
        <v>46030</v>
      </c>
      <c r="M68" s="422"/>
      <c r="N68" s="448"/>
    </row>
    <row r="69" spans="1:14" customFormat="1" ht="14.4" hidden="1">
      <c r="A69" s="389" t="s">
        <v>264</v>
      </c>
      <c r="B69" s="349"/>
      <c r="C69" s="568" t="s">
        <v>294</v>
      </c>
      <c r="D69" s="414"/>
      <c r="E69" s="417" t="s">
        <v>24</v>
      </c>
      <c r="F69" s="415"/>
      <c r="G69" s="440" t="s">
        <v>54</v>
      </c>
      <c r="H69" s="357" t="s">
        <v>33</v>
      </c>
      <c r="I69" s="415" t="s">
        <v>164</v>
      </c>
      <c r="J69" s="390">
        <v>695653000</v>
      </c>
      <c r="K69" s="420" t="s">
        <v>44</v>
      </c>
      <c r="L69" s="421">
        <v>46241</v>
      </c>
      <c r="M69" s="422"/>
      <c r="N69" s="448" t="s">
        <v>295</v>
      </c>
    </row>
    <row r="70" spans="1:14" customFormat="1" ht="14.4" hidden="1">
      <c r="A70" s="389" t="s">
        <v>264</v>
      </c>
      <c r="B70" s="416"/>
      <c r="C70" s="568" t="s">
        <v>296</v>
      </c>
      <c r="D70" s="415"/>
      <c r="E70" s="417" t="s">
        <v>24</v>
      </c>
      <c r="F70" s="415"/>
      <c r="G70" s="440" t="s">
        <v>54</v>
      </c>
      <c r="H70" s="418" t="s">
        <v>33</v>
      </c>
      <c r="I70" s="415" t="s">
        <v>164</v>
      </c>
      <c r="J70" s="424">
        <v>2000000000</v>
      </c>
      <c r="K70" s="425" t="s">
        <v>27</v>
      </c>
      <c r="L70" s="421">
        <v>46235</v>
      </c>
      <c r="M70" s="421" t="s">
        <v>149</v>
      </c>
      <c r="N70" s="448"/>
    </row>
    <row r="71" spans="1:14" customFormat="1" ht="14.4">
      <c r="A71" s="389" t="s">
        <v>279</v>
      </c>
      <c r="B71" s="416"/>
      <c r="C71" s="569" t="s">
        <v>297</v>
      </c>
      <c r="D71" s="415"/>
      <c r="E71" s="417" t="s">
        <v>90</v>
      </c>
      <c r="F71" s="415"/>
      <c r="G71" s="418" t="s">
        <v>227</v>
      </c>
      <c r="H71" s="418" t="s">
        <v>26</v>
      </c>
      <c r="I71" s="415" t="s">
        <v>164</v>
      </c>
      <c r="J71" s="390">
        <v>12000000</v>
      </c>
      <c r="K71" s="420" t="s">
        <v>40</v>
      </c>
      <c r="L71" s="421">
        <v>45756</v>
      </c>
      <c r="M71" s="391"/>
      <c r="N71" s="412"/>
    </row>
    <row r="72" spans="1:14" customFormat="1" ht="14.4">
      <c r="A72" s="389" t="s">
        <v>279</v>
      </c>
      <c r="B72" s="416"/>
      <c r="C72" s="569" t="s">
        <v>298</v>
      </c>
      <c r="D72" s="415"/>
      <c r="E72" s="417" t="s">
        <v>90</v>
      </c>
      <c r="F72" s="415"/>
      <c r="G72" s="418" t="s">
        <v>227</v>
      </c>
      <c r="H72" s="418" t="s">
        <v>26</v>
      </c>
      <c r="I72" s="415" t="s">
        <v>164</v>
      </c>
      <c r="J72" s="390">
        <v>8000000</v>
      </c>
      <c r="K72" s="420" t="s">
        <v>40</v>
      </c>
      <c r="L72" s="421">
        <v>45756</v>
      </c>
      <c r="M72" s="391"/>
      <c r="N72" s="412"/>
    </row>
    <row r="73" spans="1:14" customFormat="1" ht="14.4" hidden="1">
      <c r="A73" s="389" t="s">
        <v>299</v>
      </c>
      <c r="B73" s="349"/>
      <c r="C73" t="s">
        <v>300</v>
      </c>
      <c r="D73" s="414"/>
      <c r="E73" s="417" t="s">
        <v>24</v>
      </c>
      <c r="F73" s="415" t="s">
        <v>169</v>
      </c>
      <c r="G73" s="418"/>
      <c r="H73" s="418" t="s">
        <v>26</v>
      </c>
      <c r="I73" s="414" t="s">
        <v>148</v>
      </c>
      <c r="J73" s="390">
        <v>1250000000</v>
      </c>
      <c r="K73" s="420" t="s">
        <v>27</v>
      </c>
      <c r="L73" s="421">
        <v>46241</v>
      </c>
      <c r="M73" s="391"/>
      <c r="N73" s="412" t="s">
        <v>301</v>
      </c>
    </row>
    <row r="74" spans="1:14" customFormat="1" ht="14.4" hidden="1">
      <c r="A74" s="389" t="s">
        <v>146</v>
      </c>
      <c r="B74" s="347" t="s">
        <v>302</v>
      </c>
      <c r="C74" s="569" t="s">
        <v>303</v>
      </c>
      <c r="D74" s="611"/>
      <c r="E74" s="417" t="s">
        <v>24</v>
      </c>
      <c r="F74" s="415"/>
      <c r="G74" s="418" t="s">
        <v>25</v>
      </c>
      <c r="H74" s="418" t="s">
        <v>33</v>
      </c>
      <c r="I74" s="611" t="s">
        <v>148</v>
      </c>
      <c r="J74" s="390">
        <v>21600000</v>
      </c>
      <c r="K74" s="420" t="s">
        <v>40</v>
      </c>
      <c r="L74" s="421">
        <v>46048</v>
      </c>
      <c r="M74" s="422" t="s">
        <v>149</v>
      </c>
      <c r="N74" s="448" t="s">
        <v>61</v>
      </c>
    </row>
    <row r="75" spans="1:14" customFormat="1" ht="14.4" hidden="1">
      <c r="A75" s="389" t="s">
        <v>304</v>
      </c>
      <c r="B75" s="347" t="s">
        <v>305</v>
      </c>
      <c r="C75" s="569" t="s">
        <v>157</v>
      </c>
      <c r="D75" s="611"/>
      <c r="E75" s="417" t="s">
        <v>24</v>
      </c>
      <c r="F75" s="415"/>
      <c r="G75" s="418" t="s">
        <v>25</v>
      </c>
      <c r="H75" s="418" t="s">
        <v>33</v>
      </c>
      <c r="I75" s="611" t="s">
        <v>148</v>
      </c>
      <c r="J75" s="390">
        <v>136616960</v>
      </c>
      <c r="K75" s="420" t="s">
        <v>40</v>
      </c>
      <c r="L75" s="421">
        <v>46079</v>
      </c>
      <c r="M75" s="422" t="s">
        <v>149</v>
      </c>
      <c r="N75" s="448" t="s">
        <v>61</v>
      </c>
    </row>
    <row r="76" spans="1:14" customFormat="1" ht="14.4" hidden="1">
      <c r="A76" s="389" t="s">
        <v>146</v>
      </c>
      <c r="B76" s="347" t="s">
        <v>306</v>
      </c>
      <c r="C76" s="569" t="s">
        <v>307</v>
      </c>
      <c r="D76" s="611"/>
      <c r="E76" s="417" t="s">
        <v>24</v>
      </c>
      <c r="F76" s="415"/>
      <c r="G76" s="418" t="s">
        <v>25</v>
      </c>
      <c r="H76" s="418" t="s">
        <v>33</v>
      </c>
      <c r="I76" s="611" t="s">
        <v>148</v>
      </c>
      <c r="J76" s="390">
        <v>137213000</v>
      </c>
      <c r="K76" s="420" t="s">
        <v>40</v>
      </c>
      <c r="L76" s="421">
        <v>46048</v>
      </c>
      <c r="M76" s="422" t="s">
        <v>149</v>
      </c>
      <c r="N76" s="448" t="s">
        <v>61</v>
      </c>
    </row>
    <row r="77" spans="1:14" customFormat="1" ht="14.4" hidden="1">
      <c r="A77" s="389" t="s">
        <v>146</v>
      </c>
      <c r="B77" s="347"/>
      <c r="C77" s="569" t="s">
        <v>308</v>
      </c>
      <c r="D77" s="414"/>
      <c r="E77" s="417" t="s">
        <v>24</v>
      </c>
      <c r="F77" s="415"/>
      <c r="G77" s="418" t="s">
        <v>25</v>
      </c>
      <c r="H77" s="418" t="s">
        <v>26</v>
      </c>
      <c r="I77" s="414" t="s">
        <v>148</v>
      </c>
      <c r="J77" s="390">
        <v>1348680000</v>
      </c>
      <c r="K77" s="420" t="s">
        <v>40</v>
      </c>
      <c r="L77" s="421">
        <v>46064</v>
      </c>
      <c r="M77" s="422" t="s">
        <v>149</v>
      </c>
      <c r="N77" s="448" t="s">
        <v>61</v>
      </c>
    </row>
    <row r="78" spans="1:14" customFormat="1" ht="14.4" hidden="1">
      <c r="A78" s="389" t="s">
        <v>309</v>
      </c>
      <c r="B78" s="347" t="s">
        <v>310</v>
      </c>
      <c r="C78" s="569" t="s">
        <v>310</v>
      </c>
      <c r="D78" s="414" t="s">
        <v>266</v>
      </c>
      <c r="E78" s="417" t="s">
        <v>24</v>
      </c>
      <c r="F78" s="415"/>
      <c r="G78" s="418" t="s">
        <v>25</v>
      </c>
      <c r="H78" s="418" t="s">
        <v>26</v>
      </c>
      <c r="I78" s="414" t="s">
        <v>164</v>
      </c>
      <c r="J78" s="390">
        <v>200000000</v>
      </c>
      <c r="K78" s="420" t="s">
        <v>40</v>
      </c>
      <c r="L78" s="421">
        <v>46048</v>
      </c>
      <c r="M78" s="422" t="s">
        <v>149</v>
      </c>
      <c r="N78" s="448" t="s">
        <v>61</v>
      </c>
    </row>
    <row r="79" spans="1:14" customFormat="1" ht="14.4" hidden="1">
      <c r="A79" s="389" t="s">
        <v>146</v>
      </c>
      <c r="B79" s="349"/>
      <c r="C79" s="569" t="s">
        <v>158</v>
      </c>
      <c r="D79" s="414"/>
      <c r="E79" s="417" t="s">
        <v>24</v>
      </c>
      <c r="F79" s="415"/>
      <c r="G79" s="418" t="s">
        <v>25</v>
      </c>
      <c r="H79" s="418" t="s">
        <v>33</v>
      </c>
      <c r="I79" s="414" t="s">
        <v>148</v>
      </c>
      <c r="J79" s="390">
        <v>1350000000</v>
      </c>
      <c r="K79" s="420" t="s">
        <v>40</v>
      </c>
      <c r="L79" s="421">
        <v>46016</v>
      </c>
      <c r="M79" s="391"/>
      <c r="N79" s="412"/>
    </row>
    <row r="80" spans="1:14" customFormat="1" ht="14.4" hidden="1">
      <c r="A80" s="389" t="s">
        <v>146</v>
      </c>
      <c r="B80" s="347" t="s">
        <v>302</v>
      </c>
      <c r="C80" s="569" t="s">
        <v>311</v>
      </c>
      <c r="D80" s="414"/>
      <c r="E80" s="417" t="s">
        <v>24</v>
      </c>
      <c r="F80" s="415"/>
      <c r="G80" s="418" t="s">
        <v>25</v>
      </c>
      <c r="H80" s="418" t="s">
        <v>33</v>
      </c>
      <c r="I80" s="414" t="s">
        <v>148</v>
      </c>
      <c r="J80" s="390">
        <f>54000000+266311759</f>
        <v>320311759</v>
      </c>
      <c r="K80" s="420" t="s">
        <v>40</v>
      </c>
      <c r="L80" s="421">
        <v>46073</v>
      </c>
      <c r="M80" s="391"/>
      <c r="N80" s="412" t="s">
        <v>312</v>
      </c>
    </row>
    <row r="81" spans="1:14" customFormat="1" ht="14.4" hidden="1">
      <c r="A81" s="389" t="s">
        <v>313</v>
      </c>
      <c r="B81" s="416"/>
      <c r="C81" s="569" t="s">
        <v>314</v>
      </c>
      <c r="D81" s="415"/>
      <c r="E81" s="417" t="s">
        <v>90</v>
      </c>
      <c r="F81" s="415"/>
      <c r="G81" s="418" t="s">
        <v>103</v>
      </c>
      <c r="H81" s="418" t="s">
        <v>26</v>
      </c>
      <c r="I81" s="415" t="s">
        <v>164</v>
      </c>
      <c r="J81" s="390">
        <v>986810603</v>
      </c>
      <c r="K81" s="420" t="s">
        <v>40</v>
      </c>
      <c r="L81" s="421">
        <v>45637</v>
      </c>
      <c r="M81" s="391"/>
      <c r="N81" s="412"/>
    </row>
    <row r="82" spans="1:14" customFormat="1" ht="14.4" hidden="1">
      <c r="A82" s="415" t="s">
        <v>315</v>
      </c>
      <c r="B82" s="349"/>
      <c r="C82" s="568" t="s">
        <v>316</v>
      </c>
      <c r="D82" s="414"/>
      <c r="E82" s="417" t="s">
        <v>24</v>
      </c>
      <c r="F82" s="415"/>
      <c r="G82" s="418" t="s">
        <v>43</v>
      </c>
      <c r="H82" s="418" t="s">
        <v>33</v>
      </c>
      <c r="I82" s="415" t="s">
        <v>148</v>
      </c>
      <c r="J82" s="419">
        <v>155000000</v>
      </c>
      <c r="K82" s="420" t="s">
        <v>40</v>
      </c>
      <c r="L82" s="421">
        <v>46054</v>
      </c>
      <c r="M82" s="422" t="s">
        <v>149</v>
      </c>
      <c r="N82" s="448" t="s">
        <v>61</v>
      </c>
    </row>
    <row r="83" spans="1:14" customFormat="1" ht="14.4" hidden="1">
      <c r="A83" s="415" t="s">
        <v>317</v>
      </c>
      <c r="B83" s="349"/>
      <c r="C83" s="568" t="s">
        <v>318</v>
      </c>
      <c r="D83" s="414" t="s">
        <v>26</v>
      </c>
      <c r="E83" s="417" t="s">
        <v>24</v>
      </c>
      <c r="F83" s="415"/>
      <c r="G83" s="418" t="s">
        <v>25</v>
      </c>
      <c r="H83" s="418" t="s">
        <v>26</v>
      </c>
      <c r="I83" s="414" t="s">
        <v>148</v>
      </c>
      <c r="J83" s="419">
        <v>783000000</v>
      </c>
      <c r="K83" s="420" t="s">
        <v>40</v>
      </c>
      <c r="L83" s="421">
        <v>45959</v>
      </c>
      <c r="M83" s="421"/>
      <c r="N83" s="426"/>
    </row>
    <row r="84" spans="1:14" customFormat="1" ht="14.4" hidden="1">
      <c r="A84" s="415" t="s">
        <v>319</v>
      </c>
      <c r="B84" s="416"/>
      <c r="C84" s="568" t="s">
        <v>320</v>
      </c>
      <c r="D84" s="415" t="s">
        <v>321</v>
      </c>
      <c r="E84" s="417" t="s">
        <v>90</v>
      </c>
      <c r="F84" s="415"/>
      <c r="G84" s="418" t="s">
        <v>96</v>
      </c>
      <c r="H84" s="418" t="s">
        <v>26</v>
      </c>
      <c r="I84" s="415" t="s">
        <v>148</v>
      </c>
      <c r="J84" s="419">
        <v>2700000000</v>
      </c>
      <c r="K84" s="420" t="s">
        <v>40</v>
      </c>
      <c r="L84" s="421">
        <v>45891</v>
      </c>
      <c r="M84" s="421" t="s">
        <v>149</v>
      </c>
      <c r="N84" s="426" t="e">
        <f>#REF!</f>
        <v>#REF!</v>
      </c>
    </row>
    <row r="85" spans="1:14" customFormat="1" ht="14.4" hidden="1">
      <c r="A85" s="416" t="s">
        <v>322</v>
      </c>
      <c r="B85" s="349"/>
      <c r="C85" s="568" t="s">
        <v>286</v>
      </c>
      <c r="D85" s="415" t="s">
        <v>263</v>
      </c>
      <c r="E85" s="417" t="s">
        <v>24</v>
      </c>
      <c r="F85" s="415"/>
      <c r="G85" s="418" t="s">
        <v>201</v>
      </c>
      <c r="H85" s="418" t="s">
        <v>26</v>
      </c>
      <c r="I85" s="373" t="s">
        <v>145</v>
      </c>
      <c r="J85" s="424">
        <v>249252000</v>
      </c>
      <c r="K85" s="425" t="s">
        <v>40</v>
      </c>
      <c r="L85" s="421">
        <v>45953</v>
      </c>
      <c r="M85" s="422" t="s">
        <v>149</v>
      </c>
      <c r="N85" s="423"/>
    </row>
    <row r="86" spans="1:14" customFormat="1" ht="14.4" hidden="1">
      <c r="A86" s="416" t="s">
        <v>323</v>
      </c>
      <c r="B86" s="349"/>
      <c r="C86" s="568" t="s">
        <v>286</v>
      </c>
      <c r="D86" s="415" t="s">
        <v>263</v>
      </c>
      <c r="E86" s="417" t="s">
        <v>24</v>
      </c>
      <c r="F86" s="415"/>
      <c r="G86" s="418" t="s">
        <v>201</v>
      </c>
      <c r="H86" s="418" t="s">
        <v>26</v>
      </c>
      <c r="I86" s="373" t="s">
        <v>145</v>
      </c>
      <c r="J86" s="424">
        <v>475000000</v>
      </c>
      <c r="K86" s="425" t="s">
        <v>40</v>
      </c>
      <c r="L86" s="421">
        <v>45953</v>
      </c>
      <c r="M86" s="422" t="s">
        <v>149</v>
      </c>
      <c r="N86" s="448"/>
    </row>
    <row r="87" spans="1:14" ht="14.4" hidden="1">
      <c r="A87" s="449" t="s">
        <v>324</v>
      </c>
      <c r="C87" s="568" t="s">
        <v>286</v>
      </c>
      <c r="D87" s="415" t="s">
        <v>263</v>
      </c>
      <c r="E87" s="417" t="s">
        <v>24</v>
      </c>
      <c r="F87" s="415"/>
      <c r="G87" s="418" t="s">
        <v>201</v>
      </c>
      <c r="H87" s="418" t="s">
        <v>26</v>
      </c>
      <c r="I87" s="444" t="s">
        <v>164</v>
      </c>
      <c r="J87" s="451">
        <v>140000000</v>
      </c>
      <c r="K87" s="425" t="s">
        <v>40</v>
      </c>
      <c r="L87" s="421">
        <v>45953</v>
      </c>
      <c r="M87" s="422" t="s">
        <v>149</v>
      </c>
      <c r="N87" s="423"/>
    </row>
    <row r="88" spans="1:14" ht="14.4" hidden="1">
      <c r="A88" s="433" t="s">
        <v>325</v>
      </c>
      <c r="B88" s="450"/>
      <c r="C88" s="570" t="s">
        <v>326</v>
      </c>
      <c r="D88" s="445" t="s">
        <v>33</v>
      </c>
      <c r="E88" s="417" t="s">
        <v>24</v>
      </c>
      <c r="F88" s="415"/>
      <c r="G88" s="418" t="s">
        <v>25</v>
      </c>
      <c r="H88" s="418" t="s">
        <v>33</v>
      </c>
      <c r="I88" s="414" t="s">
        <v>148</v>
      </c>
      <c r="J88" s="446">
        <v>75000000</v>
      </c>
      <c r="K88" s="420" t="s">
        <v>40</v>
      </c>
      <c r="L88" s="421">
        <v>45931</v>
      </c>
      <c r="M88" s="421"/>
      <c r="N88" s="432"/>
    </row>
    <row r="89" spans="1:14" ht="14.4" hidden="1">
      <c r="A89" s="415" t="s">
        <v>327</v>
      </c>
      <c r="C89" s="568" t="s">
        <v>23</v>
      </c>
      <c r="D89" s="445" t="s">
        <v>26</v>
      </c>
      <c r="E89" s="417" t="s">
        <v>24</v>
      </c>
      <c r="F89" s="415"/>
      <c r="G89" s="418" t="s">
        <v>25</v>
      </c>
      <c r="H89" s="418" t="s">
        <v>26</v>
      </c>
      <c r="I89" s="414" t="s">
        <v>154</v>
      </c>
      <c r="J89" s="419">
        <v>2775000000</v>
      </c>
      <c r="K89" s="420" t="s">
        <v>40</v>
      </c>
      <c r="L89" s="421">
        <v>45931</v>
      </c>
      <c r="M89" s="421"/>
      <c r="N89" s="426"/>
    </row>
    <row r="90" spans="1:14" ht="14.4" hidden="1">
      <c r="A90" s="416" t="s">
        <v>328</v>
      </c>
      <c r="B90" s="416" t="s">
        <v>329</v>
      </c>
      <c r="C90" s="568" t="s">
        <v>330</v>
      </c>
      <c r="D90" s="418"/>
      <c r="E90" s="417" t="s">
        <v>24</v>
      </c>
      <c r="F90" s="415"/>
      <c r="G90" s="418" t="s">
        <v>331</v>
      </c>
      <c r="H90" s="418" t="s">
        <v>33</v>
      </c>
      <c r="I90" s="415" t="s">
        <v>332</v>
      </c>
      <c r="J90" s="424">
        <v>371250000</v>
      </c>
      <c r="K90" s="425" t="s">
        <v>40</v>
      </c>
      <c r="L90" s="421">
        <v>45911</v>
      </c>
      <c r="M90" s="422"/>
      <c r="N90" s="423" t="s">
        <v>333</v>
      </c>
    </row>
    <row r="91" spans="1:14" ht="14.4">
      <c r="A91" s="415" t="s">
        <v>334</v>
      </c>
      <c r="B91" s="416"/>
      <c r="C91" s="568" t="s">
        <v>335</v>
      </c>
      <c r="D91" s="418" t="s">
        <v>266</v>
      </c>
      <c r="E91" s="417" t="s">
        <v>90</v>
      </c>
      <c r="F91" s="415"/>
      <c r="G91" s="418" t="s">
        <v>227</v>
      </c>
      <c r="H91" s="418" t="s">
        <v>26</v>
      </c>
      <c r="I91" s="415" t="s">
        <v>148</v>
      </c>
      <c r="J91" s="419">
        <v>8000000000</v>
      </c>
      <c r="K91" s="420" t="s">
        <v>40</v>
      </c>
      <c r="L91" s="421">
        <v>45911</v>
      </c>
      <c r="M91" s="421" t="s">
        <v>149</v>
      </c>
      <c r="N91" s="432"/>
    </row>
    <row r="92" spans="1:14" ht="14.4" hidden="1">
      <c r="A92" s="415" t="s">
        <v>146</v>
      </c>
      <c r="B92" s="416"/>
      <c r="C92" s="568" t="s">
        <v>336</v>
      </c>
      <c r="D92" s="418"/>
      <c r="E92" s="417" t="s">
        <v>24</v>
      </c>
      <c r="F92" s="415"/>
      <c r="G92" s="418" t="s">
        <v>25</v>
      </c>
      <c r="H92" s="418" t="s">
        <v>26</v>
      </c>
      <c r="I92" s="415" t="s">
        <v>148</v>
      </c>
      <c r="J92" s="419">
        <v>60000000</v>
      </c>
      <c r="K92" s="420" t="s">
        <v>40</v>
      </c>
      <c r="L92" s="421">
        <v>45919</v>
      </c>
      <c r="M92" s="422"/>
      <c r="N92" s="423"/>
    </row>
    <row r="93" spans="1:14" ht="14.4">
      <c r="A93" s="415" t="s">
        <v>337</v>
      </c>
      <c r="B93" s="416" t="s">
        <v>338</v>
      </c>
      <c r="C93" s="568" t="s">
        <v>339</v>
      </c>
      <c r="D93" s="415"/>
      <c r="E93" s="417" t="s">
        <v>24</v>
      </c>
      <c r="F93" s="415"/>
      <c r="G93" s="418" t="s">
        <v>227</v>
      </c>
      <c r="H93" s="357" t="s">
        <v>26</v>
      </c>
      <c r="I93" s="415" t="s">
        <v>148</v>
      </c>
      <c r="J93" s="430">
        <v>78450000</v>
      </c>
      <c r="K93" s="420" t="s">
        <v>340</v>
      </c>
      <c r="L93" s="421"/>
      <c r="M93" s="422" t="s">
        <v>341</v>
      </c>
      <c r="N93" s="423"/>
    </row>
    <row r="94" spans="1:14" ht="14.4">
      <c r="A94" s="415" t="s">
        <v>342</v>
      </c>
      <c r="B94" s="416"/>
      <c r="C94" s="568" t="s">
        <v>343</v>
      </c>
      <c r="D94" s="415"/>
      <c r="E94" s="417" t="s">
        <v>90</v>
      </c>
      <c r="F94" s="415"/>
      <c r="G94" s="418" t="s">
        <v>227</v>
      </c>
      <c r="H94" s="418" t="s">
        <v>33</v>
      </c>
      <c r="I94" s="415" t="s">
        <v>148</v>
      </c>
      <c r="J94" s="430">
        <v>3518000000</v>
      </c>
      <c r="K94" s="420" t="s">
        <v>40</v>
      </c>
      <c r="L94" s="421">
        <v>45911</v>
      </c>
      <c r="M94" s="421" t="s">
        <v>149</v>
      </c>
      <c r="N94" s="432"/>
    </row>
    <row r="95" spans="1:14" ht="14.4" hidden="1">
      <c r="A95" s="416" t="s">
        <v>344</v>
      </c>
      <c r="B95" s="416"/>
      <c r="C95" s="571" t="s">
        <v>345</v>
      </c>
      <c r="D95" s="415"/>
      <c r="E95" s="417" t="s">
        <v>90</v>
      </c>
      <c r="F95" s="415"/>
      <c r="G95" s="418" t="s">
        <v>103</v>
      </c>
      <c r="H95" s="357" t="s">
        <v>26</v>
      </c>
      <c r="I95" s="415" t="s">
        <v>164</v>
      </c>
      <c r="J95" s="424">
        <v>1900000000</v>
      </c>
      <c r="K95" s="420" t="s">
        <v>40</v>
      </c>
      <c r="L95" s="421">
        <v>46092</v>
      </c>
      <c r="M95" s="422" t="s">
        <v>149</v>
      </c>
      <c r="N95" s="432"/>
    </row>
    <row r="96" spans="1:14" ht="14.4" hidden="1">
      <c r="A96" s="416" t="s">
        <v>346</v>
      </c>
      <c r="B96" s="416"/>
      <c r="C96" s="571" t="s">
        <v>347</v>
      </c>
      <c r="D96" s="418" t="s">
        <v>263</v>
      </c>
      <c r="E96" s="417" t="s">
        <v>90</v>
      </c>
      <c r="F96" s="415"/>
      <c r="G96" s="418" t="s">
        <v>103</v>
      </c>
      <c r="H96" s="357" t="s">
        <v>26</v>
      </c>
      <c r="I96" s="415" t="s">
        <v>148</v>
      </c>
      <c r="J96" s="424">
        <v>4261261261</v>
      </c>
      <c r="K96" s="420" t="s">
        <v>40</v>
      </c>
      <c r="L96" s="421">
        <v>46100</v>
      </c>
      <c r="M96" s="422" t="s">
        <v>149</v>
      </c>
      <c r="N96" s="432" t="s">
        <v>348</v>
      </c>
    </row>
    <row r="97" spans="1:14" ht="14.4" hidden="1">
      <c r="A97" s="415" t="s">
        <v>349</v>
      </c>
      <c r="C97" s="568" t="s">
        <v>350</v>
      </c>
      <c r="D97" s="445"/>
      <c r="E97" s="417" t="s">
        <v>24</v>
      </c>
      <c r="F97" s="415"/>
      <c r="G97" s="418" t="s">
        <v>25</v>
      </c>
      <c r="H97" s="418" t="s">
        <v>26</v>
      </c>
      <c r="I97" s="415" t="s">
        <v>148</v>
      </c>
      <c r="J97" s="419">
        <v>167755000</v>
      </c>
      <c r="K97" s="420" t="s">
        <v>40</v>
      </c>
      <c r="L97" s="421">
        <v>45891</v>
      </c>
      <c r="M97" s="422"/>
      <c r="N97" s="423"/>
    </row>
    <row r="98" spans="1:14" ht="14.4" hidden="1">
      <c r="A98" s="415" t="s">
        <v>349</v>
      </c>
      <c r="C98" s="568" t="s">
        <v>351</v>
      </c>
      <c r="D98" s="445"/>
      <c r="E98" s="417" t="s">
        <v>24</v>
      </c>
      <c r="F98" s="415"/>
      <c r="G98" s="418" t="s">
        <v>25</v>
      </c>
      <c r="H98" s="418" t="s">
        <v>26</v>
      </c>
      <c r="I98" s="415" t="s">
        <v>148</v>
      </c>
      <c r="J98" s="419">
        <v>95860000</v>
      </c>
      <c r="K98" s="420" t="s">
        <v>40</v>
      </c>
      <c r="L98" s="421">
        <v>45891</v>
      </c>
      <c r="M98" s="422"/>
      <c r="N98" s="423"/>
    </row>
    <row r="99" spans="1:14" ht="14.4" hidden="1">
      <c r="A99" s="389" t="s">
        <v>352</v>
      </c>
      <c r="C99" s="569" t="s">
        <v>131</v>
      </c>
      <c r="D99" s="445"/>
      <c r="E99" s="417" t="s">
        <v>90</v>
      </c>
      <c r="F99" s="415"/>
      <c r="G99" s="415" t="s">
        <v>96</v>
      </c>
      <c r="H99" s="418" t="s">
        <v>33</v>
      </c>
      <c r="I99" s="415" t="s">
        <v>164</v>
      </c>
      <c r="J99" s="390">
        <v>49000000</v>
      </c>
      <c r="K99" s="434" t="s">
        <v>40</v>
      </c>
      <c r="L99" s="421">
        <v>45918</v>
      </c>
      <c r="M99" s="391" t="s">
        <v>149</v>
      </c>
      <c r="N99" s="428"/>
    </row>
    <row r="100" spans="1:14" ht="14.4" hidden="1">
      <c r="A100" s="416" t="s">
        <v>353</v>
      </c>
      <c r="C100" s="568" t="s">
        <v>147</v>
      </c>
      <c r="D100" s="445"/>
      <c r="E100" s="417" t="s">
        <v>90</v>
      </c>
      <c r="F100" s="415"/>
      <c r="G100" s="415" t="s">
        <v>103</v>
      </c>
      <c r="H100" s="415" t="s">
        <v>147</v>
      </c>
      <c r="I100" s="415" t="s">
        <v>164</v>
      </c>
      <c r="J100" s="424">
        <v>19000000</v>
      </c>
      <c r="K100" s="422" t="s">
        <v>40</v>
      </c>
      <c r="L100" s="421">
        <v>45941</v>
      </c>
      <c r="M100" s="434" t="s">
        <v>149</v>
      </c>
      <c r="N100" s="423"/>
    </row>
    <row r="101" spans="1:14" ht="14.4" hidden="1">
      <c r="A101" s="415" t="s">
        <v>349</v>
      </c>
      <c r="C101" s="568" t="s">
        <v>354</v>
      </c>
      <c r="D101" s="445"/>
      <c r="E101" s="417" t="s">
        <v>24</v>
      </c>
      <c r="F101" s="415"/>
      <c r="G101" s="418" t="s">
        <v>25</v>
      </c>
      <c r="H101" s="418" t="s">
        <v>26</v>
      </c>
      <c r="I101" s="415" t="s">
        <v>148</v>
      </c>
      <c r="J101" s="419">
        <v>190957000</v>
      </c>
      <c r="K101" s="420" t="s">
        <v>40</v>
      </c>
      <c r="L101" s="421">
        <v>45875</v>
      </c>
      <c r="M101" s="422"/>
      <c r="N101" s="423"/>
    </row>
    <row r="102" spans="1:14" ht="14.4" hidden="1">
      <c r="A102" s="415" t="s">
        <v>349</v>
      </c>
      <c r="C102" s="568" t="s">
        <v>355</v>
      </c>
      <c r="D102" s="414"/>
      <c r="E102" s="417" t="s">
        <v>24</v>
      </c>
      <c r="F102" s="415"/>
      <c r="G102" s="415" t="s">
        <v>25</v>
      </c>
      <c r="H102" s="415" t="s">
        <v>33</v>
      </c>
      <c r="I102" s="415" t="s">
        <v>148</v>
      </c>
      <c r="J102" s="419">
        <v>17000000</v>
      </c>
      <c r="K102" s="420" t="s">
        <v>40</v>
      </c>
      <c r="L102" s="421">
        <v>45875</v>
      </c>
      <c r="M102" s="422"/>
      <c r="N102" s="423"/>
    </row>
    <row r="103" spans="1:14" ht="14.4">
      <c r="A103" s="415" t="s">
        <v>356</v>
      </c>
      <c r="B103" s="415"/>
      <c r="C103" s="568" t="s">
        <v>357</v>
      </c>
      <c r="D103" s="418" t="s">
        <v>321</v>
      </c>
      <c r="E103" s="417" t="s">
        <v>24</v>
      </c>
      <c r="F103" s="415"/>
      <c r="G103" s="415" t="s">
        <v>227</v>
      </c>
      <c r="H103" s="415" t="s">
        <v>26</v>
      </c>
      <c r="I103" s="415" t="s">
        <v>164</v>
      </c>
      <c r="J103" s="419">
        <v>2320000000</v>
      </c>
      <c r="K103" s="420" t="s">
        <v>340</v>
      </c>
      <c r="L103" s="421"/>
      <c r="M103" s="422"/>
      <c r="N103" s="423" t="s">
        <v>358</v>
      </c>
    </row>
    <row r="104" spans="1:14" ht="14.4">
      <c r="A104" s="415" t="s">
        <v>359</v>
      </c>
      <c r="B104" s="415"/>
      <c r="C104" s="568" t="s">
        <v>360</v>
      </c>
      <c r="D104" s="415" t="s">
        <v>361</v>
      </c>
      <c r="E104" s="417" t="s">
        <v>24</v>
      </c>
      <c r="F104" s="415"/>
      <c r="G104" s="415" t="s">
        <v>227</v>
      </c>
      <c r="H104" s="415" t="s">
        <v>26</v>
      </c>
      <c r="I104" s="415" t="s">
        <v>164</v>
      </c>
      <c r="J104" s="419">
        <v>1270000000</v>
      </c>
      <c r="K104" s="420" t="s">
        <v>340</v>
      </c>
      <c r="L104" s="421"/>
      <c r="M104" s="422" t="s">
        <v>341</v>
      </c>
      <c r="N104" s="423" t="s">
        <v>362</v>
      </c>
    </row>
    <row r="105" spans="1:14" ht="14.4" hidden="1">
      <c r="A105" s="415" t="s">
        <v>363</v>
      </c>
      <c r="C105" s="568" t="s">
        <v>364</v>
      </c>
      <c r="D105" s="414"/>
      <c r="E105" s="417" t="s">
        <v>24</v>
      </c>
      <c r="F105" s="415" t="s">
        <v>169</v>
      </c>
      <c r="G105" s="415"/>
      <c r="H105" s="415" t="s">
        <v>26</v>
      </c>
      <c r="I105" s="414" t="s">
        <v>145</v>
      </c>
      <c r="J105" s="419">
        <v>174000000</v>
      </c>
      <c r="K105" s="420" t="s">
        <v>27</v>
      </c>
      <c r="L105" s="421"/>
      <c r="M105" s="422"/>
      <c r="N105" s="423" t="s">
        <v>212</v>
      </c>
    </row>
    <row r="106" spans="1:14" ht="14.4">
      <c r="A106" s="415" t="s">
        <v>365</v>
      </c>
      <c r="B106" s="415"/>
      <c r="C106" s="568" t="s">
        <v>366</v>
      </c>
      <c r="D106" s="415" t="s">
        <v>253</v>
      </c>
      <c r="E106" s="417" t="s">
        <v>24</v>
      </c>
      <c r="F106" s="415"/>
      <c r="G106" s="415" t="s">
        <v>227</v>
      </c>
      <c r="H106" s="415" t="s">
        <v>26</v>
      </c>
      <c r="I106" s="415" t="s">
        <v>148</v>
      </c>
      <c r="J106" s="419">
        <v>168000000</v>
      </c>
      <c r="K106" s="420" t="s">
        <v>340</v>
      </c>
      <c r="L106" s="421"/>
      <c r="M106" s="422"/>
      <c r="N106" s="423" t="s">
        <v>367</v>
      </c>
    </row>
    <row r="107" spans="1:14" ht="14.4">
      <c r="A107" s="415" t="s">
        <v>368</v>
      </c>
      <c r="B107" s="415"/>
      <c r="C107" s="568" t="s">
        <v>369</v>
      </c>
      <c r="D107" s="415"/>
      <c r="E107" s="417" t="s">
        <v>24</v>
      </c>
      <c r="F107" s="415"/>
      <c r="G107" s="415" t="s">
        <v>227</v>
      </c>
      <c r="H107" s="357" t="s">
        <v>33</v>
      </c>
      <c r="I107" s="415" t="s">
        <v>148</v>
      </c>
      <c r="J107" s="419">
        <v>342000000</v>
      </c>
      <c r="K107" s="420" t="s">
        <v>340</v>
      </c>
      <c r="L107" s="421"/>
      <c r="M107" s="422"/>
      <c r="N107" s="423" t="s">
        <v>370</v>
      </c>
    </row>
    <row r="108" spans="1:14" ht="14.4">
      <c r="A108" s="415" t="s">
        <v>371</v>
      </c>
      <c r="B108" s="415"/>
      <c r="C108" s="568" t="s">
        <v>372</v>
      </c>
      <c r="D108" s="415" t="s">
        <v>321</v>
      </c>
      <c r="E108" s="417" t="s">
        <v>24</v>
      </c>
      <c r="F108" s="415"/>
      <c r="G108" s="415" t="s">
        <v>227</v>
      </c>
      <c r="H108" s="415" t="s">
        <v>26</v>
      </c>
      <c r="I108" s="415" t="s">
        <v>148</v>
      </c>
      <c r="J108" s="419">
        <v>600000000</v>
      </c>
      <c r="K108" s="420" t="s">
        <v>340</v>
      </c>
      <c r="L108" s="421"/>
      <c r="M108" s="422"/>
      <c r="N108" s="423" t="s">
        <v>373</v>
      </c>
    </row>
    <row r="109" spans="1:14" ht="14.4" hidden="1">
      <c r="A109" s="415" t="s">
        <v>179</v>
      </c>
      <c r="C109" s="568" t="s">
        <v>374</v>
      </c>
      <c r="D109" s="414"/>
      <c r="E109" s="417" t="s">
        <v>24</v>
      </c>
      <c r="F109" s="415"/>
      <c r="G109" s="415" t="s">
        <v>25</v>
      </c>
      <c r="H109" s="415" t="s">
        <v>26</v>
      </c>
      <c r="I109" s="415" t="s">
        <v>154</v>
      </c>
      <c r="J109" s="419">
        <v>69008400</v>
      </c>
      <c r="K109" s="420" t="s">
        <v>40</v>
      </c>
      <c r="L109" s="421">
        <v>45873</v>
      </c>
      <c r="M109" s="422"/>
      <c r="N109" s="423"/>
    </row>
    <row r="110" spans="1:14" ht="14.4">
      <c r="A110" s="415" t="s">
        <v>375</v>
      </c>
      <c r="B110" s="415"/>
      <c r="C110" s="568" t="s">
        <v>376</v>
      </c>
      <c r="D110" s="415"/>
      <c r="E110" s="417" t="s">
        <v>24</v>
      </c>
      <c r="F110" s="415"/>
      <c r="G110" s="415" t="s">
        <v>227</v>
      </c>
      <c r="H110" s="373" t="s">
        <v>26</v>
      </c>
      <c r="I110" s="415" t="s">
        <v>148</v>
      </c>
      <c r="J110" s="419">
        <v>1250000000</v>
      </c>
      <c r="K110" s="420" t="s">
        <v>340</v>
      </c>
      <c r="L110" s="421"/>
      <c r="M110" s="422" t="s">
        <v>341</v>
      </c>
      <c r="N110" s="423" t="s">
        <v>377</v>
      </c>
    </row>
    <row r="111" spans="1:14" ht="14.4">
      <c r="A111" s="415" t="s">
        <v>378</v>
      </c>
      <c r="B111" s="415"/>
      <c r="C111" s="568" t="s">
        <v>379</v>
      </c>
      <c r="D111" s="415"/>
      <c r="E111" s="417" t="s">
        <v>24</v>
      </c>
      <c r="F111" s="415"/>
      <c r="G111" s="415" t="s">
        <v>227</v>
      </c>
      <c r="H111" s="373" t="s">
        <v>33</v>
      </c>
      <c r="I111" s="415" t="s">
        <v>148</v>
      </c>
      <c r="J111" s="419">
        <v>235000000</v>
      </c>
      <c r="K111" s="420" t="s">
        <v>340</v>
      </c>
      <c r="L111" s="421"/>
      <c r="M111" s="422" t="s">
        <v>341</v>
      </c>
      <c r="N111" s="423" t="s">
        <v>380</v>
      </c>
    </row>
    <row r="112" spans="1:14" ht="14.4">
      <c r="A112" s="415" t="s">
        <v>381</v>
      </c>
      <c r="B112" s="415"/>
      <c r="C112" s="568" t="s">
        <v>382</v>
      </c>
      <c r="D112" s="415" t="s">
        <v>226</v>
      </c>
      <c r="E112" s="417" t="s">
        <v>24</v>
      </c>
      <c r="F112" s="415"/>
      <c r="G112" s="415" t="s">
        <v>227</v>
      </c>
      <c r="H112" s="415" t="s">
        <v>26</v>
      </c>
      <c r="I112" s="415" t="s">
        <v>164</v>
      </c>
      <c r="J112" s="419">
        <v>108500000</v>
      </c>
      <c r="K112" s="420" t="s">
        <v>340</v>
      </c>
      <c r="L112" s="421"/>
      <c r="M112" s="422"/>
      <c r="N112" s="423" t="s">
        <v>383</v>
      </c>
    </row>
    <row r="113" spans="1:14" ht="14.4">
      <c r="A113" s="415" t="s">
        <v>384</v>
      </c>
      <c r="B113" s="415"/>
      <c r="C113" s="568" t="s">
        <v>385</v>
      </c>
      <c r="D113" s="415" t="s">
        <v>226</v>
      </c>
      <c r="E113" s="417" t="s">
        <v>24</v>
      </c>
      <c r="F113" s="415"/>
      <c r="G113" s="415" t="s">
        <v>227</v>
      </c>
      <c r="H113" s="415" t="s">
        <v>26</v>
      </c>
      <c r="I113" s="415" t="s">
        <v>148</v>
      </c>
      <c r="J113" s="419">
        <v>122300000</v>
      </c>
      <c r="K113" s="420" t="s">
        <v>340</v>
      </c>
      <c r="L113" s="421"/>
      <c r="M113" s="422"/>
      <c r="N113" s="423" t="s">
        <v>386</v>
      </c>
    </row>
    <row r="114" spans="1:14" ht="14.4">
      <c r="A114" s="415" t="s">
        <v>387</v>
      </c>
      <c r="B114" s="415"/>
      <c r="C114" s="568" t="s">
        <v>388</v>
      </c>
      <c r="D114" s="415"/>
      <c r="E114" s="417" t="s">
        <v>90</v>
      </c>
      <c r="F114" s="415"/>
      <c r="G114" s="415" t="s">
        <v>227</v>
      </c>
      <c r="H114" s="415" t="s">
        <v>26</v>
      </c>
      <c r="I114" s="415" t="s">
        <v>148</v>
      </c>
      <c r="J114" s="419">
        <v>1950000000</v>
      </c>
      <c r="K114" s="420" t="s">
        <v>40</v>
      </c>
      <c r="L114" s="421">
        <v>46146</v>
      </c>
      <c r="M114" s="422" t="s">
        <v>149</v>
      </c>
      <c r="N114" s="423"/>
    </row>
    <row r="115" spans="1:14" ht="14.4">
      <c r="A115" s="415" t="s">
        <v>371</v>
      </c>
      <c r="B115" s="415"/>
      <c r="C115" s="568" t="s">
        <v>389</v>
      </c>
      <c r="D115" s="415" t="s">
        <v>226</v>
      </c>
      <c r="E115" s="417" t="s">
        <v>24</v>
      </c>
      <c r="F115" s="415"/>
      <c r="G115" s="415" t="s">
        <v>227</v>
      </c>
      <c r="H115" s="415" t="s">
        <v>26</v>
      </c>
      <c r="I115" s="415" t="s">
        <v>148</v>
      </c>
      <c r="J115" s="419">
        <v>46800000</v>
      </c>
      <c r="K115" s="420" t="s">
        <v>340</v>
      </c>
      <c r="L115" s="421"/>
      <c r="M115" s="422"/>
      <c r="N115" s="423" t="s">
        <v>390</v>
      </c>
    </row>
    <row r="116" spans="1:14" ht="14.4">
      <c r="A116" s="415" t="s">
        <v>391</v>
      </c>
      <c r="B116" s="415"/>
      <c r="C116" s="568" t="s">
        <v>392</v>
      </c>
      <c r="D116" s="415" t="s">
        <v>361</v>
      </c>
      <c r="E116" s="417" t="s">
        <v>24</v>
      </c>
      <c r="F116" s="415"/>
      <c r="G116" s="415" t="s">
        <v>227</v>
      </c>
      <c r="H116" s="415" t="s">
        <v>26</v>
      </c>
      <c r="I116" s="415" t="s">
        <v>148</v>
      </c>
      <c r="J116" s="419">
        <v>3000000000</v>
      </c>
      <c r="K116" s="420" t="s">
        <v>340</v>
      </c>
      <c r="L116" s="421"/>
      <c r="M116" s="422"/>
      <c r="N116" s="423" t="s">
        <v>393</v>
      </c>
    </row>
    <row r="117" spans="1:14" ht="14.4">
      <c r="A117" s="415" t="s">
        <v>394</v>
      </c>
      <c r="B117" s="415"/>
      <c r="C117" s="568" t="s">
        <v>395</v>
      </c>
      <c r="D117" s="415" t="s">
        <v>321</v>
      </c>
      <c r="E117" s="417" t="s">
        <v>24</v>
      </c>
      <c r="F117" s="415"/>
      <c r="G117" s="415" t="s">
        <v>227</v>
      </c>
      <c r="H117" s="418" t="s">
        <v>26</v>
      </c>
      <c r="I117" s="415" t="s">
        <v>164</v>
      </c>
      <c r="J117" s="419">
        <v>1129398887</v>
      </c>
      <c r="K117" s="420" t="s">
        <v>340</v>
      </c>
      <c r="L117" s="421"/>
      <c r="M117" s="422"/>
      <c r="N117" s="423" t="s">
        <v>396</v>
      </c>
    </row>
    <row r="118" spans="1:14" ht="14.4">
      <c r="A118" s="415" t="s">
        <v>397</v>
      </c>
      <c r="B118" s="415"/>
      <c r="C118" s="568" t="s">
        <v>398</v>
      </c>
      <c r="D118" s="415" t="s">
        <v>361</v>
      </c>
      <c r="E118" s="417" t="s">
        <v>24</v>
      </c>
      <c r="F118" s="415"/>
      <c r="G118" s="415" t="s">
        <v>227</v>
      </c>
      <c r="H118" s="415" t="s">
        <v>26</v>
      </c>
      <c r="I118" s="415" t="s">
        <v>148</v>
      </c>
      <c r="J118" s="419">
        <v>2100000000</v>
      </c>
      <c r="K118" s="420" t="s">
        <v>340</v>
      </c>
      <c r="L118" s="421"/>
      <c r="M118" s="422"/>
      <c r="N118" s="423" t="s">
        <v>399</v>
      </c>
    </row>
    <row r="119" spans="1:14" ht="14.4">
      <c r="A119" s="415" t="s">
        <v>400</v>
      </c>
      <c r="B119" s="415"/>
      <c r="C119" s="568" t="s">
        <v>401</v>
      </c>
      <c r="D119" s="415" t="s">
        <v>253</v>
      </c>
      <c r="E119" s="417" t="s">
        <v>24</v>
      </c>
      <c r="F119" s="415"/>
      <c r="G119" s="415" t="s">
        <v>227</v>
      </c>
      <c r="H119" s="415" t="s">
        <v>26</v>
      </c>
      <c r="I119" s="415" t="s">
        <v>148</v>
      </c>
      <c r="J119" s="419">
        <v>697058000</v>
      </c>
      <c r="K119" s="420" t="s">
        <v>340</v>
      </c>
      <c r="L119" s="421"/>
      <c r="M119" s="422"/>
      <c r="N119" s="423" t="s">
        <v>402</v>
      </c>
    </row>
    <row r="120" spans="1:14" ht="14.4">
      <c r="A120" s="415" t="s">
        <v>359</v>
      </c>
      <c r="B120" s="415"/>
      <c r="C120" s="568" t="s">
        <v>403</v>
      </c>
      <c r="D120" s="415" t="s">
        <v>266</v>
      </c>
      <c r="E120" s="417" t="s">
        <v>24</v>
      </c>
      <c r="F120" s="415"/>
      <c r="G120" s="415" t="s">
        <v>227</v>
      </c>
      <c r="H120" s="415" t="s">
        <v>26</v>
      </c>
      <c r="I120" s="415" t="s">
        <v>164</v>
      </c>
      <c r="J120" s="419">
        <v>65500000</v>
      </c>
      <c r="K120" s="420" t="s">
        <v>340</v>
      </c>
      <c r="L120" s="421"/>
      <c r="M120" s="422" t="s">
        <v>341</v>
      </c>
      <c r="N120" s="423" t="s">
        <v>404</v>
      </c>
    </row>
    <row r="121" spans="1:14" ht="14.4">
      <c r="A121" s="415" t="s">
        <v>400</v>
      </c>
      <c r="B121" s="415"/>
      <c r="C121" s="568" t="s">
        <v>405</v>
      </c>
      <c r="D121" s="415" t="s">
        <v>266</v>
      </c>
      <c r="E121" s="417" t="s">
        <v>24</v>
      </c>
      <c r="F121" s="415"/>
      <c r="G121" s="415" t="s">
        <v>227</v>
      </c>
      <c r="H121" s="415" t="s">
        <v>26</v>
      </c>
      <c r="I121" s="415" t="s">
        <v>148</v>
      </c>
      <c r="J121" s="419">
        <v>1100000000</v>
      </c>
      <c r="K121" s="420" t="s">
        <v>340</v>
      </c>
      <c r="L121" s="421"/>
      <c r="M121" s="422"/>
      <c r="N121" s="423" t="s">
        <v>406</v>
      </c>
    </row>
    <row r="122" spans="1:14" ht="14.4">
      <c r="A122" s="415" t="s">
        <v>371</v>
      </c>
      <c r="B122" s="415"/>
      <c r="C122" s="568" t="s">
        <v>407</v>
      </c>
      <c r="D122" s="415" t="s">
        <v>253</v>
      </c>
      <c r="E122" s="417" t="s">
        <v>24</v>
      </c>
      <c r="F122" s="415"/>
      <c r="G122" s="415" t="s">
        <v>227</v>
      </c>
      <c r="H122" s="418" t="s">
        <v>26</v>
      </c>
      <c r="I122" s="415" t="s">
        <v>148</v>
      </c>
      <c r="J122" s="419">
        <v>120000000</v>
      </c>
      <c r="K122" s="420" t="s">
        <v>340</v>
      </c>
      <c r="L122" s="421"/>
      <c r="M122" s="422"/>
      <c r="N122" s="423" t="s">
        <v>408</v>
      </c>
    </row>
    <row r="123" spans="1:14" ht="14.4">
      <c r="A123" s="415" t="s">
        <v>409</v>
      </c>
      <c r="B123" s="415"/>
      <c r="C123" s="568" t="s">
        <v>410</v>
      </c>
      <c r="D123" s="418" t="s">
        <v>263</v>
      </c>
      <c r="E123" s="417" t="s">
        <v>24</v>
      </c>
      <c r="F123" s="415"/>
      <c r="G123" s="418" t="s">
        <v>227</v>
      </c>
      <c r="H123" s="418" t="s">
        <v>26</v>
      </c>
      <c r="I123" s="415" t="s">
        <v>148</v>
      </c>
      <c r="J123" s="419">
        <v>2000000000</v>
      </c>
      <c r="K123" s="420" t="s">
        <v>340</v>
      </c>
      <c r="L123" s="421"/>
      <c r="M123" s="422"/>
      <c r="N123" s="423" t="s">
        <v>411</v>
      </c>
    </row>
    <row r="124" spans="1:14" ht="14.4">
      <c r="A124" s="415" t="s">
        <v>412</v>
      </c>
      <c r="B124" s="415"/>
      <c r="C124" s="568" t="s">
        <v>413</v>
      </c>
      <c r="D124" s="418" t="s">
        <v>253</v>
      </c>
      <c r="E124" s="417" t="s">
        <v>24</v>
      </c>
      <c r="F124" s="415"/>
      <c r="G124" s="415" t="s">
        <v>227</v>
      </c>
      <c r="H124" s="415" t="s">
        <v>26</v>
      </c>
      <c r="I124" s="415" t="s">
        <v>148</v>
      </c>
      <c r="J124" s="419">
        <v>187000000</v>
      </c>
      <c r="K124" s="420" t="s">
        <v>340</v>
      </c>
      <c r="L124" s="421"/>
      <c r="M124" s="422"/>
      <c r="N124" s="423" t="s">
        <v>414</v>
      </c>
    </row>
    <row r="125" spans="1:14" ht="14.4">
      <c r="A125" s="415" t="s">
        <v>415</v>
      </c>
      <c r="B125" s="415"/>
      <c r="C125" s="568" t="s">
        <v>416</v>
      </c>
      <c r="D125" s="418" t="s">
        <v>266</v>
      </c>
      <c r="E125" s="417" t="s">
        <v>24</v>
      </c>
      <c r="F125" s="415"/>
      <c r="G125" s="415" t="s">
        <v>227</v>
      </c>
      <c r="H125" s="373" t="s">
        <v>33</v>
      </c>
      <c r="I125" s="415" t="s">
        <v>148</v>
      </c>
      <c r="J125" s="419">
        <v>1648200000</v>
      </c>
      <c r="K125" s="420" t="s">
        <v>340</v>
      </c>
      <c r="L125" s="421"/>
      <c r="M125" s="422" t="s">
        <v>341</v>
      </c>
      <c r="N125" s="423" t="s">
        <v>417</v>
      </c>
    </row>
    <row r="126" spans="1:14" ht="14.4">
      <c r="A126" s="415" t="s">
        <v>381</v>
      </c>
      <c r="B126" s="415"/>
      <c r="C126" s="568" t="s">
        <v>418</v>
      </c>
      <c r="D126" s="415" t="s">
        <v>266</v>
      </c>
      <c r="E126" s="417" t="s">
        <v>24</v>
      </c>
      <c r="F126" s="415"/>
      <c r="G126" s="415" t="s">
        <v>227</v>
      </c>
      <c r="H126" s="418" t="s">
        <v>26</v>
      </c>
      <c r="I126" s="415" t="s">
        <v>164</v>
      </c>
      <c r="J126" s="419">
        <v>85500000</v>
      </c>
      <c r="K126" s="420" t="s">
        <v>340</v>
      </c>
      <c r="L126" s="421"/>
      <c r="M126" s="422"/>
      <c r="N126" s="423" t="s">
        <v>419</v>
      </c>
    </row>
    <row r="127" spans="1:14" ht="14.4">
      <c r="A127" s="415" t="s">
        <v>420</v>
      </c>
      <c r="B127" s="415"/>
      <c r="C127" s="568" t="s">
        <v>421</v>
      </c>
      <c r="D127" s="415" t="s">
        <v>321</v>
      </c>
      <c r="E127" s="417" t="s">
        <v>24</v>
      </c>
      <c r="F127" s="415"/>
      <c r="G127" s="415" t="s">
        <v>227</v>
      </c>
      <c r="H127" s="418" t="s">
        <v>26</v>
      </c>
      <c r="I127" s="415" t="s">
        <v>148</v>
      </c>
      <c r="J127" s="419">
        <v>2300000000</v>
      </c>
      <c r="K127" s="420" t="s">
        <v>340</v>
      </c>
      <c r="L127" s="421"/>
      <c r="M127" s="422" t="s">
        <v>341</v>
      </c>
      <c r="N127" s="423" t="s">
        <v>422</v>
      </c>
    </row>
    <row r="128" spans="1:14" ht="14.4">
      <c r="A128" s="415" t="s">
        <v>423</v>
      </c>
      <c r="B128" s="415"/>
      <c r="C128" s="568" t="s">
        <v>424</v>
      </c>
      <c r="D128" s="415" t="s">
        <v>266</v>
      </c>
      <c r="E128" s="417" t="s">
        <v>24</v>
      </c>
      <c r="F128" s="415"/>
      <c r="G128" s="415" t="s">
        <v>227</v>
      </c>
      <c r="H128" s="418" t="s">
        <v>26</v>
      </c>
      <c r="I128" s="415" t="s">
        <v>164</v>
      </c>
      <c r="J128" s="419">
        <v>120000000</v>
      </c>
      <c r="K128" s="420" t="s">
        <v>340</v>
      </c>
      <c r="L128" s="421"/>
      <c r="M128" s="422"/>
      <c r="N128" s="423" t="s">
        <v>425</v>
      </c>
    </row>
    <row r="129" spans="1:14" ht="14.4">
      <c r="A129" s="415" t="s">
        <v>426</v>
      </c>
      <c r="B129" s="415"/>
      <c r="C129" s="568" t="s">
        <v>427</v>
      </c>
      <c r="D129" s="415" t="s">
        <v>266</v>
      </c>
      <c r="E129" s="417" t="s">
        <v>24</v>
      </c>
      <c r="F129" s="415"/>
      <c r="G129" s="415" t="s">
        <v>227</v>
      </c>
      <c r="H129" s="357" t="s">
        <v>33</v>
      </c>
      <c r="I129" s="415" t="s">
        <v>148</v>
      </c>
      <c r="J129" s="419">
        <v>783000000</v>
      </c>
      <c r="K129" s="420" t="s">
        <v>340</v>
      </c>
      <c r="L129" s="421"/>
      <c r="M129" s="422"/>
      <c r="N129" s="423" t="s">
        <v>428</v>
      </c>
    </row>
    <row r="130" spans="1:14" ht="14.4">
      <c r="A130" s="415" t="s">
        <v>429</v>
      </c>
      <c r="B130" s="415"/>
      <c r="C130" s="568" t="s">
        <v>430</v>
      </c>
      <c r="D130" s="415" t="s">
        <v>361</v>
      </c>
      <c r="E130" s="417" t="s">
        <v>24</v>
      </c>
      <c r="F130" s="415"/>
      <c r="G130" s="415" t="s">
        <v>227</v>
      </c>
      <c r="H130" s="418" t="s">
        <v>26</v>
      </c>
      <c r="I130" s="415" t="s">
        <v>164</v>
      </c>
      <c r="J130" s="419">
        <v>1150000000</v>
      </c>
      <c r="K130" s="420" t="s">
        <v>340</v>
      </c>
      <c r="L130" s="421"/>
      <c r="M130" s="422"/>
      <c r="N130" s="423" t="s">
        <v>431</v>
      </c>
    </row>
    <row r="131" spans="1:14" ht="14.4">
      <c r="A131" s="415" t="s">
        <v>432</v>
      </c>
      <c r="B131" s="415"/>
      <c r="C131" s="568" t="s">
        <v>433</v>
      </c>
      <c r="D131" s="415" t="s">
        <v>266</v>
      </c>
      <c r="E131" s="417" t="s">
        <v>24</v>
      </c>
      <c r="F131" s="415"/>
      <c r="G131" s="415" t="s">
        <v>227</v>
      </c>
      <c r="H131" s="415" t="s">
        <v>26</v>
      </c>
      <c r="I131" s="415" t="s">
        <v>164</v>
      </c>
      <c r="J131" s="419">
        <v>70000000</v>
      </c>
      <c r="K131" s="420" t="s">
        <v>340</v>
      </c>
      <c r="L131" s="421"/>
      <c r="M131" s="422"/>
      <c r="N131" s="423" t="s">
        <v>434</v>
      </c>
    </row>
    <row r="132" spans="1:14" ht="14.4">
      <c r="A132" s="415" t="s">
        <v>435</v>
      </c>
      <c r="B132" s="415"/>
      <c r="C132" s="568" t="s">
        <v>436</v>
      </c>
      <c r="D132" s="415" t="s">
        <v>437</v>
      </c>
      <c r="E132" s="417" t="s">
        <v>24</v>
      </c>
      <c r="F132" s="415"/>
      <c r="G132" s="415" t="s">
        <v>227</v>
      </c>
      <c r="H132" s="415" t="s">
        <v>26</v>
      </c>
      <c r="I132" s="415" t="s">
        <v>148</v>
      </c>
      <c r="J132" s="419">
        <v>1700000000</v>
      </c>
      <c r="K132" s="420" t="s">
        <v>340</v>
      </c>
      <c r="L132" s="421"/>
      <c r="M132" s="422"/>
      <c r="N132" s="423" t="s">
        <v>438</v>
      </c>
    </row>
    <row r="133" spans="1:14" ht="14.4">
      <c r="A133" s="415" t="s">
        <v>439</v>
      </c>
      <c r="B133" s="415"/>
      <c r="C133" s="568" t="s">
        <v>440</v>
      </c>
      <c r="D133" s="418" t="s">
        <v>266</v>
      </c>
      <c r="E133" s="417" t="s">
        <v>24</v>
      </c>
      <c r="F133" s="415"/>
      <c r="G133" s="415" t="s">
        <v>227</v>
      </c>
      <c r="H133" s="415" t="s">
        <v>26</v>
      </c>
      <c r="I133" s="415" t="s">
        <v>148</v>
      </c>
      <c r="J133" s="419">
        <v>1680000000</v>
      </c>
      <c r="K133" s="420" t="s">
        <v>340</v>
      </c>
      <c r="L133" s="421"/>
      <c r="M133" s="422"/>
      <c r="N133" s="423" t="s">
        <v>441</v>
      </c>
    </row>
    <row r="134" spans="1:14" ht="14.4">
      <c r="A134" s="415" t="s">
        <v>442</v>
      </c>
      <c r="B134" s="415"/>
      <c r="C134" s="568" t="s">
        <v>443</v>
      </c>
      <c r="D134" s="418" t="s">
        <v>266</v>
      </c>
      <c r="E134" s="417" t="s">
        <v>24</v>
      </c>
      <c r="F134" s="415"/>
      <c r="G134" s="415" t="s">
        <v>227</v>
      </c>
      <c r="H134" s="357" t="s">
        <v>33</v>
      </c>
      <c r="I134" s="415" t="s">
        <v>164</v>
      </c>
      <c r="J134" s="419">
        <v>280000000</v>
      </c>
      <c r="K134" s="420" t="s">
        <v>340</v>
      </c>
      <c r="L134" s="421"/>
      <c r="M134" s="422"/>
      <c r="N134" s="423" t="s">
        <v>444</v>
      </c>
    </row>
    <row r="135" spans="1:14" ht="24.6">
      <c r="A135" s="415" t="s">
        <v>445</v>
      </c>
      <c r="B135" s="415"/>
      <c r="C135" s="568" t="s">
        <v>446</v>
      </c>
      <c r="D135" s="418" t="s">
        <v>266</v>
      </c>
      <c r="E135" s="417" t="s">
        <v>24</v>
      </c>
      <c r="F135" s="415"/>
      <c r="G135" s="415" t="s">
        <v>227</v>
      </c>
      <c r="H135" s="415" t="s">
        <v>26</v>
      </c>
      <c r="I135" s="415" t="s">
        <v>164</v>
      </c>
      <c r="J135" s="419">
        <v>163000000</v>
      </c>
      <c r="K135" s="420" t="s">
        <v>340</v>
      </c>
      <c r="L135" s="421"/>
      <c r="M135" s="422"/>
      <c r="N135" s="423" t="s">
        <v>447</v>
      </c>
    </row>
    <row r="136" spans="1:14" ht="14.4">
      <c r="A136" s="415" t="s">
        <v>448</v>
      </c>
      <c r="B136" s="415" t="s">
        <v>338</v>
      </c>
      <c r="C136" s="568" t="s">
        <v>449</v>
      </c>
      <c r="D136" s="418" t="s">
        <v>266</v>
      </c>
      <c r="E136" s="417" t="s">
        <v>24</v>
      </c>
      <c r="F136" s="415"/>
      <c r="G136" s="415" t="s">
        <v>227</v>
      </c>
      <c r="H136" s="418" t="s">
        <v>26</v>
      </c>
      <c r="I136" s="415" t="s">
        <v>148</v>
      </c>
      <c r="J136" s="419">
        <v>80000000</v>
      </c>
      <c r="K136" s="420" t="s">
        <v>340</v>
      </c>
      <c r="L136" s="421"/>
      <c r="M136" s="422"/>
      <c r="N136" s="423" t="s">
        <v>450</v>
      </c>
    </row>
    <row r="137" spans="1:14" ht="14.4" hidden="1">
      <c r="A137" s="389" t="s">
        <v>451</v>
      </c>
      <c r="C137" s="569" t="s">
        <v>452</v>
      </c>
      <c r="D137" s="414"/>
      <c r="E137" s="417" t="s">
        <v>24</v>
      </c>
      <c r="F137" s="415"/>
      <c r="G137" s="415" t="s">
        <v>201</v>
      </c>
      <c r="H137" s="415" t="s">
        <v>26</v>
      </c>
      <c r="I137" s="415" t="s">
        <v>164</v>
      </c>
      <c r="J137" s="390">
        <v>2603747175</v>
      </c>
      <c r="K137" s="434" t="s">
        <v>40</v>
      </c>
      <c r="L137" s="421">
        <v>45883</v>
      </c>
      <c r="M137" s="391" t="s">
        <v>149</v>
      </c>
      <c r="N137" s="428"/>
    </row>
    <row r="138" spans="1:14" ht="14.4" hidden="1">
      <c r="A138" s="415" t="s">
        <v>319</v>
      </c>
      <c r="B138" s="416"/>
      <c r="C138" s="568" t="s">
        <v>33</v>
      </c>
      <c r="D138" s="415"/>
      <c r="E138" s="417" t="s">
        <v>90</v>
      </c>
      <c r="F138" s="415"/>
      <c r="G138" s="415" t="s">
        <v>96</v>
      </c>
      <c r="H138" s="415" t="s">
        <v>33</v>
      </c>
      <c r="I138" s="415" t="s">
        <v>148</v>
      </c>
      <c r="J138" s="419">
        <v>256500000</v>
      </c>
      <c r="K138" s="434" t="s">
        <v>40</v>
      </c>
      <c r="L138" s="421">
        <v>45884</v>
      </c>
      <c r="M138" s="422" t="s">
        <v>149</v>
      </c>
      <c r="N138" s="432" t="s">
        <v>453</v>
      </c>
    </row>
    <row r="139" spans="1:14" ht="14.4" hidden="1">
      <c r="A139" s="415" t="s">
        <v>319</v>
      </c>
      <c r="B139" s="416"/>
      <c r="C139" s="568" t="s">
        <v>33</v>
      </c>
      <c r="D139" s="415"/>
      <c r="E139" s="417" t="s">
        <v>90</v>
      </c>
      <c r="F139" s="415"/>
      <c r="G139" s="415" t="s">
        <v>96</v>
      </c>
      <c r="H139" s="415" t="s">
        <v>33</v>
      </c>
      <c r="I139" s="415" t="s">
        <v>148</v>
      </c>
      <c r="J139" s="419">
        <v>110000000</v>
      </c>
      <c r="K139" s="434" t="s">
        <v>40</v>
      </c>
      <c r="L139" s="421">
        <v>45884</v>
      </c>
      <c r="M139" s="422" t="s">
        <v>149</v>
      </c>
      <c r="N139" s="432" t="str">
        <f>N138</f>
        <v>PO PROCCESSED</v>
      </c>
    </row>
    <row r="140" spans="1:14" ht="14.4">
      <c r="A140" s="415" t="s">
        <v>454</v>
      </c>
      <c r="B140" s="415"/>
      <c r="C140" s="568" t="s">
        <v>455</v>
      </c>
      <c r="D140" s="415" t="s">
        <v>263</v>
      </c>
      <c r="E140" s="417" t="s">
        <v>90</v>
      </c>
      <c r="F140" s="415"/>
      <c r="G140" s="415" t="s">
        <v>227</v>
      </c>
      <c r="H140" s="415" t="s">
        <v>26</v>
      </c>
      <c r="I140" s="415" t="s">
        <v>148</v>
      </c>
      <c r="J140" s="419">
        <v>750000000</v>
      </c>
      <c r="K140" s="434" t="s">
        <v>40</v>
      </c>
      <c r="L140" s="421">
        <v>45833</v>
      </c>
      <c r="M140" s="422" t="s">
        <v>149</v>
      </c>
      <c r="N140" s="423" t="s">
        <v>456</v>
      </c>
    </row>
    <row r="141" spans="1:14" ht="14.4">
      <c r="A141" s="415" t="s">
        <v>457</v>
      </c>
      <c r="B141" s="416"/>
      <c r="C141" s="568" t="s">
        <v>458</v>
      </c>
      <c r="D141" s="415" t="s">
        <v>226</v>
      </c>
      <c r="E141" s="417" t="s">
        <v>90</v>
      </c>
      <c r="F141" s="415"/>
      <c r="G141" s="415" t="s">
        <v>227</v>
      </c>
      <c r="H141" s="415" t="s">
        <v>26</v>
      </c>
      <c r="I141" s="415" t="s">
        <v>164</v>
      </c>
      <c r="J141" s="419">
        <v>90000000</v>
      </c>
      <c r="K141" s="434" t="s">
        <v>40</v>
      </c>
      <c r="L141" s="421">
        <v>45910</v>
      </c>
      <c r="M141" s="421" t="s">
        <v>149</v>
      </c>
      <c r="N141" s="432"/>
    </row>
    <row r="142" spans="1:14" ht="14.4" hidden="1">
      <c r="A142" s="416" t="s">
        <v>289</v>
      </c>
      <c r="B142" s="416"/>
      <c r="C142" s="568" t="s">
        <v>288</v>
      </c>
      <c r="D142" s="415" t="s">
        <v>263</v>
      </c>
      <c r="E142" s="417" t="s">
        <v>24</v>
      </c>
      <c r="F142" s="415"/>
      <c r="G142" s="415" t="s">
        <v>201</v>
      </c>
      <c r="H142" s="415" t="s">
        <v>26</v>
      </c>
      <c r="I142" s="415" t="s">
        <v>164</v>
      </c>
      <c r="J142" s="424">
        <f>155000000*4</f>
        <v>620000000</v>
      </c>
      <c r="K142" s="422" t="s">
        <v>40</v>
      </c>
      <c r="L142" s="421">
        <v>45883</v>
      </c>
      <c r="M142" s="422" t="s">
        <v>149</v>
      </c>
      <c r="N142" s="423"/>
    </row>
    <row r="143" spans="1:14" ht="14.4" hidden="1">
      <c r="A143" s="415" t="s">
        <v>459</v>
      </c>
      <c r="C143" s="568" t="s">
        <v>288</v>
      </c>
      <c r="D143" s="415" t="s">
        <v>263</v>
      </c>
      <c r="E143" s="417" t="s">
        <v>24</v>
      </c>
      <c r="F143" s="415"/>
      <c r="G143" s="415" t="s">
        <v>201</v>
      </c>
      <c r="H143" s="415" t="s">
        <v>26</v>
      </c>
      <c r="I143" s="373" t="s">
        <v>164</v>
      </c>
      <c r="J143" s="419">
        <v>164000000</v>
      </c>
      <c r="K143" s="434" t="s">
        <v>40</v>
      </c>
      <c r="L143" s="421">
        <v>45883</v>
      </c>
      <c r="M143" s="422" t="s">
        <v>149</v>
      </c>
      <c r="N143" s="423"/>
    </row>
    <row r="144" spans="1:14" ht="14.4" hidden="1">
      <c r="A144" s="389" t="s">
        <v>460</v>
      </c>
      <c r="B144" s="416"/>
      <c r="C144" s="569" t="s">
        <v>461</v>
      </c>
      <c r="D144" s="415"/>
      <c r="E144" s="417" t="s">
        <v>90</v>
      </c>
      <c r="F144" s="415"/>
      <c r="G144" s="415" t="s">
        <v>96</v>
      </c>
      <c r="H144" s="415" t="s">
        <v>33</v>
      </c>
      <c r="I144" s="415" t="s">
        <v>164</v>
      </c>
      <c r="J144" s="390">
        <v>14190000</v>
      </c>
      <c r="K144" s="434" t="s">
        <v>40</v>
      </c>
      <c r="L144" s="421">
        <v>45730</v>
      </c>
      <c r="M144" s="391"/>
      <c r="N144" s="428"/>
    </row>
    <row r="145" spans="1:14" ht="14.4" hidden="1">
      <c r="A145" s="389" t="s">
        <v>462</v>
      </c>
      <c r="B145" s="610"/>
      <c r="C145" s="569" t="s">
        <v>463</v>
      </c>
      <c r="D145" s="612"/>
      <c r="E145" s="417" t="s">
        <v>24</v>
      </c>
      <c r="F145" s="415"/>
      <c r="G145" s="415" t="s">
        <v>25</v>
      </c>
      <c r="H145" s="415" t="s">
        <v>33</v>
      </c>
      <c r="I145" s="415" t="s">
        <v>154</v>
      </c>
      <c r="J145" s="390">
        <v>40800000</v>
      </c>
      <c r="K145" s="434" t="s">
        <v>40</v>
      </c>
      <c r="L145" s="421">
        <v>45863</v>
      </c>
      <c r="M145" s="391"/>
      <c r="N145" s="428"/>
    </row>
    <row r="146" spans="1:14" ht="14.4">
      <c r="A146" s="415" t="s">
        <v>464</v>
      </c>
      <c r="B146" s="416"/>
      <c r="C146" s="568" t="s">
        <v>465</v>
      </c>
      <c r="D146" s="415" t="s">
        <v>361</v>
      </c>
      <c r="E146" s="417" t="s">
        <v>90</v>
      </c>
      <c r="F146" s="415"/>
      <c r="G146" s="415" t="s">
        <v>227</v>
      </c>
      <c r="H146" s="415" t="s">
        <v>26</v>
      </c>
      <c r="I146" s="415" t="s">
        <v>164</v>
      </c>
      <c r="J146" s="419">
        <v>840000000</v>
      </c>
      <c r="K146" s="434" t="s">
        <v>40</v>
      </c>
      <c r="L146" s="421">
        <v>45848</v>
      </c>
      <c r="M146" s="421" t="s">
        <v>149</v>
      </c>
      <c r="N146" s="432"/>
    </row>
    <row r="147" spans="1:14" ht="14.4">
      <c r="A147" s="415" t="s">
        <v>466</v>
      </c>
      <c r="B147" s="415" t="s">
        <v>338</v>
      </c>
      <c r="C147" s="568" t="s">
        <v>467</v>
      </c>
      <c r="D147" s="415" t="s">
        <v>321</v>
      </c>
      <c r="E147" s="417" t="s">
        <v>24</v>
      </c>
      <c r="F147" s="415"/>
      <c r="G147" s="415" t="s">
        <v>227</v>
      </c>
      <c r="H147" s="415" t="s">
        <v>26</v>
      </c>
      <c r="I147" s="415" t="s">
        <v>148</v>
      </c>
      <c r="J147" s="419">
        <v>2200000000</v>
      </c>
      <c r="K147" s="420" t="s">
        <v>340</v>
      </c>
      <c r="L147" s="421"/>
      <c r="M147" s="422"/>
      <c r="N147" s="423" t="s">
        <v>468</v>
      </c>
    </row>
    <row r="148" spans="1:14" ht="14.4" hidden="1">
      <c r="A148" s="415" t="s">
        <v>349</v>
      </c>
      <c r="B148" s="610"/>
      <c r="C148" s="568" t="s">
        <v>469</v>
      </c>
      <c r="D148" s="611" t="s">
        <v>470</v>
      </c>
      <c r="E148" s="417" t="s">
        <v>24</v>
      </c>
      <c r="F148" s="415"/>
      <c r="G148" s="415" t="s">
        <v>25</v>
      </c>
      <c r="H148" s="415" t="s">
        <v>26</v>
      </c>
      <c r="I148" s="415" t="s">
        <v>148</v>
      </c>
      <c r="J148" s="419">
        <v>24100000</v>
      </c>
      <c r="K148" s="434" t="s">
        <v>40</v>
      </c>
      <c r="L148" s="421">
        <v>45863</v>
      </c>
      <c r="M148" s="422"/>
      <c r="N148" s="423"/>
    </row>
    <row r="149" spans="1:14" ht="14.4" hidden="1">
      <c r="A149" s="415" t="s">
        <v>471</v>
      </c>
      <c r="B149" s="416" t="s">
        <v>329</v>
      </c>
      <c r="C149" s="568" t="s">
        <v>472</v>
      </c>
      <c r="D149" s="418"/>
      <c r="E149" s="417" t="s">
        <v>24</v>
      </c>
      <c r="F149" s="415"/>
      <c r="G149" s="415" t="s">
        <v>331</v>
      </c>
      <c r="H149" s="415" t="s">
        <v>33</v>
      </c>
      <c r="I149" s="415" t="s">
        <v>332</v>
      </c>
      <c r="J149" s="419">
        <v>291515000</v>
      </c>
      <c r="K149" s="434" t="s">
        <v>40</v>
      </c>
      <c r="L149" s="421">
        <v>45855</v>
      </c>
      <c r="M149" s="422"/>
      <c r="N149" s="423" t="s">
        <v>473</v>
      </c>
    </row>
    <row r="150" spans="1:14" ht="14.4" hidden="1">
      <c r="A150" s="415" t="s">
        <v>471</v>
      </c>
      <c r="B150" s="416" t="s">
        <v>329</v>
      </c>
      <c r="C150" s="568" t="s">
        <v>474</v>
      </c>
      <c r="D150" s="415"/>
      <c r="E150" s="417" t="s">
        <v>24</v>
      </c>
      <c r="F150" s="415"/>
      <c r="G150" s="415" t="s">
        <v>331</v>
      </c>
      <c r="H150" s="418" t="s">
        <v>33</v>
      </c>
      <c r="I150" s="415" t="s">
        <v>332</v>
      </c>
      <c r="J150" s="419">
        <v>60234800</v>
      </c>
      <c r="K150" s="434" t="s">
        <v>40</v>
      </c>
      <c r="L150" s="421">
        <v>45855</v>
      </c>
      <c r="M150" s="422"/>
      <c r="N150" s="423" t="s">
        <v>475</v>
      </c>
    </row>
    <row r="151" spans="1:14" ht="14.4" hidden="1">
      <c r="A151" s="415" t="s">
        <v>146</v>
      </c>
      <c r="B151" s="416"/>
      <c r="C151" s="568" t="s">
        <v>157</v>
      </c>
      <c r="D151" s="418" t="s">
        <v>253</v>
      </c>
      <c r="E151" s="417" t="s">
        <v>24</v>
      </c>
      <c r="F151" s="415"/>
      <c r="G151" s="418" t="s">
        <v>25</v>
      </c>
      <c r="H151" s="418" t="s">
        <v>26</v>
      </c>
      <c r="I151" s="415" t="s">
        <v>148</v>
      </c>
      <c r="J151" s="419">
        <v>350000000</v>
      </c>
      <c r="K151" s="420" t="s">
        <v>40</v>
      </c>
      <c r="L151" s="421">
        <v>45862</v>
      </c>
      <c r="M151" s="422"/>
      <c r="N151" s="423"/>
    </row>
    <row r="152" spans="1:14" ht="14.4" hidden="1">
      <c r="A152" s="415" t="s">
        <v>179</v>
      </c>
      <c r="B152" s="610"/>
      <c r="C152" s="568" t="s">
        <v>476</v>
      </c>
      <c r="D152" s="612"/>
      <c r="E152" s="417" t="s">
        <v>24</v>
      </c>
      <c r="F152" s="415"/>
      <c r="G152" s="415" t="s">
        <v>25</v>
      </c>
      <c r="H152" s="415" t="s">
        <v>26</v>
      </c>
      <c r="I152" s="415" t="s">
        <v>154</v>
      </c>
      <c r="J152" s="419">
        <v>500601000</v>
      </c>
      <c r="K152" s="434" t="s">
        <v>40</v>
      </c>
      <c r="L152" s="421">
        <v>45861</v>
      </c>
      <c r="M152" s="422"/>
      <c r="N152" s="423"/>
    </row>
    <row r="153" spans="1:14" ht="14.4" hidden="1">
      <c r="A153" s="415" t="s">
        <v>477</v>
      </c>
      <c r="C153" s="568" t="s">
        <v>478</v>
      </c>
      <c r="D153" s="445"/>
      <c r="E153" s="417" t="s">
        <v>24</v>
      </c>
      <c r="F153" s="415"/>
      <c r="G153" s="415" t="s">
        <v>25</v>
      </c>
      <c r="H153" s="418" t="s">
        <v>26</v>
      </c>
      <c r="I153" s="415" t="s">
        <v>164</v>
      </c>
      <c r="J153" s="419">
        <v>100000000</v>
      </c>
      <c r="K153" s="434" t="s">
        <v>40</v>
      </c>
      <c r="L153" s="421">
        <v>45861</v>
      </c>
      <c r="M153" s="422"/>
      <c r="N153" s="423"/>
    </row>
    <row r="154" spans="1:14" ht="14.4" hidden="1">
      <c r="A154" s="415" t="s">
        <v>179</v>
      </c>
      <c r="C154" s="568" t="s">
        <v>479</v>
      </c>
      <c r="D154" s="445"/>
      <c r="E154" s="417" t="s">
        <v>24</v>
      </c>
      <c r="F154" s="415"/>
      <c r="G154" s="415" t="s">
        <v>25</v>
      </c>
      <c r="H154" s="418" t="s">
        <v>26</v>
      </c>
      <c r="I154" s="415" t="s">
        <v>154</v>
      </c>
      <c r="J154" s="419">
        <v>500601000</v>
      </c>
      <c r="K154" s="434" t="s">
        <v>40</v>
      </c>
      <c r="L154" s="421">
        <v>45861</v>
      </c>
      <c r="M154" s="422"/>
      <c r="N154" s="423"/>
    </row>
    <row r="155" spans="1:14" ht="14.4">
      <c r="A155" s="415" t="s">
        <v>480</v>
      </c>
      <c r="B155" s="416"/>
      <c r="C155" s="568" t="s">
        <v>481</v>
      </c>
      <c r="D155" s="415" t="s">
        <v>266</v>
      </c>
      <c r="E155" s="417" t="s">
        <v>90</v>
      </c>
      <c r="F155" s="415"/>
      <c r="G155" s="415" t="s">
        <v>227</v>
      </c>
      <c r="H155" s="418" t="s">
        <v>33</v>
      </c>
      <c r="I155" s="415" t="s">
        <v>164</v>
      </c>
      <c r="J155" s="419">
        <v>79000000</v>
      </c>
      <c r="K155" s="434" t="s">
        <v>40</v>
      </c>
      <c r="L155" s="421">
        <v>45833</v>
      </c>
      <c r="M155" s="421" t="s">
        <v>149</v>
      </c>
      <c r="N155" s="432"/>
    </row>
    <row r="156" spans="1:14" ht="14.4">
      <c r="A156" s="415" t="s">
        <v>482</v>
      </c>
      <c r="B156" s="416"/>
      <c r="C156" s="568" t="s">
        <v>335</v>
      </c>
      <c r="D156" s="415" t="s">
        <v>266</v>
      </c>
      <c r="E156" s="417" t="s">
        <v>90</v>
      </c>
      <c r="F156" s="415"/>
      <c r="G156" s="415" t="s">
        <v>227</v>
      </c>
      <c r="H156" s="418" t="s">
        <v>26</v>
      </c>
      <c r="I156" s="415" t="s">
        <v>164</v>
      </c>
      <c r="J156" s="419">
        <v>500000000</v>
      </c>
      <c r="K156" s="434" t="s">
        <v>40</v>
      </c>
      <c r="L156" s="421">
        <v>45876</v>
      </c>
      <c r="M156" s="421" t="s">
        <v>149</v>
      </c>
      <c r="N156" s="432"/>
    </row>
    <row r="157" spans="1:14" ht="14.4" hidden="1">
      <c r="A157" s="415" t="s">
        <v>349</v>
      </c>
      <c r="C157" s="568" t="s">
        <v>483</v>
      </c>
      <c r="D157" s="414"/>
      <c r="E157" s="417" t="s">
        <v>24</v>
      </c>
      <c r="F157" s="415"/>
      <c r="G157" s="415" t="s">
        <v>25</v>
      </c>
      <c r="H157" s="415" t="s">
        <v>26</v>
      </c>
      <c r="I157" s="415" t="s">
        <v>148</v>
      </c>
      <c r="J157" s="419">
        <v>700000000</v>
      </c>
      <c r="K157" s="434" t="s">
        <v>40</v>
      </c>
      <c r="L157" s="421">
        <v>45853</v>
      </c>
      <c r="M157" s="422"/>
      <c r="N157" s="423"/>
    </row>
    <row r="158" spans="1:14" ht="14.4">
      <c r="A158" s="415" t="s">
        <v>484</v>
      </c>
      <c r="B158" s="416"/>
      <c r="C158" s="568" t="s">
        <v>485</v>
      </c>
      <c r="D158" s="418" t="s">
        <v>266</v>
      </c>
      <c r="E158" s="417" t="s">
        <v>90</v>
      </c>
      <c r="F158" s="415"/>
      <c r="G158" s="415" t="s">
        <v>227</v>
      </c>
      <c r="H158" s="415" t="s">
        <v>26</v>
      </c>
      <c r="I158" s="415" t="s">
        <v>164</v>
      </c>
      <c r="J158" s="419">
        <v>210000000</v>
      </c>
      <c r="K158" s="434" t="s">
        <v>40</v>
      </c>
      <c r="L158" s="421">
        <v>45876</v>
      </c>
      <c r="M158" s="421" t="s">
        <v>149</v>
      </c>
      <c r="N158" s="432"/>
    </row>
    <row r="159" spans="1:14" ht="14.4" hidden="1">
      <c r="A159" s="415" t="s">
        <v>349</v>
      </c>
      <c r="C159" s="568" t="s">
        <v>486</v>
      </c>
      <c r="D159" s="414"/>
      <c r="E159" s="417" t="s">
        <v>24</v>
      </c>
      <c r="F159" s="415"/>
      <c r="G159" s="415" t="s">
        <v>25</v>
      </c>
      <c r="H159" s="415" t="s">
        <v>33</v>
      </c>
      <c r="I159" s="415" t="s">
        <v>148</v>
      </c>
      <c r="J159" s="419">
        <v>875000</v>
      </c>
      <c r="K159" s="434" t="s">
        <v>40</v>
      </c>
      <c r="L159" s="421">
        <v>45853</v>
      </c>
      <c r="M159" s="422"/>
      <c r="N159" s="423"/>
    </row>
    <row r="160" spans="1:14" ht="14.4" hidden="1">
      <c r="A160" s="415" t="s">
        <v>487</v>
      </c>
      <c r="C160" s="568" t="s">
        <v>26</v>
      </c>
      <c r="D160" s="414"/>
      <c r="E160" s="417" t="s">
        <v>90</v>
      </c>
      <c r="F160" s="415"/>
      <c r="G160" s="415" t="s">
        <v>103</v>
      </c>
      <c r="H160" s="415" t="s">
        <v>26</v>
      </c>
      <c r="I160" s="414" t="s">
        <v>164</v>
      </c>
      <c r="J160" s="419">
        <v>2450000000</v>
      </c>
      <c r="K160" s="434" t="s">
        <v>40</v>
      </c>
      <c r="L160" s="566">
        <v>46168</v>
      </c>
      <c r="M160" s="422" t="s">
        <v>149</v>
      </c>
      <c r="N160" s="423"/>
    </row>
    <row r="161" spans="1:14" ht="14.4">
      <c r="A161" s="415" t="s">
        <v>488</v>
      </c>
      <c r="C161" s="568" t="s">
        <v>489</v>
      </c>
      <c r="D161" s="415" t="s">
        <v>266</v>
      </c>
      <c r="E161" s="417" t="s">
        <v>90</v>
      </c>
      <c r="F161" s="415"/>
      <c r="G161" s="415" t="s">
        <v>227</v>
      </c>
      <c r="H161" s="415" t="s">
        <v>33</v>
      </c>
      <c r="I161" s="415" t="s">
        <v>164</v>
      </c>
      <c r="J161" s="419">
        <v>79000000</v>
      </c>
      <c r="K161" s="434" t="s">
        <v>40</v>
      </c>
      <c r="L161" s="421">
        <v>45833</v>
      </c>
      <c r="M161" s="421" t="s">
        <v>149</v>
      </c>
      <c r="N161" s="432"/>
    </row>
    <row r="162" spans="1:14" s="439" customFormat="1" ht="14.4" hidden="1">
      <c r="A162" s="435" t="s">
        <v>490</v>
      </c>
      <c r="B162" s="435"/>
      <c r="C162" s="573" t="s">
        <v>491</v>
      </c>
      <c r="D162" s="435"/>
      <c r="E162" s="417" t="s">
        <v>90</v>
      </c>
      <c r="F162" s="415"/>
      <c r="G162" s="435" t="s">
        <v>96</v>
      </c>
      <c r="H162" s="435" t="s">
        <v>26</v>
      </c>
      <c r="I162" s="415" t="s">
        <v>164</v>
      </c>
      <c r="J162" s="435">
        <v>1800000000</v>
      </c>
      <c r="K162" s="436" t="s">
        <v>340</v>
      </c>
      <c r="L162" s="437"/>
      <c r="M162" s="437"/>
      <c r="N162" s="438" t="s">
        <v>492</v>
      </c>
    </row>
    <row r="163" spans="1:14" ht="14.4">
      <c r="A163" s="415" t="s">
        <v>493</v>
      </c>
      <c r="C163" s="568" t="s">
        <v>494</v>
      </c>
      <c r="D163" s="415" t="s">
        <v>266</v>
      </c>
      <c r="E163" s="417" t="s">
        <v>90</v>
      </c>
      <c r="F163" s="415"/>
      <c r="G163" s="415" t="s">
        <v>227</v>
      </c>
      <c r="H163" s="418" t="s">
        <v>33</v>
      </c>
      <c r="I163" s="415" t="s">
        <v>148</v>
      </c>
      <c r="J163" s="419">
        <v>174000000</v>
      </c>
      <c r="K163" s="434" t="s">
        <v>40</v>
      </c>
      <c r="L163" s="421">
        <v>45833</v>
      </c>
      <c r="M163" s="421" t="s">
        <v>149</v>
      </c>
      <c r="N163" s="432"/>
    </row>
    <row r="164" spans="1:14" ht="14.4" hidden="1">
      <c r="A164" s="415" t="s">
        <v>495</v>
      </c>
      <c r="C164" s="568" t="s">
        <v>219</v>
      </c>
      <c r="D164" s="414"/>
      <c r="E164" s="417" t="s">
        <v>24</v>
      </c>
      <c r="F164" s="415"/>
      <c r="G164" s="415" t="s">
        <v>43</v>
      </c>
      <c r="H164" s="415" t="s">
        <v>26</v>
      </c>
      <c r="I164" s="415" t="s">
        <v>164</v>
      </c>
      <c r="J164" s="419">
        <v>3850000000</v>
      </c>
      <c r="K164" s="434" t="s">
        <v>40</v>
      </c>
      <c r="L164" s="421">
        <v>45855</v>
      </c>
      <c r="M164" s="422" t="s">
        <v>149</v>
      </c>
      <c r="N164" s="431" t="s">
        <v>61</v>
      </c>
    </row>
    <row r="165" spans="1:14" ht="14.4" hidden="1">
      <c r="A165" s="415" t="s">
        <v>495</v>
      </c>
      <c r="C165" s="568" t="s">
        <v>496</v>
      </c>
      <c r="D165" s="414"/>
      <c r="E165" s="417" t="s">
        <v>24</v>
      </c>
      <c r="F165" s="415"/>
      <c r="G165" s="415" t="s">
        <v>43</v>
      </c>
      <c r="H165" s="415" t="s">
        <v>33</v>
      </c>
      <c r="I165" s="415" t="s">
        <v>164</v>
      </c>
      <c r="J165" s="419">
        <v>496928200</v>
      </c>
      <c r="K165" s="434" t="s">
        <v>40</v>
      </c>
      <c r="L165" s="421">
        <v>45855</v>
      </c>
      <c r="M165" s="422" t="s">
        <v>149</v>
      </c>
      <c r="N165" s="423" t="s">
        <v>61</v>
      </c>
    </row>
    <row r="166" spans="1:14" ht="14.4">
      <c r="A166" s="415" t="s">
        <v>497</v>
      </c>
      <c r="B166" s="416"/>
      <c r="C166" s="568" t="s">
        <v>498</v>
      </c>
      <c r="D166" s="415" t="s">
        <v>226</v>
      </c>
      <c r="E166" s="417" t="s">
        <v>90</v>
      </c>
      <c r="F166" s="415"/>
      <c r="G166" s="415" t="s">
        <v>227</v>
      </c>
      <c r="H166" s="415" t="s">
        <v>26</v>
      </c>
      <c r="I166" s="415" t="s">
        <v>164</v>
      </c>
      <c r="J166" s="419">
        <v>12000000</v>
      </c>
      <c r="K166" s="434" t="s">
        <v>40</v>
      </c>
      <c r="L166" s="421">
        <v>45937</v>
      </c>
      <c r="M166" s="421" t="s">
        <v>149</v>
      </c>
      <c r="N166" s="432"/>
    </row>
    <row r="167" spans="1:14" ht="14.4" hidden="1">
      <c r="A167" s="415" t="s">
        <v>499</v>
      </c>
      <c r="C167" s="568" t="s">
        <v>219</v>
      </c>
      <c r="D167" s="414"/>
      <c r="E167" s="417" t="s">
        <v>24</v>
      </c>
      <c r="F167" s="415"/>
      <c r="G167" s="415" t="s">
        <v>43</v>
      </c>
      <c r="H167" s="418" t="s">
        <v>26</v>
      </c>
      <c r="I167" s="415" t="s">
        <v>164</v>
      </c>
      <c r="J167" s="419">
        <v>161500000</v>
      </c>
      <c r="K167" s="434" t="s">
        <v>40</v>
      </c>
      <c r="L167" s="421">
        <v>45855</v>
      </c>
      <c r="M167" s="422" t="s">
        <v>149</v>
      </c>
      <c r="N167" s="423" t="s">
        <v>61</v>
      </c>
    </row>
    <row r="168" spans="1:14" ht="14.4" hidden="1">
      <c r="A168" s="415" t="s">
        <v>500</v>
      </c>
      <c r="C168" s="568" t="s">
        <v>501</v>
      </c>
      <c r="D168" s="414"/>
      <c r="E168" s="417" t="s">
        <v>24</v>
      </c>
      <c r="F168" s="415"/>
      <c r="G168" s="415" t="s">
        <v>43</v>
      </c>
      <c r="H168" s="418" t="s">
        <v>33</v>
      </c>
      <c r="I168" s="415" t="s">
        <v>164</v>
      </c>
      <c r="J168" s="419">
        <v>37273000</v>
      </c>
      <c r="K168" s="434" t="s">
        <v>40</v>
      </c>
      <c r="L168" s="421">
        <v>45855</v>
      </c>
      <c r="M168" s="422" t="s">
        <v>149</v>
      </c>
      <c r="N168" s="423" t="s">
        <v>61</v>
      </c>
    </row>
    <row r="169" spans="1:14" ht="14.4" hidden="1">
      <c r="A169" s="389" t="s">
        <v>289</v>
      </c>
      <c r="C169" s="569" t="s">
        <v>286</v>
      </c>
      <c r="D169" s="414"/>
      <c r="E169" s="417" t="s">
        <v>24</v>
      </c>
      <c r="F169" s="415"/>
      <c r="G169" s="415" t="s">
        <v>201</v>
      </c>
      <c r="H169" s="415" t="s">
        <v>26</v>
      </c>
      <c r="I169" s="415" t="s">
        <v>164</v>
      </c>
      <c r="J169" s="390">
        <v>85000000</v>
      </c>
      <c r="K169" s="434" t="s">
        <v>40</v>
      </c>
      <c r="L169" s="421">
        <v>45856</v>
      </c>
      <c r="M169" s="391" t="s">
        <v>149</v>
      </c>
      <c r="N169" s="428"/>
    </row>
    <row r="170" spans="1:14" ht="14.4" hidden="1">
      <c r="A170" s="416" t="s">
        <v>502</v>
      </c>
      <c r="B170" s="416"/>
      <c r="C170" s="568" t="s">
        <v>33</v>
      </c>
      <c r="D170" s="415"/>
      <c r="E170" s="417" t="s">
        <v>90</v>
      </c>
      <c r="F170" s="415"/>
      <c r="G170" s="416" t="s">
        <v>103</v>
      </c>
      <c r="H170" s="416" t="s">
        <v>33</v>
      </c>
      <c r="I170" s="415" t="s">
        <v>145</v>
      </c>
      <c r="J170" s="424">
        <v>5320000000</v>
      </c>
      <c r="K170" s="422" t="s">
        <v>40</v>
      </c>
      <c r="L170" s="421">
        <v>45880</v>
      </c>
      <c r="M170" s="422" t="s">
        <v>149</v>
      </c>
      <c r="N170" s="423"/>
    </row>
    <row r="171" spans="1:14" ht="14.4" hidden="1">
      <c r="A171" s="389" t="s">
        <v>503</v>
      </c>
      <c r="B171" s="416"/>
      <c r="C171" s="569" t="s">
        <v>504</v>
      </c>
      <c r="D171" s="415"/>
      <c r="E171" s="417" t="s">
        <v>24</v>
      </c>
      <c r="F171" s="415"/>
      <c r="G171" s="415" t="s">
        <v>54</v>
      </c>
      <c r="H171" s="415" t="s">
        <v>33</v>
      </c>
      <c r="I171" s="415" t="s">
        <v>164</v>
      </c>
      <c r="J171" s="390">
        <v>55320000</v>
      </c>
      <c r="K171" s="434" t="s">
        <v>40</v>
      </c>
      <c r="L171" s="421">
        <v>45849</v>
      </c>
      <c r="M171" s="391"/>
      <c r="N171" s="428" t="s">
        <v>505</v>
      </c>
    </row>
    <row r="172" spans="1:14" ht="24.6" hidden="1">
      <c r="A172" s="389" t="s">
        <v>503</v>
      </c>
      <c r="B172" s="416"/>
      <c r="C172" s="569" t="s">
        <v>506</v>
      </c>
      <c r="D172" s="415"/>
      <c r="E172" s="417" t="s">
        <v>24</v>
      </c>
      <c r="F172" s="415"/>
      <c r="G172" s="415" t="s">
        <v>54</v>
      </c>
      <c r="H172" s="415" t="s">
        <v>33</v>
      </c>
      <c r="I172" s="415" t="s">
        <v>164</v>
      </c>
      <c r="J172" s="390">
        <v>42366249.5</v>
      </c>
      <c r="K172" s="434" t="s">
        <v>40</v>
      </c>
      <c r="L172" s="421">
        <v>45849</v>
      </c>
      <c r="M172" s="391"/>
      <c r="N172" s="428" t="s">
        <v>505</v>
      </c>
    </row>
    <row r="173" spans="1:14" ht="14.4" hidden="1">
      <c r="A173" s="389" t="s">
        <v>503</v>
      </c>
      <c r="B173" s="416"/>
      <c r="C173" s="569" t="s">
        <v>507</v>
      </c>
      <c r="D173" s="415"/>
      <c r="E173" s="417" t="s">
        <v>24</v>
      </c>
      <c r="F173" s="415"/>
      <c r="G173" s="415" t="s">
        <v>54</v>
      </c>
      <c r="H173" s="415" t="s">
        <v>33</v>
      </c>
      <c r="I173" s="415" t="s">
        <v>164</v>
      </c>
      <c r="J173" s="390">
        <v>55320000</v>
      </c>
      <c r="K173" s="434" t="s">
        <v>40</v>
      </c>
      <c r="L173" s="421">
        <v>45917</v>
      </c>
      <c r="M173" s="391"/>
      <c r="N173" s="428" t="s">
        <v>505</v>
      </c>
    </row>
    <row r="174" spans="1:14" ht="24.6" hidden="1">
      <c r="A174" s="389" t="s">
        <v>503</v>
      </c>
      <c r="B174" s="416"/>
      <c r="C174" s="569" t="s">
        <v>508</v>
      </c>
      <c r="D174" s="415"/>
      <c r="E174" s="417" t="s">
        <v>24</v>
      </c>
      <c r="F174" s="415"/>
      <c r="G174" s="415" t="s">
        <v>54</v>
      </c>
      <c r="H174" s="415" t="s">
        <v>33</v>
      </c>
      <c r="I174" s="415" t="s">
        <v>164</v>
      </c>
      <c r="J174" s="390">
        <v>42366249.5</v>
      </c>
      <c r="K174" s="434" t="s">
        <v>40</v>
      </c>
      <c r="L174" s="421">
        <v>45917</v>
      </c>
      <c r="M174" s="391"/>
      <c r="N174" s="428" t="s">
        <v>505</v>
      </c>
    </row>
    <row r="175" spans="1:14" ht="14.4" hidden="1">
      <c r="A175" s="389" t="s">
        <v>503</v>
      </c>
      <c r="B175" s="416"/>
      <c r="C175" s="569" t="s">
        <v>509</v>
      </c>
      <c r="D175" s="415"/>
      <c r="E175" s="417" t="s">
        <v>24</v>
      </c>
      <c r="F175" s="415"/>
      <c r="G175" s="415" t="s">
        <v>54</v>
      </c>
      <c r="H175" s="415" t="s">
        <v>33</v>
      </c>
      <c r="I175" s="415" t="s">
        <v>164</v>
      </c>
      <c r="J175" s="390">
        <v>55320000</v>
      </c>
      <c r="K175" s="434" t="s">
        <v>40</v>
      </c>
      <c r="L175" s="421">
        <v>45938</v>
      </c>
      <c r="M175" s="391"/>
      <c r="N175" s="428" t="s">
        <v>505</v>
      </c>
    </row>
    <row r="176" spans="1:14" ht="24.6" hidden="1">
      <c r="A176" s="389" t="s">
        <v>503</v>
      </c>
      <c r="B176" s="416"/>
      <c r="C176" s="569" t="s">
        <v>510</v>
      </c>
      <c r="D176" s="415"/>
      <c r="E176" s="417" t="s">
        <v>24</v>
      </c>
      <c r="F176" s="415"/>
      <c r="G176" s="415" t="s">
        <v>54</v>
      </c>
      <c r="H176" s="415" t="s">
        <v>33</v>
      </c>
      <c r="I176" s="415" t="s">
        <v>164</v>
      </c>
      <c r="J176" s="390">
        <v>42366249.5</v>
      </c>
      <c r="K176" s="434" t="s">
        <v>40</v>
      </c>
      <c r="L176" s="421">
        <v>45938</v>
      </c>
      <c r="M176" s="391"/>
      <c r="N176" s="428" t="s">
        <v>505</v>
      </c>
    </row>
    <row r="177" spans="1:14" ht="14.4" hidden="1">
      <c r="A177" s="389" t="s">
        <v>503</v>
      </c>
      <c r="B177" s="416"/>
      <c r="C177" s="569" t="s">
        <v>511</v>
      </c>
      <c r="D177" s="415"/>
      <c r="E177" s="417" t="s">
        <v>24</v>
      </c>
      <c r="F177" s="415"/>
      <c r="G177" s="415" t="s">
        <v>54</v>
      </c>
      <c r="H177" s="415" t="s">
        <v>33</v>
      </c>
      <c r="I177" s="415" t="s">
        <v>164</v>
      </c>
      <c r="J177" s="390">
        <v>55320000</v>
      </c>
      <c r="K177" s="434" t="s">
        <v>40</v>
      </c>
      <c r="L177" s="421">
        <v>45938</v>
      </c>
      <c r="M177" s="391"/>
      <c r="N177" s="428" t="s">
        <v>505</v>
      </c>
    </row>
    <row r="178" spans="1:14" ht="24.6" hidden="1">
      <c r="A178" s="389" t="s">
        <v>503</v>
      </c>
      <c r="B178" s="416"/>
      <c r="C178" s="569" t="s">
        <v>512</v>
      </c>
      <c r="D178" s="415"/>
      <c r="E178" s="417" t="s">
        <v>24</v>
      </c>
      <c r="F178" s="415"/>
      <c r="G178" s="415" t="s">
        <v>54</v>
      </c>
      <c r="H178" s="415" t="s">
        <v>33</v>
      </c>
      <c r="I178" s="415" t="s">
        <v>164</v>
      </c>
      <c r="J178" s="390">
        <v>42366249.5</v>
      </c>
      <c r="K178" s="434" t="s">
        <v>40</v>
      </c>
      <c r="L178" s="421">
        <v>45938</v>
      </c>
      <c r="M178" s="391"/>
      <c r="N178" s="428" t="s">
        <v>505</v>
      </c>
    </row>
    <row r="179" spans="1:14" ht="14.4" hidden="1">
      <c r="A179" s="389" t="s">
        <v>503</v>
      </c>
      <c r="B179" s="416"/>
      <c r="C179" s="569" t="s">
        <v>513</v>
      </c>
      <c r="D179" s="415"/>
      <c r="E179" s="417" t="s">
        <v>24</v>
      </c>
      <c r="F179" s="415"/>
      <c r="G179" s="415" t="s">
        <v>54</v>
      </c>
      <c r="H179" s="415" t="s">
        <v>33</v>
      </c>
      <c r="I179" s="415" t="s">
        <v>164</v>
      </c>
      <c r="J179" s="390">
        <v>55320000</v>
      </c>
      <c r="K179" s="434" t="s">
        <v>40</v>
      </c>
      <c r="L179" s="421">
        <v>46001</v>
      </c>
      <c r="M179" s="391"/>
      <c r="N179" s="428" t="s">
        <v>505</v>
      </c>
    </row>
    <row r="180" spans="1:14" ht="24.6" hidden="1">
      <c r="A180" s="389" t="s">
        <v>503</v>
      </c>
      <c r="B180" s="416"/>
      <c r="C180" s="569" t="s">
        <v>514</v>
      </c>
      <c r="D180" s="415"/>
      <c r="E180" s="417" t="s">
        <v>24</v>
      </c>
      <c r="F180" s="415"/>
      <c r="G180" s="415" t="s">
        <v>54</v>
      </c>
      <c r="H180" s="415" t="s">
        <v>33</v>
      </c>
      <c r="I180" s="415" t="s">
        <v>164</v>
      </c>
      <c r="J180" s="390">
        <v>42366249.5</v>
      </c>
      <c r="K180" s="434" t="s">
        <v>40</v>
      </c>
      <c r="L180" s="421">
        <v>46001</v>
      </c>
      <c r="M180" s="391"/>
      <c r="N180" s="428" t="s">
        <v>505</v>
      </c>
    </row>
    <row r="181" spans="1:14" ht="14.4" hidden="1">
      <c r="A181" s="389" t="s">
        <v>503</v>
      </c>
      <c r="B181" s="416"/>
      <c r="C181" s="569" t="s">
        <v>515</v>
      </c>
      <c r="D181" s="415"/>
      <c r="E181" s="417" t="s">
        <v>24</v>
      </c>
      <c r="F181" s="415"/>
      <c r="G181" s="415" t="s">
        <v>54</v>
      </c>
      <c r="H181" s="415" t="s">
        <v>33</v>
      </c>
      <c r="I181" s="415" t="s">
        <v>164</v>
      </c>
      <c r="J181" s="390">
        <v>34165400</v>
      </c>
      <c r="K181" s="434" t="s">
        <v>40</v>
      </c>
      <c r="L181" s="421">
        <v>45959</v>
      </c>
      <c r="M181" s="391"/>
      <c r="N181" s="412"/>
    </row>
    <row r="182" spans="1:14" ht="14.4" hidden="1">
      <c r="A182" s="389" t="s">
        <v>516</v>
      </c>
      <c r="C182" s="569" t="s">
        <v>517</v>
      </c>
      <c r="D182" s="414"/>
      <c r="E182" s="417" t="s">
        <v>24</v>
      </c>
      <c r="F182" s="415"/>
      <c r="G182" s="415" t="s">
        <v>54</v>
      </c>
      <c r="H182" s="418" t="s">
        <v>26</v>
      </c>
      <c r="I182" s="415" t="s">
        <v>164</v>
      </c>
      <c r="J182" s="390">
        <v>150000000</v>
      </c>
      <c r="K182" s="434" t="s">
        <v>40</v>
      </c>
      <c r="L182" s="421">
        <v>45856</v>
      </c>
      <c r="M182" s="391"/>
      <c r="N182" s="412"/>
    </row>
    <row r="183" spans="1:14" ht="14.4" hidden="1">
      <c r="A183" s="416" t="s">
        <v>319</v>
      </c>
      <c r="B183" s="416"/>
      <c r="C183" s="568" t="s">
        <v>518</v>
      </c>
      <c r="D183" s="415"/>
      <c r="E183" s="417" t="s">
        <v>90</v>
      </c>
      <c r="F183" s="415"/>
      <c r="G183" s="415" t="s">
        <v>96</v>
      </c>
      <c r="H183" s="415" t="s">
        <v>33</v>
      </c>
      <c r="I183" s="415" t="s">
        <v>148</v>
      </c>
      <c r="J183" s="424">
        <v>969000000</v>
      </c>
      <c r="K183" s="422" t="s">
        <v>40</v>
      </c>
      <c r="L183" s="421">
        <v>45884</v>
      </c>
      <c r="M183" s="422" t="s">
        <v>149</v>
      </c>
      <c r="N183" s="448" t="str">
        <f>N107</f>
        <v>Budgeting Renovasi Hotel Sutan Raja Manado</v>
      </c>
    </row>
    <row r="184" spans="1:14" ht="14.4" hidden="1">
      <c r="A184" s="416" t="s">
        <v>319</v>
      </c>
      <c r="B184" s="416"/>
      <c r="C184" s="568" t="s">
        <v>519</v>
      </c>
      <c r="D184" s="415"/>
      <c r="E184" s="417" t="s">
        <v>90</v>
      </c>
      <c r="F184" s="415"/>
      <c r="G184" s="415" t="s">
        <v>96</v>
      </c>
      <c r="H184" s="418" t="s">
        <v>33</v>
      </c>
      <c r="I184" s="415" t="s">
        <v>148</v>
      </c>
      <c r="J184" s="424">
        <v>196500000</v>
      </c>
      <c r="K184" s="422" t="s">
        <v>40</v>
      </c>
      <c r="L184" s="421">
        <v>45884</v>
      </c>
      <c r="M184" s="422" t="s">
        <v>149</v>
      </c>
      <c r="N184" s="448" t="str">
        <f>N183</f>
        <v>Budgeting Renovasi Hotel Sutan Raja Manado</v>
      </c>
    </row>
    <row r="185" spans="1:14" ht="14.4" hidden="1">
      <c r="A185" s="389" t="s">
        <v>520</v>
      </c>
      <c r="C185" s="569" t="s">
        <v>521</v>
      </c>
      <c r="D185" s="414"/>
      <c r="E185" s="417" t="s">
        <v>24</v>
      </c>
      <c r="F185" s="415"/>
      <c r="G185" s="415" t="s">
        <v>54</v>
      </c>
      <c r="H185" s="418" t="s">
        <v>26</v>
      </c>
      <c r="I185" s="415" t="s">
        <v>145</v>
      </c>
      <c r="J185" s="390">
        <v>420000000</v>
      </c>
      <c r="K185" s="434" t="s">
        <v>40</v>
      </c>
      <c r="L185" s="421">
        <v>45856</v>
      </c>
      <c r="M185" s="391"/>
      <c r="N185" s="428"/>
    </row>
    <row r="186" spans="1:14" ht="14.4" hidden="1">
      <c r="A186" s="389" t="s">
        <v>460</v>
      </c>
      <c r="B186" s="416"/>
      <c r="C186" s="569" t="s">
        <v>522</v>
      </c>
      <c r="D186" s="415"/>
      <c r="E186" s="417" t="s">
        <v>90</v>
      </c>
      <c r="F186" s="415"/>
      <c r="G186" s="415" t="s">
        <v>96</v>
      </c>
      <c r="H186" s="418" t="s">
        <v>33</v>
      </c>
      <c r="I186" s="415" t="s">
        <v>164</v>
      </c>
      <c r="J186" s="390">
        <v>4730000</v>
      </c>
      <c r="K186" s="434" t="s">
        <v>40</v>
      </c>
      <c r="L186" s="421">
        <v>45722</v>
      </c>
      <c r="M186" s="391"/>
      <c r="N186" s="428"/>
    </row>
    <row r="187" spans="1:14" ht="14.4" hidden="1">
      <c r="A187" s="389" t="s">
        <v>523</v>
      </c>
      <c r="B187" s="416"/>
      <c r="C187" s="569" t="s">
        <v>524</v>
      </c>
      <c r="D187" s="415"/>
      <c r="E187" s="417" t="s">
        <v>90</v>
      </c>
      <c r="F187" s="415"/>
      <c r="G187" s="415" t="s">
        <v>96</v>
      </c>
      <c r="H187" s="415" t="s">
        <v>33</v>
      </c>
      <c r="I187" s="415" t="s">
        <v>164</v>
      </c>
      <c r="J187" s="390">
        <v>100000000</v>
      </c>
      <c r="K187" s="434" t="s">
        <v>40</v>
      </c>
      <c r="L187" s="421">
        <v>45722</v>
      </c>
      <c r="M187" s="391"/>
      <c r="N187" s="428"/>
    </row>
    <row r="188" spans="1:14" ht="24.6" hidden="1">
      <c r="A188" s="389" t="s">
        <v>525</v>
      </c>
      <c r="B188" s="416"/>
      <c r="C188" s="569" t="s">
        <v>526</v>
      </c>
      <c r="D188" s="415"/>
      <c r="E188" s="417" t="s">
        <v>24</v>
      </c>
      <c r="F188" s="415"/>
      <c r="G188" s="415" t="s">
        <v>331</v>
      </c>
      <c r="H188" s="415" t="s">
        <v>33</v>
      </c>
      <c r="I188" s="415" t="s">
        <v>164</v>
      </c>
      <c r="J188" s="390">
        <v>2223062400</v>
      </c>
      <c r="K188" s="434" t="s">
        <v>40</v>
      </c>
      <c r="L188" s="421">
        <v>45730</v>
      </c>
      <c r="M188" s="391"/>
      <c r="N188" s="428"/>
    </row>
    <row r="189" spans="1:14" ht="24.6" hidden="1">
      <c r="A189" s="389" t="s">
        <v>525</v>
      </c>
      <c r="B189" s="416"/>
      <c r="C189" s="569" t="s">
        <v>527</v>
      </c>
      <c r="D189" s="415"/>
      <c r="E189" s="417" t="s">
        <v>24</v>
      </c>
      <c r="F189" s="415"/>
      <c r="G189" s="415" t="s">
        <v>331</v>
      </c>
      <c r="H189" s="415" t="s">
        <v>33</v>
      </c>
      <c r="I189" s="415" t="s">
        <v>164</v>
      </c>
      <c r="J189" s="390">
        <v>1585693200</v>
      </c>
      <c r="K189" s="434" t="s">
        <v>40</v>
      </c>
      <c r="L189" s="421">
        <v>45730</v>
      </c>
      <c r="M189" s="391"/>
      <c r="N189" s="428"/>
    </row>
    <row r="190" spans="1:14" ht="14.4" hidden="1">
      <c r="A190" s="416" t="s">
        <v>528</v>
      </c>
      <c r="B190" s="416"/>
      <c r="C190" s="568" t="s">
        <v>88</v>
      </c>
      <c r="D190" s="415"/>
      <c r="E190" s="417" t="s">
        <v>90</v>
      </c>
      <c r="F190" s="415"/>
      <c r="G190" s="418" t="s">
        <v>96</v>
      </c>
      <c r="H190" s="418" t="s">
        <v>88</v>
      </c>
      <c r="I190" s="415" t="s">
        <v>164</v>
      </c>
      <c r="J190" s="424">
        <v>5800000</v>
      </c>
      <c r="K190" s="425" t="s">
        <v>40</v>
      </c>
      <c r="L190" s="421">
        <v>45946</v>
      </c>
      <c r="M190" s="422" t="s">
        <v>149</v>
      </c>
      <c r="N190" s="423"/>
    </row>
    <row r="191" spans="1:14" ht="14.4" hidden="1">
      <c r="A191" s="416" t="s">
        <v>529</v>
      </c>
      <c r="B191" s="416"/>
      <c r="C191" s="568" t="s">
        <v>26</v>
      </c>
      <c r="D191" s="415"/>
      <c r="E191" s="417" t="s">
        <v>90</v>
      </c>
      <c r="F191" s="415"/>
      <c r="G191" s="418" t="s">
        <v>96</v>
      </c>
      <c r="H191" s="418" t="s">
        <v>26</v>
      </c>
      <c r="I191" s="415" t="s">
        <v>145</v>
      </c>
      <c r="J191" s="424">
        <v>1260000000</v>
      </c>
      <c r="K191" s="425" t="s">
        <v>40</v>
      </c>
      <c r="L191" s="421">
        <v>45820</v>
      </c>
      <c r="M191" s="442" t="s">
        <v>149</v>
      </c>
      <c r="N191" s="423"/>
    </row>
    <row r="192" spans="1:14" ht="14.4" hidden="1">
      <c r="A192" s="416" t="s">
        <v>460</v>
      </c>
      <c r="B192" s="416"/>
      <c r="C192" s="568" t="s">
        <v>33</v>
      </c>
      <c r="D192" s="415"/>
      <c r="E192" s="417" t="s">
        <v>90</v>
      </c>
      <c r="F192" s="415"/>
      <c r="G192" s="418" t="s">
        <v>96</v>
      </c>
      <c r="H192" s="418" t="s">
        <v>33</v>
      </c>
      <c r="I192" s="415" t="s">
        <v>164</v>
      </c>
      <c r="J192" s="424">
        <v>56620000</v>
      </c>
      <c r="K192" s="425" t="s">
        <v>40</v>
      </c>
      <c r="L192" s="421">
        <v>45854</v>
      </c>
      <c r="M192" s="442" t="s">
        <v>149</v>
      </c>
      <c r="N192" s="423"/>
    </row>
    <row r="193" spans="1:14" ht="14.4" hidden="1">
      <c r="A193" s="416" t="s">
        <v>451</v>
      </c>
      <c r="B193" s="416"/>
      <c r="C193" s="568" t="s">
        <v>88</v>
      </c>
      <c r="D193" s="415"/>
      <c r="E193" s="417" t="s">
        <v>90</v>
      </c>
      <c r="F193" s="415"/>
      <c r="G193" s="418" t="s">
        <v>96</v>
      </c>
      <c r="H193" s="418" t="s">
        <v>88</v>
      </c>
      <c r="I193" s="415" t="s">
        <v>145</v>
      </c>
      <c r="J193" s="424">
        <v>5600000</v>
      </c>
      <c r="K193" s="425" t="s">
        <v>40</v>
      </c>
      <c r="L193" s="421">
        <v>45854</v>
      </c>
      <c r="M193" s="442" t="s">
        <v>149</v>
      </c>
      <c r="N193" s="423"/>
    </row>
    <row r="194" spans="1:14" ht="14.4" hidden="1">
      <c r="A194" s="415" t="s">
        <v>530</v>
      </c>
      <c r="B194" s="416"/>
      <c r="C194" s="568" t="s">
        <v>243</v>
      </c>
      <c r="D194" s="415" t="s">
        <v>531</v>
      </c>
      <c r="E194" s="417" t="s">
        <v>90</v>
      </c>
      <c r="F194" s="415"/>
      <c r="G194" s="418" t="s">
        <v>96</v>
      </c>
      <c r="H194" s="418" t="s">
        <v>26</v>
      </c>
      <c r="I194" s="415" t="s">
        <v>164</v>
      </c>
      <c r="J194" s="419">
        <v>10500000000</v>
      </c>
      <c r="K194" s="420" t="s">
        <v>340</v>
      </c>
      <c r="L194" s="421"/>
      <c r="M194" s="443"/>
      <c r="N194" s="432"/>
    </row>
    <row r="195" spans="1:14" ht="14.4" hidden="1">
      <c r="A195" s="416" t="s">
        <v>532</v>
      </c>
      <c r="B195" s="416"/>
      <c r="C195" s="568" t="s">
        <v>88</v>
      </c>
      <c r="D195" s="415"/>
      <c r="E195" s="417" t="s">
        <v>90</v>
      </c>
      <c r="F195" s="415"/>
      <c r="G195" s="418" t="s">
        <v>96</v>
      </c>
      <c r="H195" s="418" t="s">
        <v>88</v>
      </c>
      <c r="I195" s="415" t="s">
        <v>164</v>
      </c>
      <c r="J195" s="424">
        <v>15757500</v>
      </c>
      <c r="K195" s="425" t="s">
        <v>40</v>
      </c>
      <c r="L195" s="421">
        <v>45854</v>
      </c>
      <c r="M195" s="442" t="s">
        <v>149</v>
      </c>
      <c r="N195" s="423"/>
    </row>
    <row r="196" spans="1:14" ht="14.4" hidden="1">
      <c r="A196" s="416" t="s">
        <v>533</v>
      </c>
      <c r="C196" s="568" t="s">
        <v>88</v>
      </c>
      <c r="D196" s="414"/>
      <c r="E196" s="417" t="s">
        <v>90</v>
      </c>
      <c r="F196" s="415"/>
      <c r="G196" s="418" t="s">
        <v>96</v>
      </c>
      <c r="H196" s="418" t="s">
        <v>88</v>
      </c>
      <c r="I196" s="415" t="s">
        <v>164</v>
      </c>
      <c r="J196" s="424">
        <v>2000000</v>
      </c>
      <c r="K196" s="425" t="s">
        <v>40</v>
      </c>
      <c r="L196" s="421">
        <v>45854</v>
      </c>
      <c r="M196" s="442" t="s">
        <v>149</v>
      </c>
      <c r="N196" s="423"/>
    </row>
    <row r="197" spans="1:14" ht="14.4" hidden="1">
      <c r="A197" s="416" t="s">
        <v>534</v>
      </c>
      <c r="C197" s="568" t="s">
        <v>33</v>
      </c>
      <c r="D197" s="414"/>
      <c r="E197" s="417" t="s">
        <v>90</v>
      </c>
      <c r="F197" s="415"/>
      <c r="G197" s="418" t="s">
        <v>96</v>
      </c>
      <c r="H197" s="418" t="s">
        <v>33</v>
      </c>
      <c r="I197" s="415" t="s">
        <v>164</v>
      </c>
      <c r="J197" s="424">
        <v>7150000</v>
      </c>
      <c r="K197" s="425" t="s">
        <v>40</v>
      </c>
      <c r="L197" s="421">
        <v>45905</v>
      </c>
      <c r="M197" s="422" t="s">
        <v>149</v>
      </c>
      <c r="N197" s="423"/>
    </row>
    <row r="198" spans="1:14" ht="14.4" hidden="1">
      <c r="A198" s="416" t="s">
        <v>534</v>
      </c>
      <c r="C198" s="568" t="s">
        <v>33</v>
      </c>
      <c r="D198" s="414"/>
      <c r="E198" s="417" t="s">
        <v>90</v>
      </c>
      <c r="F198" s="415"/>
      <c r="G198" s="418" t="s">
        <v>96</v>
      </c>
      <c r="H198" s="418" t="s">
        <v>33</v>
      </c>
      <c r="I198" s="415" t="s">
        <v>164</v>
      </c>
      <c r="J198" s="424">
        <v>63270000</v>
      </c>
      <c r="K198" s="425" t="s">
        <v>40</v>
      </c>
      <c r="L198" s="421">
        <v>45905</v>
      </c>
      <c r="M198" s="422" t="s">
        <v>149</v>
      </c>
      <c r="N198" s="423"/>
    </row>
    <row r="199" spans="1:14" ht="14.4" hidden="1">
      <c r="A199" s="416" t="s">
        <v>528</v>
      </c>
      <c r="C199" s="568" t="s">
        <v>131</v>
      </c>
      <c r="D199" s="414"/>
      <c r="E199" s="417" t="s">
        <v>90</v>
      </c>
      <c r="F199" s="415"/>
      <c r="G199" s="418" t="s">
        <v>96</v>
      </c>
      <c r="H199" s="418" t="s">
        <v>33</v>
      </c>
      <c r="I199" s="415" t="s">
        <v>164</v>
      </c>
      <c r="J199" s="424">
        <v>98850000</v>
      </c>
      <c r="K199" s="422" t="s">
        <v>40</v>
      </c>
      <c r="L199" s="421">
        <v>45820</v>
      </c>
      <c r="M199" s="422" t="s">
        <v>149</v>
      </c>
      <c r="N199" s="423"/>
    </row>
    <row r="200" spans="1:14" ht="14.4" hidden="1">
      <c r="A200" s="416" t="s">
        <v>535</v>
      </c>
      <c r="C200" s="568" t="s">
        <v>33</v>
      </c>
      <c r="D200" s="414"/>
      <c r="E200" s="417" t="s">
        <v>90</v>
      </c>
      <c r="F200" s="415"/>
      <c r="G200" s="418" t="s">
        <v>96</v>
      </c>
      <c r="H200" s="418" t="s">
        <v>33</v>
      </c>
      <c r="I200" s="415" t="s">
        <v>164</v>
      </c>
      <c r="J200" s="424">
        <v>56260000</v>
      </c>
      <c r="K200" s="422" t="s">
        <v>40</v>
      </c>
      <c r="L200" s="421">
        <v>45820</v>
      </c>
      <c r="M200" s="422" t="s">
        <v>149</v>
      </c>
      <c r="N200" s="423"/>
    </row>
    <row r="201" spans="1:14" ht="14.4" hidden="1">
      <c r="A201" s="389" t="s">
        <v>536</v>
      </c>
      <c r="B201" s="416"/>
      <c r="C201" s="569" t="s">
        <v>537</v>
      </c>
      <c r="D201" s="415"/>
      <c r="E201" s="417" t="s">
        <v>90</v>
      </c>
      <c r="F201" s="415"/>
      <c r="G201" s="418" t="s">
        <v>96</v>
      </c>
      <c r="H201" s="418" t="s">
        <v>33</v>
      </c>
      <c r="I201" s="415" t="s">
        <v>148</v>
      </c>
      <c r="J201" s="390">
        <v>7709192000</v>
      </c>
      <c r="K201" s="434" t="s">
        <v>40</v>
      </c>
      <c r="L201" s="421">
        <v>45729</v>
      </c>
      <c r="M201" s="391"/>
      <c r="N201" s="428"/>
    </row>
    <row r="202" spans="1:14" ht="14.4" hidden="1">
      <c r="A202" s="389" t="s">
        <v>538</v>
      </c>
      <c r="B202" s="416"/>
      <c r="C202" s="569" t="s">
        <v>539</v>
      </c>
      <c r="D202" s="415"/>
      <c r="E202" s="417" t="s">
        <v>90</v>
      </c>
      <c r="F202" s="415"/>
      <c r="G202" s="418" t="s">
        <v>96</v>
      </c>
      <c r="H202" s="418" t="s">
        <v>26</v>
      </c>
      <c r="I202" s="415" t="s">
        <v>164</v>
      </c>
      <c r="J202" s="390">
        <v>350000000</v>
      </c>
      <c r="K202" s="434" t="s">
        <v>40</v>
      </c>
      <c r="L202" s="421">
        <v>45729</v>
      </c>
      <c r="M202" s="391"/>
      <c r="N202" s="428"/>
    </row>
    <row r="203" spans="1:14" ht="14.4" hidden="1">
      <c r="A203" s="389" t="s">
        <v>540</v>
      </c>
      <c r="B203" s="416"/>
      <c r="C203" s="569" t="s">
        <v>541</v>
      </c>
      <c r="D203" s="415"/>
      <c r="E203" s="417" t="s">
        <v>90</v>
      </c>
      <c r="F203" s="415"/>
      <c r="G203" s="418" t="s">
        <v>103</v>
      </c>
      <c r="H203" s="418" t="s">
        <v>26</v>
      </c>
      <c r="I203" s="415" t="s">
        <v>164</v>
      </c>
      <c r="J203" s="390">
        <v>72000000</v>
      </c>
      <c r="K203" s="434" t="s">
        <v>40</v>
      </c>
      <c r="L203" s="421">
        <v>45772</v>
      </c>
      <c r="M203" s="391"/>
      <c r="N203" s="428"/>
    </row>
    <row r="204" spans="1:14" ht="14.4">
      <c r="A204" s="389" t="s">
        <v>542</v>
      </c>
      <c r="B204" s="416"/>
      <c r="C204" s="569" t="s">
        <v>543</v>
      </c>
      <c r="D204" s="415"/>
      <c r="E204" s="417" t="s">
        <v>90</v>
      </c>
      <c r="F204" s="415"/>
      <c r="G204" s="418" t="s">
        <v>227</v>
      </c>
      <c r="H204" s="418" t="s">
        <v>26</v>
      </c>
      <c r="I204" s="415" t="s">
        <v>164</v>
      </c>
      <c r="J204" s="390">
        <v>95000000</v>
      </c>
      <c r="K204" s="434" t="s">
        <v>40</v>
      </c>
      <c r="L204" s="421">
        <v>45722</v>
      </c>
      <c r="M204" s="391"/>
      <c r="N204" s="428"/>
    </row>
    <row r="205" spans="1:14" ht="14.4">
      <c r="A205" s="389" t="s">
        <v>279</v>
      </c>
      <c r="B205" s="416"/>
      <c r="C205" s="569" t="s">
        <v>544</v>
      </c>
      <c r="D205" s="415"/>
      <c r="E205" s="417" t="s">
        <v>90</v>
      </c>
      <c r="F205" s="415"/>
      <c r="G205" s="418" t="s">
        <v>227</v>
      </c>
      <c r="H205" s="418" t="s">
        <v>26</v>
      </c>
      <c r="I205" s="415" t="s">
        <v>164</v>
      </c>
      <c r="J205" s="390">
        <v>12000000</v>
      </c>
      <c r="K205" s="434" t="s">
        <v>40</v>
      </c>
      <c r="L205" s="421">
        <v>45722</v>
      </c>
      <c r="M205" s="391"/>
      <c r="N205" s="428"/>
    </row>
    <row r="206" spans="1:14" ht="14.4" hidden="1">
      <c r="A206" s="415" t="s">
        <v>545</v>
      </c>
      <c r="B206" s="416"/>
      <c r="C206" s="568" t="s">
        <v>147</v>
      </c>
      <c r="D206" s="415"/>
      <c r="E206" s="417" t="s">
        <v>90</v>
      </c>
      <c r="F206" s="415"/>
      <c r="G206" s="418" t="s">
        <v>103</v>
      </c>
      <c r="H206" s="418" t="s">
        <v>33</v>
      </c>
      <c r="I206" s="415" t="s">
        <v>164</v>
      </c>
      <c r="J206" s="419">
        <v>19000000</v>
      </c>
      <c r="K206" s="434" t="s">
        <v>40</v>
      </c>
      <c r="L206" s="421">
        <v>45910</v>
      </c>
      <c r="M206" s="422" t="s">
        <v>149</v>
      </c>
      <c r="N206" s="423"/>
    </row>
    <row r="207" spans="1:14" ht="14.4" hidden="1">
      <c r="A207" s="415" t="s">
        <v>546</v>
      </c>
      <c r="B207" s="416"/>
      <c r="C207" s="568" t="s">
        <v>33</v>
      </c>
      <c r="D207" s="415"/>
      <c r="E207" s="417" t="s">
        <v>90</v>
      </c>
      <c r="F207" s="415"/>
      <c r="G207" s="418" t="s">
        <v>103</v>
      </c>
      <c r="H207" s="418" t="s">
        <v>26</v>
      </c>
      <c r="I207" s="415" t="s">
        <v>164</v>
      </c>
      <c r="J207" s="419">
        <v>140000000</v>
      </c>
      <c r="K207" s="434" t="s">
        <v>40</v>
      </c>
      <c r="L207" s="421">
        <v>45880</v>
      </c>
      <c r="M207" s="422" t="s">
        <v>149</v>
      </c>
      <c r="N207" s="423"/>
    </row>
    <row r="208" spans="1:14" ht="14.4" hidden="1">
      <c r="A208" s="415" t="s">
        <v>179</v>
      </c>
      <c r="B208" s="416"/>
      <c r="C208" s="568" t="s">
        <v>547</v>
      </c>
      <c r="D208" s="415" t="s">
        <v>253</v>
      </c>
      <c r="E208" s="417" t="s">
        <v>24</v>
      </c>
      <c r="F208" s="415"/>
      <c r="G208" s="418" t="s">
        <v>25</v>
      </c>
      <c r="H208" s="418" t="s">
        <v>26</v>
      </c>
      <c r="I208" s="415" t="s">
        <v>154</v>
      </c>
      <c r="J208" s="419">
        <v>1726550000</v>
      </c>
      <c r="K208" s="434" t="s">
        <v>40</v>
      </c>
      <c r="L208" s="421">
        <v>45833</v>
      </c>
      <c r="M208" s="422"/>
      <c r="N208" s="423"/>
    </row>
    <row r="209" spans="1:14" ht="14.4" hidden="1">
      <c r="A209" s="416" t="s">
        <v>548</v>
      </c>
      <c r="B209" s="416"/>
      <c r="C209" s="568" t="s">
        <v>549</v>
      </c>
      <c r="D209" s="415" t="s">
        <v>253</v>
      </c>
      <c r="E209" s="417" t="s">
        <v>24</v>
      </c>
      <c r="F209" s="415"/>
      <c r="G209" s="418" t="s">
        <v>25</v>
      </c>
      <c r="H209" s="418" t="s">
        <v>26</v>
      </c>
      <c r="I209" s="415" t="s">
        <v>154</v>
      </c>
      <c r="J209" s="424">
        <v>731053564</v>
      </c>
      <c r="K209" s="422" t="s">
        <v>40</v>
      </c>
      <c r="L209" s="421">
        <v>45833</v>
      </c>
      <c r="M209" s="422"/>
      <c r="N209" s="423"/>
    </row>
    <row r="210" spans="1:14" ht="14.4" hidden="1">
      <c r="A210" s="416" t="s">
        <v>349</v>
      </c>
      <c r="B210" s="416"/>
      <c r="C210" s="568" t="s">
        <v>550</v>
      </c>
      <c r="D210" s="415" t="s">
        <v>470</v>
      </c>
      <c r="E210" s="417" t="s">
        <v>24</v>
      </c>
      <c r="F210" s="415"/>
      <c r="G210" s="418" t="s">
        <v>25</v>
      </c>
      <c r="H210" s="418" t="s">
        <v>26</v>
      </c>
      <c r="I210" s="415" t="s">
        <v>148</v>
      </c>
      <c r="J210" s="424">
        <v>63222000</v>
      </c>
      <c r="K210" s="422" t="s">
        <v>40</v>
      </c>
      <c r="L210" s="421">
        <v>45834</v>
      </c>
      <c r="M210" s="422"/>
      <c r="N210" s="423"/>
    </row>
    <row r="211" spans="1:14" ht="14.4" hidden="1">
      <c r="A211" s="415" t="s">
        <v>179</v>
      </c>
      <c r="B211" s="416"/>
      <c r="C211" s="568" t="s">
        <v>551</v>
      </c>
      <c r="D211" s="415"/>
      <c r="E211" s="417" t="s">
        <v>24</v>
      </c>
      <c r="F211" s="415"/>
      <c r="G211" s="418" t="s">
        <v>25</v>
      </c>
      <c r="H211" s="418" t="s">
        <v>26</v>
      </c>
      <c r="I211" s="415" t="s">
        <v>154</v>
      </c>
      <c r="J211" s="419">
        <v>437017400</v>
      </c>
      <c r="K211" s="434" t="s">
        <v>40</v>
      </c>
      <c r="L211" s="421">
        <v>45833</v>
      </c>
      <c r="M211" s="422"/>
      <c r="N211" s="423"/>
    </row>
    <row r="212" spans="1:14" ht="14.4" hidden="1">
      <c r="A212" s="389" t="s">
        <v>503</v>
      </c>
      <c r="B212" s="416"/>
      <c r="C212" s="569" t="s">
        <v>552</v>
      </c>
      <c r="D212" s="415"/>
      <c r="E212" s="417" t="s">
        <v>24</v>
      </c>
      <c r="F212" s="415"/>
      <c r="G212" s="415" t="s">
        <v>54</v>
      </c>
      <c r="H212" s="415" t="s">
        <v>33</v>
      </c>
      <c r="I212" s="415" t="s">
        <v>164</v>
      </c>
      <c r="J212" s="419">
        <v>21685400</v>
      </c>
      <c r="K212" s="434" t="s">
        <v>40</v>
      </c>
      <c r="L212" s="421">
        <v>45959</v>
      </c>
      <c r="M212" s="422"/>
      <c r="N212" s="423"/>
    </row>
    <row r="213" spans="1:14" ht="14.4" hidden="1">
      <c r="A213" s="389" t="s">
        <v>553</v>
      </c>
      <c r="C213" s="569" t="s">
        <v>554</v>
      </c>
      <c r="D213" s="414"/>
      <c r="E213" s="417" t="s">
        <v>24</v>
      </c>
      <c r="F213" s="415"/>
      <c r="G213" s="415" t="s">
        <v>54</v>
      </c>
      <c r="H213" s="415" t="s">
        <v>33</v>
      </c>
      <c r="I213" s="415" t="s">
        <v>164</v>
      </c>
      <c r="J213" s="419">
        <v>757926000</v>
      </c>
      <c r="K213" s="434" t="s">
        <v>40</v>
      </c>
      <c r="L213" s="421">
        <v>46001</v>
      </c>
      <c r="M213" s="422"/>
      <c r="N213" s="423"/>
    </row>
    <row r="214" spans="1:14" ht="14.4" hidden="1">
      <c r="A214" s="415" t="s">
        <v>555</v>
      </c>
      <c r="C214" s="568" t="s">
        <v>556</v>
      </c>
      <c r="D214" s="414"/>
      <c r="E214" s="417" t="s">
        <v>24</v>
      </c>
      <c r="F214" s="415"/>
      <c r="G214" s="418" t="s">
        <v>204</v>
      </c>
      <c r="H214" s="418" t="s">
        <v>26</v>
      </c>
      <c r="I214" s="415" t="s">
        <v>164</v>
      </c>
      <c r="J214" s="419">
        <v>360000000</v>
      </c>
      <c r="K214" s="434" t="s">
        <v>40</v>
      </c>
      <c r="L214" s="421">
        <v>45856</v>
      </c>
      <c r="M214" s="422"/>
      <c r="N214" s="423" t="s">
        <v>205</v>
      </c>
    </row>
    <row r="215" spans="1:14" ht="14.4" hidden="1">
      <c r="A215" s="415" t="s">
        <v>557</v>
      </c>
      <c r="C215" s="568" t="s">
        <v>229</v>
      </c>
      <c r="D215" s="414"/>
      <c r="E215" s="417" t="s">
        <v>24</v>
      </c>
      <c r="F215" s="415"/>
      <c r="G215" s="418" t="s">
        <v>204</v>
      </c>
      <c r="H215" s="418" t="s">
        <v>33</v>
      </c>
      <c r="I215" s="415" t="s">
        <v>148</v>
      </c>
      <c r="J215" s="419">
        <v>82000000</v>
      </c>
      <c r="K215" s="434" t="s">
        <v>40</v>
      </c>
      <c r="L215" s="421">
        <v>45841</v>
      </c>
      <c r="M215" s="422"/>
      <c r="N215" s="423" t="s">
        <v>205</v>
      </c>
    </row>
    <row r="216" spans="1:14" ht="14.4" hidden="1">
      <c r="A216" s="389" t="s">
        <v>558</v>
      </c>
      <c r="B216" s="416"/>
      <c r="C216" s="569" t="s">
        <v>559</v>
      </c>
      <c r="D216" s="415"/>
      <c r="E216" s="417" t="s">
        <v>24</v>
      </c>
      <c r="F216" s="415"/>
      <c r="G216" s="418" t="s">
        <v>25</v>
      </c>
      <c r="H216" s="418" t="s">
        <v>26</v>
      </c>
      <c r="I216" s="415" t="s">
        <v>164</v>
      </c>
      <c r="J216" s="390">
        <v>1038000000</v>
      </c>
      <c r="K216" s="434" t="s">
        <v>40</v>
      </c>
      <c r="L216" s="421">
        <v>45820</v>
      </c>
      <c r="M216" s="391"/>
      <c r="N216" s="428"/>
    </row>
    <row r="217" spans="1:14" ht="14.4" hidden="1">
      <c r="A217" s="415" t="s">
        <v>560</v>
      </c>
      <c r="B217" s="416"/>
      <c r="C217" s="568" t="s">
        <v>219</v>
      </c>
      <c r="D217" s="415" t="s">
        <v>561</v>
      </c>
      <c r="E217" s="417" t="s">
        <v>24</v>
      </c>
      <c r="F217" s="415"/>
      <c r="G217" s="418" t="s">
        <v>43</v>
      </c>
      <c r="H217" s="418" t="s">
        <v>26</v>
      </c>
      <c r="I217" s="415" t="s">
        <v>164</v>
      </c>
      <c r="J217" s="419">
        <v>748000000</v>
      </c>
      <c r="K217" s="434" t="s">
        <v>40</v>
      </c>
      <c r="L217" s="421">
        <v>45813</v>
      </c>
      <c r="M217" s="422" t="s">
        <v>149</v>
      </c>
      <c r="N217" s="423" t="s">
        <v>61</v>
      </c>
    </row>
    <row r="218" spans="1:14" ht="14.4" hidden="1">
      <c r="A218" s="415" t="s">
        <v>562</v>
      </c>
      <c r="B218" s="416"/>
      <c r="C218" s="568" t="s">
        <v>563</v>
      </c>
      <c r="D218" s="415"/>
      <c r="E218" s="417" t="s">
        <v>24</v>
      </c>
      <c r="F218" s="415"/>
      <c r="G218" s="418" t="s">
        <v>43</v>
      </c>
      <c r="H218" s="418" t="s">
        <v>33</v>
      </c>
      <c r="I218" s="415" t="s">
        <v>148</v>
      </c>
      <c r="J218" s="419">
        <v>425059995</v>
      </c>
      <c r="K218" s="434" t="s">
        <v>40</v>
      </c>
      <c r="L218" s="421">
        <v>45813</v>
      </c>
      <c r="M218" s="422" t="s">
        <v>149</v>
      </c>
      <c r="N218" s="423" t="s">
        <v>61</v>
      </c>
    </row>
    <row r="219" spans="1:14" ht="14.4" hidden="1">
      <c r="A219" s="415" t="s">
        <v>564</v>
      </c>
      <c r="B219" s="416"/>
      <c r="C219" s="568" t="s">
        <v>565</v>
      </c>
      <c r="D219" s="415"/>
      <c r="E219" s="417" t="s">
        <v>24</v>
      </c>
      <c r="F219" s="415"/>
      <c r="G219" s="418" t="s">
        <v>43</v>
      </c>
      <c r="H219" s="418" t="s">
        <v>33</v>
      </c>
      <c r="I219" s="415" t="s">
        <v>148</v>
      </c>
      <c r="J219" s="419">
        <v>11087304</v>
      </c>
      <c r="K219" s="434" t="s">
        <v>40</v>
      </c>
      <c r="L219" s="421">
        <v>45813</v>
      </c>
      <c r="M219" s="422" t="s">
        <v>149</v>
      </c>
      <c r="N219" s="423" t="s">
        <v>61</v>
      </c>
    </row>
    <row r="220" spans="1:14" ht="14.4">
      <c r="A220" s="389" t="s">
        <v>566</v>
      </c>
      <c r="B220" s="416"/>
      <c r="C220" s="569" t="s">
        <v>567</v>
      </c>
      <c r="D220" s="415"/>
      <c r="E220" s="417" t="s">
        <v>90</v>
      </c>
      <c r="F220" s="415"/>
      <c r="G220" s="418" t="s">
        <v>227</v>
      </c>
      <c r="H220" s="418" t="s">
        <v>26</v>
      </c>
      <c r="I220" s="415" t="s">
        <v>164</v>
      </c>
      <c r="J220" s="390">
        <v>199000000</v>
      </c>
      <c r="K220" s="434" t="s">
        <v>40</v>
      </c>
      <c r="L220" s="421">
        <v>45693</v>
      </c>
      <c r="M220" s="391"/>
      <c r="N220" s="428"/>
    </row>
    <row r="221" spans="1:14" ht="14.4">
      <c r="A221" s="389" t="s">
        <v>568</v>
      </c>
      <c r="B221" s="416"/>
      <c r="C221" s="569" t="s">
        <v>569</v>
      </c>
      <c r="D221" s="415"/>
      <c r="E221" s="417" t="s">
        <v>90</v>
      </c>
      <c r="F221" s="415"/>
      <c r="G221" s="418" t="s">
        <v>227</v>
      </c>
      <c r="H221" s="418" t="s">
        <v>33</v>
      </c>
      <c r="I221" s="415" t="s">
        <v>148</v>
      </c>
      <c r="J221" s="390">
        <v>258600000</v>
      </c>
      <c r="K221" s="434" t="s">
        <v>40</v>
      </c>
      <c r="L221" s="421">
        <v>45693</v>
      </c>
      <c r="M221" s="391"/>
      <c r="N221" s="428"/>
    </row>
    <row r="222" spans="1:14" ht="14.4">
      <c r="A222" s="389" t="s">
        <v>568</v>
      </c>
      <c r="B222" s="416"/>
      <c r="C222" s="569" t="s">
        <v>570</v>
      </c>
      <c r="D222" s="415"/>
      <c r="E222" s="417" t="s">
        <v>90</v>
      </c>
      <c r="F222" s="415"/>
      <c r="G222" s="418" t="s">
        <v>227</v>
      </c>
      <c r="H222" s="418" t="s">
        <v>33</v>
      </c>
      <c r="I222" s="415" t="s">
        <v>148</v>
      </c>
      <c r="J222" s="390">
        <v>53400000</v>
      </c>
      <c r="K222" s="434" t="s">
        <v>40</v>
      </c>
      <c r="L222" s="421">
        <v>45693</v>
      </c>
      <c r="M222" s="391"/>
      <c r="N222" s="428"/>
    </row>
    <row r="223" spans="1:14" ht="14.4">
      <c r="A223" s="389" t="s">
        <v>571</v>
      </c>
      <c r="B223" s="416"/>
      <c r="C223" s="569" t="s">
        <v>572</v>
      </c>
      <c r="D223" s="415"/>
      <c r="E223" s="417" t="s">
        <v>90</v>
      </c>
      <c r="F223" s="415"/>
      <c r="G223" s="418" t="s">
        <v>227</v>
      </c>
      <c r="H223" s="418" t="s">
        <v>26</v>
      </c>
      <c r="I223" s="415" t="s">
        <v>148</v>
      </c>
      <c r="J223" s="390">
        <v>143000000</v>
      </c>
      <c r="K223" s="434" t="s">
        <v>40</v>
      </c>
      <c r="L223" s="421">
        <v>45693</v>
      </c>
      <c r="M223" s="391"/>
      <c r="N223" s="428"/>
    </row>
    <row r="224" spans="1:14" ht="14.4" hidden="1">
      <c r="A224" s="389" t="s">
        <v>573</v>
      </c>
      <c r="C224" s="569" t="s">
        <v>574</v>
      </c>
      <c r="D224" s="414"/>
      <c r="E224" s="417" t="s">
        <v>90</v>
      </c>
      <c r="F224" s="415"/>
      <c r="G224" s="418" t="s">
        <v>170</v>
      </c>
      <c r="H224" s="418" t="s">
        <v>26</v>
      </c>
      <c r="I224" s="414" t="s">
        <v>148</v>
      </c>
      <c r="J224" s="390">
        <v>51000000</v>
      </c>
      <c r="K224" s="434" t="s">
        <v>40</v>
      </c>
      <c r="L224" s="421">
        <v>46150</v>
      </c>
      <c r="M224" s="391" t="s">
        <v>149</v>
      </c>
      <c r="N224" s="423" t="s">
        <v>61</v>
      </c>
    </row>
    <row r="225" spans="1:14" ht="14.4" hidden="1">
      <c r="A225" s="415" t="s">
        <v>575</v>
      </c>
      <c r="B225" s="416"/>
      <c r="C225" s="568" t="s">
        <v>219</v>
      </c>
      <c r="D225" s="415" t="s">
        <v>576</v>
      </c>
      <c r="E225" s="417" t="s">
        <v>24</v>
      </c>
      <c r="F225" s="415"/>
      <c r="G225" s="418" t="s">
        <v>43</v>
      </c>
      <c r="H225" s="418" t="s">
        <v>33</v>
      </c>
      <c r="I225" s="415" t="s">
        <v>148</v>
      </c>
      <c r="J225" s="419">
        <v>1670000000</v>
      </c>
      <c r="K225" s="434" t="s">
        <v>40</v>
      </c>
      <c r="L225" s="421">
        <v>45813</v>
      </c>
      <c r="M225" s="422" t="s">
        <v>149</v>
      </c>
      <c r="N225" s="423" t="s">
        <v>61</v>
      </c>
    </row>
    <row r="226" spans="1:14" ht="14.4" hidden="1">
      <c r="A226" s="415" t="s">
        <v>575</v>
      </c>
      <c r="B226" s="416"/>
      <c r="C226" s="568" t="s">
        <v>577</v>
      </c>
      <c r="D226" s="415"/>
      <c r="E226" s="417" t="s">
        <v>24</v>
      </c>
      <c r="F226" s="415"/>
      <c r="G226" s="418" t="s">
        <v>43</v>
      </c>
      <c r="H226" s="418" t="s">
        <v>33</v>
      </c>
      <c r="I226" s="415" t="s">
        <v>148</v>
      </c>
      <c r="J226" s="419">
        <v>780000000</v>
      </c>
      <c r="K226" s="434" t="s">
        <v>40</v>
      </c>
      <c r="L226" s="421">
        <v>45813</v>
      </c>
      <c r="M226" s="422" t="s">
        <v>149</v>
      </c>
      <c r="N226" s="423" t="s">
        <v>61</v>
      </c>
    </row>
    <row r="227" spans="1:14" ht="14.4" hidden="1">
      <c r="A227" s="415" t="s">
        <v>578</v>
      </c>
      <c r="C227" s="568" t="s">
        <v>286</v>
      </c>
      <c r="D227" s="414"/>
      <c r="E227" s="417" t="s">
        <v>90</v>
      </c>
      <c r="F227" s="415"/>
      <c r="G227" s="418" t="s">
        <v>103</v>
      </c>
      <c r="H227" s="418" t="s">
        <v>26</v>
      </c>
      <c r="I227" s="414" t="s">
        <v>145</v>
      </c>
      <c r="J227" s="419">
        <v>215000000</v>
      </c>
      <c r="K227" s="434" t="s">
        <v>40</v>
      </c>
      <c r="L227" s="421">
        <v>46079</v>
      </c>
      <c r="M227" s="422" t="s">
        <v>149</v>
      </c>
      <c r="N227" s="423" t="s">
        <v>260</v>
      </c>
    </row>
    <row r="228" spans="1:14" ht="14.4" hidden="1">
      <c r="A228" s="415" t="s">
        <v>579</v>
      </c>
      <c r="B228" s="416"/>
      <c r="C228" s="568" t="s">
        <v>580</v>
      </c>
      <c r="D228" s="415"/>
      <c r="E228" s="417" t="s">
        <v>24</v>
      </c>
      <c r="F228" s="415"/>
      <c r="G228" s="418" t="s">
        <v>43</v>
      </c>
      <c r="H228" s="418" t="s">
        <v>33</v>
      </c>
      <c r="I228" s="415" t="s">
        <v>164</v>
      </c>
      <c r="J228" s="419">
        <v>1613696000</v>
      </c>
      <c r="K228" s="434" t="s">
        <v>40</v>
      </c>
      <c r="L228" s="421">
        <v>45813</v>
      </c>
      <c r="M228" s="422" t="s">
        <v>149</v>
      </c>
      <c r="N228" s="423" t="s">
        <v>61</v>
      </c>
    </row>
    <row r="229" spans="1:14" ht="14.4" hidden="1">
      <c r="A229" s="415" t="s">
        <v>315</v>
      </c>
      <c r="C229" s="568" t="s">
        <v>581</v>
      </c>
      <c r="D229" s="414"/>
      <c r="E229" s="417" t="s">
        <v>24</v>
      </c>
      <c r="F229" s="415"/>
      <c r="G229" s="418" t="s">
        <v>43</v>
      </c>
      <c r="H229" s="418" t="s">
        <v>33</v>
      </c>
      <c r="I229" s="415" t="s">
        <v>148</v>
      </c>
      <c r="J229" s="419">
        <v>550000000</v>
      </c>
      <c r="K229" s="434" t="s">
        <v>40</v>
      </c>
      <c r="L229" s="421">
        <v>45813</v>
      </c>
      <c r="M229" s="422" t="s">
        <v>149</v>
      </c>
      <c r="N229" s="423" t="s">
        <v>61</v>
      </c>
    </row>
    <row r="230" spans="1:14" ht="14.4" hidden="1">
      <c r="A230" s="416" t="s">
        <v>349</v>
      </c>
      <c r="B230" s="416"/>
      <c r="C230" s="568" t="s">
        <v>582</v>
      </c>
      <c r="D230" s="415"/>
      <c r="E230" s="417" t="s">
        <v>24</v>
      </c>
      <c r="F230" s="415"/>
      <c r="G230" s="418" t="s">
        <v>25</v>
      </c>
      <c r="H230" s="418" t="s">
        <v>33</v>
      </c>
      <c r="I230" s="415" t="s">
        <v>148</v>
      </c>
      <c r="J230" s="424">
        <v>140406000</v>
      </c>
      <c r="K230" s="422" t="s">
        <v>40</v>
      </c>
      <c r="L230" s="421">
        <v>45811</v>
      </c>
      <c r="M230" s="422" t="s">
        <v>149</v>
      </c>
      <c r="N230" s="423"/>
    </row>
    <row r="231" spans="1:14" ht="14.4" hidden="1">
      <c r="A231" s="416" t="s">
        <v>583</v>
      </c>
      <c r="B231" s="416"/>
      <c r="C231" s="568" t="s">
        <v>584</v>
      </c>
      <c r="D231" s="415" t="s">
        <v>263</v>
      </c>
      <c r="E231" s="417" t="s">
        <v>24</v>
      </c>
      <c r="F231" s="415"/>
      <c r="G231" s="418" t="s">
        <v>201</v>
      </c>
      <c r="H231" s="418" t="s">
        <v>26</v>
      </c>
      <c r="I231" s="415" t="s">
        <v>164</v>
      </c>
      <c r="J231" s="424">
        <v>1185000000</v>
      </c>
      <c r="K231" s="422" t="s">
        <v>40</v>
      </c>
      <c r="L231" s="421">
        <v>45820</v>
      </c>
      <c r="M231" s="422" t="s">
        <v>149</v>
      </c>
      <c r="N231" s="423"/>
    </row>
    <row r="232" spans="1:14" ht="14.4" hidden="1">
      <c r="A232" s="415" t="s">
        <v>585</v>
      </c>
      <c r="B232" s="415"/>
      <c r="C232" s="568" t="s">
        <v>586</v>
      </c>
      <c r="D232" s="415"/>
      <c r="E232" s="417" t="s">
        <v>24</v>
      </c>
      <c r="F232" s="415"/>
      <c r="G232" s="418" t="s">
        <v>43</v>
      </c>
      <c r="H232" s="418" t="s">
        <v>33</v>
      </c>
      <c r="I232" s="415" t="s">
        <v>164</v>
      </c>
      <c r="J232" s="419">
        <v>306618000</v>
      </c>
      <c r="K232" s="434" t="s">
        <v>40</v>
      </c>
      <c r="L232" s="421">
        <v>45813</v>
      </c>
      <c r="M232" s="422" t="s">
        <v>149</v>
      </c>
      <c r="N232" s="423" t="s">
        <v>61</v>
      </c>
    </row>
    <row r="233" spans="1:14" ht="14.4">
      <c r="A233" s="415" t="s">
        <v>587</v>
      </c>
      <c r="B233" s="416"/>
      <c r="C233" s="568" t="s">
        <v>588</v>
      </c>
      <c r="D233" s="415" t="s">
        <v>226</v>
      </c>
      <c r="E233" s="417" t="s">
        <v>90</v>
      </c>
      <c r="F233" s="415"/>
      <c r="G233" s="418" t="s">
        <v>227</v>
      </c>
      <c r="H233" s="418" t="s">
        <v>33</v>
      </c>
      <c r="I233" s="415" t="s">
        <v>148</v>
      </c>
      <c r="J233" s="419">
        <v>424500000</v>
      </c>
      <c r="K233" s="434" t="s">
        <v>40</v>
      </c>
      <c r="L233" s="421">
        <v>45968</v>
      </c>
      <c r="M233" s="421" t="s">
        <v>149</v>
      </c>
      <c r="N233" s="432"/>
    </row>
    <row r="234" spans="1:14" ht="14.4" hidden="1">
      <c r="A234" s="389" t="s">
        <v>589</v>
      </c>
      <c r="B234" s="389"/>
      <c r="C234" s="569" t="s">
        <v>590</v>
      </c>
      <c r="D234" s="389"/>
      <c r="E234" s="417" t="s">
        <v>24</v>
      </c>
      <c r="F234" s="415"/>
      <c r="G234" s="440" t="s">
        <v>54</v>
      </c>
      <c r="H234" s="440" t="s">
        <v>26</v>
      </c>
      <c r="I234" s="415" t="s">
        <v>164</v>
      </c>
      <c r="J234" s="424">
        <v>729000000</v>
      </c>
      <c r="K234" s="422" t="s">
        <v>40</v>
      </c>
      <c r="L234" s="421">
        <v>45820</v>
      </c>
      <c r="M234" s="389" t="s">
        <v>149</v>
      </c>
      <c r="N234" s="441" t="s">
        <v>591</v>
      </c>
    </row>
    <row r="235" spans="1:14" ht="14.4" hidden="1">
      <c r="A235" s="389" t="s">
        <v>589</v>
      </c>
      <c r="B235" s="389"/>
      <c r="C235" s="569" t="s">
        <v>592</v>
      </c>
      <c r="D235" s="389"/>
      <c r="E235" s="417" t="s">
        <v>24</v>
      </c>
      <c r="F235" s="415"/>
      <c r="G235" s="440" t="s">
        <v>54</v>
      </c>
      <c r="H235" s="357" t="s">
        <v>33</v>
      </c>
      <c r="I235" s="415" t="s">
        <v>164</v>
      </c>
      <c r="J235" s="424">
        <v>2601000000</v>
      </c>
      <c r="K235" s="422" t="s">
        <v>40</v>
      </c>
      <c r="L235" s="421">
        <v>45820</v>
      </c>
      <c r="M235" s="389" t="s">
        <v>149</v>
      </c>
      <c r="N235" s="441" t="s">
        <v>591</v>
      </c>
    </row>
    <row r="236" spans="1:14" ht="14.4" hidden="1">
      <c r="A236" s="389" t="s">
        <v>503</v>
      </c>
      <c r="B236" s="416"/>
      <c r="C236" s="569" t="s">
        <v>593</v>
      </c>
      <c r="D236" s="415"/>
      <c r="E236" s="417" t="s">
        <v>24</v>
      </c>
      <c r="F236" s="415"/>
      <c r="G236" s="418" t="s">
        <v>54</v>
      </c>
      <c r="H236" s="418" t="s">
        <v>33</v>
      </c>
      <c r="I236" s="415" t="s">
        <v>164</v>
      </c>
      <c r="J236" s="390">
        <v>55320000</v>
      </c>
      <c r="K236" s="434" t="s">
        <v>40</v>
      </c>
      <c r="L236" s="421">
        <v>45820</v>
      </c>
      <c r="M236" s="391"/>
      <c r="N236" s="428" t="s">
        <v>505</v>
      </c>
    </row>
    <row r="237" spans="1:14" ht="24.6" hidden="1">
      <c r="A237" s="389" t="s">
        <v>503</v>
      </c>
      <c r="B237" s="416"/>
      <c r="C237" s="569" t="s">
        <v>594</v>
      </c>
      <c r="D237" s="415"/>
      <c r="E237" s="417" t="s">
        <v>24</v>
      </c>
      <c r="F237" s="415"/>
      <c r="G237" s="418" t="s">
        <v>54</v>
      </c>
      <c r="H237" s="418" t="s">
        <v>33</v>
      </c>
      <c r="I237" s="415" t="s">
        <v>164</v>
      </c>
      <c r="J237" s="390">
        <v>42366249.5</v>
      </c>
      <c r="K237" s="434" t="s">
        <v>40</v>
      </c>
      <c r="L237" s="421">
        <v>45820</v>
      </c>
      <c r="M237" s="391"/>
      <c r="N237" s="428" t="s">
        <v>505</v>
      </c>
    </row>
    <row r="238" spans="1:14" ht="14.4" hidden="1">
      <c r="A238" s="416" t="s">
        <v>595</v>
      </c>
      <c r="B238" s="416"/>
      <c r="C238" s="568" t="s">
        <v>596</v>
      </c>
      <c r="D238" s="415"/>
      <c r="E238" s="417" t="s">
        <v>24</v>
      </c>
      <c r="F238" s="415"/>
      <c r="G238" s="418" t="s">
        <v>597</v>
      </c>
      <c r="H238" s="418" t="s">
        <v>26</v>
      </c>
      <c r="I238" s="415" t="s">
        <v>148</v>
      </c>
      <c r="J238" s="424">
        <v>438333333</v>
      </c>
      <c r="K238" s="422" t="s">
        <v>40</v>
      </c>
      <c r="L238" s="421">
        <v>45778</v>
      </c>
      <c r="M238" s="422"/>
      <c r="N238" s="423"/>
    </row>
    <row r="239" spans="1:14" ht="14.4" hidden="1">
      <c r="A239" s="389" t="s">
        <v>598</v>
      </c>
      <c r="B239" s="416"/>
      <c r="C239" s="569" t="s">
        <v>599</v>
      </c>
      <c r="D239" s="415"/>
      <c r="E239" s="417" t="s">
        <v>24</v>
      </c>
      <c r="F239" s="415"/>
      <c r="G239" s="418" t="s">
        <v>25</v>
      </c>
      <c r="H239" s="418" t="s">
        <v>600</v>
      </c>
      <c r="I239" s="415" t="s">
        <v>164</v>
      </c>
      <c r="J239" s="390">
        <v>228600000</v>
      </c>
      <c r="K239" s="434" t="s">
        <v>40</v>
      </c>
      <c r="L239" s="421">
        <v>45785</v>
      </c>
      <c r="M239" s="391"/>
      <c r="N239" s="428"/>
    </row>
    <row r="240" spans="1:14" ht="14.4" hidden="1">
      <c r="A240" s="415" t="s">
        <v>601</v>
      </c>
      <c r="B240" s="416"/>
      <c r="C240" s="568" t="s">
        <v>33</v>
      </c>
      <c r="D240" s="415"/>
      <c r="E240" s="417" t="s">
        <v>90</v>
      </c>
      <c r="F240" s="415"/>
      <c r="G240" s="418" t="s">
        <v>103</v>
      </c>
      <c r="H240" s="418" t="s">
        <v>26</v>
      </c>
      <c r="I240" s="415" t="s">
        <v>164</v>
      </c>
      <c r="J240" s="419">
        <v>16300000</v>
      </c>
      <c r="K240" s="434" t="s">
        <v>40</v>
      </c>
      <c r="L240" s="421">
        <v>45903</v>
      </c>
      <c r="M240" s="422" t="s">
        <v>149</v>
      </c>
      <c r="N240" s="423"/>
    </row>
    <row r="241" spans="1:14" ht="14.4" hidden="1">
      <c r="A241" s="389" t="s">
        <v>349</v>
      </c>
      <c r="B241" s="416"/>
      <c r="C241" s="569" t="s">
        <v>602</v>
      </c>
      <c r="D241" s="415"/>
      <c r="E241" s="417" t="s">
        <v>24</v>
      </c>
      <c r="F241" s="415"/>
      <c r="G241" s="418" t="s">
        <v>25</v>
      </c>
      <c r="H241" s="418" t="s">
        <v>33</v>
      </c>
      <c r="I241" s="415" t="s">
        <v>148</v>
      </c>
      <c r="J241" s="390">
        <v>1490000000</v>
      </c>
      <c r="K241" s="434" t="s">
        <v>40</v>
      </c>
      <c r="L241" s="421">
        <v>45791</v>
      </c>
      <c r="M241" s="391"/>
      <c r="N241" s="428"/>
    </row>
    <row r="242" spans="1:14" ht="14.4" hidden="1">
      <c r="A242" s="389" t="s">
        <v>274</v>
      </c>
      <c r="B242" s="416"/>
      <c r="C242" s="569" t="s">
        <v>603</v>
      </c>
      <c r="D242" s="415"/>
      <c r="E242" s="417" t="s">
        <v>90</v>
      </c>
      <c r="F242" s="415"/>
      <c r="G242" s="418" t="s">
        <v>103</v>
      </c>
      <c r="H242" s="418" t="s">
        <v>33</v>
      </c>
      <c r="I242" s="415" t="s">
        <v>164</v>
      </c>
      <c r="J242" s="390">
        <v>19000000</v>
      </c>
      <c r="K242" s="434" t="s">
        <v>40</v>
      </c>
      <c r="L242" s="421">
        <v>45665</v>
      </c>
      <c r="M242" s="391"/>
      <c r="N242" s="428"/>
    </row>
    <row r="243" spans="1:14" ht="14.4" hidden="1">
      <c r="A243" s="389" t="s">
        <v>349</v>
      </c>
      <c r="B243" s="416"/>
      <c r="C243" s="569" t="s">
        <v>604</v>
      </c>
      <c r="D243" s="415"/>
      <c r="E243" s="417" t="s">
        <v>24</v>
      </c>
      <c r="F243" s="415"/>
      <c r="G243" s="418" t="s">
        <v>25</v>
      </c>
      <c r="H243" s="418" t="s">
        <v>26</v>
      </c>
      <c r="I243" s="415" t="s">
        <v>148</v>
      </c>
      <c r="J243" s="390">
        <v>224246800</v>
      </c>
      <c r="K243" s="434" t="s">
        <v>40</v>
      </c>
      <c r="L243" s="421">
        <v>45785</v>
      </c>
      <c r="M243" s="391"/>
      <c r="N243" s="428"/>
    </row>
    <row r="244" spans="1:14" ht="14.4" hidden="1">
      <c r="A244" s="416" t="s">
        <v>349</v>
      </c>
      <c r="B244" s="416"/>
      <c r="C244" s="568" t="s">
        <v>605</v>
      </c>
      <c r="D244" s="415"/>
      <c r="E244" s="417" t="s">
        <v>24</v>
      </c>
      <c r="F244" s="415"/>
      <c r="G244" s="418" t="s">
        <v>25</v>
      </c>
      <c r="H244" s="418" t="s">
        <v>26</v>
      </c>
      <c r="I244" s="415" t="s">
        <v>148</v>
      </c>
      <c r="J244" s="424">
        <v>12390000</v>
      </c>
      <c r="K244" s="422" t="s">
        <v>40</v>
      </c>
      <c r="L244" s="421">
        <v>45793</v>
      </c>
      <c r="M244" s="422"/>
      <c r="N244" s="423"/>
    </row>
    <row r="245" spans="1:14" ht="14.4" hidden="1">
      <c r="A245" s="416" t="s">
        <v>349</v>
      </c>
      <c r="B245" s="416"/>
      <c r="C245" s="568" t="s">
        <v>606</v>
      </c>
      <c r="D245" s="415"/>
      <c r="E245" s="417" t="s">
        <v>24</v>
      </c>
      <c r="F245" s="415"/>
      <c r="G245" s="418" t="s">
        <v>25</v>
      </c>
      <c r="H245" s="418" t="s">
        <v>33</v>
      </c>
      <c r="I245" s="415" t="s">
        <v>148</v>
      </c>
      <c r="J245" s="424">
        <v>51000000</v>
      </c>
      <c r="K245" s="422" t="s">
        <v>40</v>
      </c>
      <c r="L245" s="421">
        <v>45784</v>
      </c>
      <c r="M245" s="422"/>
      <c r="N245" s="423"/>
    </row>
    <row r="246" spans="1:14" ht="14.4" hidden="1">
      <c r="A246" s="416" t="s">
        <v>349</v>
      </c>
      <c r="B246" s="416"/>
      <c r="C246" s="568" t="s">
        <v>607</v>
      </c>
      <c r="D246" s="415" t="s">
        <v>253</v>
      </c>
      <c r="E246" s="417" t="s">
        <v>24</v>
      </c>
      <c r="F246" s="415"/>
      <c r="G246" s="418" t="s">
        <v>25</v>
      </c>
      <c r="H246" s="418" t="s">
        <v>26</v>
      </c>
      <c r="I246" s="415" t="s">
        <v>148</v>
      </c>
      <c r="J246" s="424">
        <v>572871000</v>
      </c>
      <c r="K246" s="422" t="s">
        <v>40</v>
      </c>
      <c r="L246" s="421">
        <v>45791</v>
      </c>
      <c r="M246" s="422"/>
      <c r="N246" s="423"/>
    </row>
    <row r="247" spans="1:14" ht="14.4" hidden="1">
      <c r="A247" s="416" t="s">
        <v>349</v>
      </c>
      <c r="B247" s="416"/>
      <c r="C247" s="568" t="s">
        <v>608</v>
      </c>
      <c r="D247" s="415"/>
      <c r="E247" s="417" t="s">
        <v>24</v>
      </c>
      <c r="F247" s="415"/>
      <c r="G247" s="418" t="s">
        <v>25</v>
      </c>
      <c r="H247" s="418" t="s">
        <v>33</v>
      </c>
      <c r="I247" s="415" t="s">
        <v>148</v>
      </c>
      <c r="J247" s="424">
        <v>157094000</v>
      </c>
      <c r="K247" s="422" t="s">
        <v>40</v>
      </c>
      <c r="L247" s="421">
        <v>45785</v>
      </c>
      <c r="M247" s="422" t="s">
        <v>149</v>
      </c>
      <c r="N247" s="423"/>
    </row>
    <row r="248" spans="1:14" ht="14.4" hidden="1">
      <c r="A248" s="416" t="s">
        <v>609</v>
      </c>
      <c r="B248" s="416"/>
      <c r="C248" s="568" t="s">
        <v>610</v>
      </c>
      <c r="D248" s="415"/>
      <c r="E248" s="417" t="s">
        <v>24</v>
      </c>
      <c r="F248" s="415"/>
      <c r="G248" s="427" t="s">
        <v>43</v>
      </c>
      <c r="H248" s="427" t="s">
        <v>33</v>
      </c>
      <c r="I248" s="415" t="s">
        <v>148</v>
      </c>
      <c r="J248" s="424">
        <v>500000000</v>
      </c>
      <c r="K248" s="422" t="s">
        <v>40</v>
      </c>
      <c r="L248" s="421">
        <v>45785</v>
      </c>
      <c r="M248" s="422" t="s">
        <v>149</v>
      </c>
      <c r="N248" s="423" t="s">
        <v>61</v>
      </c>
    </row>
    <row r="249" spans="1:14" ht="14.4" hidden="1">
      <c r="A249" s="389" t="s">
        <v>611</v>
      </c>
      <c r="B249" s="416"/>
      <c r="C249" s="569" t="s">
        <v>612</v>
      </c>
      <c r="D249" s="415"/>
      <c r="E249" s="417" t="s">
        <v>24</v>
      </c>
      <c r="F249" s="415"/>
      <c r="G249" s="415" t="s">
        <v>201</v>
      </c>
      <c r="H249" s="415" t="s">
        <v>26</v>
      </c>
      <c r="I249" s="415" t="s">
        <v>148</v>
      </c>
      <c r="J249" s="390">
        <f>4050500000</f>
        <v>4050500000</v>
      </c>
      <c r="K249" s="434" t="s">
        <v>40</v>
      </c>
      <c r="L249" s="421">
        <v>45764</v>
      </c>
      <c r="M249" s="391" t="s">
        <v>149</v>
      </c>
      <c r="N249" s="428"/>
    </row>
    <row r="250" spans="1:14" ht="14.4" hidden="1">
      <c r="A250" s="389" t="s">
        <v>613</v>
      </c>
      <c r="B250" s="416"/>
      <c r="C250" s="569" t="s">
        <v>614</v>
      </c>
      <c r="D250" s="415"/>
      <c r="E250" s="417" t="s">
        <v>24</v>
      </c>
      <c r="F250" s="415"/>
      <c r="G250" s="415" t="s">
        <v>201</v>
      </c>
      <c r="H250" s="415" t="s">
        <v>26</v>
      </c>
      <c r="I250" s="415" t="s">
        <v>164</v>
      </c>
      <c r="J250" s="390">
        <v>1300000000</v>
      </c>
      <c r="K250" s="434" t="s">
        <v>40</v>
      </c>
      <c r="L250" s="421">
        <v>45764</v>
      </c>
      <c r="M250" s="391" t="s">
        <v>149</v>
      </c>
      <c r="N250" s="428"/>
    </row>
    <row r="251" spans="1:14" ht="24.6" hidden="1">
      <c r="A251" s="389" t="s">
        <v>611</v>
      </c>
      <c r="B251" s="416"/>
      <c r="C251" s="569" t="s">
        <v>615</v>
      </c>
      <c r="D251" s="415"/>
      <c r="E251" s="417" t="s">
        <v>24</v>
      </c>
      <c r="F251" s="415"/>
      <c r="G251" s="415" t="s">
        <v>201</v>
      </c>
      <c r="H251" s="418" t="s">
        <v>33</v>
      </c>
      <c r="I251" s="415" t="s">
        <v>148</v>
      </c>
      <c r="J251" s="390">
        <v>55000000</v>
      </c>
      <c r="K251" s="434" t="s">
        <v>40</v>
      </c>
      <c r="L251" s="421">
        <v>45764</v>
      </c>
      <c r="M251" s="391" t="s">
        <v>149</v>
      </c>
      <c r="N251" s="428"/>
    </row>
    <row r="252" spans="1:14" ht="14.4" hidden="1">
      <c r="A252" s="389" t="s">
        <v>525</v>
      </c>
      <c r="B252" s="416"/>
      <c r="C252" s="569" t="s">
        <v>616</v>
      </c>
      <c r="D252" s="415"/>
      <c r="E252" s="417" t="s">
        <v>24</v>
      </c>
      <c r="F252" s="415"/>
      <c r="G252" s="415" t="s">
        <v>331</v>
      </c>
      <c r="H252" s="415" t="s">
        <v>33</v>
      </c>
      <c r="I252" s="415" t="s">
        <v>164</v>
      </c>
      <c r="J252" s="390">
        <v>653240000</v>
      </c>
      <c r="K252" s="434" t="s">
        <v>40</v>
      </c>
      <c r="L252" s="421">
        <v>45756</v>
      </c>
      <c r="M252" s="391"/>
      <c r="N252" s="428"/>
    </row>
    <row r="253" spans="1:14" ht="14.4" hidden="1">
      <c r="A253" s="389" t="s">
        <v>617</v>
      </c>
      <c r="B253" s="416"/>
      <c r="C253" s="569" t="s">
        <v>618</v>
      </c>
      <c r="D253" s="415"/>
      <c r="E253" s="417" t="s">
        <v>24</v>
      </c>
      <c r="F253" s="415"/>
      <c r="G253" s="415" t="s">
        <v>43</v>
      </c>
      <c r="H253" s="415" t="s">
        <v>26</v>
      </c>
      <c r="I253" s="415" t="s">
        <v>164</v>
      </c>
      <c r="J253" s="390">
        <v>56000000</v>
      </c>
      <c r="K253" s="434" t="s">
        <v>40</v>
      </c>
      <c r="L253" s="421">
        <v>45757</v>
      </c>
      <c r="M253" s="422" t="s">
        <v>149</v>
      </c>
      <c r="N253" s="423" t="s">
        <v>61</v>
      </c>
    </row>
    <row r="254" spans="1:14" ht="14.4" hidden="1">
      <c r="A254" s="389" t="s">
        <v>516</v>
      </c>
      <c r="B254" s="416"/>
      <c r="C254" s="569" t="s">
        <v>619</v>
      </c>
      <c r="D254" s="415"/>
      <c r="E254" s="417" t="s">
        <v>24</v>
      </c>
      <c r="F254" s="415"/>
      <c r="G254" s="415" t="s">
        <v>201</v>
      </c>
      <c r="H254" s="415" t="s">
        <v>26</v>
      </c>
      <c r="I254" s="415" t="s">
        <v>164</v>
      </c>
      <c r="J254" s="390">
        <v>33000000</v>
      </c>
      <c r="K254" s="434" t="s">
        <v>40</v>
      </c>
      <c r="L254" s="421">
        <v>45764</v>
      </c>
      <c r="M254" s="391" t="s">
        <v>149</v>
      </c>
      <c r="N254" s="428"/>
    </row>
    <row r="255" spans="1:14" ht="14.4" hidden="1">
      <c r="A255" s="389" t="s">
        <v>256</v>
      </c>
      <c r="B255" s="416"/>
      <c r="C255" s="569" t="s">
        <v>620</v>
      </c>
      <c r="D255" s="415"/>
      <c r="E255" s="417" t="s">
        <v>24</v>
      </c>
      <c r="F255" s="415"/>
      <c r="G255" s="415" t="s">
        <v>201</v>
      </c>
      <c r="H255" s="415" t="s">
        <v>33</v>
      </c>
      <c r="I255" s="415" t="s">
        <v>164</v>
      </c>
      <c r="J255" s="390">
        <v>102809000</v>
      </c>
      <c r="K255" s="434" t="s">
        <v>40</v>
      </c>
      <c r="L255" s="421">
        <v>45764</v>
      </c>
      <c r="M255" s="391" t="s">
        <v>149</v>
      </c>
      <c r="N255" s="428"/>
    </row>
    <row r="256" spans="1:14" ht="14.4" hidden="1">
      <c r="A256" s="389" t="s">
        <v>256</v>
      </c>
      <c r="B256" s="416"/>
      <c r="C256" s="569" t="s">
        <v>621</v>
      </c>
      <c r="D256" s="415"/>
      <c r="E256" s="417" t="s">
        <v>24</v>
      </c>
      <c r="F256" s="415"/>
      <c r="G256" s="415" t="s">
        <v>201</v>
      </c>
      <c r="H256" s="415" t="s">
        <v>33</v>
      </c>
      <c r="I256" s="415" t="s">
        <v>164</v>
      </c>
      <c r="J256" s="390">
        <v>633191000</v>
      </c>
      <c r="K256" s="434" t="s">
        <v>40</v>
      </c>
      <c r="L256" s="421">
        <v>45764</v>
      </c>
      <c r="M256" s="391" t="s">
        <v>149</v>
      </c>
      <c r="N256" s="428"/>
    </row>
    <row r="257" spans="1:14" ht="14.4" hidden="1">
      <c r="A257" s="389" t="s">
        <v>256</v>
      </c>
      <c r="B257" s="416"/>
      <c r="C257" s="569" t="s">
        <v>622</v>
      </c>
      <c r="D257" s="415"/>
      <c r="E257" s="417" t="s">
        <v>24</v>
      </c>
      <c r="F257" s="415"/>
      <c r="G257" s="415" t="s">
        <v>201</v>
      </c>
      <c r="H257" s="415" t="s">
        <v>33</v>
      </c>
      <c r="I257" s="415" t="s">
        <v>164</v>
      </c>
      <c r="J257" s="424">
        <v>155988000</v>
      </c>
      <c r="K257" s="422" t="s">
        <v>40</v>
      </c>
      <c r="L257" s="421">
        <v>45764</v>
      </c>
      <c r="M257" s="391" t="s">
        <v>149</v>
      </c>
      <c r="N257" s="423"/>
    </row>
    <row r="258" spans="1:14" ht="14.4" hidden="1">
      <c r="A258" s="389" t="s">
        <v>349</v>
      </c>
      <c r="B258" s="416"/>
      <c r="C258" s="569" t="s">
        <v>623</v>
      </c>
      <c r="D258" s="415"/>
      <c r="E258" s="417" t="s">
        <v>24</v>
      </c>
      <c r="F258" s="415"/>
      <c r="G258" s="415" t="s">
        <v>25</v>
      </c>
      <c r="H258" s="415" t="s">
        <v>26</v>
      </c>
      <c r="I258" s="415" t="s">
        <v>148</v>
      </c>
      <c r="J258" s="390">
        <v>97350000</v>
      </c>
      <c r="K258" s="434" t="s">
        <v>40</v>
      </c>
      <c r="L258" s="421">
        <v>45764</v>
      </c>
      <c r="M258" s="391"/>
      <c r="N258" s="428"/>
    </row>
    <row r="259" spans="1:14" ht="14.4" hidden="1">
      <c r="A259" s="415" t="s">
        <v>624</v>
      </c>
      <c r="C259" s="568" t="s">
        <v>625</v>
      </c>
      <c r="D259" s="414"/>
      <c r="E259" s="417" t="s">
        <v>90</v>
      </c>
      <c r="F259" s="415"/>
      <c r="G259" s="415" t="s">
        <v>103</v>
      </c>
      <c r="H259" s="415" t="s">
        <v>26</v>
      </c>
      <c r="I259" s="415" t="s">
        <v>164</v>
      </c>
      <c r="J259" s="419">
        <v>50000000</v>
      </c>
      <c r="K259" s="434" t="s">
        <v>40</v>
      </c>
      <c r="L259" s="421">
        <v>45880</v>
      </c>
      <c r="M259" s="422" t="s">
        <v>149</v>
      </c>
      <c r="N259" s="423"/>
    </row>
    <row r="260" spans="1:14" ht="14.4" hidden="1">
      <c r="A260" s="389" t="s">
        <v>626</v>
      </c>
      <c r="B260" s="416"/>
      <c r="C260" s="569" t="s">
        <v>627</v>
      </c>
      <c r="D260" s="415"/>
      <c r="E260" s="417" t="s">
        <v>24</v>
      </c>
      <c r="F260" s="415"/>
      <c r="G260" s="415" t="s">
        <v>25</v>
      </c>
      <c r="H260" s="415" t="s">
        <v>26</v>
      </c>
      <c r="I260" s="415" t="s">
        <v>148</v>
      </c>
      <c r="J260" s="390">
        <v>2820000000</v>
      </c>
      <c r="K260" s="434" t="s">
        <v>40</v>
      </c>
      <c r="L260" s="421">
        <v>45756</v>
      </c>
      <c r="M260" s="391"/>
      <c r="N260" s="428"/>
    </row>
    <row r="261" spans="1:14" ht="14.4" hidden="1">
      <c r="A261" s="389" t="s">
        <v>349</v>
      </c>
      <c r="B261" s="416"/>
      <c r="C261" s="569" t="s">
        <v>628</v>
      </c>
      <c r="D261" s="415"/>
      <c r="E261" s="417" t="s">
        <v>24</v>
      </c>
      <c r="F261" s="415"/>
      <c r="G261" s="415" t="s">
        <v>25</v>
      </c>
      <c r="H261" s="415" t="s">
        <v>26</v>
      </c>
      <c r="I261" s="415" t="s">
        <v>148</v>
      </c>
      <c r="J261" s="390">
        <v>143790000</v>
      </c>
      <c r="K261" s="434" t="s">
        <v>40</v>
      </c>
      <c r="L261" s="421">
        <v>45756</v>
      </c>
      <c r="M261" s="391"/>
      <c r="N261" s="428"/>
    </row>
    <row r="262" spans="1:14" ht="14.4" hidden="1">
      <c r="A262" s="389" t="s">
        <v>629</v>
      </c>
      <c r="B262" s="416"/>
      <c r="C262" s="569" t="s">
        <v>630</v>
      </c>
      <c r="D262" s="415"/>
      <c r="E262" s="417" t="s">
        <v>24</v>
      </c>
      <c r="F262" s="415"/>
      <c r="G262" s="415" t="s">
        <v>43</v>
      </c>
      <c r="H262" s="415" t="s">
        <v>26</v>
      </c>
      <c r="I262" s="415" t="s">
        <v>164</v>
      </c>
      <c r="J262" s="390">
        <v>3550000000</v>
      </c>
      <c r="K262" s="434" t="s">
        <v>40</v>
      </c>
      <c r="L262" s="421">
        <v>45757</v>
      </c>
      <c r="M262" s="422" t="s">
        <v>149</v>
      </c>
      <c r="N262" s="423" t="s">
        <v>61</v>
      </c>
    </row>
    <row r="263" spans="1:14" ht="14.4" hidden="1">
      <c r="A263" s="389" t="s">
        <v>631</v>
      </c>
      <c r="B263" s="416"/>
      <c r="C263" s="569" t="s">
        <v>632</v>
      </c>
      <c r="D263" s="415"/>
      <c r="E263" s="417" t="s">
        <v>24</v>
      </c>
      <c r="F263" s="415"/>
      <c r="G263" s="415" t="s">
        <v>43</v>
      </c>
      <c r="H263" s="415" t="s">
        <v>33</v>
      </c>
      <c r="I263" s="415" t="s">
        <v>164</v>
      </c>
      <c r="J263" s="390">
        <v>155000000</v>
      </c>
      <c r="K263" s="434" t="s">
        <v>40</v>
      </c>
      <c r="L263" s="421">
        <v>45757</v>
      </c>
      <c r="M263" s="422" t="s">
        <v>149</v>
      </c>
      <c r="N263" s="423" t="s">
        <v>61</v>
      </c>
    </row>
    <row r="264" spans="1:14" ht="14.4" hidden="1">
      <c r="A264" s="416" t="s">
        <v>633</v>
      </c>
      <c r="B264" s="416"/>
      <c r="C264" s="568" t="s">
        <v>634</v>
      </c>
      <c r="D264" s="415"/>
      <c r="E264" s="417" t="s">
        <v>90</v>
      </c>
      <c r="F264" s="415"/>
      <c r="G264" s="415" t="s">
        <v>96</v>
      </c>
      <c r="H264" s="415" t="s">
        <v>33</v>
      </c>
      <c r="I264" s="415" t="s">
        <v>148</v>
      </c>
      <c r="J264" s="424">
        <v>1650000000</v>
      </c>
      <c r="K264" s="422" t="s">
        <v>27</v>
      </c>
      <c r="L264" s="566">
        <v>46253</v>
      </c>
      <c r="M264" s="422"/>
      <c r="N264" s="423"/>
    </row>
    <row r="265" spans="1:14" ht="14.4" hidden="1">
      <c r="A265" s="416" t="s">
        <v>635</v>
      </c>
      <c r="B265" s="416"/>
      <c r="C265" s="568" t="s">
        <v>636</v>
      </c>
      <c r="D265" s="415"/>
      <c r="E265" s="417" t="s">
        <v>90</v>
      </c>
      <c r="F265" s="415"/>
      <c r="G265" s="415" t="s">
        <v>96</v>
      </c>
      <c r="H265" s="415" t="s">
        <v>26</v>
      </c>
      <c r="I265" s="415" t="s">
        <v>148</v>
      </c>
      <c r="J265" s="424">
        <v>2650000000</v>
      </c>
      <c r="K265" s="422" t="s">
        <v>27</v>
      </c>
      <c r="L265" s="566">
        <v>46253</v>
      </c>
      <c r="M265" s="422"/>
      <c r="N265" s="423"/>
    </row>
    <row r="266" spans="1:14" ht="14.4" hidden="1">
      <c r="A266" s="389" t="s">
        <v>637</v>
      </c>
      <c r="B266" s="416"/>
      <c r="C266" s="569" t="s">
        <v>638</v>
      </c>
      <c r="D266" s="415"/>
      <c r="E266" s="417" t="s">
        <v>24</v>
      </c>
      <c r="F266" s="415"/>
      <c r="G266" s="415" t="s">
        <v>25</v>
      </c>
      <c r="H266" s="415" t="s">
        <v>26</v>
      </c>
      <c r="I266" s="415" t="s">
        <v>164</v>
      </c>
      <c r="J266" s="390">
        <v>570000000</v>
      </c>
      <c r="K266" s="434" t="s">
        <v>40</v>
      </c>
      <c r="L266" s="421">
        <v>45756</v>
      </c>
      <c r="M266" s="391"/>
      <c r="N266" s="428"/>
    </row>
    <row r="267" spans="1:14" ht="14.4" hidden="1">
      <c r="A267" s="389" t="s">
        <v>639</v>
      </c>
      <c r="C267" s="568" t="s">
        <v>33</v>
      </c>
      <c r="D267" s="414"/>
      <c r="E267" s="417" t="s">
        <v>90</v>
      </c>
      <c r="F267" s="415"/>
      <c r="G267" s="415" t="s">
        <v>103</v>
      </c>
      <c r="H267" s="415" t="s">
        <v>33</v>
      </c>
      <c r="I267" s="414" t="s">
        <v>148</v>
      </c>
      <c r="J267" s="390">
        <v>490000000</v>
      </c>
      <c r="K267" s="434" t="s">
        <v>40</v>
      </c>
      <c r="L267" s="421">
        <v>45903</v>
      </c>
      <c r="M267" s="422" t="s">
        <v>149</v>
      </c>
      <c r="N267" s="423"/>
    </row>
    <row r="268" spans="1:14" ht="14.4" hidden="1">
      <c r="A268" s="389" t="s">
        <v>640</v>
      </c>
      <c r="C268" s="568" t="s">
        <v>147</v>
      </c>
      <c r="D268" s="414"/>
      <c r="E268" s="417" t="s">
        <v>90</v>
      </c>
      <c r="F268" s="415"/>
      <c r="G268" s="415" t="s">
        <v>103</v>
      </c>
      <c r="H268" s="415" t="s">
        <v>147</v>
      </c>
      <c r="I268" s="414" t="s">
        <v>164</v>
      </c>
      <c r="J268" s="390">
        <v>117000000</v>
      </c>
      <c r="K268" s="434" t="s">
        <v>40</v>
      </c>
      <c r="L268" s="421">
        <v>45931</v>
      </c>
      <c r="M268" s="422" t="s">
        <v>149</v>
      </c>
      <c r="N268" s="423"/>
    </row>
    <row r="269" spans="1:14" ht="14.4" hidden="1">
      <c r="A269" s="389" t="s">
        <v>641</v>
      </c>
      <c r="B269" s="416"/>
      <c r="C269" s="569" t="s">
        <v>642</v>
      </c>
      <c r="D269" s="415"/>
      <c r="E269" s="417" t="s">
        <v>24</v>
      </c>
      <c r="F269" s="415"/>
      <c r="G269" s="415" t="s">
        <v>201</v>
      </c>
      <c r="H269" s="415" t="s">
        <v>33</v>
      </c>
      <c r="I269" s="415" t="s">
        <v>164</v>
      </c>
      <c r="J269" s="390">
        <v>19000000</v>
      </c>
      <c r="K269" s="434" t="s">
        <v>40</v>
      </c>
      <c r="L269" s="421">
        <v>45764</v>
      </c>
      <c r="M269" s="422" t="s">
        <v>149</v>
      </c>
      <c r="N269" s="428"/>
    </row>
    <row r="270" spans="1:14" ht="14.4" hidden="1">
      <c r="A270" s="389" t="s">
        <v>643</v>
      </c>
      <c r="C270" s="568" t="s">
        <v>33</v>
      </c>
      <c r="D270" s="414"/>
      <c r="E270" s="417" t="s">
        <v>90</v>
      </c>
      <c r="F270" s="415"/>
      <c r="G270" s="415" t="s">
        <v>103</v>
      </c>
      <c r="H270" s="415" t="s">
        <v>33</v>
      </c>
      <c r="I270" s="414" t="s">
        <v>154</v>
      </c>
      <c r="J270" s="390">
        <v>700000000</v>
      </c>
      <c r="K270" s="434" t="s">
        <v>40</v>
      </c>
      <c r="L270" s="421">
        <v>45931</v>
      </c>
      <c r="M270" s="422" t="s">
        <v>149</v>
      </c>
      <c r="N270" s="423"/>
    </row>
    <row r="271" spans="1:14" ht="14.4">
      <c r="A271" s="415" t="s">
        <v>644</v>
      </c>
      <c r="B271" s="416"/>
      <c r="C271" s="568" t="s">
        <v>645</v>
      </c>
      <c r="D271" s="415" t="s">
        <v>266</v>
      </c>
      <c r="E271" s="417" t="s">
        <v>90</v>
      </c>
      <c r="F271" s="415"/>
      <c r="G271" s="415" t="s">
        <v>227</v>
      </c>
      <c r="H271" s="415" t="s">
        <v>26</v>
      </c>
      <c r="I271" s="415" t="s">
        <v>148</v>
      </c>
      <c r="J271" s="419">
        <v>185000000</v>
      </c>
      <c r="K271" s="434" t="s">
        <v>40</v>
      </c>
      <c r="L271" s="421">
        <v>45939</v>
      </c>
      <c r="M271" s="421" t="s">
        <v>149</v>
      </c>
      <c r="N271" s="432"/>
    </row>
    <row r="272" spans="1:14" ht="14.4" hidden="1">
      <c r="A272" s="389" t="s">
        <v>503</v>
      </c>
      <c r="B272" s="416"/>
      <c r="C272" s="569" t="s">
        <v>646</v>
      </c>
      <c r="D272" s="415"/>
      <c r="E272" s="417" t="s">
        <v>24</v>
      </c>
      <c r="F272" s="415"/>
      <c r="G272" s="415" t="s">
        <v>54</v>
      </c>
      <c r="H272" s="415" t="s">
        <v>33</v>
      </c>
      <c r="I272" s="415" t="s">
        <v>164</v>
      </c>
      <c r="J272" s="390">
        <v>55000000</v>
      </c>
      <c r="K272" s="434" t="s">
        <v>40</v>
      </c>
      <c r="L272" s="421">
        <v>45765</v>
      </c>
      <c r="M272" s="391"/>
      <c r="N272" s="428" t="s">
        <v>505</v>
      </c>
    </row>
    <row r="273" spans="1:14" ht="24.6" hidden="1">
      <c r="A273" s="389" t="s">
        <v>503</v>
      </c>
      <c r="B273" s="416"/>
      <c r="C273" s="569" t="s">
        <v>647</v>
      </c>
      <c r="D273" s="415"/>
      <c r="E273" s="417" t="s">
        <v>24</v>
      </c>
      <c r="F273" s="415"/>
      <c r="G273" s="418" t="s">
        <v>54</v>
      </c>
      <c r="H273" s="415" t="s">
        <v>33</v>
      </c>
      <c r="I273" s="415" t="s">
        <v>164</v>
      </c>
      <c r="J273" s="390">
        <v>42366249.5</v>
      </c>
      <c r="K273" s="434" t="s">
        <v>40</v>
      </c>
      <c r="L273" s="421">
        <v>45765</v>
      </c>
      <c r="M273" s="391"/>
      <c r="N273" s="428" t="s">
        <v>505</v>
      </c>
    </row>
    <row r="274" spans="1:14" ht="14.4">
      <c r="A274" s="415" t="s">
        <v>648</v>
      </c>
      <c r="C274" s="568" t="s">
        <v>649</v>
      </c>
      <c r="D274" s="415" t="s">
        <v>266</v>
      </c>
      <c r="E274" s="417" t="s">
        <v>90</v>
      </c>
      <c r="F274" s="415"/>
      <c r="G274" s="418" t="s">
        <v>227</v>
      </c>
      <c r="H274" s="415" t="s">
        <v>26</v>
      </c>
      <c r="I274" s="415" t="s">
        <v>164</v>
      </c>
      <c r="J274" s="419">
        <v>210000000</v>
      </c>
      <c r="K274" s="434" t="s">
        <v>40</v>
      </c>
      <c r="L274" s="421">
        <v>45939</v>
      </c>
      <c r="M274" s="421" t="s">
        <v>149</v>
      </c>
      <c r="N274" s="432"/>
    </row>
    <row r="275" spans="1:14" ht="14.4" hidden="1">
      <c r="A275" s="415" t="s">
        <v>650</v>
      </c>
      <c r="C275" s="568" t="s">
        <v>33</v>
      </c>
      <c r="D275" s="414"/>
      <c r="E275" s="417" t="s">
        <v>90</v>
      </c>
      <c r="F275" s="415"/>
      <c r="G275" s="415" t="s">
        <v>103</v>
      </c>
      <c r="H275" s="415" t="s">
        <v>33</v>
      </c>
      <c r="I275" s="414" t="s">
        <v>148</v>
      </c>
      <c r="J275" s="419">
        <v>161010000</v>
      </c>
      <c r="K275" s="434" t="s">
        <v>40</v>
      </c>
      <c r="L275" s="421">
        <v>46107</v>
      </c>
      <c r="M275" s="422"/>
      <c r="N275" s="423"/>
    </row>
    <row r="276" spans="1:14" ht="14.4" hidden="1">
      <c r="A276" s="389" t="s">
        <v>651</v>
      </c>
      <c r="B276" s="416"/>
      <c r="C276" s="569" t="s">
        <v>652</v>
      </c>
      <c r="D276" s="415"/>
      <c r="E276" s="417" t="s">
        <v>24</v>
      </c>
      <c r="F276" s="415"/>
      <c r="G276" s="415" t="s">
        <v>201</v>
      </c>
      <c r="H276" s="415" t="s">
        <v>26</v>
      </c>
      <c r="I276" s="415" t="s">
        <v>145</v>
      </c>
      <c r="J276" s="390">
        <f>17670000+4500000</f>
        <v>22170000</v>
      </c>
      <c r="K276" s="434" t="s">
        <v>40</v>
      </c>
      <c r="L276" s="421">
        <v>45722</v>
      </c>
      <c r="M276" s="391" t="s">
        <v>149</v>
      </c>
      <c r="N276" s="428"/>
    </row>
    <row r="277" spans="1:14" ht="14.4" hidden="1">
      <c r="A277" s="389" t="s">
        <v>653</v>
      </c>
      <c r="B277" s="416"/>
      <c r="C277" s="569" t="s">
        <v>654</v>
      </c>
      <c r="D277" s="415"/>
      <c r="E277" s="417" t="s">
        <v>24</v>
      </c>
      <c r="F277" s="415"/>
      <c r="G277" s="415" t="s">
        <v>54</v>
      </c>
      <c r="H277" s="415" t="s">
        <v>26</v>
      </c>
      <c r="I277" s="415" t="s">
        <v>164</v>
      </c>
      <c r="J277" s="390">
        <v>2905673000.8899999</v>
      </c>
      <c r="K277" s="434" t="s">
        <v>40</v>
      </c>
      <c r="L277" s="421">
        <v>45735</v>
      </c>
      <c r="M277" s="391"/>
      <c r="N277" s="428"/>
    </row>
    <row r="278" spans="1:14" ht="14.4" hidden="1">
      <c r="A278" s="389" t="s">
        <v>653</v>
      </c>
      <c r="B278" s="416"/>
      <c r="C278" s="569" t="s">
        <v>655</v>
      </c>
      <c r="D278" s="415"/>
      <c r="E278" s="417" t="s">
        <v>24</v>
      </c>
      <c r="F278" s="415"/>
      <c r="G278" s="415" t="s">
        <v>54</v>
      </c>
      <c r="H278" s="415" t="s">
        <v>33</v>
      </c>
      <c r="I278" s="415" t="s">
        <v>164</v>
      </c>
      <c r="J278" s="390">
        <v>634566954.95000005</v>
      </c>
      <c r="K278" s="434" t="s">
        <v>40</v>
      </c>
      <c r="L278" s="421">
        <v>45735</v>
      </c>
      <c r="M278" s="391"/>
      <c r="N278" s="428"/>
    </row>
    <row r="279" spans="1:14" ht="14.4" hidden="1">
      <c r="A279" s="389" t="s">
        <v>656</v>
      </c>
      <c r="B279" s="416"/>
      <c r="C279" s="569" t="s">
        <v>657</v>
      </c>
      <c r="D279" s="415"/>
      <c r="E279" s="417" t="s">
        <v>24</v>
      </c>
      <c r="F279" s="415"/>
      <c r="G279" s="415" t="s">
        <v>43</v>
      </c>
      <c r="H279" s="415" t="s">
        <v>33</v>
      </c>
      <c r="I279" s="415" t="s">
        <v>164</v>
      </c>
      <c r="J279" s="390">
        <v>92758000</v>
      </c>
      <c r="K279" s="434" t="s">
        <v>40</v>
      </c>
      <c r="L279" s="421">
        <v>45727</v>
      </c>
      <c r="M279" s="422" t="s">
        <v>149</v>
      </c>
      <c r="N279" s="423" t="s">
        <v>61</v>
      </c>
    </row>
    <row r="280" spans="1:14" ht="14.4" hidden="1">
      <c r="A280" s="389" t="s">
        <v>349</v>
      </c>
      <c r="B280" s="416"/>
      <c r="C280" s="569" t="s">
        <v>658</v>
      </c>
      <c r="D280" s="415"/>
      <c r="E280" s="417" t="s">
        <v>24</v>
      </c>
      <c r="F280" s="415"/>
      <c r="G280" s="415" t="s">
        <v>25</v>
      </c>
      <c r="H280" s="415" t="s">
        <v>33</v>
      </c>
      <c r="I280" s="415" t="s">
        <v>148</v>
      </c>
      <c r="J280" s="390">
        <v>299487400</v>
      </c>
      <c r="K280" s="434" t="s">
        <v>40</v>
      </c>
      <c r="L280" s="421">
        <v>45729</v>
      </c>
      <c r="M280" s="391"/>
      <c r="N280" s="428"/>
    </row>
    <row r="281" spans="1:14" ht="14.4" hidden="1">
      <c r="A281" s="389" t="s">
        <v>659</v>
      </c>
      <c r="C281" s="569" t="s">
        <v>660</v>
      </c>
      <c r="D281" s="414"/>
      <c r="E281" s="417" t="s">
        <v>24</v>
      </c>
      <c r="F281" s="415"/>
      <c r="G281" s="415" t="s">
        <v>25</v>
      </c>
      <c r="H281" s="415" t="s">
        <v>26</v>
      </c>
      <c r="I281" s="414" t="s">
        <v>148</v>
      </c>
      <c r="J281" s="390">
        <v>80000000</v>
      </c>
      <c r="K281" s="434" t="s">
        <v>40</v>
      </c>
      <c r="L281" s="421">
        <v>45981</v>
      </c>
      <c r="M281" s="391"/>
      <c r="N281" s="428"/>
    </row>
    <row r="282" spans="1:14" ht="24.6" hidden="1">
      <c r="A282" s="389" t="s">
        <v>349</v>
      </c>
      <c r="B282" s="416"/>
      <c r="C282" s="569" t="s">
        <v>661</v>
      </c>
      <c r="D282" s="415"/>
      <c r="E282" s="417" t="s">
        <v>24</v>
      </c>
      <c r="F282" s="415"/>
      <c r="G282" s="418" t="s">
        <v>25</v>
      </c>
      <c r="H282" s="418" t="s">
        <v>26</v>
      </c>
      <c r="I282" s="415" t="s">
        <v>148</v>
      </c>
      <c r="J282" s="390">
        <v>858450000</v>
      </c>
      <c r="K282" s="434" t="s">
        <v>40</v>
      </c>
      <c r="L282" s="421">
        <v>45728</v>
      </c>
      <c r="M282" s="391"/>
      <c r="N282" s="428"/>
    </row>
    <row r="283" spans="1:14" ht="14.4" hidden="1">
      <c r="A283" s="389" t="s">
        <v>503</v>
      </c>
      <c r="B283" s="416"/>
      <c r="C283" s="569" t="s">
        <v>662</v>
      </c>
      <c r="D283" s="415"/>
      <c r="E283" s="417" t="s">
        <v>24</v>
      </c>
      <c r="F283" s="415"/>
      <c r="G283" s="415" t="s">
        <v>54</v>
      </c>
      <c r="H283" s="415" t="s">
        <v>33</v>
      </c>
      <c r="I283" s="415" t="s">
        <v>164</v>
      </c>
      <c r="J283" s="390">
        <v>55000000</v>
      </c>
      <c r="K283" s="434" t="s">
        <v>40</v>
      </c>
      <c r="L283" s="421">
        <v>45735</v>
      </c>
      <c r="M283" s="391"/>
      <c r="N283" s="428" t="s">
        <v>505</v>
      </c>
    </row>
    <row r="284" spans="1:14" ht="24.6" hidden="1">
      <c r="A284" s="389" t="s">
        <v>503</v>
      </c>
      <c r="B284" s="416"/>
      <c r="C284" s="569" t="s">
        <v>663</v>
      </c>
      <c r="D284" s="415"/>
      <c r="E284" s="417" t="s">
        <v>24</v>
      </c>
      <c r="F284" s="415"/>
      <c r="G284" s="415" t="s">
        <v>54</v>
      </c>
      <c r="H284" s="415" t="s">
        <v>33</v>
      </c>
      <c r="I284" s="415" t="s">
        <v>164</v>
      </c>
      <c r="J284" s="390">
        <v>42366249.5</v>
      </c>
      <c r="K284" s="434" t="s">
        <v>40</v>
      </c>
      <c r="L284" s="421">
        <v>45735</v>
      </c>
      <c r="M284" s="391"/>
      <c r="N284" s="428" t="s">
        <v>505</v>
      </c>
    </row>
    <row r="285" spans="1:14" ht="14.4" hidden="1">
      <c r="A285" s="415" t="s">
        <v>349</v>
      </c>
      <c r="C285" s="568" t="s">
        <v>664</v>
      </c>
      <c r="D285" s="414"/>
      <c r="E285" s="417" t="s">
        <v>24</v>
      </c>
      <c r="F285" s="415"/>
      <c r="G285" s="415" t="s">
        <v>25</v>
      </c>
      <c r="H285" s="415" t="s">
        <v>26</v>
      </c>
      <c r="I285" s="415" t="s">
        <v>148</v>
      </c>
      <c r="J285" s="419">
        <v>120000000</v>
      </c>
      <c r="K285" s="434" t="s">
        <v>40</v>
      </c>
      <c r="L285" s="421">
        <v>45728</v>
      </c>
      <c r="M285" s="422"/>
      <c r="N285" s="423"/>
    </row>
    <row r="286" spans="1:14" ht="14.4">
      <c r="A286" s="415" t="s">
        <v>665</v>
      </c>
      <c r="B286" s="416"/>
      <c r="C286" s="568" t="s">
        <v>666</v>
      </c>
      <c r="D286" s="415" t="s">
        <v>667</v>
      </c>
      <c r="E286" s="417" t="s">
        <v>90</v>
      </c>
      <c r="F286" s="415"/>
      <c r="G286" s="415" t="s">
        <v>227</v>
      </c>
      <c r="H286" s="415" t="s">
        <v>26</v>
      </c>
      <c r="I286" s="415" t="s">
        <v>148</v>
      </c>
      <c r="J286" s="419">
        <v>11950000000</v>
      </c>
      <c r="K286" s="434" t="s">
        <v>40</v>
      </c>
      <c r="L286" s="421">
        <v>46000</v>
      </c>
      <c r="M286" s="421" t="s">
        <v>149</v>
      </c>
      <c r="N286" s="432"/>
    </row>
    <row r="287" spans="1:14" ht="14.4" hidden="1">
      <c r="A287" s="389" t="s">
        <v>668</v>
      </c>
      <c r="B287" s="416"/>
      <c r="C287" s="569" t="s">
        <v>669</v>
      </c>
      <c r="D287" s="415"/>
      <c r="E287" s="417" t="s">
        <v>24</v>
      </c>
      <c r="F287" s="415"/>
      <c r="G287" s="415" t="s">
        <v>25</v>
      </c>
      <c r="H287" s="415" t="s">
        <v>26</v>
      </c>
      <c r="I287" s="415" t="s">
        <v>148</v>
      </c>
      <c r="J287" s="390">
        <v>699000000</v>
      </c>
      <c r="K287" s="434" t="s">
        <v>40</v>
      </c>
      <c r="L287" s="421">
        <v>45700</v>
      </c>
      <c r="M287" s="391"/>
      <c r="N287" s="428"/>
    </row>
    <row r="288" spans="1:14" ht="14.4" hidden="1">
      <c r="A288" s="389" t="s">
        <v>516</v>
      </c>
      <c r="B288" s="416"/>
      <c r="C288" s="569" t="s">
        <v>670</v>
      </c>
      <c r="D288" s="415"/>
      <c r="E288" s="417" t="s">
        <v>24</v>
      </c>
      <c r="F288" s="415"/>
      <c r="G288" s="415" t="s">
        <v>54</v>
      </c>
      <c r="H288" s="415" t="s">
        <v>26</v>
      </c>
      <c r="I288" s="415" t="s">
        <v>164</v>
      </c>
      <c r="J288" s="390">
        <v>57500000</v>
      </c>
      <c r="K288" s="434" t="s">
        <v>40</v>
      </c>
      <c r="L288" s="421">
        <v>45700</v>
      </c>
      <c r="M288" s="452"/>
      <c r="N288" s="428"/>
    </row>
    <row r="289" spans="1:14" ht="14.4" hidden="1">
      <c r="A289" s="415" t="s">
        <v>671</v>
      </c>
      <c r="B289" s="416"/>
      <c r="C289" s="568" t="s">
        <v>672</v>
      </c>
      <c r="D289" s="415" t="s">
        <v>266</v>
      </c>
      <c r="E289" s="417" t="s">
        <v>90</v>
      </c>
      <c r="F289" s="415"/>
      <c r="G289" s="415" t="s">
        <v>96</v>
      </c>
      <c r="H289" s="415" t="s">
        <v>26</v>
      </c>
      <c r="I289" s="415" t="s">
        <v>145</v>
      </c>
      <c r="J289" s="419">
        <v>110250000</v>
      </c>
      <c r="K289" s="434" t="s">
        <v>27</v>
      </c>
      <c r="L289" s="566">
        <v>46382</v>
      </c>
      <c r="M289" s="443"/>
      <c r="N289" s="432" t="s">
        <v>673</v>
      </c>
    </row>
    <row r="290" spans="1:14" ht="14.4" hidden="1">
      <c r="A290" s="389" t="s">
        <v>637</v>
      </c>
      <c r="B290" s="416"/>
      <c r="C290" s="569" t="s">
        <v>674</v>
      </c>
      <c r="D290" s="415"/>
      <c r="E290" s="417" t="s">
        <v>24</v>
      </c>
      <c r="F290" s="415"/>
      <c r="G290" s="415" t="s">
        <v>25</v>
      </c>
      <c r="H290" s="415" t="s">
        <v>26</v>
      </c>
      <c r="I290" s="415" t="s">
        <v>164</v>
      </c>
      <c r="J290" s="390">
        <v>3540000000</v>
      </c>
      <c r="K290" s="434" t="s">
        <v>40</v>
      </c>
      <c r="L290" s="421">
        <v>45700</v>
      </c>
      <c r="M290" s="391"/>
      <c r="N290" s="428"/>
    </row>
    <row r="291" spans="1:14" ht="14.4" hidden="1">
      <c r="A291" s="389" t="s">
        <v>675</v>
      </c>
      <c r="B291" s="416"/>
      <c r="C291" s="569" t="s">
        <v>676</v>
      </c>
      <c r="D291" s="415"/>
      <c r="E291" s="417" t="s">
        <v>24</v>
      </c>
      <c r="F291" s="415"/>
      <c r="G291" s="415" t="s">
        <v>25</v>
      </c>
      <c r="H291" s="415" t="s">
        <v>26</v>
      </c>
      <c r="I291" s="415" t="s">
        <v>154</v>
      </c>
      <c r="J291" s="390">
        <v>1320000000</v>
      </c>
      <c r="K291" s="434" t="s">
        <v>40</v>
      </c>
      <c r="L291" s="421">
        <v>45700</v>
      </c>
      <c r="M291" s="391"/>
      <c r="N291" s="428"/>
    </row>
    <row r="292" spans="1:14" ht="14.4" hidden="1">
      <c r="A292" s="389" t="s">
        <v>477</v>
      </c>
      <c r="B292" s="416"/>
      <c r="C292" s="569" t="s">
        <v>478</v>
      </c>
      <c r="D292" s="415"/>
      <c r="E292" s="417" t="s">
        <v>24</v>
      </c>
      <c r="F292" s="415"/>
      <c r="G292" s="415" t="s">
        <v>25</v>
      </c>
      <c r="H292" s="415" t="s">
        <v>26</v>
      </c>
      <c r="I292" s="415" t="s">
        <v>164</v>
      </c>
      <c r="J292" s="390">
        <v>100000000</v>
      </c>
      <c r="K292" s="434" t="s">
        <v>40</v>
      </c>
      <c r="L292" s="421">
        <v>45700</v>
      </c>
      <c r="M292" s="391"/>
      <c r="N292" s="428"/>
    </row>
    <row r="293" spans="1:14" ht="14.4" hidden="1">
      <c r="A293" s="389" t="s">
        <v>42</v>
      </c>
      <c r="B293" s="416"/>
      <c r="C293" s="569" t="s">
        <v>677</v>
      </c>
      <c r="D293" s="415"/>
      <c r="E293" s="417" t="s">
        <v>24</v>
      </c>
      <c r="F293" s="415"/>
      <c r="G293" s="415" t="s">
        <v>43</v>
      </c>
      <c r="H293" s="415" t="s">
        <v>33</v>
      </c>
      <c r="I293" s="415" t="s">
        <v>148</v>
      </c>
      <c r="J293" s="390">
        <v>35625000</v>
      </c>
      <c r="K293" s="434" t="s">
        <v>40</v>
      </c>
      <c r="L293" s="421">
        <v>45700</v>
      </c>
      <c r="M293" s="422" t="s">
        <v>149</v>
      </c>
      <c r="N293" s="423" t="s">
        <v>61</v>
      </c>
    </row>
    <row r="294" spans="1:14" ht="14.4">
      <c r="A294" s="415" t="s">
        <v>678</v>
      </c>
      <c r="B294" s="416"/>
      <c r="C294" s="568" t="s">
        <v>679</v>
      </c>
      <c r="D294" s="415" t="s">
        <v>226</v>
      </c>
      <c r="E294" s="417" t="s">
        <v>90</v>
      </c>
      <c r="F294" s="415"/>
      <c r="G294" s="415" t="s">
        <v>227</v>
      </c>
      <c r="H294" s="415" t="s">
        <v>26</v>
      </c>
      <c r="I294" s="415" t="s">
        <v>148</v>
      </c>
      <c r="J294" s="419">
        <v>1700000000</v>
      </c>
      <c r="K294" s="434" t="s">
        <v>27</v>
      </c>
      <c r="L294" s="566">
        <v>46260</v>
      </c>
      <c r="M294" s="421" t="s">
        <v>149</v>
      </c>
      <c r="N294" s="432"/>
    </row>
    <row r="295" spans="1:14" ht="14.4">
      <c r="A295" s="415" t="s">
        <v>680</v>
      </c>
      <c r="C295" s="568" t="s">
        <v>681</v>
      </c>
      <c r="D295" s="415" t="s">
        <v>266</v>
      </c>
      <c r="E295" s="417" t="s">
        <v>90</v>
      </c>
      <c r="F295" s="415"/>
      <c r="G295" s="415" t="s">
        <v>227</v>
      </c>
      <c r="H295" s="415" t="s">
        <v>26</v>
      </c>
      <c r="I295" s="415" t="s">
        <v>164</v>
      </c>
      <c r="J295" s="419">
        <v>250000000</v>
      </c>
      <c r="K295" s="434" t="s">
        <v>27</v>
      </c>
      <c r="L295" s="566">
        <v>46260</v>
      </c>
      <c r="M295" s="421" t="s">
        <v>341</v>
      </c>
      <c r="N295" s="432"/>
    </row>
    <row r="296" spans="1:14" ht="14.4">
      <c r="A296" s="415" t="s">
        <v>682</v>
      </c>
      <c r="B296" s="416"/>
      <c r="C296" s="568" t="s">
        <v>683</v>
      </c>
      <c r="D296" s="415" t="s">
        <v>266</v>
      </c>
      <c r="E296" s="417" t="s">
        <v>90</v>
      </c>
      <c r="F296" s="415"/>
      <c r="G296" s="415" t="s">
        <v>227</v>
      </c>
      <c r="H296" s="415" t="s">
        <v>26</v>
      </c>
      <c r="I296" s="415" t="s">
        <v>164</v>
      </c>
      <c r="J296" s="419">
        <v>278500000</v>
      </c>
      <c r="K296" s="434" t="s">
        <v>27</v>
      </c>
      <c r="L296" s="566">
        <v>46263</v>
      </c>
      <c r="M296" s="421" t="s">
        <v>341</v>
      </c>
      <c r="N296" s="432"/>
    </row>
    <row r="297" spans="1:14" ht="14.4">
      <c r="A297" s="415" t="s">
        <v>684</v>
      </c>
      <c r="B297" s="415"/>
      <c r="C297" s="568" t="s">
        <v>685</v>
      </c>
      <c r="D297" s="415" t="s">
        <v>361</v>
      </c>
      <c r="E297" s="417" t="s">
        <v>90</v>
      </c>
      <c r="F297" s="415"/>
      <c r="G297" s="415" t="s">
        <v>227</v>
      </c>
      <c r="H297" s="415" t="s">
        <v>26</v>
      </c>
      <c r="I297" s="415" t="s">
        <v>164</v>
      </c>
      <c r="J297" s="419">
        <v>550000000</v>
      </c>
      <c r="K297" s="434" t="s">
        <v>27</v>
      </c>
      <c r="L297" s="566">
        <v>46232</v>
      </c>
      <c r="M297" s="422"/>
      <c r="N297" s="423" t="s">
        <v>686</v>
      </c>
    </row>
    <row r="298" spans="1:14" ht="14.4">
      <c r="A298" s="415" t="s">
        <v>687</v>
      </c>
      <c r="B298" s="415"/>
      <c r="C298" s="568" t="s">
        <v>688</v>
      </c>
      <c r="D298" s="415" t="s">
        <v>226</v>
      </c>
      <c r="E298" s="417" t="s">
        <v>90</v>
      </c>
      <c r="F298" s="415"/>
      <c r="G298" s="415" t="s">
        <v>227</v>
      </c>
      <c r="H298" s="415" t="s">
        <v>26</v>
      </c>
      <c r="I298" s="415" t="s">
        <v>148</v>
      </c>
      <c r="J298" s="419">
        <v>80000000</v>
      </c>
      <c r="K298" s="434" t="s">
        <v>27</v>
      </c>
      <c r="L298" s="566">
        <v>46294</v>
      </c>
      <c r="M298" s="422"/>
      <c r="N298" s="423" t="s">
        <v>689</v>
      </c>
    </row>
    <row r="299" spans="1:14" ht="14.4">
      <c r="A299" s="415" t="s">
        <v>690</v>
      </c>
      <c r="B299" s="416"/>
      <c r="C299" s="568" t="s">
        <v>691</v>
      </c>
      <c r="D299" s="415" t="s">
        <v>266</v>
      </c>
      <c r="E299" s="417" t="s">
        <v>90</v>
      </c>
      <c r="F299" s="415"/>
      <c r="G299" s="415" t="s">
        <v>227</v>
      </c>
      <c r="H299" s="415" t="s">
        <v>26</v>
      </c>
      <c r="I299" s="415" t="s">
        <v>164</v>
      </c>
      <c r="J299" s="419">
        <v>207000000</v>
      </c>
      <c r="K299" s="434" t="s">
        <v>27</v>
      </c>
      <c r="L299" s="566">
        <v>46294</v>
      </c>
      <c r="M299" s="421"/>
      <c r="N299" s="432" t="s">
        <v>692</v>
      </c>
    </row>
    <row r="300" spans="1:14" ht="14.4">
      <c r="A300" s="415" t="s">
        <v>693</v>
      </c>
      <c r="B300" s="416"/>
      <c r="C300" s="568" t="s">
        <v>694</v>
      </c>
      <c r="D300" s="415" t="s">
        <v>263</v>
      </c>
      <c r="E300" s="417" t="s">
        <v>90</v>
      </c>
      <c r="F300" s="415"/>
      <c r="G300" s="415" t="s">
        <v>227</v>
      </c>
      <c r="H300" s="415" t="s">
        <v>26</v>
      </c>
      <c r="I300" s="415" t="s">
        <v>148</v>
      </c>
      <c r="J300" s="419">
        <v>1150000000</v>
      </c>
      <c r="K300" s="434" t="s">
        <v>27</v>
      </c>
      <c r="L300" s="566">
        <v>46232</v>
      </c>
      <c r="M300" s="421" t="s">
        <v>341</v>
      </c>
      <c r="N300" s="432"/>
    </row>
    <row r="301" spans="1:14" ht="14.4" hidden="1">
      <c r="A301" s="389" t="s">
        <v>349</v>
      </c>
      <c r="B301" s="416"/>
      <c r="C301" s="569" t="s">
        <v>695</v>
      </c>
      <c r="D301" s="415"/>
      <c r="E301" s="417" t="s">
        <v>24</v>
      </c>
      <c r="F301" s="415"/>
      <c r="G301" s="415" t="s">
        <v>25</v>
      </c>
      <c r="H301" s="415" t="s">
        <v>26</v>
      </c>
      <c r="I301" s="415" t="s">
        <v>148</v>
      </c>
      <c r="J301" s="390">
        <v>40000000</v>
      </c>
      <c r="K301" s="434" t="s">
        <v>40</v>
      </c>
      <c r="L301" s="421">
        <v>45666</v>
      </c>
      <c r="M301" s="391"/>
      <c r="N301" s="428"/>
    </row>
    <row r="302" spans="1:14" ht="14.4" hidden="1">
      <c r="A302" s="415" t="s">
        <v>696</v>
      </c>
      <c r="C302" s="568" t="s">
        <v>173</v>
      </c>
      <c r="D302" s="414"/>
      <c r="E302" s="417" t="s">
        <v>90</v>
      </c>
      <c r="F302" s="415"/>
      <c r="G302" s="415" t="s">
        <v>103</v>
      </c>
      <c r="H302" s="415" t="s">
        <v>26</v>
      </c>
      <c r="I302" s="414" t="s">
        <v>164</v>
      </c>
      <c r="J302" s="419">
        <v>92000000</v>
      </c>
      <c r="K302" s="434" t="s">
        <v>40</v>
      </c>
      <c r="L302" s="421">
        <v>46029</v>
      </c>
      <c r="M302" s="422"/>
      <c r="N302" s="423"/>
    </row>
    <row r="303" spans="1:14" ht="14.4" hidden="1">
      <c r="A303" s="415" t="s">
        <v>697</v>
      </c>
      <c r="C303" s="568" t="s">
        <v>219</v>
      </c>
      <c r="D303" s="414"/>
      <c r="E303" s="417" t="s">
        <v>90</v>
      </c>
      <c r="F303" s="415"/>
      <c r="G303" s="415" t="s">
        <v>103</v>
      </c>
      <c r="H303" s="415" t="s">
        <v>26</v>
      </c>
      <c r="I303" s="414" t="s">
        <v>164</v>
      </c>
      <c r="J303" s="419">
        <v>950000000</v>
      </c>
      <c r="K303" s="434" t="s">
        <v>94</v>
      </c>
      <c r="L303" s="566"/>
      <c r="M303" s="422"/>
      <c r="N303" s="423"/>
    </row>
    <row r="304" spans="1:14" ht="14.4" hidden="1">
      <c r="A304" s="415" t="s">
        <v>698</v>
      </c>
      <c r="B304" s="610"/>
      <c r="C304" s="568" t="s">
        <v>26</v>
      </c>
      <c r="D304" s="611"/>
      <c r="E304" s="417" t="s">
        <v>90</v>
      </c>
      <c r="F304" s="415"/>
      <c r="G304" s="415" t="s">
        <v>103</v>
      </c>
      <c r="H304" s="415" t="s">
        <v>26</v>
      </c>
      <c r="I304" s="611" t="s">
        <v>148</v>
      </c>
      <c r="J304" s="419">
        <v>1400000000</v>
      </c>
      <c r="K304" s="434" t="s">
        <v>27</v>
      </c>
      <c r="L304" s="566">
        <v>46337</v>
      </c>
      <c r="M304" s="422"/>
      <c r="N304" s="423"/>
    </row>
    <row r="305" spans="1:14" ht="14.4" hidden="1">
      <c r="A305" s="415" t="s">
        <v>699</v>
      </c>
      <c r="B305" s="415"/>
      <c r="C305" s="568" t="s">
        <v>700</v>
      </c>
      <c r="D305" s="415" t="s">
        <v>667</v>
      </c>
      <c r="E305" s="417" t="s">
        <v>90</v>
      </c>
      <c r="F305" s="415"/>
      <c r="G305" s="415" t="s">
        <v>103</v>
      </c>
      <c r="H305" s="415" t="s">
        <v>26</v>
      </c>
      <c r="I305" s="415" t="s">
        <v>164</v>
      </c>
      <c r="J305" s="419">
        <v>5000000000</v>
      </c>
      <c r="K305" s="434" t="s">
        <v>27</v>
      </c>
      <c r="L305" s="566">
        <v>46309</v>
      </c>
      <c r="M305" s="421" t="s">
        <v>149</v>
      </c>
      <c r="N305" s="423" t="s">
        <v>701</v>
      </c>
    </row>
    <row r="306" spans="1:14" ht="14.4" hidden="1">
      <c r="A306" s="389" t="s">
        <v>653</v>
      </c>
      <c r="C306" s="568" t="s">
        <v>702</v>
      </c>
      <c r="D306" s="414"/>
      <c r="E306" s="417" t="s">
        <v>24</v>
      </c>
      <c r="F306" s="415"/>
      <c r="G306" s="415" t="s">
        <v>54</v>
      </c>
      <c r="H306" s="415" t="s">
        <v>33</v>
      </c>
      <c r="I306" s="415" t="s">
        <v>164</v>
      </c>
      <c r="J306" s="424">
        <v>150000000</v>
      </c>
      <c r="K306" s="434" t="s">
        <v>40</v>
      </c>
      <c r="L306" s="421">
        <v>45911</v>
      </c>
      <c r="M306" s="421"/>
      <c r="N306" s="423"/>
    </row>
    <row r="307" spans="1:14" ht="14.4" hidden="1">
      <c r="A307" s="389" t="s">
        <v>653</v>
      </c>
      <c r="B307" s="416"/>
      <c r="C307" s="569" t="s">
        <v>703</v>
      </c>
      <c r="D307" s="415"/>
      <c r="E307" s="417" t="s">
        <v>24</v>
      </c>
      <c r="F307" s="415"/>
      <c r="G307" s="415" t="s">
        <v>54</v>
      </c>
      <c r="H307" s="415" t="s">
        <v>33</v>
      </c>
      <c r="I307" s="415" t="s">
        <v>164</v>
      </c>
      <c r="J307" s="390">
        <v>92000000</v>
      </c>
      <c r="K307" s="434" t="s">
        <v>40</v>
      </c>
      <c r="L307" s="421">
        <v>45666</v>
      </c>
      <c r="M307" s="391"/>
      <c r="N307" s="428"/>
    </row>
    <row r="308" spans="1:14" ht="14.4" hidden="1">
      <c r="A308" s="389" t="s">
        <v>704</v>
      </c>
      <c r="B308" s="416"/>
      <c r="C308" s="569" t="s">
        <v>705</v>
      </c>
      <c r="D308" s="415"/>
      <c r="E308" s="417" t="s">
        <v>24</v>
      </c>
      <c r="F308" s="415"/>
      <c r="G308" s="415" t="s">
        <v>43</v>
      </c>
      <c r="H308" s="415" t="s">
        <v>26</v>
      </c>
      <c r="I308" s="415" t="s">
        <v>154</v>
      </c>
      <c r="J308" s="390">
        <v>770000000.0999999</v>
      </c>
      <c r="K308" s="434" t="s">
        <v>40</v>
      </c>
      <c r="L308" s="421">
        <v>45673</v>
      </c>
      <c r="M308" s="422" t="s">
        <v>149</v>
      </c>
      <c r="N308" s="423" t="s">
        <v>61</v>
      </c>
    </row>
    <row r="309" spans="1:14" ht="14.4" hidden="1">
      <c r="A309" s="389" t="s">
        <v>631</v>
      </c>
      <c r="B309" s="416"/>
      <c r="C309" s="569" t="s">
        <v>706</v>
      </c>
      <c r="D309" s="415"/>
      <c r="E309" s="417" t="s">
        <v>24</v>
      </c>
      <c r="F309" s="415"/>
      <c r="G309" s="415" t="s">
        <v>43</v>
      </c>
      <c r="H309" s="415" t="s">
        <v>26</v>
      </c>
      <c r="I309" s="415" t="s">
        <v>164</v>
      </c>
      <c r="J309" s="390">
        <v>1140000000</v>
      </c>
      <c r="K309" s="434" t="s">
        <v>40</v>
      </c>
      <c r="L309" s="421">
        <v>45637</v>
      </c>
      <c r="M309" s="422" t="s">
        <v>149</v>
      </c>
      <c r="N309" s="423" t="s">
        <v>61</v>
      </c>
    </row>
    <row r="310" spans="1:14" ht="14.4" hidden="1">
      <c r="A310" s="389" t="s">
        <v>631</v>
      </c>
      <c r="B310" s="416"/>
      <c r="C310" s="569" t="s">
        <v>706</v>
      </c>
      <c r="D310" s="415"/>
      <c r="E310" s="417" t="s">
        <v>24</v>
      </c>
      <c r="F310" s="415"/>
      <c r="G310" s="415" t="s">
        <v>43</v>
      </c>
      <c r="H310" s="415" t="s">
        <v>26</v>
      </c>
      <c r="I310" s="415" t="s">
        <v>164</v>
      </c>
      <c r="J310" s="390">
        <v>814000000</v>
      </c>
      <c r="K310" s="434" t="s">
        <v>40</v>
      </c>
      <c r="L310" s="421">
        <v>45637</v>
      </c>
      <c r="M310" s="422" t="s">
        <v>149</v>
      </c>
      <c r="N310" s="423" t="s">
        <v>61</v>
      </c>
    </row>
    <row r="311" spans="1:14" ht="14.4" hidden="1">
      <c r="A311" s="389" t="s">
        <v>631</v>
      </c>
      <c r="B311" s="416"/>
      <c r="C311" s="569" t="s">
        <v>707</v>
      </c>
      <c r="D311" s="415"/>
      <c r="E311" s="417" t="s">
        <v>24</v>
      </c>
      <c r="F311" s="415"/>
      <c r="G311" s="415" t="s">
        <v>43</v>
      </c>
      <c r="H311" s="415" t="s">
        <v>33</v>
      </c>
      <c r="I311" s="415" t="s">
        <v>164</v>
      </c>
      <c r="J311" s="390">
        <v>756000000</v>
      </c>
      <c r="K311" s="434" t="s">
        <v>40</v>
      </c>
      <c r="L311" s="421">
        <v>45637</v>
      </c>
      <c r="M311" s="422" t="s">
        <v>149</v>
      </c>
      <c r="N311" s="423" t="s">
        <v>61</v>
      </c>
    </row>
    <row r="312" spans="1:14" ht="14.4" hidden="1">
      <c r="A312" s="416" t="s">
        <v>708</v>
      </c>
      <c r="B312" s="416"/>
      <c r="C312" s="568" t="s">
        <v>709</v>
      </c>
      <c r="D312" s="415"/>
      <c r="E312" s="417" t="s">
        <v>24</v>
      </c>
      <c r="F312" s="415"/>
      <c r="G312" s="415" t="s">
        <v>43</v>
      </c>
      <c r="H312" s="415" t="s">
        <v>26</v>
      </c>
      <c r="I312" s="415" t="s">
        <v>164</v>
      </c>
      <c r="J312" s="424">
        <v>5000000000</v>
      </c>
      <c r="K312" s="422" t="s">
        <v>340</v>
      </c>
      <c r="L312" s="421"/>
      <c r="M312" s="422"/>
      <c r="N312" s="432" t="s">
        <v>492</v>
      </c>
    </row>
    <row r="313" spans="1:14" ht="14.4" hidden="1">
      <c r="A313" s="389" t="s">
        <v>710</v>
      </c>
      <c r="B313" s="416"/>
      <c r="C313" s="569" t="s">
        <v>711</v>
      </c>
      <c r="D313" s="415"/>
      <c r="E313" s="417" t="s">
        <v>24</v>
      </c>
      <c r="F313" s="415"/>
      <c r="G313" s="415" t="s">
        <v>201</v>
      </c>
      <c r="H313" s="415" t="s">
        <v>26</v>
      </c>
      <c r="I313" s="415" t="s">
        <v>148</v>
      </c>
      <c r="J313" s="390">
        <v>81845000</v>
      </c>
      <c r="K313" s="434" t="s">
        <v>40</v>
      </c>
      <c r="L313" s="421">
        <v>45638</v>
      </c>
      <c r="M313" s="422" t="s">
        <v>149</v>
      </c>
      <c r="N313" s="428"/>
    </row>
    <row r="314" spans="1:14" ht="14.4" hidden="1">
      <c r="A314" s="389" t="s">
        <v>179</v>
      </c>
      <c r="B314" s="416"/>
      <c r="C314" s="569" t="s">
        <v>712</v>
      </c>
      <c r="D314" s="415"/>
      <c r="E314" s="417" t="s">
        <v>24</v>
      </c>
      <c r="F314" s="415"/>
      <c r="G314" s="415" t="s">
        <v>25</v>
      </c>
      <c r="H314" s="415" t="s">
        <v>33</v>
      </c>
      <c r="I314" s="415" t="s">
        <v>154</v>
      </c>
      <c r="J314" s="390">
        <v>14650000</v>
      </c>
      <c r="K314" s="434" t="s">
        <v>40</v>
      </c>
      <c r="L314" s="421">
        <v>45611</v>
      </c>
      <c r="M314" s="391"/>
      <c r="N314" s="428"/>
    </row>
    <row r="315" spans="1:14" ht="14.4" hidden="1">
      <c r="A315" s="415" t="s">
        <v>713</v>
      </c>
      <c r="B315" s="610"/>
      <c r="C315" s="568" t="s">
        <v>26</v>
      </c>
      <c r="D315" s="611"/>
      <c r="E315" s="417" t="s">
        <v>90</v>
      </c>
      <c r="F315" s="415"/>
      <c r="G315" s="415" t="s">
        <v>103</v>
      </c>
      <c r="H315" s="415" t="s">
        <v>26</v>
      </c>
      <c r="I315" s="611" t="s">
        <v>164</v>
      </c>
      <c r="J315" s="419">
        <v>3000000000</v>
      </c>
      <c r="K315" s="434" t="s">
        <v>27</v>
      </c>
      <c r="L315" s="566">
        <v>46415</v>
      </c>
      <c r="M315" s="422"/>
      <c r="N315" s="423"/>
    </row>
    <row r="316" spans="1:14" ht="14.4" hidden="1">
      <c r="A316" s="389" t="s">
        <v>714</v>
      </c>
      <c r="B316" s="416"/>
      <c r="C316" s="569" t="s">
        <v>715</v>
      </c>
      <c r="D316" s="415"/>
      <c r="E316" s="417" t="s">
        <v>24</v>
      </c>
      <c r="F316" s="415"/>
      <c r="G316" s="415" t="s">
        <v>54</v>
      </c>
      <c r="H316" s="415" t="s">
        <v>26</v>
      </c>
      <c r="I316" s="415" t="s">
        <v>164</v>
      </c>
      <c r="J316" s="390">
        <v>170000000</v>
      </c>
      <c r="K316" s="434" t="s">
        <v>40</v>
      </c>
      <c r="L316" s="421">
        <v>45515</v>
      </c>
      <c r="M316" s="391"/>
      <c r="N316" s="428"/>
    </row>
    <row r="317" spans="1:14" ht="14.4" hidden="1">
      <c r="A317" s="389" t="s">
        <v>714</v>
      </c>
      <c r="B317" s="416"/>
      <c r="C317" s="569" t="s">
        <v>715</v>
      </c>
      <c r="D317" s="415"/>
      <c r="E317" s="417" t="s">
        <v>24</v>
      </c>
      <c r="F317" s="415"/>
      <c r="G317" s="415" t="s">
        <v>54</v>
      </c>
      <c r="H317" s="415" t="s">
        <v>26</v>
      </c>
      <c r="I317" s="415" t="s">
        <v>164</v>
      </c>
      <c r="J317" s="390">
        <v>305000000</v>
      </c>
      <c r="K317" s="434" t="s">
        <v>40</v>
      </c>
      <c r="L317" s="421">
        <v>45515</v>
      </c>
      <c r="M317" s="391"/>
      <c r="N317" s="428"/>
    </row>
    <row r="318" spans="1:14" ht="14.4" hidden="1">
      <c r="A318" s="389" t="s">
        <v>714</v>
      </c>
      <c r="B318" s="416"/>
      <c r="C318" s="569" t="s">
        <v>715</v>
      </c>
      <c r="D318" s="415"/>
      <c r="E318" s="417" t="s">
        <v>24</v>
      </c>
      <c r="F318" s="415"/>
      <c r="G318" s="415" t="s">
        <v>54</v>
      </c>
      <c r="H318" s="415" t="s">
        <v>26</v>
      </c>
      <c r="I318" s="415" t="s">
        <v>164</v>
      </c>
      <c r="J318" s="390">
        <v>1087045200</v>
      </c>
      <c r="K318" s="434" t="s">
        <v>40</v>
      </c>
      <c r="L318" s="421">
        <v>45515</v>
      </c>
      <c r="M318" s="391"/>
      <c r="N318" s="428"/>
    </row>
    <row r="319" spans="1:14" ht="14.4" hidden="1">
      <c r="A319" s="389" t="s">
        <v>146</v>
      </c>
      <c r="C319" s="569" t="s">
        <v>716</v>
      </c>
      <c r="D319" s="414"/>
      <c r="E319" s="417" t="s">
        <v>24</v>
      </c>
      <c r="F319" s="415"/>
      <c r="G319" s="415" t="s">
        <v>25</v>
      </c>
      <c r="H319" s="415" t="s">
        <v>33</v>
      </c>
      <c r="I319" s="414" t="s">
        <v>148</v>
      </c>
      <c r="J319" s="390">
        <v>11400000</v>
      </c>
      <c r="K319" s="434" t="s">
        <v>40</v>
      </c>
      <c r="L319" s="421">
        <v>46129</v>
      </c>
      <c r="M319" s="391"/>
      <c r="N319" s="428"/>
    </row>
    <row r="320" spans="1:14" ht="14.4" hidden="1">
      <c r="A320" s="389" t="s">
        <v>146</v>
      </c>
      <c r="B320" s="347" t="s">
        <v>717</v>
      </c>
      <c r="C320" s="569"/>
      <c r="D320" s="414"/>
      <c r="E320" s="417" t="s">
        <v>24</v>
      </c>
      <c r="F320" s="415"/>
      <c r="G320" s="415" t="s">
        <v>25</v>
      </c>
      <c r="H320" s="415" t="s">
        <v>33</v>
      </c>
      <c r="I320" s="414" t="s">
        <v>148</v>
      </c>
      <c r="J320" s="390">
        <v>23965000</v>
      </c>
      <c r="K320" s="434" t="s">
        <v>40</v>
      </c>
      <c r="L320" s="421">
        <v>46128</v>
      </c>
      <c r="M320" s="391"/>
      <c r="N320" s="412"/>
    </row>
    <row r="321" spans="1:14" ht="14.4" hidden="1">
      <c r="A321" s="389" t="s">
        <v>146</v>
      </c>
      <c r="B321" s="347" t="s">
        <v>718</v>
      </c>
      <c r="C321" s="569"/>
      <c r="D321" s="414"/>
      <c r="E321" s="417" t="s">
        <v>24</v>
      </c>
      <c r="F321" s="415"/>
      <c r="G321" s="415" t="s">
        <v>25</v>
      </c>
      <c r="H321" s="415" t="s">
        <v>33</v>
      </c>
      <c r="I321" s="414" t="s">
        <v>148</v>
      </c>
      <c r="J321" s="390">
        <v>23965000</v>
      </c>
      <c r="K321" s="434" t="s">
        <v>40</v>
      </c>
      <c r="L321" s="421">
        <v>46168</v>
      </c>
      <c r="M321" s="391"/>
      <c r="N321" s="412"/>
    </row>
    <row r="322" spans="1:14" ht="14.4" hidden="1">
      <c r="A322" s="389" t="s">
        <v>146</v>
      </c>
      <c r="C322" s="569" t="s">
        <v>719</v>
      </c>
      <c r="D322" s="414"/>
      <c r="E322" s="417" t="s">
        <v>24</v>
      </c>
      <c r="F322" s="415"/>
      <c r="G322" s="415" t="s">
        <v>25</v>
      </c>
      <c r="H322" s="415" t="s">
        <v>33</v>
      </c>
      <c r="I322" s="414" t="s">
        <v>148</v>
      </c>
      <c r="J322" s="390">
        <v>1551708000</v>
      </c>
      <c r="K322" s="434" t="s">
        <v>40</v>
      </c>
      <c r="L322" s="421">
        <v>46100</v>
      </c>
      <c r="M322" s="422" t="s">
        <v>149</v>
      </c>
      <c r="N322" s="448" t="s">
        <v>61</v>
      </c>
    </row>
    <row r="323" spans="1:14" ht="14.4" hidden="1">
      <c r="A323" s="389" t="s">
        <v>146</v>
      </c>
      <c r="B323" s="347" t="s">
        <v>720</v>
      </c>
      <c r="C323" s="569" t="s">
        <v>720</v>
      </c>
      <c r="D323" s="414"/>
      <c r="E323" s="417" t="s">
        <v>24</v>
      </c>
      <c r="F323" s="415"/>
      <c r="G323" s="415" t="s">
        <v>25</v>
      </c>
      <c r="H323" s="415" t="s">
        <v>26</v>
      </c>
      <c r="I323" s="414" t="s">
        <v>148</v>
      </c>
      <c r="J323" s="390">
        <f>18290000+45435000+16224766</f>
        <v>79949766</v>
      </c>
      <c r="K323" s="434" t="s">
        <v>40</v>
      </c>
      <c r="L323" s="421">
        <v>46130</v>
      </c>
      <c r="M323" s="422" t="s">
        <v>149</v>
      </c>
      <c r="N323" s="448" t="s">
        <v>61</v>
      </c>
    </row>
    <row r="324" spans="1:14" ht="14.4" hidden="1">
      <c r="A324" s="389" t="s">
        <v>146</v>
      </c>
      <c r="B324" s="347" t="s">
        <v>721</v>
      </c>
      <c r="C324" s="569" t="s">
        <v>722</v>
      </c>
      <c r="D324" s="414"/>
      <c r="E324" s="417" t="s">
        <v>24</v>
      </c>
      <c r="F324" s="415"/>
      <c r="G324" s="415" t="s">
        <v>25</v>
      </c>
      <c r="H324" s="415" t="s">
        <v>33</v>
      </c>
      <c r="I324" s="414" t="s">
        <v>148</v>
      </c>
      <c r="J324" s="390">
        <v>3500000</v>
      </c>
      <c r="K324" s="434" t="s">
        <v>40</v>
      </c>
      <c r="L324" s="421">
        <v>46162</v>
      </c>
      <c r="M324" s="422" t="s">
        <v>149</v>
      </c>
      <c r="N324" s="448" t="s">
        <v>61</v>
      </c>
    </row>
    <row r="325" spans="1:14" ht="14.4" hidden="1">
      <c r="A325" s="389" t="s">
        <v>146</v>
      </c>
      <c r="C325" s="569" t="s">
        <v>723</v>
      </c>
      <c r="D325" s="414"/>
      <c r="E325" s="417" t="s">
        <v>24</v>
      </c>
      <c r="F325" s="415"/>
      <c r="G325" s="415" t="s">
        <v>25</v>
      </c>
      <c r="H325" s="415" t="s">
        <v>33</v>
      </c>
      <c r="I325" s="414" t="s">
        <v>148</v>
      </c>
      <c r="J325" s="390">
        <v>14225000</v>
      </c>
      <c r="K325" s="434" t="s">
        <v>40</v>
      </c>
      <c r="L325" s="421">
        <v>46149</v>
      </c>
      <c r="M325" s="422" t="s">
        <v>149</v>
      </c>
      <c r="N325" s="448" t="s">
        <v>61</v>
      </c>
    </row>
    <row r="326" spans="1:14" ht="14.4" hidden="1">
      <c r="A326" s="416" t="s">
        <v>724</v>
      </c>
      <c r="B326" s="416" t="s">
        <v>724</v>
      </c>
      <c r="C326" s="571" t="s">
        <v>724</v>
      </c>
      <c r="D326" s="415" t="s">
        <v>321</v>
      </c>
      <c r="E326" s="417" t="s">
        <v>24</v>
      </c>
      <c r="F326" s="415"/>
      <c r="G326" s="415" t="s">
        <v>25</v>
      </c>
      <c r="H326" s="373" t="s">
        <v>26</v>
      </c>
      <c r="I326" s="415" t="s">
        <v>148</v>
      </c>
      <c r="J326" s="424">
        <v>3000000000</v>
      </c>
      <c r="K326" s="434" t="s">
        <v>40</v>
      </c>
      <c r="L326" s="421">
        <v>46127</v>
      </c>
      <c r="M326" s="422" t="s">
        <v>149</v>
      </c>
      <c r="N326" s="432" t="s">
        <v>61</v>
      </c>
    </row>
    <row r="327" spans="1:14" ht="24.6" hidden="1">
      <c r="A327" s="389" t="s">
        <v>579</v>
      </c>
      <c r="B327" s="416"/>
      <c r="C327" s="569" t="s">
        <v>725</v>
      </c>
      <c r="D327" s="415"/>
      <c r="E327" s="417" t="s">
        <v>24</v>
      </c>
      <c r="F327" s="415"/>
      <c r="G327" s="415" t="s">
        <v>43</v>
      </c>
      <c r="H327" s="415" t="s">
        <v>33</v>
      </c>
      <c r="I327" s="415" t="s">
        <v>164</v>
      </c>
      <c r="J327" s="390">
        <v>97869132.619999886</v>
      </c>
      <c r="K327" s="434" t="s">
        <v>40</v>
      </c>
      <c r="L327" s="421">
        <v>45484</v>
      </c>
      <c r="M327" s="422" t="s">
        <v>149</v>
      </c>
      <c r="N327" s="423" t="s">
        <v>61</v>
      </c>
    </row>
    <row r="328" spans="1:14" ht="14.4">
      <c r="A328" s="415" t="s">
        <v>726</v>
      </c>
      <c r="B328" s="416"/>
      <c r="C328" s="568" t="s">
        <v>727</v>
      </c>
      <c r="D328" s="415" t="s">
        <v>226</v>
      </c>
      <c r="E328" s="417" t="s">
        <v>90</v>
      </c>
      <c r="F328" s="415"/>
      <c r="G328" s="415" t="s">
        <v>227</v>
      </c>
      <c r="H328" s="415" t="s">
        <v>26</v>
      </c>
      <c r="I328" s="415" t="s">
        <v>148</v>
      </c>
      <c r="J328" s="419">
        <v>14000000</v>
      </c>
      <c r="K328" s="434" t="s">
        <v>27</v>
      </c>
      <c r="L328" s="566">
        <v>46294</v>
      </c>
      <c r="M328" s="421"/>
      <c r="N328" s="432"/>
    </row>
    <row r="329" spans="1:14" ht="14.4" hidden="1">
      <c r="A329" s="389" t="s">
        <v>529</v>
      </c>
      <c r="C329" s="569" t="s">
        <v>728</v>
      </c>
      <c r="D329" s="414"/>
      <c r="E329" s="417" t="s">
        <v>90</v>
      </c>
      <c r="F329" s="415"/>
      <c r="G329" s="415" t="s">
        <v>96</v>
      </c>
      <c r="H329" s="415" t="s">
        <v>26</v>
      </c>
      <c r="I329" s="415" t="s">
        <v>145</v>
      </c>
      <c r="J329" s="390">
        <v>330000000</v>
      </c>
      <c r="K329" s="434" t="s">
        <v>40</v>
      </c>
      <c r="L329" s="421">
        <v>45939</v>
      </c>
      <c r="M329" s="391" t="s">
        <v>149</v>
      </c>
      <c r="N329" s="428"/>
    </row>
    <row r="330" spans="1:14" ht="14.4" hidden="1">
      <c r="A330" s="415" t="s">
        <v>729</v>
      </c>
      <c r="B330" s="610"/>
      <c r="C330" s="568" t="s">
        <v>33</v>
      </c>
      <c r="D330" s="611"/>
      <c r="E330" s="417" t="s">
        <v>90</v>
      </c>
      <c r="F330" s="415"/>
      <c r="G330" s="415" t="s">
        <v>103</v>
      </c>
      <c r="H330" s="415" t="s">
        <v>33</v>
      </c>
      <c r="I330" s="611" t="s">
        <v>145</v>
      </c>
      <c r="J330" s="419">
        <v>687000000</v>
      </c>
      <c r="K330" s="434" t="s">
        <v>27</v>
      </c>
      <c r="L330" s="566">
        <v>46248</v>
      </c>
      <c r="M330" s="422"/>
      <c r="N330" s="423"/>
    </row>
    <row r="331" spans="1:14" ht="14.4">
      <c r="A331" s="415" t="s">
        <v>730</v>
      </c>
      <c r="B331" s="416"/>
      <c r="C331" s="568" t="s">
        <v>731</v>
      </c>
      <c r="D331" s="415" t="s">
        <v>266</v>
      </c>
      <c r="E331" s="417" t="s">
        <v>90</v>
      </c>
      <c r="F331" s="415"/>
      <c r="G331" s="415" t="s">
        <v>227</v>
      </c>
      <c r="H331" s="415" t="s">
        <v>33</v>
      </c>
      <c r="I331" s="415" t="s">
        <v>164</v>
      </c>
      <c r="J331" s="419">
        <v>3000000000</v>
      </c>
      <c r="K331" s="434" t="s">
        <v>27</v>
      </c>
      <c r="L331" s="566">
        <v>46291</v>
      </c>
      <c r="M331" s="421" t="s">
        <v>149</v>
      </c>
      <c r="N331" s="432"/>
    </row>
    <row r="332" spans="1:14" ht="14.4" hidden="1">
      <c r="A332" s="415" t="s">
        <v>732</v>
      </c>
      <c r="C332" s="568" t="s">
        <v>733</v>
      </c>
      <c r="D332" s="414"/>
      <c r="E332" s="417" t="s">
        <v>24</v>
      </c>
      <c r="F332" s="415"/>
      <c r="G332" s="415" t="s">
        <v>204</v>
      </c>
      <c r="H332" s="415" t="s">
        <v>33</v>
      </c>
      <c r="I332" s="414" t="s">
        <v>145</v>
      </c>
      <c r="J332" s="419">
        <v>146000000</v>
      </c>
      <c r="K332" s="434" t="s">
        <v>40</v>
      </c>
      <c r="L332" s="566">
        <v>46146</v>
      </c>
      <c r="M332" s="421" t="s">
        <v>149</v>
      </c>
      <c r="N332" s="432"/>
    </row>
    <row r="333" spans="1:14" ht="14.4">
      <c r="A333" s="415" t="s">
        <v>730</v>
      </c>
      <c r="B333" s="416"/>
      <c r="C333" s="568" t="s">
        <v>734</v>
      </c>
      <c r="D333" s="415" t="s">
        <v>266</v>
      </c>
      <c r="E333" s="417" t="s">
        <v>90</v>
      </c>
      <c r="F333" s="415"/>
      <c r="G333" s="415" t="s">
        <v>227</v>
      </c>
      <c r="H333" s="415" t="s">
        <v>33</v>
      </c>
      <c r="I333" s="415" t="s">
        <v>164</v>
      </c>
      <c r="J333" s="419">
        <v>687000000</v>
      </c>
      <c r="K333" s="434" t="s">
        <v>40</v>
      </c>
      <c r="L333" s="421">
        <v>46064</v>
      </c>
      <c r="M333" s="421" t="s">
        <v>149</v>
      </c>
      <c r="N333" s="432"/>
    </row>
    <row r="334" spans="1:14" ht="14.4">
      <c r="A334" s="415" t="s">
        <v>735</v>
      </c>
      <c r="B334" s="415"/>
      <c r="C334" s="568" t="s">
        <v>736</v>
      </c>
      <c r="D334" s="415" t="s">
        <v>361</v>
      </c>
      <c r="E334" s="417" t="s">
        <v>90</v>
      </c>
      <c r="F334" s="415"/>
      <c r="G334" s="415" t="s">
        <v>227</v>
      </c>
      <c r="H334" s="415" t="s">
        <v>26</v>
      </c>
      <c r="I334" s="415" t="s">
        <v>164</v>
      </c>
      <c r="J334" s="419">
        <v>1600000000</v>
      </c>
      <c r="K334" s="434" t="s">
        <v>40</v>
      </c>
      <c r="L334" s="566">
        <v>46199</v>
      </c>
      <c r="M334" s="422" t="s">
        <v>149</v>
      </c>
      <c r="N334" s="423"/>
    </row>
    <row r="335" spans="1:14" ht="14.4">
      <c r="A335" s="415" t="s">
        <v>737</v>
      </c>
      <c r="B335" s="416"/>
      <c r="C335" s="568" t="s">
        <v>738</v>
      </c>
      <c r="D335" s="415" t="s">
        <v>321</v>
      </c>
      <c r="E335" s="417" t="s">
        <v>90</v>
      </c>
      <c r="F335" s="415"/>
      <c r="G335" s="418" t="s">
        <v>227</v>
      </c>
      <c r="H335" s="418" t="s">
        <v>26</v>
      </c>
      <c r="I335" s="415" t="s">
        <v>148</v>
      </c>
      <c r="J335" s="419">
        <f>3400000000*2</f>
        <v>6800000000</v>
      </c>
      <c r="K335" s="434" t="s">
        <v>27</v>
      </c>
      <c r="L335" s="566">
        <v>46229</v>
      </c>
      <c r="M335" s="421" t="s">
        <v>149</v>
      </c>
      <c r="N335" s="432"/>
    </row>
    <row r="336" spans="1:14" ht="14.4" hidden="1">
      <c r="A336" s="415" t="s">
        <v>739</v>
      </c>
      <c r="B336" s="416"/>
      <c r="C336" s="575" t="s">
        <v>740</v>
      </c>
      <c r="D336" s="415"/>
      <c r="E336" s="417" t="s">
        <v>90</v>
      </c>
      <c r="F336" s="415"/>
      <c r="G336" s="418" t="s">
        <v>96</v>
      </c>
      <c r="H336" s="418" t="s">
        <v>26</v>
      </c>
      <c r="I336" s="415" t="s">
        <v>164</v>
      </c>
      <c r="J336" s="424">
        <v>1049000000</v>
      </c>
      <c r="K336" s="422" t="s">
        <v>27</v>
      </c>
      <c r="L336" s="566">
        <v>46260</v>
      </c>
      <c r="M336" s="421"/>
      <c r="N336" s="423" t="s">
        <v>741</v>
      </c>
    </row>
    <row r="337" spans="1:14" ht="14.4" hidden="1">
      <c r="A337" s="415" t="s">
        <v>742</v>
      </c>
      <c r="B337" s="416"/>
      <c r="C337" s="568" t="s">
        <v>743</v>
      </c>
      <c r="D337" s="415"/>
      <c r="E337" s="417" t="s">
        <v>90</v>
      </c>
      <c r="F337" s="415"/>
      <c r="G337" s="418" t="s">
        <v>96</v>
      </c>
      <c r="H337" s="418" t="s">
        <v>26</v>
      </c>
      <c r="I337" s="415" t="s">
        <v>148</v>
      </c>
      <c r="J337" s="419">
        <v>416158000</v>
      </c>
      <c r="K337" s="434" t="s">
        <v>27</v>
      </c>
      <c r="L337" s="566">
        <v>46276</v>
      </c>
      <c r="M337" s="426"/>
      <c r="N337" s="432" t="s">
        <v>744</v>
      </c>
    </row>
    <row r="338" spans="1:14" ht="14.4">
      <c r="A338" s="415" t="s">
        <v>745</v>
      </c>
      <c r="B338" s="416"/>
      <c r="C338" s="568" t="s">
        <v>746</v>
      </c>
      <c r="D338" s="415" t="s">
        <v>263</v>
      </c>
      <c r="E338" s="417" t="s">
        <v>90</v>
      </c>
      <c r="F338" s="415"/>
      <c r="G338" s="418" t="s">
        <v>227</v>
      </c>
      <c r="H338" s="418" t="s">
        <v>26</v>
      </c>
      <c r="I338" s="415" t="s">
        <v>148</v>
      </c>
      <c r="J338" s="419">
        <v>2020000000</v>
      </c>
      <c r="K338" s="434" t="s">
        <v>27</v>
      </c>
      <c r="L338" s="566">
        <v>46213</v>
      </c>
      <c r="M338" s="421"/>
      <c r="N338" s="432"/>
    </row>
    <row r="339" spans="1:14" ht="14.4">
      <c r="A339" s="415" t="s">
        <v>747</v>
      </c>
      <c r="C339" s="568" t="s">
        <v>748</v>
      </c>
      <c r="D339" s="414"/>
      <c r="E339" s="417" t="s">
        <v>90</v>
      </c>
      <c r="F339" s="415"/>
      <c r="G339" s="415" t="s">
        <v>227</v>
      </c>
      <c r="H339" s="415" t="s">
        <v>26</v>
      </c>
      <c r="I339" s="373" t="s">
        <v>148</v>
      </c>
      <c r="J339" s="419">
        <v>498000000</v>
      </c>
      <c r="K339" s="434" t="s">
        <v>40</v>
      </c>
      <c r="L339" s="566">
        <v>46138</v>
      </c>
      <c r="M339" s="421" t="s">
        <v>149</v>
      </c>
      <c r="N339" s="432"/>
    </row>
    <row r="340" spans="1:14" ht="14.4">
      <c r="A340" s="415" t="s">
        <v>749</v>
      </c>
      <c r="C340" s="568" t="s">
        <v>750</v>
      </c>
      <c r="D340" s="415" t="s">
        <v>253</v>
      </c>
      <c r="E340" s="417" t="s">
        <v>90</v>
      </c>
      <c r="F340" s="415"/>
      <c r="G340" s="415" t="s">
        <v>227</v>
      </c>
      <c r="H340" s="415" t="s">
        <v>26</v>
      </c>
      <c r="I340" s="415" t="s">
        <v>164</v>
      </c>
      <c r="J340" s="419">
        <v>160000000</v>
      </c>
      <c r="K340" s="434" t="s">
        <v>27</v>
      </c>
      <c r="L340" s="566">
        <v>46303</v>
      </c>
      <c r="M340" s="421"/>
      <c r="N340" s="432"/>
    </row>
    <row r="341" spans="1:14" ht="14.4">
      <c r="A341" s="415" t="s">
        <v>751</v>
      </c>
      <c r="C341" s="568" t="s">
        <v>752</v>
      </c>
      <c r="D341" s="415" t="s">
        <v>753</v>
      </c>
      <c r="E341" s="417" t="s">
        <v>90</v>
      </c>
      <c r="F341" s="415"/>
      <c r="G341" s="415" t="s">
        <v>227</v>
      </c>
      <c r="H341" s="415" t="s">
        <v>26</v>
      </c>
      <c r="I341" s="415" t="s">
        <v>164</v>
      </c>
      <c r="J341" s="419">
        <v>19200000</v>
      </c>
      <c r="K341" s="434" t="s">
        <v>40</v>
      </c>
      <c r="L341" s="566">
        <v>46181</v>
      </c>
      <c r="M341" s="421" t="s">
        <v>149</v>
      </c>
      <c r="N341" s="432"/>
    </row>
    <row r="342" spans="1:14" ht="14.4">
      <c r="A342" s="415" t="s">
        <v>754</v>
      </c>
      <c r="C342" s="568" t="s">
        <v>755</v>
      </c>
      <c r="D342" s="415" t="s">
        <v>266</v>
      </c>
      <c r="E342" s="417" t="s">
        <v>90</v>
      </c>
      <c r="F342" s="415"/>
      <c r="G342" s="415" t="s">
        <v>227</v>
      </c>
      <c r="H342" s="415" t="s">
        <v>26</v>
      </c>
      <c r="I342" s="415" t="s">
        <v>164</v>
      </c>
      <c r="J342" s="419">
        <v>110000000</v>
      </c>
      <c r="K342" s="434" t="s">
        <v>27</v>
      </c>
      <c r="L342" s="566">
        <v>46245</v>
      </c>
      <c r="M342" s="421" t="s">
        <v>341</v>
      </c>
      <c r="N342" s="432"/>
    </row>
    <row r="343" spans="1:14" ht="14.4" hidden="1">
      <c r="A343" s="389" t="s">
        <v>179</v>
      </c>
      <c r="B343" s="416"/>
      <c r="C343" s="569" t="s">
        <v>756</v>
      </c>
      <c r="D343" s="415"/>
      <c r="E343" s="417" t="s">
        <v>24</v>
      </c>
      <c r="F343" s="415"/>
      <c r="G343" s="415" t="s">
        <v>25</v>
      </c>
      <c r="H343" s="415" t="s">
        <v>26</v>
      </c>
      <c r="I343" s="415" t="s">
        <v>154</v>
      </c>
      <c r="J343" s="390">
        <v>73500000</v>
      </c>
      <c r="K343" s="434" t="s">
        <v>40</v>
      </c>
      <c r="L343" s="421">
        <v>45455</v>
      </c>
      <c r="M343" s="391"/>
      <c r="N343" s="428"/>
    </row>
    <row r="344" spans="1:14" ht="14.4" hidden="1">
      <c r="A344" s="389" t="s">
        <v>179</v>
      </c>
      <c r="B344" s="416"/>
      <c r="C344" s="569" t="s">
        <v>757</v>
      </c>
      <c r="D344" s="415"/>
      <c r="E344" s="417" t="s">
        <v>24</v>
      </c>
      <c r="F344" s="415"/>
      <c r="G344" s="415" t="s">
        <v>25</v>
      </c>
      <c r="H344" s="415" t="s">
        <v>33</v>
      </c>
      <c r="I344" s="415" t="s">
        <v>154</v>
      </c>
      <c r="J344" s="390">
        <v>27650000</v>
      </c>
      <c r="K344" s="434" t="s">
        <v>40</v>
      </c>
      <c r="L344" s="421">
        <v>45455</v>
      </c>
      <c r="M344" s="391"/>
      <c r="N344" s="428"/>
    </row>
    <row r="345" spans="1:14" ht="14.4" hidden="1">
      <c r="A345" s="389" t="s">
        <v>179</v>
      </c>
      <c r="B345" s="416"/>
      <c r="C345" s="569" t="s">
        <v>758</v>
      </c>
      <c r="D345" s="415"/>
      <c r="E345" s="417" t="s">
        <v>24</v>
      </c>
      <c r="F345" s="415"/>
      <c r="G345" s="415" t="s">
        <v>25</v>
      </c>
      <c r="H345" s="415" t="s">
        <v>33</v>
      </c>
      <c r="I345" s="415" t="s">
        <v>154</v>
      </c>
      <c r="J345" s="390">
        <v>24235000</v>
      </c>
      <c r="K345" s="434" t="s">
        <v>40</v>
      </c>
      <c r="L345" s="421">
        <v>45455</v>
      </c>
      <c r="M345" s="391"/>
      <c r="N345" s="428"/>
    </row>
    <row r="346" spans="1:14" ht="14.4">
      <c r="A346" s="415" t="s">
        <v>759</v>
      </c>
      <c r="C346" s="568" t="s">
        <v>755</v>
      </c>
      <c r="D346" s="415" t="s">
        <v>266</v>
      </c>
      <c r="E346" s="417" t="s">
        <v>90</v>
      </c>
      <c r="F346" s="415"/>
      <c r="G346" s="415" t="s">
        <v>227</v>
      </c>
      <c r="H346" s="415" t="s">
        <v>26</v>
      </c>
      <c r="I346" s="415" t="s">
        <v>164</v>
      </c>
      <c r="J346" s="419">
        <v>59000000</v>
      </c>
      <c r="K346" s="434" t="s">
        <v>27</v>
      </c>
      <c r="L346" s="566">
        <v>46217</v>
      </c>
      <c r="M346" s="421" t="s">
        <v>341</v>
      </c>
      <c r="N346" s="432"/>
    </row>
    <row r="347" spans="1:14" ht="14.4" hidden="1">
      <c r="A347" s="389" t="s">
        <v>760</v>
      </c>
      <c r="B347" s="416"/>
      <c r="C347" s="569" t="s">
        <v>761</v>
      </c>
      <c r="D347" s="415"/>
      <c r="E347" s="417" t="s">
        <v>24</v>
      </c>
      <c r="F347" s="415"/>
      <c r="G347" s="415" t="s">
        <v>25</v>
      </c>
      <c r="H347" s="415" t="s">
        <v>26</v>
      </c>
      <c r="I347" s="415" t="s">
        <v>164</v>
      </c>
      <c r="J347" s="390">
        <v>15000000</v>
      </c>
      <c r="K347" s="434" t="s">
        <v>40</v>
      </c>
      <c r="L347" s="421">
        <v>45455</v>
      </c>
      <c r="M347" s="391"/>
      <c r="N347" s="428"/>
    </row>
    <row r="348" spans="1:14" ht="14.4" hidden="1">
      <c r="A348" s="415" t="s">
        <v>762</v>
      </c>
      <c r="C348" s="568" t="s">
        <v>26</v>
      </c>
      <c r="D348" s="414" t="s">
        <v>763</v>
      </c>
      <c r="E348" s="417" t="s">
        <v>24</v>
      </c>
      <c r="F348" s="415"/>
      <c r="G348" s="415" t="s">
        <v>153</v>
      </c>
      <c r="H348" s="415" t="s">
        <v>26</v>
      </c>
      <c r="I348" s="626" t="s">
        <v>148</v>
      </c>
      <c r="J348" s="419">
        <v>1130000000</v>
      </c>
      <c r="K348" s="434" t="s">
        <v>40</v>
      </c>
      <c r="L348" s="421">
        <v>46076</v>
      </c>
      <c r="M348" s="422"/>
      <c r="N348" s="423" t="s">
        <v>764</v>
      </c>
    </row>
    <row r="349" spans="1:14" ht="14.4" hidden="1">
      <c r="A349" s="483" t="s">
        <v>183</v>
      </c>
      <c r="B349" s="562"/>
      <c r="C349" s="577" t="s">
        <v>151</v>
      </c>
      <c r="D349" s="563" t="s">
        <v>33</v>
      </c>
      <c r="E349" s="417" t="s">
        <v>90</v>
      </c>
      <c r="F349" s="483" t="s">
        <v>185</v>
      </c>
      <c r="G349" s="483" t="s">
        <v>96</v>
      </c>
      <c r="H349" s="483" t="s">
        <v>88</v>
      </c>
      <c r="I349" s="579" t="s">
        <v>164</v>
      </c>
      <c r="J349" s="596">
        <v>106932000</v>
      </c>
      <c r="K349" s="567" t="s">
        <v>40</v>
      </c>
      <c r="L349" s="566">
        <v>46138</v>
      </c>
      <c r="M349" s="566" t="s">
        <v>149</v>
      </c>
      <c r="N349" s="597" t="s">
        <v>765</v>
      </c>
    </row>
    <row r="350" spans="1:14" ht="14.4" hidden="1">
      <c r="A350" s="455" t="s">
        <v>766</v>
      </c>
      <c r="B350" s="562"/>
      <c r="C350" s="577" t="s">
        <v>151</v>
      </c>
      <c r="D350" s="579" t="s">
        <v>33</v>
      </c>
      <c r="E350" s="579" t="s">
        <v>24</v>
      </c>
      <c r="F350" s="483" t="s">
        <v>185</v>
      </c>
      <c r="G350" s="593" t="s">
        <v>204</v>
      </c>
      <c r="H350" s="483" t="s">
        <v>88</v>
      </c>
      <c r="I350" s="579" t="s">
        <v>164</v>
      </c>
      <c r="J350" s="564">
        <v>239792000</v>
      </c>
      <c r="K350" s="565" t="s">
        <v>67</v>
      </c>
      <c r="L350" s="566"/>
      <c r="M350" s="566"/>
      <c r="N350" s="598"/>
    </row>
    <row r="351" spans="1:14" ht="14.4" hidden="1">
      <c r="A351" s="389" t="s">
        <v>767</v>
      </c>
      <c r="B351" s="416"/>
      <c r="C351" s="569" t="s">
        <v>768</v>
      </c>
      <c r="D351" s="415"/>
      <c r="E351" s="417" t="s">
        <v>24</v>
      </c>
      <c r="F351" s="415"/>
      <c r="G351" s="415" t="s">
        <v>201</v>
      </c>
      <c r="H351" s="415" t="s">
        <v>33</v>
      </c>
      <c r="I351" s="415" t="s">
        <v>164</v>
      </c>
      <c r="J351" s="390">
        <v>69544542.969999999</v>
      </c>
      <c r="K351" s="434" t="s">
        <v>40</v>
      </c>
      <c r="L351" s="421">
        <v>45118</v>
      </c>
      <c r="M351" s="422" t="s">
        <v>149</v>
      </c>
      <c r="N351" s="428"/>
    </row>
    <row r="352" spans="1:14" ht="14.4" hidden="1">
      <c r="A352" s="416" t="s">
        <v>769</v>
      </c>
      <c r="B352" s="416"/>
      <c r="C352" s="568" t="s">
        <v>770</v>
      </c>
      <c r="D352" s="415" t="s">
        <v>361</v>
      </c>
      <c r="E352" s="417" t="s">
        <v>24</v>
      </c>
      <c r="F352" s="415"/>
      <c r="G352" s="415" t="s">
        <v>43</v>
      </c>
      <c r="H352" s="415" t="s">
        <v>26</v>
      </c>
      <c r="I352" s="415" t="s">
        <v>164</v>
      </c>
      <c r="J352" s="424"/>
      <c r="K352" s="422" t="s">
        <v>340</v>
      </c>
      <c r="L352" s="421"/>
      <c r="M352" s="422"/>
      <c r="N352" s="432" t="s">
        <v>6</v>
      </c>
    </row>
    <row r="353" spans="1:14" ht="14.4" hidden="1">
      <c r="A353" s="415" t="s">
        <v>771</v>
      </c>
      <c r="B353" s="415"/>
      <c r="C353" s="572" t="s">
        <v>288</v>
      </c>
      <c r="D353" s="415" t="s">
        <v>266</v>
      </c>
      <c r="E353" s="417" t="s">
        <v>90</v>
      </c>
      <c r="F353" s="415"/>
      <c r="G353" s="415" t="s">
        <v>96</v>
      </c>
      <c r="H353" s="415" t="s">
        <v>26</v>
      </c>
      <c r="I353" s="415" t="s">
        <v>148</v>
      </c>
      <c r="J353" s="424">
        <v>688128000</v>
      </c>
      <c r="K353" s="422" t="s">
        <v>27</v>
      </c>
      <c r="L353" s="566">
        <v>46229</v>
      </c>
      <c r="M353" s="421" t="s">
        <v>149</v>
      </c>
      <c r="N353" s="423" t="s">
        <v>772</v>
      </c>
    </row>
    <row r="354" spans="1:14" ht="14.4">
      <c r="A354" s="415" t="s">
        <v>773</v>
      </c>
      <c r="B354" s="416"/>
      <c r="C354" s="568" t="s">
        <v>774</v>
      </c>
      <c r="D354" s="415" t="s">
        <v>667</v>
      </c>
      <c r="E354" s="417" t="s">
        <v>90</v>
      </c>
      <c r="F354" s="415"/>
      <c r="G354" s="415" t="s">
        <v>227</v>
      </c>
      <c r="H354" s="415" t="s">
        <v>26</v>
      </c>
      <c r="I354" s="415" t="s">
        <v>148</v>
      </c>
      <c r="J354" s="419">
        <v>5300000000</v>
      </c>
      <c r="K354" s="434" t="s">
        <v>27</v>
      </c>
      <c r="L354" s="566">
        <v>46303</v>
      </c>
      <c r="M354" s="421"/>
      <c r="N354" s="432"/>
    </row>
    <row r="355" spans="1:14" ht="14.4">
      <c r="A355" s="415" t="s">
        <v>775</v>
      </c>
      <c r="C355" s="568" t="s">
        <v>755</v>
      </c>
      <c r="D355" s="415" t="s">
        <v>266</v>
      </c>
      <c r="E355" s="417" t="s">
        <v>90</v>
      </c>
      <c r="F355" s="415"/>
      <c r="G355" s="415" t="s">
        <v>227</v>
      </c>
      <c r="H355" s="415" t="s">
        <v>26</v>
      </c>
      <c r="I355" s="415" t="s">
        <v>148</v>
      </c>
      <c r="J355" s="419">
        <v>5000000000</v>
      </c>
      <c r="K355" s="434" t="s">
        <v>27</v>
      </c>
      <c r="L355" s="566">
        <v>46248</v>
      </c>
      <c r="M355" s="421" t="s">
        <v>341</v>
      </c>
      <c r="N355" s="432"/>
    </row>
    <row r="356" spans="1:14" ht="14.4" hidden="1">
      <c r="A356" s="415" t="s">
        <v>776</v>
      </c>
      <c r="B356" s="416"/>
      <c r="C356" s="568" t="s">
        <v>777</v>
      </c>
      <c r="D356" s="415"/>
      <c r="E356" s="417" t="s">
        <v>90</v>
      </c>
      <c r="F356" s="415"/>
      <c r="G356" s="415" t="s">
        <v>96</v>
      </c>
      <c r="H356" s="415" t="s">
        <v>26</v>
      </c>
      <c r="I356" s="415" t="s">
        <v>145</v>
      </c>
      <c r="J356" s="419">
        <v>3423325000</v>
      </c>
      <c r="K356" s="434" t="s">
        <v>30</v>
      </c>
      <c r="L356" s="566">
        <v>46291</v>
      </c>
      <c r="M356" s="422"/>
      <c r="N356" s="432" t="s">
        <v>778</v>
      </c>
    </row>
    <row r="357" spans="1:14" ht="14.4">
      <c r="A357" s="415" t="s">
        <v>779</v>
      </c>
      <c r="C357" s="568" t="s">
        <v>780</v>
      </c>
      <c r="D357" s="415" t="s">
        <v>266</v>
      </c>
      <c r="E357" s="417" t="s">
        <v>90</v>
      </c>
      <c r="F357" s="415"/>
      <c r="G357" s="415" t="s">
        <v>227</v>
      </c>
      <c r="H357" s="415" t="s">
        <v>26</v>
      </c>
      <c r="I357" s="415" t="s">
        <v>164</v>
      </c>
      <c r="J357" s="419">
        <v>640000000</v>
      </c>
      <c r="K357" s="434" t="s">
        <v>40</v>
      </c>
      <c r="L357" s="421">
        <v>46064</v>
      </c>
      <c r="M357" s="421" t="s">
        <v>149</v>
      </c>
      <c r="N357" s="432"/>
    </row>
    <row r="358" spans="1:14" ht="14.4">
      <c r="A358" s="415" t="s">
        <v>781</v>
      </c>
      <c r="B358" s="416"/>
      <c r="C358" s="568" t="s">
        <v>782</v>
      </c>
      <c r="D358" s="415" t="s">
        <v>321</v>
      </c>
      <c r="E358" s="417" t="s">
        <v>90</v>
      </c>
      <c r="F358" s="415"/>
      <c r="G358" s="415" t="s">
        <v>227</v>
      </c>
      <c r="H358" s="415" t="s">
        <v>26</v>
      </c>
      <c r="I358" s="415" t="s">
        <v>164</v>
      </c>
      <c r="J358" s="419">
        <v>2000000000</v>
      </c>
      <c r="K358" s="434" t="s">
        <v>27</v>
      </c>
      <c r="L358" s="566">
        <v>46218</v>
      </c>
      <c r="M358" s="421"/>
      <c r="N358" s="432"/>
    </row>
    <row r="359" spans="1:14" ht="14.4" hidden="1">
      <c r="A359" s="389" t="s">
        <v>653</v>
      </c>
      <c r="C359" s="568" t="s">
        <v>783</v>
      </c>
      <c r="D359" s="414"/>
      <c r="E359" s="417" t="s">
        <v>24</v>
      </c>
      <c r="F359" s="415"/>
      <c r="G359" s="415" t="s">
        <v>54</v>
      </c>
      <c r="H359" s="415" t="s">
        <v>33</v>
      </c>
      <c r="I359" s="415" t="s">
        <v>164</v>
      </c>
      <c r="J359" s="419">
        <v>492519600</v>
      </c>
      <c r="K359" s="434" t="s">
        <v>40</v>
      </c>
      <c r="L359" s="421">
        <v>45911</v>
      </c>
      <c r="M359" s="421"/>
      <c r="N359" s="432"/>
    </row>
    <row r="360" spans="1:14" ht="14.4" hidden="1">
      <c r="A360" s="389" t="s">
        <v>653</v>
      </c>
      <c r="C360" s="568" t="s">
        <v>784</v>
      </c>
      <c r="D360" s="414"/>
      <c r="E360" s="417" t="s">
        <v>24</v>
      </c>
      <c r="F360" s="415"/>
      <c r="G360" s="415" t="s">
        <v>54</v>
      </c>
      <c r="H360" s="415" t="s">
        <v>33</v>
      </c>
      <c r="I360" s="415" t="s">
        <v>164</v>
      </c>
      <c r="J360" s="419">
        <v>370899700</v>
      </c>
      <c r="K360" s="434" t="s">
        <v>40</v>
      </c>
      <c r="L360" s="421">
        <v>45911</v>
      </c>
      <c r="M360" s="421"/>
      <c r="N360" s="432"/>
    </row>
    <row r="361" spans="1:14" ht="14.4" hidden="1">
      <c r="A361" s="415" t="s">
        <v>213</v>
      </c>
      <c r="B361" s="415"/>
      <c r="C361" s="568" t="s">
        <v>785</v>
      </c>
      <c r="D361" s="415" t="s">
        <v>361</v>
      </c>
      <c r="E361" s="417" t="s">
        <v>24</v>
      </c>
      <c r="F361" s="415"/>
      <c r="G361" s="415" t="s">
        <v>54</v>
      </c>
      <c r="H361" s="415" t="s">
        <v>26</v>
      </c>
      <c r="I361" s="415" t="s">
        <v>164</v>
      </c>
      <c r="J361" s="419">
        <v>7000000000</v>
      </c>
      <c r="K361" s="434" t="s">
        <v>340</v>
      </c>
      <c r="L361" s="421"/>
      <c r="M361" s="421"/>
      <c r="N361" s="423" t="s">
        <v>786</v>
      </c>
    </row>
    <row r="362" spans="1:14" ht="14.4" hidden="1">
      <c r="A362" s="415" t="s">
        <v>213</v>
      </c>
      <c r="B362" s="415"/>
      <c r="C362" s="568" t="s">
        <v>787</v>
      </c>
      <c r="D362" s="415"/>
      <c r="E362" s="417" t="s">
        <v>24</v>
      </c>
      <c r="F362" s="415"/>
      <c r="G362" s="415" t="s">
        <v>54</v>
      </c>
      <c r="H362" s="373" t="s">
        <v>33</v>
      </c>
      <c r="I362" s="415" t="s">
        <v>164</v>
      </c>
      <c r="J362" s="419">
        <v>10000000000</v>
      </c>
      <c r="K362" s="434" t="s">
        <v>340</v>
      </c>
      <c r="L362" s="421"/>
      <c r="M362" s="421"/>
      <c r="N362" s="423" t="s">
        <v>786</v>
      </c>
    </row>
    <row r="363" spans="1:14" ht="14.4" hidden="1">
      <c r="A363" s="415" t="s">
        <v>788</v>
      </c>
      <c r="B363" s="415"/>
      <c r="C363" s="568" t="s">
        <v>789</v>
      </c>
      <c r="D363" s="415" t="s">
        <v>266</v>
      </c>
      <c r="E363" s="417" t="s">
        <v>24</v>
      </c>
      <c r="F363" s="415"/>
      <c r="G363" s="415" t="s">
        <v>43</v>
      </c>
      <c r="H363" s="373" t="s">
        <v>33</v>
      </c>
      <c r="I363" s="415" t="s">
        <v>164</v>
      </c>
      <c r="J363" s="419">
        <v>2900000000</v>
      </c>
      <c r="K363" s="434" t="s">
        <v>340</v>
      </c>
      <c r="L363" s="421"/>
      <c r="M363" s="421"/>
      <c r="N363" s="423"/>
    </row>
    <row r="364" spans="1:14" ht="24.6" hidden="1">
      <c r="A364" s="416" t="s">
        <v>328</v>
      </c>
      <c r="B364" s="416" t="s">
        <v>329</v>
      </c>
      <c r="C364" s="568" t="s">
        <v>790</v>
      </c>
      <c r="D364" s="415"/>
      <c r="E364" s="417" t="s">
        <v>24</v>
      </c>
      <c r="F364" s="415"/>
      <c r="G364" s="415" t="s">
        <v>331</v>
      </c>
      <c r="H364" s="415" t="s">
        <v>33</v>
      </c>
      <c r="I364" s="415" t="s">
        <v>332</v>
      </c>
      <c r="J364" s="424">
        <v>43440000</v>
      </c>
      <c r="K364" s="422" t="s">
        <v>27</v>
      </c>
      <c r="L364" s="421"/>
      <c r="M364" s="422"/>
      <c r="N364" s="423" t="s">
        <v>6</v>
      </c>
    </row>
    <row r="365" spans="1:14" ht="14.4" hidden="1">
      <c r="A365" s="416" t="s">
        <v>791</v>
      </c>
      <c r="B365" s="416"/>
      <c r="C365" s="568" t="s">
        <v>26</v>
      </c>
      <c r="D365" s="415"/>
      <c r="E365" s="417" t="s">
        <v>90</v>
      </c>
      <c r="F365" s="415"/>
      <c r="G365" s="415" t="s">
        <v>103</v>
      </c>
      <c r="H365" s="415" t="s">
        <v>26</v>
      </c>
      <c r="I365" s="415" t="s">
        <v>164</v>
      </c>
      <c r="J365" s="424">
        <v>1400000000</v>
      </c>
      <c r="K365" s="422" t="s">
        <v>27</v>
      </c>
      <c r="L365" s="566">
        <v>46214</v>
      </c>
      <c r="M365" s="434" t="s">
        <v>149</v>
      </c>
      <c r="N365" s="423" t="s">
        <v>792</v>
      </c>
    </row>
    <row r="366" spans="1:14" ht="14.4" hidden="1">
      <c r="A366" s="416" t="s">
        <v>328</v>
      </c>
      <c r="B366" s="416" t="s">
        <v>329</v>
      </c>
      <c r="C366" s="568" t="s">
        <v>793</v>
      </c>
      <c r="D366" s="415"/>
      <c r="E366" s="417" t="s">
        <v>24</v>
      </c>
      <c r="F366" s="415"/>
      <c r="G366" s="415" t="s">
        <v>331</v>
      </c>
      <c r="H366" s="415" t="s">
        <v>33</v>
      </c>
      <c r="I366" s="415" t="s">
        <v>332</v>
      </c>
      <c r="J366" s="424">
        <v>333830000</v>
      </c>
      <c r="K366" s="422" t="s">
        <v>27</v>
      </c>
      <c r="L366" s="421"/>
      <c r="M366" s="422"/>
      <c r="N366" s="423" t="s">
        <v>6</v>
      </c>
    </row>
    <row r="367" spans="1:14" ht="14.4" hidden="1">
      <c r="A367" s="416" t="s">
        <v>328</v>
      </c>
      <c r="B367" s="416" t="s">
        <v>329</v>
      </c>
      <c r="C367" s="568" t="s">
        <v>794</v>
      </c>
      <c r="D367" s="415"/>
      <c r="E367" s="417" t="s">
        <v>24</v>
      </c>
      <c r="F367" s="415"/>
      <c r="G367" s="415" t="s">
        <v>331</v>
      </c>
      <c r="H367" s="415" t="s">
        <v>33</v>
      </c>
      <c r="I367" s="415" t="s">
        <v>332</v>
      </c>
      <c r="J367" s="424">
        <v>9740000</v>
      </c>
      <c r="K367" s="422" t="s">
        <v>27</v>
      </c>
      <c r="L367" s="421"/>
      <c r="M367" s="422"/>
      <c r="N367" s="423" t="s">
        <v>6</v>
      </c>
    </row>
    <row r="368" spans="1:14" ht="14.4" hidden="1">
      <c r="A368" s="416" t="s">
        <v>328</v>
      </c>
      <c r="B368" s="416" t="s">
        <v>329</v>
      </c>
      <c r="C368" s="568" t="s">
        <v>795</v>
      </c>
      <c r="D368" s="415"/>
      <c r="E368" s="417" t="s">
        <v>24</v>
      </c>
      <c r="F368" s="415"/>
      <c r="G368" s="415" t="s">
        <v>331</v>
      </c>
      <c r="H368" s="415" t="s">
        <v>33</v>
      </c>
      <c r="I368" s="415" t="s">
        <v>332</v>
      </c>
      <c r="J368" s="424">
        <v>293890000</v>
      </c>
      <c r="K368" s="422" t="s">
        <v>27</v>
      </c>
      <c r="L368" s="421"/>
      <c r="M368" s="422"/>
      <c r="N368" s="423" t="s">
        <v>6</v>
      </c>
    </row>
    <row r="369" spans="1:14" ht="14.4" hidden="1">
      <c r="A369" s="416" t="s">
        <v>328</v>
      </c>
      <c r="B369" s="416" t="s">
        <v>329</v>
      </c>
      <c r="C369" s="568" t="s">
        <v>796</v>
      </c>
      <c r="D369" s="415"/>
      <c r="E369" s="417" t="s">
        <v>24</v>
      </c>
      <c r="F369" s="415"/>
      <c r="G369" s="415" t="s">
        <v>331</v>
      </c>
      <c r="H369" s="415" t="s">
        <v>33</v>
      </c>
      <c r="I369" s="415" t="s">
        <v>332</v>
      </c>
      <c r="J369" s="424">
        <v>954889000</v>
      </c>
      <c r="K369" s="422" t="s">
        <v>27</v>
      </c>
      <c r="L369" s="421"/>
      <c r="M369" s="422"/>
      <c r="N369" s="423" t="s">
        <v>6</v>
      </c>
    </row>
    <row r="370" spans="1:14" ht="14.4" hidden="1">
      <c r="A370" s="416" t="s">
        <v>328</v>
      </c>
      <c r="B370" s="416" t="s">
        <v>329</v>
      </c>
      <c r="C370" s="568" t="s">
        <v>797</v>
      </c>
      <c r="D370" s="415"/>
      <c r="E370" s="417" t="s">
        <v>24</v>
      </c>
      <c r="F370" s="415"/>
      <c r="G370" s="415" t="s">
        <v>331</v>
      </c>
      <c r="H370" s="415" t="s">
        <v>33</v>
      </c>
      <c r="I370" s="415" t="s">
        <v>332</v>
      </c>
      <c r="J370" s="424">
        <v>133645000</v>
      </c>
      <c r="K370" s="422" t="s">
        <v>27</v>
      </c>
      <c r="L370" s="421"/>
      <c r="M370" s="422"/>
      <c r="N370" s="423" t="s">
        <v>6</v>
      </c>
    </row>
    <row r="371" spans="1:14" ht="14.4" hidden="1">
      <c r="A371" s="416" t="s">
        <v>328</v>
      </c>
      <c r="B371" s="416" t="s">
        <v>329</v>
      </c>
      <c r="C371" s="568" t="s">
        <v>798</v>
      </c>
      <c r="D371" s="415"/>
      <c r="E371" s="417" t="s">
        <v>24</v>
      </c>
      <c r="F371" s="415"/>
      <c r="G371" s="415" t="s">
        <v>331</v>
      </c>
      <c r="H371" s="415" t="s">
        <v>33</v>
      </c>
      <c r="I371" s="415" t="s">
        <v>332</v>
      </c>
      <c r="J371" s="424">
        <v>374250000</v>
      </c>
      <c r="K371" s="422" t="s">
        <v>27</v>
      </c>
      <c r="L371" s="421"/>
      <c r="M371" s="422"/>
      <c r="N371" s="423" t="s">
        <v>6</v>
      </c>
    </row>
    <row r="372" spans="1:14" ht="14.4" hidden="1">
      <c r="A372" s="416" t="s">
        <v>328</v>
      </c>
      <c r="B372" s="416" t="s">
        <v>329</v>
      </c>
      <c r="C372" s="568" t="s">
        <v>799</v>
      </c>
      <c r="D372" s="415"/>
      <c r="E372" s="417" t="s">
        <v>24</v>
      </c>
      <c r="F372" s="415"/>
      <c r="G372" s="415" t="s">
        <v>331</v>
      </c>
      <c r="H372" s="415" t="s">
        <v>33</v>
      </c>
      <c r="I372" s="415" t="s">
        <v>332</v>
      </c>
      <c r="J372" s="424">
        <v>556314000</v>
      </c>
      <c r="K372" s="422" t="s">
        <v>27</v>
      </c>
      <c r="L372" s="421"/>
      <c r="M372" s="422"/>
      <c r="N372" s="423" t="s">
        <v>6</v>
      </c>
    </row>
    <row r="373" spans="1:14" ht="14.4" hidden="1">
      <c r="A373" s="416" t="s">
        <v>328</v>
      </c>
      <c r="B373" s="416" t="s">
        <v>329</v>
      </c>
      <c r="C373" s="568" t="s">
        <v>800</v>
      </c>
      <c r="D373" s="415"/>
      <c r="E373" s="417" t="s">
        <v>24</v>
      </c>
      <c r="F373" s="415"/>
      <c r="G373" s="415" t="s">
        <v>331</v>
      </c>
      <c r="H373" s="415" t="s">
        <v>33</v>
      </c>
      <c r="I373" s="415" t="s">
        <v>332</v>
      </c>
      <c r="J373" s="424">
        <v>15649170000</v>
      </c>
      <c r="K373" s="422" t="s">
        <v>27</v>
      </c>
      <c r="L373" s="421"/>
      <c r="M373" s="422"/>
      <c r="N373" s="423" t="s">
        <v>6</v>
      </c>
    </row>
    <row r="374" spans="1:14" ht="14.4" hidden="1">
      <c r="A374" s="416" t="s">
        <v>328</v>
      </c>
      <c r="B374" s="416" t="s">
        <v>329</v>
      </c>
      <c r="C374" s="568" t="s">
        <v>801</v>
      </c>
      <c r="D374" s="415"/>
      <c r="E374" s="417" t="s">
        <v>24</v>
      </c>
      <c r="F374" s="415"/>
      <c r="G374" s="415" t="s">
        <v>331</v>
      </c>
      <c r="H374" s="415" t="s">
        <v>33</v>
      </c>
      <c r="I374" s="415" t="s">
        <v>332</v>
      </c>
      <c r="J374" s="424">
        <v>22286000</v>
      </c>
      <c r="K374" s="422" t="s">
        <v>27</v>
      </c>
      <c r="L374" s="421"/>
      <c r="M374" s="422"/>
      <c r="N374" s="423" t="s">
        <v>6</v>
      </c>
    </row>
    <row r="375" spans="1:14" ht="14.4" hidden="1">
      <c r="A375" s="416" t="s">
        <v>328</v>
      </c>
      <c r="B375" s="416" t="s">
        <v>329</v>
      </c>
      <c r="C375" s="568" t="s">
        <v>802</v>
      </c>
      <c r="D375" s="415"/>
      <c r="E375" s="417" t="s">
        <v>24</v>
      </c>
      <c r="F375" s="415"/>
      <c r="G375" s="415" t="s">
        <v>331</v>
      </c>
      <c r="H375" s="415" t="s">
        <v>33</v>
      </c>
      <c r="I375" s="415" t="s">
        <v>332</v>
      </c>
      <c r="J375" s="424">
        <v>68638000</v>
      </c>
      <c r="K375" s="422" t="s">
        <v>27</v>
      </c>
      <c r="L375" s="421"/>
      <c r="M375" s="422"/>
      <c r="N375" s="423" t="s">
        <v>6</v>
      </c>
    </row>
    <row r="376" spans="1:14" ht="14.4" hidden="1">
      <c r="A376" s="416" t="s">
        <v>328</v>
      </c>
      <c r="B376" s="416" t="s">
        <v>329</v>
      </c>
      <c r="C376" s="568" t="s">
        <v>803</v>
      </c>
      <c r="D376" s="415"/>
      <c r="E376" s="417" t="s">
        <v>24</v>
      </c>
      <c r="F376" s="415"/>
      <c r="G376" s="415" t="s">
        <v>331</v>
      </c>
      <c r="H376" s="415" t="s">
        <v>33</v>
      </c>
      <c r="I376" s="415" t="s">
        <v>332</v>
      </c>
      <c r="J376" s="424">
        <v>165680000</v>
      </c>
      <c r="K376" s="422" t="s">
        <v>27</v>
      </c>
      <c r="L376" s="421"/>
      <c r="M376" s="422"/>
      <c r="N376" s="423" t="s">
        <v>6</v>
      </c>
    </row>
    <row r="377" spans="1:14" ht="14.4" hidden="1">
      <c r="A377" s="416" t="s">
        <v>328</v>
      </c>
      <c r="B377" s="416" t="s">
        <v>329</v>
      </c>
      <c r="C377" s="568" t="s">
        <v>804</v>
      </c>
      <c r="D377" s="415"/>
      <c r="E377" s="417" t="s">
        <v>24</v>
      </c>
      <c r="F377" s="415"/>
      <c r="G377" s="415" t="s">
        <v>331</v>
      </c>
      <c r="H377" s="415" t="s">
        <v>33</v>
      </c>
      <c r="I377" s="415" t="s">
        <v>332</v>
      </c>
      <c r="J377" s="424">
        <v>2002924250</v>
      </c>
      <c r="K377" s="422" t="s">
        <v>27</v>
      </c>
      <c r="L377" s="421"/>
      <c r="M377" s="422"/>
      <c r="N377" s="423" t="s">
        <v>6</v>
      </c>
    </row>
    <row r="378" spans="1:14" ht="14.4" hidden="1">
      <c r="A378" s="416" t="s">
        <v>328</v>
      </c>
      <c r="B378" s="416" t="s">
        <v>329</v>
      </c>
      <c r="C378" s="568" t="s">
        <v>805</v>
      </c>
      <c r="D378" s="415"/>
      <c r="E378" s="417" t="s">
        <v>24</v>
      </c>
      <c r="F378" s="415"/>
      <c r="G378" s="415" t="s">
        <v>331</v>
      </c>
      <c r="H378" s="415" t="s">
        <v>33</v>
      </c>
      <c r="I378" s="415" t="s">
        <v>332</v>
      </c>
      <c r="J378" s="424">
        <v>3045928250</v>
      </c>
      <c r="K378" s="422" t="s">
        <v>27</v>
      </c>
      <c r="L378" s="421"/>
      <c r="M378" s="422"/>
      <c r="N378" s="423" t="s">
        <v>6</v>
      </c>
    </row>
    <row r="379" spans="1:14" ht="14.4" hidden="1">
      <c r="A379" s="416" t="s">
        <v>328</v>
      </c>
      <c r="B379" s="416" t="s">
        <v>329</v>
      </c>
      <c r="C379" s="568" t="s">
        <v>806</v>
      </c>
      <c r="D379" s="415"/>
      <c r="E379" s="417" t="s">
        <v>24</v>
      </c>
      <c r="F379" s="415"/>
      <c r="G379" s="415" t="s">
        <v>331</v>
      </c>
      <c r="H379" s="415" t="s">
        <v>33</v>
      </c>
      <c r="I379" s="415" t="s">
        <v>332</v>
      </c>
      <c r="J379" s="424">
        <v>540440875</v>
      </c>
      <c r="K379" s="422" t="s">
        <v>27</v>
      </c>
      <c r="L379" s="421"/>
      <c r="M379" s="422"/>
      <c r="N379" s="423" t="s">
        <v>6</v>
      </c>
    </row>
    <row r="380" spans="1:14" ht="14.4" hidden="1">
      <c r="A380" s="416" t="s">
        <v>328</v>
      </c>
      <c r="B380" s="416" t="s">
        <v>329</v>
      </c>
      <c r="C380" s="568" t="s">
        <v>807</v>
      </c>
      <c r="D380" s="415"/>
      <c r="E380" s="417" t="s">
        <v>24</v>
      </c>
      <c r="F380" s="415"/>
      <c r="G380" s="415" t="s">
        <v>331</v>
      </c>
      <c r="H380" s="415" t="s">
        <v>33</v>
      </c>
      <c r="I380" s="415" t="s">
        <v>332</v>
      </c>
      <c r="J380" s="424">
        <v>642450000</v>
      </c>
      <c r="K380" s="422" t="s">
        <v>27</v>
      </c>
      <c r="L380" s="421"/>
      <c r="M380" s="422"/>
      <c r="N380" s="423" t="s">
        <v>6</v>
      </c>
    </row>
    <row r="381" spans="1:14" ht="14.4" hidden="1">
      <c r="A381" s="416" t="s">
        <v>328</v>
      </c>
      <c r="B381" s="416" t="s">
        <v>329</v>
      </c>
      <c r="C381" s="568" t="s">
        <v>808</v>
      </c>
      <c r="D381" s="415"/>
      <c r="E381" s="417" t="s">
        <v>24</v>
      </c>
      <c r="F381" s="415"/>
      <c r="G381" s="415" t="s">
        <v>331</v>
      </c>
      <c r="H381" s="415" t="s">
        <v>33</v>
      </c>
      <c r="I381" s="415" t="s">
        <v>332</v>
      </c>
      <c r="J381" s="424">
        <v>206720000</v>
      </c>
      <c r="K381" s="422" t="s">
        <v>27</v>
      </c>
      <c r="L381" s="421"/>
      <c r="M381" s="422"/>
      <c r="N381" s="423" t="s">
        <v>6</v>
      </c>
    </row>
    <row r="382" spans="1:14" ht="14.4" hidden="1">
      <c r="A382" s="415" t="s">
        <v>809</v>
      </c>
      <c r="C382" s="568" t="s">
        <v>810</v>
      </c>
      <c r="D382" s="414"/>
      <c r="E382" s="417" t="s">
        <v>90</v>
      </c>
      <c r="F382" s="415"/>
      <c r="G382" s="415" t="s">
        <v>103</v>
      </c>
      <c r="H382" s="415" t="s">
        <v>26</v>
      </c>
      <c r="I382" s="414" t="s">
        <v>164</v>
      </c>
      <c r="J382" s="419">
        <v>350000000</v>
      </c>
      <c r="K382" s="434" t="s">
        <v>27</v>
      </c>
      <c r="L382" s="566">
        <v>46214</v>
      </c>
      <c r="M382" s="422"/>
      <c r="N382" s="423"/>
    </row>
    <row r="383" spans="1:14" ht="14.4" hidden="1">
      <c r="A383" s="416" t="s">
        <v>328</v>
      </c>
      <c r="B383" s="416" t="s">
        <v>329</v>
      </c>
      <c r="C383" s="568" t="s">
        <v>811</v>
      </c>
      <c r="D383" s="415"/>
      <c r="E383" s="417" t="s">
        <v>24</v>
      </c>
      <c r="F383" s="415"/>
      <c r="G383" s="415" t="s">
        <v>331</v>
      </c>
      <c r="H383" s="415" t="s">
        <v>33</v>
      </c>
      <c r="I383" s="415" t="s">
        <v>332</v>
      </c>
      <c r="J383" s="424">
        <v>243200000</v>
      </c>
      <c r="K383" s="422" t="s">
        <v>27</v>
      </c>
      <c r="L383" s="421"/>
      <c r="M383" s="422"/>
      <c r="N383" s="423" t="s">
        <v>6</v>
      </c>
    </row>
    <row r="384" spans="1:14" ht="14.4" hidden="1">
      <c r="A384" s="416" t="s">
        <v>812</v>
      </c>
      <c r="B384" s="416" t="s">
        <v>329</v>
      </c>
      <c r="C384" s="568" t="s">
        <v>813</v>
      </c>
      <c r="D384" s="415"/>
      <c r="E384" s="417" t="s">
        <v>24</v>
      </c>
      <c r="F384" s="415"/>
      <c r="G384" s="415" t="s">
        <v>331</v>
      </c>
      <c r="H384" s="415" t="s">
        <v>33</v>
      </c>
      <c r="I384" s="415" t="s">
        <v>332</v>
      </c>
      <c r="J384" s="424">
        <v>2836200000</v>
      </c>
      <c r="K384" s="422" t="s">
        <v>27</v>
      </c>
      <c r="L384" s="421"/>
      <c r="M384" s="422"/>
      <c r="N384" s="423" t="s">
        <v>6</v>
      </c>
    </row>
    <row r="385" spans="1:14" ht="14.4" hidden="1">
      <c r="A385" s="416" t="s">
        <v>328</v>
      </c>
      <c r="B385" s="416" t="s">
        <v>329</v>
      </c>
      <c r="C385" s="568" t="s">
        <v>814</v>
      </c>
      <c r="D385" s="415"/>
      <c r="E385" s="417" t="s">
        <v>24</v>
      </c>
      <c r="F385" s="415"/>
      <c r="G385" s="415" t="s">
        <v>331</v>
      </c>
      <c r="H385" s="415" t="s">
        <v>33</v>
      </c>
      <c r="I385" s="415" t="s">
        <v>332</v>
      </c>
      <c r="J385" s="424">
        <v>1514785000</v>
      </c>
      <c r="K385" s="422" t="s">
        <v>27</v>
      </c>
      <c r="L385" s="421"/>
      <c r="M385" s="422"/>
      <c r="N385" s="423" t="s">
        <v>6</v>
      </c>
    </row>
    <row r="386" spans="1:14" ht="14.4" hidden="1">
      <c r="A386" s="416" t="s">
        <v>328</v>
      </c>
      <c r="B386" s="416" t="s">
        <v>329</v>
      </c>
      <c r="C386" s="568" t="s">
        <v>815</v>
      </c>
      <c r="D386" s="415"/>
      <c r="E386" s="417" t="s">
        <v>24</v>
      </c>
      <c r="F386" s="415"/>
      <c r="G386" s="415" t="s">
        <v>331</v>
      </c>
      <c r="H386" s="415" t="s">
        <v>33</v>
      </c>
      <c r="I386" s="415" t="s">
        <v>332</v>
      </c>
      <c r="J386" s="424">
        <v>229618000</v>
      </c>
      <c r="K386" s="422" t="s">
        <v>27</v>
      </c>
      <c r="L386" s="421"/>
      <c r="M386" s="422"/>
      <c r="N386" s="423" t="s">
        <v>6</v>
      </c>
    </row>
    <row r="387" spans="1:14" ht="14.4" hidden="1">
      <c r="A387" s="415" t="s">
        <v>816</v>
      </c>
      <c r="C387" s="568" t="s">
        <v>26</v>
      </c>
      <c r="D387" s="414"/>
      <c r="E387" s="417" t="s">
        <v>90</v>
      </c>
      <c r="F387" s="415"/>
      <c r="G387" s="415" t="s">
        <v>103</v>
      </c>
      <c r="H387" s="415" t="s">
        <v>26</v>
      </c>
      <c r="I387" s="414" t="s">
        <v>164</v>
      </c>
      <c r="J387" s="419">
        <v>1400000000</v>
      </c>
      <c r="K387" s="434" t="s">
        <v>27</v>
      </c>
      <c r="L387" s="566">
        <v>46337</v>
      </c>
      <c r="M387" s="422"/>
      <c r="N387" s="423"/>
    </row>
    <row r="388" spans="1:14" ht="14.4" hidden="1">
      <c r="A388" s="416" t="s">
        <v>328</v>
      </c>
      <c r="B388" s="416" t="s">
        <v>329</v>
      </c>
      <c r="C388" s="568" t="s">
        <v>817</v>
      </c>
      <c r="D388" s="415"/>
      <c r="E388" s="417" t="s">
        <v>24</v>
      </c>
      <c r="F388" s="415"/>
      <c r="G388" s="415" t="s">
        <v>331</v>
      </c>
      <c r="H388" s="415" t="s">
        <v>33</v>
      </c>
      <c r="I388" s="415" t="s">
        <v>332</v>
      </c>
      <c r="J388" s="424">
        <v>222080000</v>
      </c>
      <c r="K388" s="422" t="s">
        <v>27</v>
      </c>
      <c r="L388" s="421"/>
      <c r="M388" s="422"/>
      <c r="N388" s="423" t="s">
        <v>6</v>
      </c>
    </row>
    <row r="389" spans="1:14" ht="14.4" hidden="1">
      <c r="A389" s="416" t="s">
        <v>328</v>
      </c>
      <c r="B389" s="416" t="s">
        <v>329</v>
      </c>
      <c r="C389" s="568" t="s">
        <v>818</v>
      </c>
      <c r="D389" s="415"/>
      <c r="E389" s="417" t="s">
        <v>24</v>
      </c>
      <c r="F389" s="415"/>
      <c r="G389" s="415" t="s">
        <v>331</v>
      </c>
      <c r="H389" s="415" t="s">
        <v>33</v>
      </c>
      <c r="I389" s="415" t="s">
        <v>332</v>
      </c>
      <c r="J389" s="424">
        <v>277445000</v>
      </c>
      <c r="K389" s="422" t="s">
        <v>27</v>
      </c>
      <c r="L389" s="421"/>
      <c r="M389" s="422"/>
      <c r="N389" s="423" t="s">
        <v>6</v>
      </c>
    </row>
    <row r="390" spans="1:14" ht="14.4" hidden="1">
      <c r="A390" s="416" t="s">
        <v>328</v>
      </c>
      <c r="B390" s="416" t="s">
        <v>329</v>
      </c>
      <c r="C390" s="568" t="s">
        <v>819</v>
      </c>
      <c r="D390" s="415"/>
      <c r="E390" s="417" t="s">
        <v>24</v>
      </c>
      <c r="F390" s="415"/>
      <c r="G390" s="415" t="s">
        <v>331</v>
      </c>
      <c r="H390" s="415" t="s">
        <v>33</v>
      </c>
      <c r="I390" s="415" t="s">
        <v>332</v>
      </c>
      <c r="J390" s="424">
        <v>146180000</v>
      </c>
      <c r="K390" s="422" t="s">
        <v>27</v>
      </c>
      <c r="L390" s="421"/>
      <c r="M390" s="422"/>
      <c r="N390" s="423" t="s">
        <v>6</v>
      </c>
    </row>
    <row r="391" spans="1:14" ht="14.4" hidden="1">
      <c r="A391" s="416" t="s">
        <v>328</v>
      </c>
      <c r="B391" s="416" t="s">
        <v>329</v>
      </c>
      <c r="C391" s="568" t="s">
        <v>820</v>
      </c>
      <c r="D391" s="415"/>
      <c r="E391" s="417" t="s">
        <v>24</v>
      </c>
      <c r="F391" s="415"/>
      <c r="G391" s="415" t="s">
        <v>331</v>
      </c>
      <c r="H391" s="415" t="s">
        <v>33</v>
      </c>
      <c r="I391" s="415" t="s">
        <v>332</v>
      </c>
      <c r="J391" s="424">
        <v>574846000</v>
      </c>
      <c r="K391" s="422" t="s">
        <v>27</v>
      </c>
      <c r="L391" s="421"/>
      <c r="M391" s="422"/>
      <c r="N391" s="423" t="s">
        <v>6</v>
      </c>
    </row>
    <row r="392" spans="1:14" ht="14.4" hidden="1">
      <c r="A392" s="416" t="s">
        <v>328</v>
      </c>
      <c r="B392" s="416" t="s">
        <v>329</v>
      </c>
      <c r="C392" s="568" t="s">
        <v>821</v>
      </c>
      <c r="D392" s="415"/>
      <c r="E392" s="417" t="s">
        <v>24</v>
      </c>
      <c r="F392" s="415"/>
      <c r="G392" s="415" t="s">
        <v>331</v>
      </c>
      <c r="H392" s="415" t="s">
        <v>33</v>
      </c>
      <c r="I392" s="415" t="s">
        <v>332</v>
      </c>
      <c r="J392" s="424">
        <v>217974000</v>
      </c>
      <c r="K392" s="422" t="s">
        <v>27</v>
      </c>
      <c r="L392" s="421"/>
      <c r="M392" s="422"/>
      <c r="N392" s="423" t="s">
        <v>6</v>
      </c>
    </row>
    <row r="393" spans="1:14" ht="14.4" hidden="1">
      <c r="A393" s="416" t="s">
        <v>328</v>
      </c>
      <c r="B393" s="416" t="s">
        <v>329</v>
      </c>
      <c r="C393" s="568" t="s">
        <v>822</v>
      </c>
      <c r="D393" s="415"/>
      <c r="E393" s="417" t="s">
        <v>24</v>
      </c>
      <c r="F393" s="415"/>
      <c r="G393" s="415" t="s">
        <v>331</v>
      </c>
      <c r="H393" s="415" t="s">
        <v>33</v>
      </c>
      <c r="I393" s="415" t="s">
        <v>332</v>
      </c>
      <c r="J393" s="424">
        <v>16659000</v>
      </c>
      <c r="K393" s="422" t="s">
        <v>27</v>
      </c>
      <c r="L393" s="421"/>
      <c r="M393" s="422"/>
      <c r="N393" s="423" t="s">
        <v>823</v>
      </c>
    </row>
    <row r="394" spans="1:14" ht="14.4" hidden="1">
      <c r="A394" s="415" t="s">
        <v>824</v>
      </c>
      <c r="C394" s="568" t="s">
        <v>825</v>
      </c>
      <c r="D394" s="414"/>
      <c r="E394" s="417" t="s">
        <v>90</v>
      </c>
      <c r="F394" s="415"/>
      <c r="G394" s="415" t="s">
        <v>103</v>
      </c>
      <c r="H394" s="415" t="s">
        <v>26</v>
      </c>
      <c r="I394" s="414" t="s">
        <v>164</v>
      </c>
      <c r="J394" s="419">
        <v>1300000000</v>
      </c>
      <c r="K394" s="434" t="s">
        <v>27</v>
      </c>
      <c r="L394" s="566">
        <v>46382</v>
      </c>
      <c r="M394" s="422"/>
      <c r="N394" s="423"/>
    </row>
    <row r="395" spans="1:14" ht="14.4" hidden="1">
      <c r="A395" s="416" t="s">
        <v>826</v>
      </c>
      <c r="B395" s="416"/>
      <c r="C395" s="571" t="s">
        <v>470</v>
      </c>
      <c r="D395" s="415"/>
      <c r="E395" s="417" t="s">
        <v>90</v>
      </c>
      <c r="F395" s="415"/>
      <c r="G395" s="415" t="s">
        <v>103</v>
      </c>
      <c r="H395" s="373" t="s">
        <v>26</v>
      </c>
      <c r="I395" s="415" t="s">
        <v>148</v>
      </c>
      <c r="J395" s="424">
        <v>522000000</v>
      </c>
      <c r="K395" s="434" t="s">
        <v>340</v>
      </c>
      <c r="L395" s="566"/>
      <c r="M395" s="422"/>
      <c r="N395" s="432" t="s">
        <v>827</v>
      </c>
    </row>
    <row r="396" spans="1:14" ht="36.6" hidden="1">
      <c r="A396" s="454" t="s">
        <v>828</v>
      </c>
      <c r="C396" s="577" t="s">
        <v>151</v>
      </c>
      <c r="D396" s="417" t="s">
        <v>33</v>
      </c>
      <c r="E396" s="417" t="s">
        <v>24</v>
      </c>
      <c r="F396" s="415" t="s">
        <v>185</v>
      </c>
      <c r="G396" s="418" t="s">
        <v>204</v>
      </c>
      <c r="H396" s="415" t="s">
        <v>88</v>
      </c>
      <c r="I396" s="417" t="s">
        <v>164</v>
      </c>
      <c r="J396" s="390">
        <v>1810128626</v>
      </c>
      <c r="K396" s="434" t="s">
        <v>340</v>
      </c>
      <c r="L396" s="421"/>
      <c r="M396" s="391"/>
      <c r="N396" s="447" t="s">
        <v>829</v>
      </c>
    </row>
    <row r="397" spans="1:14" ht="14.4" hidden="1">
      <c r="A397" s="454" t="s">
        <v>828</v>
      </c>
      <c r="C397" s="577" t="s">
        <v>151</v>
      </c>
      <c r="D397" s="417" t="s">
        <v>33</v>
      </c>
      <c r="E397" s="417" t="s">
        <v>24</v>
      </c>
      <c r="F397" s="415" t="s">
        <v>185</v>
      </c>
      <c r="G397" s="418" t="s">
        <v>204</v>
      </c>
      <c r="H397" s="415" t="s">
        <v>88</v>
      </c>
      <c r="I397" s="417" t="s">
        <v>164</v>
      </c>
      <c r="J397" s="390">
        <v>467534490</v>
      </c>
      <c r="K397" s="434" t="s">
        <v>340</v>
      </c>
      <c r="L397" s="421"/>
      <c r="M397" s="391"/>
      <c r="N397" s="428" t="s">
        <v>830</v>
      </c>
    </row>
    <row r="398" spans="1:14" ht="14.4" hidden="1">
      <c r="A398" s="454" t="s">
        <v>828</v>
      </c>
      <c r="C398" s="577" t="s">
        <v>151</v>
      </c>
      <c r="D398" s="417" t="s">
        <v>33</v>
      </c>
      <c r="E398" s="417" t="s">
        <v>24</v>
      </c>
      <c r="F398" s="415" t="s">
        <v>185</v>
      </c>
      <c r="G398" s="418" t="s">
        <v>204</v>
      </c>
      <c r="H398" s="415" t="s">
        <v>88</v>
      </c>
      <c r="I398" s="417" t="s">
        <v>164</v>
      </c>
      <c r="J398" s="390">
        <v>635137058</v>
      </c>
      <c r="K398" s="434" t="s">
        <v>340</v>
      </c>
      <c r="L398" s="421"/>
      <c r="M398" s="391"/>
      <c r="N398" s="428" t="s">
        <v>831</v>
      </c>
    </row>
    <row r="399" spans="1:14" ht="24.6" hidden="1">
      <c r="A399" s="453" t="s">
        <v>832</v>
      </c>
      <c r="C399" s="568" t="s">
        <v>151</v>
      </c>
      <c r="D399" s="417" t="s">
        <v>33</v>
      </c>
      <c r="E399" s="417" t="s">
        <v>24</v>
      </c>
      <c r="F399" s="415" t="s">
        <v>185</v>
      </c>
      <c r="G399" s="418" t="s">
        <v>204</v>
      </c>
      <c r="H399" s="415" t="s">
        <v>88</v>
      </c>
      <c r="I399" s="417" t="s">
        <v>145</v>
      </c>
      <c r="J399" s="419">
        <v>8004000</v>
      </c>
      <c r="K399" s="434" t="s">
        <v>340</v>
      </c>
      <c r="L399" s="421"/>
      <c r="M399" s="421"/>
      <c r="N399" s="447" t="s">
        <v>833</v>
      </c>
    </row>
    <row r="400" spans="1:14" ht="14.4" hidden="1">
      <c r="A400" s="453" t="s">
        <v>834</v>
      </c>
      <c r="C400" s="568" t="s">
        <v>835</v>
      </c>
      <c r="D400" s="414" t="s">
        <v>33</v>
      </c>
      <c r="E400" s="417" t="s">
        <v>24</v>
      </c>
      <c r="F400" s="415"/>
      <c r="G400" s="415" t="s">
        <v>201</v>
      </c>
      <c r="H400" s="415" t="s">
        <v>33</v>
      </c>
      <c r="I400" s="414" t="s">
        <v>164</v>
      </c>
      <c r="J400" s="419">
        <v>1000000000</v>
      </c>
      <c r="K400" s="434" t="s">
        <v>27</v>
      </c>
      <c r="L400" s="421">
        <v>46235</v>
      </c>
      <c r="M400" s="421"/>
      <c r="N400" s="447"/>
    </row>
    <row r="401" spans="1:14" ht="14.4" hidden="1">
      <c r="A401" s="453" t="s">
        <v>836</v>
      </c>
      <c r="C401" s="568" t="s">
        <v>837</v>
      </c>
      <c r="D401" s="414" t="s">
        <v>26</v>
      </c>
      <c r="E401" s="417" t="s">
        <v>24</v>
      </c>
      <c r="F401" s="415"/>
      <c r="G401" s="415" t="s">
        <v>201</v>
      </c>
      <c r="H401" s="415" t="s">
        <v>26</v>
      </c>
      <c r="I401" s="414" t="s">
        <v>164</v>
      </c>
      <c r="J401" s="419">
        <v>2300000000</v>
      </c>
      <c r="K401" s="434" t="s">
        <v>27</v>
      </c>
      <c r="L401" s="421">
        <v>46266</v>
      </c>
      <c r="M401" s="421"/>
      <c r="N401" s="447"/>
    </row>
    <row r="402" spans="1:14" ht="14.4" hidden="1">
      <c r="A402" s="453" t="s">
        <v>838</v>
      </c>
      <c r="C402" s="568" t="s">
        <v>26</v>
      </c>
      <c r="D402" s="417" t="s">
        <v>33</v>
      </c>
      <c r="E402" s="417" t="s">
        <v>24</v>
      </c>
      <c r="F402" s="415" t="s">
        <v>185</v>
      </c>
      <c r="G402" s="415" t="s">
        <v>201</v>
      </c>
      <c r="H402" s="415" t="s">
        <v>26</v>
      </c>
      <c r="I402" s="417" t="s">
        <v>164</v>
      </c>
      <c r="J402" s="419">
        <v>23278140</v>
      </c>
      <c r="K402" s="434" t="s">
        <v>40</v>
      </c>
      <c r="L402" s="421">
        <v>46064</v>
      </c>
      <c r="M402" s="421"/>
      <c r="N402" s="447" t="s">
        <v>839</v>
      </c>
    </row>
    <row r="403" spans="1:14" ht="36" hidden="1">
      <c r="A403" s="455" t="s">
        <v>838</v>
      </c>
      <c r="B403" s="562"/>
      <c r="C403" s="577" t="s">
        <v>26</v>
      </c>
      <c r="D403" s="579" t="s">
        <v>33</v>
      </c>
      <c r="E403" s="579" t="s">
        <v>24</v>
      </c>
      <c r="F403" s="483" t="s">
        <v>185</v>
      </c>
      <c r="G403" s="483" t="s">
        <v>201</v>
      </c>
      <c r="H403" s="483" t="s">
        <v>26</v>
      </c>
      <c r="I403" s="579" t="s">
        <v>164</v>
      </c>
      <c r="J403" s="564">
        <v>1195683410</v>
      </c>
      <c r="K403" s="565" t="s">
        <v>340</v>
      </c>
      <c r="L403" s="566"/>
      <c r="M403" s="566"/>
      <c r="N403" s="598" t="s">
        <v>840</v>
      </c>
    </row>
    <row r="404" spans="1:14" ht="14.4" hidden="1">
      <c r="A404" s="455" t="s">
        <v>841</v>
      </c>
      <c r="C404" s="577" t="s">
        <v>26</v>
      </c>
      <c r="D404" s="414" t="s">
        <v>33</v>
      </c>
      <c r="E404" s="579" t="s">
        <v>24</v>
      </c>
      <c r="F404" s="415" t="s">
        <v>169</v>
      </c>
      <c r="G404" s="483" t="s">
        <v>153</v>
      </c>
      <c r="H404" s="483" t="s">
        <v>26</v>
      </c>
      <c r="I404" s="626" t="s">
        <v>148</v>
      </c>
      <c r="J404" s="564">
        <v>148000000</v>
      </c>
      <c r="K404" s="565" t="s">
        <v>40</v>
      </c>
      <c r="L404" s="566">
        <v>46140</v>
      </c>
      <c r="M404" s="566" t="s">
        <v>149</v>
      </c>
      <c r="N404" s="598"/>
    </row>
    <row r="405" spans="1:14" ht="14.4" hidden="1">
      <c r="A405" s="455" t="s">
        <v>838</v>
      </c>
      <c r="B405" s="562"/>
      <c r="C405" s="577" t="s">
        <v>26</v>
      </c>
      <c r="D405" s="579" t="s">
        <v>33</v>
      </c>
      <c r="E405" s="579" t="s">
        <v>24</v>
      </c>
      <c r="F405" s="483" t="s">
        <v>185</v>
      </c>
      <c r="G405" s="483" t="s">
        <v>201</v>
      </c>
      <c r="H405" s="483" t="s">
        <v>26</v>
      </c>
      <c r="I405" s="579" t="s">
        <v>164</v>
      </c>
      <c r="J405" s="564">
        <v>10617396</v>
      </c>
      <c r="K405" s="565" t="s">
        <v>67</v>
      </c>
      <c r="L405" s="566"/>
      <c r="M405" s="566"/>
      <c r="N405" s="598" t="s">
        <v>842</v>
      </c>
    </row>
    <row r="406" spans="1:14" ht="14.4" hidden="1">
      <c r="A406" s="453" t="s">
        <v>653</v>
      </c>
      <c r="C406" s="568" t="s">
        <v>843</v>
      </c>
      <c r="D406" s="414"/>
      <c r="E406" s="417" t="s">
        <v>24</v>
      </c>
      <c r="F406" s="415"/>
      <c r="G406" s="440" t="s">
        <v>54</v>
      </c>
      <c r="H406" s="418" t="s">
        <v>33</v>
      </c>
      <c r="I406" s="415" t="s">
        <v>164</v>
      </c>
      <c r="J406" s="419">
        <v>350000000</v>
      </c>
      <c r="K406" s="434" t="s">
        <v>94</v>
      </c>
      <c r="L406" s="421"/>
      <c r="M406" s="421"/>
      <c r="N406" s="447"/>
    </row>
    <row r="407" spans="1:14" ht="14.4" hidden="1">
      <c r="A407" s="453" t="s">
        <v>844</v>
      </c>
      <c r="C407" s="568" t="s">
        <v>845</v>
      </c>
      <c r="D407" s="414"/>
      <c r="E407" s="417" t="s">
        <v>24</v>
      </c>
      <c r="F407" s="415"/>
      <c r="G407" s="440" t="s">
        <v>54</v>
      </c>
      <c r="H407" s="418" t="s">
        <v>33</v>
      </c>
      <c r="I407" s="415" t="s">
        <v>164</v>
      </c>
      <c r="J407" s="419">
        <v>300000000</v>
      </c>
      <c r="K407" s="434" t="s">
        <v>27</v>
      </c>
      <c r="L407" s="421">
        <v>46235</v>
      </c>
      <c r="M407" s="421"/>
      <c r="N407" s="447"/>
    </row>
    <row r="408" spans="1:14" ht="14.4" hidden="1">
      <c r="A408" s="453" t="s">
        <v>846</v>
      </c>
      <c r="C408" s="568" t="s">
        <v>26</v>
      </c>
      <c r="D408" s="414" t="s">
        <v>33</v>
      </c>
      <c r="E408" s="417" t="s">
        <v>24</v>
      </c>
      <c r="F408" s="415"/>
      <c r="G408" s="415" t="s">
        <v>54</v>
      </c>
      <c r="H408" s="415" t="s">
        <v>26</v>
      </c>
      <c r="I408" s="414" t="s">
        <v>148</v>
      </c>
      <c r="J408" s="419">
        <v>11000000</v>
      </c>
      <c r="K408" s="434" t="s">
        <v>40</v>
      </c>
      <c r="L408" s="421">
        <v>46065</v>
      </c>
      <c r="M408" s="421"/>
      <c r="N408" s="447" t="s">
        <v>847</v>
      </c>
    </row>
    <row r="409" spans="1:14" ht="14.4" hidden="1">
      <c r="A409" s="453" t="s">
        <v>838</v>
      </c>
      <c r="C409" s="568" t="s">
        <v>26</v>
      </c>
      <c r="D409" s="417" t="s">
        <v>33</v>
      </c>
      <c r="E409" s="417" t="s">
        <v>24</v>
      </c>
      <c r="F409" s="415" t="s">
        <v>185</v>
      </c>
      <c r="G409" s="415" t="s">
        <v>201</v>
      </c>
      <c r="H409" s="415" t="s">
        <v>26</v>
      </c>
      <c r="I409" s="417" t="s">
        <v>164</v>
      </c>
      <c r="J409" s="419">
        <v>52500000</v>
      </c>
      <c r="K409" s="434" t="s">
        <v>40</v>
      </c>
      <c r="L409" s="421">
        <v>46058</v>
      </c>
      <c r="M409" s="421" t="s">
        <v>149</v>
      </c>
      <c r="N409" s="447" t="s">
        <v>848</v>
      </c>
    </row>
    <row r="410" spans="1:14" ht="14.4" hidden="1">
      <c r="A410" s="453" t="s">
        <v>838</v>
      </c>
      <c r="C410" s="568" t="s">
        <v>26</v>
      </c>
      <c r="D410" s="417" t="s">
        <v>33</v>
      </c>
      <c r="E410" s="417" t="s">
        <v>24</v>
      </c>
      <c r="F410" s="415" t="s">
        <v>185</v>
      </c>
      <c r="G410" s="415" t="s">
        <v>201</v>
      </c>
      <c r="H410" s="415" t="s">
        <v>26</v>
      </c>
      <c r="I410" s="417" t="s">
        <v>164</v>
      </c>
      <c r="J410" s="419">
        <v>23278140</v>
      </c>
      <c r="K410" s="434" t="s">
        <v>40</v>
      </c>
      <c r="L410" s="421">
        <v>46072</v>
      </c>
      <c r="M410" s="421" t="s">
        <v>149</v>
      </c>
      <c r="N410" s="447" t="s">
        <v>848</v>
      </c>
    </row>
    <row r="411" spans="1:14" ht="24.6" hidden="1">
      <c r="A411" s="453" t="s">
        <v>838</v>
      </c>
      <c r="C411" s="568" t="s">
        <v>26</v>
      </c>
      <c r="D411" s="417" t="s">
        <v>33</v>
      </c>
      <c r="E411" s="417" t="s">
        <v>24</v>
      </c>
      <c r="F411" s="415" t="s">
        <v>185</v>
      </c>
      <c r="G411" s="415" t="s">
        <v>201</v>
      </c>
      <c r="H411" s="415" t="s">
        <v>26</v>
      </c>
      <c r="I411" s="417" t="s">
        <v>164</v>
      </c>
      <c r="J411" s="419">
        <v>42000000</v>
      </c>
      <c r="K411" s="434" t="s">
        <v>40</v>
      </c>
      <c r="L411" s="421">
        <v>46017</v>
      </c>
      <c r="M411" s="421" t="s">
        <v>149</v>
      </c>
      <c r="N411" s="447" t="s">
        <v>849</v>
      </c>
    </row>
    <row r="412" spans="1:14" ht="14.4" hidden="1">
      <c r="A412" s="455" t="s">
        <v>146</v>
      </c>
      <c r="B412" s="562"/>
      <c r="C412" s="577" t="s">
        <v>26</v>
      </c>
      <c r="D412" s="563" t="s">
        <v>33</v>
      </c>
      <c r="E412" s="579" t="s">
        <v>24</v>
      </c>
      <c r="F412" s="483" t="s">
        <v>185</v>
      </c>
      <c r="G412" s="483" t="s">
        <v>25</v>
      </c>
      <c r="H412" s="483" t="s">
        <v>88</v>
      </c>
      <c r="I412" s="579" t="s">
        <v>148</v>
      </c>
      <c r="J412" s="564">
        <v>104980000</v>
      </c>
      <c r="K412" s="565" t="s">
        <v>27</v>
      </c>
      <c r="L412" s="566">
        <v>46296</v>
      </c>
      <c r="M412" s="566"/>
      <c r="N412" s="598" t="s">
        <v>850</v>
      </c>
    </row>
    <row r="413" spans="1:14" ht="14.4" hidden="1">
      <c r="A413" s="453" t="s">
        <v>851</v>
      </c>
      <c r="B413" s="588"/>
      <c r="C413" s="589" t="s">
        <v>852</v>
      </c>
      <c r="D413" s="590" t="s">
        <v>33</v>
      </c>
      <c r="E413" s="582" t="s">
        <v>24</v>
      </c>
      <c r="F413" s="453" t="s">
        <v>185</v>
      </c>
      <c r="G413" s="455" t="s">
        <v>153</v>
      </c>
      <c r="H413" s="453" t="s">
        <v>26</v>
      </c>
      <c r="I413" s="557" t="s">
        <v>148</v>
      </c>
      <c r="J413" s="564">
        <v>76000000</v>
      </c>
      <c r="K413" s="565" t="s">
        <v>40</v>
      </c>
      <c r="L413" s="566">
        <v>46142</v>
      </c>
      <c r="M413" s="591" t="s">
        <v>149</v>
      </c>
      <c r="N413" s="592" t="s">
        <v>853</v>
      </c>
    </row>
    <row r="414" spans="1:14" ht="14.4" hidden="1">
      <c r="A414" s="455" t="s">
        <v>854</v>
      </c>
      <c r="B414" s="562"/>
      <c r="C414" s="577" t="s">
        <v>26</v>
      </c>
      <c r="D414" s="579" t="s">
        <v>33</v>
      </c>
      <c r="E414" s="579" t="s">
        <v>24</v>
      </c>
      <c r="F414" s="483" t="s">
        <v>185</v>
      </c>
      <c r="G414" s="483" t="s">
        <v>204</v>
      </c>
      <c r="H414" s="483" t="s">
        <v>88</v>
      </c>
      <c r="I414" s="579" t="s">
        <v>164</v>
      </c>
      <c r="J414" s="564">
        <v>23046288</v>
      </c>
      <c r="K414" s="565" t="s">
        <v>67</v>
      </c>
      <c r="L414" s="566"/>
      <c r="M414" s="566"/>
      <c r="N414" s="598"/>
    </row>
    <row r="415" spans="1:14" ht="14.4" hidden="1">
      <c r="A415" s="455" t="s">
        <v>854</v>
      </c>
      <c r="B415" s="562"/>
      <c r="C415" s="577" t="s">
        <v>26</v>
      </c>
      <c r="D415" s="579" t="s">
        <v>33</v>
      </c>
      <c r="E415" s="579" t="s">
        <v>24</v>
      </c>
      <c r="F415" s="483" t="s">
        <v>185</v>
      </c>
      <c r="G415" s="483" t="s">
        <v>204</v>
      </c>
      <c r="H415" s="483" t="s">
        <v>88</v>
      </c>
      <c r="I415" s="579" t="s">
        <v>164</v>
      </c>
      <c r="J415" s="564">
        <v>23337600</v>
      </c>
      <c r="K415" s="565" t="s">
        <v>67</v>
      </c>
      <c r="L415" s="566"/>
      <c r="M415" s="566"/>
      <c r="N415" s="598"/>
    </row>
    <row r="416" spans="1:14" ht="14.4" hidden="1">
      <c r="A416" s="455" t="s">
        <v>146</v>
      </c>
      <c r="B416" s="347" t="s">
        <v>160</v>
      </c>
      <c r="C416" s="568" t="s">
        <v>855</v>
      </c>
      <c r="D416" s="414"/>
      <c r="E416" s="417" t="s">
        <v>24</v>
      </c>
      <c r="F416" s="415"/>
      <c r="G416" s="415" t="s">
        <v>25</v>
      </c>
      <c r="H416" s="415" t="s">
        <v>33</v>
      </c>
      <c r="I416" s="414" t="s">
        <v>148</v>
      </c>
      <c r="J416" s="419">
        <v>28473000</v>
      </c>
      <c r="K416" s="434" t="s">
        <v>40</v>
      </c>
      <c r="L416" s="421">
        <v>46082</v>
      </c>
      <c r="M416" s="422" t="s">
        <v>149</v>
      </c>
      <c r="N416" s="448" t="s">
        <v>61</v>
      </c>
    </row>
    <row r="417" spans="1:14" s="474" customFormat="1" ht="24" hidden="1">
      <c r="A417" s="584" t="s">
        <v>856</v>
      </c>
      <c r="C417" s="458" t="s">
        <v>26</v>
      </c>
      <c r="D417" s="475" t="s">
        <v>33</v>
      </c>
      <c r="E417" s="417" t="s">
        <v>24</v>
      </c>
      <c r="F417" s="415"/>
      <c r="G417" s="399" t="s">
        <v>25</v>
      </c>
      <c r="H417" s="399" t="s">
        <v>26</v>
      </c>
      <c r="I417" s="475" t="s">
        <v>164</v>
      </c>
      <c r="J417" s="400">
        <v>95000000</v>
      </c>
      <c r="K417" s="405" t="s">
        <v>40</v>
      </c>
      <c r="L417" s="476">
        <v>46072</v>
      </c>
      <c r="M417" s="476"/>
      <c r="N417" s="477" t="s">
        <v>857</v>
      </c>
    </row>
    <row r="418" spans="1:14" ht="14.4" hidden="1">
      <c r="A418" s="453" t="s">
        <v>858</v>
      </c>
      <c r="C418" s="568" t="s">
        <v>26</v>
      </c>
      <c r="D418" s="414" t="s">
        <v>33</v>
      </c>
      <c r="E418" s="417" t="s">
        <v>24</v>
      </c>
      <c r="F418" s="415"/>
      <c r="G418" s="415" t="s">
        <v>54</v>
      </c>
      <c r="H418" s="415" t="s">
        <v>26</v>
      </c>
      <c r="I418" s="414" t="s">
        <v>164</v>
      </c>
      <c r="J418" s="419">
        <v>153000000</v>
      </c>
      <c r="K418" s="434" t="s">
        <v>40</v>
      </c>
      <c r="L418" s="421">
        <v>46065</v>
      </c>
      <c r="M418" s="421"/>
      <c r="N418" s="447" t="s">
        <v>859</v>
      </c>
    </row>
    <row r="419" spans="1:14" ht="14.4" hidden="1">
      <c r="A419" s="455" t="s">
        <v>860</v>
      </c>
      <c r="B419" s="562"/>
      <c r="C419" s="577" t="s">
        <v>861</v>
      </c>
      <c r="D419" s="563" t="s">
        <v>33</v>
      </c>
      <c r="E419" s="579" t="s">
        <v>24</v>
      </c>
      <c r="F419" s="483" t="s">
        <v>185</v>
      </c>
      <c r="G419" s="483" t="s">
        <v>25</v>
      </c>
      <c r="H419" s="483" t="s">
        <v>88</v>
      </c>
      <c r="I419" s="563" t="s">
        <v>148</v>
      </c>
      <c r="J419" s="564">
        <v>3555400</v>
      </c>
      <c r="K419" s="565" t="s">
        <v>27</v>
      </c>
      <c r="L419" s="566">
        <v>46246</v>
      </c>
      <c r="M419" s="566"/>
      <c r="N419" s="598" t="s">
        <v>862</v>
      </c>
    </row>
    <row r="420" spans="1:14" ht="24" hidden="1">
      <c r="A420" s="455" t="s">
        <v>190</v>
      </c>
      <c r="B420" s="562"/>
      <c r="C420" s="577" t="s">
        <v>26</v>
      </c>
      <c r="D420" s="579" t="s">
        <v>33</v>
      </c>
      <c r="E420" s="579" t="s">
        <v>24</v>
      </c>
      <c r="F420" s="483" t="s">
        <v>185</v>
      </c>
      <c r="G420" s="483" t="s">
        <v>54</v>
      </c>
      <c r="H420" s="483" t="s">
        <v>26</v>
      </c>
      <c r="I420" s="579" t="s">
        <v>164</v>
      </c>
      <c r="J420" s="564">
        <v>162785280</v>
      </c>
      <c r="K420" s="565" t="s">
        <v>340</v>
      </c>
      <c r="L420" s="566"/>
      <c r="M420" s="566"/>
      <c r="N420" s="598" t="s">
        <v>863</v>
      </c>
    </row>
    <row r="421" spans="1:14" ht="14.4" hidden="1">
      <c r="A421" s="455" t="s">
        <v>864</v>
      </c>
      <c r="B421" s="562"/>
      <c r="C421" s="577" t="s">
        <v>151</v>
      </c>
      <c r="D421" s="579" t="s">
        <v>33</v>
      </c>
      <c r="E421" s="579" t="s">
        <v>24</v>
      </c>
      <c r="F421" s="483" t="s">
        <v>185</v>
      </c>
      <c r="G421" s="483" t="s">
        <v>201</v>
      </c>
      <c r="H421" s="483" t="s">
        <v>88</v>
      </c>
      <c r="I421" s="579" t="s">
        <v>164</v>
      </c>
      <c r="J421" s="564">
        <v>100000000</v>
      </c>
      <c r="K421" s="565" t="s">
        <v>27</v>
      </c>
      <c r="L421" s="566">
        <v>46253</v>
      </c>
      <c r="M421" s="566"/>
      <c r="N421" s="598" t="s">
        <v>865</v>
      </c>
    </row>
    <row r="422" spans="1:14" ht="14.4" hidden="1">
      <c r="A422" s="453" t="s">
        <v>866</v>
      </c>
      <c r="B422" s="588"/>
      <c r="C422" s="589" t="s">
        <v>867</v>
      </c>
      <c r="D422" s="590" t="s">
        <v>33</v>
      </c>
      <c r="E422" s="582" t="s">
        <v>24</v>
      </c>
      <c r="F422" s="453" t="s">
        <v>169</v>
      </c>
      <c r="G422" s="455" t="s">
        <v>153</v>
      </c>
      <c r="H422" s="453" t="s">
        <v>26</v>
      </c>
      <c r="I422" s="557" t="s">
        <v>164</v>
      </c>
      <c r="J422" s="564">
        <v>1390000000</v>
      </c>
      <c r="K422" s="565" t="s">
        <v>40</v>
      </c>
      <c r="L422" s="566">
        <v>46156</v>
      </c>
      <c r="M422" s="591"/>
      <c r="N422" s="592" t="s">
        <v>868</v>
      </c>
    </row>
    <row r="423" spans="1:14" ht="14.4" hidden="1">
      <c r="A423" s="453" t="s">
        <v>869</v>
      </c>
      <c r="C423" s="568" t="s">
        <v>26</v>
      </c>
      <c r="D423" s="414"/>
      <c r="E423" s="417" t="s">
        <v>24</v>
      </c>
      <c r="F423" s="415"/>
      <c r="G423" s="415" t="s">
        <v>201</v>
      </c>
      <c r="H423" s="415" t="s">
        <v>26</v>
      </c>
      <c r="I423" s="414" t="s">
        <v>164</v>
      </c>
      <c r="J423" s="419">
        <v>1000000000</v>
      </c>
      <c r="K423" s="434" t="s">
        <v>30</v>
      </c>
      <c r="L423" s="421">
        <v>46235</v>
      </c>
      <c r="M423" s="421"/>
      <c r="N423" s="447"/>
    </row>
    <row r="424" spans="1:14" ht="14.4" hidden="1">
      <c r="A424" s="483" t="s">
        <v>870</v>
      </c>
      <c r="C424" s="568" t="s">
        <v>26</v>
      </c>
      <c r="D424" s="414" t="s">
        <v>33</v>
      </c>
      <c r="E424" s="417" t="s">
        <v>24</v>
      </c>
      <c r="F424" s="415" t="s">
        <v>169</v>
      </c>
      <c r="G424" s="415" t="s">
        <v>201</v>
      </c>
      <c r="H424" s="415" t="s">
        <v>26</v>
      </c>
      <c r="I424" s="417" t="s">
        <v>164</v>
      </c>
      <c r="J424" s="419">
        <v>156000000</v>
      </c>
      <c r="K424" s="434" t="s">
        <v>40</v>
      </c>
      <c r="L424" s="421">
        <v>46051</v>
      </c>
      <c r="M424" s="421" t="s">
        <v>149</v>
      </c>
      <c r="N424" s="447" t="s">
        <v>871</v>
      </c>
    </row>
    <row r="425" spans="1:14" ht="14.4" hidden="1">
      <c r="A425" s="483" t="s">
        <v>256</v>
      </c>
      <c r="C425" s="568"/>
      <c r="D425" s="611" t="s">
        <v>33</v>
      </c>
      <c r="E425" s="417" t="s">
        <v>24</v>
      </c>
      <c r="F425" s="415"/>
      <c r="G425" s="415" t="s">
        <v>201</v>
      </c>
      <c r="H425" s="415" t="s">
        <v>33</v>
      </c>
      <c r="I425" s="414" t="s">
        <v>164</v>
      </c>
      <c r="J425" s="419">
        <v>52000000</v>
      </c>
      <c r="K425" s="434" t="s">
        <v>40</v>
      </c>
      <c r="L425" s="421">
        <v>46065</v>
      </c>
      <c r="M425" s="421" t="s">
        <v>149</v>
      </c>
      <c r="N425" s="447"/>
    </row>
    <row r="426" spans="1:14" ht="14.4" hidden="1">
      <c r="A426" s="483" t="s">
        <v>872</v>
      </c>
      <c r="C426" s="568" t="s">
        <v>26</v>
      </c>
      <c r="D426" s="414" t="s">
        <v>26</v>
      </c>
      <c r="E426" s="417" t="s">
        <v>24</v>
      </c>
      <c r="F426" s="415"/>
      <c r="G426" s="415" t="s">
        <v>201</v>
      </c>
      <c r="H426" s="415" t="s">
        <v>26</v>
      </c>
      <c r="I426" s="414" t="s">
        <v>164</v>
      </c>
      <c r="J426" s="419">
        <v>2000000000</v>
      </c>
      <c r="K426" s="434" t="s">
        <v>27</v>
      </c>
      <c r="L426" s="421">
        <v>46266</v>
      </c>
      <c r="M426" s="421"/>
      <c r="N426" s="447"/>
    </row>
    <row r="427" spans="1:14" ht="14.4" hidden="1">
      <c r="A427" s="483" t="s">
        <v>873</v>
      </c>
      <c r="C427" s="568"/>
      <c r="D427" s="611" t="s">
        <v>33</v>
      </c>
      <c r="E427" s="417" t="s">
        <v>24</v>
      </c>
      <c r="F427" s="415"/>
      <c r="G427" s="415" t="s">
        <v>201</v>
      </c>
      <c r="H427" s="415" t="s">
        <v>33</v>
      </c>
      <c r="I427" s="414" t="s">
        <v>164</v>
      </c>
      <c r="J427" s="419">
        <v>200000000</v>
      </c>
      <c r="K427" s="434" t="s">
        <v>27</v>
      </c>
      <c r="L427" s="421">
        <v>46296</v>
      </c>
      <c r="M427" s="421"/>
      <c r="N427" s="447"/>
    </row>
    <row r="428" spans="1:14" ht="14.4" hidden="1">
      <c r="A428" s="483" t="s">
        <v>613</v>
      </c>
      <c r="C428" s="568" t="s">
        <v>874</v>
      </c>
      <c r="D428" s="611" t="s">
        <v>26</v>
      </c>
      <c r="E428" s="417" t="s">
        <v>24</v>
      </c>
      <c r="F428" s="415"/>
      <c r="G428" s="415" t="s">
        <v>201</v>
      </c>
      <c r="H428" s="415" t="s">
        <v>33</v>
      </c>
      <c r="I428" s="414" t="s">
        <v>164</v>
      </c>
      <c r="J428" s="419">
        <f>3205000000*0.75</f>
        <v>2403750000</v>
      </c>
      <c r="K428" s="434" t="s">
        <v>30</v>
      </c>
      <c r="L428" s="421">
        <v>46282</v>
      </c>
      <c r="M428" s="421"/>
      <c r="N428" s="447"/>
    </row>
    <row r="429" spans="1:14" ht="14.4" hidden="1">
      <c r="A429" s="483" t="s">
        <v>613</v>
      </c>
      <c r="C429" s="568" t="s">
        <v>875</v>
      </c>
      <c r="D429" s="414" t="s">
        <v>33</v>
      </c>
      <c r="E429" s="417" t="s">
        <v>24</v>
      </c>
      <c r="F429" s="415"/>
      <c r="G429" s="415" t="s">
        <v>201</v>
      </c>
      <c r="H429" s="415" t="s">
        <v>26</v>
      </c>
      <c r="I429" s="414" t="s">
        <v>164</v>
      </c>
      <c r="J429" s="419">
        <v>1000000000</v>
      </c>
      <c r="K429" s="434" t="s">
        <v>27</v>
      </c>
      <c r="L429" s="421">
        <v>46282</v>
      </c>
      <c r="M429" s="421"/>
      <c r="N429" s="447"/>
    </row>
    <row r="430" spans="1:14" ht="14.4" hidden="1">
      <c r="A430" s="483" t="s">
        <v>876</v>
      </c>
      <c r="C430" s="568" t="s">
        <v>877</v>
      </c>
      <c r="D430" s="611" t="s">
        <v>26</v>
      </c>
      <c r="E430" s="417" t="s">
        <v>24</v>
      </c>
      <c r="F430" s="415"/>
      <c r="G430" s="415" t="s">
        <v>201</v>
      </c>
      <c r="H430" s="415" t="s">
        <v>26</v>
      </c>
      <c r="I430" s="414" t="s">
        <v>164</v>
      </c>
      <c r="J430" s="419">
        <v>98000000</v>
      </c>
      <c r="K430" s="434" t="s">
        <v>27</v>
      </c>
      <c r="L430" s="421">
        <v>46304</v>
      </c>
      <c r="M430" s="421"/>
      <c r="N430" s="447"/>
    </row>
    <row r="431" spans="1:14" ht="14.4" hidden="1">
      <c r="A431" s="483" t="s">
        <v>878</v>
      </c>
      <c r="C431" s="568" t="s">
        <v>879</v>
      </c>
      <c r="D431" s="414" t="s">
        <v>26</v>
      </c>
      <c r="E431" s="417" t="s">
        <v>24</v>
      </c>
      <c r="F431" s="415" t="s">
        <v>169</v>
      </c>
      <c r="G431" s="415" t="s">
        <v>201</v>
      </c>
      <c r="H431" s="415" t="s">
        <v>26</v>
      </c>
      <c r="I431" s="414" t="s">
        <v>145</v>
      </c>
      <c r="J431" s="419">
        <v>2248000000</v>
      </c>
      <c r="K431" s="434" t="s">
        <v>72</v>
      </c>
      <c r="L431" s="421">
        <v>46235</v>
      </c>
      <c r="M431" s="421"/>
      <c r="N431" s="447"/>
    </row>
    <row r="432" spans="1:14" ht="14.4" hidden="1">
      <c r="A432" s="483" t="s">
        <v>880</v>
      </c>
      <c r="C432" s="568" t="s">
        <v>881</v>
      </c>
      <c r="D432" s="414" t="s">
        <v>26</v>
      </c>
      <c r="E432" s="417" t="s">
        <v>24</v>
      </c>
      <c r="F432" s="415"/>
      <c r="G432" s="415" t="s">
        <v>201</v>
      </c>
      <c r="H432" s="415" t="s">
        <v>26</v>
      </c>
      <c r="I432" s="414" t="s">
        <v>164</v>
      </c>
      <c r="J432" s="419">
        <v>1126200000</v>
      </c>
      <c r="K432" s="434" t="s">
        <v>72</v>
      </c>
      <c r="L432" s="421">
        <v>46266</v>
      </c>
      <c r="M432" s="421"/>
      <c r="N432" s="447"/>
    </row>
    <row r="433" spans="1:14" ht="14.4" hidden="1">
      <c r="A433" s="483" t="s">
        <v>882</v>
      </c>
      <c r="C433" s="568"/>
      <c r="D433" s="611" t="s">
        <v>33</v>
      </c>
      <c r="E433" s="417" t="s">
        <v>24</v>
      </c>
      <c r="F433" s="415"/>
      <c r="G433" s="415" t="s">
        <v>201</v>
      </c>
      <c r="H433" s="415" t="s">
        <v>33</v>
      </c>
      <c r="I433" s="414" t="s">
        <v>164</v>
      </c>
      <c r="J433" s="419">
        <v>800000000</v>
      </c>
      <c r="K433" s="434" t="s">
        <v>27</v>
      </c>
      <c r="L433" s="421">
        <v>46219</v>
      </c>
      <c r="M433" s="421"/>
      <c r="N433" s="447"/>
    </row>
    <row r="434" spans="1:14" ht="14.4" hidden="1">
      <c r="A434" s="483" t="s">
        <v>883</v>
      </c>
      <c r="C434" s="568" t="s">
        <v>884</v>
      </c>
      <c r="D434" s="611" t="s">
        <v>26</v>
      </c>
      <c r="E434" s="417" t="s">
        <v>24</v>
      </c>
      <c r="F434" s="415"/>
      <c r="G434" s="415" t="s">
        <v>201</v>
      </c>
      <c r="H434" s="415" t="s">
        <v>26</v>
      </c>
      <c r="I434" s="414" t="s">
        <v>164</v>
      </c>
      <c r="J434" s="419">
        <v>1200000000</v>
      </c>
      <c r="K434" s="434" t="s">
        <v>27</v>
      </c>
      <c r="L434" s="421">
        <v>46211</v>
      </c>
      <c r="M434" s="421"/>
      <c r="N434" s="447"/>
    </row>
    <row r="435" spans="1:14" ht="14.4" hidden="1">
      <c r="A435" s="483" t="s">
        <v>885</v>
      </c>
      <c r="C435" s="568" t="s">
        <v>886</v>
      </c>
      <c r="D435" s="414" t="s">
        <v>26</v>
      </c>
      <c r="E435" s="417" t="s">
        <v>24</v>
      </c>
      <c r="F435" s="415"/>
      <c r="G435" s="415" t="s">
        <v>201</v>
      </c>
      <c r="H435" s="415" t="s">
        <v>26</v>
      </c>
      <c r="I435" s="417" t="s">
        <v>164</v>
      </c>
      <c r="J435" s="419">
        <v>78000000</v>
      </c>
      <c r="K435" s="434" t="s">
        <v>40</v>
      </c>
      <c r="L435" s="421">
        <v>46065</v>
      </c>
      <c r="M435" s="421" t="s">
        <v>149</v>
      </c>
      <c r="N435" s="447" t="s">
        <v>887</v>
      </c>
    </row>
    <row r="436" spans="1:14" ht="14.4" hidden="1">
      <c r="A436" s="455" t="s">
        <v>888</v>
      </c>
      <c r="B436" s="562"/>
      <c r="C436" s="577" t="s">
        <v>151</v>
      </c>
      <c r="D436" s="563" t="s">
        <v>33</v>
      </c>
      <c r="E436" s="417" t="s">
        <v>90</v>
      </c>
      <c r="F436" s="483" t="s">
        <v>185</v>
      </c>
      <c r="G436" s="483" t="s">
        <v>103</v>
      </c>
      <c r="H436" s="483" t="s">
        <v>88</v>
      </c>
      <c r="I436" s="563" t="s">
        <v>164</v>
      </c>
      <c r="J436" s="564">
        <v>385050000</v>
      </c>
      <c r="K436" s="565" t="s">
        <v>340</v>
      </c>
      <c r="L436" s="566"/>
      <c r="M436" s="566"/>
      <c r="N436" s="598" t="s">
        <v>889</v>
      </c>
    </row>
    <row r="437" spans="1:14" ht="14.4" hidden="1">
      <c r="A437" s="455" t="s">
        <v>888</v>
      </c>
      <c r="B437" s="562"/>
      <c r="C437" s="577" t="s">
        <v>151</v>
      </c>
      <c r="D437" s="563" t="s">
        <v>33</v>
      </c>
      <c r="E437" s="417" t="s">
        <v>90</v>
      </c>
      <c r="F437" s="483" t="s">
        <v>185</v>
      </c>
      <c r="G437" s="483" t="s">
        <v>103</v>
      </c>
      <c r="H437" s="483" t="s">
        <v>88</v>
      </c>
      <c r="I437" s="563" t="s">
        <v>164</v>
      </c>
      <c r="J437" s="564">
        <v>1732590000</v>
      </c>
      <c r="K437" s="565" t="s">
        <v>340</v>
      </c>
      <c r="L437" s="566"/>
      <c r="M437" s="566"/>
      <c r="N437" s="598" t="s">
        <v>889</v>
      </c>
    </row>
    <row r="438" spans="1:14" ht="14.4" hidden="1">
      <c r="A438" s="453" t="s">
        <v>890</v>
      </c>
      <c r="C438" s="568" t="s">
        <v>26</v>
      </c>
      <c r="D438" s="414" t="s">
        <v>33</v>
      </c>
      <c r="E438" s="417" t="s">
        <v>24</v>
      </c>
      <c r="F438" s="415" t="s">
        <v>185</v>
      </c>
      <c r="G438" s="415" t="s">
        <v>204</v>
      </c>
      <c r="H438" s="415" t="s">
        <v>26</v>
      </c>
      <c r="I438" s="414" t="s">
        <v>164</v>
      </c>
      <c r="J438" s="419">
        <v>32000000</v>
      </c>
      <c r="K438" s="434" t="s">
        <v>40</v>
      </c>
      <c r="L438" s="421">
        <v>45964</v>
      </c>
      <c r="M438" s="421" t="s">
        <v>149</v>
      </c>
      <c r="N438" s="447" t="s">
        <v>205</v>
      </c>
    </row>
    <row r="439" spans="1:14" ht="14.4" hidden="1">
      <c r="A439" s="455" t="s">
        <v>766</v>
      </c>
      <c r="B439" s="562"/>
      <c r="C439" s="577" t="s">
        <v>151</v>
      </c>
      <c r="D439" s="579" t="s">
        <v>33</v>
      </c>
      <c r="E439" s="579" t="s">
        <v>24</v>
      </c>
      <c r="F439" s="483" t="s">
        <v>185</v>
      </c>
      <c r="G439" s="483" t="s">
        <v>204</v>
      </c>
      <c r="H439" s="483" t="s">
        <v>88</v>
      </c>
      <c r="I439" s="579" t="s">
        <v>164</v>
      </c>
      <c r="J439" s="564">
        <v>24688000</v>
      </c>
      <c r="K439" s="565" t="s">
        <v>67</v>
      </c>
      <c r="L439" s="566"/>
      <c r="M439" s="566"/>
      <c r="N439" s="598"/>
    </row>
    <row r="440" spans="1:14" ht="14.4" hidden="1">
      <c r="A440" s="455" t="s">
        <v>766</v>
      </c>
      <c r="B440" s="562"/>
      <c r="C440" s="577" t="s">
        <v>151</v>
      </c>
      <c r="D440" s="579" t="s">
        <v>33</v>
      </c>
      <c r="E440" s="579" t="s">
        <v>24</v>
      </c>
      <c r="F440" s="483" t="s">
        <v>185</v>
      </c>
      <c r="G440" s="483" t="s">
        <v>204</v>
      </c>
      <c r="H440" s="483" t="s">
        <v>88</v>
      </c>
      <c r="I440" s="579" t="s">
        <v>164</v>
      </c>
      <c r="J440" s="564">
        <v>12050000</v>
      </c>
      <c r="K440" s="565" t="s">
        <v>67</v>
      </c>
      <c r="L440" s="566"/>
      <c r="M440" s="566"/>
      <c r="N440" s="598"/>
    </row>
    <row r="441" spans="1:14" ht="14.4" hidden="1">
      <c r="A441" s="416" t="s">
        <v>328</v>
      </c>
      <c r="B441" s="416" t="s">
        <v>329</v>
      </c>
      <c r="C441" s="568" t="s">
        <v>891</v>
      </c>
      <c r="D441" s="415"/>
      <c r="E441" s="417" t="s">
        <v>24</v>
      </c>
      <c r="F441" s="415"/>
      <c r="G441" s="415" t="s">
        <v>331</v>
      </c>
      <c r="H441" s="415" t="s">
        <v>33</v>
      </c>
      <c r="I441" s="415" t="s">
        <v>332</v>
      </c>
      <c r="J441" s="424">
        <v>1578128000</v>
      </c>
      <c r="K441" s="422" t="s">
        <v>27</v>
      </c>
      <c r="L441" s="421"/>
      <c r="M441" s="422"/>
      <c r="N441" s="423" t="s">
        <v>6</v>
      </c>
    </row>
    <row r="442" spans="1:14" ht="14.4" hidden="1">
      <c r="A442" s="416" t="s">
        <v>328</v>
      </c>
      <c r="B442" s="416" t="s">
        <v>329</v>
      </c>
      <c r="C442" s="568" t="s">
        <v>892</v>
      </c>
      <c r="D442" s="415"/>
      <c r="E442" s="417" t="s">
        <v>24</v>
      </c>
      <c r="F442" s="415"/>
      <c r="G442" s="415" t="s">
        <v>331</v>
      </c>
      <c r="H442" s="415" t="s">
        <v>33</v>
      </c>
      <c r="I442" s="415" t="s">
        <v>332</v>
      </c>
      <c r="J442" s="424">
        <v>166590000</v>
      </c>
      <c r="K442" s="422" t="s">
        <v>27</v>
      </c>
      <c r="L442" s="421"/>
      <c r="M442" s="422"/>
      <c r="N442" s="423" t="s">
        <v>6</v>
      </c>
    </row>
    <row r="443" spans="1:14" ht="14.4" hidden="1">
      <c r="A443" s="416" t="s">
        <v>328</v>
      </c>
      <c r="B443" s="610" t="s">
        <v>329</v>
      </c>
      <c r="C443" s="568" t="s">
        <v>893</v>
      </c>
      <c r="D443" s="611"/>
      <c r="E443" s="417" t="s">
        <v>24</v>
      </c>
      <c r="F443" s="415"/>
      <c r="G443" s="416" t="s">
        <v>331</v>
      </c>
      <c r="H443" s="416" t="s">
        <v>33</v>
      </c>
      <c r="I443" s="415" t="s">
        <v>332</v>
      </c>
      <c r="J443" s="424">
        <v>114000000</v>
      </c>
      <c r="K443" s="422" t="s">
        <v>27</v>
      </c>
      <c r="L443" s="421"/>
      <c r="M443" s="422"/>
      <c r="N443" s="423" t="s">
        <v>6</v>
      </c>
    </row>
    <row r="444" spans="1:14" ht="14.4" hidden="1">
      <c r="A444" s="416" t="s">
        <v>328</v>
      </c>
      <c r="B444" s="610" t="s">
        <v>329</v>
      </c>
      <c r="C444" s="568" t="s">
        <v>894</v>
      </c>
      <c r="D444" s="611"/>
      <c r="E444" s="417" t="s">
        <v>24</v>
      </c>
      <c r="F444" s="415"/>
      <c r="G444" s="416" t="s">
        <v>331</v>
      </c>
      <c r="H444" s="416" t="s">
        <v>33</v>
      </c>
      <c r="I444" s="415" t="s">
        <v>332</v>
      </c>
      <c r="J444" s="424">
        <v>126390000</v>
      </c>
      <c r="K444" s="422" t="s">
        <v>27</v>
      </c>
      <c r="L444" s="421"/>
      <c r="M444" s="422"/>
      <c r="N444" s="423" t="s">
        <v>6</v>
      </c>
    </row>
    <row r="445" spans="1:14" ht="24.6" hidden="1">
      <c r="A445" s="416" t="s">
        <v>328</v>
      </c>
      <c r="B445" s="416" t="s">
        <v>329</v>
      </c>
      <c r="C445" s="568" t="s">
        <v>895</v>
      </c>
      <c r="D445" s="415"/>
      <c r="E445" s="417" t="s">
        <v>24</v>
      </c>
      <c r="F445" s="415"/>
      <c r="G445" s="416" t="s">
        <v>331</v>
      </c>
      <c r="H445" s="416" t="s">
        <v>33</v>
      </c>
      <c r="I445" s="415" t="s">
        <v>332</v>
      </c>
      <c r="J445" s="424">
        <v>26088000</v>
      </c>
      <c r="K445" s="425" t="s">
        <v>27</v>
      </c>
      <c r="L445" s="421"/>
      <c r="M445" s="422"/>
      <c r="N445" s="423" t="s">
        <v>6</v>
      </c>
    </row>
    <row r="446" spans="1:14" ht="14.4">
      <c r="A446" s="415" t="s">
        <v>896</v>
      </c>
      <c r="B446" s="415"/>
      <c r="C446" s="568" t="s">
        <v>897</v>
      </c>
      <c r="D446" s="415" t="s">
        <v>266</v>
      </c>
      <c r="E446" s="417" t="s">
        <v>90</v>
      </c>
      <c r="F446" s="415"/>
      <c r="G446" s="415" t="s">
        <v>227</v>
      </c>
      <c r="H446" s="373" t="s">
        <v>33</v>
      </c>
      <c r="I446" s="415" t="s">
        <v>164</v>
      </c>
      <c r="J446" s="419">
        <v>699000000</v>
      </c>
      <c r="K446" s="434" t="s">
        <v>340</v>
      </c>
      <c r="L446" s="421">
        <v>45992</v>
      </c>
      <c r="M446" s="422" t="s">
        <v>341</v>
      </c>
      <c r="N446" s="423" t="s">
        <v>898</v>
      </c>
    </row>
    <row r="447" spans="1:14" ht="14.4">
      <c r="A447" s="415" t="s">
        <v>899</v>
      </c>
      <c r="B447" s="415"/>
      <c r="C447" s="568" t="s">
        <v>900</v>
      </c>
      <c r="D447" s="415" t="s">
        <v>263</v>
      </c>
      <c r="E447" s="417" t="s">
        <v>90</v>
      </c>
      <c r="F447" s="415"/>
      <c r="G447" s="415" t="s">
        <v>227</v>
      </c>
      <c r="H447" s="415" t="s">
        <v>26</v>
      </c>
      <c r="I447" s="415" t="s">
        <v>148</v>
      </c>
      <c r="J447" s="419">
        <v>1200000000</v>
      </c>
      <c r="K447" s="434" t="s">
        <v>340</v>
      </c>
      <c r="L447" s="421">
        <v>46016</v>
      </c>
      <c r="M447" s="422" t="s">
        <v>341</v>
      </c>
      <c r="N447" s="423" t="s">
        <v>901</v>
      </c>
    </row>
    <row r="448" spans="1:14" ht="14.4" hidden="1">
      <c r="A448" s="416" t="s">
        <v>902</v>
      </c>
      <c r="B448" s="416" t="s">
        <v>329</v>
      </c>
      <c r="C448" s="568" t="s">
        <v>903</v>
      </c>
      <c r="D448" s="415"/>
      <c r="E448" s="417" t="s">
        <v>24</v>
      </c>
      <c r="F448" s="415"/>
      <c r="G448" s="416" t="s">
        <v>331</v>
      </c>
      <c r="H448" s="416" t="s">
        <v>33</v>
      </c>
      <c r="I448" s="415" t="s">
        <v>332</v>
      </c>
      <c r="J448" s="424">
        <v>283176000</v>
      </c>
      <c r="K448" s="422" t="s">
        <v>27</v>
      </c>
      <c r="L448" s="421"/>
      <c r="M448" s="422"/>
      <c r="N448" s="423" t="s">
        <v>6</v>
      </c>
    </row>
    <row r="449" spans="1:14" ht="14.4" hidden="1">
      <c r="A449" s="416" t="s">
        <v>328</v>
      </c>
      <c r="B449" s="416" t="s">
        <v>329</v>
      </c>
      <c r="C449" s="568" t="s">
        <v>904</v>
      </c>
      <c r="D449" s="415"/>
      <c r="E449" s="417" t="s">
        <v>24</v>
      </c>
      <c r="F449" s="415"/>
      <c r="G449" s="416" t="s">
        <v>331</v>
      </c>
      <c r="H449" s="416" t="s">
        <v>33</v>
      </c>
      <c r="I449" s="415" t="s">
        <v>332</v>
      </c>
      <c r="J449" s="424">
        <v>179820000</v>
      </c>
      <c r="K449" s="422" t="s">
        <v>27</v>
      </c>
      <c r="L449" s="421"/>
      <c r="M449" s="422"/>
      <c r="N449" s="423" t="s">
        <v>6</v>
      </c>
    </row>
    <row r="450" spans="1:14" ht="14.4" hidden="1">
      <c r="A450" s="416" t="s">
        <v>328</v>
      </c>
      <c r="B450" s="416" t="s">
        <v>329</v>
      </c>
      <c r="C450" s="568" t="s">
        <v>905</v>
      </c>
      <c r="D450" s="415"/>
      <c r="E450" s="417" t="s">
        <v>24</v>
      </c>
      <c r="F450" s="415"/>
      <c r="G450" s="416" t="s">
        <v>331</v>
      </c>
      <c r="H450" s="416" t="s">
        <v>33</v>
      </c>
      <c r="I450" s="415" t="s">
        <v>332</v>
      </c>
      <c r="J450" s="424">
        <v>510534000</v>
      </c>
      <c r="K450" s="422" t="s">
        <v>27</v>
      </c>
      <c r="L450" s="421"/>
      <c r="M450" s="422"/>
      <c r="N450" s="423" t="s">
        <v>6</v>
      </c>
    </row>
    <row r="451" spans="1:14" ht="14.4" hidden="1">
      <c r="A451" s="416" t="s">
        <v>328</v>
      </c>
      <c r="B451" s="416" t="s">
        <v>329</v>
      </c>
      <c r="C451" s="568" t="s">
        <v>906</v>
      </c>
      <c r="D451" s="415"/>
      <c r="E451" s="417" t="s">
        <v>24</v>
      </c>
      <c r="F451" s="415"/>
      <c r="G451" s="416" t="s">
        <v>331</v>
      </c>
      <c r="H451" s="416" t="s">
        <v>33</v>
      </c>
      <c r="I451" s="415" t="s">
        <v>332</v>
      </c>
      <c r="J451" s="424">
        <v>8772000</v>
      </c>
      <c r="K451" s="422" t="s">
        <v>27</v>
      </c>
      <c r="L451" s="421"/>
      <c r="M451" s="422"/>
      <c r="N451" s="423" t="s">
        <v>6</v>
      </c>
    </row>
    <row r="452" spans="1:14" ht="14.4" hidden="1">
      <c r="A452" s="416" t="s">
        <v>328</v>
      </c>
      <c r="B452" s="416" t="s">
        <v>329</v>
      </c>
      <c r="C452" s="568" t="s">
        <v>907</v>
      </c>
      <c r="D452" s="415"/>
      <c r="E452" s="417" t="s">
        <v>24</v>
      </c>
      <c r="F452" s="415"/>
      <c r="G452" s="416" t="s">
        <v>331</v>
      </c>
      <c r="H452" s="416" t="s">
        <v>33</v>
      </c>
      <c r="I452" s="415" t="s">
        <v>332</v>
      </c>
      <c r="J452" s="424">
        <v>13650000</v>
      </c>
      <c r="K452" s="425" t="s">
        <v>27</v>
      </c>
      <c r="L452" s="421"/>
      <c r="M452" s="422"/>
      <c r="N452" s="423" t="s">
        <v>6</v>
      </c>
    </row>
    <row r="453" spans="1:14" ht="14.4">
      <c r="A453" s="415" t="s">
        <v>908</v>
      </c>
      <c r="B453" s="415"/>
      <c r="C453" s="568" t="s">
        <v>909</v>
      </c>
      <c r="D453" s="415" t="s">
        <v>361</v>
      </c>
      <c r="E453" s="417" t="s">
        <v>90</v>
      </c>
      <c r="F453" s="415"/>
      <c r="G453" s="415" t="s">
        <v>227</v>
      </c>
      <c r="H453" s="415" t="s">
        <v>26</v>
      </c>
      <c r="I453" s="415" t="s">
        <v>148</v>
      </c>
      <c r="J453" s="419">
        <v>2350000000</v>
      </c>
      <c r="K453" s="434" t="s">
        <v>340</v>
      </c>
      <c r="L453" s="421">
        <v>46014</v>
      </c>
      <c r="M453" s="422" t="s">
        <v>341</v>
      </c>
      <c r="N453" s="423"/>
    </row>
    <row r="454" spans="1:14" ht="14.4">
      <c r="A454" s="415" t="s">
        <v>910</v>
      </c>
      <c r="B454" s="416"/>
      <c r="C454" s="568" t="s">
        <v>911</v>
      </c>
      <c r="D454" s="415" t="s">
        <v>253</v>
      </c>
      <c r="E454" s="417" t="s">
        <v>90</v>
      </c>
      <c r="F454" s="415"/>
      <c r="G454" s="415" t="s">
        <v>227</v>
      </c>
      <c r="H454" s="415" t="s">
        <v>26</v>
      </c>
      <c r="I454" s="415" t="s">
        <v>148</v>
      </c>
      <c r="J454" s="419">
        <v>348000000</v>
      </c>
      <c r="K454" s="434" t="s">
        <v>340</v>
      </c>
      <c r="L454" s="421">
        <v>45992</v>
      </c>
      <c r="M454" s="421"/>
      <c r="N454" s="432"/>
    </row>
    <row r="455" spans="1:14" ht="14.4">
      <c r="A455" s="415" t="s">
        <v>912</v>
      </c>
      <c r="B455" s="416"/>
      <c r="C455" s="568" t="s">
        <v>913</v>
      </c>
      <c r="D455" s="415" t="s">
        <v>321</v>
      </c>
      <c r="E455" s="417" t="s">
        <v>90</v>
      </c>
      <c r="F455" s="415"/>
      <c r="G455" s="415" t="s">
        <v>227</v>
      </c>
      <c r="H455" s="415" t="s">
        <v>26</v>
      </c>
      <c r="I455" s="415" t="s">
        <v>148</v>
      </c>
      <c r="J455" s="419">
        <v>2800000000</v>
      </c>
      <c r="K455" s="434" t="s">
        <v>340</v>
      </c>
      <c r="L455" s="421">
        <v>45992</v>
      </c>
      <c r="M455" s="421"/>
      <c r="N455" s="432"/>
    </row>
    <row r="456" spans="1:14" ht="14.4">
      <c r="A456" s="415" t="s">
        <v>914</v>
      </c>
      <c r="B456" s="416"/>
      <c r="C456" s="568" t="s">
        <v>915</v>
      </c>
      <c r="D456" s="415" t="s">
        <v>263</v>
      </c>
      <c r="E456" s="417" t="s">
        <v>90</v>
      </c>
      <c r="F456" s="415"/>
      <c r="G456" s="415" t="s">
        <v>227</v>
      </c>
      <c r="H456" s="415" t="s">
        <v>26</v>
      </c>
      <c r="I456" s="415" t="s">
        <v>148</v>
      </c>
      <c r="J456" s="419">
        <v>1500000000</v>
      </c>
      <c r="K456" s="434" t="s">
        <v>340</v>
      </c>
      <c r="L456" s="421">
        <v>46016</v>
      </c>
      <c r="M456" s="421"/>
      <c r="N456" s="432"/>
    </row>
    <row r="457" spans="1:14" ht="14.4" hidden="1">
      <c r="A457" s="416" t="s">
        <v>328</v>
      </c>
      <c r="B457" s="416" t="s">
        <v>329</v>
      </c>
      <c r="C457" s="568" t="s">
        <v>916</v>
      </c>
      <c r="D457" s="415"/>
      <c r="E457" s="417" t="s">
        <v>24</v>
      </c>
      <c r="F457" s="415"/>
      <c r="G457" s="416" t="s">
        <v>331</v>
      </c>
      <c r="H457" s="416" t="s">
        <v>33</v>
      </c>
      <c r="I457" s="415" t="s">
        <v>332</v>
      </c>
      <c r="J457" s="424">
        <v>371772000</v>
      </c>
      <c r="K457" s="422" t="s">
        <v>27</v>
      </c>
      <c r="L457" s="421"/>
      <c r="M457" s="422"/>
      <c r="N457" s="423" t="s">
        <v>6</v>
      </c>
    </row>
    <row r="458" spans="1:14" ht="14.4">
      <c r="A458" s="415" t="s">
        <v>917</v>
      </c>
      <c r="B458" s="416"/>
      <c r="C458" s="568" t="s">
        <v>918</v>
      </c>
      <c r="D458" s="415" t="s">
        <v>226</v>
      </c>
      <c r="E458" s="417" t="s">
        <v>90</v>
      </c>
      <c r="F458" s="415"/>
      <c r="G458" s="415" t="s">
        <v>227</v>
      </c>
      <c r="H458" s="415" t="s">
        <v>26</v>
      </c>
      <c r="I458" s="415" t="s">
        <v>148</v>
      </c>
      <c r="J458" s="419">
        <v>6000000</v>
      </c>
      <c r="K458" s="434" t="s">
        <v>340</v>
      </c>
      <c r="L458" s="421">
        <v>45992</v>
      </c>
      <c r="M458" s="421"/>
      <c r="N458" s="432"/>
    </row>
    <row r="459" spans="1:14" ht="14.4" hidden="1">
      <c r="A459" s="416" t="s">
        <v>471</v>
      </c>
      <c r="B459" s="416" t="s">
        <v>329</v>
      </c>
      <c r="C459" s="568" t="s">
        <v>919</v>
      </c>
      <c r="D459" s="415"/>
      <c r="E459" s="417" t="s">
        <v>24</v>
      </c>
      <c r="F459" s="415"/>
      <c r="G459" s="416" t="s">
        <v>331</v>
      </c>
      <c r="H459" s="416" t="s">
        <v>33</v>
      </c>
      <c r="I459" s="415" t="s">
        <v>332</v>
      </c>
      <c r="J459" s="424">
        <v>17405000</v>
      </c>
      <c r="K459" s="422" t="s">
        <v>27</v>
      </c>
      <c r="L459" s="421"/>
      <c r="M459" s="422"/>
      <c r="N459" s="423" t="s">
        <v>6</v>
      </c>
    </row>
    <row r="460" spans="1:14" ht="14.4" hidden="1">
      <c r="A460" s="416" t="s">
        <v>328</v>
      </c>
      <c r="B460" s="416" t="s">
        <v>329</v>
      </c>
      <c r="C460" s="568" t="s">
        <v>920</v>
      </c>
      <c r="D460" s="415"/>
      <c r="E460" s="417" t="s">
        <v>24</v>
      </c>
      <c r="F460" s="415"/>
      <c r="G460" s="416" t="s">
        <v>331</v>
      </c>
      <c r="H460" s="416" t="s">
        <v>33</v>
      </c>
      <c r="I460" s="415" t="s">
        <v>332</v>
      </c>
      <c r="J460" s="424">
        <v>4750000</v>
      </c>
      <c r="K460" s="422" t="s">
        <v>27</v>
      </c>
      <c r="L460" s="421"/>
      <c r="M460" s="422"/>
      <c r="N460" s="423" t="s">
        <v>6</v>
      </c>
    </row>
    <row r="461" spans="1:14" ht="14.4">
      <c r="A461" s="415" t="s">
        <v>921</v>
      </c>
      <c r="B461" s="416"/>
      <c r="C461" s="568" t="s">
        <v>922</v>
      </c>
      <c r="D461" s="415" t="s">
        <v>226</v>
      </c>
      <c r="E461" s="417" t="s">
        <v>90</v>
      </c>
      <c r="F461" s="415"/>
      <c r="G461" s="415" t="s">
        <v>227</v>
      </c>
      <c r="H461" s="415" t="s">
        <v>33</v>
      </c>
      <c r="I461" s="415" t="s">
        <v>164</v>
      </c>
      <c r="J461" s="419">
        <v>106559000</v>
      </c>
      <c r="K461" s="434" t="s">
        <v>340</v>
      </c>
      <c r="L461" s="421">
        <v>45985</v>
      </c>
      <c r="M461" s="421" t="s">
        <v>341</v>
      </c>
      <c r="N461" s="432" t="s">
        <v>923</v>
      </c>
    </row>
    <row r="462" spans="1:14" ht="14.4" hidden="1">
      <c r="A462" s="415" t="s">
        <v>471</v>
      </c>
      <c r="B462" s="416" t="s">
        <v>329</v>
      </c>
      <c r="C462" s="568" t="s">
        <v>924</v>
      </c>
      <c r="D462" s="415"/>
      <c r="E462" s="417" t="s">
        <v>24</v>
      </c>
      <c r="F462" s="415"/>
      <c r="G462" s="415" t="s">
        <v>331</v>
      </c>
      <c r="H462" s="415" t="s">
        <v>33</v>
      </c>
      <c r="I462" s="415" t="s">
        <v>332</v>
      </c>
      <c r="J462" s="419">
        <v>1212908000</v>
      </c>
      <c r="K462" s="434" t="s">
        <v>27</v>
      </c>
      <c r="L462" s="421"/>
      <c r="M462" s="422"/>
      <c r="N462" s="423" t="s">
        <v>925</v>
      </c>
    </row>
    <row r="463" spans="1:14" ht="14.4">
      <c r="A463" s="415" t="s">
        <v>926</v>
      </c>
      <c r="B463" s="416"/>
      <c r="C463" s="568" t="s">
        <v>927</v>
      </c>
      <c r="D463" s="415" t="s">
        <v>226</v>
      </c>
      <c r="E463" s="417" t="s">
        <v>90</v>
      </c>
      <c r="F463" s="415"/>
      <c r="G463" s="415" t="s">
        <v>227</v>
      </c>
      <c r="H463" s="415" t="s">
        <v>33</v>
      </c>
      <c r="I463" s="415" t="s">
        <v>164</v>
      </c>
      <c r="J463" s="419">
        <v>62318500</v>
      </c>
      <c r="K463" s="434" t="s">
        <v>340</v>
      </c>
      <c r="L463" s="421">
        <v>45985</v>
      </c>
      <c r="M463" s="421" t="s">
        <v>341</v>
      </c>
      <c r="N463" s="432" t="s">
        <v>923</v>
      </c>
    </row>
    <row r="464" spans="1:14" ht="14.4" hidden="1">
      <c r="A464" s="415" t="s">
        <v>471</v>
      </c>
      <c r="B464" s="416" t="s">
        <v>329</v>
      </c>
      <c r="C464" s="568" t="s">
        <v>928</v>
      </c>
      <c r="D464" s="415"/>
      <c r="E464" s="417" t="s">
        <v>24</v>
      </c>
      <c r="F464" s="415"/>
      <c r="G464" s="415" t="s">
        <v>331</v>
      </c>
      <c r="H464" s="415" t="s">
        <v>33</v>
      </c>
      <c r="I464" s="415" t="s">
        <v>332</v>
      </c>
      <c r="J464" s="419">
        <v>831286000</v>
      </c>
      <c r="K464" s="434" t="s">
        <v>27</v>
      </c>
      <c r="L464" s="421"/>
      <c r="M464" s="422"/>
      <c r="N464" s="423" t="s">
        <v>929</v>
      </c>
    </row>
    <row r="465" spans="1:14" ht="14.4">
      <c r="A465" s="415" t="s">
        <v>930</v>
      </c>
      <c r="B465" s="416"/>
      <c r="C465" s="568" t="s">
        <v>931</v>
      </c>
      <c r="D465" s="415" t="s">
        <v>226</v>
      </c>
      <c r="E465" s="417" t="s">
        <v>90</v>
      </c>
      <c r="F465" s="415"/>
      <c r="G465" s="415" t="s">
        <v>227</v>
      </c>
      <c r="H465" s="415" t="s">
        <v>26</v>
      </c>
      <c r="I465" s="415" t="s">
        <v>148</v>
      </c>
      <c r="J465" s="419">
        <v>58000000</v>
      </c>
      <c r="K465" s="434" t="s">
        <v>340</v>
      </c>
      <c r="L465" s="421">
        <v>46015</v>
      </c>
      <c r="M465" s="421" t="s">
        <v>341</v>
      </c>
      <c r="N465" s="432"/>
    </row>
    <row r="466" spans="1:14" ht="14.4">
      <c r="A466" s="415" t="s">
        <v>932</v>
      </c>
      <c r="B466" s="416"/>
      <c r="C466" s="568" t="s">
        <v>933</v>
      </c>
      <c r="D466" s="415" t="s">
        <v>226</v>
      </c>
      <c r="E466" s="417" t="s">
        <v>90</v>
      </c>
      <c r="F466" s="415"/>
      <c r="G466" s="415" t="s">
        <v>227</v>
      </c>
      <c r="H466" s="415" t="s">
        <v>26</v>
      </c>
      <c r="I466" s="415" t="s">
        <v>148</v>
      </c>
      <c r="J466" s="419">
        <v>14000000</v>
      </c>
      <c r="K466" s="434" t="s">
        <v>340</v>
      </c>
      <c r="L466" s="421">
        <v>46015</v>
      </c>
      <c r="M466" s="421"/>
      <c r="N466" s="432"/>
    </row>
    <row r="467" spans="1:14" ht="14.4">
      <c r="A467" s="415" t="s">
        <v>934</v>
      </c>
      <c r="B467" s="416"/>
      <c r="C467" s="568" t="s">
        <v>935</v>
      </c>
      <c r="D467" s="415" t="s">
        <v>226</v>
      </c>
      <c r="E467" s="417" t="s">
        <v>90</v>
      </c>
      <c r="F467" s="415"/>
      <c r="G467" s="415" t="s">
        <v>227</v>
      </c>
      <c r="H467" s="415" t="s">
        <v>26</v>
      </c>
      <c r="I467" s="415" t="s">
        <v>148</v>
      </c>
      <c r="J467" s="419">
        <v>22000000</v>
      </c>
      <c r="K467" s="434" t="s">
        <v>340</v>
      </c>
      <c r="L467" s="421">
        <v>46015</v>
      </c>
      <c r="M467" s="421" t="s">
        <v>341</v>
      </c>
      <c r="N467" s="432"/>
    </row>
    <row r="468" spans="1:14" ht="14.4" hidden="1">
      <c r="A468" s="415" t="s">
        <v>471</v>
      </c>
      <c r="B468" s="416" t="s">
        <v>329</v>
      </c>
      <c r="C468" s="568" t="s">
        <v>936</v>
      </c>
      <c r="D468" s="415"/>
      <c r="E468" s="417" t="s">
        <v>24</v>
      </c>
      <c r="F468" s="415"/>
      <c r="G468" s="415" t="s">
        <v>331</v>
      </c>
      <c r="H468" s="415" t="s">
        <v>33</v>
      </c>
      <c r="I468" s="415" t="s">
        <v>332</v>
      </c>
      <c r="J468" s="419">
        <v>197327000</v>
      </c>
      <c r="K468" s="434" t="s">
        <v>27</v>
      </c>
      <c r="L468" s="421"/>
      <c r="M468" s="422"/>
      <c r="N468" s="423" t="s">
        <v>937</v>
      </c>
    </row>
    <row r="469" spans="1:14" ht="14.4" hidden="1">
      <c r="A469" s="415" t="s">
        <v>471</v>
      </c>
      <c r="B469" s="416" t="s">
        <v>329</v>
      </c>
      <c r="C469" s="568" t="s">
        <v>938</v>
      </c>
      <c r="D469" s="415"/>
      <c r="E469" s="417" t="s">
        <v>24</v>
      </c>
      <c r="F469" s="415"/>
      <c r="G469" s="415" t="s">
        <v>331</v>
      </c>
      <c r="H469" s="415" t="s">
        <v>33</v>
      </c>
      <c r="I469" s="415" t="s">
        <v>332</v>
      </c>
      <c r="J469" s="419">
        <v>118160000</v>
      </c>
      <c r="K469" s="434" t="s">
        <v>27</v>
      </c>
      <c r="L469" s="421"/>
      <c r="M469" s="422"/>
      <c r="N469" s="423" t="s">
        <v>939</v>
      </c>
    </row>
    <row r="470" spans="1:14" ht="14.4">
      <c r="A470" s="415" t="s">
        <v>940</v>
      </c>
      <c r="B470" s="415"/>
      <c r="C470" s="568" t="s">
        <v>941</v>
      </c>
      <c r="D470" s="415" t="s">
        <v>266</v>
      </c>
      <c r="E470" s="417" t="s">
        <v>90</v>
      </c>
      <c r="F470" s="415"/>
      <c r="G470" s="415" t="s">
        <v>227</v>
      </c>
      <c r="H470" s="373" t="s">
        <v>26</v>
      </c>
      <c r="I470" s="415" t="s">
        <v>148</v>
      </c>
      <c r="J470" s="419">
        <v>280000000</v>
      </c>
      <c r="K470" s="434" t="s">
        <v>340</v>
      </c>
      <c r="L470" s="421">
        <v>45985</v>
      </c>
      <c r="M470" s="422"/>
      <c r="N470" s="432"/>
    </row>
    <row r="471" spans="1:14" ht="14.4" hidden="1">
      <c r="A471" s="415" t="s">
        <v>471</v>
      </c>
      <c r="B471" s="416" t="s">
        <v>329</v>
      </c>
      <c r="C471" s="568" t="s">
        <v>942</v>
      </c>
      <c r="D471" s="415"/>
      <c r="E471" s="417" t="s">
        <v>24</v>
      </c>
      <c r="F471" s="415"/>
      <c r="G471" s="415" t="s">
        <v>331</v>
      </c>
      <c r="H471" s="415" t="s">
        <v>33</v>
      </c>
      <c r="I471" s="415" t="s">
        <v>332</v>
      </c>
      <c r="J471" s="419">
        <v>7933000</v>
      </c>
      <c r="K471" s="434" t="s">
        <v>27</v>
      </c>
      <c r="L471" s="421"/>
      <c r="M471" s="422"/>
      <c r="N471" s="423" t="s">
        <v>943</v>
      </c>
    </row>
    <row r="472" spans="1:14" ht="14.4" hidden="1">
      <c r="A472" s="415" t="s">
        <v>944</v>
      </c>
      <c r="C472" s="568" t="s">
        <v>219</v>
      </c>
      <c r="D472" s="414"/>
      <c r="E472" s="417" t="s">
        <v>24</v>
      </c>
      <c r="F472" s="415"/>
      <c r="G472" s="415" t="s">
        <v>43</v>
      </c>
      <c r="H472" s="415" t="s">
        <v>33</v>
      </c>
      <c r="I472" s="415" t="s">
        <v>164</v>
      </c>
      <c r="J472" s="419">
        <v>387000000</v>
      </c>
      <c r="K472" s="434" t="s">
        <v>40</v>
      </c>
      <c r="L472" s="421">
        <v>45740</v>
      </c>
      <c r="M472" s="422" t="s">
        <v>149</v>
      </c>
      <c r="N472" s="423" t="s">
        <v>61</v>
      </c>
    </row>
    <row r="473" spans="1:14" ht="14.4">
      <c r="A473" s="415" t="s">
        <v>945</v>
      </c>
      <c r="B473" s="416"/>
      <c r="C473" s="568" t="s">
        <v>946</v>
      </c>
      <c r="D473" s="415"/>
      <c r="E473" s="417" t="s">
        <v>90</v>
      </c>
      <c r="F473" s="415"/>
      <c r="G473" s="415" t="s">
        <v>227</v>
      </c>
      <c r="H473" s="415" t="s">
        <v>33</v>
      </c>
      <c r="I473" s="415" t="s">
        <v>164</v>
      </c>
      <c r="J473" s="419">
        <v>11000000</v>
      </c>
      <c r="K473" s="434" t="s">
        <v>340</v>
      </c>
      <c r="L473" s="421">
        <v>45985</v>
      </c>
      <c r="M473" s="421"/>
      <c r="N473" s="432"/>
    </row>
    <row r="474" spans="1:14" ht="14.4">
      <c r="A474" s="415" t="s">
        <v>947</v>
      </c>
      <c r="B474" s="416"/>
      <c r="C474" s="568" t="s">
        <v>948</v>
      </c>
      <c r="D474" s="415" t="s">
        <v>226</v>
      </c>
      <c r="E474" s="417" t="s">
        <v>90</v>
      </c>
      <c r="F474" s="415"/>
      <c r="G474" s="415" t="s">
        <v>227</v>
      </c>
      <c r="H474" s="415" t="s">
        <v>26</v>
      </c>
      <c r="I474" s="415" t="s">
        <v>148</v>
      </c>
      <c r="J474" s="419">
        <v>21000000</v>
      </c>
      <c r="K474" s="434" t="s">
        <v>340</v>
      </c>
      <c r="L474" s="421">
        <v>45985</v>
      </c>
      <c r="M474" s="421" t="s">
        <v>341</v>
      </c>
      <c r="N474" s="432"/>
    </row>
    <row r="475" spans="1:14" ht="14.4">
      <c r="A475" s="415" t="s">
        <v>949</v>
      </c>
      <c r="B475" s="416"/>
      <c r="C475" s="568" t="s">
        <v>950</v>
      </c>
      <c r="D475" s="415" t="s">
        <v>266</v>
      </c>
      <c r="E475" s="417" t="s">
        <v>90</v>
      </c>
      <c r="F475" s="415"/>
      <c r="G475" s="415" t="s">
        <v>227</v>
      </c>
      <c r="H475" s="415" t="s">
        <v>26</v>
      </c>
      <c r="I475" s="415" t="s">
        <v>164</v>
      </c>
      <c r="J475" s="419">
        <v>210000000</v>
      </c>
      <c r="K475" s="434" t="s">
        <v>340</v>
      </c>
      <c r="L475" s="421">
        <v>45985</v>
      </c>
      <c r="M475" s="421" t="s">
        <v>341</v>
      </c>
      <c r="N475" s="432"/>
    </row>
    <row r="476" spans="1:14" ht="14.4">
      <c r="A476" s="415" t="s">
        <v>951</v>
      </c>
      <c r="B476" s="416"/>
      <c r="C476" s="568" t="s">
        <v>952</v>
      </c>
      <c r="D476" s="415"/>
      <c r="E476" s="417" t="s">
        <v>90</v>
      </c>
      <c r="F476" s="415"/>
      <c r="G476" s="415" t="s">
        <v>227</v>
      </c>
      <c r="H476" s="415" t="s">
        <v>26</v>
      </c>
      <c r="I476" s="415" t="s">
        <v>145</v>
      </c>
      <c r="J476" s="419">
        <v>27000000</v>
      </c>
      <c r="K476" s="434" t="s">
        <v>340</v>
      </c>
      <c r="L476" s="421">
        <v>45985</v>
      </c>
      <c r="M476" s="421" t="s">
        <v>341</v>
      </c>
      <c r="N476" s="432"/>
    </row>
    <row r="477" spans="1:14" ht="14.4">
      <c r="A477" s="415" t="s">
        <v>953</v>
      </c>
      <c r="B477" s="416"/>
      <c r="C477" s="568" t="s">
        <v>750</v>
      </c>
      <c r="D477" s="415" t="s">
        <v>253</v>
      </c>
      <c r="E477" s="417" t="s">
        <v>90</v>
      </c>
      <c r="F477" s="415"/>
      <c r="G477" s="415" t="s">
        <v>227</v>
      </c>
      <c r="H477" s="415" t="s">
        <v>26</v>
      </c>
      <c r="I477" s="415" t="s">
        <v>148</v>
      </c>
      <c r="J477" s="419">
        <v>340000000</v>
      </c>
      <c r="K477" s="434" t="s">
        <v>340</v>
      </c>
      <c r="L477" s="421">
        <v>45986</v>
      </c>
      <c r="M477" s="421" t="s">
        <v>341</v>
      </c>
      <c r="N477" s="432"/>
    </row>
    <row r="478" spans="1:14" ht="14.4">
      <c r="A478" s="415" t="s">
        <v>954</v>
      </c>
      <c r="B478" s="416"/>
      <c r="C478" s="568" t="s">
        <v>955</v>
      </c>
      <c r="D478" s="415" t="s">
        <v>266</v>
      </c>
      <c r="E478" s="417" t="s">
        <v>90</v>
      </c>
      <c r="F478" s="415"/>
      <c r="G478" s="415" t="s">
        <v>227</v>
      </c>
      <c r="H478" s="415" t="s">
        <v>26</v>
      </c>
      <c r="I478" s="415" t="s">
        <v>164</v>
      </c>
      <c r="J478" s="419">
        <v>70000000</v>
      </c>
      <c r="K478" s="434" t="s">
        <v>340</v>
      </c>
      <c r="L478" s="421">
        <v>45985</v>
      </c>
      <c r="M478" s="421" t="s">
        <v>341</v>
      </c>
      <c r="N478" s="432"/>
    </row>
    <row r="479" spans="1:14" ht="14.4">
      <c r="A479" s="415" t="s">
        <v>956</v>
      </c>
      <c r="B479" s="416"/>
      <c r="C479" s="568" t="s">
        <v>957</v>
      </c>
      <c r="D479" s="415" t="s">
        <v>226</v>
      </c>
      <c r="E479" s="417" t="s">
        <v>90</v>
      </c>
      <c r="F479" s="415"/>
      <c r="G479" s="415" t="s">
        <v>227</v>
      </c>
      <c r="H479" s="415" t="s">
        <v>26</v>
      </c>
      <c r="I479" s="415" t="s">
        <v>148</v>
      </c>
      <c r="J479" s="419">
        <v>298025000</v>
      </c>
      <c r="K479" s="434" t="s">
        <v>340</v>
      </c>
      <c r="L479" s="421">
        <v>45985</v>
      </c>
      <c r="M479" s="421" t="s">
        <v>341</v>
      </c>
      <c r="N479" s="432"/>
    </row>
    <row r="480" spans="1:14" ht="14.4">
      <c r="A480" s="415" t="s">
        <v>958</v>
      </c>
      <c r="B480" s="416"/>
      <c r="C480" s="568" t="s">
        <v>959</v>
      </c>
      <c r="D480" s="415" t="s">
        <v>263</v>
      </c>
      <c r="E480" s="417" t="s">
        <v>90</v>
      </c>
      <c r="F480" s="415"/>
      <c r="G480" s="415" t="s">
        <v>227</v>
      </c>
      <c r="H480" s="415" t="s">
        <v>26</v>
      </c>
      <c r="I480" s="415" t="s">
        <v>148</v>
      </c>
      <c r="J480" s="419">
        <v>2400000000</v>
      </c>
      <c r="K480" s="434" t="s">
        <v>340</v>
      </c>
      <c r="L480" s="421">
        <v>45985</v>
      </c>
      <c r="M480" s="421"/>
      <c r="N480" s="432"/>
    </row>
    <row r="481" spans="1:14" ht="14.4">
      <c r="A481" s="415" t="s">
        <v>960</v>
      </c>
      <c r="B481" s="416"/>
      <c r="C481" s="568" t="s">
        <v>961</v>
      </c>
      <c r="D481" s="415" t="s">
        <v>226</v>
      </c>
      <c r="E481" s="417" t="s">
        <v>90</v>
      </c>
      <c r="F481" s="415"/>
      <c r="G481" s="415" t="s">
        <v>227</v>
      </c>
      <c r="H481" s="415" t="s">
        <v>26</v>
      </c>
      <c r="I481" s="415" t="s">
        <v>164</v>
      </c>
      <c r="J481" s="419">
        <v>7300000</v>
      </c>
      <c r="K481" s="434" t="s">
        <v>340</v>
      </c>
      <c r="L481" s="421">
        <v>45985</v>
      </c>
      <c r="M481" s="421"/>
      <c r="N481" s="432"/>
    </row>
    <row r="482" spans="1:14" ht="14.4" hidden="1">
      <c r="A482" s="415" t="s">
        <v>471</v>
      </c>
      <c r="B482" s="416" t="s">
        <v>329</v>
      </c>
      <c r="C482" s="568" t="s">
        <v>962</v>
      </c>
      <c r="D482" s="415"/>
      <c r="E482" s="417" t="s">
        <v>24</v>
      </c>
      <c r="F482" s="415"/>
      <c r="G482" s="415" t="s">
        <v>331</v>
      </c>
      <c r="H482" s="415" t="s">
        <v>33</v>
      </c>
      <c r="I482" s="415" t="s">
        <v>332</v>
      </c>
      <c r="J482" s="419">
        <v>87340000</v>
      </c>
      <c r="K482" s="434" t="s">
        <v>27</v>
      </c>
      <c r="L482" s="421"/>
      <c r="M482" s="422"/>
      <c r="N482" s="423" t="s">
        <v>943</v>
      </c>
    </row>
    <row r="483" spans="1:14" ht="24.6" hidden="1">
      <c r="A483" s="415" t="s">
        <v>328</v>
      </c>
      <c r="B483" s="416" t="s">
        <v>329</v>
      </c>
      <c r="C483" s="568" t="s">
        <v>963</v>
      </c>
      <c r="D483" s="415"/>
      <c r="E483" s="417" t="s">
        <v>24</v>
      </c>
      <c r="F483" s="415"/>
      <c r="G483" s="415" t="s">
        <v>331</v>
      </c>
      <c r="H483" s="415" t="s">
        <v>33</v>
      </c>
      <c r="I483" s="415" t="s">
        <v>332</v>
      </c>
      <c r="J483" s="419">
        <v>82763000</v>
      </c>
      <c r="K483" s="434" t="s">
        <v>27</v>
      </c>
      <c r="L483" s="421"/>
      <c r="M483" s="422"/>
      <c r="N483" s="423" t="s">
        <v>964</v>
      </c>
    </row>
    <row r="484" spans="1:14" ht="14.4" hidden="1">
      <c r="A484" s="415" t="s">
        <v>471</v>
      </c>
      <c r="B484" s="416" t="s">
        <v>329</v>
      </c>
      <c r="C484" s="568" t="s">
        <v>965</v>
      </c>
      <c r="D484" s="415"/>
      <c r="E484" s="417" t="s">
        <v>24</v>
      </c>
      <c r="F484" s="415"/>
      <c r="G484" s="415" t="s">
        <v>331</v>
      </c>
      <c r="H484" s="415" t="s">
        <v>33</v>
      </c>
      <c r="I484" s="415" t="s">
        <v>332</v>
      </c>
      <c r="J484" s="419">
        <v>5352928000</v>
      </c>
      <c r="K484" s="434" t="s">
        <v>27</v>
      </c>
      <c r="L484" s="421"/>
      <c r="M484" s="422"/>
      <c r="N484" s="423" t="s">
        <v>966</v>
      </c>
    </row>
    <row r="485" spans="1:14" ht="14.4" hidden="1">
      <c r="A485" s="415" t="s">
        <v>471</v>
      </c>
      <c r="B485" s="416" t="s">
        <v>329</v>
      </c>
      <c r="C485" s="568" t="s">
        <v>967</v>
      </c>
      <c r="D485" s="415"/>
      <c r="E485" s="417" t="s">
        <v>24</v>
      </c>
      <c r="F485" s="415"/>
      <c r="G485" s="415" t="s">
        <v>331</v>
      </c>
      <c r="H485" s="415" t="s">
        <v>33</v>
      </c>
      <c r="I485" s="415" t="s">
        <v>332</v>
      </c>
      <c r="J485" s="419">
        <v>1902992000</v>
      </c>
      <c r="K485" s="434" t="s">
        <v>27</v>
      </c>
      <c r="L485" s="421"/>
      <c r="M485" s="422"/>
      <c r="N485" s="423" t="s">
        <v>968</v>
      </c>
    </row>
    <row r="486" spans="1:14" ht="14.4" hidden="1">
      <c r="A486" s="415" t="s">
        <v>471</v>
      </c>
      <c r="B486" s="416" t="s">
        <v>329</v>
      </c>
      <c r="C486" s="568" t="s">
        <v>969</v>
      </c>
      <c r="D486" s="415"/>
      <c r="E486" s="415" t="s">
        <v>24</v>
      </c>
      <c r="F486" s="415"/>
      <c r="G486" s="415" t="s">
        <v>331</v>
      </c>
      <c r="H486" s="415" t="s">
        <v>33</v>
      </c>
      <c r="I486" s="415" t="s">
        <v>332</v>
      </c>
      <c r="J486" s="419">
        <v>357276000</v>
      </c>
      <c r="K486" s="434" t="s">
        <v>27</v>
      </c>
      <c r="L486" s="421"/>
      <c r="M486" s="422"/>
      <c r="N486" s="423" t="s">
        <v>968</v>
      </c>
    </row>
    <row r="487" spans="1:14" ht="14.4">
      <c r="A487" s="415" t="s">
        <v>970</v>
      </c>
      <c r="B487" s="416"/>
      <c r="C487" s="568" t="s">
        <v>971</v>
      </c>
      <c r="D487" s="415" t="s">
        <v>266</v>
      </c>
      <c r="E487" s="415" t="s">
        <v>90</v>
      </c>
      <c r="F487" s="415"/>
      <c r="G487" s="415" t="s">
        <v>227</v>
      </c>
      <c r="H487" s="415" t="s">
        <v>26</v>
      </c>
      <c r="I487" s="415" t="s">
        <v>164</v>
      </c>
      <c r="J487" s="419">
        <v>46000000</v>
      </c>
      <c r="K487" s="434" t="s">
        <v>340</v>
      </c>
      <c r="L487" s="421">
        <v>45985</v>
      </c>
      <c r="M487" s="421" t="s">
        <v>341</v>
      </c>
      <c r="N487" s="432"/>
    </row>
    <row r="488" spans="1:14" ht="14.4">
      <c r="A488" s="415" t="s">
        <v>972</v>
      </c>
      <c r="B488" s="416"/>
      <c r="C488" s="568" t="s">
        <v>973</v>
      </c>
      <c r="D488" s="415" t="s">
        <v>321</v>
      </c>
      <c r="E488" s="415" t="s">
        <v>90</v>
      </c>
      <c r="F488" s="415"/>
      <c r="G488" s="415" t="s">
        <v>227</v>
      </c>
      <c r="H488" s="415" t="s">
        <v>26</v>
      </c>
      <c r="I488" s="415" t="s">
        <v>148</v>
      </c>
      <c r="J488" s="419">
        <v>2250000000</v>
      </c>
      <c r="K488" s="434" t="s">
        <v>340</v>
      </c>
      <c r="L488" s="421">
        <v>45985</v>
      </c>
      <c r="M488" s="421" t="s">
        <v>341</v>
      </c>
      <c r="N488" s="432"/>
    </row>
    <row r="489" spans="1:14" ht="14.4">
      <c r="A489" s="415" t="s">
        <v>974</v>
      </c>
      <c r="B489" s="416"/>
      <c r="C489" s="568" t="s">
        <v>975</v>
      </c>
      <c r="D489" s="415" t="s">
        <v>253</v>
      </c>
      <c r="E489" s="415" t="s">
        <v>90</v>
      </c>
      <c r="F489" s="415"/>
      <c r="G489" s="415" t="s">
        <v>227</v>
      </c>
      <c r="H489" s="415" t="s">
        <v>26</v>
      </c>
      <c r="I489" s="415" t="s">
        <v>148</v>
      </c>
      <c r="J489" s="419">
        <v>110000000</v>
      </c>
      <c r="K489" s="434" t="s">
        <v>340</v>
      </c>
      <c r="L489" s="421">
        <v>45954</v>
      </c>
      <c r="M489" s="421" t="s">
        <v>341</v>
      </c>
      <c r="N489" s="432"/>
    </row>
    <row r="490" spans="1:14" ht="14.4">
      <c r="A490" s="415" t="s">
        <v>976</v>
      </c>
      <c r="B490" s="416"/>
      <c r="C490" s="568" t="s">
        <v>977</v>
      </c>
      <c r="D490" s="415" t="s">
        <v>266</v>
      </c>
      <c r="E490" s="415" t="s">
        <v>90</v>
      </c>
      <c r="F490" s="415"/>
      <c r="G490" s="415" t="s">
        <v>227</v>
      </c>
      <c r="H490" s="415" t="s">
        <v>26</v>
      </c>
      <c r="I490" s="415" t="s">
        <v>164</v>
      </c>
      <c r="J490" s="419">
        <v>172000000</v>
      </c>
      <c r="K490" s="434" t="s">
        <v>340</v>
      </c>
      <c r="L490" s="421">
        <v>46015</v>
      </c>
      <c r="M490" s="421" t="s">
        <v>341</v>
      </c>
      <c r="N490" s="432"/>
    </row>
    <row r="491" spans="1:14" ht="14.4">
      <c r="A491" s="415" t="s">
        <v>978</v>
      </c>
      <c r="B491" s="416"/>
      <c r="C491" s="568" t="s">
        <v>979</v>
      </c>
      <c r="D491" s="415"/>
      <c r="E491" s="415" t="s">
        <v>90</v>
      </c>
      <c r="F491" s="415"/>
      <c r="G491" s="415" t="s">
        <v>227</v>
      </c>
      <c r="H491" s="415" t="s">
        <v>33</v>
      </c>
      <c r="I491" s="415" t="s">
        <v>164</v>
      </c>
      <c r="J491" s="419">
        <v>95320000</v>
      </c>
      <c r="K491" s="434" t="s">
        <v>340</v>
      </c>
      <c r="L491" s="421">
        <v>46015</v>
      </c>
      <c r="M491" s="421" t="s">
        <v>341</v>
      </c>
      <c r="N491" s="432"/>
    </row>
    <row r="492" spans="1:14" ht="14.4" hidden="1">
      <c r="A492" s="415" t="s">
        <v>132</v>
      </c>
      <c r="B492" s="416"/>
      <c r="C492" s="568" t="s">
        <v>980</v>
      </c>
      <c r="D492" s="415"/>
      <c r="E492" s="417" t="s">
        <v>90</v>
      </c>
      <c r="F492" s="415"/>
      <c r="G492" s="415" t="s">
        <v>103</v>
      </c>
      <c r="H492" s="415" t="s">
        <v>33</v>
      </c>
      <c r="I492" s="415" t="s">
        <v>164</v>
      </c>
      <c r="J492" s="419">
        <v>143667500</v>
      </c>
      <c r="K492" s="434" t="s">
        <v>40</v>
      </c>
      <c r="L492" s="421">
        <v>45807</v>
      </c>
      <c r="M492" s="422" t="s">
        <v>149</v>
      </c>
      <c r="N492" s="423"/>
    </row>
    <row r="493" spans="1:14" ht="14.4" hidden="1">
      <c r="A493" s="415" t="s">
        <v>981</v>
      </c>
      <c r="C493" s="568" t="s">
        <v>982</v>
      </c>
      <c r="D493" s="414"/>
      <c r="E493" s="415" t="s">
        <v>24</v>
      </c>
      <c r="F493" s="415" t="s">
        <v>169</v>
      </c>
      <c r="G493" s="415"/>
      <c r="H493" s="415" t="s">
        <v>33</v>
      </c>
      <c r="I493" s="414" t="s">
        <v>164</v>
      </c>
      <c r="J493" s="419">
        <v>44100000</v>
      </c>
      <c r="K493" s="434" t="s">
        <v>27</v>
      </c>
      <c r="L493" s="421">
        <v>46248</v>
      </c>
      <c r="M493" s="422"/>
      <c r="N493" s="423" t="s">
        <v>983</v>
      </c>
    </row>
    <row r="494" spans="1:14" ht="14.4" hidden="1">
      <c r="A494" s="415" t="s">
        <v>471</v>
      </c>
      <c r="B494" s="416" t="s">
        <v>329</v>
      </c>
      <c r="C494" s="568" t="s">
        <v>984</v>
      </c>
      <c r="D494" s="415"/>
      <c r="E494" s="415" t="s">
        <v>24</v>
      </c>
      <c r="F494" s="415"/>
      <c r="G494" s="415" t="s">
        <v>331</v>
      </c>
      <c r="H494" s="415" t="s">
        <v>33</v>
      </c>
      <c r="I494" s="415" t="s">
        <v>332</v>
      </c>
      <c r="J494" s="419">
        <v>827640000</v>
      </c>
      <c r="K494" s="434" t="s">
        <v>27</v>
      </c>
      <c r="L494" s="421"/>
      <c r="M494" s="422"/>
      <c r="N494" s="423" t="s">
        <v>968</v>
      </c>
    </row>
    <row r="495" spans="1:14" ht="14.4" hidden="1">
      <c r="A495" s="416" t="s">
        <v>985</v>
      </c>
      <c r="C495" s="568" t="s">
        <v>131</v>
      </c>
      <c r="D495" s="414"/>
      <c r="E495" s="417" t="s">
        <v>90</v>
      </c>
      <c r="F495" s="415"/>
      <c r="G495" s="415" t="s">
        <v>96</v>
      </c>
      <c r="H495" s="415" t="s">
        <v>33</v>
      </c>
      <c r="I495" s="414" t="s">
        <v>164</v>
      </c>
      <c r="J495" s="424">
        <v>248000000</v>
      </c>
      <c r="K495" s="422" t="s">
        <v>340</v>
      </c>
      <c r="L495" s="421">
        <v>46352</v>
      </c>
      <c r="M495" s="422" t="s">
        <v>149</v>
      </c>
      <c r="N495" s="423"/>
    </row>
    <row r="496" spans="1:14" ht="14.4" hidden="1">
      <c r="A496" s="415" t="s">
        <v>471</v>
      </c>
      <c r="B496" s="416" t="s">
        <v>329</v>
      </c>
      <c r="C496" s="568" t="s">
        <v>986</v>
      </c>
      <c r="D496" s="415"/>
      <c r="E496" s="415" t="s">
        <v>24</v>
      </c>
      <c r="F496" s="415"/>
      <c r="G496" s="415" t="s">
        <v>331</v>
      </c>
      <c r="H496" s="415" t="s">
        <v>33</v>
      </c>
      <c r="I496" s="415" t="s">
        <v>332</v>
      </c>
      <c r="J496" s="419">
        <v>169662836</v>
      </c>
      <c r="K496" s="434" t="s">
        <v>27</v>
      </c>
      <c r="L496" s="421"/>
      <c r="M496" s="422"/>
      <c r="N496" s="423" t="s">
        <v>968</v>
      </c>
    </row>
    <row r="497" spans="1:14" ht="14.4" hidden="1">
      <c r="A497" s="416" t="s">
        <v>987</v>
      </c>
      <c r="C497" s="568" t="s">
        <v>988</v>
      </c>
      <c r="D497" s="414"/>
      <c r="E497" s="417" t="s">
        <v>90</v>
      </c>
      <c r="F497" s="415"/>
      <c r="G497" s="415" t="s">
        <v>96</v>
      </c>
      <c r="H497" s="415" t="s">
        <v>33</v>
      </c>
      <c r="I497" s="414" t="s">
        <v>164</v>
      </c>
      <c r="J497" s="424">
        <v>39000000</v>
      </c>
      <c r="K497" s="422" t="s">
        <v>27</v>
      </c>
      <c r="L497" s="566">
        <v>46260</v>
      </c>
      <c r="M497" s="422"/>
      <c r="N497" s="423" t="s">
        <v>989</v>
      </c>
    </row>
    <row r="498" spans="1:14" ht="14.4" hidden="1">
      <c r="A498" s="416" t="s">
        <v>990</v>
      </c>
      <c r="C498" s="568" t="s">
        <v>991</v>
      </c>
      <c r="D498" s="414"/>
      <c r="E498" s="417" t="s">
        <v>90</v>
      </c>
      <c r="F498" s="415"/>
      <c r="G498" s="415" t="s">
        <v>96</v>
      </c>
      <c r="H498" s="415" t="s">
        <v>33</v>
      </c>
      <c r="I498" s="414" t="s">
        <v>164</v>
      </c>
      <c r="J498" s="424">
        <v>165000000</v>
      </c>
      <c r="K498" s="422" t="s">
        <v>27</v>
      </c>
      <c r="L498" s="566">
        <v>46382</v>
      </c>
      <c r="M498" s="422"/>
      <c r="N498" s="423" t="s">
        <v>79</v>
      </c>
    </row>
    <row r="499" spans="1:14" ht="14.4" hidden="1">
      <c r="A499" s="416" t="s">
        <v>992</v>
      </c>
      <c r="C499" s="568" t="s">
        <v>993</v>
      </c>
      <c r="D499" s="414"/>
      <c r="E499" s="417" t="s">
        <v>90</v>
      </c>
      <c r="F499" s="415"/>
      <c r="G499" s="415" t="s">
        <v>96</v>
      </c>
      <c r="H499" s="415" t="s">
        <v>33</v>
      </c>
      <c r="I499" s="414" t="s">
        <v>164</v>
      </c>
      <c r="J499" s="424">
        <v>647000000</v>
      </c>
      <c r="K499" s="422" t="s">
        <v>27</v>
      </c>
      <c r="L499" s="566">
        <v>46291</v>
      </c>
      <c r="M499" s="422"/>
      <c r="N499" s="423" t="s">
        <v>778</v>
      </c>
    </row>
    <row r="500" spans="1:14" ht="14.4" hidden="1">
      <c r="A500" s="416" t="s">
        <v>994</v>
      </c>
      <c r="C500" s="568" t="s">
        <v>995</v>
      </c>
      <c r="D500" s="414"/>
      <c r="E500" s="417" t="s">
        <v>90</v>
      </c>
      <c r="F500" s="415"/>
      <c r="G500" s="415" t="s">
        <v>96</v>
      </c>
      <c r="H500" s="415" t="s">
        <v>33</v>
      </c>
      <c r="I500" s="414" t="s">
        <v>164</v>
      </c>
      <c r="J500" s="424">
        <v>1400000000</v>
      </c>
      <c r="K500" s="422" t="s">
        <v>27</v>
      </c>
      <c r="L500" s="566">
        <v>46321</v>
      </c>
      <c r="M500" s="422"/>
      <c r="N500" s="423" t="s">
        <v>778</v>
      </c>
    </row>
    <row r="501" spans="1:14" ht="14.4" hidden="1">
      <c r="A501" s="416" t="s">
        <v>996</v>
      </c>
      <c r="C501" s="568" t="s">
        <v>997</v>
      </c>
      <c r="D501" s="414"/>
      <c r="E501" s="415" t="s">
        <v>90</v>
      </c>
      <c r="F501" s="415"/>
      <c r="G501" s="415" t="s">
        <v>96</v>
      </c>
      <c r="H501" s="415" t="s">
        <v>26</v>
      </c>
      <c r="I501" s="414" t="s">
        <v>164</v>
      </c>
      <c r="J501" s="424">
        <v>1600000000</v>
      </c>
      <c r="K501" s="422" t="s">
        <v>27</v>
      </c>
      <c r="L501" s="566">
        <v>46229</v>
      </c>
      <c r="M501" s="422"/>
      <c r="N501" s="423" t="s">
        <v>778</v>
      </c>
    </row>
    <row r="502" spans="1:14" ht="14.4" hidden="1">
      <c r="A502" s="416" t="s">
        <v>998</v>
      </c>
      <c r="C502" s="568" t="s">
        <v>999</v>
      </c>
      <c r="D502" s="414"/>
      <c r="E502" s="415" t="s">
        <v>90</v>
      </c>
      <c r="F502" s="415"/>
      <c r="G502" s="415" t="s">
        <v>96</v>
      </c>
      <c r="H502" s="415" t="s">
        <v>26</v>
      </c>
      <c r="I502" s="414" t="s">
        <v>164</v>
      </c>
      <c r="J502" s="424">
        <v>2500000000</v>
      </c>
      <c r="K502" s="422" t="s">
        <v>40</v>
      </c>
      <c r="L502" s="566">
        <v>46138</v>
      </c>
      <c r="M502" s="422" t="s">
        <v>149</v>
      </c>
      <c r="N502" s="423"/>
    </row>
    <row r="503" spans="1:14" ht="14.4" hidden="1">
      <c r="A503" s="416" t="s">
        <v>1000</v>
      </c>
      <c r="C503" s="568" t="s">
        <v>131</v>
      </c>
      <c r="D503" s="414"/>
      <c r="E503" s="415" t="s">
        <v>90</v>
      </c>
      <c r="F503" s="415"/>
      <c r="G503" s="415" t="s">
        <v>96</v>
      </c>
      <c r="H503" s="415" t="s">
        <v>26</v>
      </c>
      <c r="I503" s="414" t="s">
        <v>164</v>
      </c>
      <c r="J503" s="424">
        <v>1385000000</v>
      </c>
      <c r="K503" s="422" t="s">
        <v>44</v>
      </c>
      <c r="L503" s="566">
        <v>46352</v>
      </c>
      <c r="M503" s="422"/>
      <c r="N503" s="423" t="s">
        <v>1001</v>
      </c>
    </row>
    <row r="504" spans="1:14" ht="14.4" hidden="1">
      <c r="A504" s="416" t="s">
        <v>1002</v>
      </c>
      <c r="C504" s="568" t="s">
        <v>131</v>
      </c>
      <c r="D504" s="414"/>
      <c r="E504" s="415" t="s">
        <v>90</v>
      </c>
      <c r="F504" s="415"/>
      <c r="G504" s="415" t="s">
        <v>96</v>
      </c>
      <c r="H504" s="415" t="s">
        <v>33</v>
      </c>
      <c r="I504" s="414" t="s">
        <v>164</v>
      </c>
      <c r="J504" s="424">
        <v>178000000</v>
      </c>
      <c r="K504" s="422" t="s">
        <v>27</v>
      </c>
      <c r="L504" s="566">
        <v>46291</v>
      </c>
      <c r="M504" s="422"/>
      <c r="N504" s="423"/>
    </row>
    <row r="505" spans="1:14" ht="14.4" hidden="1">
      <c r="A505" s="389" t="s">
        <v>471</v>
      </c>
      <c r="B505" s="349" t="s">
        <v>329</v>
      </c>
      <c r="C505" s="568" t="s">
        <v>1003</v>
      </c>
      <c r="D505" s="414"/>
      <c r="E505" s="415" t="s">
        <v>24</v>
      </c>
      <c r="F505" s="415"/>
      <c r="G505" s="415" t="s">
        <v>331</v>
      </c>
      <c r="H505" s="415" t="s">
        <v>33</v>
      </c>
      <c r="I505" s="415" t="s">
        <v>332</v>
      </c>
      <c r="J505" s="390">
        <v>3090088000</v>
      </c>
      <c r="K505" s="434" t="s">
        <v>27</v>
      </c>
      <c r="L505" s="421"/>
      <c r="M505" s="422"/>
      <c r="N505" s="423" t="s">
        <v>1004</v>
      </c>
    </row>
    <row r="506" spans="1:14" ht="14.4" hidden="1">
      <c r="A506" s="389" t="s">
        <v>471</v>
      </c>
      <c r="B506" s="349" t="s">
        <v>329</v>
      </c>
      <c r="C506" s="568" t="s">
        <v>1005</v>
      </c>
      <c r="D506" s="414"/>
      <c r="E506" s="415" t="s">
        <v>24</v>
      </c>
      <c r="F506" s="415"/>
      <c r="G506" s="415" t="s">
        <v>331</v>
      </c>
      <c r="H506" s="415" t="s">
        <v>33</v>
      </c>
      <c r="I506" s="415" t="s">
        <v>332</v>
      </c>
      <c r="J506" s="390">
        <v>39000000</v>
      </c>
      <c r="K506" s="434" t="s">
        <v>27</v>
      </c>
      <c r="L506" s="421"/>
      <c r="M506" s="422"/>
      <c r="N506" s="423" t="s">
        <v>1006</v>
      </c>
    </row>
    <row r="507" spans="1:14" ht="14.4" hidden="1">
      <c r="A507" s="389" t="s">
        <v>471</v>
      </c>
      <c r="B507" s="349" t="s">
        <v>329</v>
      </c>
      <c r="C507" s="568" t="s">
        <v>1007</v>
      </c>
      <c r="D507" s="414"/>
      <c r="E507" s="415" t="s">
        <v>24</v>
      </c>
      <c r="F507" s="415"/>
      <c r="G507" s="415" t="s">
        <v>331</v>
      </c>
      <c r="H507" s="415" t="s">
        <v>33</v>
      </c>
      <c r="I507" s="415" t="s">
        <v>332</v>
      </c>
      <c r="J507" s="390">
        <v>170100000</v>
      </c>
      <c r="K507" s="434" t="s">
        <v>27</v>
      </c>
      <c r="L507" s="421"/>
      <c r="M507" s="422"/>
      <c r="N507" s="423" t="s">
        <v>1008</v>
      </c>
    </row>
    <row r="508" spans="1:14" ht="24.6" hidden="1">
      <c r="A508" s="389" t="s">
        <v>471</v>
      </c>
      <c r="B508" s="349" t="s">
        <v>329</v>
      </c>
      <c r="C508" s="568" t="s">
        <v>1009</v>
      </c>
      <c r="D508" s="414"/>
      <c r="E508" s="415" t="s">
        <v>24</v>
      </c>
      <c r="F508" s="415"/>
      <c r="G508" s="415" t="s">
        <v>331</v>
      </c>
      <c r="H508" s="415" t="s">
        <v>33</v>
      </c>
      <c r="I508" s="415" t="s">
        <v>332</v>
      </c>
      <c r="J508" s="390">
        <v>43860000</v>
      </c>
      <c r="K508" s="434" t="s">
        <v>27</v>
      </c>
      <c r="L508" s="421"/>
      <c r="M508" s="422"/>
      <c r="N508" s="423" t="s">
        <v>1010</v>
      </c>
    </row>
    <row r="509" spans="1:14" ht="14.4" hidden="1">
      <c r="A509" s="561" t="s">
        <v>1011</v>
      </c>
      <c r="C509" s="568" t="s">
        <v>1012</v>
      </c>
      <c r="D509" s="414" t="s">
        <v>1013</v>
      </c>
      <c r="E509" s="415" t="s">
        <v>24</v>
      </c>
      <c r="F509" s="415" t="s">
        <v>169</v>
      </c>
      <c r="G509" s="415" t="s">
        <v>153</v>
      </c>
      <c r="H509" s="415" t="s">
        <v>26</v>
      </c>
      <c r="I509" s="414" t="s">
        <v>145</v>
      </c>
      <c r="J509" s="419">
        <v>2172000000</v>
      </c>
      <c r="K509" s="434" t="s">
        <v>40</v>
      </c>
      <c r="L509" s="421">
        <v>46174</v>
      </c>
      <c r="M509" s="422" t="s">
        <v>149</v>
      </c>
      <c r="N509" s="423"/>
    </row>
    <row r="510" spans="1:14" ht="14.4" hidden="1">
      <c r="A510" s="561" t="s">
        <v>384</v>
      </c>
      <c r="C510" s="568" t="s">
        <v>1014</v>
      </c>
      <c r="D510" s="414" t="s">
        <v>1015</v>
      </c>
      <c r="E510" s="415" t="s">
        <v>24</v>
      </c>
      <c r="F510" s="415"/>
      <c r="G510" s="415" t="s">
        <v>153</v>
      </c>
      <c r="H510" s="415" t="s">
        <v>26</v>
      </c>
      <c r="I510" s="414" t="s">
        <v>148</v>
      </c>
      <c r="J510" s="419">
        <v>112500000</v>
      </c>
      <c r="K510" s="434" t="s">
        <v>40</v>
      </c>
      <c r="L510" s="421">
        <v>46174</v>
      </c>
      <c r="M510" s="422" t="s">
        <v>149</v>
      </c>
      <c r="N510" s="423"/>
    </row>
    <row r="511" spans="1:14" ht="14.4" hidden="1">
      <c r="A511" s="389" t="s">
        <v>471</v>
      </c>
      <c r="B511" s="610" t="s">
        <v>329</v>
      </c>
      <c r="C511" s="568" t="s">
        <v>1016</v>
      </c>
      <c r="D511" s="611"/>
      <c r="E511" s="415" t="s">
        <v>24</v>
      </c>
      <c r="F511" s="415"/>
      <c r="G511" s="415" t="s">
        <v>331</v>
      </c>
      <c r="H511" s="415" t="s">
        <v>33</v>
      </c>
      <c r="I511" s="611" t="s">
        <v>332</v>
      </c>
      <c r="J511" s="390">
        <v>3085248000</v>
      </c>
      <c r="K511" s="434" t="s">
        <v>27</v>
      </c>
      <c r="L511" s="421"/>
      <c r="M511" s="422"/>
      <c r="N511" s="423" t="s">
        <v>1017</v>
      </c>
    </row>
    <row r="512" spans="1:14" ht="14.4" hidden="1">
      <c r="A512" s="415" t="s">
        <v>1018</v>
      </c>
      <c r="B512" s="610"/>
      <c r="C512" s="568" t="s">
        <v>33</v>
      </c>
      <c r="D512" s="611"/>
      <c r="E512" s="415" t="s">
        <v>90</v>
      </c>
      <c r="F512" s="415"/>
      <c r="G512" s="415" t="s">
        <v>103</v>
      </c>
      <c r="H512" s="415" t="s">
        <v>26</v>
      </c>
      <c r="I512" s="611" t="s">
        <v>154</v>
      </c>
      <c r="J512" s="419">
        <v>385000000</v>
      </c>
      <c r="K512" s="434" t="s">
        <v>27</v>
      </c>
      <c r="L512" s="566">
        <v>46229</v>
      </c>
      <c r="M512" s="422"/>
      <c r="N512" s="423"/>
    </row>
    <row r="513" spans="1:14" ht="14.4" hidden="1">
      <c r="A513" s="415" t="s">
        <v>471</v>
      </c>
      <c r="B513" s="349" t="s">
        <v>329</v>
      </c>
      <c r="C513" s="568" t="s">
        <v>1019</v>
      </c>
      <c r="D513" s="414"/>
      <c r="E513" s="415" t="s">
        <v>24</v>
      </c>
      <c r="F513" s="415"/>
      <c r="G513" s="415" t="s">
        <v>331</v>
      </c>
      <c r="H513" s="415" t="s">
        <v>33</v>
      </c>
      <c r="I513" s="611" t="s">
        <v>332</v>
      </c>
      <c r="J513" s="419">
        <v>158645000</v>
      </c>
      <c r="K513" s="434" t="s">
        <v>27</v>
      </c>
      <c r="L513" s="421"/>
      <c r="M513" s="422"/>
      <c r="N513" s="423" t="s">
        <v>1020</v>
      </c>
    </row>
    <row r="514" spans="1:14" ht="14.4" hidden="1">
      <c r="A514" s="415" t="s">
        <v>1021</v>
      </c>
      <c r="C514" s="568" t="s">
        <v>1022</v>
      </c>
      <c r="D514" s="414"/>
      <c r="E514" s="415" t="s">
        <v>24</v>
      </c>
      <c r="F514" s="415" t="s">
        <v>169</v>
      </c>
      <c r="G514" s="415" t="s">
        <v>25</v>
      </c>
      <c r="H514" s="415" t="s">
        <v>33</v>
      </c>
      <c r="I514" s="414" t="s">
        <v>148</v>
      </c>
      <c r="J514" s="419">
        <v>16000000</v>
      </c>
      <c r="K514" s="434" t="s">
        <v>40</v>
      </c>
      <c r="L514" s="421">
        <v>46148</v>
      </c>
      <c r="M514" s="422" t="s">
        <v>149</v>
      </c>
      <c r="N514" s="423"/>
    </row>
    <row r="515" spans="1:14" ht="14.4" hidden="1">
      <c r="A515" s="415" t="s">
        <v>471</v>
      </c>
      <c r="B515" s="349" t="s">
        <v>329</v>
      </c>
      <c r="C515" s="568" t="s">
        <v>1023</v>
      </c>
      <c r="D515" s="414"/>
      <c r="E515" s="415" t="s">
        <v>24</v>
      </c>
      <c r="F515" s="415"/>
      <c r="G515" s="415" t="s">
        <v>331</v>
      </c>
      <c r="H515" s="415" t="s">
        <v>33</v>
      </c>
      <c r="I515" s="611" t="s">
        <v>332</v>
      </c>
      <c r="J515" s="419">
        <v>750678000</v>
      </c>
      <c r="K515" s="434" t="s">
        <v>27</v>
      </c>
      <c r="L515" s="421"/>
      <c r="M515" s="422"/>
      <c r="N515" s="423" t="s">
        <v>1024</v>
      </c>
    </row>
    <row r="516" spans="1:14" ht="14.4" hidden="1">
      <c r="A516" s="415" t="s">
        <v>1025</v>
      </c>
      <c r="B516" s="415"/>
      <c r="C516" s="568" t="s">
        <v>1026</v>
      </c>
      <c r="D516" s="415"/>
      <c r="E516" s="415" t="s">
        <v>90</v>
      </c>
      <c r="F516" s="415"/>
      <c r="G516" s="415" t="s">
        <v>103</v>
      </c>
      <c r="H516" s="415" t="s">
        <v>26</v>
      </c>
      <c r="I516" s="415" t="s">
        <v>164</v>
      </c>
      <c r="J516" s="424">
        <v>2900000000</v>
      </c>
      <c r="K516" s="422" t="s">
        <v>94</v>
      </c>
      <c r="L516" s="566">
        <v>46260</v>
      </c>
      <c r="M516" s="421"/>
      <c r="N516" s="423" t="s">
        <v>1027</v>
      </c>
    </row>
    <row r="517" spans="1:14" ht="14.4" hidden="1">
      <c r="A517" s="415" t="s">
        <v>1028</v>
      </c>
      <c r="C517" s="568" t="s">
        <v>147</v>
      </c>
      <c r="D517" s="414"/>
      <c r="E517" s="415" t="s">
        <v>90</v>
      </c>
      <c r="F517" s="415"/>
      <c r="G517" s="415" t="s">
        <v>103</v>
      </c>
      <c r="H517" s="415" t="s">
        <v>147</v>
      </c>
      <c r="I517" s="414" t="s">
        <v>148</v>
      </c>
      <c r="J517" s="419">
        <v>61429000</v>
      </c>
      <c r="K517" s="434" t="s">
        <v>40</v>
      </c>
      <c r="L517" s="421"/>
      <c r="M517" s="422"/>
      <c r="N517" s="423"/>
    </row>
    <row r="518" spans="1:14" ht="14.4" hidden="1">
      <c r="A518" s="415" t="s">
        <v>1018</v>
      </c>
      <c r="C518" s="568" t="s">
        <v>1029</v>
      </c>
      <c r="D518" s="414"/>
      <c r="E518" s="415" t="s">
        <v>90</v>
      </c>
      <c r="F518" s="415"/>
      <c r="G518" s="415" t="s">
        <v>103</v>
      </c>
      <c r="H518" s="415" t="s">
        <v>147</v>
      </c>
      <c r="I518" s="414" t="s">
        <v>145</v>
      </c>
      <c r="J518" s="419">
        <v>441441441</v>
      </c>
      <c r="K518" s="434" t="s">
        <v>40</v>
      </c>
      <c r="L518" s="421">
        <v>46168</v>
      </c>
      <c r="M518" s="422"/>
      <c r="N518" s="423"/>
    </row>
    <row r="519" spans="1:14" ht="14.4" hidden="1">
      <c r="A519" s="415" t="s">
        <v>1018</v>
      </c>
      <c r="C519" s="568" t="s">
        <v>147</v>
      </c>
      <c r="D519" s="414"/>
      <c r="E519" s="415" t="s">
        <v>90</v>
      </c>
      <c r="F519" s="415"/>
      <c r="G519" s="415" t="s">
        <v>103</v>
      </c>
      <c r="H519" s="415" t="s">
        <v>147</v>
      </c>
      <c r="I519" s="414" t="s">
        <v>145</v>
      </c>
      <c r="J519" s="419">
        <v>49549549</v>
      </c>
      <c r="K519" s="434" t="s">
        <v>40</v>
      </c>
      <c r="L519" s="421">
        <v>46167</v>
      </c>
      <c r="M519" s="422"/>
      <c r="N519" s="423"/>
    </row>
    <row r="520" spans="1:14" ht="14.4" hidden="1">
      <c r="A520" s="415" t="s">
        <v>1030</v>
      </c>
      <c r="C520" s="568" t="s">
        <v>26</v>
      </c>
      <c r="D520" s="414"/>
      <c r="E520" s="415" t="s">
        <v>90</v>
      </c>
      <c r="F520" s="415"/>
      <c r="G520" s="415" t="s">
        <v>103</v>
      </c>
      <c r="H520" s="415" t="s">
        <v>26</v>
      </c>
      <c r="I520" s="414" t="s">
        <v>164</v>
      </c>
      <c r="J520" s="419">
        <v>1787420000</v>
      </c>
      <c r="K520" s="434" t="s">
        <v>40</v>
      </c>
      <c r="L520" s="421">
        <v>46015</v>
      </c>
      <c r="M520" s="422"/>
      <c r="N520" s="423"/>
    </row>
    <row r="521" spans="1:14" ht="14.4" hidden="1">
      <c r="A521" s="415" t="s">
        <v>1031</v>
      </c>
      <c r="C521" s="568" t="s">
        <v>26</v>
      </c>
      <c r="D521" s="414"/>
      <c r="E521" s="415" t="s">
        <v>90</v>
      </c>
      <c r="F521" s="415"/>
      <c r="G521" s="415" t="s">
        <v>103</v>
      </c>
      <c r="H521" s="415" t="s">
        <v>26</v>
      </c>
      <c r="I521" s="414" t="s">
        <v>164</v>
      </c>
      <c r="J521" s="419">
        <v>914870000</v>
      </c>
      <c r="K521" s="434" t="s">
        <v>40</v>
      </c>
      <c r="L521" s="421">
        <v>46002</v>
      </c>
      <c r="M521" s="422"/>
      <c r="N521" s="423"/>
    </row>
    <row r="522" spans="1:14" ht="14.4" hidden="1">
      <c r="A522" s="415" t="s">
        <v>1032</v>
      </c>
      <c r="C522" s="568" t="s">
        <v>1033</v>
      </c>
      <c r="D522" s="414" t="s">
        <v>1034</v>
      </c>
      <c r="E522" s="415" t="s">
        <v>90</v>
      </c>
      <c r="F522" s="415"/>
      <c r="G522" s="415" t="s">
        <v>103</v>
      </c>
      <c r="H522" s="415" t="s">
        <v>33</v>
      </c>
      <c r="I522" s="414" t="s">
        <v>164</v>
      </c>
      <c r="J522" s="419">
        <v>1787420000</v>
      </c>
      <c r="K522" s="434" t="s">
        <v>40</v>
      </c>
      <c r="L522" s="421">
        <v>46002</v>
      </c>
      <c r="M522" s="422" t="s">
        <v>149</v>
      </c>
      <c r="N522" s="423" t="s">
        <v>260</v>
      </c>
    </row>
    <row r="523" spans="1:14" ht="14.4" hidden="1">
      <c r="A523" s="415" t="s">
        <v>1035</v>
      </c>
      <c r="C523" s="568" t="s">
        <v>1033</v>
      </c>
      <c r="D523" s="414" t="s">
        <v>1034</v>
      </c>
      <c r="E523" s="415" t="s">
        <v>90</v>
      </c>
      <c r="F523" s="415"/>
      <c r="G523" s="415" t="s">
        <v>103</v>
      </c>
      <c r="H523" s="415" t="s">
        <v>33</v>
      </c>
      <c r="I523" s="414" t="s">
        <v>164</v>
      </c>
      <c r="J523" s="419">
        <v>914870000</v>
      </c>
      <c r="K523" s="434" t="s">
        <v>40</v>
      </c>
      <c r="L523" s="421">
        <v>46002</v>
      </c>
      <c r="M523" s="422" t="s">
        <v>149</v>
      </c>
      <c r="N523" s="423" t="s">
        <v>260</v>
      </c>
    </row>
    <row r="524" spans="1:14" ht="14.4" hidden="1">
      <c r="A524" s="415" t="s">
        <v>1036</v>
      </c>
      <c r="C524" s="568" t="s">
        <v>33</v>
      </c>
      <c r="D524" s="414"/>
      <c r="E524" s="415" t="s">
        <v>90</v>
      </c>
      <c r="F524" s="415"/>
      <c r="G524" s="415" t="s">
        <v>103</v>
      </c>
      <c r="H524" s="415" t="s">
        <v>33</v>
      </c>
      <c r="I524" s="414" t="s">
        <v>164</v>
      </c>
      <c r="J524" s="419">
        <v>858000000</v>
      </c>
      <c r="K524" s="434" t="s">
        <v>40</v>
      </c>
      <c r="L524" s="566">
        <v>46203</v>
      </c>
      <c r="M524" s="422" t="s">
        <v>149</v>
      </c>
      <c r="N524" s="423" t="s">
        <v>1037</v>
      </c>
    </row>
    <row r="525" spans="1:14" ht="14.4" hidden="1">
      <c r="A525" s="415" t="s">
        <v>1038</v>
      </c>
      <c r="C525" s="568" t="s">
        <v>1039</v>
      </c>
      <c r="D525" s="414"/>
      <c r="E525" s="415" t="s">
        <v>90</v>
      </c>
      <c r="F525" s="415"/>
      <c r="G525" s="415" t="s">
        <v>103</v>
      </c>
      <c r="H525" s="415" t="s">
        <v>26</v>
      </c>
      <c r="I525" s="414" t="s">
        <v>145</v>
      </c>
      <c r="J525" s="419">
        <v>586923200</v>
      </c>
      <c r="K525" s="434" t="s">
        <v>40</v>
      </c>
      <c r="L525" s="566">
        <v>46203</v>
      </c>
      <c r="M525" s="422" t="s">
        <v>149</v>
      </c>
      <c r="N525" s="423" t="s">
        <v>1037</v>
      </c>
    </row>
    <row r="526" spans="1:14" ht="14.4" hidden="1">
      <c r="A526" s="453" t="s">
        <v>1040</v>
      </c>
      <c r="B526" s="588"/>
      <c r="C526" s="589" t="s">
        <v>1041</v>
      </c>
      <c r="D526" s="590" t="s">
        <v>33</v>
      </c>
      <c r="E526" s="455" t="s">
        <v>24</v>
      </c>
      <c r="F526" s="453" t="s">
        <v>169</v>
      </c>
      <c r="G526" s="455" t="s">
        <v>201</v>
      </c>
      <c r="H526" s="453" t="s">
        <v>26</v>
      </c>
      <c r="I526" s="557" t="s">
        <v>164</v>
      </c>
      <c r="J526" s="564">
        <v>550000000</v>
      </c>
      <c r="K526" s="565" t="s">
        <v>94</v>
      </c>
      <c r="L526" s="566">
        <v>46338</v>
      </c>
      <c r="M526" s="591"/>
      <c r="N526" s="592"/>
    </row>
    <row r="527" spans="1:14" ht="14.4" hidden="1">
      <c r="A527" s="561" t="s">
        <v>1042</v>
      </c>
      <c r="C527" s="568" t="s">
        <v>1043</v>
      </c>
      <c r="D527" s="414" t="s">
        <v>1044</v>
      </c>
      <c r="E527" s="415" t="s">
        <v>24</v>
      </c>
      <c r="F527" s="415"/>
      <c r="G527" s="415" t="s">
        <v>153</v>
      </c>
      <c r="H527" s="415" t="s">
        <v>33</v>
      </c>
      <c r="I527" s="414" t="s">
        <v>164</v>
      </c>
      <c r="J527" s="419">
        <v>58000000</v>
      </c>
      <c r="K527" s="434" t="s">
        <v>40</v>
      </c>
      <c r="L527" s="421">
        <v>46174</v>
      </c>
      <c r="M527" s="422" t="s">
        <v>149</v>
      </c>
      <c r="N527" s="423"/>
    </row>
    <row r="528" spans="1:14" ht="14.4" hidden="1">
      <c r="A528" s="453" t="s">
        <v>1045</v>
      </c>
      <c r="B528" s="588"/>
      <c r="C528" s="589" t="s">
        <v>1046</v>
      </c>
      <c r="D528" s="590" t="s">
        <v>33</v>
      </c>
      <c r="E528" s="455"/>
      <c r="F528" s="453" t="s">
        <v>169</v>
      </c>
      <c r="G528" s="455"/>
      <c r="H528" s="453" t="s">
        <v>26</v>
      </c>
      <c r="I528" s="557" t="s">
        <v>164</v>
      </c>
      <c r="J528" s="564">
        <v>516000000</v>
      </c>
      <c r="K528" s="565" t="s">
        <v>27</v>
      </c>
      <c r="L528" s="566">
        <v>46232</v>
      </c>
      <c r="M528" s="591"/>
      <c r="N528" s="592"/>
    </row>
    <row r="529" spans="1:14" ht="14.4" hidden="1">
      <c r="A529" s="453" t="s">
        <v>1047</v>
      </c>
      <c r="B529" s="588"/>
      <c r="C529" s="589" t="s">
        <v>1048</v>
      </c>
      <c r="D529" s="590" t="s">
        <v>33</v>
      </c>
      <c r="E529" s="582" t="s">
        <v>24</v>
      </c>
      <c r="F529" s="453" t="s">
        <v>169</v>
      </c>
      <c r="G529" s="455" t="s">
        <v>201</v>
      </c>
      <c r="H529" s="453" t="s">
        <v>26</v>
      </c>
      <c r="I529" s="557" t="s">
        <v>148</v>
      </c>
      <c r="J529" s="564">
        <v>680000000</v>
      </c>
      <c r="K529" s="565" t="s">
        <v>94</v>
      </c>
      <c r="L529" s="566">
        <v>46338</v>
      </c>
      <c r="M529" s="591"/>
      <c r="N529" s="592"/>
    </row>
    <row r="530" spans="1:14" ht="14.4" hidden="1">
      <c r="A530" s="453" t="s">
        <v>1049</v>
      </c>
      <c r="B530" s="588"/>
      <c r="C530" s="589" t="s">
        <v>1050</v>
      </c>
      <c r="D530" s="590" t="s">
        <v>33</v>
      </c>
      <c r="E530" s="455"/>
      <c r="F530" s="453" t="s">
        <v>169</v>
      </c>
      <c r="G530" s="455"/>
      <c r="H530" s="453" t="s">
        <v>26</v>
      </c>
      <c r="I530" s="557" t="s">
        <v>164</v>
      </c>
      <c r="J530" s="564">
        <v>700000000</v>
      </c>
      <c r="K530" s="565" t="s">
        <v>27</v>
      </c>
      <c r="L530" s="566">
        <v>46232</v>
      </c>
      <c r="M530" s="591"/>
      <c r="N530" s="592"/>
    </row>
    <row r="531" spans="1:14" ht="14.4" hidden="1">
      <c r="A531" s="453" t="s">
        <v>1051</v>
      </c>
      <c r="B531" s="588"/>
      <c r="C531" s="589" t="s">
        <v>1052</v>
      </c>
      <c r="D531" s="590" t="s">
        <v>33</v>
      </c>
      <c r="E531" s="582" t="s">
        <v>24</v>
      </c>
      <c r="F531" s="453" t="s">
        <v>169</v>
      </c>
      <c r="G531" s="455" t="s">
        <v>54</v>
      </c>
      <c r="H531" s="453" t="s">
        <v>26</v>
      </c>
      <c r="I531" s="557" t="s">
        <v>164</v>
      </c>
      <c r="J531" s="564">
        <v>750000000</v>
      </c>
      <c r="K531" s="565" t="s">
        <v>67</v>
      </c>
      <c r="L531" s="566"/>
      <c r="M531" s="591"/>
      <c r="N531" s="592"/>
    </row>
    <row r="532" spans="1:14" ht="14.4" hidden="1">
      <c r="A532" s="453" t="s">
        <v>1053</v>
      </c>
      <c r="B532" s="588"/>
      <c r="C532" s="589" t="s">
        <v>1054</v>
      </c>
      <c r="D532" s="590" t="s">
        <v>33</v>
      </c>
      <c r="E532" s="455"/>
      <c r="F532" s="453" t="s">
        <v>169</v>
      </c>
      <c r="G532" s="455"/>
      <c r="H532" s="453" t="s">
        <v>26</v>
      </c>
      <c r="I532" s="557" t="s">
        <v>164</v>
      </c>
      <c r="J532" s="564">
        <v>950000000</v>
      </c>
      <c r="K532" s="565" t="s">
        <v>27</v>
      </c>
      <c r="L532" s="566">
        <v>46232</v>
      </c>
      <c r="M532" s="591"/>
      <c r="N532" s="592"/>
    </row>
    <row r="533" spans="1:14" ht="14.4" hidden="1">
      <c r="A533" s="415" t="s">
        <v>166</v>
      </c>
      <c r="C533" s="568" t="s">
        <v>1055</v>
      </c>
      <c r="D533" s="414" t="s">
        <v>1056</v>
      </c>
      <c r="E533" s="417" t="s">
        <v>24</v>
      </c>
      <c r="F533" s="415" t="s">
        <v>169</v>
      </c>
      <c r="G533" s="415" t="s">
        <v>153</v>
      </c>
      <c r="H533" s="415" t="s">
        <v>33</v>
      </c>
      <c r="I533" s="414" t="s">
        <v>145</v>
      </c>
      <c r="J533" s="419">
        <v>174500000</v>
      </c>
      <c r="K533" s="434" t="s">
        <v>40</v>
      </c>
      <c r="L533" s="421">
        <v>46190</v>
      </c>
      <c r="M533" s="422" t="s">
        <v>149</v>
      </c>
      <c r="N533" s="423" t="s">
        <v>209</v>
      </c>
    </row>
    <row r="534" spans="1:14" ht="14.4" hidden="1">
      <c r="A534" s="453" t="s">
        <v>1057</v>
      </c>
      <c r="B534" s="588"/>
      <c r="C534" s="589" t="s">
        <v>1058</v>
      </c>
      <c r="D534" s="590" t="s">
        <v>33</v>
      </c>
      <c r="E534" s="582" t="s">
        <v>24</v>
      </c>
      <c r="F534" s="453" t="s">
        <v>169</v>
      </c>
      <c r="G534" s="455" t="s">
        <v>201</v>
      </c>
      <c r="H534" s="453" t="s">
        <v>26</v>
      </c>
      <c r="I534" s="557" t="s">
        <v>164</v>
      </c>
      <c r="J534" s="564">
        <v>400000000</v>
      </c>
      <c r="K534" s="565" t="s">
        <v>27</v>
      </c>
      <c r="L534" s="566">
        <v>46232</v>
      </c>
      <c r="M534" s="591" t="s">
        <v>149</v>
      </c>
      <c r="N534" s="592"/>
    </row>
    <row r="535" spans="1:14" ht="14.4" hidden="1">
      <c r="A535" s="453" t="s">
        <v>1059</v>
      </c>
      <c r="C535" s="589" t="s">
        <v>1060</v>
      </c>
      <c r="D535" s="414" t="s">
        <v>33</v>
      </c>
      <c r="E535" s="582" t="s">
        <v>24</v>
      </c>
      <c r="F535" s="415" t="s">
        <v>169</v>
      </c>
      <c r="G535" s="455"/>
      <c r="H535" s="453" t="s">
        <v>26</v>
      </c>
      <c r="I535" s="414" t="s">
        <v>164</v>
      </c>
      <c r="J535" s="564">
        <v>153940000</v>
      </c>
      <c r="K535" s="565" t="s">
        <v>27</v>
      </c>
      <c r="L535" s="566">
        <v>46373</v>
      </c>
      <c r="M535" s="591"/>
      <c r="N535" s="592" t="s">
        <v>1061</v>
      </c>
    </row>
    <row r="536" spans="1:14" ht="14.4" hidden="1">
      <c r="A536" s="453" t="s">
        <v>1062</v>
      </c>
      <c r="B536" s="588"/>
      <c r="C536" s="589" t="s">
        <v>1063</v>
      </c>
      <c r="D536" s="590" t="s">
        <v>33</v>
      </c>
      <c r="E536" s="582" t="s">
        <v>24</v>
      </c>
      <c r="F536" s="453" t="s">
        <v>169</v>
      </c>
      <c r="G536" s="455" t="s">
        <v>25</v>
      </c>
      <c r="H536" s="453" t="s">
        <v>26</v>
      </c>
      <c r="I536" s="557" t="s">
        <v>164</v>
      </c>
      <c r="J536" s="564">
        <v>425000000</v>
      </c>
      <c r="K536" s="565" t="s">
        <v>67</v>
      </c>
      <c r="L536" s="566">
        <v>46381</v>
      </c>
      <c r="M536" s="591"/>
      <c r="N536" s="592"/>
    </row>
    <row r="537" spans="1:14" ht="14.4" hidden="1">
      <c r="A537" s="561" t="s">
        <v>1064</v>
      </c>
      <c r="C537" s="568" t="s">
        <v>1065</v>
      </c>
      <c r="D537" s="414" t="s">
        <v>1066</v>
      </c>
      <c r="E537" s="417" t="s">
        <v>24</v>
      </c>
      <c r="F537" s="415" t="s">
        <v>169</v>
      </c>
      <c r="G537" s="415" t="s">
        <v>153</v>
      </c>
      <c r="H537" s="415" t="s">
        <v>33</v>
      </c>
      <c r="I537" s="414" t="s">
        <v>164</v>
      </c>
      <c r="J537" s="419">
        <v>315500000</v>
      </c>
      <c r="K537" s="434" t="s">
        <v>40</v>
      </c>
      <c r="L537" s="421">
        <v>46199</v>
      </c>
      <c r="M537" s="422" t="s">
        <v>149</v>
      </c>
      <c r="N537" s="423" t="s">
        <v>1067</v>
      </c>
    </row>
    <row r="538" spans="1:14" ht="14.4" hidden="1">
      <c r="A538" s="453" t="s">
        <v>1068</v>
      </c>
      <c r="B538" s="588"/>
      <c r="C538" s="589" t="s">
        <v>1069</v>
      </c>
      <c r="D538" s="590" t="s">
        <v>33</v>
      </c>
      <c r="E538" s="455"/>
      <c r="F538" s="453" t="s">
        <v>169</v>
      </c>
      <c r="G538" s="455"/>
      <c r="H538" s="453" t="s">
        <v>26</v>
      </c>
      <c r="I538" s="557" t="s">
        <v>164</v>
      </c>
      <c r="J538" s="564">
        <v>895000000</v>
      </c>
      <c r="K538" s="565" t="s">
        <v>27</v>
      </c>
      <c r="L538" s="566">
        <v>46232</v>
      </c>
      <c r="M538" s="591"/>
      <c r="N538" s="592"/>
    </row>
    <row r="539" spans="1:14" ht="24" hidden="1">
      <c r="A539" s="453" t="s">
        <v>1070</v>
      </c>
      <c r="B539" s="588"/>
      <c r="C539" s="589" t="s">
        <v>1071</v>
      </c>
      <c r="D539" s="590" t="s">
        <v>33</v>
      </c>
      <c r="E539" s="582" t="s">
        <v>24</v>
      </c>
      <c r="F539" s="453" t="s">
        <v>185</v>
      </c>
      <c r="G539" s="455" t="s">
        <v>201</v>
      </c>
      <c r="H539" s="453" t="s">
        <v>26</v>
      </c>
      <c r="I539" s="557" t="s">
        <v>164</v>
      </c>
      <c r="J539" s="564">
        <v>506750000</v>
      </c>
      <c r="K539" s="565" t="s">
        <v>27</v>
      </c>
      <c r="L539" s="566">
        <v>46338</v>
      </c>
      <c r="M539" s="591"/>
      <c r="N539" s="592" t="s">
        <v>1072</v>
      </c>
    </row>
    <row r="540" spans="1:14" ht="14.4" hidden="1">
      <c r="A540" s="453" t="s">
        <v>1073</v>
      </c>
      <c r="B540" s="588"/>
      <c r="C540" s="589" t="s">
        <v>1074</v>
      </c>
      <c r="D540" s="607" t="s">
        <v>33</v>
      </c>
      <c r="E540" s="582" t="s">
        <v>24</v>
      </c>
      <c r="F540" s="453" t="s">
        <v>185</v>
      </c>
      <c r="G540" s="455"/>
      <c r="H540" s="453" t="s">
        <v>26</v>
      </c>
      <c r="I540" s="557" t="s">
        <v>164</v>
      </c>
      <c r="J540" s="564">
        <v>369000000</v>
      </c>
      <c r="K540" s="565" t="s">
        <v>27</v>
      </c>
      <c r="L540" s="566">
        <v>46338</v>
      </c>
      <c r="M540" s="591"/>
      <c r="N540" s="592" t="s">
        <v>1075</v>
      </c>
    </row>
    <row r="541" spans="1:14" ht="14.4" hidden="1">
      <c r="A541" s="561" t="s">
        <v>1076</v>
      </c>
      <c r="C541" s="568" t="s">
        <v>1077</v>
      </c>
      <c r="D541" s="414" t="s">
        <v>1078</v>
      </c>
      <c r="E541" s="417" t="s">
        <v>24</v>
      </c>
      <c r="F541" s="415"/>
      <c r="G541" s="415" t="s">
        <v>153</v>
      </c>
      <c r="H541" s="415" t="s">
        <v>33</v>
      </c>
      <c r="I541" s="414" t="s">
        <v>164</v>
      </c>
      <c r="J541" s="419">
        <v>414000000</v>
      </c>
      <c r="K541" s="434" t="s">
        <v>72</v>
      </c>
      <c r="L541" s="421">
        <v>46296</v>
      </c>
      <c r="M541" s="422"/>
      <c r="N541" s="423"/>
    </row>
    <row r="542" spans="1:14" ht="14.4" hidden="1">
      <c r="A542" s="453" t="s">
        <v>1021</v>
      </c>
      <c r="B542" s="588"/>
      <c r="C542" s="589" t="s">
        <v>1079</v>
      </c>
      <c r="D542" s="590" t="s">
        <v>33</v>
      </c>
      <c r="E542" s="455" t="s">
        <v>24</v>
      </c>
      <c r="F542" s="453" t="s">
        <v>185</v>
      </c>
      <c r="G542" s="455"/>
      <c r="H542" s="453" t="s">
        <v>26</v>
      </c>
      <c r="I542" s="557" t="s">
        <v>164</v>
      </c>
      <c r="J542" s="564">
        <v>185000000</v>
      </c>
      <c r="K542" s="565" t="s">
        <v>27</v>
      </c>
      <c r="L542" s="566">
        <v>46232</v>
      </c>
      <c r="M542" s="591"/>
      <c r="N542" s="592" t="s">
        <v>1080</v>
      </c>
    </row>
    <row r="543" spans="1:14" ht="14.4" hidden="1">
      <c r="A543" s="453" t="s">
        <v>1073</v>
      </c>
      <c r="B543" s="588"/>
      <c r="C543" s="589" t="s">
        <v>1081</v>
      </c>
      <c r="D543" s="590" t="s">
        <v>33</v>
      </c>
      <c r="E543" s="582" t="s">
        <v>24</v>
      </c>
      <c r="F543" s="453" t="s">
        <v>185</v>
      </c>
      <c r="G543" s="455" t="s">
        <v>170</v>
      </c>
      <c r="H543" s="453" t="s">
        <v>26</v>
      </c>
      <c r="I543" s="557" t="s">
        <v>164</v>
      </c>
      <c r="J543" s="564">
        <v>136400000</v>
      </c>
      <c r="K543" s="565" t="s">
        <v>27</v>
      </c>
      <c r="L543" s="566">
        <v>46381</v>
      </c>
      <c r="M543" s="591"/>
      <c r="N543" s="592" t="s">
        <v>1082</v>
      </c>
    </row>
    <row r="544" spans="1:14" ht="14.4" hidden="1">
      <c r="A544" s="621" t="s">
        <v>1059</v>
      </c>
      <c r="C544" s="589" t="s">
        <v>982</v>
      </c>
      <c r="D544" s="444" t="s">
        <v>33</v>
      </c>
      <c r="E544" s="455" t="s">
        <v>24</v>
      </c>
      <c r="F544" s="415" t="s">
        <v>169</v>
      </c>
      <c r="G544" s="455" t="s">
        <v>170</v>
      </c>
      <c r="H544" s="453" t="s">
        <v>26</v>
      </c>
      <c r="I544" s="414" t="s">
        <v>164</v>
      </c>
      <c r="J544" s="564">
        <v>29000000</v>
      </c>
      <c r="K544" s="565" t="s">
        <v>40</v>
      </c>
      <c r="L544" s="566">
        <v>46177</v>
      </c>
      <c r="M544" s="591" t="s">
        <v>149</v>
      </c>
      <c r="N544" s="592" t="s">
        <v>1083</v>
      </c>
    </row>
    <row r="545" spans="1:14" ht="37.5" hidden="1" customHeight="1">
      <c r="A545" s="453" t="s">
        <v>1084</v>
      </c>
      <c r="B545" s="588"/>
      <c r="C545" s="589" t="s">
        <v>1085</v>
      </c>
      <c r="D545" s="590" t="s">
        <v>33</v>
      </c>
      <c r="E545" s="455"/>
      <c r="F545" s="453" t="s">
        <v>169</v>
      </c>
      <c r="G545" s="455"/>
      <c r="H545" s="453" t="s">
        <v>26</v>
      </c>
      <c r="I545" s="557" t="s">
        <v>145</v>
      </c>
      <c r="J545" s="564">
        <v>9599613600</v>
      </c>
      <c r="K545" s="565" t="s">
        <v>27</v>
      </c>
      <c r="L545" s="566">
        <v>46232</v>
      </c>
      <c r="M545" s="591"/>
      <c r="N545" s="592" t="s">
        <v>1086</v>
      </c>
    </row>
    <row r="546" spans="1:14" ht="14.4" hidden="1">
      <c r="A546" s="453" t="s">
        <v>1087</v>
      </c>
      <c r="B546" s="588"/>
      <c r="C546" s="589" t="s">
        <v>1088</v>
      </c>
      <c r="D546" s="590" t="s">
        <v>33</v>
      </c>
      <c r="E546" s="455"/>
      <c r="F546" s="453" t="s">
        <v>169</v>
      </c>
      <c r="G546" s="455"/>
      <c r="H546" s="453" t="s">
        <v>26</v>
      </c>
      <c r="I546" s="557" t="s">
        <v>148</v>
      </c>
      <c r="J546" s="564">
        <v>2998200000</v>
      </c>
      <c r="K546" s="565" t="s">
        <v>27</v>
      </c>
      <c r="L546" s="566">
        <v>46254</v>
      </c>
      <c r="M546" s="591"/>
      <c r="N546" s="592"/>
    </row>
    <row r="547" spans="1:14" ht="14.4">
      <c r="A547" s="453" t="s">
        <v>1089</v>
      </c>
      <c r="B547" s="588"/>
      <c r="C547" s="589" t="s">
        <v>1090</v>
      </c>
      <c r="D547" s="590" t="s">
        <v>33</v>
      </c>
      <c r="E547" s="455" t="s">
        <v>90</v>
      </c>
      <c r="F547" s="453" t="s">
        <v>169</v>
      </c>
      <c r="G547" s="455" t="s">
        <v>227</v>
      </c>
      <c r="H547" s="453" t="s">
        <v>26</v>
      </c>
      <c r="I547" s="415" t="s">
        <v>148</v>
      </c>
      <c r="J547" s="564">
        <v>1278900000</v>
      </c>
      <c r="K547" s="565" t="s">
        <v>27</v>
      </c>
      <c r="L547" s="566">
        <v>46224</v>
      </c>
      <c r="M547" s="591"/>
      <c r="N547" s="592" t="s">
        <v>1091</v>
      </c>
    </row>
    <row r="548" spans="1:14" ht="14.4" hidden="1">
      <c r="A548" s="453" t="s">
        <v>1089</v>
      </c>
      <c r="B548" s="588"/>
      <c r="C548" s="589" t="s">
        <v>1092</v>
      </c>
      <c r="D548" s="590" t="s">
        <v>33</v>
      </c>
      <c r="E548" s="582" t="s">
        <v>24</v>
      </c>
      <c r="F548" s="453" t="s">
        <v>185</v>
      </c>
      <c r="G548" s="455" t="s">
        <v>201</v>
      </c>
      <c r="H548" s="453" t="s">
        <v>26</v>
      </c>
      <c r="I548" s="557" t="s">
        <v>154</v>
      </c>
      <c r="J548" s="564">
        <v>2055935000</v>
      </c>
      <c r="K548" s="565" t="s">
        <v>27</v>
      </c>
      <c r="L548" s="566">
        <v>46338</v>
      </c>
      <c r="M548" s="591"/>
      <c r="N548" s="592" t="s">
        <v>1093</v>
      </c>
    </row>
    <row r="549" spans="1:14" ht="14.4" hidden="1">
      <c r="A549" s="453" t="s">
        <v>1094</v>
      </c>
      <c r="B549" s="588"/>
      <c r="C549" s="589" t="s">
        <v>364</v>
      </c>
      <c r="D549" s="618" t="s">
        <v>33</v>
      </c>
      <c r="E549" s="455"/>
      <c r="F549" s="453" t="s">
        <v>169</v>
      </c>
      <c r="G549" s="455"/>
      <c r="H549" s="453" t="s">
        <v>26</v>
      </c>
      <c r="I549" s="557" t="s">
        <v>145</v>
      </c>
      <c r="J549" s="564">
        <v>174000000</v>
      </c>
      <c r="K549" s="565" t="s">
        <v>27</v>
      </c>
      <c r="L549" s="566">
        <v>46232</v>
      </c>
      <c r="M549" s="591"/>
      <c r="N549" s="592" t="s">
        <v>1095</v>
      </c>
    </row>
    <row r="550" spans="1:14" ht="14.4" hidden="1">
      <c r="A550" s="415" t="s">
        <v>1096</v>
      </c>
      <c r="C550" s="568" t="s">
        <v>1097</v>
      </c>
      <c r="D550" s="414" t="s">
        <v>1098</v>
      </c>
      <c r="E550" s="417" t="s">
        <v>24</v>
      </c>
      <c r="F550" s="415"/>
      <c r="G550" s="415" t="s">
        <v>153</v>
      </c>
      <c r="H550" s="415" t="s">
        <v>33</v>
      </c>
      <c r="I550" s="414" t="s">
        <v>145</v>
      </c>
      <c r="J550" s="419">
        <f>990000000*0.85</f>
        <v>841500000</v>
      </c>
      <c r="K550" s="434" t="s">
        <v>30</v>
      </c>
      <c r="L550" s="421">
        <v>46204</v>
      </c>
      <c r="M550" s="422"/>
      <c r="N550" s="423" t="s">
        <v>1099</v>
      </c>
    </row>
    <row r="551" spans="1:14" ht="14.4" hidden="1">
      <c r="A551" s="453" t="s">
        <v>1070</v>
      </c>
      <c r="B551" s="588"/>
      <c r="C551" s="589" t="s">
        <v>1100</v>
      </c>
      <c r="D551" s="590" t="s">
        <v>33</v>
      </c>
      <c r="E551" s="455"/>
      <c r="F551" s="453" t="s">
        <v>169</v>
      </c>
      <c r="G551" s="455"/>
      <c r="H551" s="453" t="s">
        <v>26</v>
      </c>
      <c r="I551" s="557" t="s">
        <v>148</v>
      </c>
      <c r="J551" s="564">
        <v>4123150000</v>
      </c>
      <c r="K551" s="565" t="s">
        <v>27</v>
      </c>
      <c r="L551" s="566">
        <v>46232</v>
      </c>
      <c r="M551" s="591"/>
      <c r="N551" s="592" t="s">
        <v>1101</v>
      </c>
    </row>
    <row r="552" spans="1:14" ht="14.4" hidden="1">
      <c r="A552" s="453" t="s">
        <v>1021</v>
      </c>
      <c r="B552" s="588"/>
      <c r="C552" s="589" t="s">
        <v>1102</v>
      </c>
      <c r="D552" s="590" t="s">
        <v>33</v>
      </c>
      <c r="E552" s="455"/>
      <c r="F552" s="453" t="s">
        <v>169</v>
      </c>
      <c r="G552" s="455"/>
      <c r="H552" s="453" t="s">
        <v>26</v>
      </c>
      <c r="I552" s="557" t="s">
        <v>164</v>
      </c>
      <c r="J552" s="564">
        <v>200000000</v>
      </c>
      <c r="K552" s="565" t="s">
        <v>27</v>
      </c>
      <c r="L552" s="566">
        <v>46232</v>
      </c>
      <c r="M552" s="591"/>
      <c r="N552" s="592" t="s">
        <v>1103</v>
      </c>
    </row>
    <row r="553" spans="1:14" ht="14.4" hidden="1">
      <c r="A553" s="453" t="s">
        <v>1104</v>
      </c>
      <c r="B553" s="588"/>
      <c r="C553" s="589" t="s">
        <v>1105</v>
      </c>
      <c r="D553" s="590" t="s">
        <v>33</v>
      </c>
      <c r="E553" s="582" t="s">
        <v>24</v>
      </c>
      <c r="F553" s="453" t="s">
        <v>185</v>
      </c>
      <c r="G553" s="455" t="s">
        <v>170</v>
      </c>
      <c r="H553" s="453" t="s">
        <v>26</v>
      </c>
      <c r="I553" s="557" t="s">
        <v>164</v>
      </c>
      <c r="J553" s="564">
        <v>1378120000</v>
      </c>
      <c r="K553" s="565" t="s">
        <v>27</v>
      </c>
      <c r="L553" s="566">
        <v>46360</v>
      </c>
      <c r="M553" s="591"/>
      <c r="N553" s="592"/>
    </row>
    <row r="554" spans="1:14" ht="14.4" hidden="1">
      <c r="A554" s="453" t="s">
        <v>1106</v>
      </c>
      <c r="B554" s="588"/>
      <c r="C554" s="589" t="s">
        <v>1107</v>
      </c>
      <c r="D554" s="590" t="s">
        <v>33</v>
      </c>
      <c r="E554" s="582" t="s">
        <v>24</v>
      </c>
      <c r="F554" s="453" t="s">
        <v>169</v>
      </c>
      <c r="G554" s="455" t="s">
        <v>170</v>
      </c>
      <c r="H554" s="453" t="s">
        <v>26</v>
      </c>
      <c r="I554" s="557" t="s">
        <v>164</v>
      </c>
      <c r="J554" s="564">
        <v>65750000</v>
      </c>
      <c r="K554" s="565" t="s">
        <v>27</v>
      </c>
      <c r="L554" s="566">
        <v>46382</v>
      </c>
      <c r="M554" s="591"/>
      <c r="N554" s="592"/>
    </row>
    <row r="555" spans="1:14" ht="14.4" hidden="1">
      <c r="A555" s="453" t="s">
        <v>1108</v>
      </c>
      <c r="B555" s="588"/>
      <c r="C555" s="589" t="s">
        <v>1109</v>
      </c>
      <c r="D555" s="590" t="s">
        <v>33</v>
      </c>
      <c r="E555" s="455" t="s">
        <v>90</v>
      </c>
      <c r="F555" s="453" t="s">
        <v>169</v>
      </c>
      <c r="G555" s="455"/>
      <c r="H555" s="453" t="s">
        <v>26</v>
      </c>
      <c r="I555" s="557" t="s">
        <v>148</v>
      </c>
      <c r="J555" s="564">
        <v>213000000</v>
      </c>
      <c r="K555" s="565" t="s">
        <v>27</v>
      </c>
      <c r="L555" s="566">
        <v>46241</v>
      </c>
      <c r="M555" s="591"/>
      <c r="N555" s="592"/>
    </row>
    <row r="556" spans="1:14" ht="14.4" hidden="1">
      <c r="A556" s="453" t="s">
        <v>1108</v>
      </c>
      <c r="B556" s="588"/>
      <c r="C556" s="589" t="s">
        <v>1110</v>
      </c>
      <c r="D556" s="590" t="s">
        <v>33</v>
      </c>
      <c r="E556" s="582" t="s">
        <v>24</v>
      </c>
      <c r="F556" s="453" t="s">
        <v>185</v>
      </c>
      <c r="G556" s="455" t="s">
        <v>54</v>
      </c>
      <c r="H556" s="453" t="s">
        <v>26</v>
      </c>
      <c r="I556" s="557" t="s">
        <v>148</v>
      </c>
      <c r="J556" s="564">
        <v>199020000</v>
      </c>
      <c r="K556" s="565" t="s">
        <v>27</v>
      </c>
      <c r="L556" s="566">
        <v>46372</v>
      </c>
      <c r="M556" s="591"/>
      <c r="N556" s="592"/>
    </row>
    <row r="557" spans="1:14" ht="14.4" hidden="1">
      <c r="A557" s="453" t="s">
        <v>256</v>
      </c>
      <c r="C557" s="589" t="s">
        <v>875</v>
      </c>
      <c r="D557" s="414" t="s">
        <v>33</v>
      </c>
      <c r="E557" s="582" t="s">
        <v>24</v>
      </c>
      <c r="F557" s="415"/>
      <c r="G557" s="455" t="s">
        <v>201</v>
      </c>
      <c r="H557" s="453" t="s">
        <v>26</v>
      </c>
      <c r="I557" s="414" t="s">
        <v>164</v>
      </c>
      <c r="J557" s="564">
        <v>700000000</v>
      </c>
      <c r="K557" s="565" t="s">
        <v>40</v>
      </c>
      <c r="L557" s="566">
        <v>46154</v>
      </c>
      <c r="M557" s="591"/>
      <c r="N557" s="592"/>
    </row>
    <row r="558" spans="1:14" ht="14.4" hidden="1">
      <c r="A558" s="453" t="s">
        <v>1111</v>
      </c>
      <c r="B558" s="588"/>
      <c r="C558" s="589" t="s">
        <v>1112</v>
      </c>
      <c r="D558" s="590" t="s">
        <v>33</v>
      </c>
      <c r="E558" s="582" t="s">
        <v>24</v>
      </c>
      <c r="F558" s="453" t="s">
        <v>169</v>
      </c>
      <c r="G558" s="455" t="s">
        <v>201</v>
      </c>
      <c r="H558" s="453" t="s">
        <v>26</v>
      </c>
      <c r="I558" s="557" t="s">
        <v>164</v>
      </c>
      <c r="J558" s="564">
        <v>2598000000</v>
      </c>
      <c r="K558" s="565" t="s">
        <v>27</v>
      </c>
      <c r="L558" s="566">
        <v>46338</v>
      </c>
      <c r="M558" s="591"/>
      <c r="N558" s="592" t="s">
        <v>1113</v>
      </c>
    </row>
    <row r="559" spans="1:14" ht="14.4" hidden="1">
      <c r="A559" s="453" t="s">
        <v>1114</v>
      </c>
      <c r="B559" s="588"/>
      <c r="C559" s="589" t="s">
        <v>1115</v>
      </c>
      <c r="D559" s="618" t="s">
        <v>33</v>
      </c>
      <c r="E559" s="455" t="s">
        <v>90</v>
      </c>
      <c r="F559" s="453" t="s">
        <v>169</v>
      </c>
      <c r="G559" s="455" t="s">
        <v>103</v>
      </c>
      <c r="H559" s="453" t="s">
        <v>26</v>
      </c>
      <c r="I559" s="557" t="s">
        <v>154</v>
      </c>
      <c r="J559" s="564">
        <v>4839200000</v>
      </c>
      <c r="K559" s="565" t="s">
        <v>340</v>
      </c>
      <c r="L559" s="566"/>
      <c r="M559" s="591"/>
      <c r="N559" s="592" t="s">
        <v>1116</v>
      </c>
    </row>
    <row r="560" spans="1:14" ht="14.4" hidden="1">
      <c r="A560" s="453" t="s">
        <v>1084</v>
      </c>
      <c r="B560" s="588"/>
      <c r="C560" s="589" t="s">
        <v>1117</v>
      </c>
      <c r="D560" s="590" t="s">
        <v>33</v>
      </c>
      <c r="E560" s="455"/>
      <c r="F560" s="453" t="s">
        <v>169</v>
      </c>
      <c r="G560" s="455"/>
      <c r="H560" s="453" t="s">
        <v>26</v>
      </c>
      <c r="I560" s="557" t="s">
        <v>164</v>
      </c>
      <c r="J560" s="564">
        <v>935000000</v>
      </c>
      <c r="K560" s="565" t="s">
        <v>27</v>
      </c>
      <c r="L560" s="566">
        <v>46232</v>
      </c>
      <c r="M560" s="591"/>
      <c r="N560" s="592" t="s">
        <v>1118</v>
      </c>
    </row>
    <row r="561" spans="1:14" ht="14.4" hidden="1">
      <c r="A561" s="453"/>
      <c r="C561" s="589"/>
      <c r="D561" s="414"/>
      <c r="E561" s="455"/>
      <c r="F561" s="415"/>
      <c r="G561" s="455"/>
      <c r="H561" s="453"/>
      <c r="I561" s="414"/>
      <c r="J561" s="564"/>
      <c r="K561" s="565"/>
      <c r="L561" s="566"/>
      <c r="M561" s="591"/>
      <c r="N561" s="592"/>
    </row>
    <row r="562" spans="1:14" ht="14.4" hidden="1">
      <c r="A562" s="453" t="s">
        <v>1119</v>
      </c>
      <c r="B562" s="588"/>
      <c r="C562" s="589" t="s">
        <v>1120</v>
      </c>
      <c r="D562" s="590" t="s">
        <v>33</v>
      </c>
      <c r="E562" s="582" t="s">
        <v>24</v>
      </c>
      <c r="F562" s="453" t="s">
        <v>169</v>
      </c>
      <c r="G562" s="455" t="s">
        <v>25</v>
      </c>
      <c r="H562" s="453" t="s">
        <v>26</v>
      </c>
      <c r="I562" s="557" t="s">
        <v>164</v>
      </c>
      <c r="J562" s="564">
        <v>438000000</v>
      </c>
      <c r="K562" s="565" t="s">
        <v>27</v>
      </c>
      <c r="L562" s="566">
        <v>46373</v>
      </c>
      <c r="M562" s="591"/>
      <c r="N562" s="592" t="s">
        <v>1121</v>
      </c>
    </row>
    <row r="563" spans="1:14" ht="14.4" hidden="1">
      <c r="A563" s="453" t="s">
        <v>1122</v>
      </c>
      <c r="B563" s="588"/>
      <c r="C563" s="589" t="s">
        <v>1123</v>
      </c>
      <c r="D563" s="590" t="s">
        <v>33</v>
      </c>
      <c r="E563" s="582" t="s">
        <v>24</v>
      </c>
      <c r="F563" s="453" t="s">
        <v>169</v>
      </c>
      <c r="G563" s="455" t="s">
        <v>25</v>
      </c>
      <c r="H563" s="453" t="s">
        <v>26</v>
      </c>
      <c r="I563" s="557" t="s">
        <v>164</v>
      </c>
      <c r="J563" s="564">
        <v>978000000</v>
      </c>
      <c r="K563" s="565" t="s">
        <v>27</v>
      </c>
      <c r="L563" s="566">
        <v>46380</v>
      </c>
      <c r="M563" s="591"/>
      <c r="N563" s="592" t="s">
        <v>1121</v>
      </c>
    </row>
    <row r="564" spans="1:14" ht="14.4" hidden="1">
      <c r="A564" s="453" t="s">
        <v>1124</v>
      </c>
      <c r="B564" s="588"/>
      <c r="C564" s="589" t="s">
        <v>1125</v>
      </c>
      <c r="D564" s="590" t="s">
        <v>33</v>
      </c>
      <c r="E564" s="455" t="s">
        <v>90</v>
      </c>
      <c r="F564" s="453" t="s">
        <v>169</v>
      </c>
      <c r="G564" s="455"/>
      <c r="H564" s="453" t="s">
        <v>26</v>
      </c>
      <c r="I564" s="557" t="s">
        <v>164</v>
      </c>
      <c r="J564" s="564">
        <v>217540000</v>
      </c>
      <c r="K564" s="565" t="s">
        <v>27</v>
      </c>
      <c r="L564" s="566">
        <v>46275</v>
      </c>
      <c r="M564" s="591"/>
      <c r="N564" s="600" t="s">
        <v>1126</v>
      </c>
    </row>
    <row r="565" spans="1:14" ht="14.4" hidden="1">
      <c r="A565" s="453" t="s">
        <v>1127</v>
      </c>
      <c r="B565" s="588"/>
      <c r="C565" s="589" t="s">
        <v>1128</v>
      </c>
      <c r="D565" s="590" t="s">
        <v>33</v>
      </c>
      <c r="E565" s="455" t="s">
        <v>24</v>
      </c>
      <c r="F565" s="453" t="s">
        <v>169</v>
      </c>
      <c r="G565" s="455"/>
      <c r="H565" s="453" t="s">
        <v>26</v>
      </c>
      <c r="I565" s="557" t="s">
        <v>164</v>
      </c>
      <c r="J565" s="564">
        <v>175000000</v>
      </c>
      <c r="K565" s="565" t="s">
        <v>27</v>
      </c>
      <c r="L565" s="566">
        <v>46232</v>
      </c>
      <c r="M565" s="591"/>
      <c r="N565" s="600" t="s">
        <v>1129</v>
      </c>
    </row>
    <row r="566" spans="1:14" ht="14.4" hidden="1">
      <c r="A566" s="453" t="s">
        <v>1130</v>
      </c>
      <c r="B566" s="588"/>
      <c r="C566" s="589" t="s">
        <v>1131</v>
      </c>
      <c r="D566" s="590" t="s">
        <v>33</v>
      </c>
      <c r="E566" s="455"/>
      <c r="F566" s="453" t="s">
        <v>169</v>
      </c>
      <c r="G566" s="455"/>
      <c r="H566" s="453" t="s">
        <v>26</v>
      </c>
      <c r="I566" s="557" t="s">
        <v>148</v>
      </c>
      <c r="J566" s="564">
        <v>385000000</v>
      </c>
      <c r="K566" s="565" t="s">
        <v>27</v>
      </c>
      <c r="L566" s="566">
        <v>46232</v>
      </c>
      <c r="M566" s="591"/>
      <c r="N566" s="599" t="s">
        <v>1132</v>
      </c>
    </row>
    <row r="567" spans="1:14" ht="14.4" hidden="1">
      <c r="A567" s="453" t="s">
        <v>1133</v>
      </c>
      <c r="B567" s="588"/>
      <c r="C567" s="589" t="s">
        <v>1134</v>
      </c>
      <c r="D567" s="590" t="s">
        <v>33</v>
      </c>
      <c r="E567" s="582" t="s">
        <v>24</v>
      </c>
      <c r="F567" s="453" t="s">
        <v>169</v>
      </c>
      <c r="G567" s="455" t="s">
        <v>25</v>
      </c>
      <c r="H567" s="453" t="s">
        <v>26</v>
      </c>
      <c r="I567" s="557" t="s">
        <v>164</v>
      </c>
      <c r="J567" s="564">
        <v>361000000</v>
      </c>
      <c r="K567" s="565" t="s">
        <v>40</v>
      </c>
      <c r="L567" s="566">
        <v>46142</v>
      </c>
      <c r="M567" s="591"/>
      <c r="N567" s="592" t="s">
        <v>1135</v>
      </c>
    </row>
    <row r="568" spans="1:14" s="474" customFormat="1" ht="14.4" hidden="1">
      <c r="A568" s="473" t="s">
        <v>1136</v>
      </c>
      <c r="B568" s="583"/>
      <c r="C568" s="584" t="s">
        <v>1137</v>
      </c>
      <c r="D568" s="585" t="s">
        <v>33</v>
      </c>
      <c r="E568" s="582" t="s">
        <v>24</v>
      </c>
      <c r="F568" s="473" t="s">
        <v>169</v>
      </c>
      <c r="G568" s="580" t="s">
        <v>25</v>
      </c>
      <c r="H568" s="473" t="s">
        <v>26</v>
      </c>
      <c r="I568" s="581" t="s">
        <v>148</v>
      </c>
      <c r="J568" s="620">
        <v>2435000000</v>
      </c>
      <c r="K568" s="578" t="s">
        <v>27</v>
      </c>
      <c r="L568" s="619">
        <v>46269</v>
      </c>
      <c r="M568" s="586"/>
      <c r="N568" s="587" t="s">
        <v>1138</v>
      </c>
    </row>
    <row r="569" spans="1:14" ht="14.4" hidden="1">
      <c r="A569" s="415" t="s">
        <v>1139</v>
      </c>
      <c r="C569" s="568" t="s">
        <v>33</v>
      </c>
      <c r="D569" s="414"/>
      <c r="E569" s="415" t="s">
        <v>90</v>
      </c>
      <c r="F569" s="415"/>
      <c r="G569" s="415" t="s">
        <v>103</v>
      </c>
      <c r="H569" s="415" t="s">
        <v>33</v>
      </c>
      <c r="I569" s="414" t="s">
        <v>164</v>
      </c>
      <c r="J569" s="419">
        <v>900000000</v>
      </c>
      <c r="K569" s="434" t="s">
        <v>27</v>
      </c>
      <c r="L569" s="566">
        <v>46233</v>
      </c>
      <c r="M569" s="422" t="s">
        <v>149</v>
      </c>
      <c r="N569" s="423" t="s">
        <v>1037</v>
      </c>
    </row>
    <row r="570" spans="1:14" ht="14.4" hidden="1">
      <c r="A570" s="415" t="s">
        <v>1140</v>
      </c>
      <c r="C570" s="568" t="s">
        <v>26</v>
      </c>
      <c r="D570" s="414"/>
      <c r="E570" s="415" t="s">
        <v>90</v>
      </c>
      <c r="F570" s="415"/>
      <c r="G570" s="415" t="s">
        <v>103</v>
      </c>
      <c r="H570" s="415"/>
      <c r="I570" s="414" t="s">
        <v>164</v>
      </c>
      <c r="J570" s="419">
        <v>950000000</v>
      </c>
      <c r="K570" s="434" t="s">
        <v>27</v>
      </c>
      <c r="L570" s="566">
        <v>46233</v>
      </c>
      <c r="M570" s="422" t="s">
        <v>149</v>
      </c>
      <c r="N570" s="423"/>
    </row>
    <row r="571" spans="1:14" ht="14.4" hidden="1">
      <c r="A571" s="416" t="s">
        <v>1141</v>
      </c>
      <c r="B571" s="416"/>
      <c r="C571" s="568" t="s">
        <v>1142</v>
      </c>
      <c r="D571" s="415"/>
      <c r="E571" s="415" t="s">
        <v>24</v>
      </c>
      <c r="F571" s="415"/>
      <c r="G571" s="415" t="s">
        <v>103</v>
      </c>
      <c r="H571" s="415" t="s">
        <v>26</v>
      </c>
      <c r="I571" s="415" t="s">
        <v>164</v>
      </c>
      <c r="J571" s="424">
        <v>1200000000</v>
      </c>
      <c r="K571" s="422" t="s">
        <v>340</v>
      </c>
      <c r="L571" s="421">
        <v>46184</v>
      </c>
      <c r="M571" s="434"/>
      <c r="N571" s="423"/>
    </row>
    <row r="572" spans="1:14" ht="14.4" hidden="1">
      <c r="A572" s="415" t="s">
        <v>1143</v>
      </c>
      <c r="B572" s="416"/>
      <c r="C572" s="568" t="s">
        <v>470</v>
      </c>
      <c r="D572" s="415" t="s">
        <v>1144</v>
      </c>
      <c r="E572" s="415" t="s">
        <v>24</v>
      </c>
      <c r="F572" s="415"/>
      <c r="G572" s="415" t="s">
        <v>103</v>
      </c>
      <c r="H572" s="415" t="s">
        <v>33</v>
      </c>
      <c r="I572" s="415" t="s">
        <v>148</v>
      </c>
      <c r="J572" s="419">
        <v>173500000</v>
      </c>
      <c r="K572" s="434" t="s">
        <v>340</v>
      </c>
      <c r="L572" s="421"/>
      <c r="M572" s="422"/>
      <c r="N572" s="423"/>
    </row>
    <row r="573" spans="1:14" ht="14.4" hidden="1">
      <c r="A573" s="416" t="s">
        <v>1143</v>
      </c>
      <c r="B573" s="416"/>
      <c r="C573" s="571" t="s">
        <v>1145</v>
      </c>
      <c r="D573" s="415" t="s">
        <v>321</v>
      </c>
      <c r="E573" s="415" t="s">
        <v>24</v>
      </c>
      <c r="F573" s="415"/>
      <c r="G573" s="415" t="s">
        <v>103</v>
      </c>
      <c r="H573" s="373" t="s">
        <v>26</v>
      </c>
      <c r="I573" s="415" t="s">
        <v>148</v>
      </c>
      <c r="J573" s="424">
        <v>3000000000</v>
      </c>
      <c r="K573" s="434" t="s">
        <v>340</v>
      </c>
      <c r="L573" s="421"/>
      <c r="M573" s="429" t="s">
        <v>341</v>
      </c>
      <c r="N573" s="432" t="s">
        <v>1146</v>
      </c>
    </row>
    <row r="574" spans="1:14" ht="14.4" hidden="1">
      <c r="A574" s="416" t="s">
        <v>1147</v>
      </c>
      <c r="B574" s="416"/>
      <c r="C574" s="568" t="s">
        <v>33</v>
      </c>
      <c r="D574" s="415"/>
      <c r="E574" s="415" t="s">
        <v>24</v>
      </c>
      <c r="F574" s="415"/>
      <c r="G574" s="416" t="s">
        <v>103</v>
      </c>
      <c r="H574" s="416" t="s">
        <v>33</v>
      </c>
      <c r="I574" s="415" t="s">
        <v>164</v>
      </c>
      <c r="J574" s="424">
        <v>600000000</v>
      </c>
      <c r="K574" s="422" t="s">
        <v>340</v>
      </c>
      <c r="L574" s="421"/>
      <c r="M574" s="422"/>
      <c r="N574" s="423"/>
    </row>
    <row r="575" spans="1:14" ht="14.4" hidden="1">
      <c r="A575" s="416" t="s">
        <v>1148</v>
      </c>
      <c r="B575" s="416"/>
      <c r="C575" s="568" t="s">
        <v>26</v>
      </c>
      <c r="D575" s="415"/>
      <c r="E575" s="415" t="s">
        <v>24</v>
      </c>
      <c r="F575" s="415"/>
      <c r="G575" s="416" t="s">
        <v>103</v>
      </c>
      <c r="H575" s="416" t="s">
        <v>26</v>
      </c>
      <c r="I575" s="415" t="s">
        <v>148</v>
      </c>
      <c r="J575" s="424">
        <v>2970000000</v>
      </c>
      <c r="K575" s="422" t="s">
        <v>340</v>
      </c>
      <c r="L575" s="421"/>
      <c r="M575" s="422"/>
      <c r="N575" s="423"/>
    </row>
    <row r="576" spans="1:14" ht="14.4" hidden="1">
      <c r="A576" s="415" t="s">
        <v>1149</v>
      </c>
      <c r="B576" s="416"/>
      <c r="C576" s="568" t="s">
        <v>131</v>
      </c>
      <c r="D576" s="415"/>
      <c r="E576" s="415" t="s">
        <v>24</v>
      </c>
      <c r="F576" s="415"/>
      <c r="G576" s="415" t="s">
        <v>103</v>
      </c>
      <c r="H576" s="415" t="s">
        <v>33</v>
      </c>
      <c r="I576" s="415" t="s">
        <v>164</v>
      </c>
      <c r="J576" s="419">
        <v>4500000000</v>
      </c>
      <c r="K576" s="434" t="s">
        <v>340</v>
      </c>
      <c r="L576" s="421"/>
      <c r="M576" s="422"/>
      <c r="N576" s="423"/>
    </row>
    <row r="577" spans="1:14" ht="14.4" hidden="1">
      <c r="A577" s="416" t="s">
        <v>1150</v>
      </c>
      <c r="B577" s="416"/>
      <c r="C577" s="568" t="s">
        <v>26</v>
      </c>
      <c r="D577" s="415"/>
      <c r="E577" s="415" t="s">
        <v>24</v>
      </c>
      <c r="F577" s="415"/>
      <c r="G577" s="415" t="s">
        <v>103</v>
      </c>
      <c r="H577" s="415" t="s">
        <v>26</v>
      </c>
      <c r="I577" s="415" t="s">
        <v>164</v>
      </c>
      <c r="J577" s="424">
        <v>895000000</v>
      </c>
      <c r="K577" s="422" t="s">
        <v>340</v>
      </c>
      <c r="L577" s="421">
        <v>46156</v>
      </c>
      <c r="M577" s="434"/>
      <c r="N577" s="423"/>
    </row>
    <row r="578" spans="1:14" ht="14.4" hidden="1">
      <c r="A578" s="415" t="s">
        <v>1151</v>
      </c>
      <c r="C578" s="568" t="s">
        <v>33</v>
      </c>
      <c r="D578" s="414"/>
      <c r="E578" s="415" t="s">
        <v>24</v>
      </c>
      <c r="F578" s="415"/>
      <c r="G578" s="415" t="s">
        <v>204</v>
      </c>
      <c r="H578" s="415" t="s">
        <v>33</v>
      </c>
      <c r="I578" s="414" t="s">
        <v>148</v>
      </c>
      <c r="J578" s="419">
        <v>5000000000</v>
      </c>
      <c r="K578" s="434" t="s">
        <v>340</v>
      </c>
      <c r="L578" s="421"/>
      <c r="M578" s="422"/>
      <c r="N578" s="423" t="s">
        <v>778</v>
      </c>
    </row>
    <row r="579" spans="1:14" ht="14.4" hidden="1">
      <c r="A579" s="415" t="s">
        <v>1152</v>
      </c>
      <c r="C579" s="589" t="s">
        <v>33</v>
      </c>
      <c r="D579" s="618" t="s">
        <v>33</v>
      </c>
      <c r="E579" s="415" t="s">
        <v>24</v>
      </c>
      <c r="F579" s="453"/>
      <c r="G579" s="415"/>
      <c r="H579" s="415" t="s">
        <v>33</v>
      </c>
      <c r="I579" s="414" t="s">
        <v>148</v>
      </c>
      <c r="J579" s="419">
        <v>2908842000</v>
      </c>
      <c r="K579" s="434" t="s">
        <v>27</v>
      </c>
      <c r="L579" s="421">
        <v>46305</v>
      </c>
      <c r="M579" s="422"/>
      <c r="N579" s="423" t="s">
        <v>1153</v>
      </c>
    </row>
    <row r="580" spans="1:14" ht="14.4" hidden="1">
      <c r="A580" s="415" t="s">
        <v>1154</v>
      </c>
      <c r="C580" s="568" t="s">
        <v>33</v>
      </c>
      <c r="D580" s="414"/>
      <c r="E580" s="415" t="s">
        <v>24</v>
      </c>
      <c r="F580" s="415"/>
      <c r="G580" s="415" t="s">
        <v>204</v>
      </c>
      <c r="H580" s="415" t="s">
        <v>33</v>
      </c>
      <c r="I580" s="414" t="s">
        <v>332</v>
      </c>
      <c r="J580" s="419">
        <v>3500000000</v>
      </c>
      <c r="K580" s="434" t="s">
        <v>340</v>
      </c>
      <c r="L580" s="421"/>
      <c r="M580" s="422"/>
      <c r="N580" s="423" t="s">
        <v>778</v>
      </c>
    </row>
    <row r="581" spans="1:14" ht="14.4" hidden="1">
      <c r="A581" s="415" t="s">
        <v>1155</v>
      </c>
      <c r="C581" s="568" t="s">
        <v>131</v>
      </c>
      <c r="D581" s="414"/>
      <c r="E581" s="415" t="s">
        <v>24</v>
      </c>
      <c r="F581" s="415"/>
      <c r="G581" s="415" t="s">
        <v>204</v>
      </c>
      <c r="H581" s="415" t="s">
        <v>33</v>
      </c>
      <c r="I581" s="414" t="s">
        <v>164</v>
      </c>
      <c r="J581" s="419">
        <v>1500000000</v>
      </c>
      <c r="K581" s="434" t="s">
        <v>340</v>
      </c>
      <c r="L581" s="421"/>
      <c r="M581" s="422"/>
      <c r="N581" s="423" t="s">
        <v>778</v>
      </c>
    </row>
    <row r="582" spans="1:14" ht="14.4" hidden="1">
      <c r="A582" s="415" t="s">
        <v>1156</v>
      </c>
      <c r="C582" s="568" t="s">
        <v>1157</v>
      </c>
      <c r="D582" s="414"/>
      <c r="E582" s="415" t="s">
        <v>24</v>
      </c>
      <c r="F582" s="415"/>
      <c r="G582" s="415" t="s">
        <v>204</v>
      </c>
      <c r="H582" s="415" t="s">
        <v>88</v>
      </c>
      <c r="I582" s="414" t="s">
        <v>164</v>
      </c>
      <c r="J582" s="419">
        <v>26841600</v>
      </c>
      <c r="K582" s="434" t="s">
        <v>40</v>
      </c>
      <c r="L582" s="421">
        <v>46064</v>
      </c>
      <c r="M582" s="422"/>
      <c r="N582" s="423" t="s">
        <v>205</v>
      </c>
    </row>
    <row r="583" spans="1:14" ht="14.4" hidden="1">
      <c r="A583" s="415" t="s">
        <v>1158</v>
      </c>
      <c r="C583" s="568" t="s">
        <v>1159</v>
      </c>
      <c r="D583" s="414"/>
      <c r="E583" s="415" t="s">
        <v>24</v>
      </c>
      <c r="F583" s="415"/>
      <c r="G583" s="415" t="s">
        <v>204</v>
      </c>
      <c r="H583" s="415" t="s">
        <v>33</v>
      </c>
      <c r="I583" s="414" t="s">
        <v>164</v>
      </c>
      <c r="J583" s="419">
        <v>331200000</v>
      </c>
      <c r="K583" s="434" t="s">
        <v>40</v>
      </c>
      <c r="L583" s="421">
        <v>46079</v>
      </c>
      <c r="M583" s="422"/>
      <c r="N583" s="423" t="s">
        <v>205</v>
      </c>
    </row>
    <row r="584" spans="1:14" ht="14.4" hidden="1">
      <c r="A584" s="415" t="s">
        <v>1160</v>
      </c>
      <c r="C584" s="568" t="s">
        <v>1161</v>
      </c>
      <c r="D584" s="414"/>
      <c r="E584" s="415" t="s">
        <v>24</v>
      </c>
      <c r="F584" s="415"/>
      <c r="G584" s="415" t="s">
        <v>204</v>
      </c>
      <c r="H584" s="415" t="s">
        <v>33</v>
      </c>
      <c r="I584" s="414" t="s">
        <v>148</v>
      </c>
      <c r="J584" s="419">
        <v>61200000</v>
      </c>
      <c r="K584" s="434" t="s">
        <v>40</v>
      </c>
      <c r="L584" s="421">
        <v>46079</v>
      </c>
      <c r="M584" s="422"/>
      <c r="N584" s="423" t="s">
        <v>205</v>
      </c>
    </row>
    <row r="585" spans="1:14" ht="14.4" hidden="1">
      <c r="A585" s="415" t="s">
        <v>1162</v>
      </c>
      <c r="C585" s="568" t="s">
        <v>1163</v>
      </c>
      <c r="D585" s="414"/>
      <c r="E585" s="415" t="s">
        <v>24</v>
      </c>
      <c r="F585" s="415"/>
      <c r="G585" s="415" t="s">
        <v>204</v>
      </c>
      <c r="H585" s="415" t="s">
        <v>33</v>
      </c>
      <c r="I585" s="414" t="s">
        <v>164</v>
      </c>
      <c r="J585" s="419">
        <v>46400000</v>
      </c>
      <c r="K585" s="434" t="s">
        <v>40</v>
      </c>
      <c r="L585" s="421">
        <v>46142</v>
      </c>
      <c r="M585" s="422" t="s">
        <v>149</v>
      </c>
      <c r="N585" s="448" t="s">
        <v>205</v>
      </c>
    </row>
    <row r="586" spans="1:14" ht="14.4" hidden="1">
      <c r="A586" s="415" t="s">
        <v>1164</v>
      </c>
      <c r="C586" s="568" t="s">
        <v>1165</v>
      </c>
      <c r="D586" s="414"/>
      <c r="E586" s="415" t="s">
        <v>24</v>
      </c>
      <c r="F586" s="415"/>
      <c r="G586" s="415" t="s">
        <v>204</v>
      </c>
      <c r="H586" s="415" t="s">
        <v>33</v>
      </c>
      <c r="I586" s="414" t="s">
        <v>164</v>
      </c>
      <c r="J586" s="419">
        <v>20000000</v>
      </c>
      <c r="K586" s="434" t="s">
        <v>40</v>
      </c>
      <c r="L586" s="421">
        <v>46048</v>
      </c>
      <c r="M586" s="422"/>
      <c r="N586" s="423" t="s">
        <v>205</v>
      </c>
    </row>
    <row r="587" spans="1:14" ht="14.4" hidden="1">
      <c r="A587" s="415" t="s">
        <v>1166</v>
      </c>
      <c r="C587" s="568" t="s">
        <v>1167</v>
      </c>
      <c r="D587" s="414"/>
      <c r="E587" s="415" t="s">
        <v>24</v>
      </c>
      <c r="F587" s="415"/>
      <c r="G587" s="415" t="s">
        <v>204</v>
      </c>
      <c r="H587" s="415" t="s">
        <v>33</v>
      </c>
      <c r="I587" s="414" t="s">
        <v>164</v>
      </c>
      <c r="J587" s="419">
        <v>149900000</v>
      </c>
      <c r="K587" s="434" t="s">
        <v>67</v>
      </c>
      <c r="L587" s="421"/>
      <c r="M587" s="422"/>
      <c r="N587" s="423"/>
    </row>
    <row r="588" spans="1:14" ht="14.4" hidden="1">
      <c r="A588" s="415" t="s">
        <v>1152</v>
      </c>
      <c r="C588" s="589" t="s">
        <v>1168</v>
      </c>
      <c r="D588" s="618" t="s">
        <v>33</v>
      </c>
      <c r="E588" s="415" t="s">
        <v>24</v>
      </c>
      <c r="F588" s="453"/>
      <c r="G588" s="415"/>
      <c r="H588" s="415" t="s">
        <v>33</v>
      </c>
      <c r="I588" s="414" t="s">
        <v>154</v>
      </c>
      <c r="J588" s="419">
        <v>22474500000</v>
      </c>
      <c r="K588" s="434" t="s">
        <v>27</v>
      </c>
      <c r="L588" s="421">
        <v>46332</v>
      </c>
      <c r="M588" s="422"/>
      <c r="N588" s="423" t="s">
        <v>1169</v>
      </c>
    </row>
    <row r="589" spans="1:14" ht="14.4" hidden="1">
      <c r="A589" s="415" t="s">
        <v>110</v>
      </c>
      <c r="B589" s="415"/>
      <c r="C589" s="568" t="s">
        <v>1170</v>
      </c>
      <c r="D589" s="415" t="s">
        <v>437</v>
      </c>
      <c r="E589" s="415" t="s">
        <v>24</v>
      </c>
      <c r="F589" s="415"/>
      <c r="G589" s="415" t="s">
        <v>103</v>
      </c>
      <c r="H589" s="415" t="s">
        <v>26</v>
      </c>
      <c r="I589" s="415" t="s">
        <v>164</v>
      </c>
      <c r="J589" s="424">
        <v>3200000000</v>
      </c>
      <c r="K589" s="422" t="s">
        <v>340</v>
      </c>
      <c r="L589" s="421"/>
      <c r="M589" s="421"/>
      <c r="N589" s="423"/>
    </row>
    <row r="590" spans="1:14" ht="14.4" hidden="1">
      <c r="A590" s="416" t="s">
        <v>1171</v>
      </c>
      <c r="C590" s="568" t="s">
        <v>26</v>
      </c>
      <c r="D590" s="414"/>
      <c r="E590" s="415" t="s">
        <v>24</v>
      </c>
      <c r="F590" s="415"/>
      <c r="G590" s="415" t="s">
        <v>103</v>
      </c>
      <c r="H590" s="415" t="s">
        <v>26</v>
      </c>
      <c r="I590" s="415" t="s">
        <v>164</v>
      </c>
      <c r="J590" s="424">
        <v>340000000</v>
      </c>
      <c r="K590" s="422" t="s">
        <v>340</v>
      </c>
      <c r="L590" s="421"/>
      <c r="M590" s="434"/>
      <c r="N590" s="423"/>
    </row>
    <row r="591" spans="1:14" ht="14.4" hidden="1">
      <c r="A591" s="389" t="s">
        <v>699</v>
      </c>
      <c r="C591" s="569" t="s">
        <v>1172</v>
      </c>
      <c r="D591" s="414"/>
      <c r="E591" s="415" t="s">
        <v>24</v>
      </c>
      <c r="F591" s="415"/>
      <c r="G591" s="415" t="s">
        <v>103</v>
      </c>
      <c r="H591" s="415" t="s">
        <v>26</v>
      </c>
      <c r="I591" s="415" t="s">
        <v>164</v>
      </c>
      <c r="J591" s="390">
        <v>30000000</v>
      </c>
      <c r="K591" s="434" t="s">
        <v>340</v>
      </c>
      <c r="L591" s="421"/>
      <c r="M591" s="391"/>
      <c r="N591" s="428"/>
    </row>
    <row r="592" spans="1:14" ht="14.4" hidden="1">
      <c r="A592" s="389" t="s">
        <v>1173</v>
      </c>
      <c r="C592" s="569" t="s">
        <v>1174</v>
      </c>
      <c r="D592" s="414"/>
      <c r="E592" s="415" t="s">
        <v>24</v>
      </c>
      <c r="F592" s="415"/>
      <c r="G592" s="415" t="s">
        <v>103</v>
      </c>
      <c r="H592" s="415" t="s">
        <v>26</v>
      </c>
      <c r="I592" s="415" t="s">
        <v>148</v>
      </c>
      <c r="J592" s="390">
        <v>2300000000</v>
      </c>
      <c r="K592" s="434" t="s">
        <v>340</v>
      </c>
      <c r="L592" s="421"/>
      <c r="M592" s="391"/>
      <c r="N592" s="428"/>
    </row>
    <row r="593" spans="1:14" ht="14.4" hidden="1">
      <c r="A593" s="415" t="s">
        <v>1175</v>
      </c>
      <c r="B593" s="610"/>
      <c r="C593" s="568" t="s">
        <v>131</v>
      </c>
      <c r="D593" s="611"/>
      <c r="E593" s="415" t="s">
        <v>90</v>
      </c>
      <c r="F593" s="415"/>
      <c r="G593" s="415" t="s">
        <v>103</v>
      </c>
      <c r="H593" s="415" t="s">
        <v>33</v>
      </c>
      <c r="I593" s="611" t="s">
        <v>164</v>
      </c>
      <c r="J593" s="419">
        <v>1050000000</v>
      </c>
      <c r="K593" s="434" t="s">
        <v>340</v>
      </c>
      <c r="L593" s="421"/>
      <c r="M593" s="422"/>
      <c r="N593" s="423"/>
    </row>
    <row r="594" spans="1:14" ht="14.4" hidden="1">
      <c r="A594" s="415" t="s">
        <v>1176</v>
      </c>
      <c r="C594" s="568" t="s">
        <v>131</v>
      </c>
      <c r="D594" s="414"/>
      <c r="E594" s="415" t="s">
        <v>90</v>
      </c>
      <c r="F594" s="415"/>
      <c r="G594" s="415" t="s">
        <v>103</v>
      </c>
      <c r="H594" s="415" t="s">
        <v>33</v>
      </c>
      <c r="I594" s="414" t="s">
        <v>148</v>
      </c>
      <c r="J594" s="419">
        <v>600000000</v>
      </c>
      <c r="K594" s="434" t="s">
        <v>340</v>
      </c>
      <c r="L594" s="421"/>
      <c r="M594" s="422"/>
      <c r="N594" s="423"/>
    </row>
    <row r="595" spans="1:14" ht="14.4" hidden="1">
      <c r="A595" s="415" t="s">
        <v>1177</v>
      </c>
      <c r="C595" s="568" t="s">
        <v>33</v>
      </c>
      <c r="D595" s="414"/>
      <c r="E595" s="415" t="s">
        <v>90</v>
      </c>
      <c r="F595" s="415"/>
      <c r="G595" s="415" t="s">
        <v>103</v>
      </c>
      <c r="H595" s="415" t="s">
        <v>33</v>
      </c>
      <c r="I595" s="414" t="s">
        <v>154</v>
      </c>
      <c r="J595" s="419">
        <v>1687545000</v>
      </c>
      <c r="K595" s="434" t="s">
        <v>340</v>
      </c>
      <c r="L595" s="421"/>
      <c r="M595" s="422"/>
      <c r="N595" s="423"/>
    </row>
    <row r="596" spans="1:14" ht="14.4" hidden="1">
      <c r="A596" s="415" t="s">
        <v>1178</v>
      </c>
      <c r="C596" s="568" t="s">
        <v>1179</v>
      </c>
      <c r="D596" s="414"/>
      <c r="E596" s="415" t="s">
        <v>24</v>
      </c>
      <c r="F596" s="415"/>
      <c r="G596" s="415" t="s">
        <v>170</v>
      </c>
      <c r="H596" s="415" t="s">
        <v>33</v>
      </c>
      <c r="I596" s="414" t="s">
        <v>145</v>
      </c>
      <c r="J596" s="419">
        <v>958950000</v>
      </c>
      <c r="K596" s="434" t="s">
        <v>67</v>
      </c>
      <c r="L596" s="421">
        <v>46259</v>
      </c>
      <c r="M596" s="422"/>
      <c r="N596" s="423" t="s">
        <v>1180</v>
      </c>
    </row>
    <row r="597" spans="1:14" ht="14.4" hidden="1">
      <c r="A597" s="415" t="s">
        <v>1181</v>
      </c>
      <c r="C597" s="568" t="s">
        <v>1182</v>
      </c>
      <c r="D597" s="414"/>
      <c r="E597" s="415" t="s">
        <v>24</v>
      </c>
      <c r="F597" s="415"/>
      <c r="G597" s="415" t="s">
        <v>170</v>
      </c>
      <c r="H597" s="415" t="s">
        <v>33</v>
      </c>
      <c r="I597" s="414" t="s">
        <v>148</v>
      </c>
      <c r="J597" s="419">
        <v>2983769100</v>
      </c>
      <c r="K597" s="434" t="s">
        <v>94</v>
      </c>
      <c r="L597" s="421">
        <v>46357</v>
      </c>
      <c r="M597" s="422"/>
      <c r="N597" s="423" t="s">
        <v>1183</v>
      </c>
    </row>
    <row r="598" spans="1:14" ht="14.4" hidden="1">
      <c r="A598" s="561" t="s">
        <v>1184</v>
      </c>
      <c r="C598" s="568" t="s">
        <v>1185</v>
      </c>
      <c r="D598" s="414" t="s">
        <v>1186</v>
      </c>
      <c r="E598" s="415" t="s">
        <v>24</v>
      </c>
      <c r="F598" s="415"/>
      <c r="G598" s="415" t="s">
        <v>153</v>
      </c>
      <c r="H598" s="415" t="s">
        <v>33</v>
      </c>
      <c r="I598" s="414" t="s">
        <v>148</v>
      </c>
      <c r="J598" s="419">
        <f>1506000000*0.75</f>
        <v>1129500000</v>
      </c>
      <c r="K598" s="434" t="s">
        <v>30</v>
      </c>
      <c r="L598" s="421">
        <v>46204</v>
      </c>
      <c r="M598" s="422"/>
      <c r="N598" s="423"/>
    </row>
    <row r="599" spans="1:14" ht="14.4" hidden="1">
      <c r="A599" s="561" t="s">
        <v>1187</v>
      </c>
      <c r="C599" s="568" t="s">
        <v>1188</v>
      </c>
      <c r="D599" s="611" t="s">
        <v>1044</v>
      </c>
      <c r="E599" s="415" t="s">
        <v>24</v>
      </c>
      <c r="F599" s="415"/>
      <c r="G599" s="415" t="s">
        <v>153</v>
      </c>
      <c r="H599" s="415" t="s">
        <v>33</v>
      </c>
      <c r="I599" s="414" t="s">
        <v>164</v>
      </c>
      <c r="J599" s="419">
        <v>4500000000</v>
      </c>
      <c r="K599" s="434" t="s">
        <v>44</v>
      </c>
      <c r="L599" s="421">
        <v>46204</v>
      </c>
      <c r="M599" s="422"/>
      <c r="N599" s="423" t="s">
        <v>1189</v>
      </c>
    </row>
    <row r="600" spans="1:14" ht="14.4" hidden="1">
      <c r="A600" s="415" t="s">
        <v>1190</v>
      </c>
      <c r="C600" s="568" t="s">
        <v>33</v>
      </c>
      <c r="D600" s="414" t="s">
        <v>1191</v>
      </c>
      <c r="E600" s="415" t="s">
        <v>24</v>
      </c>
      <c r="F600" s="415"/>
      <c r="G600" s="415" t="s">
        <v>153</v>
      </c>
      <c r="H600" s="415" t="s">
        <v>33</v>
      </c>
      <c r="I600" s="414" t="s">
        <v>148</v>
      </c>
      <c r="J600" s="419">
        <f>346928000*0.75</f>
        <v>260196000</v>
      </c>
      <c r="K600" s="434" t="s">
        <v>30</v>
      </c>
      <c r="L600" s="421">
        <v>46266</v>
      </c>
      <c r="M600" s="422"/>
      <c r="N600" s="423" t="s">
        <v>1192</v>
      </c>
    </row>
    <row r="601" spans="1:14" ht="14.4" hidden="1">
      <c r="A601" s="561" t="s">
        <v>1076</v>
      </c>
      <c r="C601" s="568" t="s">
        <v>1193</v>
      </c>
      <c r="D601" s="414" t="s">
        <v>1044</v>
      </c>
      <c r="E601" s="415" t="s">
        <v>24</v>
      </c>
      <c r="F601" s="415"/>
      <c r="G601" s="415" t="s">
        <v>153</v>
      </c>
      <c r="H601" s="415" t="s">
        <v>33</v>
      </c>
      <c r="I601" s="414" t="s">
        <v>164</v>
      </c>
      <c r="J601" s="419">
        <f>3170490000*0.7</f>
        <v>2219343000</v>
      </c>
      <c r="K601" s="434" t="s">
        <v>30</v>
      </c>
      <c r="L601" s="421">
        <v>46266</v>
      </c>
      <c r="M601" s="422"/>
      <c r="N601" s="423"/>
    </row>
    <row r="602" spans="1:14" ht="14.4" hidden="1">
      <c r="A602" s="415" t="s">
        <v>516</v>
      </c>
      <c r="C602" s="568" t="s">
        <v>1194</v>
      </c>
      <c r="D602" s="414"/>
      <c r="E602" s="415" t="s">
        <v>24</v>
      </c>
      <c r="F602" s="415" t="s">
        <v>185</v>
      </c>
      <c r="G602" s="415" t="s">
        <v>153</v>
      </c>
      <c r="H602" s="415" t="s">
        <v>33</v>
      </c>
      <c r="I602" s="414" t="s">
        <v>164</v>
      </c>
      <c r="J602" s="419">
        <v>329000000</v>
      </c>
      <c r="K602" s="434" t="s">
        <v>27</v>
      </c>
      <c r="L602" s="421">
        <v>46311</v>
      </c>
      <c r="M602" s="422"/>
      <c r="N602" s="423" t="s">
        <v>1195</v>
      </c>
    </row>
    <row r="603" spans="1:14" ht="14.4" hidden="1">
      <c r="A603" s="415" t="s">
        <v>1096</v>
      </c>
      <c r="C603" s="568" t="s">
        <v>33</v>
      </c>
      <c r="D603" s="414" t="s">
        <v>1196</v>
      </c>
      <c r="E603" s="415" t="s">
        <v>24</v>
      </c>
      <c r="F603" s="415"/>
      <c r="G603" s="415" t="s">
        <v>153</v>
      </c>
      <c r="H603" s="415" t="s">
        <v>33</v>
      </c>
      <c r="I603" s="414" t="s">
        <v>148</v>
      </c>
      <c r="J603" s="419">
        <f>3398000000*0.9</f>
        <v>3058200000</v>
      </c>
      <c r="K603" s="434" t="s">
        <v>67</v>
      </c>
      <c r="L603" s="421">
        <v>46327</v>
      </c>
      <c r="M603" s="422"/>
      <c r="N603" s="423" t="s">
        <v>79</v>
      </c>
    </row>
    <row r="604" spans="1:14" ht="14.4" hidden="1">
      <c r="A604" s="415" t="s">
        <v>1096</v>
      </c>
      <c r="C604" s="568" t="s">
        <v>33</v>
      </c>
      <c r="D604" s="414" t="s">
        <v>1197</v>
      </c>
      <c r="E604" s="415" t="s">
        <v>24</v>
      </c>
      <c r="F604" s="415"/>
      <c r="G604" s="415" t="s">
        <v>153</v>
      </c>
      <c r="H604" s="415" t="s">
        <v>33</v>
      </c>
      <c r="I604" s="414" t="s">
        <v>148</v>
      </c>
      <c r="J604" s="419">
        <f>848300000*0.9</f>
        <v>763470000</v>
      </c>
      <c r="K604" s="434" t="s">
        <v>67</v>
      </c>
      <c r="L604" s="421">
        <v>46327</v>
      </c>
      <c r="M604" s="422"/>
      <c r="N604" s="423" t="s">
        <v>79</v>
      </c>
    </row>
    <row r="605" spans="1:14" ht="14.4" hidden="1">
      <c r="A605" s="415" t="s">
        <v>1096</v>
      </c>
      <c r="C605" s="568" t="s">
        <v>33</v>
      </c>
      <c r="D605" s="414" t="s">
        <v>1198</v>
      </c>
      <c r="E605" s="415" t="s">
        <v>24</v>
      </c>
      <c r="F605" s="415"/>
      <c r="G605" s="415" t="s">
        <v>153</v>
      </c>
      <c r="H605" s="415" t="s">
        <v>33</v>
      </c>
      <c r="I605" s="414" t="s">
        <v>148</v>
      </c>
      <c r="J605" s="419">
        <f>297800000*0.8</f>
        <v>238240000</v>
      </c>
      <c r="K605" s="434" t="s">
        <v>67</v>
      </c>
      <c r="L605" s="421">
        <v>46327</v>
      </c>
      <c r="M605" s="422"/>
      <c r="N605" s="423" t="s">
        <v>79</v>
      </c>
    </row>
    <row r="606" spans="1:14" ht="14.4" hidden="1">
      <c r="A606" s="415" t="s">
        <v>1199</v>
      </c>
      <c r="C606" s="568" t="s">
        <v>131</v>
      </c>
      <c r="D606" s="414"/>
      <c r="E606" s="415" t="s">
        <v>90</v>
      </c>
      <c r="F606" s="415"/>
      <c r="G606" s="415" t="s">
        <v>103</v>
      </c>
      <c r="H606" s="415" t="s">
        <v>33</v>
      </c>
      <c r="I606" s="414" t="s">
        <v>164</v>
      </c>
      <c r="J606" s="419">
        <v>350000000</v>
      </c>
      <c r="K606" s="434" t="s">
        <v>340</v>
      </c>
      <c r="L606" s="421"/>
      <c r="M606" s="422"/>
      <c r="N606" s="423"/>
    </row>
    <row r="607" spans="1:14" ht="14.4" hidden="1">
      <c r="A607" s="415" t="s">
        <v>1200</v>
      </c>
      <c r="C607" s="568" t="s">
        <v>33</v>
      </c>
      <c r="D607" s="414"/>
      <c r="E607" s="415" t="s">
        <v>90</v>
      </c>
      <c r="F607" s="415"/>
      <c r="G607" s="415" t="s">
        <v>103</v>
      </c>
      <c r="H607" s="415" t="s">
        <v>33</v>
      </c>
      <c r="I607" s="414" t="s">
        <v>164</v>
      </c>
      <c r="J607" s="419">
        <v>1200000000</v>
      </c>
      <c r="K607" s="434" t="s">
        <v>340</v>
      </c>
      <c r="L607" s="421"/>
      <c r="M607" s="422"/>
      <c r="N607" s="448"/>
    </row>
    <row r="608" spans="1:14" ht="14.4" hidden="1">
      <c r="A608" s="415" t="s">
        <v>1201</v>
      </c>
      <c r="C608" s="568" t="s">
        <v>33</v>
      </c>
      <c r="D608" s="414"/>
      <c r="E608" s="415" t="s">
        <v>90</v>
      </c>
      <c r="F608" s="415"/>
      <c r="G608" s="415" t="s">
        <v>103</v>
      </c>
      <c r="H608" s="415" t="s">
        <v>33</v>
      </c>
      <c r="I608" s="414" t="s">
        <v>164</v>
      </c>
      <c r="J608" s="419">
        <v>800000000</v>
      </c>
      <c r="K608" s="434" t="s">
        <v>340</v>
      </c>
      <c r="L608" s="421"/>
      <c r="M608" s="422"/>
      <c r="N608" s="448"/>
    </row>
    <row r="609" spans="1:14" ht="14.4" hidden="1">
      <c r="A609" s="415" t="s">
        <v>1202</v>
      </c>
      <c r="C609" s="568" t="s">
        <v>33</v>
      </c>
      <c r="D609" s="414"/>
      <c r="E609" s="415" t="s">
        <v>90</v>
      </c>
      <c r="F609" s="415"/>
      <c r="G609" s="415" t="s">
        <v>103</v>
      </c>
      <c r="H609" s="415" t="s">
        <v>33</v>
      </c>
      <c r="I609" s="414" t="s">
        <v>154</v>
      </c>
      <c r="J609" s="419">
        <v>1800000000</v>
      </c>
      <c r="K609" s="434" t="s">
        <v>340</v>
      </c>
      <c r="L609" s="421"/>
      <c r="M609" s="422"/>
      <c r="N609" s="448"/>
    </row>
    <row r="610" spans="1:14" ht="14.4" hidden="1">
      <c r="A610" s="415" t="s">
        <v>315</v>
      </c>
      <c r="C610" s="568" t="s">
        <v>1203</v>
      </c>
      <c r="D610" s="414"/>
      <c r="E610" s="417" t="s">
        <v>24</v>
      </c>
      <c r="F610" s="415"/>
      <c r="G610" s="418" t="s">
        <v>43</v>
      </c>
      <c r="H610" s="418" t="s">
        <v>33</v>
      </c>
      <c r="I610" s="415" t="s">
        <v>148</v>
      </c>
      <c r="J610" s="419">
        <v>986387850</v>
      </c>
      <c r="K610" s="420" t="s">
        <v>40</v>
      </c>
      <c r="L610" s="421">
        <v>46054</v>
      </c>
      <c r="M610" s="422" t="s">
        <v>149</v>
      </c>
      <c r="N610" s="448" t="s">
        <v>61</v>
      </c>
    </row>
    <row r="611" spans="1:14" ht="14.4" hidden="1">
      <c r="A611" s="415" t="s">
        <v>1204</v>
      </c>
      <c r="C611" s="568" t="s">
        <v>1167</v>
      </c>
      <c r="D611" s="579" t="s">
        <v>1205</v>
      </c>
      <c r="E611" s="415" t="s">
        <v>24</v>
      </c>
      <c r="F611" s="415"/>
      <c r="G611" s="415" t="s">
        <v>204</v>
      </c>
      <c r="H611" s="415" t="s">
        <v>33</v>
      </c>
      <c r="I611" s="414" t="s">
        <v>164</v>
      </c>
      <c r="J611" s="419">
        <v>36000000</v>
      </c>
      <c r="K611" s="434" t="s">
        <v>67</v>
      </c>
      <c r="L611" s="421"/>
      <c r="M611" s="422"/>
      <c r="N611" s="448" t="s">
        <v>1001</v>
      </c>
    </row>
    <row r="612" spans="1:14" s="562" customFormat="1" ht="14.4" hidden="1">
      <c r="A612" s="483" t="s">
        <v>42</v>
      </c>
      <c r="C612" s="577" t="s">
        <v>1206</v>
      </c>
      <c r="D612" s="622"/>
      <c r="E612" s="483" t="s">
        <v>24</v>
      </c>
      <c r="F612" s="483"/>
      <c r="G612" s="483" t="s">
        <v>170</v>
      </c>
      <c r="H612" s="483" t="s">
        <v>33</v>
      </c>
      <c r="I612" s="563" t="s">
        <v>148</v>
      </c>
      <c r="J612" s="564">
        <v>212550000</v>
      </c>
      <c r="K612" s="565" t="s">
        <v>40</v>
      </c>
      <c r="L612" s="566">
        <v>46277</v>
      </c>
      <c r="M612" s="567" t="s">
        <v>149</v>
      </c>
      <c r="N612" s="448" t="s">
        <v>764</v>
      </c>
    </row>
    <row r="613" spans="1:14" ht="14.4" hidden="1">
      <c r="A613" s="415" t="s">
        <v>1207</v>
      </c>
      <c r="C613" s="568" t="s">
        <v>1208</v>
      </c>
      <c r="D613" s="414"/>
      <c r="E613" s="415" t="s">
        <v>24</v>
      </c>
      <c r="F613" s="415"/>
      <c r="G613" s="415" t="s">
        <v>170</v>
      </c>
      <c r="H613" s="415" t="s">
        <v>33</v>
      </c>
      <c r="I613" s="414" t="s">
        <v>145</v>
      </c>
      <c r="J613" s="419">
        <v>56000000</v>
      </c>
      <c r="K613" s="434" t="s">
        <v>27</v>
      </c>
      <c r="L613" s="421">
        <v>46357</v>
      </c>
      <c r="M613" s="422"/>
      <c r="N613" s="448" t="s">
        <v>79</v>
      </c>
    </row>
    <row r="614" spans="1:14" ht="14.4" hidden="1">
      <c r="A614" s="483" t="s">
        <v>1209</v>
      </c>
      <c r="C614" s="568" t="s">
        <v>1210</v>
      </c>
      <c r="D614" s="414"/>
      <c r="E614" s="415" t="s">
        <v>24</v>
      </c>
      <c r="F614" s="415"/>
      <c r="G614" s="415" t="s">
        <v>170</v>
      </c>
      <c r="H614" s="415" t="s">
        <v>1211</v>
      </c>
      <c r="I614" s="414" t="s">
        <v>148</v>
      </c>
      <c r="J614" s="419">
        <v>350000000</v>
      </c>
      <c r="K614" s="434" t="s">
        <v>67</v>
      </c>
      <c r="L614" s="421">
        <v>46238</v>
      </c>
      <c r="M614" s="422"/>
      <c r="N614" s="455" t="s">
        <v>1212</v>
      </c>
    </row>
    <row r="615" spans="1:14" ht="14.4" hidden="1">
      <c r="A615" s="415" t="s">
        <v>1213</v>
      </c>
      <c r="C615" s="568" t="s">
        <v>1214</v>
      </c>
      <c r="D615" s="414"/>
      <c r="E615" s="415" t="s">
        <v>24</v>
      </c>
      <c r="F615" s="415"/>
      <c r="G615" s="415" t="s">
        <v>170</v>
      </c>
      <c r="H615" s="415" t="s">
        <v>1211</v>
      </c>
      <c r="I615" s="414" t="s">
        <v>145</v>
      </c>
      <c r="J615" s="419">
        <v>150000000</v>
      </c>
      <c r="K615" s="434" t="s">
        <v>27</v>
      </c>
      <c r="L615" s="421">
        <v>46357</v>
      </c>
      <c r="M615" s="422"/>
      <c r="N615" s="448" t="s">
        <v>778</v>
      </c>
    </row>
    <row r="616" spans="1:14" ht="14.4" hidden="1">
      <c r="A616" s="415" t="s">
        <v>1215</v>
      </c>
      <c r="C616" s="568" t="s">
        <v>577</v>
      </c>
      <c r="D616" s="579"/>
      <c r="E616" s="415" t="s">
        <v>24</v>
      </c>
      <c r="F616" s="415"/>
      <c r="G616" s="415" t="s">
        <v>204</v>
      </c>
      <c r="H616" s="415" t="s">
        <v>33</v>
      </c>
      <c r="I616" s="414" t="s">
        <v>164</v>
      </c>
      <c r="J616" s="419">
        <v>150000000</v>
      </c>
      <c r="K616" s="434" t="s">
        <v>67</v>
      </c>
      <c r="L616" s="421"/>
      <c r="M616" s="422"/>
      <c r="N616" s="448"/>
    </row>
    <row r="617" spans="1:14" ht="14.4" hidden="1">
      <c r="A617" s="415" t="s">
        <v>1216</v>
      </c>
      <c r="C617" s="568" t="s">
        <v>33</v>
      </c>
      <c r="D617" s="414"/>
      <c r="E617" s="415" t="s">
        <v>90</v>
      </c>
      <c r="F617" s="415"/>
      <c r="G617" s="415" t="s">
        <v>103</v>
      </c>
      <c r="H617" s="415" t="s">
        <v>26</v>
      </c>
      <c r="I617" s="414" t="s">
        <v>148</v>
      </c>
      <c r="J617" s="419">
        <v>1400000000</v>
      </c>
      <c r="K617" s="434" t="s">
        <v>340</v>
      </c>
      <c r="L617" s="421"/>
      <c r="M617" s="422"/>
      <c r="N617" s="448"/>
    </row>
    <row r="618" spans="1:14" ht="14.4" hidden="1">
      <c r="A618" s="415" t="s">
        <v>1217</v>
      </c>
      <c r="C618" s="568" t="s">
        <v>1218</v>
      </c>
      <c r="D618" s="579"/>
      <c r="E618" s="415" t="s">
        <v>24</v>
      </c>
      <c r="F618" s="415"/>
      <c r="G618" s="415" t="s">
        <v>54</v>
      </c>
      <c r="H618" s="415" t="s">
        <v>33</v>
      </c>
      <c r="I618" s="414" t="s">
        <v>164</v>
      </c>
      <c r="J618" s="419">
        <v>2000000000</v>
      </c>
      <c r="K618" s="434" t="s">
        <v>27</v>
      </c>
      <c r="L618" s="421">
        <v>46260</v>
      </c>
      <c r="M618" s="422"/>
      <c r="N618" s="448" t="s">
        <v>1219</v>
      </c>
    </row>
    <row r="619" spans="1:14" ht="14.4" hidden="1">
      <c r="A619" s="453" t="s">
        <v>1220</v>
      </c>
      <c r="B619" s="588"/>
      <c r="C619" s="589" t="s">
        <v>1221</v>
      </c>
      <c r="D619" s="590" t="s">
        <v>33</v>
      </c>
      <c r="E619" s="455" t="s">
        <v>24</v>
      </c>
      <c r="F619" s="453" t="s">
        <v>169</v>
      </c>
      <c r="G619" s="455" t="s">
        <v>153</v>
      </c>
      <c r="H619" s="453" t="s">
        <v>26</v>
      </c>
      <c r="I619" s="557" t="s">
        <v>164</v>
      </c>
      <c r="J619" s="564">
        <v>570000000</v>
      </c>
      <c r="K619" s="565" t="s">
        <v>94</v>
      </c>
      <c r="L619" s="566">
        <v>46337</v>
      </c>
      <c r="M619" s="591"/>
      <c r="N619" s="589"/>
    </row>
    <row r="620" spans="1:14" ht="14.4" hidden="1">
      <c r="A620" s="453" t="s">
        <v>1222</v>
      </c>
      <c r="B620" s="588"/>
      <c r="C620" s="589" t="s">
        <v>1223</v>
      </c>
      <c r="D620" s="590" t="s">
        <v>33</v>
      </c>
      <c r="E620" s="455" t="s">
        <v>24</v>
      </c>
      <c r="F620" s="453" t="s">
        <v>169</v>
      </c>
      <c r="G620" s="455" t="s">
        <v>153</v>
      </c>
      <c r="H620" s="453" t="s">
        <v>26</v>
      </c>
      <c r="I620" s="557" t="s">
        <v>148</v>
      </c>
      <c r="J620" s="564">
        <v>2200000000</v>
      </c>
      <c r="K620" s="565" t="s">
        <v>27</v>
      </c>
      <c r="L620" s="566">
        <v>46338</v>
      </c>
      <c r="M620" s="591"/>
      <c r="N620" s="589"/>
    </row>
    <row r="621" spans="1:14" ht="14.4" hidden="1">
      <c r="A621" s="453" t="s">
        <v>1094</v>
      </c>
      <c r="B621" s="588"/>
      <c r="C621" s="589" t="s">
        <v>1100</v>
      </c>
      <c r="D621" s="618" t="s">
        <v>33</v>
      </c>
      <c r="E621" s="455" t="s">
        <v>24</v>
      </c>
      <c r="F621" s="453" t="s">
        <v>185</v>
      </c>
      <c r="G621" s="455" t="s">
        <v>153</v>
      </c>
      <c r="H621" s="453" t="s">
        <v>26</v>
      </c>
      <c r="I621" s="557" t="s">
        <v>148</v>
      </c>
      <c r="J621" s="564">
        <v>4123150000</v>
      </c>
      <c r="K621" s="565" t="s">
        <v>27</v>
      </c>
      <c r="L621" s="566">
        <v>46346</v>
      </c>
      <c r="M621" s="591"/>
      <c r="N621" s="589" t="s">
        <v>1224</v>
      </c>
    </row>
    <row r="622" spans="1:14" ht="14.4" hidden="1">
      <c r="A622" s="415" t="s">
        <v>1225</v>
      </c>
      <c r="C622" s="568" t="s">
        <v>1226</v>
      </c>
      <c r="D622" s="444" t="s">
        <v>1227</v>
      </c>
      <c r="E622" s="415" t="s">
        <v>24</v>
      </c>
      <c r="F622" s="415" t="s">
        <v>169</v>
      </c>
      <c r="G622" s="415" t="s">
        <v>170</v>
      </c>
      <c r="H622" s="415" t="s">
        <v>26</v>
      </c>
      <c r="I622" s="414" t="s">
        <v>148</v>
      </c>
      <c r="J622" s="419">
        <v>113000000</v>
      </c>
      <c r="K622" s="434" t="s">
        <v>40</v>
      </c>
      <c r="L622" s="421">
        <v>46073</v>
      </c>
      <c r="M622" s="422" t="s">
        <v>149</v>
      </c>
      <c r="N622" s="448" t="s">
        <v>764</v>
      </c>
    </row>
    <row r="623" spans="1:14" ht="14.4" hidden="1">
      <c r="A623" s="415" t="s">
        <v>1228</v>
      </c>
      <c r="C623" s="568" t="s">
        <v>1229</v>
      </c>
      <c r="D623" s="560" t="s">
        <v>1230</v>
      </c>
      <c r="E623" s="415" t="s">
        <v>24</v>
      </c>
      <c r="F623" s="415"/>
      <c r="G623" s="415" t="s">
        <v>170</v>
      </c>
      <c r="H623" s="415" t="s">
        <v>26</v>
      </c>
      <c r="I623" s="414" t="s">
        <v>164</v>
      </c>
      <c r="J623" s="419">
        <v>359445615</v>
      </c>
      <c r="K623" s="434" t="s">
        <v>94</v>
      </c>
      <c r="L623" s="421">
        <v>46266</v>
      </c>
      <c r="M623" s="422"/>
      <c r="N623" s="448" t="s">
        <v>1231</v>
      </c>
    </row>
    <row r="624" spans="1:14" ht="14.4" hidden="1">
      <c r="A624" s="415" t="s">
        <v>1232</v>
      </c>
      <c r="C624" s="568" t="s">
        <v>33</v>
      </c>
      <c r="D624" s="414" t="s">
        <v>1233</v>
      </c>
      <c r="E624" s="415" t="s">
        <v>24</v>
      </c>
      <c r="F624" s="415"/>
      <c r="G624" s="415" t="s">
        <v>204</v>
      </c>
      <c r="H624" s="415" t="s">
        <v>33</v>
      </c>
      <c r="I624" s="414" t="s">
        <v>148</v>
      </c>
      <c r="J624" s="419">
        <v>3000000000</v>
      </c>
      <c r="K624" s="434" t="s">
        <v>340</v>
      </c>
      <c r="L624" s="421"/>
      <c r="M624" s="422"/>
      <c r="N624" s="448" t="s">
        <v>778</v>
      </c>
    </row>
    <row r="625" spans="1:14" ht="14.4" hidden="1">
      <c r="A625" s="415" t="s">
        <v>1234</v>
      </c>
      <c r="C625" s="568" t="s">
        <v>1235</v>
      </c>
      <c r="D625" s="579" t="s">
        <v>1236</v>
      </c>
      <c r="E625" s="415" t="s">
        <v>24</v>
      </c>
      <c r="F625" s="415"/>
      <c r="G625" s="415" t="s">
        <v>204</v>
      </c>
      <c r="H625" s="415" t="s">
        <v>26</v>
      </c>
      <c r="I625" s="414" t="s">
        <v>164</v>
      </c>
      <c r="J625" s="419">
        <v>200000000</v>
      </c>
      <c r="K625" s="434" t="s">
        <v>340</v>
      </c>
      <c r="L625" s="421"/>
      <c r="M625" s="422"/>
      <c r="N625" s="448" t="s">
        <v>778</v>
      </c>
    </row>
    <row r="626" spans="1:14" ht="14.4" hidden="1">
      <c r="A626" s="415" t="s">
        <v>1237</v>
      </c>
      <c r="C626" s="568" t="s">
        <v>1238</v>
      </c>
      <c r="D626" s="579" t="s">
        <v>1239</v>
      </c>
      <c r="E626" s="415" t="s">
        <v>24</v>
      </c>
      <c r="F626" s="415"/>
      <c r="G626" s="415" t="s">
        <v>204</v>
      </c>
      <c r="H626" s="415" t="s">
        <v>26</v>
      </c>
      <c r="I626" s="414" t="s">
        <v>164</v>
      </c>
      <c r="J626" s="419">
        <v>350000000</v>
      </c>
      <c r="K626" s="434" t="s">
        <v>340</v>
      </c>
      <c r="L626" s="421"/>
      <c r="M626" s="422"/>
      <c r="N626" s="448"/>
    </row>
    <row r="627" spans="1:14" ht="24" hidden="1">
      <c r="A627" s="455" t="s">
        <v>1240</v>
      </c>
      <c r="B627" s="562"/>
      <c r="C627" s="577" t="s">
        <v>26</v>
      </c>
      <c r="D627" s="563" t="s">
        <v>33</v>
      </c>
      <c r="E627" s="483" t="s">
        <v>24</v>
      </c>
      <c r="F627" s="483" t="s">
        <v>185</v>
      </c>
      <c r="G627" s="483" t="s">
        <v>153</v>
      </c>
      <c r="H627" s="483" t="s">
        <v>26</v>
      </c>
      <c r="I627" s="563" t="s">
        <v>148</v>
      </c>
      <c r="J627" s="564">
        <v>704117700</v>
      </c>
      <c r="K627" s="565" t="s">
        <v>27</v>
      </c>
      <c r="L627" s="566">
        <v>46356</v>
      </c>
      <c r="M627" s="566"/>
      <c r="N627" s="595" t="s">
        <v>1241</v>
      </c>
    </row>
    <row r="628" spans="1:14" ht="14.4" hidden="1">
      <c r="A628" s="415" t="s">
        <v>179</v>
      </c>
      <c r="B628" s="416" t="s">
        <v>1242</v>
      </c>
      <c r="C628" s="568" t="s">
        <v>1243</v>
      </c>
      <c r="D628" s="414" t="s">
        <v>1044</v>
      </c>
      <c r="E628" s="415" t="s">
        <v>24</v>
      </c>
      <c r="F628" s="415"/>
      <c r="G628" s="415" t="s">
        <v>25</v>
      </c>
      <c r="H628" s="415" t="s">
        <v>33</v>
      </c>
      <c r="I628" s="414" t="s">
        <v>154</v>
      </c>
      <c r="J628" s="419">
        <v>337898295</v>
      </c>
      <c r="K628" s="434" t="s">
        <v>40</v>
      </c>
      <c r="L628" s="421">
        <v>46176</v>
      </c>
      <c r="M628" s="422" t="s">
        <v>149</v>
      </c>
      <c r="N628" s="448" t="s">
        <v>61</v>
      </c>
    </row>
    <row r="629" spans="1:14" ht="14.4" hidden="1">
      <c r="A629" s="415" t="s">
        <v>179</v>
      </c>
      <c r="B629" s="416" t="s">
        <v>1244</v>
      </c>
      <c r="C629" s="568" t="s">
        <v>1245</v>
      </c>
      <c r="D629" s="414" t="s">
        <v>1044</v>
      </c>
      <c r="E629" s="415" t="s">
        <v>24</v>
      </c>
      <c r="F629" s="415"/>
      <c r="G629" s="415" t="s">
        <v>25</v>
      </c>
      <c r="H629" s="415" t="s">
        <v>33</v>
      </c>
      <c r="I629" s="414" t="s">
        <v>154</v>
      </c>
      <c r="J629" s="419">
        <v>145227600</v>
      </c>
      <c r="K629" s="434" t="s">
        <v>40</v>
      </c>
      <c r="L629" s="421">
        <v>46176</v>
      </c>
      <c r="M629" s="422" t="s">
        <v>149</v>
      </c>
      <c r="N629" s="448" t="s">
        <v>61</v>
      </c>
    </row>
    <row r="630" spans="1:14" ht="14.4" hidden="1">
      <c r="A630" s="413" t="s">
        <v>146</v>
      </c>
      <c r="B630" s="610"/>
      <c r="C630" s="568" t="s">
        <v>1246</v>
      </c>
      <c r="D630" s="611"/>
      <c r="E630" s="415" t="s">
        <v>24</v>
      </c>
      <c r="F630" s="415"/>
      <c r="G630" s="415" t="s">
        <v>25</v>
      </c>
      <c r="H630" s="415" t="s">
        <v>33</v>
      </c>
      <c r="I630" s="611" t="s">
        <v>148</v>
      </c>
      <c r="J630" s="419">
        <v>200687000</v>
      </c>
      <c r="K630" s="434" t="s">
        <v>40</v>
      </c>
      <c r="L630" s="421">
        <v>46113</v>
      </c>
      <c r="M630" s="422"/>
      <c r="N630" s="448"/>
    </row>
    <row r="631" spans="1:14" ht="24.6" hidden="1">
      <c r="A631" s="413" t="s">
        <v>1247</v>
      </c>
      <c r="C631" s="568" t="s">
        <v>1248</v>
      </c>
      <c r="D631" s="414" t="s">
        <v>1249</v>
      </c>
      <c r="E631" s="415" t="s">
        <v>24</v>
      </c>
      <c r="F631" s="415"/>
      <c r="G631" s="415" t="s">
        <v>153</v>
      </c>
      <c r="H631" s="415" t="s">
        <v>26</v>
      </c>
      <c r="I631" s="414" t="s">
        <v>332</v>
      </c>
      <c r="J631" s="419">
        <f>1825000000*0.8</f>
        <v>1460000000</v>
      </c>
      <c r="K631" s="434" t="s">
        <v>30</v>
      </c>
      <c r="L631" s="421">
        <v>46388</v>
      </c>
      <c r="M631" s="422"/>
      <c r="N631" s="448"/>
    </row>
    <row r="632" spans="1:14" ht="14.4" hidden="1">
      <c r="A632" s="455" t="s">
        <v>1250</v>
      </c>
      <c r="B632" s="562"/>
      <c r="C632" s="577" t="s">
        <v>151</v>
      </c>
      <c r="D632" s="563" t="s">
        <v>33</v>
      </c>
      <c r="E632" s="483" t="s">
        <v>24</v>
      </c>
      <c r="F632" s="483" t="s">
        <v>185</v>
      </c>
      <c r="G632" s="483" t="s">
        <v>153</v>
      </c>
      <c r="H632" s="483" t="s">
        <v>88</v>
      </c>
      <c r="I632" s="483" t="s">
        <v>148</v>
      </c>
      <c r="J632" s="564">
        <v>3555400</v>
      </c>
      <c r="K632" s="565" t="s">
        <v>340</v>
      </c>
      <c r="L632" s="566"/>
      <c r="M632" s="566"/>
      <c r="N632" s="595" t="s">
        <v>1251</v>
      </c>
    </row>
    <row r="633" spans="1:14" s="555" customFormat="1" ht="14.4" hidden="1">
      <c r="A633" s="554" t="s">
        <v>1252</v>
      </c>
      <c r="C633" s="576" t="s">
        <v>728</v>
      </c>
      <c r="D633" s="556" t="s">
        <v>1253</v>
      </c>
      <c r="E633" s="455" t="s">
        <v>24</v>
      </c>
      <c r="F633" s="415"/>
      <c r="G633" s="455" t="s">
        <v>170</v>
      </c>
      <c r="H633" s="455" t="s">
        <v>26</v>
      </c>
      <c r="I633" s="557" t="s">
        <v>148</v>
      </c>
      <c r="J633" s="558">
        <v>300000000</v>
      </c>
      <c r="K633" s="565" t="s">
        <v>67</v>
      </c>
      <c r="L633" s="566">
        <v>46264</v>
      </c>
      <c r="M633" s="559"/>
      <c r="N633" s="455" t="s">
        <v>1254</v>
      </c>
    </row>
    <row r="634" spans="1:14" s="555" customFormat="1" ht="14.4" hidden="1">
      <c r="A634" s="554" t="s">
        <v>1255</v>
      </c>
      <c r="B634" s="610"/>
      <c r="C634" s="576" t="s">
        <v>1256</v>
      </c>
      <c r="D634" s="560" t="s">
        <v>1257</v>
      </c>
      <c r="E634" s="455" t="s">
        <v>24</v>
      </c>
      <c r="F634" s="415"/>
      <c r="G634" s="455" t="s">
        <v>170</v>
      </c>
      <c r="H634" s="455" t="s">
        <v>26</v>
      </c>
      <c r="I634" s="611" t="s">
        <v>148</v>
      </c>
      <c r="J634" s="558">
        <v>32000000</v>
      </c>
      <c r="K634" s="565" t="s">
        <v>94</v>
      </c>
      <c r="L634" s="566">
        <v>46235</v>
      </c>
      <c r="M634" s="559"/>
      <c r="N634" s="455" t="s">
        <v>1258</v>
      </c>
    </row>
    <row r="635" spans="1:14" s="562" customFormat="1" ht="14.4" hidden="1">
      <c r="A635" s="561" t="s">
        <v>1259</v>
      </c>
      <c r="C635" s="577" t="s">
        <v>1260</v>
      </c>
      <c r="D635" s="560" t="s">
        <v>1261</v>
      </c>
      <c r="E635" s="483" t="s">
        <v>24</v>
      </c>
      <c r="F635" s="415"/>
      <c r="G635" s="483" t="s">
        <v>170</v>
      </c>
      <c r="H635" s="483" t="s">
        <v>26</v>
      </c>
      <c r="I635" s="563" t="s">
        <v>148</v>
      </c>
      <c r="J635" s="564">
        <v>1687600000</v>
      </c>
      <c r="K635" s="565" t="s">
        <v>27</v>
      </c>
      <c r="L635" s="566">
        <v>46265</v>
      </c>
      <c r="M635" s="567"/>
      <c r="N635" s="455" t="s">
        <v>1262</v>
      </c>
    </row>
    <row r="636" spans="1:14" ht="14.4" hidden="1">
      <c r="A636" s="413" t="s">
        <v>1263</v>
      </c>
      <c r="C636" s="568" t="s">
        <v>1260</v>
      </c>
      <c r="D636" s="444" t="s">
        <v>1264</v>
      </c>
      <c r="E636" s="415" t="s">
        <v>24</v>
      </c>
      <c r="F636" s="415"/>
      <c r="G636" s="415" t="s">
        <v>170</v>
      </c>
      <c r="H636" s="415" t="s">
        <v>26</v>
      </c>
      <c r="I636" s="414" t="s">
        <v>164</v>
      </c>
      <c r="J636" s="419">
        <v>2000000000</v>
      </c>
      <c r="K636" s="434" t="s">
        <v>40</v>
      </c>
      <c r="L636" s="421">
        <v>46057</v>
      </c>
      <c r="M636" s="422" t="s">
        <v>149</v>
      </c>
      <c r="N636" s="448" t="s">
        <v>764</v>
      </c>
    </row>
    <row r="637" spans="1:14" ht="14.4" hidden="1">
      <c r="A637" s="413" t="s">
        <v>1263</v>
      </c>
      <c r="C637" s="568" t="s">
        <v>1260</v>
      </c>
      <c r="D637" s="444" t="s">
        <v>1265</v>
      </c>
      <c r="E637" s="415" t="s">
        <v>24</v>
      </c>
      <c r="F637" s="415"/>
      <c r="G637" s="415" t="s">
        <v>170</v>
      </c>
      <c r="H637" s="415" t="s">
        <v>33</v>
      </c>
      <c r="I637" s="414" t="s">
        <v>164</v>
      </c>
      <c r="J637" s="419">
        <v>1181000000</v>
      </c>
      <c r="K637" s="434" t="s">
        <v>40</v>
      </c>
      <c r="L637" s="421">
        <v>46057</v>
      </c>
      <c r="M637" s="422" t="s">
        <v>149</v>
      </c>
      <c r="N637" s="448" t="s">
        <v>764</v>
      </c>
    </row>
    <row r="638" spans="1:14" ht="14.4" hidden="1">
      <c r="A638" s="413" t="s">
        <v>42</v>
      </c>
      <c r="C638" s="568" t="s">
        <v>1266</v>
      </c>
      <c r="D638" s="444" t="s">
        <v>1267</v>
      </c>
      <c r="E638" s="415" t="s">
        <v>24</v>
      </c>
      <c r="F638" s="415"/>
      <c r="G638" s="415" t="s">
        <v>170</v>
      </c>
      <c r="H638" s="415" t="s">
        <v>1211</v>
      </c>
      <c r="I638" s="414" t="s">
        <v>148</v>
      </c>
      <c r="J638" s="419">
        <v>986387850</v>
      </c>
      <c r="K638" s="434" t="s">
        <v>40</v>
      </c>
      <c r="L638" s="421">
        <v>46059</v>
      </c>
      <c r="M638" s="422" t="s">
        <v>149</v>
      </c>
      <c r="N638" s="448" t="s">
        <v>764</v>
      </c>
    </row>
    <row r="639" spans="1:14" s="562" customFormat="1" ht="14.4" hidden="1">
      <c r="A639" s="561" t="s">
        <v>1268</v>
      </c>
      <c r="C639" s="577" t="s">
        <v>1269</v>
      </c>
      <c r="D639" s="622" t="s">
        <v>1270</v>
      </c>
      <c r="E639" s="483" t="s">
        <v>24</v>
      </c>
      <c r="F639" s="415"/>
      <c r="G639" s="483" t="s">
        <v>170</v>
      </c>
      <c r="H639" s="483" t="s">
        <v>26</v>
      </c>
      <c r="I639" s="563" t="s">
        <v>164</v>
      </c>
      <c r="J639" s="564">
        <v>260005500</v>
      </c>
      <c r="K639" s="565" t="s">
        <v>40</v>
      </c>
      <c r="L639" s="566">
        <v>46085</v>
      </c>
      <c r="M639" s="422" t="s">
        <v>149</v>
      </c>
      <c r="N639" s="448" t="s">
        <v>61</v>
      </c>
    </row>
    <row r="640" spans="1:14" ht="14.4" hidden="1">
      <c r="A640" s="561" t="s">
        <v>1268</v>
      </c>
      <c r="C640" s="568" t="s">
        <v>1271</v>
      </c>
      <c r="D640" s="444"/>
      <c r="E640" s="415" t="s">
        <v>24</v>
      </c>
      <c r="F640" s="415"/>
      <c r="G640" s="415" t="s">
        <v>170</v>
      </c>
      <c r="H640" s="415" t="s">
        <v>33</v>
      </c>
      <c r="I640" s="414" t="s">
        <v>164</v>
      </c>
      <c r="J640" s="419">
        <v>270013800</v>
      </c>
      <c r="K640" s="434" t="s">
        <v>40</v>
      </c>
      <c r="L640" s="421">
        <v>46085</v>
      </c>
      <c r="M640" s="422" t="s">
        <v>149</v>
      </c>
      <c r="N640" s="448" t="s">
        <v>61</v>
      </c>
    </row>
    <row r="641" spans="1:14" ht="14.4" hidden="1">
      <c r="A641" s="561" t="s">
        <v>1272</v>
      </c>
      <c r="C641" s="568" t="s">
        <v>1273</v>
      </c>
      <c r="D641" s="414" t="s">
        <v>26</v>
      </c>
      <c r="E641" s="415" t="s">
        <v>24</v>
      </c>
      <c r="F641" s="415"/>
      <c r="G641" s="415" t="s">
        <v>201</v>
      </c>
      <c r="H641" s="415" t="s">
        <v>26</v>
      </c>
      <c r="I641" s="414" t="s">
        <v>164</v>
      </c>
      <c r="J641" s="419">
        <v>2000000000</v>
      </c>
      <c r="K641" s="434" t="s">
        <v>30</v>
      </c>
      <c r="L641" s="566">
        <v>46338</v>
      </c>
      <c r="M641" s="422"/>
      <c r="N641" s="448"/>
    </row>
    <row r="642" spans="1:14" ht="14.4" hidden="1">
      <c r="A642" s="561" t="s">
        <v>1274</v>
      </c>
      <c r="C642" s="568" t="s">
        <v>1275</v>
      </c>
      <c r="D642" s="414" t="s">
        <v>33</v>
      </c>
      <c r="E642" s="415" t="s">
        <v>24</v>
      </c>
      <c r="F642" s="415"/>
      <c r="G642" s="415" t="s">
        <v>201</v>
      </c>
      <c r="H642" s="415" t="s">
        <v>33</v>
      </c>
      <c r="I642" s="414" t="s">
        <v>164</v>
      </c>
      <c r="J642" s="419">
        <v>22500000</v>
      </c>
      <c r="K642" s="434" t="s">
        <v>40</v>
      </c>
      <c r="L642" s="566">
        <v>46154</v>
      </c>
      <c r="M642" s="422"/>
      <c r="N642" s="448"/>
    </row>
    <row r="643" spans="1:14" ht="14.4" hidden="1">
      <c r="A643" s="561" t="s">
        <v>256</v>
      </c>
      <c r="C643" s="568" t="s">
        <v>1276</v>
      </c>
      <c r="D643" s="414" t="s">
        <v>26</v>
      </c>
      <c r="E643" s="415" t="s">
        <v>24</v>
      </c>
      <c r="F643" s="415"/>
      <c r="G643" s="415" t="s">
        <v>201</v>
      </c>
      <c r="H643" s="415" t="s">
        <v>26</v>
      </c>
      <c r="I643" s="414" t="s">
        <v>164</v>
      </c>
      <c r="J643" s="419">
        <v>2750000000</v>
      </c>
      <c r="K643" s="434" t="s">
        <v>40</v>
      </c>
      <c r="L643" s="421">
        <v>46101</v>
      </c>
      <c r="M643" s="422" t="s">
        <v>149</v>
      </c>
      <c r="N643" s="448" t="s">
        <v>61</v>
      </c>
    </row>
    <row r="644" spans="1:14" ht="14.4" hidden="1">
      <c r="A644" s="561" t="s">
        <v>656</v>
      </c>
      <c r="C644" s="568" t="s">
        <v>1277</v>
      </c>
      <c r="D644" s="444" t="s">
        <v>1278</v>
      </c>
      <c r="E644" s="415" t="s">
        <v>24</v>
      </c>
      <c r="F644" s="415"/>
      <c r="G644" s="415" t="s">
        <v>170</v>
      </c>
      <c r="H644" s="415" t="s">
        <v>33</v>
      </c>
      <c r="I644" s="414" t="s">
        <v>164</v>
      </c>
      <c r="J644" s="419">
        <v>62800000</v>
      </c>
      <c r="K644" s="434" t="s">
        <v>40</v>
      </c>
      <c r="L644" s="421">
        <v>46108</v>
      </c>
      <c r="M644" s="422" t="s">
        <v>149</v>
      </c>
      <c r="N644" s="448" t="s">
        <v>61</v>
      </c>
    </row>
    <row r="645" spans="1:14" ht="14.4" hidden="1">
      <c r="A645" s="561" t="s">
        <v>1279</v>
      </c>
      <c r="C645" s="568" t="s">
        <v>131</v>
      </c>
      <c r="D645" s="611" t="s">
        <v>1280</v>
      </c>
      <c r="E645" s="415" t="s">
        <v>24</v>
      </c>
      <c r="F645" s="415"/>
      <c r="G645" s="415" t="s">
        <v>204</v>
      </c>
      <c r="H645" s="415" t="s">
        <v>33</v>
      </c>
      <c r="I645" s="414" t="s">
        <v>148</v>
      </c>
      <c r="J645" s="419">
        <v>196000000</v>
      </c>
      <c r="K645" s="434" t="s">
        <v>40</v>
      </c>
      <c r="L645" s="421">
        <v>46113</v>
      </c>
      <c r="M645" s="422"/>
      <c r="N645" s="448" t="s">
        <v>1281</v>
      </c>
    </row>
    <row r="646" spans="1:14" ht="14.4" hidden="1">
      <c r="A646" s="561" t="s">
        <v>1282</v>
      </c>
      <c r="B646" s="610"/>
      <c r="C646" s="568" t="s">
        <v>1283</v>
      </c>
      <c r="D646" s="373" t="s">
        <v>1284</v>
      </c>
      <c r="E646" s="415" t="s">
        <v>24</v>
      </c>
      <c r="F646" s="415"/>
      <c r="G646" s="415" t="s">
        <v>170</v>
      </c>
      <c r="H646" s="415" t="s">
        <v>33</v>
      </c>
      <c r="I646" s="611" t="s">
        <v>164</v>
      </c>
      <c r="J646" s="419">
        <v>95000000</v>
      </c>
      <c r="K646" s="434" t="s">
        <v>94</v>
      </c>
      <c r="L646" s="421">
        <v>46218</v>
      </c>
      <c r="M646" s="422"/>
      <c r="N646" s="448" t="s">
        <v>1285</v>
      </c>
    </row>
    <row r="647" spans="1:14" ht="14.4" hidden="1">
      <c r="A647" s="389" t="s">
        <v>1286</v>
      </c>
      <c r="C647" s="568" t="s">
        <v>1287</v>
      </c>
      <c r="D647" s="414"/>
      <c r="E647" s="415" t="s">
        <v>24</v>
      </c>
      <c r="F647" s="415" t="s">
        <v>169</v>
      </c>
      <c r="G647" s="415" t="s">
        <v>153</v>
      </c>
      <c r="H647" s="415" t="s">
        <v>33</v>
      </c>
      <c r="I647" s="414" t="s">
        <v>154</v>
      </c>
      <c r="J647" s="390">
        <v>30985990000</v>
      </c>
      <c r="K647" s="434" t="s">
        <v>94</v>
      </c>
      <c r="L647" s="421"/>
      <c r="M647" s="422"/>
      <c r="N647" s="448" t="s">
        <v>1288</v>
      </c>
    </row>
    <row r="648" spans="1:14" ht="14.4" hidden="1">
      <c r="A648" s="389" t="s">
        <v>1289</v>
      </c>
      <c r="C648" s="568" t="s">
        <v>1287</v>
      </c>
      <c r="D648" s="414"/>
      <c r="E648" s="415" t="s">
        <v>24</v>
      </c>
      <c r="F648" s="415" t="s">
        <v>169</v>
      </c>
      <c r="G648" s="415" t="s">
        <v>153</v>
      </c>
      <c r="H648" s="415" t="s">
        <v>33</v>
      </c>
      <c r="I648" s="414" t="s">
        <v>154</v>
      </c>
      <c r="J648" s="390">
        <v>30985990000</v>
      </c>
      <c r="K648" s="434" t="s">
        <v>94</v>
      </c>
      <c r="L648" s="421"/>
      <c r="M648" s="422"/>
      <c r="N648" s="448" t="s">
        <v>1288</v>
      </c>
    </row>
    <row r="649" spans="1:14" ht="14.4" hidden="1">
      <c r="A649" s="415" t="s">
        <v>1290</v>
      </c>
      <c r="C649" s="568" t="s">
        <v>26</v>
      </c>
      <c r="D649" s="414" t="s">
        <v>1291</v>
      </c>
      <c r="E649" s="415" t="s">
        <v>24</v>
      </c>
      <c r="F649" s="415"/>
      <c r="G649" s="415" t="s">
        <v>153</v>
      </c>
      <c r="H649" s="415" t="s">
        <v>26</v>
      </c>
      <c r="I649" s="414" t="s">
        <v>148</v>
      </c>
      <c r="J649" s="419">
        <f>747500000*0.8</f>
        <v>598000000</v>
      </c>
      <c r="K649" s="434" t="s">
        <v>67</v>
      </c>
      <c r="L649" s="421"/>
      <c r="M649" s="422"/>
      <c r="N649" s="448"/>
    </row>
    <row r="650" spans="1:14" ht="14.4" hidden="1">
      <c r="A650" s="561" t="s">
        <v>1292</v>
      </c>
      <c r="C650" s="568" t="s">
        <v>88</v>
      </c>
      <c r="D650" s="373" t="s">
        <v>88</v>
      </c>
      <c r="E650" s="415" t="s">
        <v>90</v>
      </c>
      <c r="F650" s="415"/>
      <c r="G650" s="415" t="s">
        <v>96</v>
      </c>
      <c r="H650" s="415" t="s">
        <v>88</v>
      </c>
      <c r="I650" s="414" t="s">
        <v>145</v>
      </c>
      <c r="J650" s="419">
        <v>11000000</v>
      </c>
      <c r="K650" s="434" t="s">
        <v>27</v>
      </c>
      <c r="L650" s="421">
        <v>46260</v>
      </c>
      <c r="M650" s="422"/>
      <c r="N650" s="448"/>
    </row>
    <row r="651" spans="1:14" ht="14.4" hidden="1">
      <c r="A651" s="561" t="s">
        <v>1293</v>
      </c>
      <c r="C651" s="568" t="s">
        <v>131</v>
      </c>
      <c r="D651" s="373" t="s">
        <v>131</v>
      </c>
      <c r="E651" s="415" t="s">
        <v>90</v>
      </c>
      <c r="F651" s="415"/>
      <c r="G651" s="415" t="s">
        <v>96</v>
      </c>
      <c r="H651" s="415" t="s">
        <v>33</v>
      </c>
      <c r="I651" s="414" t="s">
        <v>164</v>
      </c>
      <c r="J651" s="419">
        <v>57000000</v>
      </c>
      <c r="K651" s="434" t="s">
        <v>40</v>
      </c>
      <c r="L651" s="421">
        <v>46168</v>
      </c>
      <c r="M651" s="422" t="s">
        <v>149</v>
      </c>
      <c r="N651" s="448"/>
    </row>
    <row r="652" spans="1:14" ht="14.4" hidden="1">
      <c r="A652" s="561" t="s">
        <v>1294</v>
      </c>
      <c r="C652" s="568" t="s">
        <v>26</v>
      </c>
      <c r="D652" s="414"/>
      <c r="E652" s="415" t="s">
        <v>90</v>
      </c>
      <c r="F652" s="415"/>
      <c r="G652" s="415" t="s">
        <v>96</v>
      </c>
      <c r="H652" s="415" t="s">
        <v>26</v>
      </c>
      <c r="I652" s="414" t="s">
        <v>154</v>
      </c>
      <c r="J652" s="419">
        <v>1500000000</v>
      </c>
      <c r="K652" s="434" t="s">
        <v>44</v>
      </c>
      <c r="L652" s="421">
        <v>46229</v>
      </c>
      <c r="M652" s="422" t="s">
        <v>149</v>
      </c>
      <c r="N652" s="448"/>
    </row>
    <row r="653" spans="1:14" ht="14.4" hidden="1">
      <c r="A653" s="561" t="s">
        <v>1295</v>
      </c>
      <c r="C653" s="568" t="s">
        <v>26</v>
      </c>
      <c r="D653" s="373" t="s">
        <v>1296</v>
      </c>
      <c r="E653" s="415" t="s">
        <v>90</v>
      </c>
      <c r="F653" s="415"/>
      <c r="G653" s="415" t="s">
        <v>96</v>
      </c>
      <c r="H653" s="415" t="s">
        <v>26</v>
      </c>
      <c r="I653" s="414" t="s">
        <v>164</v>
      </c>
      <c r="J653" s="419">
        <v>4650000000</v>
      </c>
      <c r="K653" s="434" t="s">
        <v>27</v>
      </c>
      <c r="L653" s="421">
        <v>46229</v>
      </c>
      <c r="M653" s="422" t="s">
        <v>149</v>
      </c>
      <c r="N653" s="448"/>
    </row>
    <row r="654" spans="1:14" ht="14.4" hidden="1">
      <c r="A654" s="561" t="s">
        <v>1297</v>
      </c>
      <c r="C654" s="568" t="s">
        <v>131</v>
      </c>
      <c r="D654" s="373" t="s">
        <v>131</v>
      </c>
      <c r="E654" s="415" t="s">
        <v>90</v>
      </c>
      <c r="F654" s="415"/>
      <c r="G654" s="415" t="s">
        <v>96</v>
      </c>
      <c r="H654" s="415" t="s">
        <v>33</v>
      </c>
      <c r="I654" s="414" t="s">
        <v>164</v>
      </c>
      <c r="J654" s="419">
        <v>6000000000</v>
      </c>
      <c r="K654" s="434" t="s">
        <v>27</v>
      </c>
      <c r="L654" s="421">
        <v>46260</v>
      </c>
      <c r="M654" s="422"/>
      <c r="N654" s="448"/>
    </row>
    <row r="655" spans="1:14" ht="14.4" hidden="1">
      <c r="A655" s="561" t="s">
        <v>1298</v>
      </c>
      <c r="C655" s="568" t="s">
        <v>243</v>
      </c>
      <c r="D655" s="373" t="s">
        <v>243</v>
      </c>
      <c r="E655" s="415" t="s">
        <v>90</v>
      </c>
      <c r="F655" s="415"/>
      <c r="G655" s="415" t="s">
        <v>96</v>
      </c>
      <c r="H655" s="415" t="s">
        <v>26</v>
      </c>
      <c r="I655" s="414" t="s">
        <v>164</v>
      </c>
      <c r="J655" s="419">
        <v>80000000</v>
      </c>
      <c r="K655" s="434" t="s">
        <v>27</v>
      </c>
      <c r="L655" s="421">
        <v>46352</v>
      </c>
      <c r="M655" s="422"/>
      <c r="N655" s="448"/>
    </row>
    <row r="656" spans="1:14" ht="14.4" hidden="1">
      <c r="A656" s="561" t="s">
        <v>117</v>
      </c>
      <c r="C656" s="568" t="s">
        <v>131</v>
      </c>
      <c r="D656" s="373" t="s">
        <v>131</v>
      </c>
      <c r="E656" s="415" t="s">
        <v>90</v>
      </c>
      <c r="F656" s="415"/>
      <c r="G656" s="415" t="s">
        <v>96</v>
      </c>
      <c r="H656" s="415" t="s">
        <v>33</v>
      </c>
      <c r="I656" s="414" t="s">
        <v>164</v>
      </c>
      <c r="J656" s="419">
        <v>135000000</v>
      </c>
      <c r="K656" s="434" t="s">
        <v>27</v>
      </c>
      <c r="L656" s="421">
        <v>46321</v>
      </c>
      <c r="M656" s="422"/>
      <c r="N656" s="448"/>
    </row>
    <row r="657" spans="1:14" ht="14.4" hidden="1">
      <c r="A657" s="561" t="s">
        <v>1299</v>
      </c>
      <c r="C657" s="568" t="s">
        <v>1300</v>
      </c>
      <c r="D657" s="414" t="s">
        <v>1300</v>
      </c>
      <c r="E657" s="415" t="s">
        <v>90</v>
      </c>
      <c r="F657" s="415"/>
      <c r="G657" s="415" t="s">
        <v>96</v>
      </c>
      <c r="H657" s="415" t="s">
        <v>1211</v>
      </c>
      <c r="I657" s="414" t="s">
        <v>148</v>
      </c>
      <c r="J657" s="419">
        <v>1631073000</v>
      </c>
      <c r="K657" s="434" t="s">
        <v>27</v>
      </c>
      <c r="L657" s="421">
        <v>46321</v>
      </c>
      <c r="M657" s="422"/>
      <c r="N657" s="448"/>
    </row>
    <row r="658" spans="1:14" ht="14.4" hidden="1">
      <c r="A658" s="561" t="s">
        <v>1301</v>
      </c>
      <c r="C658" s="568" t="s">
        <v>243</v>
      </c>
      <c r="D658" s="414"/>
      <c r="E658" s="415" t="s">
        <v>90</v>
      </c>
      <c r="F658" s="415"/>
      <c r="G658" s="415" t="s">
        <v>96</v>
      </c>
      <c r="H658" s="415" t="s">
        <v>26</v>
      </c>
      <c r="I658" s="414" t="s">
        <v>164</v>
      </c>
      <c r="J658" s="419">
        <v>752000000</v>
      </c>
      <c r="K658" s="434" t="s">
        <v>27</v>
      </c>
      <c r="L658" s="421">
        <v>46291</v>
      </c>
      <c r="M658" s="422"/>
      <c r="N658" s="448"/>
    </row>
    <row r="659" spans="1:14" ht="14.4" hidden="1">
      <c r="A659" s="561" t="s">
        <v>1302</v>
      </c>
      <c r="C659" s="568" t="s">
        <v>26</v>
      </c>
      <c r="D659" s="414"/>
      <c r="E659" s="415" t="s">
        <v>90</v>
      </c>
      <c r="F659" s="415"/>
      <c r="G659" s="415" t="s">
        <v>96</v>
      </c>
      <c r="H659" s="415" t="s">
        <v>26</v>
      </c>
      <c r="I659" s="414" t="s">
        <v>145</v>
      </c>
      <c r="J659" s="419">
        <v>149000000</v>
      </c>
      <c r="K659" s="434" t="s">
        <v>27</v>
      </c>
      <c r="L659" s="421">
        <v>46260</v>
      </c>
      <c r="M659" s="422"/>
      <c r="N659" s="448"/>
    </row>
    <row r="660" spans="1:14" ht="14.4" hidden="1">
      <c r="A660" s="561" t="s">
        <v>1303</v>
      </c>
      <c r="C660" s="568" t="s">
        <v>131</v>
      </c>
      <c r="D660" s="414"/>
      <c r="E660" s="415" t="s">
        <v>90</v>
      </c>
      <c r="F660" s="415"/>
      <c r="G660" s="415" t="s">
        <v>96</v>
      </c>
      <c r="H660" s="415" t="s">
        <v>33</v>
      </c>
      <c r="I660" s="414" t="s">
        <v>332</v>
      </c>
      <c r="J660" s="419">
        <v>302000000</v>
      </c>
      <c r="K660" s="434" t="s">
        <v>40</v>
      </c>
      <c r="L660" s="421">
        <v>46168</v>
      </c>
      <c r="M660" s="422"/>
      <c r="N660" s="448"/>
    </row>
    <row r="661" spans="1:14" ht="14.4" hidden="1">
      <c r="A661" s="561" t="s">
        <v>1304</v>
      </c>
      <c r="C661" s="568" t="s">
        <v>1260</v>
      </c>
      <c r="D661" s="373" t="s">
        <v>1305</v>
      </c>
      <c r="E661" s="415" t="s">
        <v>24</v>
      </c>
      <c r="F661" s="415"/>
      <c r="G661" s="415" t="s">
        <v>170</v>
      </c>
      <c r="H661" s="415" t="s">
        <v>26</v>
      </c>
      <c r="I661" s="414" t="s">
        <v>164</v>
      </c>
      <c r="J661" s="419">
        <v>220000000</v>
      </c>
      <c r="K661" s="434" t="s">
        <v>27</v>
      </c>
      <c r="L661" s="421">
        <v>46274</v>
      </c>
      <c r="M661" s="422"/>
      <c r="N661" s="448" t="s">
        <v>1306</v>
      </c>
    </row>
    <row r="662" spans="1:14" ht="14.4" hidden="1">
      <c r="A662" s="561" t="s">
        <v>1307</v>
      </c>
      <c r="C662" s="568" t="s">
        <v>1260</v>
      </c>
      <c r="D662" s="373" t="s">
        <v>1308</v>
      </c>
      <c r="E662" s="415" t="s">
        <v>24</v>
      </c>
      <c r="F662" s="415"/>
      <c r="G662" s="415" t="s">
        <v>170</v>
      </c>
      <c r="H662" s="415" t="s">
        <v>26</v>
      </c>
      <c r="I662" s="414" t="s">
        <v>148</v>
      </c>
      <c r="J662" s="419">
        <v>1874000000</v>
      </c>
      <c r="K662" s="434" t="s">
        <v>27</v>
      </c>
      <c r="L662" s="421">
        <v>46307</v>
      </c>
      <c r="M662" s="422"/>
      <c r="N662" s="448" t="s">
        <v>1309</v>
      </c>
    </row>
    <row r="663" spans="1:14" ht="14.4" hidden="1">
      <c r="A663" s="561" t="s">
        <v>1310</v>
      </c>
      <c r="C663" s="568" t="s">
        <v>1311</v>
      </c>
      <c r="D663" s="414"/>
      <c r="E663" s="415" t="s">
        <v>24</v>
      </c>
      <c r="F663" s="415"/>
      <c r="G663" s="415" t="s">
        <v>170</v>
      </c>
      <c r="H663" s="415" t="s">
        <v>33</v>
      </c>
      <c r="I663" s="414" t="s">
        <v>148</v>
      </c>
      <c r="J663" s="419">
        <v>91900000</v>
      </c>
      <c r="K663" s="434" t="s">
        <v>27</v>
      </c>
      <c r="L663" s="421">
        <v>46235</v>
      </c>
      <c r="M663" s="422"/>
      <c r="N663" s="448" t="s">
        <v>1312</v>
      </c>
    </row>
    <row r="664" spans="1:14" s="555" customFormat="1" ht="27.6" hidden="1">
      <c r="A664" s="554" t="s">
        <v>1313</v>
      </c>
      <c r="C664" s="576" t="s">
        <v>1269</v>
      </c>
      <c r="D664" s="623" t="s">
        <v>1314</v>
      </c>
      <c r="E664" s="455" t="s">
        <v>24</v>
      </c>
      <c r="F664" s="455" t="s">
        <v>169</v>
      </c>
      <c r="G664" s="455" t="s">
        <v>170</v>
      </c>
      <c r="H664" s="455" t="s">
        <v>26</v>
      </c>
      <c r="I664" s="557" t="s">
        <v>148</v>
      </c>
      <c r="J664" s="558">
        <v>241000000</v>
      </c>
      <c r="K664" s="565" t="s">
        <v>40</v>
      </c>
      <c r="L664" s="566">
        <v>46138</v>
      </c>
      <c r="M664" s="567" t="s">
        <v>149</v>
      </c>
      <c r="N664" s="455" t="s">
        <v>764</v>
      </c>
    </row>
    <row r="665" spans="1:14" s="555" customFormat="1" ht="14.25" hidden="1" customHeight="1">
      <c r="A665" s="554" t="s">
        <v>1315</v>
      </c>
      <c r="B665" s="349"/>
      <c r="C665" s="576" t="s">
        <v>1316</v>
      </c>
      <c r="D665" s="373" t="s">
        <v>1317</v>
      </c>
      <c r="E665" s="455" t="s">
        <v>24</v>
      </c>
      <c r="F665" s="415"/>
      <c r="G665" s="455" t="s">
        <v>170</v>
      </c>
      <c r="H665" s="455" t="s">
        <v>33</v>
      </c>
      <c r="I665" s="414" t="s">
        <v>164</v>
      </c>
      <c r="J665" s="558">
        <v>293800000</v>
      </c>
      <c r="K665" s="565" t="s">
        <v>67</v>
      </c>
      <c r="L665" s="566">
        <v>46265</v>
      </c>
      <c r="M665" s="567"/>
      <c r="N665" s="455" t="s">
        <v>1318</v>
      </c>
    </row>
    <row r="666" spans="1:14" s="555" customFormat="1" ht="14.25" hidden="1" customHeight="1">
      <c r="A666" s="554" t="s">
        <v>1319</v>
      </c>
      <c r="B666" s="349"/>
      <c r="C666" s="576" t="s">
        <v>1229</v>
      </c>
      <c r="D666" s="444" t="s">
        <v>1320</v>
      </c>
      <c r="E666" s="455" t="s">
        <v>24</v>
      </c>
      <c r="F666" s="415" t="s">
        <v>169</v>
      </c>
      <c r="G666" s="455" t="s">
        <v>170</v>
      </c>
      <c r="H666" s="455" t="s">
        <v>33</v>
      </c>
      <c r="I666" s="414" t="s">
        <v>148</v>
      </c>
      <c r="J666" s="558">
        <v>51000000</v>
      </c>
      <c r="K666" s="565" t="s">
        <v>40</v>
      </c>
      <c r="L666" s="566">
        <v>46150</v>
      </c>
      <c r="M666" s="567" t="s">
        <v>149</v>
      </c>
      <c r="N666" s="455" t="s">
        <v>1321</v>
      </c>
    </row>
    <row r="667" spans="1:14" s="555" customFormat="1" ht="14.25" hidden="1" customHeight="1">
      <c r="A667" s="554" t="s">
        <v>1322</v>
      </c>
      <c r="B667" s="349"/>
      <c r="C667" s="576" t="s">
        <v>1323</v>
      </c>
      <c r="D667" s="444" t="s">
        <v>1324</v>
      </c>
      <c r="E667" s="455" t="s">
        <v>24</v>
      </c>
      <c r="F667" s="415"/>
      <c r="G667" s="455" t="s">
        <v>170</v>
      </c>
      <c r="H667" s="455" t="s">
        <v>33</v>
      </c>
      <c r="I667" s="414" t="s">
        <v>148</v>
      </c>
      <c r="J667" s="558">
        <v>740000000</v>
      </c>
      <c r="K667" s="565" t="s">
        <v>40</v>
      </c>
      <c r="L667" s="566">
        <v>46148</v>
      </c>
      <c r="M667" s="567" t="s">
        <v>149</v>
      </c>
      <c r="N667" s="455" t="s">
        <v>1325</v>
      </c>
    </row>
    <row r="668" spans="1:14" ht="14.4" hidden="1">
      <c r="A668" s="561" t="s">
        <v>1326</v>
      </c>
      <c r="C668" s="568" t="s">
        <v>1327</v>
      </c>
      <c r="D668" s="611" t="s">
        <v>1044</v>
      </c>
      <c r="E668" s="415" t="s">
        <v>24</v>
      </c>
      <c r="F668" s="415"/>
      <c r="G668" s="415" t="s">
        <v>204</v>
      </c>
      <c r="H668" s="415" t="s">
        <v>26</v>
      </c>
      <c r="I668" s="414" t="s">
        <v>164</v>
      </c>
      <c r="J668" s="419">
        <v>110593500</v>
      </c>
      <c r="K668" s="434" t="s">
        <v>40</v>
      </c>
      <c r="L668" s="421">
        <v>46143</v>
      </c>
      <c r="M668" s="422"/>
      <c r="N668" s="448" t="s">
        <v>205</v>
      </c>
    </row>
    <row r="669" spans="1:14" ht="14.4" hidden="1">
      <c r="A669" s="561" t="s">
        <v>1328</v>
      </c>
      <c r="C669" s="568" t="s">
        <v>1329</v>
      </c>
      <c r="D669" s="611" t="s">
        <v>1330</v>
      </c>
      <c r="E669" s="415" t="s">
        <v>24</v>
      </c>
      <c r="F669" s="415"/>
      <c r="G669" s="415" t="s">
        <v>204</v>
      </c>
      <c r="H669" s="415" t="s">
        <v>26</v>
      </c>
      <c r="I669" s="414" t="s">
        <v>148</v>
      </c>
      <c r="J669" s="419">
        <v>170000000</v>
      </c>
      <c r="K669" s="434" t="s">
        <v>67</v>
      </c>
      <c r="L669" s="421"/>
      <c r="M669" s="422"/>
      <c r="N669" s="448" t="s">
        <v>1331</v>
      </c>
    </row>
    <row r="670" spans="1:14" ht="14.4" hidden="1">
      <c r="A670" s="561" t="s">
        <v>1332</v>
      </c>
      <c r="C670" s="568" t="s">
        <v>1333</v>
      </c>
      <c r="D670" s="414"/>
      <c r="E670" s="415" t="s">
        <v>24</v>
      </c>
      <c r="F670" s="415"/>
      <c r="G670" s="415" t="s">
        <v>201</v>
      </c>
      <c r="H670" s="415" t="s">
        <v>26</v>
      </c>
      <c r="I670" s="414" t="s">
        <v>164</v>
      </c>
      <c r="J670" s="419">
        <v>2400000000</v>
      </c>
      <c r="K670" s="434" t="s">
        <v>27</v>
      </c>
      <c r="L670" s="421">
        <v>46266</v>
      </c>
      <c r="M670" s="422"/>
      <c r="N670" s="448" t="s">
        <v>778</v>
      </c>
    </row>
    <row r="671" spans="1:14" ht="14.4" hidden="1">
      <c r="A671" s="561" t="s">
        <v>1334</v>
      </c>
      <c r="C671" s="568" t="s">
        <v>1335</v>
      </c>
      <c r="D671" s="414"/>
      <c r="E671" s="415" t="s">
        <v>24</v>
      </c>
      <c r="F671" s="415"/>
      <c r="G671" s="415" t="s">
        <v>201</v>
      </c>
      <c r="H671" s="415" t="s">
        <v>33</v>
      </c>
      <c r="I671" s="414" t="s">
        <v>164</v>
      </c>
      <c r="J671" s="419">
        <v>2000000000</v>
      </c>
      <c r="K671" s="434" t="s">
        <v>27</v>
      </c>
      <c r="L671" s="421">
        <v>46266</v>
      </c>
      <c r="M671" s="422"/>
      <c r="N671" s="448" t="s">
        <v>778</v>
      </c>
    </row>
    <row r="672" spans="1:14" ht="14.4" hidden="1">
      <c r="A672" s="415" t="s">
        <v>1290</v>
      </c>
      <c r="C672" s="568" t="s">
        <v>33</v>
      </c>
      <c r="D672" s="414" t="s">
        <v>1336</v>
      </c>
      <c r="E672" s="415" t="s">
        <v>24</v>
      </c>
      <c r="F672" s="415"/>
      <c r="G672" s="415" t="s">
        <v>153</v>
      </c>
      <c r="H672" s="415" t="s">
        <v>33</v>
      </c>
      <c r="I672" s="414" t="s">
        <v>148</v>
      </c>
      <c r="J672" s="419">
        <f>126000000*0.8</f>
        <v>100800000</v>
      </c>
      <c r="K672" s="434" t="s">
        <v>67</v>
      </c>
      <c r="L672" s="421"/>
      <c r="M672" s="422"/>
      <c r="N672" s="448"/>
    </row>
    <row r="673" spans="1:14" ht="14.4" hidden="1">
      <c r="A673" s="561" t="s">
        <v>1337</v>
      </c>
      <c r="C673" s="568" t="s">
        <v>1338</v>
      </c>
      <c r="D673" s="414"/>
      <c r="E673" s="415" t="s">
        <v>24</v>
      </c>
      <c r="F673" s="415" t="s">
        <v>169</v>
      </c>
      <c r="G673" s="415" t="s">
        <v>204</v>
      </c>
      <c r="H673" s="415" t="s">
        <v>26</v>
      </c>
      <c r="I673" s="414" t="s">
        <v>145</v>
      </c>
      <c r="J673" s="419">
        <v>146000000</v>
      </c>
      <c r="K673" s="434" t="s">
        <v>40</v>
      </c>
      <c r="L673" s="421">
        <v>46143</v>
      </c>
      <c r="M673" s="422"/>
      <c r="N673" s="448" t="s">
        <v>205</v>
      </c>
    </row>
    <row r="674" spans="1:14" ht="14.4" hidden="1">
      <c r="A674" s="561" t="s">
        <v>1339</v>
      </c>
      <c r="C674" s="568" t="s">
        <v>1340</v>
      </c>
      <c r="D674" s="414"/>
      <c r="E674" s="415" t="s">
        <v>24</v>
      </c>
      <c r="F674" s="415"/>
      <c r="G674" s="415" t="s">
        <v>204</v>
      </c>
      <c r="H674" s="415" t="s">
        <v>26</v>
      </c>
      <c r="I674" s="414" t="s">
        <v>148</v>
      </c>
      <c r="J674" s="419">
        <v>834000000</v>
      </c>
      <c r="K674" s="434" t="s">
        <v>67</v>
      </c>
      <c r="L674" s="421"/>
      <c r="M674" s="422"/>
      <c r="N674" s="448" t="s">
        <v>778</v>
      </c>
    </row>
    <row r="675" spans="1:14" ht="14.4" hidden="1">
      <c r="A675" s="561" t="s">
        <v>1341</v>
      </c>
      <c r="C675" s="568" t="s">
        <v>26</v>
      </c>
      <c r="D675" s="414" t="s">
        <v>1342</v>
      </c>
      <c r="E675" s="415" t="s">
        <v>24</v>
      </c>
      <c r="F675" s="415"/>
      <c r="G675" s="415" t="s">
        <v>54</v>
      </c>
      <c r="H675" s="415" t="s">
        <v>26</v>
      </c>
      <c r="I675" s="414" t="s">
        <v>164</v>
      </c>
      <c r="J675" s="419">
        <v>1300000000</v>
      </c>
      <c r="K675" s="434" t="s">
        <v>27</v>
      </c>
      <c r="L675" s="421">
        <v>46261</v>
      </c>
      <c r="M675" s="422"/>
      <c r="N675" s="448" t="s">
        <v>1343</v>
      </c>
    </row>
    <row r="676" spans="1:14" ht="14.4" hidden="1">
      <c r="A676" s="561" t="s">
        <v>1344</v>
      </c>
      <c r="C676" s="568" t="s">
        <v>26</v>
      </c>
      <c r="D676" s="414" t="s">
        <v>1345</v>
      </c>
      <c r="E676" s="415" t="s">
        <v>24</v>
      </c>
      <c r="F676" s="415"/>
      <c r="G676" s="415" t="s">
        <v>54</v>
      </c>
      <c r="H676" s="415" t="s">
        <v>26</v>
      </c>
      <c r="I676" s="414" t="s">
        <v>164</v>
      </c>
      <c r="J676" s="419">
        <v>1500000000</v>
      </c>
      <c r="K676" s="434" t="s">
        <v>27</v>
      </c>
      <c r="L676" s="421">
        <v>46261</v>
      </c>
      <c r="M676" s="422"/>
      <c r="N676" s="448" t="s">
        <v>1343</v>
      </c>
    </row>
    <row r="677" spans="1:14" ht="14.4" hidden="1">
      <c r="A677" s="561" t="s">
        <v>1346</v>
      </c>
      <c r="C677" s="568" t="s">
        <v>26</v>
      </c>
      <c r="D677" s="414" t="s">
        <v>1174</v>
      </c>
      <c r="E677" s="415" t="s">
        <v>24</v>
      </c>
      <c r="F677" s="415"/>
      <c r="G677" s="415" t="s">
        <v>54</v>
      </c>
      <c r="H677" s="415" t="s">
        <v>26</v>
      </c>
      <c r="I677" s="414" t="s">
        <v>164</v>
      </c>
      <c r="J677" s="419">
        <v>1200000000</v>
      </c>
      <c r="K677" s="434" t="s">
        <v>27</v>
      </c>
      <c r="L677" s="421">
        <v>46261</v>
      </c>
      <c r="M677" s="422"/>
      <c r="N677" s="448" t="s">
        <v>1343</v>
      </c>
    </row>
    <row r="678" spans="1:14" ht="14.4" hidden="1">
      <c r="A678" s="561" t="s">
        <v>1347</v>
      </c>
      <c r="C678" s="615" t="s">
        <v>1348</v>
      </c>
      <c r="D678" s="414"/>
      <c r="E678" s="415" t="s">
        <v>24</v>
      </c>
      <c r="F678" s="415"/>
      <c r="G678" s="415" t="s">
        <v>54</v>
      </c>
      <c r="H678" s="415" t="s">
        <v>33</v>
      </c>
      <c r="I678" s="414" t="s">
        <v>164</v>
      </c>
      <c r="J678" s="419">
        <v>200000000</v>
      </c>
      <c r="K678" s="434" t="s">
        <v>27</v>
      </c>
      <c r="L678" s="421">
        <v>46230</v>
      </c>
      <c r="M678" s="422"/>
      <c r="N678" s="448" t="s">
        <v>1343</v>
      </c>
    </row>
    <row r="679" spans="1:14" ht="14.4" hidden="1">
      <c r="A679" s="561" t="s">
        <v>1349</v>
      </c>
      <c r="C679" s="568" t="s">
        <v>1350</v>
      </c>
      <c r="D679" s="414" t="s">
        <v>1044</v>
      </c>
      <c r="E679" s="415" t="s">
        <v>24</v>
      </c>
      <c r="F679" s="415"/>
      <c r="G679" s="415" t="s">
        <v>204</v>
      </c>
      <c r="H679" s="415" t="s">
        <v>26</v>
      </c>
      <c r="I679" s="414" t="s">
        <v>148</v>
      </c>
      <c r="J679" s="419">
        <v>107000000</v>
      </c>
      <c r="K679" s="434" t="s">
        <v>67</v>
      </c>
      <c r="L679" s="421"/>
      <c r="M679" s="422"/>
      <c r="N679" s="448" t="s">
        <v>1351</v>
      </c>
    </row>
    <row r="680" spans="1:14" ht="14.4" hidden="1">
      <c r="A680" s="561" t="s">
        <v>1352</v>
      </c>
      <c r="C680" s="568" t="s">
        <v>1353</v>
      </c>
      <c r="D680" s="444" t="s">
        <v>1354</v>
      </c>
      <c r="E680" s="415" t="s">
        <v>24</v>
      </c>
      <c r="F680" s="415"/>
      <c r="G680" s="415" t="s">
        <v>170</v>
      </c>
      <c r="H680" s="415" t="s">
        <v>1355</v>
      </c>
      <c r="I680" s="414" t="s">
        <v>164</v>
      </c>
      <c r="J680" s="419">
        <v>112000000</v>
      </c>
      <c r="K680" s="434" t="s">
        <v>40</v>
      </c>
      <c r="L680" s="421">
        <v>46157</v>
      </c>
      <c r="M680" s="422" t="s">
        <v>149</v>
      </c>
      <c r="N680" s="455" t="s">
        <v>1356</v>
      </c>
    </row>
    <row r="681" spans="1:14" ht="14.4" hidden="1">
      <c r="A681" s="561" t="s">
        <v>1357</v>
      </c>
      <c r="C681" s="568" t="s">
        <v>1311</v>
      </c>
      <c r="D681" s="414" t="s">
        <v>1358</v>
      </c>
      <c r="E681" s="415" t="s">
        <v>24</v>
      </c>
      <c r="F681" s="415"/>
      <c r="G681" s="415" t="s">
        <v>170</v>
      </c>
      <c r="H681" s="415" t="s">
        <v>33</v>
      </c>
      <c r="I681" s="414" t="s">
        <v>164</v>
      </c>
      <c r="J681" s="419">
        <v>121000000</v>
      </c>
      <c r="K681" s="434" t="s">
        <v>27</v>
      </c>
      <c r="L681" s="421">
        <v>46238</v>
      </c>
      <c r="M681" s="422"/>
      <c r="N681" s="455" t="s">
        <v>1359</v>
      </c>
    </row>
    <row r="682" spans="1:14" ht="14.4" hidden="1">
      <c r="A682" s="561" t="s">
        <v>1360</v>
      </c>
      <c r="C682" s="568" t="s">
        <v>1353</v>
      </c>
      <c r="D682" s="414" t="s">
        <v>1361</v>
      </c>
      <c r="E682" s="415" t="s">
        <v>24</v>
      </c>
      <c r="F682" s="415"/>
      <c r="G682" s="415" t="s">
        <v>170</v>
      </c>
      <c r="H682" s="415" t="s">
        <v>1355</v>
      </c>
      <c r="I682" s="414" t="s">
        <v>148</v>
      </c>
      <c r="J682" s="419">
        <v>590000000</v>
      </c>
      <c r="K682" s="434" t="s">
        <v>72</v>
      </c>
      <c r="L682" s="421">
        <v>46233</v>
      </c>
      <c r="M682" s="422"/>
      <c r="N682" s="455" t="s">
        <v>1362</v>
      </c>
    </row>
    <row r="683" spans="1:14" ht="14.4" hidden="1">
      <c r="A683" s="561" t="s">
        <v>1363</v>
      </c>
      <c r="C683" s="568" t="s">
        <v>1364</v>
      </c>
      <c r="D683" s="444" t="s">
        <v>1291</v>
      </c>
      <c r="E683" s="415" t="s">
        <v>24</v>
      </c>
      <c r="F683" s="415" t="s">
        <v>169</v>
      </c>
      <c r="G683" s="415" t="s">
        <v>170</v>
      </c>
      <c r="H683" s="415" t="s">
        <v>33</v>
      </c>
      <c r="I683" s="414" t="s">
        <v>164</v>
      </c>
      <c r="J683" s="419">
        <v>180000000</v>
      </c>
      <c r="K683" s="434" t="s">
        <v>40</v>
      </c>
      <c r="L683" s="421">
        <v>46175</v>
      </c>
      <c r="M683" s="422" t="s">
        <v>149</v>
      </c>
      <c r="N683" s="455"/>
    </row>
    <row r="684" spans="1:14" ht="14.4" hidden="1">
      <c r="A684" s="561" t="s">
        <v>1365</v>
      </c>
      <c r="C684" s="568" t="s">
        <v>1366</v>
      </c>
      <c r="D684" s="414"/>
      <c r="E684" s="415" t="s">
        <v>24</v>
      </c>
      <c r="F684" s="415"/>
      <c r="G684" s="415" t="s">
        <v>170</v>
      </c>
      <c r="H684" s="415" t="s">
        <v>33</v>
      </c>
      <c r="I684" s="414" t="s">
        <v>148</v>
      </c>
      <c r="J684" s="419">
        <v>123650000</v>
      </c>
      <c r="K684" s="434" t="s">
        <v>40</v>
      </c>
      <c r="L684" s="421"/>
      <c r="M684" s="422"/>
      <c r="N684" s="455"/>
    </row>
    <row r="685" spans="1:14" ht="14.4" hidden="1">
      <c r="A685" s="561" t="s">
        <v>42</v>
      </c>
      <c r="C685" s="568" t="s">
        <v>1367</v>
      </c>
      <c r="D685" s="414" t="s">
        <v>1368</v>
      </c>
      <c r="E685" s="415" t="s">
        <v>24</v>
      </c>
      <c r="F685" s="415"/>
      <c r="G685" s="415" t="s">
        <v>170</v>
      </c>
      <c r="H685" s="415" t="s">
        <v>33</v>
      </c>
      <c r="I685" s="414" t="s">
        <v>148</v>
      </c>
      <c r="J685" s="419">
        <v>135000000</v>
      </c>
      <c r="K685" s="434" t="s">
        <v>44</v>
      </c>
      <c r="L685" s="421">
        <v>46234</v>
      </c>
      <c r="M685" s="422" t="s">
        <v>149</v>
      </c>
      <c r="N685" s="455" t="s">
        <v>1369</v>
      </c>
    </row>
    <row r="686" spans="1:14" ht="14.4" hidden="1">
      <c r="A686" s="561" t="s">
        <v>1370</v>
      </c>
      <c r="C686" s="568" t="s">
        <v>1260</v>
      </c>
      <c r="D686" s="373" t="s">
        <v>1371</v>
      </c>
      <c r="E686" s="415" t="s">
        <v>24</v>
      </c>
      <c r="F686" s="415"/>
      <c r="G686" s="415" t="s">
        <v>170</v>
      </c>
      <c r="H686" s="415" t="s">
        <v>26</v>
      </c>
      <c r="I686" s="414" t="s">
        <v>148</v>
      </c>
      <c r="J686" s="419">
        <v>2000000000</v>
      </c>
      <c r="K686" s="434" t="s">
        <v>27</v>
      </c>
      <c r="L686" s="421">
        <v>46265</v>
      </c>
      <c r="M686" s="422"/>
      <c r="N686" s="455" t="s">
        <v>1372</v>
      </c>
    </row>
    <row r="687" spans="1:14" ht="14.4" hidden="1">
      <c r="A687" s="561" t="s">
        <v>1373</v>
      </c>
      <c r="C687" s="568" t="s">
        <v>1323</v>
      </c>
      <c r="D687" s="373" t="s">
        <v>1374</v>
      </c>
      <c r="E687" s="415" t="s">
        <v>24</v>
      </c>
      <c r="F687" s="415"/>
      <c r="G687" s="415" t="s">
        <v>170</v>
      </c>
      <c r="H687" s="415" t="s">
        <v>26</v>
      </c>
      <c r="I687" s="414" t="s">
        <v>164</v>
      </c>
      <c r="J687" s="419">
        <v>2023000000</v>
      </c>
      <c r="K687" s="434" t="s">
        <v>27</v>
      </c>
      <c r="L687" s="421">
        <v>46279</v>
      </c>
      <c r="M687" s="422"/>
      <c r="N687" s="455" t="s">
        <v>1375</v>
      </c>
    </row>
    <row r="688" spans="1:14" ht="14.4" hidden="1">
      <c r="A688" s="561" t="s">
        <v>1376</v>
      </c>
      <c r="C688" s="568" t="s">
        <v>1316</v>
      </c>
      <c r="D688" s="414" t="s">
        <v>147</v>
      </c>
      <c r="E688" s="415" t="s">
        <v>24</v>
      </c>
      <c r="F688" s="415"/>
      <c r="G688" s="415" t="s">
        <v>25</v>
      </c>
      <c r="H688" s="415" t="s">
        <v>147</v>
      </c>
      <c r="I688" s="414" t="s">
        <v>145</v>
      </c>
      <c r="J688" s="419">
        <v>267807600</v>
      </c>
      <c r="K688" s="434" t="s">
        <v>72</v>
      </c>
      <c r="L688" s="421">
        <v>46235</v>
      </c>
      <c r="M688" s="422"/>
      <c r="N688" s="616" t="s">
        <v>1377</v>
      </c>
    </row>
    <row r="689" spans="1:14" ht="14.4" hidden="1">
      <c r="A689" s="561" t="s">
        <v>1378</v>
      </c>
      <c r="C689" s="568" t="s">
        <v>1379</v>
      </c>
      <c r="D689" s="414" t="s">
        <v>1044</v>
      </c>
      <c r="E689" s="415" t="s">
        <v>24</v>
      </c>
      <c r="F689" s="415"/>
      <c r="G689" s="415" t="s">
        <v>204</v>
      </c>
      <c r="H689" s="415" t="s">
        <v>33</v>
      </c>
      <c r="I689" s="414" t="s">
        <v>148</v>
      </c>
      <c r="J689" s="419">
        <v>169190000</v>
      </c>
      <c r="K689" s="434" t="s">
        <v>27</v>
      </c>
      <c r="L689" s="421">
        <v>46229</v>
      </c>
      <c r="M689" s="422"/>
      <c r="N689" s="448" t="s">
        <v>1380</v>
      </c>
    </row>
    <row r="690" spans="1:14" ht="14.4" hidden="1">
      <c r="A690" s="415" t="s">
        <v>1381</v>
      </c>
      <c r="C690" s="568" t="s">
        <v>173</v>
      </c>
      <c r="D690" s="414" t="s">
        <v>1382</v>
      </c>
      <c r="E690" s="415" t="s">
        <v>24</v>
      </c>
      <c r="F690" s="415"/>
      <c r="G690" s="415" t="s">
        <v>153</v>
      </c>
      <c r="H690" s="415" t="s">
        <v>147</v>
      </c>
      <c r="I690" s="414" t="s">
        <v>148</v>
      </c>
      <c r="J690" s="419">
        <v>25000000</v>
      </c>
      <c r="K690" s="434" t="s">
        <v>67</v>
      </c>
      <c r="L690" s="421"/>
      <c r="M690" s="422"/>
      <c r="N690" s="448"/>
    </row>
    <row r="691" spans="1:14" ht="24.6" hidden="1">
      <c r="A691" s="415" t="s">
        <v>1383</v>
      </c>
      <c r="C691" s="568" t="s">
        <v>1384</v>
      </c>
      <c r="D691" s="414"/>
      <c r="E691" s="415" t="s">
        <v>24</v>
      </c>
      <c r="F691" s="415"/>
      <c r="G691" s="415" t="s">
        <v>153</v>
      </c>
      <c r="H691" s="415" t="s">
        <v>33</v>
      </c>
      <c r="I691" s="414" t="s">
        <v>148</v>
      </c>
      <c r="J691" s="419">
        <v>516000000</v>
      </c>
      <c r="K691" s="434" t="s">
        <v>67</v>
      </c>
      <c r="L691" s="421"/>
      <c r="M691" s="422"/>
      <c r="N691" s="448" t="s">
        <v>1385</v>
      </c>
    </row>
    <row r="692" spans="1:14" ht="14.4" hidden="1">
      <c r="A692" s="415" t="s">
        <v>1386</v>
      </c>
      <c r="C692" s="568" t="s">
        <v>1387</v>
      </c>
      <c r="D692" s="414" t="s">
        <v>1186</v>
      </c>
      <c r="E692" s="415" t="s">
        <v>24</v>
      </c>
      <c r="F692" s="415"/>
      <c r="G692" s="415" t="s">
        <v>153</v>
      </c>
      <c r="H692" s="415" t="s">
        <v>33</v>
      </c>
      <c r="I692" s="414" t="s">
        <v>148</v>
      </c>
      <c r="J692" s="419">
        <f>156191000*0.85</f>
        <v>132762350</v>
      </c>
      <c r="K692" s="434" t="s">
        <v>67</v>
      </c>
      <c r="L692" s="421"/>
      <c r="M692" s="422"/>
      <c r="N692" s="448"/>
    </row>
    <row r="693" spans="1:14" ht="14.4" hidden="1">
      <c r="A693" s="413" t="s">
        <v>1388</v>
      </c>
      <c r="C693" s="568" t="s">
        <v>1389</v>
      </c>
      <c r="D693" s="414"/>
      <c r="E693" s="415" t="s">
        <v>24</v>
      </c>
      <c r="F693" s="415"/>
      <c r="G693" s="415" t="s">
        <v>153</v>
      </c>
      <c r="H693" s="415" t="s">
        <v>33</v>
      </c>
      <c r="I693" s="414" t="s">
        <v>148</v>
      </c>
      <c r="J693" s="419">
        <f>313588000*0.8</f>
        <v>250870400</v>
      </c>
      <c r="K693" s="434" t="s">
        <v>67</v>
      </c>
      <c r="L693" s="421"/>
      <c r="M693" s="422"/>
      <c r="N693" s="448"/>
    </row>
    <row r="694" spans="1:14" ht="14.4">
      <c r="A694" s="608"/>
      <c r="B694" s="608"/>
      <c r="C694" s="609"/>
      <c r="D694" s="608"/>
      <c r="E694" s="608"/>
      <c r="F694" s="389"/>
      <c r="G694" s="608"/>
      <c r="H694" s="608"/>
      <c r="I694" s="608"/>
      <c r="J694" s="390">
        <f>SUBTOTAL(109,Table1[Quotation])</f>
        <v>110371579387</v>
      </c>
      <c r="K694" s="608"/>
      <c r="L694" s="606"/>
      <c r="M694" s="606"/>
      <c r="N694" s="608"/>
    </row>
    <row r="695" spans="1:14" ht="14.4">
      <c r="A695" s="608"/>
      <c r="B695" s="608"/>
      <c r="C695" s="609"/>
      <c r="D695" s="608"/>
      <c r="E695" s="608"/>
      <c r="F695" s="389"/>
      <c r="G695" s="608"/>
      <c r="H695" s="608"/>
      <c r="I695" s="608"/>
      <c r="J695" s="390"/>
      <c r="K695" s="608"/>
      <c r="L695" s="606"/>
      <c r="M695" s="606"/>
      <c r="N695" s="608"/>
    </row>
    <row r="696" spans="1:14" ht="14.4">
      <c r="A696" s="608"/>
      <c r="B696" s="608"/>
      <c r="C696" s="609"/>
      <c r="D696" s="608"/>
      <c r="E696" s="608"/>
      <c r="F696" s="389"/>
      <c r="G696" s="608"/>
      <c r="H696" s="608"/>
      <c r="I696" s="608"/>
      <c r="J696" s="390"/>
      <c r="K696" s="608"/>
      <c r="L696" s="606"/>
      <c r="M696" s="606"/>
      <c r="N696" s="608"/>
    </row>
    <row r="697" spans="1:14" ht="14.4">
      <c r="A697" s="608"/>
      <c r="B697" s="608"/>
      <c r="C697" s="609"/>
      <c r="D697" s="608"/>
      <c r="E697" s="608"/>
      <c r="F697" s="389"/>
      <c r="G697" s="608"/>
      <c r="H697" s="608"/>
      <c r="I697" s="608"/>
      <c r="J697" s="390"/>
      <c r="K697" s="608"/>
      <c r="L697" s="606"/>
      <c r="M697" s="606"/>
      <c r="N697" s="608"/>
    </row>
    <row r="698" spans="1:14" ht="14.4">
      <c r="A698" s="608"/>
      <c r="B698" s="608"/>
      <c r="C698" s="609"/>
      <c r="D698" s="608"/>
      <c r="E698" s="608"/>
      <c r="F698" s="389"/>
      <c r="G698" s="608"/>
      <c r="H698" s="608"/>
      <c r="I698" s="608"/>
      <c r="J698" s="390"/>
      <c r="K698" s="608"/>
      <c r="L698" s="606"/>
      <c r="M698" s="606"/>
      <c r="N698" s="608"/>
    </row>
    <row r="699" spans="1:14" ht="14.4">
      <c r="A699" s="608"/>
      <c r="B699" s="608"/>
      <c r="C699" s="609"/>
      <c r="D699" s="608"/>
      <c r="E699" s="608"/>
      <c r="F699" s="389"/>
      <c r="G699" s="608"/>
      <c r="H699" s="608"/>
      <c r="I699" s="608"/>
      <c r="J699" s="390"/>
      <c r="K699" s="608"/>
      <c r="L699" s="606"/>
      <c r="M699" s="606"/>
      <c r="N699" s="608"/>
    </row>
    <row r="700" spans="1:14" ht="14.4">
      <c r="C700" s="609"/>
      <c r="J700" s="625"/>
    </row>
    <row r="701" spans="1:14" ht="14.4">
      <c r="C701" s="609"/>
      <c r="J701" s="398"/>
    </row>
    <row r="702" spans="1:14" ht="14.4">
      <c r="J702" s="398"/>
    </row>
    <row r="703" spans="1:14" ht="14.4">
      <c r="C703" s="613"/>
      <c r="J703" s="404"/>
    </row>
    <row r="704" spans="1:14" ht="14.4">
      <c r="A704" s="349" t="s">
        <v>1390</v>
      </c>
      <c r="C704" s="613"/>
      <c r="K704" s="457"/>
    </row>
    <row r="705" spans="4:11" ht="14.4">
      <c r="D705" s="246"/>
      <c r="K705" s="457"/>
    </row>
    <row r="706" spans="4:11" ht="14.4">
      <c r="J706" s="614"/>
      <c r="K706" s="457"/>
    </row>
    <row r="707" spans="4:11" ht="14.4">
      <c r="J707" s="614"/>
    </row>
    <row r="708" spans="4:11" ht="14.4">
      <c r="J708" s="411"/>
    </row>
    <row r="709" spans="4:11" ht="14.4">
      <c r="F709" s="610"/>
      <c r="J709" s="411"/>
    </row>
  </sheetData>
  <phoneticPr fontId="35" type="noConversion"/>
  <dataValidations count="1">
    <dataValidation allowBlank="1" showInputMessage="1" showErrorMessage="1" sqref="N164 N87:N91 N166 N93:N94 N700:N1048576" xr:uid="{F7FAB082-0E64-4067-AE69-1012E3FCA19A}"/>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38">
        <x14:dataValidation type="list" allowBlank="1" showInputMessage="1" showErrorMessage="1" xr:uid="{4058C2FC-6DBD-406E-99D0-2F3E82DD8818}">
          <x14:formula1>
            <xm:f>DATA!$I$2:$I$9</xm:f>
          </x14:formula1>
          <xm:sqref>K165 K452 K445 K610 K214:K248 K190:K211 K335:K339 K2:K152</xm:sqref>
        </x14:dataValidation>
        <x14:dataValidation type="list" allowBlank="1" showInputMessage="1" showErrorMessage="1" xr:uid="{93D778F8-C044-41BA-8236-E33C0B89828E}">
          <x14:formula1>
            <xm:f>DATA!$F$2:$F$3</xm:f>
          </x14:formula1>
          <xm:sqref>M87:M181 M256:M257 M285 M385 M474:M478 M293 M308:M311 M327 M364 M700:M1048576 M187:M253 M262:M281 M335:M339</xm:sqref>
        </x14:dataValidation>
        <x14:dataValidation type="list" allowBlank="1" showInputMessage="1" showErrorMessage="1" xr:uid="{27EF0AFA-41ED-493F-8310-4FCA276D8D84}">
          <x14:formula1>
            <xm:f>DATA!$L$3:$L$19</xm:f>
          </x14:formula1>
          <xm:sqref>D353:D354 D179 D173 D175 D177 D87:D171 D214:D251 D186:D211 D258:D286 D335:D339</xm:sqref>
        </x14:dataValidation>
        <x14:dataValidation type="list" allowBlank="1" showInputMessage="1" showErrorMessage="1" xr:uid="{5D60FE38-9F2A-4101-905C-96182B241FFA}">
          <x14:formula1>
            <xm:f>DATA!$C$2:$C$25</xm:f>
          </x14:formula1>
          <xm:sqref>L700:L1048576</xm:sqref>
        </x14:dataValidation>
        <x14:dataValidation type="list" allowBlank="1" showInputMessage="1" showErrorMessage="1" xr:uid="{63BEA168-D528-4254-A52B-A749C391A8C7}">
          <x14:formula1>
            <xm:f>DATA!$G$2:$G$14</xm:f>
          </x14:formula1>
          <xm:sqref>F413:F415 F436:F440 F419:F421 G2:G693</xm:sqref>
        </x14:dataValidation>
        <x14:dataValidation type="list" allowBlank="1" showInputMessage="1" showErrorMessage="1" xr:uid="{5B3CEF52-0D56-424F-BD88-322B8C3573DD}">
          <x14:formula1>
            <xm:f>DATA!$D$2:$D$5</xm:f>
          </x14:formula1>
          <xm:sqref>F416:F418 F422:F435 F441:F643 F2:F412</xm:sqref>
        </x14:dataValidation>
        <x14:dataValidation type="date" allowBlank="1" showInputMessage="1" showErrorMessage="1" xr:uid="{DEF2E7DC-23C0-4DE4-9D7C-3DBD1221AA8B}">
          <x14:formula1>
            <xm:f>DATA!D665</xm:f>
          </x14:formula1>
          <x14:formula2>
            <xm:f>DATA!D688</xm:f>
          </x14:formula2>
          <xm:sqref>L376:L377</xm:sqref>
        </x14:dataValidation>
        <x14:dataValidation type="date" allowBlank="1" showInputMessage="1" showErrorMessage="1" xr:uid="{2C1B9902-791B-40CC-BB77-549BEFDFDD11}">
          <x14:formula1>
            <xm:f>DATA!D635</xm:f>
          </x14:formula1>
          <x14:formula2>
            <xm:f>DATA!D658</xm:f>
          </x14:formula2>
          <xm:sqref>L338 L335:L336</xm:sqref>
        </x14:dataValidation>
        <x14:dataValidation type="date" allowBlank="1" showInputMessage="1" showErrorMessage="1" xr:uid="{CF19650A-F8D4-421D-B347-D3F017C2376D}">
          <x14:formula1>
            <xm:f>DATA!D642</xm:f>
          </x14:formula1>
          <x14:formula2>
            <xm:f>DATA!D665</xm:f>
          </x14:formula2>
          <xm:sqref>L337</xm:sqref>
        </x14:dataValidation>
        <x14:dataValidation type="date" allowBlank="1" showInputMessage="1" showErrorMessage="1" xr:uid="{77EAAE8A-22B6-4853-9CAB-CADF8B9A17A0}">
          <x14:formula1>
            <xm:f>DATA!D645</xm:f>
          </x14:formula1>
          <x14:formula2>
            <xm:f>DATA!D668</xm:f>
          </x14:formula2>
          <xm:sqref>L339</xm:sqref>
        </x14:dataValidation>
        <x14:dataValidation type="date" allowBlank="1" showInputMessage="1" showErrorMessage="1" xr:uid="{5041C88D-66D4-4FF1-89FF-6A438B4CBE38}">
          <x14:formula1>
            <xm:f>DATA!D489</xm:f>
          </x14:formula1>
          <x14:formula2>
            <xm:f>DATA!D512</xm:f>
          </x14:formula2>
          <xm:sqref>L194</xm:sqref>
        </x14:dataValidation>
        <x14:dataValidation type="date" allowBlank="1" showInputMessage="1" showErrorMessage="1" xr:uid="{9D266EA0-8783-4412-91D5-7B894B48517F}">
          <x14:formula1>
            <xm:f>DATA!D371</xm:f>
          </x14:formula1>
          <x14:formula2>
            <xm:f>DATA!D394</xm:f>
          </x14:formula2>
          <xm:sqref>L302</xm:sqref>
        </x14:dataValidation>
        <x14:dataValidation type="date" allowBlank="1" showInputMessage="1" showErrorMessage="1" xr:uid="{561EC6C9-89BF-427E-8BFB-8D3EEADFE94D}">
          <x14:formula1>
            <xm:f>DATA!D515</xm:f>
          </x14:formula1>
          <x14:formula2>
            <xm:f>DATA!D538</xm:f>
          </x14:formula2>
          <xm:sqref>L238 L230</xm:sqref>
        </x14:dataValidation>
        <x14:dataValidation type="date" allowBlank="1" showInputMessage="1" showErrorMessage="1" xr:uid="{3A7190E1-B0A1-4646-A40A-E28805A56CA4}">
          <x14:formula1>
            <xm:f>DATA!D525</xm:f>
          </x14:formula1>
          <x14:formula2>
            <xm:f>DATA!D548</xm:f>
          </x14:formula2>
          <xm:sqref>L247</xm:sqref>
        </x14:dataValidation>
        <x14:dataValidation type="date" allowBlank="1" showInputMessage="1" showErrorMessage="1" xr:uid="{E7ADA631-C1DB-4100-8244-2E8A4CA9E21C}">
          <x14:formula1>
            <xm:f>DATA!D527</xm:f>
          </x14:formula1>
          <x14:formula2>
            <xm:f>DATA!D550</xm:f>
          </x14:formula2>
          <xm:sqref>L241:L244</xm:sqref>
        </x14:dataValidation>
        <x14:dataValidation type="date" allowBlank="1" showInputMessage="1" showErrorMessage="1" xr:uid="{73EC19DF-08BB-4C17-B352-9EF4D6A81B13}">
          <x14:formula1>
            <xm:f>DATA!D515</xm:f>
          </x14:formula1>
          <x14:formula2>
            <xm:f>DATA!D538</xm:f>
          </x14:formula2>
          <xm:sqref>L245:L246</xm:sqref>
        </x14:dataValidation>
        <x14:dataValidation type="date" allowBlank="1" showInputMessage="1" showErrorMessage="1" xr:uid="{34F48528-1C3F-41F7-83AA-C8C15FF773A9}">
          <x14:formula1>
            <xm:f>DATA!D492</xm:f>
          </x14:formula1>
          <x14:formula2>
            <xm:f>DATA!D515</xm:f>
          </x14:formula2>
          <xm:sqref>L239 L208:L211</xm:sqref>
        </x14:dataValidation>
        <x14:dataValidation type="date" allowBlank="1" showInputMessage="1" showErrorMessage="1" xr:uid="{04F99EB2-CC3D-41AB-9FEF-BEE451227F39}">
          <x14:formula1>
            <xm:f>DATA!D240</xm:f>
          </x14:formula1>
          <x14:formula2>
            <xm:f>DATA!D263</xm:f>
          </x14:formula2>
          <xm:sqref>L252</xm:sqref>
        </x14:dataValidation>
        <x14:dataValidation type="date" allowBlank="1" showInputMessage="1" showErrorMessage="1" xr:uid="{4D2235C3-1799-45C9-97B2-1A38998F597B}">
          <x14:formula1>
            <xm:f>DATA!D492</xm:f>
          </x14:formula1>
          <x14:formula2>
            <xm:f>DATA!D515</xm:f>
          </x14:formula2>
          <xm:sqref>L215</xm:sqref>
        </x14:dataValidation>
        <x14:dataValidation type="date" allowBlank="1" showInputMessage="1" showErrorMessage="1" xr:uid="{3803BDB6-DDD7-491B-B3D0-C7FF8137DC9E}">
          <x14:formula1>
            <xm:f>DATA!D497</xm:f>
          </x14:formula1>
          <x14:formula2>
            <xm:f>DATA!D520</xm:f>
          </x14:formula2>
          <xm:sqref>L216 L214</xm:sqref>
        </x14:dataValidation>
        <x14:dataValidation type="date" allowBlank="1" showInputMessage="1" showErrorMessage="1" xr:uid="{6E7E7D1B-FEFC-42EE-B2A6-B228D0F1791A}">
          <x14:formula1>
            <xm:f>DATA!D272</xm:f>
          </x14:formula1>
          <x14:formula2>
            <xm:f>DATA!D295</xm:f>
          </x14:formula2>
          <xm:sqref>L151</xm:sqref>
        </x14:dataValidation>
        <x14:dataValidation type="date" allowBlank="1" showInputMessage="1" showErrorMessage="1" xr:uid="{49DF314B-32D4-4667-9B15-FA548FECB1CA}">
          <x14:formula1>
            <xm:f>DATA!D190</xm:f>
          </x14:formula1>
          <x14:formula2>
            <xm:f>DATA!D213</xm:f>
          </x14:formula2>
          <xm:sqref>L123</xm:sqref>
        </x14:dataValidation>
        <x14:dataValidation type="date" allowBlank="1" showInputMessage="1" showErrorMessage="1" xr:uid="{0EDE19CC-E469-45D4-A2DF-D59835955A60}">
          <x14:formula1>
            <xm:f>DATA!D231</xm:f>
          </x14:formula1>
          <x14:formula2>
            <xm:f>DATA!D254</xm:f>
          </x14:formula2>
          <xm:sqref>L160</xm:sqref>
        </x14:dataValidation>
        <x14:dataValidation type="date" allowBlank="1" showInputMessage="1" showErrorMessage="1" xr:uid="{C070C18D-9578-45F0-8DD7-96247B9CDC32}">
          <x14:formula1>
            <xm:f>DATA!D138</xm:f>
          </x14:formula1>
          <x14:formula2>
            <xm:f>DATA!D161</xm:f>
          </x14:formula2>
          <xm:sqref>L149:L150 L188:L189</xm:sqref>
        </x14:dataValidation>
        <x14:dataValidation type="date" allowBlank="1" showInputMessage="1" showErrorMessage="1" xr:uid="{8BAB415D-4C86-4F12-BBF3-A1EEEC61B0FC}">
          <x14:formula1>
            <xm:f>DATA!D155</xm:f>
          </x14:formula1>
          <x14:formula2>
            <xm:f>DATA!D178</xm:f>
          </x14:formula2>
          <xm:sqref>L101</xm:sqref>
        </x14:dataValidation>
        <x14:dataValidation type="date" allowBlank="1" showInputMessage="1" showErrorMessage="1" xr:uid="{C12D218B-8B9C-4F15-99D2-B20CFD5104DD}">
          <x14:formula1>
            <xm:f>DATA!D172</xm:f>
          </x14:formula1>
          <x14:formula2>
            <xm:f>DATA!D195</xm:f>
          </x14:formula2>
          <xm:sqref>L99</xm:sqref>
        </x14:dataValidation>
        <x14:dataValidation type="date" allowBlank="1" showInputMessage="1" showErrorMessage="1" xr:uid="{DA70FC62-61DB-4006-8445-5979527E19D8}">
          <x14:formula1>
            <xm:f>DATA!D167</xm:f>
          </x14:formula1>
          <x14:formula2>
            <xm:f>DATA!D190</xm:f>
          </x14:formula2>
          <xm:sqref>L95</xm:sqref>
        </x14:dataValidation>
        <x14:dataValidation type="date" allowBlank="1" showInputMessage="1" showErrorMessage="1" xr:uid="{B6351555-8B90-4F53-B04C-818D9ED94AF8}">
          <x14:formula1>
            <xm:f>DATA!D160</xm:f>
          </x14:formula1>
          <x14:formula2>
            <xm:f>DATA!D183</xm:f>
          </x14:formula2>
          <xm:sqref>L97</xm:sqref>
        </x14:dataValidation>
        <x14:dataValidation type="date" allowBlank="1" showInputMessage="1" showErrorMessage="1" xr:uid="{62F0B892-C935-4315-8B56-845EFE93D501}">
          <x14:formula1>
            <xm:f>DATA!D158</xm:f>
          </x14:formula1>
          <x14:formula2>
            <xm:f>DATA!D181</xm:f>
          </x14:formula2>
          <xm:sqref>L96</xm:sqref>
        </x14:dataValidation>
        <x14:dataValidation type="date" allowBlank="1" showInputMessage="1" showErrorMessage="1" xr:uid="{66DE853A-A7B7-4946-B087-F64788FB94D9}">
          <x14:formula1>
            <xm:f>DATA!D138</xm:f>
          </x14:formula1>
          <x14:formula2>
            <xm:f>DATA!D161</xm:f>
          </x14:formula2>
          <xm:sqref>L98</xm:sqref>
        </x14:dataValidation>
        <x14:dataValidation type="date" allowBlank="1" showInputMessage="1" showErrorMessage="1" xr:uid="{C1A3040B-6E5E-4755-B1DE-C2C3A4E2638E}">
          <x14:formula1>
            <xm:f>DATA!D113</xm:f>
          </x14:formula1>
          <x14:formula2>
            <xm:f>DATA!D136</xm:f>
          </x14:formula2>
          <xm:sqref>L93</xm:sqref>
        </x14:dataValidation>
        <x14:dataValidation type="date" allowBlank="1" showInputMessage="1" showErrorMessage="1" xr:uid="{E38A6ED0-8C05-4E48-9A34-2D0082DC7D4F}">
          <x14:formula1>
            <xm:f>DATA!D89</xm:f>
          </x14:formula1>
          <x14:formula2>
            <xm:f>DATA!D112</xm:f>
          </x14:formula2>
          <xm:sqref>L92</xm:sqref>
        </x14:dataValidation>
        <x14:dataValidation type="date" allowBlank="1" showInputMessage="1" showErrorMessage="1" xr:uid="{5DF8B791-82CF-4AB4-9FDC-09EBA5A1A255}">
          <x14:formula1>
            <xm:f>DATA!D80</xm:f>
          </x14:formula1>
          <x14:formula2>
            <xm:f>DATA!D103</xm:f>
          </x14:formula2>
          <xm:sqref>L90</xm:sqref>
        </x14:dataValidation>
        <x14:dataValidation type="date" allowBlank="1" showInputMessage="1" showErrorMessage="1" xr:uid="{67665FC5-FB6B-4EC5-A15C-6A4759E3C130}">
          <x14:formula1>
            <xm:f>DATA!D67</xm:f>
          </x14:formula1>
          <x14:formula2>
            <xm:f>DATA!D90</xm:f>
          </x14:formula2>
          <xm:sqref>L89</xm:sqref>
        </x14:dataValidation>
        <x14:dataValidation type="date" allowBlank="1" showInputMessage="1" showErrorMessage="1" xr:uid="{D7417620-E1D1-4C04-ADB3-000174C19D07}">
          <x14:formula1>
            <xm:f>DATA!D55</xm:f>
          </x14:formula1>
          <x14:formula2>
            <xm:f>DATA!D78</xm:f>
          </x14:formula2>
          <xm:sqref>L88</xm:sqref>
        </x14:dataValidation>
        <x14:dataValidation type="list" allowBlank="1" showInputMessage="1" showErrorMessage="1" xr:uid="{4CA0C0B9-3EB2-4159-AE67-562105AD7291}">
          <x14:formula1>
            <xm:f>DATA!$E$2:$E$4</xm:f>
          </x14:formula1>
          <xm:sqref>E2:E693</xm:sqref>
        </x14:dataValidation>
        <x14:dataValidation type="list" allowBlank="1" showInputMessage="1" showErrorMessage="1" xr:uid="{45A0E532-FDB4-4839-85FB-12907D405681}">
          <x14:formula1>
            <xm:f>DATA!$H$2:$H$9</xm:f>
          </x14:formula1>
          <xm:sqref>H2:H693</xm:sqref>
        </x14:dataValidation>
        <x14:dataValidation type="list" allowBlank="1" showInputMessage="1" showErrorMessage="1" xr:uid="{D1D8FB5D-FF65-4AD2-9610-68CB1FE4A4C2}">
          <x14:formula1>
            <xm:f>DATA!$J$2:$J$6</xm:f>
          </x14:formula1>
          <xm:sqref>I2:I693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3912-272B-4257-ACAD-F11D6CE0C15E}">
  <dimension ref="A3:Q12"/>
  <sheetViews>
    <sheetView workbookViewId="0">
      <selection activeCell="H24" sqref="H24"/>
    </sheetView>
  </sheetViews>
  <sheetFormatPr defaultRowHeight="14.4"/>
  <cols>
    <col min="1" max="1" width="16.77734375" bestFit="1" customWidth="1"/>
    <col min="2" max="2" width="16.21875" bestFit="1" customWidth="1"/>
    <col min="3" max="3" width="13.88671875" bestFit="1" customWidth="1"/>
    <col min="4" max="4" width="12.77734375" bestFit="1" customWidth="1"/>
    <col min="5" max="6" width="13.88671875" bestFit="1" customWidth="1"/>
    <col min="7" max="7" width="12.77734375" bestFit="1" customWidth="1"/>
    <col min="8" max="8" width="13.88671875" bestFit="1" customWidth="1"/>
    <col min="9" max="9" width="12.77734375" bestFit="1" customWidth="1"/>
    <col min="10" max="14" width="13.88671875" bestFit="1" customWidth="1"/>
    <col min="15" max="16" width="12.77734375" bestFit="1" customWidth="1"/>
    <col min="17" max="17" width="14.88671875" bestFit="1" customWidth="1"/>
    <col min="18" max="183" width="10.77734375" bestFit="1" customWidth="1"/>
    <col min="184" max="184" width="7.21875" bestFit="1" customWidth="1"/>
    <col min="185" max="185" width="11.21875" bestFit="1" customWidth="1"/>
  </cols>
  <sheetData>
    <row r="3" spans="1:17">
      <c r="A3" s="406" t="s">
        <v>1391</v>
      </c>
      <c r="B3" s="406" t="s">
        <v>1392</v>
      </c>
    </row>
    <row r="4" spans="1:17">
      <c r="B4" t="s">
        <v>1393</v>
      </c>
      <c r="D4" t="s">
        <v>1394</v>
      </c>
      <c r="P4" t="s">
        <v>1395</v>
      </c>
      <c r="Q4" t="s">
        <v>1396</v>
      </c>
    </row>
    <row r="5" spans="1:17">
      <c r="B5" t="s">
        <v>1397</v>
      </c>
      <c r="C5" t="s">
        <v>1398</v>
      </c>
      <c r="D5" t="s">
        <v>1399</v>
      </c>
      <c r="E5" t="s">
        <v>1400</v>
      </c>
      <c r="F5" t="s">
        <v>1401</v>
      </c>
      <c r="G5" t="s">
        <v>1402</v>
      </c>
      <c r="H5" t="s">
        <v>10</v>
      </c>
      <c r="I5" t="s">
        <v>1403</v>
      </c>
      <c r="J5" t="s">
        <v>1404</v>
      </c>
      <c r="K5" t="s">
        <v>1405</v>
      </c>
      <c r="L5" t="s">
        <v>1406</v>
      </c>
      <c r="M5" t="s">
        <v>1407</v>
      </c>
      <c r="N5" t="s">
        <v>1397</v>
      </c>
      <c r="O5" t="s">
        <v>1398</v>
      </c>
      <c r="P5" t="s">
        <v>1399</v>
      </c>
    </row>
    <row r="6" spans="1:17">
      <c r="A6" s="406" t="s">
        <v>1408</v>
      </c>
    </row>
    <row r="7" spans="1:17">
      <c r="A7" s="407" t="s">
        <v>40</v>
      </c>
      <c r="B7" s="246">
        <v>9692350000</v>
      </c>
      <c r="C7" s="246">
        <v>22752192249.5</v>
      </c>
      <c r="D7" s="246">
        <v>6997864600</v>
      </c>
      <c r="E7" s="246">
        <v>14963483213</v>
      </c>
      <c r="F7" s="246">
        <v>11931771561</v>
      </c>
      <c r="G7" s="246">
        <v>7489333766</v>
      </c>
      <c r="H7" s="246">
        <v>11724804490</v>
      </c>
      <c r="I7" s="246">
        <v>6659419095</v>
      </c>
      <c r="J7" s="246"/>
      <c r="K7" s="246"/>
      <c r="L7" s="246">
        <v>212550000</v>
      </c>
      <c r="M7" s="246"/>
      <c r="N7" s="246"/>
      <c r="O7" s="246"/>
      <c r="P7" s="246"/>
      <c r="Q7" s="246">
        <v>92423768974.5</v>
      </c>
    </row>
    <row r="8" spans="1:17">
      <c r="A8" s="407" t="s">
        <v>72</v>
      </c>
      <c r="B8" s="246"/>
      <c r="C8" s="246"/>
      <c r="D8" s="246"/>
      <c r="E8" s="246"/>
      <c r="F8" s="246"/>
      <c r="G8" s="246"/>
      <c r="H8" s="246"/>
      <c r="I8" s="246"/>
      <c r="J8" s="246">
        <v>590000000</v>
      </c>
      <c r="K8" s="246">
        <v>2515807600</v>
      </c>
      <c r="L8" s="246">
        <v>1126200000</v>
      </c>
      <c r="M8" s="246">
        <v>414000000</v>
      </c>
      <c r="N8" s="246"/>
      <c r="O8" s="246"/>
      <c r="P8" s="246"/>
      <c r="Q8" s="246">
        <v>4646007600</v>
      </c>
    </row>
    <row r="9" spans="1:17">
      <c r="A9" s="407" t="s">
        <v>44</v>
      </c>
      <c r="B9" s="246"/>
      <c r="C9" s="246"/>
      <c r="D9" s="246"/>
      <c r="E9" s="246"/>
      <c r="F9" s="246"/>
      <c r="G9" s="246"/>
      <c r="H9" s="246"/>
      <c r="I9" s="246"/>
      <c r="J9" s="246">
        <v>6135000000</v>
      </c>
      <c r="K9" s="246">
        <v>695653000</v>
      </c>
      <c r="L9" s="246"/>
      <c r="M9" s="246"/>
      <c r="N9" s="246">
        <v>1385000000</v>
      </c>
      <c r="O9" s="246"/>
      <c r="P9" s="246"/>
      <c r="Q9" s="246">
        <v>8215653000</v>
      </c>
    </row>
    <row r="10" spans="1:17">
      <c r="A10" s="407" t="s">
        <v>30</v>
      </c>
      <c r="B10" s="246"/>
      <c r="C10" s="246"/>
      <c r="D10" s="246"/>
      <c r="E10" s="246"/>
      <c r="F10" s="246"/>
      <c r="G10" s="246"/>
      <c r="H10" s="246"/>
      <c r="I10" s="246"/>
      <c r="J10" s="246">
        <v>1971000000</v>
      </c>
      <c r="K10" s="246">
        <v>1000000000</v>
      </c>
      <c r="L10" s="246">
        <v>8306614000</v>
      </c>
      <c r="M10" s="246"/>
      <c r="N10" s="246">
        <v>2000000000</v>
      </c>
      <c r="O10" s="246"/>
      <c r="P10" s="246">
        <v>1460000000</v>
      </c>
      <c r="Q10" s="246">
        <v>14737614000</v>
      </c>
    </row>
    <row r="11" spans="1:17">
      <c r="A11" s="407" t="s">
        <v>27</v>
      </c>
      <c r="B11" s="246"/>
      <c r="C11" s="246"/>
      <c r="D11" s="246"/>
      <c r="E11" s="246"/>
      <c r="F11" s="246"/>
      <c r="G11" s="246"/>
      <c r="H11" s="246"/>
      <c r="I11" s="246"/>
      <c r="J11" s="246">
        <v>47768044130</v>
      </c>
      <c r="K11" s="246">
        <v>39970418645</v>
      </c>
      <c r="L11" s="246">
        <v>25391499180</v>
      </c>
      <c r="M11" s="246">
        <v>25528182980</v>
      </c>
      <c r="N11" s="246">
        <v>37911452700</v>
      </c>
      <c r="O11" s="246">
        <v>5130480000</v>
      </c>
      <c r="P11" s="246">
        <v>3000000000</v>
      </c>
      <c r="Q11" s="246">
        <v>184700077635</v>
      </c>
    </row>
    <row r="12" spans="1:17">
      <c r="A12" s="407" t="s">
        <v>1396</v>
      </c>
      <c r="B12" s="246">
        <v>9692350000</v>
      </c>
      <c r="C12" s="246">
        <v>22752192249.5</v>
      </c>
      <c r="D12" s="246">
        <v>6997864600</v>
      </c>
      <c r="E12" s="246">
        <v>14963483213</v>
      </c>
      <c r="F12" s="246">
        <v>11931771561</v>
      </c>
      <c r="G12" s="246">
        <v>7489333766</v>
      </c>
      <c r="H12" s="246">
        <v>11724804490</v>
      </c>
      <c r="I12" s="246">
        <v>6659419095</v>
      </c>
      <c r="J12" s="246">
        <v>56464044130</v>
      </c>
      <c r="K12" s="246">
        <v>44181879245</v>
      </c>
      <c r="L12" s="246">
        <v>35036863180</v>
      </c>
      <c r="M12" s="246">
        <v>25942182980</v>
      </c>
      <c r="N12" s="246">
        <v>41296452700</v>
      </c>
      <c r="O12" s="246">
        <v>5130480000</v>
      </c>
      <c r="P12" s="246">
        <v>4460000000</v>
      </c>
      <c r="Q12" s="246">
        <v>304723121209.5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F54D-D340-44BF-AD63-36B73FF907B9}">
  <dimension ref="A1:F50"/>
  <sheetViews>
    <sheetView topLeftCell="A31" workbookViewId="0">
      <selection activeCell="B39" sqref="B39"/>
    </sheetView>
  </sheetViews>
  <sheetFormatPr defaultRowHeight="14.4"/>
  <cols>
    <col min="1" max="1" width="59.6640625" bestFit="1" customWidth="1"/>
    <col min="2" max="2" width="17.88671875" bestFit="1" customWidth="1"/>
    <col min="3" max="5" width="12.77734375" bestFit="1" customWidth="1"/>
    <col min="6" max="6" width="13.88671875" bestFit="1" customWidth="1"/>
    <col min="7" max="9" width="12.77734375" bestFit="1" customWidth="1"/>
    <col min="10" max="10" width="13.88671875" bestFit="1" customWidth="1"/>
    <col min="11" max="188" width="16.33203125" bestFit="1" customWidth="1"/>
    <col min="189" max="189" width="11.33203125" bestFit="1" customWidth="1"/>
  </cols>
  <sheetData>
    <row r="1" spans="1:6">
      <c r="A1" s="406" t="s">
        <v>140</v>
      </c>
      <c r="B1" t="s">
        <v>149</v>
      </c>
    </row>
    <row r="2" spans="1:6">
      <c r="A2" s="406" t="s">
        <v>7</v>
      </c>
      <c r="B2" t="s">
        <v>1409</v>
      </c>
    </row>
    <row r="4" spans="1:6">
      <c r="A4" s="406" t="s">
        <v>1391</v>
      </c>
      <c r="B4" s="406" t="s">
        <v>1392</v>
      </c>
    </row>
    <row r="5" spans="1:6">
      <c r="B5" t="s">
        <v>1394</v>
      </c>
      <c r="F5" t="s">
        <v>1396</v>
      </c>
    </row>
    <row r="6" spans="1:6">
      <c r="A6" s="406" t="s">
        <v>1408</v>
      </c>
      <c r="B6" t="s">
        <v>1404</v>
      </c>
      <c r="C6" t="s">
        <v>1405</v>
      </c>
      <c r="D6" t="s">
        <v>1406</v>
      </c>
      <c r="E6" t="s">
        <v>1407</v>
      </c>
    </row>
    <row r="7" spans="1:6">
      <c r="A7" s="407" t="s">
        <v>90</v>
      </c>
      <c r="B7" s="246">
        <v>16888128000</v>
      </c>
      <c r="C7" s="246">
        <v>1700000000</v>
      </c>
      <c r="D7" s="246">
        <v>3000000000</v>
      </c>
      <c r="E7" s="246">
        <v>5000000000</v>
      </c>
      <c r="F7" s="246">
        <v>26588128000</v>
      </c>
    </row>
    <row r="8" spans="1:6">
      <c r="A8" s="602" t="s">
        <v>227</v>
      </c>
      <c r="B8" s="246">
        <v>6800000000</v>
      </c>
      <c r="C8" s="246">
        <v>1700000000</v>
      </c>
      <c r="D8" s="246">
        <v>3000000000</v>
      </c>
      <c r="E8" s="246"/>
      <c r="F8" s="246">
        <v>11500000000</v>
      </c>
    </row>
    <row r="9" spans="1:6">
      <c r="A9" s="603" t="s">
        <v>33</v>
      </c>
      <c r="B9" s="246"/>
      <c r="C9" s="246"/>
      <c r="D9" s="246">
        <v>3000000000</v>
      </c>
      <c r="E9" s="246"/>
      <c r="F9" s="246">
        <v>3000000000</v>
      </c>
    </row>
    <row r="10" spans="1:6">
      <c r="A10" s="604" t="s">
        <v>730</v>
      </c>
      <c r="B10" s="246"/>
      <c r="C10" s="246"/>
      <c r="D10" s="246">
        <v>3000000000</v>
      </c>
      <c r="E10" s="246"/>
      <c r="F10" s="246">
        <v>3000000000</v>
      </c>
    </row>
    <row r="11" spans="1:6">
      <c r="A11" s="605" t="s">
        <v>731</v>
      </c>
      <c r="B11" s="246"/>
      <c r="C11" s="246"/>
      <c r="D11" s="246">
        <v>3000000000</v>
      </c>
      <c r="E11" s="246"/>
      <c r="F11" s="246">
        <v>3000000000</v>
      </c>
    </row>
    <row r="12" spans="1:6">
      <c r="A12" s="603" t="s">
        <v>26</v>
      </c>
      <c r="B12" s="246">
        <v>6800000000</v>
      </c>
      <c r="C12" s="246">
        <v>1700000000</v>
      </c>
      <c r="D12" s="246"/>
      <c r="E12" s="246"/>
      <c r="F12" s="246">
        <v>8500000000</v>
      </c>
    </row>
    <row r="13" spans="1:6">
      <c r="A13" s="604" t="s">
        <v>678</v>
      </c>
      <c r="B13" s="246"/>
      <c r="C13" s="246">
        <v>1700000000</v>
      </c>
      <c r="D13" s="246"/>
      <c r="E13" s="246"/>
      <c r="F13" s="246">
        <v>1700000000</v>
      </c>
    </row>
    <row r="14" spans="1:6">
      <c r="A14" s="605" t="s">
        <v>679</v>
      </c>
      <c r="B14" s="246"/>
      <c r="C14" s="246">
        <v>1700000000</v>
      </c>
      <c r="D14" s="246"/>
      <c r="E14" s="246"/>
      <c r="F14" s="246">
        <v>1700000000</v>
      </c>
    </row>
    <row r="15" spans="1:6">
      <c r="A15" s="604" t="s">
        <v>737</v>
      </c>
      <c r="B15" s="246">
        <v>6800000000</v>
      </c>
      <c r="C15" s="246"/>
      <c r="D15" s="246"/>
      <c r="E15" s="246"/>
      <c r="F15" s="246">
        <v>6800000000</v>
      </c>
    </row>
    <row r="16" spans="1:6">
      <c r="A16" s="605" t="s">
        <v>738</v>
      </c>
      <c r="B16" s="246">
        <v>6800000000</v>
      </c>
      <c r="C16" s="246"/>
      <c r="D16" s="246"/>
      <c r="E16" s="246"/>
      <c r="F16" s="246">
        <v>6800000000</v>
      </c>
    </row>
    <row r="17" spans="1:6">
      <c r="A17" s="602" t="s">
        <v>96</v>
      </c>
      <c r="B17" s="246">
        <v>6838128000</v>
      </c>
      <c r="C17" s="246"/>
      <c r="D17" s="246"/>
      <c r="E17" s="246"/>
      <c r="F17" s="246">
        <v>6838128000</v>
      </c>
    </row>
    <row r="18" spans="1:6">
      <c r="A18" s="603" t="s">
        <v>26</v>
      </c>
      <c r="B18" s="246">
        <v>6838128000</v>
      </c>
      <c r="C18" s="246"/>
      <c r="D18" s="246"/>
      <c r="E18" s="246"/>
      <c r="F18" s="246">
        <v>6838128000</v>
      </c>
    </row>
    <row r="19" spans="1:6">
      <c r="A19" s="604" t="s">
        <v>1295</v>
      </c>
      <c r="B19" s="246">
        <v>4650000000</v>
      </c>
      <c r="C19" s="246"/>
      <c r="D19" s="246"/>
      <c r="E19" s="246"/>
      <c r="F19" s="246">
        <v>4650000000</v>
      </c>
    </row>
    <row r="20" spans="1:6">
      <c r="A20" s="605" t="s">
        <v>26</v>
      </c>
      <c r="B20" s="246">
        <v>4650000000</v>
      </c>
      <c r="C20" s="246"/>
      <c r="D20" s="246"/>
      <c r="E20" s="246"/>
      <c r="F20" s="246">
        <v>4650000000</v>
      </c>
    </row>
    <row r="21" spans="1:6">
      <c r="A21" s="604" t="s">
        <v>771</v>
      </c>
      <c r="B21" s="246">
        <v>688128000</v>
      </c>
      <c r="C21" s="246"/>
      <c r="D21" s="246"/>
      <c r="E21" s="246"/>
      <c r="F21" s="246">
        <v>688128000</v>
      </c>
    </row>
    <row r="22" spans="1:6">
      <c r="A22" s="605" t="s">
        <v>288</v>
      </c>
      <c r="B22" s="246">
        <v>688128000</v>
      </c>
      <c r="C22" s="246"/>
      <c r="D22" s="246"/>
      <c r="E22" s="246"/>
      <c r="F22" s="246">
        <v>688128000</v>
      </c>
    </row>
    <row r="23" spans="1:6">
      <c r="A23" s="604" t="s">
        <v>1294</v>
      </c>
      <c r="B23" s="246">
        <v>1500000000</v>
      </c>
      <c r="C23" s="246"/>
      <c r="D23" s="246"/>
      <c r="E23" s="246"/>
      <c r="F23" s="246">
        <v>1500000000</v>
      </c>
    </row>
    <row r="24" spans="1:6">
      <c r="A24" s="605" t="s">
        <v>26</v>
      </c>
      <c r="B24" s="246">
        <v>1500000000</v>
      </c>
      <c r="C24" s="246"/>
      <c r="D24" s="246"/>
      <c r="E24" s="246"/>
      <c r="F24" s="246">
        <v>1500000000</v>
      </c>
    </row>
    <row r="25" spans="1:6">
      <c r="A25" s="602" t="s">
        <v>103</v>
      </c>
      <c r="B25" s="246">
        <v>3250000000</v>
      </c>
      <c r="C25" s="246"/>
      <c r="D25" s="246"/>
      <c r="E25" s="246">
        <v>5000000000</v>
      </c>
      <c r="F25" s="246">
        <v>8250000000</v>
      </c>
    </row>
    <row r="26" spans="1:6">
      <c r="A26" s="603" t="s">
        <v>33</v>
      </c>
      <c r="B26" s="246">
        <v>900000000</v>
      </c>
      <c r="C26" s="246"/>
      <c r="D26" s="246"/>
      <c r="E26" s="246"/>
      <c r="F26" s="246">
        <v>900000000</v>
      </c>
    </row>
    <row r="27" spans="1:6">
      <c r="A27" s="604" t="s">
        <v>1139</v>
      </c>
      <c r="B27" s="246">
        <v>900000000</v>
      </c>
      <c r="C27" s="246"/>
      <c r="D27" s="246"/>
      <c r="E27" s="246"/>
      <c r="F27" s="246">
        <v>900000000</v>
      </c>
    </row>
    <row r="28" spans="1:6">
      <c r="A28" s="605" t="s">
        <v>33</v>
      </c>
      <c r="B28" s="246">
        <v>900000000</v>
      </c>
      <c r="C28" s="246"/>
      <c r="D28" s="246"/>
      <c r="E28" s="246"/>
      <c r="F28" s="246">
        <v>900000000</v>
      </c>
    </row>
    <row r="29" spans="1:6">
      <c r="A29" s="603" t="s">
        <v>26</v>
      </c>
      <c r="B29" s="246">
        <v>1400000000</v>
      </c>
      <c r="C29" s="246"/>
      <c r="D29" s="246"/>
      <c r="E29" s="246">
        <v>5000000000</v>
      </c>
      <c r="F29" s="246">
        <v>6400000000</v>
      </c>
    </row>
    <row r="30" spans="1:6">
      <c r="A30" s="604" t="s">
        <v>699</v>
      </c>
      <c r="B30" s="246"/>
      <c r="C30" s="246"/>
      <c r="D30" s="246"/>
      <c r="E30" s="246">
        <v>5000000000</v>
      </c>
      <c r="F30" s="246">
        <v>5000000000</v>
      </c>
    </row>
    <row r="31" spans="1:6">
      <c r="A31" s="605" t="s">
        <v>700</v>
      </c>
      <c r="B31" s="246"/>
      <c r="C31" s="246"/>
      <c r="D31" s="246"/>
      <c r="E31" s="246">
        <v>5000000000</v>
      </c>
      <c r="F31" s="246">
        <v>5000000000</v>
      </c>
    </row>
    <row r="32" spans="1:6">
      <c r="A32" s="604" t="s">
        <v>791</v>
      </c>
      <c r="B32" s="246">
        <v>1400000000</v>
      </c>
      <c r="C32" s="246"/>
      <c r="D32" s="246"/>
      <c r="E32" s="246"/>
      <c r="F32" s="246">
        <v>1400000000</v>
      </c>
    </row>
    <row r="33" spans="1:6">
      <c r="A33" s="605" t="s">
        <v>26</v>
      </c>
      <c r="B33" s="246">
        <v>1400000000</v>
      </c>
      <c r="C33" s="246"/>
      <c r="D33" s="246"/>
      <c r="E33" s="246"/>
      <c r="F33" s="246">
        <v>1400000000</v>
      </c>
    </row>
    <row r="34" spans="1:6">
      <c r="A34" s="603" t="s">
        <v>1410</v>
      </c>
      <c r="B34" s="246">
        <v>950000000</v>
      </c>
      <c r="C34" s="246"/>
      <c r="D34" s="246"/>
      <c r="E34" s="246"/>
      <c r="F34" s="246">
        <v>950000000</v>
      </c>
    </row>
    <row r="35" spans="1:6">
      <c r="A35" s="604" t="s">
        <v>1140</v>
      </c>
      <c r="B35" s="246">
        <v>950000000</v>
      </c>
      <c r="C35" s="246"/>
      <c r="D35" s="246"/>
      <c r="E35" s="246"/>
      <c r="F35" s="246">
        <v>950000000</v>
      </c>
    </row>
    <row r="36" spans="1:6">
      <c r="A36" s="605" t="s">
        <v>26</v>
      </c>
      <c r="B36" s="246">
        <v>950000000</v>
      </c>
      <c r="C36" s="246"/>
      <c r="D36" s="246"/>
      <c r="E36" s="246"/>
      <c r="F36" s="246">
        <v>950000000</v>
      </c>
    </row>
    <row r="37" spans="1:6">
      <c r="A37" s="407" t="s">
        <v>24</v>
      </c>
      <c r="B37" s="246">
        <v>535000000</v>
      </c>
      <c r="C37" s="246">
        <v>2000000000</v>
      </c>
      <c r="D37" s="246"/>
      <c r="E37" s="246"/>
      <c r="F37" s="246">
        <v>2535000000</v>
      </c>
    </row>
    <row r="38" spans="1:6">
      <c r="A38" s="602" t="s">
        <v>170</v>
      </c>
      <c r="B38" s="246">
        <v>135000000</v>
      </c>
      <c r="C38" s="246"/>
      <c r="D38" s="246"/>
      <c r="E38" s="246"/>
      <c r="F38" s="246">
        <v>135000000</v>
      </c>
    </row>
    <row r="39" spans="1:6">
      <c r="A39" s="603" t="s">
        <v>33</v>
      </c>
      <c r="B39" s="246">
        <v>135000000</v>
      </c>
      <c r="C39" s="246"/>
      <c r="D39" s="246"/>
      <c r="E39" s="246"/>
      <c r="F39" s="246">
        <v>135000000</v>
      </c>
    </row>
    <row r="40" spans="1:6">
      <c r="A40" s="604" t="s">
        <v>42</v>
      </c>
      <c r="B40" s="246">
        <v>135000000</v>
      </c>
      <c r="C40" s="246"/>
      <c r="D40" s="246"/>
      <c r="E40" s="246"/>
      <c r="F40" s="246">
        <v>135000000</v>
      </c>
    </row>
    <row r="41" spans="1:6">
      <c r="A41" s="605" t="s">
        <v>1367</v>
      </c>
      <c r="B41" s="246">
        <v>135000000</v>
      </c>
      <c r="C41" s="246"/>
      <c r="D41" s="246"/>
      <c r="E41" s="246"/>
      <c r="F41" s="246">
        <v>135000000</v>
      </c>
    </row>
    <row r="42" spans="1:6">
      <c r="A42" s="602" t="s">
        <v>201</v>
      </c>
      <c r="B42" s="246">
        <v>400000000</v>
      </c>
      <c r="C42" s="246"/>
      <c r="D42" s="246"/>
      <c r="E42" s="246"/>
      <c r="F42" s="246">
        <v>400000000</v>
      </c>
    </row>
    <row r="43" spans="1:6">
      <c r="A43" s="603" t="s">
        <v>26</v>
      </c>
      <c r="B43" s="246">
        <v>400000000</v>
      </c>
      <c r="C43" s="246"/>
      <c r="D43" s="246"/>
      <c r="E43" s="246"/>
      <c r="F43" s="246">
        <v>400000000</v>
      </c>
    </row>
    <row r="44" spans="1:6">
      <c r="A44" s="604" t="s">
        <v>1057</v>
      </c>
      <c r="B44" s="246">
        <v>400000000</v>
      </c>
      <c r="C44" s="246"/>
      <c r="D44" s="246"/>
      <c r="E44" s="246"/>
      <c r="F44" s="246">
        <v>400000000</v>
      </c>
    </row>
    <row r="45" spans="1:6">
      <c r="A45" s="605" t="s">
        <v>1058</v>
      </c>
      <c r="B45" s="246">
        <v>400000000</v>
      </c>
      <c r="C45" s="246"/>
      <c r="D45" s="246"/>
      <c r="E45" s="246"/>
      <c r="F45" s="246">
        <v>400000000</v>
      </c>
    </row>
    <row r="46" spans="1:6">
      <c r="A46" s="602" t="s">
        <v>54</v>
      </c>
      <c r="B46" s="246"/>
      <c r="C46" s="246">
        <v>2000000000</v>
      </c>
      <c r="D46" s="246"/>
      <c r="E46" s="246"/>
      <c r="F46" s="246">
        <v>2000000000</v>
      </c>
    </row>
    <row r="47" spans="1:6">
      <c r="A47" s="603" t="s">
        <v>33</v>
      </c>
      <c r="B47" s="246"/>
      <c r="C47" s="246">
        <v>2000000000</v>
      </c>
      <c r="D47" s="246"/>
      <c r="E47" s="246"/>
      <c r="F47" s="246">
        <v>2000000000</v>
      </c>
    </row>
    <row r="48" spans="1:6">
      <c r="A48" s="604" t="s">
        <v>264</v>
      </c>
      <c r="B48" s="246"/>
      <c r="C48" s="246">
        <v>2000000000</v>
      </c>
      <c r="D48" s="246"/>
      <c r="E48" s="246"/>
      <c r="F48" s="246">
        <v>2000000000</v>
      </c>
    </row>
    <row r="49" spans="1:6">
      <c r="A49" s="605" t="s">
        <v>296</v>
      </c>
      <c r="B49" s="246"/>
      <c r="C49" s="246">
        <v>2000000000</v>
      </c>
      <c r="D49" s="246"/>
      <c r="E49" s="246"/>
      <c r="F49" s="246">
        <v>2000000000</v>
      </c>
    </row>
    <row r="50" spans="1:6">
      <c r="A50" s="407" t="s">
        <v>1396</v>
      </c>
      <c r="B50" s="246">
        <v>17423128000</v>
      </c>
      <c r="C50" s="246">
        <v>3700000000</v>
      </c>
      <c r="D50" s="246">
        <v>3000000000</v>
      </c>
      <c r="E50" s="246">
        <v>5000000000</v>
      </c>
      <c r="F50" s="246">
        <v>29123128000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55A2B-6A91-4E3F-8DC7-FE83C57D76F3}">
  <dimension ref="A1:I250"/>
  <sheetViews>
    <sheetView topLeftCell="A235" workbookViewId="0">
      <selection activeCell="E228" sqref="E228"/>
    </sheetView>
  </sheetViews>
  <sheetFormatPr defaultRowHeight="14.4"/>
  <cols>
    <col min="1" max="1" width="92" bestFit="1" customWidth="1"/>
    <col min="2" max="2" width="17.88671875" bestFit="1" customWidth="1"/>
    <col min="3" max="6" width="13.88671875" bestFit="1" customWidth="1"/>
    <col min="7" max="8" width="12.77734375" bestFit="1" customWidth="1"/>
    <col min="9" max="11" width="14.88671875" bestFit="1" customWidth="1"/>
    <col min="12" max="13" width="10.33203125" bestFit="1" customWidth="1"/>
    <col min="14" max="14" width="12" bestFit="1" customWidth="1"/>
    <col min="15" max="15" width="10.33203125" bestFit="1" customWidth="1"/>
    <col min="16" max="16" width="11" bestFit="1" customWidth="1"/>
    <col min="17" max="19" width="10.33203125" bestFit="1" customWidth="1"/>
    <col min="20" max="24" width="11" bestFit="1" customWidth="1"/>
    <col min="25" max="25" width="10.33203125" bestFit="1" customWidth="1"/>
    <col min="26" max="27" width="11" bestFit="1" customWidth="1"/>
    <col min="28" max="30" width="10.33203125" bestFit="1" customWidth="1"/>
    <col min="31" max="32" width="11" bestFit="1" customWidth="1"/>
    <col min="33" max="33" width="10.33203125" bestFit="1" customWidth="1"/>
    <col min="34" max="34" width="11" bestFit="1" customWidth="1"/>
    <col min="35" max="36" width="10.33203125" bestFit="1" customWidth="1"/>
    <col min="37" max="39" width="11" bestFit="1" customWidth="1"/>
    <col min="40" max="40" width="10.33203125" bestFit="1" customWidth="1"/>
    <col min="41" max="41" width="11" bestFit="1" customWidth="1"/>
    <col min="42" max="44" width="10.33203125" bestFit="1" customWidth="1"/>
    <col min="45" max="45" width="11" bestFit="1" customWidth="1"/>
    <col min="46" max="47" width="10.33203125" bestFit="1" customWidth="1"/>
    <col min="48" max="50" width="11" bestFit="1" customWidth="1"/>
    <col min="51" max="55" width="10.33203125" bestFit="1" customWidth="1"/>
    <col min="56" max="59" width="11" bestFit="1" customWidth="1"/>
    <col min="60" max="62" width="10.33203125" bestFit="1" customWidth="1"/>
    <col min="63" max="63" width="12" bestFit="1" customWidth="1"/>
    <col min="64" max="64" width="11" bestFit="1" customWidth="1"/>
    <col min="65" max="66" width="10.33203125" bestFit="1" customWidth="1"/>
    <col min="67" max="67" width="11" bestFit="1" customWidth="1"/>
    <col min="68" max="78" width="10.33203125" bestFit="1" customWidth="1"/>
    <col min="79" max="79" width="11" bestFit="1" customWidth="1"/>
    <col min="80" max="81" width="10.33203125" bestFit="1" customWidth="1"/>
    <col min="82" max="84" width="11" bestFit="1" customWidth="1"/>
    <col min="85" max="86" width="12" bestFit="1" customWidth="1"/>
    <col min="87" max="91" width="11" bestFit="1" customWidth="1"/>
    <col min="92" max="95" width="10.33203125" bestFit="1" customWidth="1"/>
    <col min="96" max="96" width="11" bestFit="1" customWidth="1"/>
    <col min="97" max="98" width="10.33203125" bestFit="1" customWidth="1"/>
    <col min="99" max="99" width="11" bestFit="1" customWidth="1"/>
    <col min="100" max="100" width="10.33203125" bestFit="1" customWidth="1"/>
    <col min="101" max="102" width="11" bestFit="1" customWidth="1"/>
    <col min="103" max="104" width="10.33203125" bestFit="1" customWidth="1"/>
    <col min="105" max="105" width="11" bestFit="1" customWidth="1"/>
    <col min="106" max="108" width="10.33203125" bestFit="1" customWidth="1"/>
    <col min="109" max="110" width="11" bestFit="1" customWidth="1"/>
    <col min="111" max="112" width="10.33203125" bestFit="1" customWidth="1"/>
    <col min="113" max="115" width="11" bestFit="1" customWidth="1"/>
    <col min="116" max="117" width="10.33203125" bestFit="1" customWidth="1"/>
    <col min="118" max="118" width="11" bestFit="1" customWidth="1"/>
    <col min="119" max="119" width="10.33203125" bestFit="1" customWidth="1"/>
    <col min="120" max="120" width="11" bestFit="1" customWidth="1"/>
    <col min="121" max="121" width="10.33203125" bestFit="1" customWidth="1"/>
    <col min="122" max="122" width="11" bestFit="1" customWidth="1"/>
    <col min="123" max="125" width="10.33203125" bestFit="1" customWidth="1"/>
    <col min="126" max="128" width="11" bestFit="1" customWidth="1"/>
    <col min="129" max="129" width="10.33203125" bestFit="1" customWidth="1"/>
    <col min="130" max="130" width="11" bestFit="1" customWidth="1"/>
    <col min="131" max="131" width="10.33203125" bestFit="1" customWidth="1"/>
    <col min="132" max="133" width="11" bestFit="1" customWidth="1"/>
    <col min="134" max="134" width="10.33203125" bestFit="1" customWidth="1"/>
    <col min="135" max="135" width="11" bestFit="1" customWidth="1"/>
    <col min="136" max="136" width="10.33203125" bestFit="1" customWidth="1"/>
    <col min="137" max="137" width="11" bestFit="1" customWidth="1"/>
    <col min="138" max="139" width="10.33203125" bestFit="1" customWidth="1"/>
    <col min="140" max="140" width="11" bestFit="1" customWidth="1"/>
    <col min="141" max="141" width="12" bestFit="1" customWidth="1"/>
    <col min="142" max="143" width="11" bestFit="1" customWidth="1"/>
    <col min="144" max="144" width="10.33203125" bestFit="1" customWidth="1"/>
    <col min="145" max="147" width="11" bestFit="1" customWidth="1"/>
    <col min="148" max="148" width="10.33203125" bestFit="1" customWidth="1"/>
    <col min="149" max="149" width="11" bestFit="1" customWidth="1"/>
    <col min="150" max="150" width="10.33203125" bestFit="1" customWidth="1"/>
    <col min="151" max="151" width="11" bestFit="1" customWidth="1"/>
    <col min="152" max="152" width="12" bestFit="1" customWidth="1"/>
    <col min="153" max="153" width="11" bestFit="1" customWidth="1"/>
    <col min="154" max="155" width="10.33203125" bestFit="1" customWidth="1"/>
    <col min="156" max="157" width="11" bestFit="1" customWidth="1"/>
    <col min="158" max="158" width="10.33203125" bestFit="1" customWidth="1"/>
    <col min="159" max="159" width="11" bestFit="1" customWidth="1"/>
    <col min="160" max="160" width="10.33203125" bestFit="1" customWidth="1"/>
    <col min="161" max="162" width="11" bestFit="1" customWidth="1"/>
    <col min="163" max="164" width="10.33203125" bestFit="1" customWidth="1"/>
    <col min="165" max="166" width="11" bestFit="1" customWidth="1"/>
    <col min="167" max="167" width="10.33203125" bestFit="1" customWidth="1"/>
    <col min="168" max="168" width="11" bestFit="1" customWidth="1"/>
    <col min="169" max="170" width="10.33203125" bestFit="1" customWidth="1"/>
    <col min="171" max="174" width="11" bestFit="1" customWidth="1"/>
    <col min="175" max="175" width="10.33203125" bestFit="1" customWidth="1"/>
    <col min="176" max="176" width="11" bestFit="1" customWidth="1"/>
    <col min="177" max="177" width="10.33203125" bestFit="1" customWidth="1"/>
    <col min="178" max="179" width="11" bestFit="1" customWidth="1"/>
    <col min="180" max="187" width="10.33203125" bestFit="1" customWidth="1"/>
    <col min="188" max="189" width="12" bestFit="1" customWidth="1"/>
  </cols>
  <sheetData>
    <row r="1" spans="1:9">
      <c r="A1" s="406" t="s">
        <v>7</v>
      </c>
      <c r="B1" t="s">
        <v>1409</v>
      </c>
    </row>
    <row r="2" spans="1:9">
      <c r="A2" s="406" t="s">
        <v>140</v>
      </c>
      <c r="B2" t="s">
        <v>1409</v>
      </c>
    </row>
    <row r="4" spans="1:9">
      <c r="A4" s="406" t="s">
        <v>1391</v>
      </c>
      <c r="B4" s="406" t="s">
        <v>1392</v>
      </c>
    </row>
    <row r="5" spans="1:9">
      <c r="B5" t="s">
        <v>1394</v>
      </c>
      <c r="H5" t="s">
        <v>1395</v>
      </c>
      <c r="I5" t="s">
        <v>1396</v>
      </c>
    </row>
    <row r="6" spans="1:9">
      <c r="A6" s="406" t="s">
        <v>1408</v>
      </c>
      <c r="B6" t="s">
        <v>1404</v>
      </c>
      <c r="C6" t="s">
        <v>1405</v>
      </c>
      <c r="D6" t="s">
        <v>1406</v>
      </c>
      <c r="E6" t="s">
        <v>1407</v>
      </c>
      <c r="F6" t="s">
        <v>1397</v>
      </c>
      <c r="G6" t="s">
        <v>1398</v>
      </c>
      <c r="H6" t="s">
        <v>1399</v>
      </c>
    </row>
    <row r="7" spans="1:9">
      <c r="A7" s="407" t="s">
        <v>90</v>
      </c>
      <c r="B7" s="246">
        <v>9392900000</v>
      </c>
      <c r="C7" s="246">
        <v>17873500000</v>
      </c>
      <c r="D7" s="246">
        <v>5717483000</v>
      </c>
      <c r="E7" s="246">
        <v>8626073000</v>
      </c>
      <c r="F7" s="246">
        <v>4265000000</v>
      </c>
      <c r="G7" s="246">
        <v>1575250000</v>
      </c>
      <c r="H7" s="246">
        <v>3000000000</v>
      </c>
      <c r="I7" s="246">
        <v>50450206000</v>
      </c>
    </row>
    <row r="8" spans="1:9">
      <c r="A8" s="602" t="s">
        <v>227</v>
      </c>
      <c r="B8" s="246">
        <v>7057900000</v>
      </c>
      <c r="C8" s="246">
        <v>5638500000</v>
      </c>
      <c r="D8" s="246">
        <v>301000000</v>
      </c>
      <c r="E8" s="246">
        <v>5460000000</v>
      </c>
      <c r="F8" s="246"/>
      <c r="G8" s="246"/>
      <c r="H8" s="246"/>
      <c r="I8" s="246">
        <v>18457400000</v>
      </c>
    </row>
    <row r="9" spans="1:9">
      <c r="A9" s="603" t="s">
        <v>26</v>
      </c>
      <c r="B9" s="246">
        <v>7057900000</v>
      </c>
      <c r="C9" s="246">
        <v>5638500000</v>
      </c>
      <c r="D9" s="246">
        <v>301000000</v>
      </c>
      <c r="E9" s="246">
        <v>5460000000</v>
      </c>
      <c r="F9" s="246"/>
      <c r="G9" s="246"/>
      <c r="H9" s="246"/>
      <c r="I9" s="246">
        <v>18457400000</v>
      </c>
    </row>
    <row r="10" spans="1:9">
      <c r="A10" s="604" t="s">
        <v>745</v>
      </c>
      <c r="B10" s="246">
        <v>2020000000</v>
      </c>
      <c r="C10" s="246"/>
      <c r="D10" s="246"/>
      <c r="E10" s="246"/>
      <c r="F10" s="246"/>
      <c r="G10" s="246"/>
      <c r="H10" s="246"/>
      <c r="I10" s="246">
        <v>2020000000</v>
      </c>
    </row>
    <row r="11" spans="1:9">
      <c r="A11" s="605" t="s">
        <v>746</v>
      </c>
      <c r="B11" s="246">
        <v>2020000000</v>
      </c>
      <c r="C11" s="246"/>
      <c r="D11" s="246"/>
      <c r="E11" s="246"/>
      <c r="F11" s="246"/>
      <c r="G11" s="246"/>
      <c r="H11" s="246"/>
      <c r="I11" s="246">
        <v>2020000000</v>
      </c>
    </row>
    <row r="12" spans="1:9">
      <c r="A12" s="604" t="s">
        <v>754</v>
      </c>
      <c r="B12" s="246"/>
      <c r="C12" s="246">
        <v>110000000</v>
      </c>
      <c r="D12" s="246"/>
      <c r="E12" s="246"/>
      <c r="F12" s="246"/>
      <c r="G12" s="246"/>
      <c r="H12" s="246"/>
      <c r="I12" s="246">
        <v>110000000</v>
      </c>
    </row>
    <row r="13" spans="1:9">
      <c r="A13" s="605" t="s">
        <v>755</v>
      </c>
      <c r="B13" s="246"/>
      <c r="C13" s="246">
        <v>110000000</v>
      </c>
      <c r="D13" s="246"/>
      <c r="E13" s="246"/>
      <c r="F13" s="246"/>
      <c r="G13" s="246"/>
      <c r="H13" s="246"/>
      <c r="I13" s="246">
        <v>110000000</v>
      </c>
    </row>
    <row r="14" spans="1:9">
      <c r="A14" s="604" t="s">
        <v>693</v>
      </c>
      <c r="B14" s="246">
        <v>1150000000</v>
      </c>
      <c r="C14" s="246"/>
      <c r="D14" s="246"/>
      <c r="E14" s="246"/>
      <c r="F14" s="246"/>
      <c r="G14" s="246"/>
      <c r="H14" s="246"/>
      <c r="I14" s="246">
        <v>1150000000</v>
      </c>
    </row>
    <row r="15" spans="1:9">
      <c r="A15" s="605" t="s">
        <v>694</v>
      </c>
      <c r="B15" s="246">
        <v>1150000000</v>
      </c>
      <c r="C15" s="246"/>
      <c r="D15" s="246"/>
      <c r="E15" s="246"/>
      <c r="F15" s="246"/>
      <c r="G15" s="246"/>
      <c r="H15" s="246"/>
      <c r="I15" s="246">
        <v>1150000000</v>
      </c>
    </row>
    <row r="16" spans="1:9">
      <c r="A16" s="604" t="s">
        <v>687</v>
      </c>
      <c r="B16" s="246"/>
      <c r="C16" s="246"/>
      <c r="D16" s="246">
        <v>80000000</v>
      </c>
      <c r="E16" s="246"/>
      <c r="F16" s="246"/>
      <c r="G16" s="246"/>
      <c r="H16" s="246"/>
      <c r="I16" s="246">
        <v>80000000</v>
      </c>
    </row>
    <row r="17" spans="1:9">
      <c r="A17" s="605" t="s">
        <v>688</v>
      </c>
      <c r="B17" s="246"/>
      <c r="C17" s="246"/>
      <c r="D17" s="246">
        <v>80000000</v>
      </c>
      <c r="E17" s="246"/>
      <c r="F17" s="246"/>
      <c r="G17" s="246"/>
      <c r="H17" s="246"/>
      <c r="I17" s="246">
        <v>80000000</v>
      </c>
    </row>
    <row r="18" spans="1:9">
      <c r="A18" s="604" t="s">
        <v>773</v>
      </c>
      <c r="B18" s="246"/>
      <c r="C18" s="246"/>
      <c r="D18" s="246"/>
      <c r="E18" s="246">
        <v>5300000000</v>
      </c>
      <c r="F18" s="246"/>
      <c r="G18" s="246"/>
      <c r="H18" s="246"/>
      <c r="I18" s="246">
        <v>5300000000</v>
      </c>
    </row>
    <row r="19" spans="1:9">
      <c r="A19" s="605" t="s">
        <v>774</v>
      </c>
      <c r="B19" s="246"/>
      <c r="C19" s="246"/>
      <c r="D19" s="246"/>
      <c r="E19" s="246">
        <v>5300000000</v>
      </c>
      <c r="F19" s="246"/>
      <c r="G19" s="246"/>
      <c r="H19" s="246"/>
      <c r="I19" s="246">
        <v>5300000000</v>
      </c>
    </row>
    <row r="20" spans="1:9">
      <c r="A20" s="604" t="s">
        <v>690</v>
      </c>
      <c r="B20" s="246"/>
      <c r="C20" s="246"/>
      <c r="D20" s="246">
        <v>207000000</v>
      </c>
      <c r="E20" s="246"/>
      <c r="F20" s="246"/>
      <c r="G20" s="246"/>
      <c r="H20" s="246"/>
      <c r="I20" s="246">
        <v>207000000</v>
      </c>
    </row>
    <row r="21" spans="1:9">
      <c r="A21" s="605" t="s">
        <v>645</v>
      </c>
      <c r="B21" s="246"/>
      <c r="C21" s="246"/>
      <c r="D21" s="246">
        <v>207000000</v>
      </c>
      <c r="E21" s="246"/>
      <c r="F21" s="246"/>
      <c r="G21" s="246"/>
      <c r="H21" s="246"/>
      <c r="I21" s="246">
        <v>207000000</v>
      </c>
    </row>
    <row r="22" spans="1:9">
      <c r="A22" s="604" t="s">
        <v>726</v>
      </c>
      <c r="B22" s="246"/>
      <c r="C22" s="246"/>
      <c r="D22" s="246">
        <v>14000000</v>
      </c>
      <c r="E22" s="246"/>
      <c r="F22" s="246"/>
      <c r="G22" s="246"/>
      <c r="H22" s="246"/>
      <c r="I22" s="246">
        <v>14000000</v>
      </c>
    </row>
    <row r="23" spans="1:9">
      <c r="A23" s="605" t="s">
        <v>727</v>
      </c>
      <c r="B23" s="246"/>
      <c r="C23" s="246"/>
      <c r="D23" s="246">
        <v>14000000</v>
      </c>
      <c r="E23" s="246"/>
      <c r="F23" s="246"/>
      <c r="G23" s="246"/>
      <c r="H23" s="246"/>
      <c r="I23" s="246">
        <v>14000000</v>
      </c>
    </row>
    <row r="24" spans="1:9">
      <c r="A24" s="604" t="s">
        <v>684</v>
      </c>
      <c r="B24" s="246">
        <v>550000000</v>
      </c>
      <c r="C24" s="246"/>
      <c r="D24" s="246"/>
      <c r="E24" s="246"/>
      <c r="F24" s="246"/>
      <c r="G24" s="246"/>
      <c r="H24" s="246"/>
      <c r="I24" s="246">
        <v>550000000</v>
      </c>
    </row>
    <row r="25" spans="1:9">
      <c r="A25" s="605" t="s">
        <v>685</v>
      </c>
      <c r="B25" s="246">
        <v>550000000</v>
      </c>
      <c r="C25" s="246"/>
      <c r="D25" s="246"/>
      <c r="E25" s="246"/>
      <c r="F25" s="246"/>
      <c r="G25" s="246"/>
      <c r="H25" s="246"/>
      <c r="I25" s="246">
        <v>550000000</v>
      </c>
    </row>
    <row r="26" spans="1:9">
      <c r="A26" s="604" t="s">
        <v>680</v>
      </c>
      <c r="B26" s="246"/>
      <c r="C26" s="246">
        <v>250000000</v>
      </c>
      <c r="D26" s="246"/>
      <c r="E26" s="246"/>
      <c r="F26" s="246"/>
      <c r="G26" s="246"/>
      <c r="H26" s="246"/>
      <c r="I26" s="246">
        <v>250000000</v>
      </c>
    </row>
    <row r="27" spans="1:9">
      <c r="A27" s="605" t="s">
        <v>681</v>
      </c>
      <c r="B27" s="246"/>
      <c r="C27" s="246">
        <v>250000000</v>
      </c>
      <c r="D27" s="246"/>
      <c r="E27" s="246"/>
      <c r="F27" s="246"/>
      <c r="G27" s="246"/>
      <c r="H27" s="246"/>
      <c r="I27" s="246">
        <v>250000000</v>
      </c>
    </row>
    <row r="28" spans="1:9">
      <c r="A28" s="604" t="s">
        <v>682</v>
      </c>
      <c r="B28" s="246"/>
      <c r="C28" s="246">
        <v>278500000</v>
      </c>
      <c r="D28" s="246"/>
      <c r="E28" s="246"/>
      <c r="F28" s="246"/>
      <c r="G28" s="246"/>
      <c r="H28" s="246"/>
      <c r="I28" s="246">
        <v>278500000</v>
      </c>
    </row>
    <row r="29" spans="1:9">
      <c r="A29" s="605" t="s">
        <v>683</v>
      </c>
      <c r="B29" s="246"/>
      <c r="C29" s="246">
        <v>278500000</v>
      </c>
      <c r="D29" s="246"/>
      <c r="E29" s="246"/>
      <c r="F29" s="246"/>
      <c r="G29" s="246"/>
      <c r="H29" s="246"/>
      <c r="I29" s="246">
        <v>278500000</v>
      </c>
    </row>
    <row r="30" spans="1:9">
      <c r="A30" s="604" t="s">
        <v>781</v>
      </c>
      <c r="B30" s="246">
        <v>2000000000</v>
      </c>
      <c r="C30" s="246"/>
      <c r="D30" s="246"/>
      <c r="E30" s="246"/>
      <c r="F30" s="246"/>
      <c r="G30" s="246"/>
      <c r="H30" s="246"/>
      <c r="I30" s="246">
        <v>2000000000</v>
      </c>
    </row>
    <row r="31" spans="1:9">
      <c r="A31" s="605" t="s">
        <v>782</v>
      </c>
      <c r="B31" s="246">
        <v>2000000000</v>
      </c>
      <c r="C31" s="246"/>
      <c r="D31" s="246"/>
      <c r="E31" s="246"/>
      <c r="F31" s="246"/>
      <c r="G31" s="246"/>
      <c r="H31" s="246"/>
      <c r="I31" s="246">
        <v>2000000000</v>
      </c>
    </row>
    <row r="32" spans="1:9">
      <c r="A32" s="604" t="s">
        <v>749</v>
      </c>
      <c r="B32" s="246"/>
      <c r="C32" s="246"/>
      <c r="D32" s="246"/>
      <c r="E32" s="246">
        <v>160000000</v>
      </c>
      <c r="F32" s="246"/>
      <c r="G32" s="246"/>
      <c r="H32" s="246"/>
      <c r="I32" s="246">
        <v>160000000</v>
      </c>
    </row>
    <row r="33" spans="1:9">
      <c r="A33" s="605" t="s">
        <v>750</v>
      </c>
      <c r="B33" s="246"/>
      <c r="C33" s="246"/>
      <c r="D33" s="246"/>
      <c r="E33" s="246">
        <v>160000000</v>
      </c>
      <c r="F33" s="246"/>
      <c r="G33" s="246"/>
      <c r="H33" s="246"/>
      <c r="I33" s="246">
        <v>160000000</v>
      </c>
    </row>
    <row r="34" spans="1:9">
      <c r="A34" s="604" t="s">
        <v>1089</v>
      </c>
      <c r="B34" s="246">
        <v>1278900000</v>
      </c>
      <c r="C34" s="246"/>
      <c r="D34" s="246"/>
      <c r="E34" s="246"/>
      <c r="F34" s="246"/>
      <c r="G34" s="246"/>
      <c r="H34" s="246"/>
      <c r="I34" s="246">
        <v>1278900000</v>
      </c>
    </row>
    <row r="35" spans="1:9">
      <c r="A35" s="605" t="s">
        <v>1090</v>
      </c>
      <c r="B35" s="246">
        <v>1278900000</v>
      </c>
      <c r="C35" s="246"/>
      <c r="D35" s="246"/>
      <c r="E35" s="246"/>
      <c r="F35" s="246"/>
      <c r="G35" s="246"/>
      <c r="H35" s="246"/>
      <c r="I35" s="246">
        <v>1278900000</v>
      </c>
    </row>
    <row r="36" spans="1:9">
      <c r="A36" s="604" t="s">
        <v>759</v>
      </c>
      <c r="B36" s="246">
        <v>59000000</v>
      </c>
      <c r="C36" s="246"/>
      <c r="D36" s="246"/>
      <c r="E36" s="246"/>
      <c r="F36" s="246"/>
      <c r="G36" s="246"/>
      <c r="H36" s="246"/>
      <c r="I36" s="246">
        <v>59000000</v>
      </c>
    </row>
    <row r="37" spans="1:9">
      <c r="A37" s="605" t="s">
        <v>755</v>
      </c>
      <c r="B37" s="246">
        <v>59000000</v>
      </c>
      <c r="C37" s="246"/>
      <c r="D37" s="246"/>
      <c r="E37" s="246"/>
      <c r="F37" s="246"/>
      <c r="G37" s="246"/>
      <c r="H37" s="246"/>
      <c r="I37" s="246">
        <v>59000000</v>
      </c>
    </row>
    <row r="38" spans="1:9">
      <c r="A38" s="604" t="s">
        <v>775</v>
      </c>
      <c r="B38" s="246"/>
      <c r="C38" s="246">
        <v>5000000000</v>
      </c>
      <c r="D38" s="246"/>
      <c r="E38" s="246"/>
      <c r="F38" s="246"/>
      <c r="G38" s="246"/>
      <c r="H38" s="246"/>
      <c r="I38" s="246">
        <v>5000000000</v>
      </c>
    </row>
    <row r="39" spans="1:9">
      <c r="A39" s="605" t="s">
        <v>755</v>
      </c>
      <c r="B39" s="246"/>
      <c r="C39" s="246">
        <v>5000000000</v>
      </c>
      <c r="D39" s="246"/>
      <c r="E39" s="246"/>
      <c r="F39" s="246"/>
      <c r="G39" s="246"/>
      <c r="H39" s="246"/>
      <c r="I39" s="246">
        <v>5000000000</v>
      </c>
    </row>
    <row r="40" spans="1:9">
      <c r="A40" s="602" t="s">
        <v>96</v>
      </c>
      <c r="B40" s="246">
        <v>1600000000</v>
      </c>
      <c r="C40" s="246">
        <v>11548000000</v>
      </c>
      <c r="D40" s="246">
        <v>5416483000</v>
      </c>
      <c r="E40" s="246">
        <v>3166073000</v>
      </c>
      <c r="F40" s="246">
        <v>1465000000</v>
      </c>
      <c r="G40" s="246">
        <v>275250000</v>
      </c>
      <c r="H40" s="246"/>
      <c r="I40" s="246">
        <v>23470806000</v>
      </c>
    </row>
    <row r="41" spans="1:9">
      <c r="A41" s="603" t="s">
        <v>1211</v>
      </c>
      <c r="B41" s="246"/>
      <c r="C41" s="246"/>
      <c r="D41" s="246"/>
      <c r="E41" s="246">
        <v>1631073000</v>
      </c>
      <c r="F41" s="246"/>
      <c r="G41" s="246"/>
      <c r="H41" s="246"/>
      <c r="I41" s="246">
        <v>1631073000</v>
      </c>
    </row>
    <row r="42" spans="1:9">
      <c r="A42" s="604" t="s">
        <v>1299</v>
      </c>
      <c r="B42" s="246"/>
      <c r="C42" s="246"/>
      <c r="D42" s="246"/>
      <c r="E42" s="246">
        <v>1631073000</v>
      </c>
      <c r="F42" s="246"/>
      <c r="G42" s="246"/>
      <c r="H42" s="246"/>
      <c r="I42" s="246">
        <v>1631073000</v>
      </c>
    </row>
    <row r="43" spans="1:9">
      <c r="A43" s="605" t="s">
        <v>1300</v>
      </c>
      <c r="B43" s="246"/>
      <c r="C43" s="246"/>
      <c r="D43" s="246"/>
      <c r="E43" s="246">
        <v>1631073000</v>
      </c>
      <c r="F43" s="246"/>
      <c r="G43" s="246"/>
      <c r="H43" s="246"/>
      <c r="I43" s="246">
        <v>1631073000</v>
      </c>
    </row>
    <row r="44" spans="1:9">
      <c r="A44" s="603" t="s">
        <v>33</v>
      </c>
      <c r="B44" s="246"/>
      <c r="C44" s="246">
        <v>7689000000</v>
      </c>
      <c r="D44" s="246">
        <v>825000000</v>
      </c>
      <c r="E44" s="246">
        <v>1535000000</v>
      </c>
      <c r="F44" s="246"/>
      <c r="G44" s="246">
        <v>165000000</v>
      </c>
      <c r="H44" s="246"/>
      <c r="I44" s="246">
        <v>10214000000</v>
      </c>
    </row>
    <row r="45" spans="1:9">
      <c r="A45" s="604" t="s">
        <v>994</v>
      </c>
      <c r="B45" s="246"/>
      <c r="C45" s="246"/>
      <c r="D45" s="246"/>
      <c r="E45" s="246">
        <v>1400000000</v>
      </c>
      <c r="F45" s="246"/>
      <c r="G45" s="246"/>
      <c r="H45" s="246"/>
      <c r="I45" s="246">
        <v>1400000000</v>
      </c>
    </row>
    <row r="46" spans="1:9">
      <c r="A46" s="605" t="s">
        <v>995</v>
      </c>
      <c r="B46" s="246"/>
      <c r="C46" s="246"/>
      <c r="D46" s="246"/>
      <c r="E46" s="246">
        <v>1400000000</v>
      </c>
      <c r="F46" s="246"/>
      <c r="G46" s="246"/>
      <c r="H46" s="246"/>
      <c r="I46" s="246">
        <v>1400000000</v>
      </c>
    </row>
    <row r="47" spans="1:9">
      <c r="A47" s="604" t="s">
        <v>987</v>
      </c>
      <c r="B47" s="246"/>
      <c r="C47" s="246">
        <v>39000000</v>
      </c>
      <c r="D47" s="246"/>
      <c r="E47" s="246"/>
      <c r="F47" s="246"/>
      <c r="G47" s="246"/>
      <c r="H47" s="246"/>
      <c r="I47" s="246">
        <v>39000000</v>
      </c>
    </row>
    <row r="48" spans="1:9">
      <c r="A48" s="605" t="s">
        <v>988</v>
      </c>
      <c r="B48" s="246"/>
      <c r="C48" s="246">
        <v>39000000</v>
      </c>
      <c r="D48" s="246"/>
      <c r="E48" s="246"/>
      <c r="F48" s="246"/>
      <c r="G48" s="246"/>
      <c r="H48" s="246"/>
      <c r="I48" s="246">
        <v>39000000</v>
      </c>
    </row>
    <row r="49" spans="1:9">
      <c r="A49" s="604" t="s">
        <v>633</v>
      </c>
      <c r="B49" s="246"/>
      <c r="C49" s="246">
        <v>1650000000</v>
      </c>
      <c r="D49" s="246"/>
      <c r="E49" s="246"/>
      <c r="F49" s="246"/>
      <c r="G49" s="246"/>
      <c r="H49" s="246"/>
      <c r="I49" s="246">
        <v>1650000000</v>
      </c>
    </row>
    <row r="50" spans="1:9">
      <c r="A50" s="605" t="s">
        <v>634</v>
      </c>
      <c r="B50" s="246"/>
      <c r="C50" s="246">
        <v>1650000000</v>
      </c>
      <c r="D50" s="246"/>
      <c r="E50" s="246"/>
      <c r="F50" s="246"/>
      <c r="G50" s="246"/>
      <c r="H50" s="246"/>
      <c r="I50" s="246">
        <v>1650000000</v>
      </c>
    </row>
    <row r="51" spans="1:9">
      <c r="A51" s="604" t="s">
        <v>990</v>
      </c>
      <c r="B51" s="246"/>
      <c r="C51" s="246"/>
      <c r="D51" s="246"/>
      <c r="E51" s="246"/>
      <c r="F51" s="246"/>
      <c r="G51" s="246">
        <v>165000000</v>
      </c>
      <c r="H51" s="246"/>
      <c r="I51" s="246">
        <v>165000000</v>
      </c>
    </row>
    <row r="52" spans="1:9">
      <c r="A52" s="605" t="s">
        <v>991</v>
      </c>
      <c r="B52" s="246"/>
      <c r="C52" s="246"/>
      <c r="D52" s="246"/>
      <c r="E52" s="246"/>
      <c r="F52" s="246"/>
      <c r="G52" s="246">
        <v>165000000</v>
      </c>
      <c r="H52" s="246"/>
      <c r="I52" s="246">
        <v>165000000</v>
      </c>
    </row>
    <row r="53" spans="1:9">
      <c r="A53" s="604" t="s">
        <v>1002</v>
      </c>
      <c r="B53" s="246"/>
      <c r="C53" s="246"/>
      <c r="D53" s="246">
        <v>178000000</v>
      </c>
      <c r="E53" s="246"/>
      <c r="F53" s="246"/>
      <c r="G53" s="246"/>
      <c r="H53" s="246"/>
      <c r="I53" s="246">
        <v>178000000</v>
      </c>
    </row>
    <row r="54" spans="1:9">
      <c r="A54" s="605" t="s">
        <v>131</v>
      </c>
      <c r="B54" s="246"/>
      <c r="C54" s="246"/>
      <c r="D54" s="246">
        <v>178000000</v>
      </c>
      <c r="E54" s="246"/>
      <c r="F54" s="246"/>
      <c r="G54" s="246"/>
      <c r="H54" s="246"/>
      <c r="I54" s="246">
        <v>178000000</v>
      </c>
    </row>
    <row r="55" spans="1:9">
      <c r="A55" s="604" t="s">
        <v>117</v>
      </c>
      <c r="B55" s="246"/>
      <c r="C55" s="246"/>
      <c r="D55" s="246"/>
      <c r="E55" s="246">
        <v>135000000</v>
      </c>
      <c r="F55" s="246"/>
      <c r="G55" s="246"/>
      <c r="H55" s="246"/>
      <c r="I55" s="246">
        <v>135000000</v>
      </c>
    </row>
    <row r="56" spans="1:9">
      <c r="A56" s="605" t="s">
        <v>131</v>
      </c>
      <c r="B56" s="246"/>
      <c r="C56" s="246"/>
      <c r="D56" s="246"/>
      <c r="E56" s="246">
        <v>135000000</v>
      </c>
      <c r="F56" s="246"/>
      <c r="G56" s="246"/>
      <c r="H56" s="246"/>
      <c r="I56" s="246">
        <v>135000000</v>
      </c>
    </row>
    <row r="57" spans="1:9">
      <c r="A57" s="604" t="s">
        <v>992</v>
      </c>
      <c r="B57" s="246"/>
      <c r="C57" s="246"/>
      <c r="D57" s="246">
        <v>647000000</v>
      </c>
      <c r="E57" s="246"/>
      <c r="F57" s="246"/>
      <c r="G57" s="246"/>
      <c r="H57" s="246"/>
      <c r="I57" s="246">
        <v>647000000</v>
      </c>
    </row>
    <row r="58" spans="1:9">
      <c r="A58" s="605" t="s">
        <v>993</v>
      </c>
      <c r="B58" s="246"/>
      <c r="C58" s="246"/>
      <c r="D58" s="246">
        <v>647000000</v>
      </c>
      <c r="E58" s="246"/>
      <c r="F58" s="246"/>
      <c r="G58" s="246"/>
      <c r="H58" s="246"/>
      <c r="I58" s="246">
        <v>647000000</v>
      </c>
    </row>
    <row r="59" spans="1:9">
      <c r="A59" s="604" t="s">
        <v>1297</v>
      </c>
      <c r="B59" s="246"/>
      <c r="C59" s="246">
        <v>6000000000</v>
      </c>
      <c r="D59" s="246"/>
      <c r="E59" s="246"/>
      <c r="F59" s="246"/>
      <c r="G59" s="246"/>
      <c r="H59" s="246"/>
      <c r="I59" s="246">
        <v>6000000000</v>
      </c>
    </row>
    <row r="60" spans="1:9">
      <c r="A60" s="605" t="s">
        <v>131</v>
      </c>
      <c r="B60" s="246"/>
      <c r="C60" s="246">
        <v>6000000000</v>
      </c>
      <c r="D60" s="246"/>
      <c r="E60" s="246"/>
      <c r="F60" s="246"/>
      <c r="G60" s="246"/>
      <c r="H60" s="246"/>
      <c r="I60" s="246">
        <v>6000000000</v>
      </c>
    </row>
    <row r="61" spans="1:9">
      <c r="A61" s="603" t="s">
        <v>88</v>
      </c>
      <c r="B61" s="246"/>
      <c r="C61" s="246">
        <v>11000000</v>
      </c>
      <c r="D61" s="246"/>
      <c r="E61" s="246"/>
      <c r="F61" s="246"/>
      <c r="G61" s="246"/>
      <c r="H61" s="246"/>
      <c r="I61" s="246">
        <v>11000000</v>
      </c>
    </row>
    <row r="62" spans="1:9">
      <c r="A62" s="604" t="s">
        <v>1292</v>
      </c>
      <c r="B62" s="246"/>
      <c r="C62" s="246">
        <v>11000000</v>
      </c>
      <c r="D62" s="246"/>
      <c r="E62" s="246"/>
      <c r="F62" s="246"/>
      <c r="G62" s="246"/>
      <c r="H62" s="246"/>
      <c r="I62" s="246">
        <v>11000000</v>
      </c>
    </row>
    <row r="63" spans="1:9">
      <c r="A63" s="605" t="s">
        <v>88</v>
      </c>
      <c r="B63" s="246"/>
      <c r="C63" s="246">
        <v>11000000</v>
      </c>
      <c r="D63" s="246"/>
      <c r="E63" s="246"/>
      <c r="F63" s="246"/>
      <c r="G63" s="246"/>
      <c r="H63" s="246"/>
      <c r="I63" s="246">
        <v>11000000</v>
      </c>
    </row>
    <row r="64" spans="1:9">
      <c r="A64" s="603" t="s">
        <v>26</v>
      </c>
      <c r="B64" s="246">
        <v>1600000000</v>
      </c>
      <c r="C64" s="246">
        <v>3848000000</v>
      </c>
      <c r="D64" s="246">
        <v>4591483000</v>
      </c>
      <c r="E64" s="246"/>
      <c r="F64" s="246">
        <v>1465000000</v>
      </c>
      <c r="G64" s="246">
        <v>110250000</v>
      </c>
      <c r="H64" s="246"/>
      <c r="I64" s="246">
        <v>11614733000</v>
      </c>
    </row>
    <row r="65" spans="1:9">
      <c r="A65" s="604" t="s">
        <v>742</v>
      </c>
      <c r="B65" s="246"/>
      <c r="C65" s="246"/>
      <c r="D65" s="246">
        <v>416158000</v>
      </c>
      <c r="E65" s="246"/>
      <c r="F65" s="246"/>
      <c r="G65" s="246"/>
      <c r="H65" s="246"/>
      <c r="I65" s="246">
        <v>416158000</v>
      </c>
    </row>
    <row r="66" spans="1:9">
      <c r="A66" s="605" t="s">
        <v>743</v>
      </c>
      <c r="B66" s="246"/>
      <c r="C66" s="246"/>
      <c r="D66" s="246">
        <v>416158000</v>
      </c>
      <c r="E66" s="246"/>
      <c r="F66" s="246"/>
      <c r="G66" s="246"/>
      <c r="H66" s="246"/>
      <c r="I66" s="246">
        <v>416158000</v>
      </c>
    </row>
    <row r="67" spans="1:9">
      <c r="A67" s="604" t="s">
        <v>1000</v>
      </c>
      <c r="B67" s="246"/>
      <c r="C67" s="246"/>
      <c r="D67" s="246"/>
      <c r="E67" s="246"/>
      <c r="F67" s="246">
        <v>1385000000</v>
      </c>
      <c r="G67" s="246"/>
      <c r="H67" s="246"/>
      <c r="I67" s="246">
        <v>1385000000</v>
      </c>
    </row>
    <row r="68" spans="1:9">
      <c r="A68" s="605" t="s">
        <v>131</v>
      </c>
      <c r="B68" s="246"/>
      <c r="C68" s="246"/>
      <c r="D68" s="246"/>
      <c r="E68" s="246"/>
      <c r="F68" s="246">
        <v>1385000000</v>
      </c>
      <c r="G68" s="246"/>
      <c r="H68" s="246"/>
      <c r="I68" s="246">
        <v>1385000000</v>
      </c>
    </row>
    <row r="69" spans="1:9">
      <c r="A69" s="604" t="s">
        <v>671</v>
      </c>
      <c r="B69" s="246"/>
      <c r="C69" s="246"/>
      <c r="D69" s="246"/>
      <c r="E69" s="246"/>
      <c r="F69" s="246"/>
      <c r="G69" s="246">
        <v>110250000</v>
      </c>
      <c r="H69" s="246"/>
      <c r="I69" s="246">
        <v>110250000</v>
      </c>
    </row>
    <row r="70" spans="1:9">
      <c r="A70" s="605" t="s">
        <v>672</v>
      </c>
      <c r="B70" s="246"/>
      <c r="C70" s="246"/>
      <c r="D70" s="246"/>
      <c r="E70" s="246"/>
      <c r="F70" s="246"/>
      <c r="G70" s="246">
        <v>110250000</v>
      </c>
      <c r="H70" s="246"/>
      <c r="I70" s="246">
        <v>110250000</v>
      </c>
    </row>
    <row r="71" spans="1:9">
      <c r="A71" s="604" t="s">
        <v>776</v>
      </c>
      <c r="B71" s="246"/>
      <c r="C71" s="246"/>
      <c r="D71" s="246">
        <v>3423325000</v>
      </c>
      <c r="E71" s="246"/>
      <c r="F71" s="246"/>
      <c r="G71" s="246"/>
      <c r="H71" s="246"/>
      <c r="I71" s="246">
        <v>3423325000</v>
      </c>
    </row>
    <row r="72" spans="1:9">
      <c r="A72" s="605" t="s">
        <v>777</v>
      </c>
      <c r="B72" s="246"/>
      <c r="C72" s="246"/>
      <c r="D72" s="246">
        <v>3423325000</v>
      </c>
      <c r="E72" s="246"/>
      <c r="F72" s="246"/>
      <c r="G72" s="246"/>
      <c r="H72" s="246"/>
      <c r="I72" s="246">
        <v>3423325000</v>
      </c>
    </row>
    <row r="73" spans="1:9">
      <c r="A73" s="604" t="s">
        <v>996</v>
      </c>
      <c r="B73" s="246">
        <v>1600000000</v>
      </c>
      <c r="C73" s="246"/>
      <c r="D73" s="246"/>
      <c r="E73" s="246"/>
      <c r="F73" s="246"/>
      <c r="G73" s="246"/>
      <c r="H73" s="246"/>
      <c r="I73" s="246">
        <v>1600000000</v>
      </c>
    </row>
    <row r="74" spans="1:9">
      <c r="A74" s="605" t="s">
        <v>997</v>
      </c>
      <c r="B74" s="246">
        <v>1600000000</v>
      </c>
      <c r="C74" s="246"/>
      <c r="D74" s="246"/>
      <c r="E74" s="246"/>
      <c r="F74" s="246"/>
      <c r="G74" s="246"/>
      <c r="H74" s="246"/>
      <c r="I74" s="246">
        <v>1600000000</v>
      </c>
    </row>
    <row r="75" spans="1:9">
      <c r="A75" s="604" t="s">
        <v>739</v>
      </c>
      <c r="B75" s="246"/>
      <c r="C75" s="246">
        <v>1049000000</v>
      </c>
      <c r="D75" s="246"/>
      <c r="E75" s="246"/>
      <c r="F75" s="246"/>
      <c r="G75" s="246"/>
      <c r="H75" s="246"/>
      <c r="I75" s="246">
        <v>1049000000</v>
      </c>
    </row>
    <row r="76" spans="1:9">
      <c r="A76" s="605" t="s">
        <v>740</v>
      </c>
      <c r="B76" s="246"/>
      <c r="C76" s="246">
        <v>1049000000</v>
      </c>
      <c r="D76" s="246"/>
      <c r="E76" s="246"/>
      <c r="F76" s="246"/>
      <c r="G76" s="246"/>
      <c r="H76" s="246"/>
      <c r="I76" s="246">
        <v>1049000000</v>
      </c>
    </row>
    <row r="77" spans="1:9">
      <c r="A77" s="604" t="s">
        <v>635</v>
      </c>
      <c r="B77" s="246"/>
      <c r="C77" s="246">
        <v>2650000000</v>
      </c>
      <c r="D77" s="246"/>
      <c r="E77" s="246"/>
      <c r="F77" s="246"/>
      <c r="G77" s="246"/>
      <c r="H77" s="246"/>
      <c r="I77" s="246">
        <v>2650000000</v>
      </c>
    </row>
    <row r="78" spans="1:9">
      <c r="A78" s="605" t="s">
        <v>636</v>
      </c>
      <c r="B78" s="246"/>
      <c r="C78" s="246">
        <v>2650000000</v>
      </c>
      <c r="D78" s="246"/>
      <c r="E78" s="246"/>
      <c r="F78" s="246"/>
      <c r="G78" s="246"/>
      <c r="H78" s="246"/>
      <c r="I78" s="246">
        <v>2650000000</v>
      </c>
    </row>
    <row r="79" spans="1:9">
      <c r="A79" s="604" t="s">
        <v>1298</v>
      </c>
      <c r="B79" s="246"/>
      <c r="C79" s="246"/>
      <c r="D79" s="246"/>
      <c r="E79" s="246"/>
      <c r="F79" s="246">
        <v>80000000</v>
      </c>
      <c r="G79" s="246"/>
      <c r="H79" s="246"/>
      <c r="I79" s="246">
        <v>80000000</v>
      </c>
    </row>
    <row r="80" spans="1:9">
      <c r="A80" s="605" t="s">
        <v>243</v>
      </c>
      <c r="B80" s="246"/>
      <c r="C80" s="246"/>
      <c r="D80" s="246"/>
      <c r="E80" s="246"/>
      <c r="F80" s="246">
        <v>80000000</v>
      </c>
      <c r="G80" s="246"/>
      <c r="H80" s="246"/>
      <c r="I80" s="246">
        <v>80000000</v>
      </c>
    </row>
    <row r="81" spans="1:9">
      <c r="A81" s="604" t="s">
        <v>1301</v>
      </c>
      <c r="B81" s="246"/>
      <c r="C81" s="246"/>
      <c r="D81" s="246">
        <v>752000000</v>
      </c>
      <c r="E81" s="246"/>
      <c r="F81" s="246"/>
      <c r="G81" s="246"/>
      <c r="H81" s="246"/>
      <c r="I81" s="246">
        <v>752000000</v>
      </c>
    </row>
    <row r="82" spans="1:9">
      <c r="A82" s="605" t="s">
        <v>243</v>
      </c>
      <c r="B82" s="246"/>
      <c r="C82" s="246"/>
      <c r="D82" s="246">
        <v>752000000</v>
      </c>
      <c r="E82" s="246"/>
      <c r="F82" s="246"/>
      <c r="G82" s="246"/>
      <c r="H82" s="246"/>
      <c r="I82" s="246">
        <v>752000000</v>
      </c>
    </row>
    <row r="83" spans="1:9">
      <c r="A83" s="604" t="s">
        <v>1302</v>
      </c>
      <c r="B83" s="246"/>
      <c r="C83" s="246">
        <v>149000000</v>
      </c>
      <c r="D83" s="246"/>
      <c r="E83" s="246"/>
      <c r="F83" s="246"/>
      <c r="G83" s="246"/>
      <c r="H83" s="246"/>
      <c r="I83" s="246">
        <v>149000000</v>
      </c>
    </row>
    <row r="84" spans="1:9">
      <c r="A84" s="605" t="s">
        <v>26</v>
      </c>
      <c r="B84" s="246"/>
      <c r="C84" s="246">
        <v>149000000</v>
      </c>
      <c r="D84" s="246"/>
      <c r="E84" s="246"/>
      <c r="F84" s="246"/>
      <c r="G84" s="246"/>
      <c r="H84" s="246"/>
      <c r="I84" s="246">
        <v>149000000</v>
      </c>
    </row>
    <row r="85" spans="1:9">
      <c r="A85" s="602" t="s">
        <v>103</v>
      </c>
      <c r="B85" s="246">
        <v>735000000</v>
      </c>
      <c r="C85" s="246">
        <v>687000000</v>
      </c>
      <c r="D85" s="246"/>
      <c r="E85" s="246"/>
      <c r="F85" s="246">
        <v>2800000000</v>
      </c>
      <c r="G85" s="246">
        <v>1300000000</v>
      </c>
      <c r="H85" s="246">
        <v>3000000000</v>
      </c>
      <c r="I85" s="246">
        <v>8522000000</v>
      </c>
    </row>
    <row r="86" spans="1:9">
      <c r="A86" s="603" t="s">
        <v>33</v>
      </c>
      <c r="B86" s="246"/>
      <c r="C86" s="246">
        <v>687000000</v>
      </c>
      <c r="D86" s="246"/>
      <c r="E86" s="246"/>
      <c r="F86" s="246"/>
      <c r="G86" s="246"/>
      <c r="H86" s="246"/>
      <c r="I86" s="246">
        <v>687000000</v>
      </c>
    </row>
    <row r="87" spans="1:9">
      <c r="A87" s="604" t="s">
        <v>729</v>
      </c>
      <c r="B87" s="246"/>
      <c r="C87" s="246">
        <v>687000000</v>
      </c>
      <c r="D87" s="246"/>
      <c r="E87" s="246"/>
      <c r="F87" s="246"/>
      <c r="G87" s="246"/>
      <c r="H87" s="246"/>
      <c r="I87" s="246">
        <v>687000000</v>
      </c>
    </row>
    <row r="88" spans="1:9">
      <c r="A88" s="605" t="s">
        <v>33</v>
      </c>
      <c r="B88" s="246"/>
      <c r="C88" s="246">
        <v>687000000</v>
      </c>
      <c r="D88" s="246"/>
      <c r="E88" s="246"/>
      <c r="F88" s="246"/>
      <c r="G88" s="246"/>
      <c r="H88" s="246"/>
      <c r="I88" s="246">
        <v>687000000</v>
      </c>
    </row>
    <row r="89" spans="1:9">
      <c r="A89" s="603" t="s">
        <v>26</v>
      </c>
      <c r="B89" s="246">
        <v>735000000</v>
      </c>
      <c r="C89" s="246"/>
      <c r="D89" s="246"/>
      <c r="E89" s="246"/>
      <c r="F89" s="246">
        <v>2800000000</v>
      </c>
      <c r="G89" s="246">
        <v>1300000000</v>
      </c>
      <c r="H89" s="246">
        <v>3000000000</v>
      </c>
      <c r="I89" s="246">
        <v>7835000000</v>
      </c>
    </row>
    <row r="90" spans="1:9">
      <c r="A90" s="604" t="s">
        <v>824</v>
      </c>
      <c r="B90" s="246"/>
      <c r="C90" s="246"/>
      <c r="D90" s="246"/>
      <c r="E90" s="246"/>
      <c r="F90" s="246"/>
      <c r="G90" s="246">
        <v>1300000000</v>
      </c>
      <c r="H90" s="246"/>
      <c r="I90" s="246">
        <v>1300000000</v>
      </c>
    </row>
    <row r="91" spans="1:9">
      <c r="A91" s="605" t="s">
        <v>825</v>
      </c>
      <c r="B91" s="246"/>
      <c r="C91" s="246"/>
      <c r="D91" s="246"/>
      <c r="E91" s="246"/>
      <c r="F91" s="246"/>
      <c r="G91" s="246">
        <v>1300000000</v>
      </c>
      <c r="H91" s="246"/>
      <c r="I91" s="246">
        <v>1300000000</v>
      </c>
    </row>
    <row r="92" spans="1:9">
      <c r="A92" s="604" t="s">
        <v>809</v>
      </c>
      <c r="B92" s="246">
        <v>350000000</v>
      </c>
      <c r="C92" s="246"/>
      <c r="D92" s="246"/>
      <c r="E92" s="246"/>
      <c r="F92" s="246"/>
      <c r="G92" s="246"/>
      <c r="H92" s="246"/>
      <c r="I92" s="246">
        <v>350000000</v>
      </c>
    </row>
    <row r="93" spans="1:9">
      <c r="A93" s="605" t="s">
        <v>810</v>
      </c>
      <c r="B93" s="246">
        <v>350000000</v>
      </c>
      <c r="C93" s="246"/>
      <c r="D93" s="246"/>
      <c r="E93" s="246"/>
      <c r="F93" s="246"/>
      <c r="G93" s="246"/>
      <c r="H93" s="246"/>
      <c r="I93" s="246">
        <v>350000000</v>
      </c>
    </row>
    <row r="94" spans="1:9">
      <c r="A94" s="604" t="s">
        <v>698</v>
      </c>
      <c r="B94" s="246"/>
      <c r="C94" s="246"/>
      <c r="D94" s="246"/>
      <c r="E94" s="246"/>
      <c r="F94" s="246">
        <v>1400000000</v>
      </c>
      <c r="G94" s="246"/>
      <c r="H94" s="246"/>
      <c r="I94" s="246">
        <v>1400000000</v>
      </c>
    </row>
    <row r="95" spans="1:9">
      <c r="A95" s="605" t="s">
        <v>26</v>
      </c>
      <c r="B95" s="246"/>
      <c r="C95" s="246"/>
      <c r="D95" s="246"/>
      <c r="E95" s="246"/>
      <c r="F95" s="246">
        <v>1400000000</v>
      </c>
      <c r="G95" s="246"/>
      <c r="H95" s="246"/>
      <c r="I95" s="246">
        <v>1400000000</v>
      </c>
    </row>
    <row r="96" spans="1:9">
      <c r="A96" s="604" t="s">
        <v>713</v>
      </c>
      <c r="B96" s="246"/>
      <c r="C96" s="246"/>
      <c r="D96" s="246"/>
      <c r="E96" s="246"/>
      <c r="F96" s="246"/>
      <c r="G96" s="246"/>
      <c r="H96" s="246">
        <v>3000000000</v>
      </c>
      <c r="I96" s="246">
        <v>3000000000</v>
      </c>
    </row>
    <row r="97" spans="1:9">
      <c r="A97" s="605" t="s">
        <v>26</v>
      </c>
      <c r="B97" s="246"/>
      <c r="C97" s="246"/>
      <c r="D97" s="246"/>
      <c r="E97" s="246"/>
      <c r="F97" s="246"/>
      <c r="G97" s="246"/>
      <c r="H97" s="246">
        <v>3000000000</v>
      </c>
      <c r="I97" s="246">
        <v>3000000000</v>
      </c>
    </row>
    <row r="98" spans="1:9">
      <c r="A98" s="604" t="s">
        <v>816</v>
      </c>
      <c r="B98" s="246"/>
      <c r="C98" s="246"/>
      <c r="D98" s="246"/>
      <c r="E98" s="246"/>
      <c r="F98" s="246">
        <v>1400000000</v>
      </c>
      <c r="G98" s="246"/>
      <c r="H98" s="246"/>
      <c r="I98" s="246">
        <v>1400000000</v>
      </c>
    </row>
    <row r="99" spans="1:9">
      <c r="A99" s="605" t="s">
        <v>26</v>
      </c>
      <c r="B99" s="246"/>
      <c r="C99" s="246"/>
      <c r="D99" s="246"/>
      <c r="E99" s="246"/>
      <c r="F99" s="246">
        <v>1400000000</v>
      </c>
      <c r="G99" s="246"/>
      <c r="H99" s="246"/>
      <c r="I99" s="246">
        <v>1400000000</v>
      </c>
    </row>
    <row r="100" spans="1:9">
      <c r="A100" s="604" t="s">
        <v>1018</v>
      </c>
      <c r="B100" s="246">
        <v>385000000</v>
      </c>
      <c r="C100" s="246"/>
      <c r="D100" s="246"/>
      <c r="E100" s="246"/>
      <c r="F100" s="246"/>
      <c r="G100" s="246"/>
      <c r="H100" s="246"/>
      <c r="I100" s="246">
        <v>385000000</v>
      </c>
    </row>
    <row r="101" spans="1:9">
      <c r="A101" s="605" t="s">
        <v>33</v>
      </c>
      <c r="B101" s="246">
        <v>385000000</v>
      </c>
      <c r="C101" s="246"/>
      <c r="D101" s="246"/>
      <c r="E101" s="246"/>
      <c r="F101" s="246"/>
      <c r="G101" s="246"/>
      <c r="H101" s="246"/>
      <c r="I101" s="246">
        <v>385000000</v>
      </c>
    </row>
    <row r="102" spans="1:9">
      <c r="A102" s="407" t="s">
        <v>24</v>
      </c>
      <c r="B102" s="246">
        <v>10755190000</v>
      </c>
      <c r="C102" s="246">
        <v>18084980000</v>
      </c>
      <c r="D102" s="246">
        <v>20387489000</v>
      </c>
      <c r="E102" s="246">
        <v>3019980000</v>
      </c>
      <c r="F102" s="246">
        <v>14187952700</v>
      </c>
      <c r="G102" s="246">
        <v>3401290000</v>
      </c>
      <c r="H102" s="246">
        <v>1460000000</v>
      </c>
      <c r="I102" s="246">
        <v>71296881700</v>
      </c>
    </row>
    <row r="103" spans="1:9">
      <c r="A103" s="602" t="s">
        <v>170</v>
      </c>
      <c r="B103" s="246">
        <v>590000000</v>
      </c>
      <c r="C103" s="246">
        <v>3900500000</v>
      </c>
      <c r="D103" s="246">
        <v>2243000000</v>
      </c>
      <c r="E103" s="246">
        <v>1874000000</v>
      </c>
      <c r="F103" s="246"/>
      <c r="G103" s="246">
        <v>1786270000</v>
      </c>
      <c r="H103" s="246"/>
      <c r="I103" s="246">
        <v>10393770000</v>
      </c>
    </row>
    <row r="104" spans="1:9">
      <c r="A104" s="603" t="s">
        <v>1211</v>
      </c>
      <c r="B104" s="246"/>
      <c r="C104" s="246"/>
      <c r="D104" s="246"/>
      <c r="E104" s="246"/>
      <c r="F104" s="246"/>
      <c r="G104" s="246">
        <v>150000000</v>
      </c>
      <c r="H104" s="246"/>
      <c r="I104" s="246">
        <v>150000000</v>
      </c>
    </row>
    <row r="105" spans="1:9">
      <c r="A105" s="604" t="s">
        <v>1213</v>
      </c>
      <c r="B105" s="246"/>
      <c r="C105" s="246"/>
      <c r="D105" s="246"/>
      <c r="E105" s="246"/>
      <c r="F105" s="246"/>
      <c r="G105" s="246">
        <v>150000000</v>
      </c>
      <c r="H105" s="246"/>
      <c r="I105" s="246">
        <v>150000000</v>
      </c>
    </row>
    <row r="106" spans="1:9">
      <c r="A106" s="605" t="s">
        <v>1214</v>
      </c>
      <c r="B106" s="246"/>
      <c r="C106" s="246"/>
      <c r="D106" s="246"/>
      <c r="E106" s="246"/>
      <c r="F106" s="246"/>
      <c r="G106" s="246">
        <v>150000000</v>
      </c>
      <c r="H106" s="246"/>
      <c r="I106" s="246">
        <v>150000000</v>
      </c>
    </row>
    <row r="107" spans="1:9">
      <c r="A107" s="603" t="s">
        <v>33</v>
      </c>
      <c r="B107" s="246"/>
      <c r="C107" s="246">
        <v>212900000</v>
      </c>
      <c r="D107" s="246"/>
      <c r="E107" s="246"/>
      <c r="F107" s="246"/>
      <c r="G107" s="246">
        <v>56000000</v>
      </c>
      <c r="H107" s="246"/>
      <c r="I107" s="246">
        <v>268900000</v>
      </c>
    </row>
    <row r="108" spans="1:9">
      <c r="A108" s="604" t="s">
        <v>1207</v>
      </c>
      <c r="B108" s="246"/>
      <c r="C108" s="246"/>
      <c r="D108" s="246"/>
      <c r="E108" s="246"/>
      <c r="F108" s="246"/>
      <c r="G108" s="246">
        <v>56000000</v>
      </c>
      <c r="H108" s="246"/>
      <c r="I108" s="246">
        <v>56000000</v>
      </c>
    </row>
    <row r="109" spans="1:9">
      <c r="A109" s="605" t="s">
        <v>1208</v>
      </c>
      <c r="B109" s="246"/>
      <c r="C109" s="246"/>
      <c r="D109" s="246"/>
      <c r="E109" s="246"/>
      <c r="F109" s="246"/>
      <c r="G109" s="246">
        <v>56000000</v>
      </c>
      <c r="H109" s="246"/>
      <c r="I109" s="246">
        <v>56000000</v>
      </c>
    </row>
    <row r="110" spans="1:9">
      <c r="A110" s="604" t="s">
        <v>1310</v>
      </c>
      <c r="B110" s="246"/>
      <c r="C110" s="246">
        <v>91900000</v>
      </c>
      <c r="D110" s="246"/>
      <c r="E110" s="246"/>
      <c r="F110" s="246"/>
      <c r="G110" s="246"/>
      <c r="H110" s="246"/>
      <c r="I110" s="246">
        <v>91900000</v>
      </c>
    </row>
    <row r="111" spans="1:9">
      <c r="A111" s="605" t="s">
        <v>1311</v>
      </c>
      <c r="B111" s="246"/>
      <c r="C111" s="246">
        <v>91900000</v>
      </c>
      <c r="D111" s="246"/>
      <c r="E111" s="246"/>
      <c r="F111" s="246"/>
      <c r="G111" s="246"/>
      <c r="H111" s="246"/>
      <c r="I111" s="246">
        <v>91900000</v>
      </c>
    </row>
    <row r="112" spans="1:9">
      <c r="A112" s="604" t="s">
        <v>1357</v>
      </c>
      <c r="B112" s="246"/>
      <c r="C112" s="246">
        <v>121000000</v>
      </c>
      <c r="D112" s="246"/>
      <c r="E112" s="246"/>
      <c r="F112" s="246"/>
      <c r="G112" s="246"/>
      <c r="H112" s="246"/>
      <c r="I112" s="246">
        <v>121000000</v>
      </c>
    </row>
    <row r="113" spans="1:9">
      <c r="A113" s="605" t="s">
        <v>1311</v>
      </c>
      <c r="B113" s="246"/>
      <c r="C113" s="246">
        <v>121000000</v>
      </c>
      <c r="D113" s="246"/>
      <c r="E113" s="246"/>
      <c r="F113" s="246"/>
      <c r="G113" s="246"/>
      <c r="H113" s="246"/>
      <c r="I113" s="246">
        <v>121000000</v>
      </c>
    </row>
    <row r="114" spans="1:9">
      <c r="A114" s="603" t="s">
        <v>26</v>
      </c>
      <c r="B114" s="246"/>
      <c r="C114" s="246">
        <v>3687600000</v>
      </c>
      <c r="D114" s="246">
        <v>2243000000</v>
      </c>
      <c r="E114" s="246">
        <v>1874000000</v>
      </c>
      <c r="F114" s="246"/>
      <c r="G114" s="246">
        <v>1580270000</v>
      </c>
      <c r="H114" s="246"/>
      <c r="I114" s="246">
        <v>9384870000</v>
      </c>
    </row>
    <row r="115" spans="1:9">
      <c r="A115" s="604" t="s">
        <v>1104</v>
      </c>
      <c r="B115" s="246"/>
      <c r="C115" s="246"/>
      <c r="D115" s="246"/>
      <c r="E115" s="246"/>
      <c r="F115" s="246"/>
      <c r="G115" s="246">
        <v>1378120000</v>
      </c>
      <c r="H115" s="246"/>
      <c r="I115" s="246">
        <v>1378120000</v>
      </c>
    </row>
    <row r="116" spans="1:9">
      <c r="A116" s="605" t="s">
        <v>1105</v>
      </c>
      <c r="B116" s="246"/>
      <c r="C116" s="246"/>
      <c r="D116" s="246"/>
      <c r="E116" s="246"/>
      <c r="F116" s="246"/>
      <c r="G116" s="246">
        <v>1378120000</v>
      </c>
      <c r="H116" s="246"/>
      <c r="I116" s="246">
        <v>1378120000</v>
      </c>
    </row>
    <row r="117" spans="1:9">
      <c r="A117" s="604" t="s">
        <v>1073</v>
      </c>
      <c r="B117" s="246"/>
      <c r="C117" s="246"/>
      <c r="D117" s="246"/>
      <c r="E117" s="246"/>
      <c r="F117" s="246"/>
      <c r="G117" s="246">
        <v>136400000</v>
      </c>
      <c r="H117" s="246"/>
      <c r="I117" s="246">
        <v>136400000</v>
      </c>
    </row>
    <row r="118" spans="1:9">
      <c r="A118" s="605" t="s">
        <v>1081</v>
      </c>
      <c r="B118" s="246"/>
      <c r="C118" s="246"/>
      <c r="D118" s="246"/>
      <c r="E118" s="246"/>
      <c r="F118" s="246"/>
      <c r="G118" s="246">
        <v>136400000</v>
      </c>
      <c r="H118" s="246"/>
      <c r="I118" s="246">
        <v>136400000</v>
      </c>
    </row>
    <row r="119" spans="1:9">
      <c r="A119" s="604" t="s">
        <v>1106</v>
      </c>
      <c r="B119" s="246"/>
      <c r="C119" s="246"/>
      <c r="D119" s="246"/>
      <c r="E119" s="246"/>
      <c r="F119" s="246"/>
      <c r="G119" s="246">
        <v>65750000</v>
      </c>
      <c r="H119" s="246"/>
      <c r="I119" s="246">
        <v>65750000</v>
      </c>
    </row>
    <row r="120" spans="1:9">
      <c r="A120" s="605" t="s">
        <v>1107</v>
      </c>
      <c r="B120" s="246"/>
      <c r="C120" s="246"/>
      <c r="D120" s="246"/>
      <c r="E120" s="246"/>
      <c r="F120" s="246"/>
      <c r="G120" s="246">
        <v>65750000</v>
      </c>
      <c r="H120" s="246"/>
      <c r="I120" s="246">
        <v>65750000</v>
      </c>
    </row>
    <row r="121" spans="1:9">
      <c r="A121" s="604" t="s">
        <v>1259</v>
      </c>
      <c r="B121" s="246"/>
      <c r="C121" s="246">
        <v>1687600000</v>
      </c>
      <c r="D121" s="246"/>
      <c r="E121" s="246"/>
      <c r="F121" s="246"/>
      <c r="G121" s="246"/>
      <c r="H121" s="246"/>
      <c r="I121" s="246">
        <v>1687600000</v>
      </c>
    </row>
    <row r="122" spans="1:9">
      <c r="A122" s="605" t="s">
        <v>1260</v>
      </c>
      <c r="B122" s="246"/>
      <c r="C122" s="246">
        <v>1687600000</v>
      </c>
      <c r="D122" s="246"/>
      <c r="E122" s="246"/>
      <c r="F122" s="246"/>
      <c r="G122" s="246"/>
      <c r="H122" s="246"/>
      <c r="I122" s="246">
        <v>1687600000</v>
      </c>
    </row>
    <row r="123" spans="1:9">
      <c r="A123" s="604" t="s">
        <v>1304</v>
      </c>
      <c r="B123" s="246"/>
      <c r="C123" s="246"/>
      <c r="D123" s="246">
        <v>220000000</v>
      </c>
      <c r="E123" s="246"/>
      <c r="F123" s="246"/>
      <c r="G123" s="246"/>
      <c r="H123" s="246"/>
      <c r="I123" s="246">
        <v>220000000</v>
      </c>
    </row>
    <row r="124" spans="1:9">
      <c r="A124" s="605" t="s">
        <v>1260</v>
      </c>
      <c r="B124" s="246"/>
      <c r="C124" s="246"/>
      <c r="D124" s="246">
        <v>220000000</v>
      </c>
      <c r="E124" s="246"/>
      <c r="F124" s="246"/>
      <c r="G124" s="246"/>
      <c r="H124" s="246"/>
      <c r="I124" s="246">
        <v>220000000</v>
      </c>
    </row>
    <row r="125" spans="1:9">
      <c r="A125" s="604" t="s">
        <v>1307</v>
      </c>
      <c r="B125" s="246"/>
      <c r="C125" s="246"/>
      <c r="D125" s="246"/>
      <c r="E125" s="246">
        <v>1874000000</v>
      </c>
      <c r="F125" s="246"/>
      <c r="G125" s="246"/>
      <c r="H125" s="246"/>
      <c r="I125" s="246">
        <v>1874000000</v>
      </c>
    </row>
    <row r="126" spans="1:9">
      <c r="A126" s="605" t="s">
        <v>1260</v>
      </c>
      <c r="B126" s="246"/>
      <c r="C126" s="246"/>
      <c r="D126" s="246"/>
      <c r="E126" s="246">
        <v>1874000000</v>
      </c>
      <c r="F126" s="246"/>
      <c r="G126" s="246"/>
      <c r="H126" s="246"/>
      <c r="I126" s="246">
        <v>1874000000</v>
      </c>
    </row>
    <row r="127" spans="1:9">
      <c r="A127" s="604" t="s">
        <v>1370</v>
      </c>
      <c r="B127" s="246"/>
      <c r="C127" s="246">
        <v>2000000000</v>
      </c>
      <c r="D127" s="246"/>
      <c r="E127" s="246"/>
      <c r="F127" s="246"/>
      <c r="G127" s="246"/>
      <c r="H127" s="246"/>
      <c r="I127" s="246">
        <v>2000000000</v>
      </c>
    </row>
    <row r="128" spans="1:9">
      <c r="A128" s="605" t="s">
        <v>1260</v>
      </c>
      <c r="B128" s="246"/>
      <c r="C128" s="246">
        <v>2000000000</v>
      </c>
      <c r="D128" s="246"/>
      <c r="E128" s="246"/>
      <c r="F128" s="246"/>
      <c r="G128" s="246"/>
      <c r="H128" s="246"/>
      <c r="I128" s="246">
        <v>2000000000</v>
      </c>
    </row>
    <row r="129" spans="1:9">
      <c r="A129" s="604" t="s">
        <v>1373</v>
      </c>
      <c r="B129" s="246"/>
      <c r="C129" s="246"/>
      <c r="D129" s="246">
        <v>2023000000</v>
      </c>
      <c r="E129" s="246"/>
      <c r="F129" s="246"/>
      <c r="G129" s="246"/>
      <c r="H129" s="246"/>
      <c r="I129" s="246">
        <v>2023000000</v>
      </c>
    </row>
    <row r="130" spans="1:9">
      <c r="A130" s="605" t="s">
        <v>1323</v>
      </c>
      <c r="B130" s="246"/>
      <c r="C130" s="246"/>
      <c r="D130" s="246">
        <v>2023000000</v>
      </c>
      <c r="E130" s="246"/>
      <c r="F130" s="246"/>
      <c r="G130" s="246"/>
      <c r="H130" s="246"/>
      <c r="I130" s="246">
        <v>2023000000</v>
      </c>
    </row>
    <row r="131" spans="1:9">
      <c r="A131" s="603" t="s">
        <v>1355</v>
      </c>
      <c r="B131" s="246">
        <v>590000000</v>
      </c>
      <c r="C131" s="246"/>
      <c r="D131" s="246"/>
      <c r="E131" s="246"/>
      <c r="F131" s="246"/>
      <c r="G131" s="246"/>
      <c r="H131" s="246"/>
      <c r="I131" s="246">
        <v>590000000</v>
      </c>
    </row>
    <row r="132" spans="1:9">
      <c r="A132" s="604" t="s">
        <v>1360</v>
      </c>
      <c r="B132" s="246">
        <v>590000000</v>
      </c>
      <c r="C132" s="246"/>
      <c r="D132" s="246"/>
      <c r="E132" s="246"/>
      <c r="F132" s="246"/>
      <c r="G132" s="246"/>
      <c r="H132" s="246"/>
      <c r="I132" s="246">
        <v>590000000</v>
      </c>
    </row>
    <row r="133" spans="1:9">
      <c r="A133" s="605" t="s">
        <v>1353</v>
      </c>
      <c r="B133" s="246">
        <v>590000000</v>
      </c>
      <c r="C133" s="246"/>
      <c r="D133" s="246"/>
      <c r="E133" s="246"/>
      <c r="F133" s="246"/>
      <c r="G133" s="246"/>
      <c r="H133" s="246"/>
      <c r="I133" s="246">
        <v>590000000</v>
      </c>
    </row>
    <row r="134" spans="1:9">
      <c r="A134" s="602" t="s">
        <v>204</v>
      </c>
      <c r="B134" s="246">
        <v>169190000</v>
      </c>
      <c r="C134" s="246"/>
      <c r="D134" s="246"/>
      <c r="E134" s="246"/>
      <c r="F134" s="246"/>
      <c r="G134" s="246"/>
      <c r="H134" s="246"/>
      <c r="I134" s="246">
        <v>169190000</v>
      </c>
    </row>
    <row r="135" spans="1:9">
      <c r="A135" s="603" t="s">
        <v>33</v>
      </c>
      <c r="B135" s="246">
        <v>169190000</v>
      </c>
      <c r="C135" s="246"/>
      <c r="D135" s="246"/>
      <c r="E135" s="246"/>
      <c r="F135" s="246"/>
      <c r="G135" s="246"/>
      <c r="H135" s="246"/>
      <c r="I135" s="246">
        <v>169190000</v>
      </c>
    </row>
    <row r="136" spans="1:9">
      <c r="A136" s="604" t="s">
        <v>1378</v>
      </c>
      <c r="B136" s="246">
        <v>169190000</v>
      </c>
      <c r="C136" s="246"/>
      <c r="D136" s="246"/>
      <c r="E136" s="246"/>
      <c r="F136" s="246"/>
      <c r="G136" s="246"/>
      <c r="H136" s="246"/>
      <c r="I136" s="246">
        <v>169190000</v>
      </c>
    </row>
    <row r="137" spans="1:9">
      <c r="A137" s="605" t="s">
        <v>1379</v>
      </c>
      <c r="B137" s="246">
        <v>169190000</v>
      </c>
      <c r="C137" s="246"/>
      <c r="D137" s="246"/>
      <c r="E137" s="246"/>
      <c r="F137" s="246"/>
      <c r="G137" s="246"/>
      <c r="H137" s="246"/>
      <c r="I137" s="246">
        <v>169190000</v>
      </c>
    </row>
    <row r="138" spans="1:9">
      <c r="A138" s="602" t="s">
        <v>153</v>
      </c>
      <c r="B138" s="246">
        <v>6471000000</v>
      </c>
      <c r="C138" s="246"/>
      <c r="D138" s="246">
        <v>2479539000</v>
      </c>
      <c r="E138" s="246">
        <v>743000000</v>
      </c>
      <c r="F138" s="246">
        <v>7027267700</v>
      </c>
      <c r="G138" s="246"/>
      <c r="H138" s="246">
        <v>1460000000</v>
      </c>
      <c r="I138" s="246">
        <v>18180806700</v>
      </c>
    </row>
    <row r="139" spans="1:9">
      <c r="A139" s="603" t="s">
        <v>33</v>
      </c>
      <c r="B139" s="246">
        <v>6471000000</v>
      </c>
      <c r="C139" s="246"/>
      <c r="D139" s="246">
        <v>2479539000</v>
      </c>
      <c r="E139" s="246">
        <v>743000000</v>
      </c>
      <c r="F139" s="246"/>
      <c r="G139" s="246"/>
      <c r="H139" s="246"/>
      <c r="I139" s="246">
        <v>9693539000</v>
      </c>
    </row>
    <row r="140" spans="1:9">
      <c r="A140" s="604" t="s">
        <v>516</v>
      </c>
      <c r="B140" s="246"/>
      <c r="C140" s="246"/>
      <c r="D140" s="246"/>
      <c r="E140" s="246">
        <v>329000000</v>
      </c>
      <c r="F140" s="246"/>
      <c r="G140" s="246"/>
      <c r="H140" s="246"/>
      <c r="I140" s="246">
        <v>329000000</v>
      </c>
    </row>
    <row r="141" spans="1:9">
      <c r="A141" s="605" t="s">
        <v>1194</v>
      </c>
      <c r="B141" s="246"/>
      <c r="C141" s="246"/>
      <c r="D141" s="246"/>
      <c r="E141" s="246">
        <v>329000000</v>
      </c>
      <c r="F141" s="246"/>
      <c r="G141" s="246"/>
      <c r="H141" s="246"/>
      <c r="I141" s="246">
        <v>329000000</v>
      </c>
    </row>
    <row r="142" spans="1:9">
      <c r="A142" s="604" t="s">
        <v>1096</v>
      </c>
      <c r="B142" s="246">
        <v>841500000</v>
      </c>
      <c r="C142" s="246"/>
      <c r="D142" s="246"/>
      <c r="E142" s="246"/>
      <c r="F142" s="246"/>
      <c r="G142" s="246"/>
      <c r="H142" s="246"/>
      <c r="I142" s="246">
        <v>841500000</v>
      </c>
    </row>
    <row r="143" spans="1:9">
      <c r="A143" s="605" t="s">
        <v>1097</v>
      </c>
      <c r="B143" s="246">
        <v>841500000</v>
      </c>
      <c r="C143" s="246"/>
      <c r="D143" s="246"/>
      <c r="E143" s="246"/>
      <c r="F143" s="246"/>
      <c r="G143" s="246"/>
      <c r="H143" s="246"/>
      <c r="I143" s="246">
        <v>841500000</v>
      </c>
    </row>
    <row r="144" spans="1:9">
      <c r="A144" s="604" t="s">
        <v>1190</v>
      </c>
      <c r="B144" s="246"/>
      <c r="C144" s="246"/>
      <c r="D144" s="246">
        <v>260196000</v>
      </c>
      <c r="E144" s="246"/>
      <c r="F144" s="246"/>
      <c r="G144" s="246"/>
      <c r="H144" s="246"/>
      <c r="I144" s="246">
        <v>260196000</v>
      </c>
    </row>
    <row r="145" spans="1:9">
      <c r="A145" s="605" t="s">
        <v>33</v>
      </c>
      <c r="B145" s="246"/>
      <c r="C145" s="246"/>
      <c r="D145" s="246">
        <v>260196000</v>
      </c>
      <c r="E145" s="246"/>
      <c r="F145" s="246"/>
      <c r="G145" s="246"/>
      <c r="H145" s="246"/>
      <c r="I145" s="246">
        <v>260196000</v>
      </c>
    </row>
    <row r="146" spans="1:9">
      <c r="A146" s="604" t="s">
        <v>1076</v>
      </c>
      <c r="B146" s="246"/>
      <c r="C146" s="246"/>
      <c r="D146" s="246">
        <v>2219343000</v>
      </c>
      <c r="E146" s="246">
        <v>414000000</v>
      </c>
      <c r="F146" s="246"/>
      <c r="G146" s="246"/>
      <c r="H146" s="246"/>
      <c r="I146" s="246">
        <v>2633343000</v>
      </c>
    </row>
    <row r="147" spans="1:9">
      <c r="A147" s="605" t="s">
        <v>1077</v>
      </c>
      <c r="B147" s="246"/>
      <c r="C147" s="246"/>
      <c r="D147" s="246"/>
      <c r="E147" s="246">
        <v>414000000</v>
      </c>
      <c r="F147" s="246"/>
      <c r="G147" s="246"/>
      <c r="H147" s="246"/>
      <c r="I147" s="246">
        <v>414000000</v>
      </c>
    </row>
    <row r="148" spans="1:9">
      <c r="A148" s="605" t="s">
        <v>1193</v>
      </c>
      <c r="B148" s="246"/>
      <c r="C148" s="246"/>
      <c r="D148" s="246">
        <v>2219343000</v>
      </c>
      <c r="E148" s="246"/>
      <c r="F148" s="246"/>
      <c r="G148" s="246"/>
      <c r="H148" s="246"/>
      <c r="I148" s="246">
        <v>2219343000</v>
      </c>
    </row>
    <row r="149" spans="1:9">
      <c r="A149" s="604" t="s">
        <v>1184</v>
      </c>
      <c r="B149" s="246">
        <v>1129500000</v>
      </c>
      <c r="C149" s="246"/>
      <c r="D149" s="246"/>
      <c r="E149" s="246"/>
      <c r="F149" s="246"/>
      <c r="G149" s="246"/>
      <c r="H149" s="246"/>
      <c r="I149" s="246">
        <v>1129500000</v>
      </c>
    </row>
    <row r="150" spans="1:9">
      <c r="A150" s="605" t="s">
        <v>1185</v>
      </c>
      <c r="B150" s="246">
        <v>1129500000</v>
      </c>
      <c r="C150" s="246"/>
      <c r="D150" s="246"/>
      <c r="E150" s="246"/>
      <c r="F150" s="246"/>
      <c r="G150" s="246"/>
      <c r="H150" s="246"/>
      <c r="I150" s="246">
        <v>1129500000</v>
      </c>
    </row>
    <row r="151" spans="1:9">
      <c r="A151" s="604" t="s">
        <v>1187</v>
      </c>
      <c r="B151" s="246">
        <v>4500000000</v>
      </c>
      <c r="C151" s="246"/>
      <c r="D151" s="246"/>
      <c r="E151" s="246"/>
      <c r="F151" s="246"/>
      <c r="G151" s="246"/>
      <c r="H151" s="246"/>
      <c r="I151" s="246">
        <v>4500000000</v>
      </c>
    </row>
    <row r="152" spans="1:9">
      <c r="A152" s="605" t="s">
        <v>1188</v>
      </c>
      <c r="B152" s="246">
        <v>4500000000</v>
      </c>
      <c r="C152" s="246"/>
      <c r="D152" s="246"/>
      <c r="E152" s="246"/>
      <c r="F152" s="246"/>
      <c r="G152" s="246"/>
      <c r="H152" s="246"/>
      <c r="I152" s="246">
        <v>4500000000</v>
      </c>
    </row>
    <row r="153" spans="1:9">
      <c r="A153" s="603" t="s">
        <v>26</v>
      </c>
      <c r="B153" s="246"/>
      <c r="C153" s="246"/>
      <c r="D153" s="246"/>
      <c r="E153" s="246"/>
      <c r="F153" s="246">
        <v>7027267700</v>
      </c>
      <c r="G153" s="246"/>
      <c r="H153" s="246">
        <v>1460000000</v>
      </c>
      <c r="I153" s="246">
        <v>8487267700</v>
      </c>
    </row>
    <row r="154" spans="1:9">
      <c r="A154" s="604" t="s">
        <v>1247</v>
      </c>
      <c r="B154" s="246"/>
      <c r="C154" s="246"/>
      <c r="D154" s="246"/>
      <c r="E154" s="246"/>
      <c r="F154" s="246"/>
      <c r="G154" s="246"/>
      <c r="H154" s="246">
        <v>1460000000</v>
      </c>
      <c r="I154" s="246">
        <v>1460000000</v>
      </c>
    </row>
    <row r="155" spans="1:9">
      <c r="A155" s="605" t="s">
        <v>1248</v>
      </c>
      <c r="B155" s="246"/>
      <c r="C155" s="246"/>
      <c r="D155" s="246"/>
      <c r="E155" s="246"/>
      <c r="F155" s="246"/>
      <c r="G155" s="246"/>
      <c r="H155" s="246">
        <v>1460000000</v>
      </c>
      <c r="I155" s="246">
        <v>1460000000</v>
      </c>
    </row>
    <row r="156" spans="1:9">
      <c r="A156" s="604" t="s">
        <v>1222</v>
      </c>
      <c r="B156" s="246"/>
      <c r="C156" s="246"/>
      <c r="D156" s="246"/>
      <c r="E156" s="246"/>
      <c r="F156" s="246">
        <v>2200000000</v>
      </c>
      <c r="G156" s="246"/>
      <c r="H156" s="246"/>
      <c r="I156" s="246">
        <v>2200000000</v>
      </c>
    </row>
    <row r="157" spans="1:9">
      <c r="A157" s="605" t="s">
        <v>1223</v>
      </c>
      <c r="B157" s="246"/>
      <c r="C157" s="246"/>
      <c r="D157" s="246"/>
      <c r="E157" s="246"/>
      <c r="F157" s="246">
        <v>2200000000</v>
      </c>
      <c r="G157" s="246"/>
      <c r="H157" s="246"/>
      <c r="I157" s="246">
        <v>2200000000</v>
      </c>
    </row>
    <row r="158" spans="1:9">
      <c r="A158" s="604" t="s">
        <v>1240</v>
      </c>
      <c r="B158" s="246"/>
      <c r="C158" s="246"/>
      <c r="D158" s="246"/>
      <c r="E158" s="246"/>
      <c r="F158" s="246">
        <v>704117700</v>
      </c>
      <c r="G158" s="246"/>
      <c r="H158" s="246"/>
      <c r="I158" s="246">
        <v>704117700</v>
      </c>
    </row>
    <row r="159" spans="1:9">
      <c r="A159" s="605" t="s">
        <v>26</v>
      </c>
      <c r="B159" s="246"/>
      <c r="C159" s="246"/>
      <c r="D159" s="246"/>
      <c r="E159" s="246"/>
      <c r="F159" s="246">
        <v>704117700</v>
      </c>
      <c r="G159" s="246"/>
      <c r="H159" s="246"/>
      <c r="I159" s="246">
        <v>704117700</v>
      </c>
    </row>
    <row r="160" spans="1:9">
      <c r="A160" s="604" t="s">
        <v>1094</v>
      </c>
      <c r="B160" s="246"/>
      <c r="C160" s="246"/>
      <c r="D160" s="246"/>
      <c r="E160" s="246"/>
      <c r="F160" s="246">
        <v>4123150000</v>
      </c>
      <c r="G160" s="246"/>
      <c r="H160" s="246"/>
      <c r="I160" s="246">
        <v>4123150000</v>
      </c>
    </row>
    <row r="161" spans="1:9">
      <c r="A161" s="605" t="s">
        <v>1100</v>
      </c>
      <c r="B161" s="246"/>
      <c r="C161" s="246"/>
      <c r="D161" s="246"/>
      <c r="E161" s="246"/>
      <c r="F161" s="246">
        <v>4123150000</v>
      </c>
      <c r="G161" s="246"/>
      <c r="H161" s="246"/>
      <c r="I161" s="246">
        <v>4123150000</v>
      </c>
    </row>
    <row r="162" spans="1:9">
      <c r="A162" s="602" t="s">
        <v>25</v>
      </c>
      <c r="B162" s="246">
        <v>1200000000</v>
      </c>
      <c r="C162" s="246">
        <v>271363000</v>
      </c>
      <c r="D162" s="246">
        <v>2435000000</v>
      </c>
      <c r="E162" s="246">
        <v>104980000</v>
      </c>
      <c r="F162" s="246"/>
      <c r="G162" s="246">
        <v>1416000000</v>
      </c>
      <c r="H162" s="246"/>
      <c r="I162" s="246">
        <v>5427343000</v>
      </c>
    </row>
    <row r="163" spans="1:9">
      <c r="A163" s="603" t="s">
        <v>88</v>
      </c>
      <c r="B163" s="246"/>
      <c r="C163" s="246">
        <v>3555400</v>
      </c>
      <c r="D163" s="246"/>
      <c r="E163" s="246">
        <v>104980000</v>
      </c>
      <c r="F163" s="246"/>
      <c r="G163" s="246"/>
      <c r="H163" s="246"/>
      <c r="I163" s="246">
        <v>108535400</v>
      </c>
    </row>
    <row r="164" spans="1:9">
      <c r="A164" s="604" t="s">
        <v>179</v>
      </c>
      <c r="B164" s="246"/>
      <c r="C164" s="246">
        <v>3555400</v>
      </c>
      <c r="D164" s="246"/>
      <c r="E164" s="246"/>
      <c r="F164" s="246"/>
      <c r="G164" s="246"/>
      <c r="H164" s="246"/>
      <c r="I164" s="246">
        <v>3555400</v>
      </c>
    </row>
    <row r="165" spans="1:9">
      <c r="A165" s="605" t="s">
        <v>861</v>
      </c>
      <c r="B165" s="246"/>
      <c r="C165" s="246">
        <v>3555400</v>
      </c>
      <c r="D165" s="246"/>
      <c r="E165" s="246"/>
      <c r="F165" s="246"/>
      <c r="G165" s="246"/>
      <c r="H165" s="246"/>
      <c r="I165" s="246">
        <v>3555400</v>
      </c>
    </row>
    <row r="166" spans="1:9">
      <c r="A166" s="604" t="s">
        <v>146</v>
      </c>
      <c r="B166" s="246"/>
      <c r="C166" s="246"/>
      <c r="D166" s="246"/>
      <c r="E166" s="246">
        <v>104980000</v>
      </c>
      <c r="F166" s="246"/>
      <c r="G166" s="246"/>
      <c r="H166" s="246"/>
      <c r="I166" s="246">
        <v>104980000</v>
      </c>
    </row>
    <row r="167" spans="1:9">
      <c r="A167" s="605" t="s">
        <v>26</v>
      </c>
      <c r="B167" s="246"/>
      <c r="C167" s="246"/>
      <c r="D167" s="246"/>
      <c r="E167" s="246">
        <v>104980000</v>
      </c>
      <c r="F167" s="246"/>
      <c r="G167" s="246"/>
      <c r="H167" s="246"/>
      <c r="I167" s="246">
        <v>104980000</v>
      </c>
    </row>
    <row r="168" spans="1:9">
      <c r="A168" s="603" t="s">
        <v>26</v>
      </c>
      <c r="B168" s="246">
        <v>1200000000</v>
      </c>
      <c r="C168" s="246"/>
      <c r="D168" s="246">
        <v>2435000000</v>
      </c>
      <c r="E168" s="246"/>
      <c r="F168" s="246"/>
      <c r="G168" s="246">
        <v>1416000000</v>
      </c>
      <c r="H168" s="246"/>
      <c r="I168" s="246">
        <v>5051000000</v>
      </c>
    </row>
    <row r="169" spans="1:9">
      <c r="A169" s="604" t="s">
        <v>1136</v>
      </c>
      <c r="B169" s="246"/>
      <c r="C169" s="246"/>
      <c r="D169" s="246">
        <v>2435000000</v>
      </c>
      <c r="E169" s="246"/>
      <c r="F169" s="246"/>
      <c r="G169" s="246"/>
      <c r="H169" s="246"/>
      <c r="I169" s="246">
        <v>2435000000</v>
      </c>
    </row>
    <row r="170" spans="1:9">
      <c r="A170" s="605" t="s">
        <v>1137</v>
      </c>
      <c r="B170" s="246"/>
      <c r="C170" s="246"/>
      <c r="D170" s="246">
        <v>2435000000</v>
      </c>
      <c r="E170" s="246"/>
      <c r="F170" s="246"/>
      <c r="G170" s="246"/>
      <c r="H170" s="246"/>
      <c r="I170" s="246">
        <v>2435000000</v>
      </c>
    </row>
    <row r="171" spans="1:9">
      <c r="A171" s="604" t="s">
        <v>179</v>
      </c>
      <c r="B171" s="246">
        <v>1200000000</v>
      </c>
      <c r="C171" s="246"/>
      <c r="D171" s="246"/>
      <c r="E171" s="246"/>
      <c r="F171" s="246"/>
      <c r="G171" s="246"/>
      <c r="H171" s="246"/>
      <c r="I171" s="246">
        <v>1200000000</v>
      </c>
    </row>
    <row r="172" spans="1:9">
      <c r="A172" s="605" t="s">
        <v>180</v>
      </c>
      <c r="B172" s="246">
        <v>1200000000</v>
      </c>
      <c r="C172" s="246"/>
      <c r="D172" s="246"/>
      <c r="E172" s="246"/>
      <c r="F172" s="246"/>
      <c r="G172" s="246"/>
      <c r="H172" s="246"/>
      <c r="I172" s="246">
        <v>1200000000</v>
      </c>
    </row>
    <row r="173" spans="1:9">
      <c r="A173" s="604" t="s">
        <v>1119</v>
      </c>
      <c r="B173" s="246"/>
      <c r="C173" s="246"/>
      <c r="D173" s="246"/>
      <c r="E173" s="246"/>
      <c r="F173" s="246"/>
      <c r="G173" s="246">
        <v>438000000</v>
      </c>
      <c r="H173" s="246"/>
      <c r="I173" s="246">
        <v>438000000</v>
      </c>
    </row>
    <row r="174" spans="1:9">
      <c r="A174" s="605" t="s">
        <v>1120</v>
      </c>
      <c r="B174" s="246"/>
      <c r="C174" s="246"/>
      <c r="D174" s="246"/>
      <c r="E174" s="246"/>
      <c r="F174" s="246"/>
      <c r="G174" s="246">
        <v>438000000</v>
      </c>
      <c r="H174" s="246"/>
      <c r="I174" s="246">
        <v>438000000</v>
      </c>
    </row>
    <row r="175" spans="1:9">
      <c r="A175" s="604" t="s">
        <v>1122</v>
      </c>
      <c r="B175" s="246"/>
      <c r="C175" s="246"/>
      <c r="D175" s="246"/>
      <c r="E175" s="246"/>
      <c r="F175" s="246"/>
      <c r="G175" s="246">
        <v>978000000</v>
      </c>
      <c r="H175" s="246"/>
      <c r="I175" s="246">
        <v>978000000</v>
      </c>
    </row>
    <row r="176" spans="1:9">
      <c r="A176" s="605" t="s">
        <v>1123</v>
      </c>
      <c r="B176" s="246"/>
      <c r="C176" s="246"/>
      <c r="D176" s="246"/>
      <c r="E176" s="246"/>
      <c r="F176" s="246"/>
      <c r="G176" s="246">
        <v>978000000</v>
      </c>
      <c r="H176" s="246"/>
      <c r="I176" s="246">
        <v>978000000</v>
      </c>
    </row>
    <row r="177" spans="1:9">
      <c r="A177" s="603" t="s">
        <v>147</v>
      </c>
      <c r="B177" s="246"/>
      <c r="C177" s="246">
        <v>267807600</v>
      </c>
      <c r="D177" s="246"/>
      <c r="E177" s="246"/>
      <c r="F177" s="246"/>
      <c r="G177" s="246"/>
      <c r="H177" s="246"/>
      <c r="I177" s="246">
        <v>267807600</v>
      </c>
    </row>
    <row r="178" spans="1:9">
      <c r="A178" s="604" t="s">
        <v>1376</v>
      </c>
      <c r="B178" s="246"/>
      <c r="C178" s="246">
        <v>267807600</v>
      </c>
      <c r="D178" s="246"/>
      <c r="E178" s="246"/>
      <c r="F178" s="246"/>
      <c r="G178" s="246"/>
      <c r="H178" s="246"/>
      <c r="I178" s="246">
        <v>267807600</v>
      </c>
    </row>
    <row r="179" spans="1:9">
      <c r="A179" s="605" t="s">
        <v>1316</v>
      </c>
      <c r="B179" s="246"/>
      <c r="C179" s="246">
        <v>267807600</v>
      </c>
      <c r="D179" s="246"/>
      <c r="E179" s="246"/>
      <c r="F179" s="246"/>
      <c r="G179" s="246"/>
      <c r="H179" s="246"/>
      <c r="I179" s="246">
        <v>267807600</v>
      </c>
    </row>
    <row r="180" spans="1:9">
      <c r="A180" s="602" t="s">
        <v>201</v>
      </c>
      <c r="B180" s="246">
        <v>2000000000</v>
      </c>
      <c r="C180" s="246">
        <v>4352464000</v>
      </c>
      <c r="D180" s="246">
        <v>13229950000</v>
      </c>
      <c r="E180" s="246">
        <v>298000000</v>
      </c>
      <c r="F180" s="246">
        <v>7160685000</v>
      </c>
      <c r="G180" s="246"/>
      <c r="H180" s="246"/>
      <c r="I180" s="246">
        <v>27041099000</v>
      </c>
    </row>
    <row r="181" spans="1:9">
      <c r="A181" s="603" t="s">
        <v>33</v>
      </c>
      <c r="B181" s="246">
        <v>800000000</v>
      </c>
      <c r="C181" s="246">
        <v>1000000000</v>
      </c>
      <c r="D181" s="246">
        <v>4403750000</v>
      </c>
      <c r="E181" s="246">
        <v>200000000</v>
      </c>
      <c r="F181" s="246"/>
      <c r="G181" s="246"/>
      <c r="H181" s="246"/>
      <c r="I181" s="246">
        <v>6403750000</v>
      </c>
    </row>
    <row r="182" spans="1:9">
      <c r="A182" s="604" t="s">
        <v>873</v>
      </c>
      <c r="B182" s="246"/>
      <c r="C182" s="246"/>
      <c r="D182" s="246"/>
      <c r="E182" s="246">
        <v>200000000</v>
      </c>
      <c r="F182" s="246"/>
      <c r="G182" s="246"/>
      <c r="H182" s="246"/>
      <c r="I182" s="246">
        <v>200000000</v>
      </c>
    </row>
    <row r="183" spans="1:9">
      <c r="A183" s="605" t="s">
        <v>1410</v>
      </c>
      <c r="B183" s="246"/>
      <c r="C183" s="246"/>
      <c r="D183" s="246"/>
      <c r="E183" s="246">
        <v>200000000</v>
      </c>
      <c r="F183" s="246"/>
      <c r="G183" s="246"/>
      <c r="H183" s="246"/>
      <c r="I183" s="246">
        <v>200000000</v>
      </c>
    </row>
    <row r="184" spans="1:9">
      <c r="A184" s="604" t="s">
        <v>882</v>
      </c>
      <c r="B184" s="246">
        <v>800000000</v>
      </c>
      <c r="C184" s="246"/>
      <c r="D184" s="246"/>
      <c r="E184" s="246"/>
      <c r="F184" s="246"/>
      <c r="G184" s="246"/>
      <c r="H184" s="246"/>
      <c r="I184" s="246">
        <v>800000000</v>
      </c>
    </row>
    <row r="185" spans="1:9">
      <c r="A185" s="605" t="s">
        <v>1410</v>
      </c>
      <c r="B185" s="246">
        <v>800000000</v>
      </c>
      <c r="C185" s="246"/>
      <c r="D185" s="246"/>
      <c r="E185" s="246"/>
      <c r="F185" s="246"/>
      <c r="G185" s="246"/>
      <c r="H185" s="246"/>
      <c r="I185" s="246">
        <v>800000000</v>
      </c>
    </row>
    <row r="186" spans="1:9">
      <c r="A186" s="604" t="s">
        <v>613</v>
      </c>
      <c r="B186" s="246"/>
      <c r="C186" s="246"/>
      <c r="D186" s="246">
        <v>2403750000</v>
      </c>
      <c r="E186" s="246"/>
      <c r="F186" s="246"/>
      <c r="G186" s="246"/>
      <c r="H186" s="246"/>
      <c r="I186" s="246">
        <v>2403750000</v>
      </c>
    </row>
    <row r="187" spans="1:9">
      <c r="A187" s="605" t="s">
        <v>874</v>
      </c>
      <c r="B187" s="246"/>
      <c r="C187" s="246"/>
      <c r="D187" s="246">
        <v>2403750000</v>
      </c>
      <c r="E187" s="246"/>
      <c r="F187" s="246"/>
      <c r="G187" s="246"/>
      <c r="H187" s="246"/>
      <c r="I187" s="246">
        <v>2403750000</v>
      </c>
    </row>
    <row r="188" spans="1:9">
      <c r="A188" s="604" t="s">
        <v>834</v>
      </c>
      <c r="B188" s="246"/>
      <c r="C188" s="246">
        <v>1000000000</v>
      </c>
      <c r="D188" s="246"/>
      <c r="E188" s="246"/>
      <c r="F188" s="246"/>
      <c r="G188" s="246"/>
      <c r="H188" s="246"/>
      <c r="I188" s="246">
        <v>1000000000</v>
      </c>
    </row>
    <row r="189" spans="1:9">
      <c r="A189" s="605" t="s">
        <v>835</v>
      </c>
      <c r="B189" s="246"/>
      <c r="C189" s="246">
        <v>1000000000</v>
      </c>
      <c r="D189" s="246"/>
      <c r="E189" s="246"/>
      <c r="F189" s="246"/>
      <c r="G189" s="246"/>
      <c r="H189" s="246"/>
      <c r="I189" s="246">
        <v>1000000000</v>
      </c>
    </row>
    <row r="190" spans="1:9">
      <c r="A190" s="604" t="s">
        <v>1334</v>
      </c>
      <c r="B190" s="246"/>
      <c r="C190" s="246"/>
      <c r="D190" s="246">
        <v>2000000000</v>
      </c>
      <c r="E190" s="246"/>
      <c r="F190" s="246"/>
      <c r="G190" s="246"/>
      <c r="H190" s="246"/>
      <c r="I190" s="246">
        <v>2000000000</v>
      </c>
    </row>
    <row r="191" spans="1:9">
      <c r="A191" s="605" t="s">
        <v>1335</v>
      </c>
      <c r="B191" s="246"/>
      <c r="C191" s="246"/>
      <c r="D191" s="246">
        <v>2000000000</v>
      </c>
      <c r="E191" s="246"/>
      <c r="F191" s="246"/>
      <c r="G191" s="246"/>
      <c r="H191" s="246"/>
      <c r="I191" s="246">
        <v>2000000000</v>
      </c>
    </row>
    <row r="192" spans="1:9">
      <c r="A192" s="603" t="s">
        <v>88</v>
      </c>
      <c r="B192" s="246"/>
      <c r="C192" s="246">
        <v>104464000</v>
      </c>
      <c r="D192" s="246"/>
      <c r="E192" s="246"/>
      <c r="F192" s="246"/>
      <c r="G192" s="246"/>
      <c r="H192" s="246"/>
      <c r="I192" s="246">
        <v>104464000</v>
      </c>
    </row>
    <row r="193" spans="1:9">
      <c r="A193" s="604" t="s">
        <v>864</v>
      </c>
      <c r="B193" s="246"/>
      <c r="C193" s="246">
        <v>100000000</v>
      </c>
      <c r="D193" s="246"/>
      <c r="E193" s="246"/>
      <c r="F193" s="246"/>
      <c r="G193" s="246"/>
      <c r="H193" s="246"/>
      <c r="I193" s="246">
        <v>100000000</v>
      </c>
    </row>
    <row r="194" spans="1:9">
      <c r="A194" s="605" t="s">
        <v>151</v>
      </c>
      <c r="B194" s="246"/>
      <c r="C194" s="246">
        <v>100000000</v>
      </c>
      <c r="D194" s="246"/>
      <c r="E194" s="246"/>
      <c r="F194" s="246"/>
      <c r="G194" s="246"/>
      <c r="H194" s="246"/>
      <c r="I194" s="246">
        <v>100000000</v>
      </c>
    </row>
    <row r="195" spans="1:9">
      <c r="A195" s="604" t="s">
        <v>199</v>
      </c>
      <c r="B195" s="246"/>
      <c r="C195" s="246">
        <v>4464000</v>
      </c>
      <c r="D195" s="246"/>
      <c r="E195" s="246"/>
      <c r="F195" s="246"/>
      <c r="G195" s="246"/>
      <c r="H195" s="246"/>
      <c r="I195" s="246">
        <v>4464000</v>
      </c>
    </row>
    <row r="196" spans="1:9">
      <c r="A196" s="605" t="s">
        <v>200</v>
      </c>
      <c r="B196" s="246"/>
      <c r="C196" s="246">
        <v>4464000</v>
      </c>
      <c r="D196" s="246"/>
      <c r="E196" s="246"/>
      <c r="F196" s="246"/>
      <c r="G196" s="246"/>
      <c r="H196" s="246"/>
      <c r="I196" s="246">
        <v>4464000</v>
      </c>
    </row>
    <row r="197" spans="1:9">
      <c r="A197" s="603" t="s">
        <v>26</v>
      </c>
      <c r="B197" s="246">
        <v>1200000000</v>
      </c>
      <c r="C197" s="246">
        <v>3248000000</v>
      </c>
      <c r="D197" s="246">
        <v>8826200000</v>
      </c>
      <c r="E197" s="246">
        <v>98000000</v>
      </c>
      <c r="F197" s="246">
        <v>7160685000</v>
      </c>
      <c r="G197" s="246"/>
      <c r="H197" s="246"/>
      <c r="I197" s="246">
        <v>20532885000</v>
      </c>
    </row>
    <row r="198" spans="1:9">
      <c r="A198" s="604" t="s">
        <v>876</v>
      </c>
      <c r="B198" s="246"/>
      <c r="C198" s="246"/>
      <c r="D198" s="246"/>
      <c r="E198" s="246">
        <v>98000000</v>
      </c>
      <c r="F198" s="246"/>
      <c r="G198" s="246"/>
      <c r="H198" s="246"/>
      <c r="I198" s="246">
        <v>98000000</v>
      </c>
    </row>
    <row r="199" spans="1:9">
      <c r="A199" s="605" t="s">
        <v>877</v>
      </c>
      <c r="B199" s="246"/>
      <c r="C199" s="246"/>
      <c r="D199" s="246"/>
      <c r="E199" s="246">
        <v>98000000</v>
      </c>
      <c r="F199" s="246"/>
      <c r="G199" s="246"/>
      <c r="H199" s="246"/>
      <c r="I199" s="246">
        <v>98000000</v>
      </c>
    </row>
    <row r="200" spans="1:9">
      <c r="A200" s="604" t="s">
        <v>613</v>
      </c>
      <c r="B200" s="246"/>
      <c r="C200" s="246"/>
      <c r="D200" s="246">
        <v>1000000000</v>
      </c>
      <c r="E200" s="246"/>
      <c r="F200" s="246"/>
      <c r="G200" s="246"/>
      <c r="H200" s="246"/>
      <c r="I200" s="246">
        <v>1000000000</v>
      </c>
    </row>
    <row r="201" spans="1:9">
      <c r="A201" s="605" t="s">
        <v>875</v>
      </c>
      <c r="B201" s="246"/>
      <c r="C201" s="246"/>
      <c r="D201" s="246">
        <v>1000000000</v>
      </c>
      <c r="E201" s="246"/>
      <c r="F201" s="246"/>
      <c r="G201" s="246"/>
      <c r="H201" s="246"/>
      <c r="I201" s="246">
        <v>1000000000</v>
      </c>
    </row>
    <row r="202" spans="1:9">
      <c r="A202" s="604" t="s">
        <v>869</v>
      </c>
      <c r="B202" s="246"/>
      <c r="C202" s="246">
        <v>1000000000</v>
      </c>
      <c r="D202" s="246"/>
      <c r="E202" s="246"/>
      <c r="F202" s="246"/>
      <c r="G202" s="246"/>
      <c r="H202" s="246"/>
      <c r="I202" s="246">
        <v>1000000000</v>
      </c>
    </row>
    <row r="203" spans="1:9">
      <c r="A203" s="605" t="s">
        <v>26</v>
      </c>
      <c r="B203" s="246"/>
      <c r="C203" s="246">
        <v>1000000000</v>
      </c>
      <c r="D203" s="246"/>
      <c r="E203" s="246"/>
      <c r="F203" s="246"/>
      <c r="G203" s="246"/>
      <c r="H203" s="246"/>
      <c r="I203" s="246">
        <v>1000000000</v>
      </c>
    </row>
    <row r="204" spans="1:9">
      <c r="A204" s="604" t="s">
        <v>1089</v>
      </c>
      <c r="B204" s="246"/>
      <c r="C204" s="246"/>
      <c r="D204" s="246"/>
      <c r="E204" s="246"/>
      <c r="F204" s="246">
        <v>2055935000</v>
      </c>
      <c r="G204" s="246"/>
      <c r="H204" s="246"/>
      <c r="I204" s="246">
        <v>2055935000</v>
      </c>
    </row>
    <row r="205" spans="1:9">
      <c r="A205" s="605" t="s">
        <v>1092</v>
      </c>
      <c r="B205" s="246"/>
      <c r="C205" s="246"/>
      <c r="D205" s="246"/>
      <c r="E205" s="246"/>
      <c r="F205" s="246">
        <v>2055935000</v>
      </c>
      <c r="G205" s="246"/>
      <c r="H205" s="246"/>
      <c r="I205" s="246">
        <v>2055935000</v>
      </c>
    </row>
    <row r="206" spans="1:9">
      <c r="A206" s="604" t="s">
        <v>1111</v>
      </c>
      <c r="B206" s="246"/>
      <c r="C206" s="246"/>
      <c r="D206" s="246"/>
      <c r="E206" s="246"/>
      <c r="F206" s="246">
        <v>2598000000</v>
      </c>
      <c r="G206" s="246"/>
      <c r="H206" s="246"/>
      <c r="I206" s="246">
        <v>2598000000</v>
      </c>
    </row>
    <row r="207" spans="1:9">
      <c r="A207" s="605" t="s">
        <v>1112</v>
      </c>
      <c r="B207" s="246"/>
      <c r="C207" s="246"/>
      <c r="D207" s="246"/>
      <c r="E207" s="246"/>
      <c r="F207" s="246">
        <v>2598000000</v>
      </c>
      <c r="G207" s="246"/>
      <c r="H207" s="246"/>
      <c r="I207" s="246">
        <v>2598000000</v>
      </c>
    </row>
    <row r="208" spans="1:9">
      <c r="A208" s="604" t="s">
        <v>1070</v>
      </c>
      <c r="B208" s="246"/>
      <c r="C208" s="246"/>
      <c r="D208" s="246"/>
      <c r="E208" s="246"/>
      <c r="F208" s="246">
        <v>506750000</v>
      </c>
      <c r="G208" s="246"/>
      <c r="H208" s="246"/>
      <c r="I208" s="246">
        <v>506750000</v>
      </c>
    </row>
    <row r="209" spans="1:9">
      <c r="A209" s="605" t="s">
        <v>1071</v>
      </c>
      <c r="B209" s="246"/>
      <c r="C209" s="246"/>
      <c r="D209" s="246"/>
      <c r="E209" s="246"/>
      <c r="F209" s="246">
        <v>506750000</v>
      </c>
      <c r="G209" s="246"/>
      <c r="H209" s="246"/>
      <c r="I209" s="246">
        <v>506750000</v>
      </c>
    </row>
    <row r="210" spans="1:9">
      <c r="A210" s="604" t="s">
        <v>883</v>
      </c>
      <c r="B210" s="246">
        <v>1200000000</v>
      </c>
      <c r="C210" s="246"/>
      <c r="D210" s="246"/>
      <c r="E210" s="246"/>
      <c r="F210" s="246"/>
      <c r="G210" s="246"/>
      <c r="H210" s="246"/>
      <c r="I210" s="246">
        <v>1200000000</v>
      </c>
    </row>
    <row r="211" spans="1:9">
      <c r="A211" s="605" t="s">
        <v>884</v>
      </c>
      <c r="B211" s="246">
        <v>1200000000</v>
      </c>
      <c r="C211" s="246"/>
      <c r="D211" s="246"/>
      <c r="E211" s="246"/>
      <c r="F211" s="246"/>
      <c r="G211" s="246"/>
      <c r="H211" s="246"/>
      <c r="I211" s="246">
        <v>1200000000</v>
      </c>
    </row>
    <row r="212" spans="1:9">
      <c r="A212" s="604" t="s">
        <v>836</v>
      </c>
      <c r="B212" s="246"/>
      <c r="C212" s="246"/>
      <c r="D212" s="246">
        <v>2300000000</v>
      </c>
      <c r="E212" s="246"/>
      <c r="F212" s="246"/>
      <c r="G212" s="246"/>
      <c r="H212" s="246"/>
      <c r="I212" s="246">
        <v>2300000000</v>
      </c>
    </row>
    <row r="213" spans="1:9">
      <c r="A213" s="605" t="s">
        <v>837</v>
      </c>
      <c r="B213" s="246"/>
      <c r="C213" s="246"/>
      <c r="D213" s="246">
        <v>2300000000</v>
      </c>
      <c r="E213" s="246"/>
      <c r="F213" s="246"/>
      <c r="G213" s="246"/>
      <c r="H213" s="246"/>
      <c r="I213" s="246">
        <v>2300000000</v>
      </c>
    </row>
    <row r="214" spans="1:9">
      <c r="A214" s="604" t="s">
        <v>872</v>
      </c>
      <c r="B214" s="246"/>
      <c r="C214" s="246"/>
      <c r="D214" s="246">
        <v>2000000000</v>
      </c>
      <c r="E214" s="246"/>
      <c r="F214" s="246"/>
      <c r="G214" s="246"/>
      <c r="H214" s="246"/>
      <c r="I214" s="246">
        <v>2000000000</v>
      </c>
    </row>
    <row r="215" spans="1:9">
      <c r="A215" s="605" t="s">
        <v>26</v>
      </c>
      <c r="B215" s="246"/>
      <c r="C215" s="246"/>
      <c r="D215" s="246">
        <v>2000000000</v>
      </c>
      <c r="E215" s="246"/>
      <c r="F215" s="246"/>
      <c r="G215" s="246"/>
      <c r="H215" s="246"/>
      <c r="I215" s="246">
        <v>2000000000</v>
      </c>
    </row>
    <row r="216" spans="1:9">
      <c r="A216" s="604" t="s">
        <v>1272</v>
      </c>
      <c r="B216" s="246"/>
      <c r="C216" s="246"/>
      <c r="D216" s="246"/>
      <c r="E216" s="246"/>
      <c r="F216" s="246">
        <v>2000000000</v>
      </c>
      <c r="G216" s="246"/>
      <c r="H216" s="246"/>
      <c r="I216" s="246">
        <v>2000000000</v>
      </c>
    </row>
    <row r="217" spans="1:9">
      <c r="A217" s="605" t="s">
        <v>1273</v>
      </c>
      <c r="B217" s="246"/>
      <c r="C217" s="246"/>
      <c r="D217" s="246"/>
      <c r="E217" s="246"/>
      <c r="F217" s="246">
        <v>2000000000</v>
      </c>
      <c r="G217" s="246"/>
      <c r="H217" s="246"/>
      <c r="I217" s="246">
        <v>2000000000</v>
      </c>
    </row>
    <row r="218" spans="1:9">
      <c r="A218" s="604" t="s">
        <v>1332</v>
      </c>
      <c r="B218" s="246"/>
      <c r="C218" s="246"/>
      <c r="D218" s="246">
        <v>2400000000</v>
      </c>
      <c r="E218" s="246"/>
      <c r="F218" s="246"/>
      <c r="G218" s="246"/>
      <c r="H218" s="246"/>
      <c r="I218" s="246">
        <v>2400000000</v>
      </c>
    </row>
    <row r="219" spans="1:9">
      <c r="A219" s="605" t="s">
        <v>1333</v>
      </c>
      <c r="B219" s="246"/>
      <c r="C219" s="246"/>
      <c r="D219" s="246">
        <v>2400000000</v>
      </c>
      <c r="E219" s="246"/>
      <c r="F219" s="246"/>
      <c r="G219" s="246"/>
      <c r="H219" s="246"/>
      <c r="I219" s="246">
        <v>2400000000</v>
      </c>
    </row>
    <row r="220" spans="1:9">
      <c r="A220" s="604" t="s">
        <v>878</v>
      </c>
      <c r="B220" s="246"/>
      <c r="C220" s="246">
        <v>2248000000</v>
      </c>
      <c r="D220" s="246"/>
      <c r="E220" s="246"/>
      <c r="F220" s="246"/>
      <c r="G220" s="246"/>
      <c r="H220" s="246"/>
      <c r="I220" s="246">
        <v>2248000000</v>
      </c>
    </row>
    <row r="221" spans="1:9">
      <c r="A221" s="605" t="s">
        <v>879</v>
      </c>
      <c r="B221" s="246"/>
      <c r="C221" s="246">
        <v>2248000000</v>
      </c>
      <c r="D221" s="246"/>
      <c r="E221" s="246"/>
      <c r="F221" s="246"/>
      <c r="G221" s="246"/>
      <c r="H221" s="246"/>
      <c r="I221" s="246">
        <v>2248000000</v>
      </c>
    </row>
    <row r="222" spans="1:9">
      <c r="A222" s="604" t="s">
        <v>880</v>
      </c>
      <c r="B222" s="246"/>
      <c r="C222" s="246"/>
      <c r="D222" s="246">
        <v>1126200000</v>
      </c>
      <c r="E222" s="246"/>
      <c r="F222" s="246"/>
      <c r="G222" s="246"/>
      <c r="H222" s="246"/>
      <c r="I222" s="246">
        <v>1126200000</v>
      </c>
    </row>
    <row r="223" spans="1:9">
      <c r="A223" s="605" t="s">
        <v>881</v>
      </c>
      <c r="B223" s="246"/>
      <c r="C223" s="246"/>
      <c r="D223" s="246">
        <v>1126200000</v>
      </c>
      <c r="E223" s="246"/>
      <c r="F223" s="246"/>
      <c r="G223" s="246"/>
      <c r="H223" s="246"/>
      <c r="I223" s="246">
        <v>1126200000</v>
      </c>
    </row>
    <row r="224" spans="1:9">
      <c r="A224" s="602" t="s">
        <v>43</v>
      </c>
      <c r="B224" s="246"/>
      <c r="C224" s="246">
        <v>2565000000</v>
      </c>
      <c r="D224" s="246"/>
      <c r="E224" s="246"/>
      <c r="F224" s="246"/>
      <c r="G224" s="246"/>
      <c r="H224" s="246"/>
      <c r="I224" s="246">
        <v>2565000000</v>
      </c>
    </row>
    <row r="225" spans="1:9">
      <c r="A225" s="603" t="s">
        <v>33</v>
      </c>
      <c r="B225" s="246"/>
      <c r="C225" s="246">
        <v>2565000000</v>
      </c>
      <c r="D225" s="246"/>
      <c r="E225" s="246"/>
      <c r="F225" s="246"/>
      <c r="G225" s="246"/>
      <c r="H225" s="246"/>
      <c r="I225" s="246">
        <v>2565000000</v>
      </c>
    </row>
    <row r="226" spans="1:9">
      <c r="A226" s="604" t="s">
        <v>222</v>
      </c>
      <c r="B226" s="246"/>
      <c r="C226" s="246">
        <v>2565000000</v>
      </c>
      <c r="D226" s="246"/>
      <c r="E226" s="246"/>
      <c r="F226" s="246"/>
      <c r="G226" s="246"/>
      <c r="H226" s="246"/>
      <c r="I226" s="246">
        <v>2565000000</v>
      </c>
    </row>
    <row r="227" spans="1:9">
      <c r="A227" s="605" t="s">
        <v>223</v>
      </c>
      <c r="B227" s="246"/>
      <c r="C227" s="246">
        <v>315000000</v>
      </c>
      <c r="D227" s="246"/>
      <c r="E227" s="246"/>
      <c r="F227" s="246"/>
      <c r="G227" s="246"/>
      <c r="H227" s="246"/>
      <c r="I227" s="246">
        <v>315000000</v>
      </c>
    </row>
    <row r="228" spans="1:9">
      <c r="A228" s="605" t="s">
        <v>219</v>
      </c>
      <c r="B228" s="246"/>
      <c r="C228" s="246">
        <v>2250000000</v>
      </c>
      <c r="D228" s="246"/>
      <c r="E228" s="246"/>
      <c r="F228" s="246"/>
      <c r="G228" s="246"/>
      <c r="H228" s="246"/>
      <c r="I228" s="246">
        <v>2250000000</v>
      </c>
    </row>
    <row r="229" spans="1:9">
      <c r="A229" s="602" t="s">
        <v>54</v>
      </c>
      <c r="B229" s="246">
        <v>325000000</v>
      </c>
      <c r="C229" s="246">
        <v>6995653000</v>
      </c>
      <c r="D229" s="246"/>
      <c r="E229" s="246"/>
      <c r="F229" s="246"/>
      <c r="G229" s="246">
        <v>199020000</v>
      </c>
      <c r="H229" s="246"/>
      <c r="I229" s="246">
        <v>7519673000</v>
      </c>
    </row>
    <row r="230" spans="1:9">
      <c r="A230" s="603" t="s">
        <v>33</v>
      </c>
      <c r="B230" s="246">
        <v>325000000</v>
      </c>
      <c r="C230" s="246">
        <v>2995653000</v>
      </c>
      <c r="D230" s="246"/>
      <c r="E230" s="246"/>
      <c r="F230" s="246"/>
      <c r="G230" s="246"/>
      <c r="H230" s="246"/>
      <c r="I230" s="246">
        <v>3320653000</v>
      </c>
    </row>
    <row r="231" spans="1:9">
      <c r="A231" s="604" t="s">
        <v>1217</v>
      </c>
      <c r="B231" s="246"/>
      <c r="C231" s="246">
        <v>2000000000</v>
      </c>
      <c r="D231" s="246"/>
      <c r="E231" s="246"/>
      <c r="F231" s="246"/>
      <c r="G231" s="246"/>
      <c r="H231" s="246"/>
      <c r="I231" s="246">
        <v>2000000000</v>
      </c>
    </row>
    <row r="232" spans="1:9">
      <c r="A232" s="605" t="s">
        <v>1218</v>
      </c>
      <c r="B232" s="246"/>
      <c r="C232" s="246">
        <v>2000000000</v>
      </c>
      <c r="D232" s="246"/>
      <c r="E232" s="246"/>
      <c r="F232" s="246"/>
      <c r="G232" s="246"/>
      <c r="H232" s="246"/>
      <c r="I232" s="246">
        <v>2000000000</v>
      </c>
    </row>
    <row r="233" spans="1:9">
      <c r="A233" s="604" t="s">
        <v>844</v>
      </c>
      <c r="B233" s="246"/>
      <c r="C233" s="246">
        <v>300000000</v>
      </c>
      <c r="D233" s="246"/>
      <c r="E233" s="246"/>
      <c r="F233" s="246"/>
      <c r="G233" s="246"/>
      <c r="H233" s="246"/>
      <c r="I233" s="246">
        <v>300000000</v>
      </c>
    </row>
    <row r="234" spans="1:9">
      <c r="A234" s="605" t="s">
        <v>845</v>
      </c>
      <c r="B234" s="246"/>
      <c r="C234" s="246">
        <v>300000000</v>
      </c>
      <c r="D234" s="246"/>
      <c r="E234" s="246"/>
      <c r="F234" s="246"/>
      <c r="G234" s="246"/>
      <c r="H234" s="246"/>
      <c r="I234" s="246">
        <v>300000000</v>
      </c>
    </row>
    <row r="235" spans="1:9">
      <c r="A235" s="604" t="s">
        <v>264</v>
      </c>
      <c r="B235" s="246"/>
      <c r="C235" s="246">
        <v>695653000</v>
      </c>
      <c r="D235" s="246"/>
      <c r="E235" s="246"/>
      <c r="F235" s="246"/>
      <c r="G235" s="246"/>
      <c r="H235" s="246"/>
      <c r="I235" s="246">
        <v>695653000</v>
      </c>
    </row>
    <row r="236" spans="1:9">
      <c r="A236" s="605" t="s">
        <v>294</v>
      </c>
      <c r="B236" s="246"/>
      <c r="C236" s="246">
        <v>695653000</v>
      </c>
      <c r="D236" s="246"/>
      <c r="E236" s="246"/>
      <c r="F236" s="246"/>
      <c r="G236" s="246"/>
      <c r="H236" s="246"/>
      <c r="I236" s="246">
        <v>695653000</v>
      </c>
    </row>
    <row r="237" spans="1:9">
      <c r="A237" s="604" t="s">
        <v>213</v>
      </c>
      <c r="B237" s="246">
        <v>125000000</v>
      </c>
      <c r="C237" s="246"/>
      <c r="D237" s="246"/>
      <c r="E237" s="246"/>
      <c r="F237" s="246"/>
      <c r="G237" s="246"/>
      <c r="H237" s="246"/>
      <c r="I237" s="246">
        <v>125000000</v>
      </c>
    </row>
    <row r="238" spans="1:9">
      <c r="A238" s="605" t="s">
        <v>214</v>
      </c>
      <c r="B238" s="246">
        <v>125000000</v>
      </c>
      <c r="C238" s="246"/>
      <c r="D238" s="246"/>
      <c r="E238" s="246"/>
      <c r="F238" s="246"/>
      <c r="G238" s="246"/>
      <c r="H238" s="246"/>
      <c r="I238" s="246">
        <v>125000000</v>
      </c>
    </row>
    <row r="239" spans="1:9">
      <c r="A239" s="604" t="s">
        <v>1347</v>
      </c>
      <c r="B239" s="246">
        <v>200000000</v>
      </c>
      <c r="C239" s="246"/>
      <c r="D239" s="246"/>
      <c r="E239" s="246"/>
      <c r="F239" s="246"/>
      <c r="G239" s="246"/>
      <c r="H239" s="246"/>
      <c r="I239" s="246">
        <v>200000000</v>
      </c>
    </row>
    <row r="240" spans="1:9">
      <c r="A240" s="605" t="s">
        <v>1348</v>
      </c>
      <c r="B240" s="246">
        <v>200000000</v>
      </c>
      <c r="C240" s="246"/>
      <c r="D240" s="246"/>
      <c r="E240" s="246"/>
      <c r="F240" s="246"/>
      <c r="G240" s="246"/>
      <c r="H240" s="246"/>
      <c r="I240" s="246">
        <v>200000000</v>
      </c>
    </row>
    <row r="241" spans="1:9">
      <c r="A241" s="603" t="s">
        <v>26</v>
      </c>
      <c r="B241" s="246"/>
      <c r="C241" s="246">
        <v>4000000000</v>
      </c>
      <c r="D241" s="246"/>
      <c r="E241" s="246"/>
      <c r="F241" s="246"/>
      <c r="G241" s="246">
        <v>199020000</v>
      </c>
      <c r="H241" s="246"/>
      <c r="I241" s="246">
        <v>4199020000</v>
      </c>
    </row>
    <row r="242" spans="1:9">
      <c r="A242" s="604" t="s">
        <v>1108</v>
      </c>
      <c r="B242" s="246"/>
      <c r="C242" s="246"/>
      <c r="D242" s="246"/>
      <c r="E242" s="246"/>
      <c r="F242" s="246"/>
      <c r="G242" s="246">
        <v>199020000</v>
      </c>
      <c r="H242" s="246"/>
      <c r="I242" s="246">
        <v>199020000</v>
      </c>
    </row>
    <row r="243" spans="1:9">
      <c r="A243" s="605" t="s">
        <v>1110</v>
      </c>
      <c r="B243" s="246"/>
      <c r="C243" s="246"/>
      <c r="D243" s="246"/>
      <c r="E243" s="246"/>
      <c r="F243" s="246"/>
      <c r="G243" s="246">
        <v>199020000</v>
      </c>
      <c r="H243" s="246"/>
      <c r="I243" s="246">
        <v>199020000</v>
      </c>
    </row>
    <row r="244" spans="1:9">
      <c r="A244" s="604" t="s">
        <v>1341</v>
      </c>
      <c r="B244" s="246"/>
      <c r="C244" s="246">
        <v>1300000000</v>
      </c>
      <c r="D244" s="246"/>
      <c r="E244" s="246"/>
      <c r="F244" s="246"/>
      <c r="G244" s="246"/>
      <c r="H244" s="246"/>
      <c r="I244" s="246">
        <v>1300000000</v>
      </c>
    </row>
    <row r="245" spans="1:9">
      <c r="A245" s="605" t="s">
        <v>26</v>
      </c>
      <c r="B245" s="246"/>
      <c r="C245" s="246">
        <v>1300000000</v>
      </c>
      <c r="D245" s="246"/>
      <c r="E245" s="246"/>
      <c r="F245" s="246"/>
      <c r="G245" s="246"/>
      <c r="H245" s="246"/>
      <c r="I245" s="246">
        <v>1300000000</v>
      </c>
    </row>
    <row r="246" spans="1:9">
      <c r="A246" s="604" t="s">
        <v>1344</v>
      </c>
      <c r="B246" s="246"/>
      <c r="C246" s="246">
        <v>1500000000</v>
      </c>
      <c r="D246" s="246"/>
      <c r="E246" s="246"/>
      <c r="F246" s="246"/>
      <c r="G246" s="246"/>
      <c r="H246" s="246"/>
      <c r="I246" s="246">
        <v>1500000000</v>
      </c>
    </row>
    <row r="247" spans="1:9">
      <c r="A247" s="605" t="s">
        <v>26</v>
      </c>
      <c r="B247" s="246"/>
      <c r="C247" s="246">
        <v>1500000000</v>
      </c>
      <c r="D247" s="246"/>
      <c r="E247" s="246"/>
      <c r="F247" s="246"/>
      <c r="G247" s="246"/>
      <c r="H247" s="246"/>
      <c r="I247" s="246">
        <v>1500000000</v>
      </c>
    </row>
    <row r="248" spans="1:9">
      <c r="A248" s="604" t="s">
        <v>1346</v>
      </c>
      <c r="B248" s="246"/>
      <c r="C248" s="246">
        <v>1200000000</v>
      </c>
      <c r="D248" s="246"/>
      <c r="E248" s="246"/>
      <c r="F248" s="246"/>
      <c r="G248" s="246"/>
      <c r="H248" s="246"/>
      <c r="I248" s="246">
        <v>1200000000</v>
      </c>
    </row>
    <row r="249" spans="1:9">
      <c r="A249" s="605" t="s">
        <v>26</v>
      </c>
      <c r="B249" s="246"/>
      <c r="C249" s="246">
        <v>1200000000</v>
      </c>
      <c r="D249" s="246"/>
      <c r="E249" s="246"/>
      <c r="F249" s="246"/>
      <c r="G249" s="246"/>
      <c r="H249" s="246"/>
      <c r="I249" s="246">
        <v>1200000000</v>
      </c>
    </row>
    <row r="250" spans="1:9">
      <c r="A250" s="407" t="s">
        <v>1396</v>
      </c>
      <c r="B250" s="246">
        <v>20148090000</v>
      </c>
      <c r="C250" s="246">
        <v>35958480000</v>
      </c>
      <c r="D250" s="246">
        <v>26104972000</v>
      </c>
      <c r="E250" s="246">
        <v>11646053000</v>
      </c>
      <c r="F250" s="246">
        <v>18452952700</v>
      </c>
      <c r="G250" s="246">
        <v>4976540000</v>
      </c>
      <c r="H250" s="246">
        <v>4460000000</v>
      </c>
      <c r="I250" s="246">
        <v>121747087700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2:M33"/>
  <sheetViews>
    <sheetView workbookViewId="0">
      <selection activeCell="C2" sqref="C2"/>
    </sheetView>
  </sheetViews>
  <sheetFormatPr defaultColWidth="9" defaultRowHeight="14.4"/>
  <cols>
    <col min="8" max="8" width="11.33203125" bestFit="1" customWidth="1"/>
    <col min="12" max="12" width="9.109375" bestFit="1" customWidth="1"/>
    <col min="13" max="13" width="35.88671875" bestFit="1" customWidth="1"/>
  </cols>
  <sheetData>
    <row r="2" spans="3:13">
      <c r="C2" s="345">
        <v>44562</v>
      </c>
      <c r="D2" t="s">
        <v>169</v>
      </c>
      <c r="E2" s="346" t="s">
        <v>24</v>
      </c>
      <c r="F2" s="346" t="s">
        <v>149</v>
      </c>
      <c r="G2" t="s">
        <v>25</v>
      </c>
      <c r="H2" t="s">
        <v>26</v>
      </c>
      <c r="I2" t="s">
        <v>40</v>
      </c>
      <c r="J2" t="s">
        <v>164</v>
      </c>
      <c r="L2" s="392" t="s">
        <v>1411</v>
      </c>
      <c r="M2" s="393" t="s">
        <v>1412</v>
      </c>
    </row>
    <row r="3" spans="3:13">
      <c r="C3" s="345">
        <f>C2+31</f>
        <v>44593</v>
      </c>
      <c r="D3" t="s">
        <v>185</v>
      </c>
      <c r="E3" s="346" t="s">
        <v>90</v>
      </c>
      <c r="F3" s="388" t="s">
        <v>341</v>
      </c>
      <c r="G3" t="s">
        <v>43</v>
      </c>
      <c r="H3" t="s">
        <v>33</v>
      </c>
      <c r="I3" t="s">
        <v>72</v>
      </c>
      <c r="J3" t="s">
        <v>148</v>
      </c>
      <c r="L3" s="394" t="s">
        <v>321</v>
      </c>
      <c r="M3" s="395" t="s">
        <v>1413</v>
      </c>
    </row>
    <row r="4" spans="3:13">
      <c r="C4" s="345">
        <f t="shared" ref="C4:C25" si="0">C3+31</f>
        <v>44624</v>
      </c>
      <c r="D4" t="s">
        <v>152</v>
      </c>
      <c r="E4" t="s">
        <v>338</v>
      </c>
      <c r="G4" t="s">
        <v>54</v>
      </c>
      <c r="H4" t="s">
        <v>88</v>
      </c>
      <c r="I4" t="s">
        <v>44</v>
      </c>
      <c r="J4" t="s">
        <v>145</v>
      </c>
      <c r="L4" s="396" t="s">
        <v>531</v>
      </c>
      <c r="M4" s="397" t="s">
        <v>1414</v>
      </c>
    </row>
    <row r="5" spans="3:13">
      <c r="C5" s="345">
        <f t="shared" si="0"/>
        <v>44655</v>
      </c>
      <c r="D5" t="s">
        <v>1415</v>
      </c>
      <c r="G5" t="s">
        <v>96</v>
      </c>
      <c r="H5" t="s">
        <v>1416</v>
      </c>
      <c r="I5" t="s">
        <v>30</v>
      </c>
      <c r="J5" t="s">
        <v>154</v>
      </c>
      <c r="L5" s="396" t="s">
        <v>667</v>
      </c>
      <c r="M5" s="397" t="s">
        <v>1417</v>
      </c>
    </row>
    <row r="6" spans="3:13">
      <c r="C6" s="345">
        <f t="shared" si="0"/>
        <v>44686</v>
      </c>
      <c r="G6" t="s">
        <v>103</v>
      </c>
      <c r="H6" t="s">
        <v>1355</v>
      </c>
      <c r="I6" t="s">
        <v>27</v>
      </c>
      <c r="J6" t="s">
        <v>332</v>
      </c>
      <c r="L6" s="396" t="s">
        <v>1418</v>
      </c>
      <c r="M6" s="397" t="s">
        <v>1419</v>
      </c>
    </row>
    <row r="7" spans="3:13">
      <c r="C7" s="345">
        <f t="shared" si="0"/>
        <v>44717</v>
      </c>
      <c r="G7" t="s">
        <v>227</v>
      </c>
      <c r="H7" t="s">
        <v>600</v>
      </c>
      <c r="I7" t="s">
        <v>94</v>
      </c>
      <c r="L7" s="396" t="s">
        <v>1420</v>
      </c>
      <c r="M7" s="397" t="s">
        <v>1421</v>
      </c>
    </row>
    <row r="8" spans="3:13">
      <c r="C8" s="345">
        <f t="shared" si="0"/>
        <v>44748</v>
      </c>
      <c r="G8" t="s">
        <v>201</v>
      </c>
      <c r="H8" t="s">
        <v>1211</v>
      </c>
      <c r="I8" t="s">
        <v>67</v>
      </c>
      <c r="L8" s="396" t="s">
        <v>361</v>
      </c>
      <c r="M8" s="397" t="s">
        <v>1422</v>
      </c>
    </row>
    <row r="9" spans="3:13">
      <c r="C9" s="345">
        <f t="shared" si="0"/>
        <v>44779</v>
      </c>
      <c r="G9" t="s">
        <v>144</v>
      </c>
      <c r="H9" t="s">
        <v>147</v>
      </c>
      <c r="I9" t="s">
        <v>340</v>
      </c>
      <c r="L9" s="396" t="s">
        <v>1423</v>
      </c>
      <c r="M9" s="397" t="s">
        <v>1424</v>
      </c>
    </row>
    <row r="10" spans="3:13">
      <c r="C10" s="345">
        <f t="shared" si="0"/>
        <v>44810</v>
      </c>
      <c r="G10" t="s">
        <v>204</v>
      </c>
      <c r="L10" s="396" t="s">
        <v>1425</v>
      </c>
      <c r="M10" s="397" t="s">
        <v>1426</v>
      </c>
    </row>
    <row r="11" spans="3:13">
      <c r="C11" s="345">
        <f t="shared" si="0"/>
        <v>44841</v>
      </c>
      <c r="G11" t="s">
        <v>185</v>
      </c>
      <c r="L11" s="396" t="s">
        <v>1427</v>
      </c>
      <c r="M11" s="397" t="s">
        <v>1428</v>
      </c>
    </row>
    <row r="12" spans="3:13">
      <c r="C12" s="345">
        <f t="shared" si="0"/>
        <v>44872</v>
      </c>
      <c r="G12" t="s">
        <v>331</v>
      </c>
      <c r="L12" s="396" t="s">
        <v>263</v>
      </c>
      <c r="M12" s="397" t="s">
        <v>1429</v>
      </c>
    </row>
    <row r="13" spans="3:13">
      <c r="C13" s="345">
        <f t="shared" si="0"/>
        <v>44903</v>
      </c>
      <c r="G13" t="s">
        <v>153</v>
      </c>
      <c r="L13" s="396" t="s">
        <v>1430</v>
      </c>
      <c r="M13" s="397" t="s">
        <v>1431</v>
      </c>
    </row>
    <row r="14" spans="3:13">
      <c r="C14" s="345">
        <f t="shared" si="0"/>
        <v>44934</v>
      </c>
      <c r="G14" t="s">
        <v>170</v>
      </c>
      <c r="L14" s="396" t="s">
        <v>437</v>
      </c>
      <c r="M14" s="397" t="s">
        <v>1432</v>
      </c>
    </row>
    <row r="15" spans="3:13">
      <c r="C15" s="345">
        <f t="shared" si="0"/>
        <v>44965</v>
      </c>
      <c r="L15" s="396" t="s">
        <v>266</v>
      </c>
      <c r="M15" s="397" t="s">
        <v>1433</v>
      </c>
    </row>
    <row r="16" spans="3:13">
      <c r="C16" s="345">
        <f t="shared" si="0"/>
        <v>44996</v>
      </c>
      <c r="L16" s="396" t="s">
        <v>253</v>
      </c>
      <c r="M16" s="397" t="s">
        <v>1434</v>
      </c>
    </row>
    <row r="17" spans="3:13">
      <c r="C17" s="345">
        <f t="shared" si="0"/>
        <v>45027</v>
      </c>
      <c r="L17" s="396" t="s">
        <v>1435</v>
      </c>
      <c r="M17" s="397" t="s">
        <v>1436</v>
      </c>
    </row>
    <row r="18" spans="3:13">
      <c r="C18" s="345">
        <f t="shared" si="0"/>
        <v>45058</v>
      </c>
      <c r="L18" s="396" t="s">
        <v>1144</v>
      </c>
      <c r="M18" s="397" t="s">
        <v>1437</v>
      </c>
    </row>
    <row r="19" spans="3:13">
      <c r="C19" s="345">
        <f t="shared" si="0"/>
        <v>45089</v>
      </c>
      <c r="L19" s="396" t="s">
        <v>226</v>
      </c>
      <c r="M19" s="397" t="s">
        <v>1438</v>
      </c>
    </row>
    <row r="20" spans="3:13">
      <c r="C20" s="345">
        <f t="shared" si="0"/>
        <v>45120</v>
      </c>
    </row>
    <row r="21" spans="3:13">
      <c r="C21" s="345">
        <f t="shared" si="0"/>
        <v>45151</v>
      </c>
    </row>
    <row r="22" spans="3:13">
      <c r="C22" s="345">
        <f t="shared" si="0"/>
        <v>45182</v>
      </c>
    </row>
    <row r="23" spans="3:13">
      <c r="C23" s="345">
        <f t="shared" si="0"/>
        <v>45213</v>
      </c>
    </row>
    <row r="24" spans="3:13">
      <c r="C24" s="345">
        <f t="shared" si="0"/>
        <v>45244</v>
      </c>
    </row>
    <row r="25" spans="3:13">
      <c r="C25" s="345">
        <f t="shared" si="0"/>
        <v>45275</v>
      </c>
    </row>
    <row r="33" spans="6:6">
      <c r="F33" t="s">
        <v>1439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BD9F-4A6E-41BC-B309-7572659E4492}">
  <dimension ref="A2:Q15"/>
  <sheetViews>
    <sheetView workbookViewId="0">
      <selection activeCell="Y7" sqref="Y7"/>
    </sheetView>
  </sheetViews>
  <sheetFormatPr defaultRowHeight="14.4"/>
  <cols>
    <col min="1" max="1" width="16.77734375" bestFit="1" customWidth="1"/>
    <col min="2" max="2" width="17.88671875" hidden="1" customWidth="1"/>
    <col min="3" max="6" width="12.77734375" hidden="1" customWidth="1"/>
    <col min="7" max="10" width="13.88671875" hidden="1" customWidth="1"/>
    <col min="11" max="11" width="12.77734375" hidden="1" customWidth="1"/>
    <col min="12" max="12" width="13.88671875" hidden="1" customWidth="1"/>
    <col min="13" max="14" width="12.77734375" hidden="1" customWidth="1"/>
    <col min="15" max="16" width="12.77734375" bestFit="1" customWidth="1"/>
    <col min="17" max="17" width="14.88671875" bestFit="1" customWidth="1"/>
    <col min="18" max="187" width="10.33203125" bestFit="1" customWidth="1"/>
    <col min="188" max="188" width="7.33203125" bestFit="1" customWidth="1"/>
    <col min="189" max="189" width="11.33203125" bestFit="1" customWidth="1"/>
  </cols>
  <sheetData>
    <row r="2" spans="1:17">
      <c r="A2" s="406" t="s">
        <v>139</v>
      </c>
      <c r="B2" t="s">
        <v>1409</v>
      </c>
    </row>
    <row r="4" spans="1:17">
      <c r="A4" s="406" t="s">
        <v>1391</v>
      </c>
      <c r="B4" s="406" t="s">
        <v>1392</v>
      </c>
    </row>
    <row r="5" spans="1:17">
      <c r="B5" t="s">
        <v>1393</v>
      </c>
      <c r="D5" t="s">
        <v>1394</v>
      </c>
      <c r="P5" t="s">
        <v>1395</v>
      </c>
      <c r="Q5" t="s">
        <v>1396</v>
      </c>
    </row>
    <row r="6" spans="1:17">
      <c r="B6" t="s">
        <v>1397</v>
      </c>
      <c r="C6" t="s">
        <v>1398</v>
      </c>
      <c r="D6" t="s">
        <v>1399</v>
      </c>
      <c r="E6" t="s">
        <v>1400</v>
      </c>
      <c r="F6" t="s">
        <v>1401</v>
      </c>
      <c r="G6" t="s">
        <v>1402</v>
      </c>
      <c r="H6" t="s">
        <v>10</v>
      </c>
      <c r="I6" t="s">
        <v>1403</v>
      </c>
      <c r="J6" t="s">
        <v>1404</v>
      </c>
      <c r="K6" t="s">
        <v>1405</v>
      </c>
      <c r="L6" t="s">
        <v>1406</v>
      </c>
      <c r="M6" t="s">
        <v>1407</v>
      </c>
      <c r="N6" t="s">
        <v>1397</v>
      </c>
      <c r="O6" t="s">
        <v>1398</v>
      </c>
      <c r="P6" t="s">
        <v>1399</v>
      </c>
    </row>
    <row r="7" spans="1:17">
      <c r="A7" s="406" t="s">
        <v>1408</v>
      </c>
    </row>
    <row r="8" spans="1:17">
      <c r="A8" s="407" t="s">
        <v>33</v>
      </c>
      <c r="B8" s="246">
        <v>7750850000</v>
      </c>
      <c r="C8" s="246">
        <v>3557902249.5</v>
      </c>
      <c r="D8" s="246">
        <v>3977710000</v>
      </c>
      <c r="E8" s="246">
        <v>3433074600</v>
      </c>
      <c r="F8" s="246">
        <v>332813800</v>
      </c>
      <c r="G8" s="246">
        <v>46400000</v>
      </c>
      <c r="H8" s="246">
        <v>728045000</v>
      </c>
      <c r="I8" s="246">
        <v>1411500000</v>
      </c>
      <c r="J8" s="246">
        <v>6525000000</v>
      </c>
      <c r="K8" s="246">
        <v>14764753000</v>
      </c>
      <c r="L8" s="246">
        <v>15949894180</v>
      </c>
      <c r="M8" s="246">
        <v>4759717980</v>
      </c>
      <c r="N8" s="246"/>
      <c r="O8" s="246">
        <v>165000000</v>
      </c>
      <c r="P8" s="246"/>
      <c r="Q8" s="246">
        <v>63402660809.5</v>
      </c>
    </row>
    <row r="9" spans="1:17">
      <c r="A9" s="407" t="s">
        <v>88</v>
      </c>
      <c r="B9" s="246"/>
      <c r="C9" s="246"/>
      <c r="D9" s="246"/>
      <c r="E9" s="246">
        <v>26841600</v>
      </c>
      <c r="F9" s="246"/>
      <c r="G9" s="246">
        <v>106932000</v>
      </c>
      <c r="H9" s="246"/>
      <c r="I9" s="246"/>
      <c r="J9" s="246">
        <v>55062530</v>
      </c>
      <c r="K9" s="246">
        <v>118099245</v>
      </c>
      <c r="L9" s="246"/>
      <c r="M9" s="246"/>
      <c r="N9" s="246"/>
      <c r="O9" s="246"/>
      <c r="P9" s="246"/>
      <c r="Q9" s="246">
        <v>306935375</v>
      </c>
    </row>
    <row r="10" spans="1:17">
      <c r="A10" s="407" t="s">
        <v>26</v>
      </c>
      <c r="B10" s="246">
        <v>32000000</v>
      </c>
      <c r="C10" s="246">
        <v>5894290000</v>
      </c>
      <c r="D10" s="246">
        <v>448000000</v>
      </c>
      <c r="E10" s="246">
        <v>5065056280</v>
      </c>
      <c r="F10" s="246">
        <v>5370505500</v>
      </c>
      <c r="G10" s="246">
        <v>2861000000</v>
      </c>
      <c r="H10" s="246">
        <v>6410593500</v>
      </c>
      <c r="I10" s="246">
        <v>1648200000</v>
      </c>
      <c r="J10" s="246">
        <v>16765000000</v>
      </c>
      <c r="K10" s="246">
        <v>6687500000</v>
      </c>
      <c r="L10" s="246">
        <v>12245740000</v>
      </c>
      <c r="M10" s="246">
        <v>5258000000</v>
      </c>
      <c r="N10" s="246">
        <v>8338750000</v>
      </c>
      <c r="O10" s="246">
        <v>4450210000</v>
      </c>
      <c r="P10" s="246">
        <v>4460000000</v>
      </c>
      <c r="Q10" s="246">
        <v>85934845280</v>
      </c>
    </row>
    <row r="11" spans="1:17">
      <c r="A11" s="407" t="s">
        <v>1410</v>
      </c>
      <c r="B11" s="246"/>
      <c r="C11" s="246"/>
      <c r="D11" s="246"/>
      <c r="E11" s="246"/>
      <c r="F11" s="246"/>
      <c r="G11" s="246"/>
      <c r="H11" s="246"/>
      <c r="I11" s="246"/>
      <c r="J11" s="246">
        <v>950000000</v>
      </c>
      <c r="K11" s="246"/>
      <c r="L11" s="246"/>
      <c r="M11" s="246"/>
      <c r="N11" s="246"/>
      <c r="O11" s="246"/>
      <c r="P11" s="246"/>
      <c r="Q11" s="246">
        <v>950000000</v>
      </c>
    </row>
    <row r="12" spans="1:17">
      <c r="A12" s="602" t="s">
        <v>27</v>
      </c>
      <c r="B12" s="246"/>
      <c r="C12" s="246"/>
      <c r="D12" s="246"/>
      <c r="E12" s="246"/>
      <c r="F12" s="246"/>
      <c r="G12" s="246"/>
      <c r="H12" s="246"/>
      <c r="I12" s="246"/>
      <c r="J12" s="246">
        <v>950000000</v>
      </c>
      <c r="K12" s="246"/>
      <c r="L12" s="246"/>
      <c r="M12" s="246"/>
      <c r="N12" s="246"/>
      <c r="O12" s="246"/>
      <c r="P12" s="246"/>
      <c r="Q12" s="246">
        <v>950000000</v>
      </c>
    </row>
    <row r="13" spans="1:17">
      <c r="A13" s="407" t="s">
        <v>1355</v>
      </c>
      <c r="B13" s="246"/>
      <c r="C13" s="246"/>
      <c r="D13" s="246"/>
      <c r="E13" s="246"/>
      <c r="F13" s="246"/>
      <c r="G13" s="246"/>
      <c r="H13" s="246">
        <v>112000000</v>
      </c>
      <c r="I13" s="246"/>
      <c r="J13" s="246"/>
      <c r="K13" s="246"/>
      <c r="L13" s="246"/>
      <c r="M13" s="246"/>
      <c r="N13" s="246"/>
      <c r="O13" s="246"/>
      <c r="P13" s="246"/>
      <c r="Q13" s="246">
        <v>112000000</v>
      </c>
    </row>
    <row r="14" spans="1:17">
      <c r="A14" s="602" t="s">
        <v>40</v>
      </c>
      <c r="B14" s="246"/>
      <c r="C14" s="246"/>
      <c r="D14" s="246"/>
      <c r="E14" s="246"/>
      <c r="F14" s="246"/>
      <c r="G14" s="246"/>
      <c r="H14" s="246">
        <v>112000000</v>
      </c>
      <c r="I14" s="246"/>
      <c r="J14" s="246"/>
      <c r="K14" s="246"/>
      <c r="L14" s="246"/>
      <c r="M14" s="246"/>
      <c r="N14" s="246"/>
      <c r="O14" s="246"/>
      <c r="P14" s="246"/>
      <c r="Q14" s="246">
        <v>112000000</v>
      </c>
    </row>
    <row r="15" spans="1:17">
      <c r="A15" s="407" t="s">
        <v>1396</v>
      </c>
      <c r="B15" s="246">
        <v>7782850000</v>
      </c>
      <c r="C15" s="246">
        <v>9452192249.5</v>
      </c>
      <c r="D15" s="246">
        <v>4425710000</v>
      </c>
      <c r="E15" s="246">
        <v>8524972480</v>
      </c>
      <c r="F15" s="246">
        <v>5703319300</v>
      </c>
      <c r="G15" s="246">
        <v>3014332000</v>
      </c>
      <c r="H15" s="246">
        <v>7250638500</v>
      </c>
      <c r="I15" s="246">
        <v>3059700000</v>
      </c>
      <c r="J15" s="246">
        <v>24295062530</v>
      </c>
      <c r="K15" s="246">
        <v>21570352245</v>
      </c>
      <c r="L15" s="246">
        <v>28195634180</v>
      </c>
      <c r="M15" s="246">
        <v>10017717980</v>
      </c>
      <c r="N15" s="246">
        <v>8338750000</v>
      </c>
      <c r="O15" s="246">
        <v>4615210000</v>
      </c>
      <c r="P15" s="246">
        <v>4460000000</v>
      </c>
      <c r="Q15" s="246">
        <v>150706441464.5</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00"/>
  <sheetViews>
    <sheetView workbookViewId="0">
      <pane xSplit="8" ySplit="2" topLeftCell="I3" activePane="bottomRight" state="frozen"/>
      <selection pane="topRight"/>
      <selection pane="bottomLeft"/>
      <selection pane="bottomRight"/>
    </sheetView>
  </sheetViews>
  <sheetFormatPr defaultColWidth="14.33203125" defaultRowHeight="15" customHeight="1"/>
  <cols>
    <col min="1" max="1" width="9" customWidth="1"/>
    <col min="2" max="2" width="9.33203125" customWidth="1"/>
    <col min="3" max="3" width="25.33203125" customWidth="1"/>
    <col min="4" max="4" width="10.33203125" customWidth="1"/>
    <col min="5" max="6" width="9" customWidth="1"/>
    <col min="7" max="7" width="20.33203125" customWidth="1"/>
    <col min="8" max="8" width="10.88671875" customWidth="1"/>
    <col min="9" max="9" width="13.33203125" customWidth="1"/>
    <col min="10" max="10" width="14.33203125" customWidth="1"/>
    <col min="11" max="11" width="15.109375" customWidth="1"/>
    <col min="12" max="12" width="15.33203125" customWidth="1"/>
    <col min="13" max="13" width="14.33203125" customWidth="1"/>
    <col min="14" max="14" width="14.88671875" customWidth="1"/>
    <col min="15" max="16" width="14.33203125" customWidth="1"/>
    <col min="17" max="17" width="74.109375" customWidth="1"/>
  </cols>
  <sheetData>
    <row r="1" spans="1:17" ht="14.25" customHeight="1">
      <c r="A1" s="263"/>
      <c r="B1" s="263"/>
      <c r="C1" s="263"/>
      <c r="D1" s="263"/>
      <c r="E1" s="263"/>
      <c r="F1" s="264" t="s">
        <v>0</v>
      </c>
      <c r="G1" s="265">
        <f>SUM(G3:G233)</f>
        <v>67923999000</v>
      </c>
      <c r="H1" s="263"/>
      <c r="I1" s="304">
        <f t="shared" ref="I1:P1" si="0">SUBTOTAL(9,I3:I60)</f>
        <v>3484500000</v>
      </c>
      <c r="J1" s="304">
        <f t="shared" si="0"/>
        <v>6121829000</v>
      </c>
      <c r="K1" s="304">
        <f t="shared" si="0"/>
        <v>1838164350</v>
      </c>
      <c r="L1" s="304">
        <f t="shared" si="0"/>
        <v>5837200000</v>
      </c>
      <c r="M1" s="304">
        <f t="shared" si="0"/>
        <v>9795575930</v>
      </c>
      <c r="N1" s="304">
        <f t="shared" si="0"/>
        <v>1446250000</v>
      </c>
      <c r="O1" s="304">
        <f t="shared" si="0"/>
        <v>11650000000</v>
      </c>
      <c r="P1" s="305">
        <f t="shared" si="0"/>
        <v>2000000000</v>
      </c>
      <c r="Q1" s="263"/>
    </row>
    <row r="2" spans="1:17" ht="14.25" customHeight="1">
      <c r="A2" s="263"/>
      <c r="B2" s="266" t="s">
        <v>1</v>
      </c>
      <c r="C2" s="267" t="s">
        <v>2</v>
      </c>
      <c r="D2" s="267" t="s">
        <v>3</v>
      </c>
      <c r="E2" s="267" t="s">
        <v>4</v>
      </c>
      <c r="F2" s="267" t="s">
        <v>5</v>
      </c>
      <c r="G2" s="268" t="s">
        <v>6</v>
      </c>
      <c r="H2" s="267" t="s">
        <v>7</v>
      </c>
      <c r="I2" s="306" t="s">
        <v>1397</v>
      </c>
      <c r="J2" s="306" t="s">
        <v>1398</v>
      </c>
      <c r="K2" s="306" t="s">
        <v>1399</v>
      </c>
      <c r="L2" s="306" t="s">
        <v>1400</v>
      </c>
      <c r="M2" s="307" t="s">
        <v>1401</v>
      </c>
      <c r="N2" s="307" t="s">
        <v>1402</v>
      </c>
      <c r="O2" s="307" t="s">
        <v>10</v>
      </c>
      <c r="P2" s="307" t="s">
        <v>1403</v>
      </c>
      <c r="Q2" s="334" t="s">
        <v>1440</v>
      </c>
    </row>
    <row r="3" spans="1:17" ht="14.25" customHeight="1">
      <c r="A3" s="263"/>
      <c r="B3" s="269">
        <v>1</v>
      </c>
      <c r="C3" s="270" t="s">
        <v>23</v>
      </c>
      <c r="D3" s="270" t="s">
        <v>24</v>
      </c>
      <c r="E3" s="270" t="s">
        <v>25</v>
      </c>
      <c r="F3" s="270" t="s">
        <v>26</v>
      </c>
      <c r="G3" s="271">
        <v>1000000000</v>
      </c>
      <c r="H3" s="272" t="s">
        <v>30</v>
      </c>
      <c r="I3" s="308"/>
      <c r="J3" s="308"/>
      <c r="K3" s="308"/>
      <c r="L3" s="308"/>
      <c r="M3" s="309"/>
      <c r="N3" s="309"/>
      <c r="O3" s="309"/>
      <c r="P3" s="309">
        <v>1000000000</v>
      </c>
      <c r="Q3" s="335" t="s">
        <v>1441</v>
      </c>
    </row>
    <row r="4" spans="1:17" ht="14.25" customHeight="1">
      <c r="A4" s="263"/>
      <c r="B4" s="273">
        <v>2</v>
      </c>
      <c r="C4" s="274" t="s">
        <v>29</v>
      </c>
      <c r="D4" s="274" t="s">
        <v>24</v>
      </c>
      <c r="E4" s="274" t="s">
        <v>25</v>
      </c>
      <c r="F4" s="274" t="s">
        <v>26</v>
      </c>
      <c r="G4" s="275">
        <v>3800000000</v>
      </c>
      <c r="H4" s="276" t="s">
        <v>27</v>
      </c>
      <c r="I4" s="274"/>
      <c r="J4" s="274"/>
      <c r="K4" s="274"/>
      <c r="L4" s="274"/>
      <c r="M4" s="310"/>
      <c r="N4" s="310"/>
      <c r="O4" s="310">
        <v>3800000000</v>
      </c>
      <c r="P4" s="310"/>
      <c r="Q4" s="335" t="s">
        <v>1442</v>
      </c>
    </row>
    <row r="5" spans="1:17" ht="14.25" customHeight="1">
      <c r="A5" s="263"/>
      <c r="B5" s="277">
        <f t="shared" ref="B5:B60" si="1">B4+1</f>
        <v>3</v>
      </c>
      <c r="C5" s="278" t="s">
        <v>1443</v>
      </c>
      <c r="D5" s="278" t="s">
        <v>24</v>
      </c>
      <c r="E5" s="278" t="s">
        <v>25</v>
      </c>
      <c r="F5" s="278" t="s">
        <v>26</v>
      </c>
      <c r="G5" s="279">
        <v>4050000000</v>
      </c>
      <c r="H5" s="280" t="s">
        <v>27</v>
      </c>
      <c r="I5" s="278"/>
      <c r="J5" s="278"/>
      <c r="K5" s="311"/>
      <c r="L5" s="278"/>
      <c r="M5" s="309"/>
      <c r="N5" s="309"/>
      <c r="O5" s="309"/>
      <c r="P5" s="309"/>
      <c r="Q5" s="336" t="s">
        <v>1444</v>
      </c>
    </row>
    <row r="6" spans="1:17" ht="14.25" customHeight="1">
      <c r="A6" s="263"/>
      <c r="B6" s="273">
        <f t="shared" si="1"/>
        <v>4</v>
      </c>
      <c r="C6" s="274" t="s">
        <v>1445</v>
      </c>
      <c r="D6" s="274" t="s">
        <v>24</v>
      </c>
      <c r="E6" s="274" t="s">
        <v>25</v>
      </c>
      <c r="F6" s="274" t="s">
        <v>26</v>
      </c>
      <c r="G6" s="275">
        <v>4200000000</v>
      </c>
      <c r="H6" s="281" t="s">
        <v>1446</v>
      </c>
      <c r="I6" s="274"/>
      <c r="J6" s="274"/>
      <c r="K6" s="312"/>
      <c r="L6" s="274"/>
      <c r="M6" s="313"/>
      <c r="N6" s="313"/>
      <c r="O6" s="313"/>
      <c r="P6" s="313"/>
      <c r="Q6" s="335" t="s">
        <v>1447</v>
      </c>
    </row>
    <row r="7" spans="1:17" ht="14.25" customHeight="1">
      <c r="A7" s="263"/>
      <c r="B7" s="277">
        <f t="shared" si="1"/>
        <v>5</v>
      </c>
      <c r="C7" s="278" t="s">
        <v>1448</v>
      </c>
      <c r="D7" s="278" t="s">
        <v>24</v>
      </c>
      <c r="E7" s="278" t="s">
        <v>25</v>
      </c>
      <c r="F7" s="278" t="s">
        <v>26</v>
      </c>
      <c r="G7" s="279">
        <v>1100000000</v>
      </c>
      <c r="H7" s="282" t="s">
        <v>40</v>
      </c>
      <c r="I7" s="314"/>
      <c r="J7" s="314"/>
      <c r="K7" s="314"/>
      <c r="L7" s="314"/>
      <c r="M7" s="315">
        <v>1100000000</v>
      </c>
      <c r="N7" s="316"/>
      <c r="O7" s="316"/>
      <c r="P7" s="316"/>
      <c r="Q7" s="335" t="s">
        <v>1449</v>
      </c>
    </row>
    <row r="8" spans="1:17" ht="14.25" customHeight="1">
      <c r="A8" s="263"/>
      <c r="B8" s="273">
        <f t="shared" si="1"/>
        <v>6</v>
      </c>
      <c r="C8" s="274" t="s">
        <v>1448</v>
      </c>
      <c r="D8" s="274" t="s">
        <v>24</v>
      </c>
      <c r="E8" s="274" t="s">
        <v>25</v>
      </c>
      <c r="F8" s="274" t="s">
        <v>26</v>
      </c>
      <c r="G8" s="275">
        <v>2795000000</v>
      </c>
      <c r="H8" s="282" t="s">
        <v>40</v>
      </c>
      <c r="I8" s="274"/>
      <c r="J8" s="274"/>
      <c r="K8" s="274"/>
      <c r="L8" s="312"/>
      <c r="M8" s="315">
        <v>2795000000</v>
      </c>
      <c r="N8" s="310"/>
      <c r="O8" s="310"/>
      <c r="P8" s="310"/>
      <c r="Q8" s="335" t="s">
        <v>1449</v>
      </c>
    </row>
    <row r="9" spans="1:17" ht="14.25" customHeight="1">
      <c r="A9" s="263"/>
      <c r="B9" s="277">
        <f t="shared" si="1"/>
        <v>7</v>
      </c>
      <c r="C9" s="278" t="s">
        <v>38</v>
      </c>
      <c r="D9" s="278" t="s">
        <v>24</v>
      </c>
      <c r="E9" s="278" t="s">
        <v>25</v>
      </c>
      <c r="F9" s="278" t="s">
        <v>26</v>
      </c>
      <c r="G9" s="279">
        <v>1100000000</v>
      </c>
      <c r="H9" s="280" t="s">
        <v>30</v>
      </c>
      <c r="I9" s="278"/>
      <c r="J9" s="278"/>
      <c r="K9" s="278"/>
      <c r="L9" s="317"/>
      <c r="M9" s="316"/>
      <c r="N9" s="316"/>
      <c r="O9" s="314">
        <v>1000000000</v>
      </c>
      <c r="P9" s="314"/>
      <c r="Q9" s="335" t="s">
        <v>1450</v>
      </c>
    </row>
    <row r="10" spans="1:17" ht="14.25" customHeight="1">
      <c r="A10" s="263"/>
      <c r="B10" s="273">
        <f t="shared" si="1"/>
        <v>8</v>
      </c>
      <c r="C10" s="274" t="s">
        <v>32</v>
      </c>
      <c r="D10" s="274" t="s">
        <v>24</v>
      </c>
      <c r="E10" s="274" t="s">
        <v>25</v>
      </c>
      <c r="F10" s="274" t="s">
        <v>26</v>
      </c>
      <c r="G10" s="275">
        <v>752220000</v>
      </c>
      <c r="H10" s="281" t="s">
        <v>94</v>
      </c>
      <c r="I10" s="274"/>
      <c r="J10" s="312"/>
      <c r="K10" s="318"/>
      <c r="L10" s="312"/>
      <c r="M10" s="275"/>
      <c r="N10" s="310"/>
      <c r="O10" s="310"/>
      <c r="P10" s="310">
        <v>1000000000</v>
      </c>
      <c r="Q10" s="335" t="s">
        <v>1451</v>
      </c>
    </row>
    <row r="11" spans="1:17" ht="14.25" customHeight="1">
      <c r="A11" s="263"/>
      <c r="B11" s="277">
        <f t="shared" si="1"/>
        <v>9</v>
      </c>
      <c r="C11" s="278" t="s">
        <v>1452</v>
      </c>
      <c r="D11" s="278" t="s">
        <v>24</v>
      </c>
      <c r="E11" s="278" t="s">
        <v>25</v>
      </c>
      <c r="F11" s="278" t="s">
        <v>26</v>
      </c>
      <c r="G11" s="279">
        <v>3748000000</v>
      </c>
      <c r="H11" s="280" t="s">
        <v>27</v>
      </c>
      <c r="I11" s="278"/>
      <c r="J11" s="278"/>
      <c r="K11" s="278"/>
      <c r="L11" s="314"/>
      <c r="M11" s="316"/>
      <c r="N11" s="316"/>
      <c r="O11" s="316"/>
      <c r="P11" s="316"/>
      <c r="Q11" s="335" t="s">
        <v>1453</v>
      </c>
    </row>
    <row r="12" spans="1:17" ht="14.25" customHeight="1">
      <c r="A12" s="263"/>
      <c r="B12" s="273">
        <f t="shared" si="1"/>
        <v>10</v>
      </c>
      <c r="C12" s="274" t="s">
        <v>1454</v>
      </c>
      <c r="D12" s="274" t="s">
        <v>24</v>
      </c>
      <c r="E12" s="274" t="s">
        <v>25</v>
      </c>
      <c r="F12" s="274" t="s">
        <v>26</v>
      </c>
      <c r="G12" s="275">
        <v>1059000000</v>
      </c>
      <c r="H12" s="282" t="s">
        <v>40</v>
      </c>
      <c r="I12" s="274"/>
      <c r="J12" s="312"/>
      <c r="K12" s="319">
        <v>847200000</v>
      </c>
      <c r="L12" s="312"/>
      <c r="M12" s="312"/>
      <c r="N12" s="312"/>
      <c r="O12" s="312"/>
      <c r="P12" s="312"/>
      <c r="Q12" s="335"/>
    </row>
    <row r="13" spans="1:17" ht="14.25" customHeight="1">
      <c r="A13" s="263"/>
      <c r="B13" s="277">
        <f t="shared" si="1"/>
        <v>11</v>
      </c>
      <c r="C13" s="278" t="s">
        <v>1455</v>
      </c>
      <c r="D13" s="278" t="s">
        <v>24</v>
      </c>
      <c r="E13" s="278" t="s">
        <v>25</v>
      </c>
      <c r="F13" s="278" t="s">
        <v>33</v>
      </c>
      <c r="G13" s="279">
        <v>350000000</v>
      </c>
      <c r="H13" s="280" t="s">
        <v>30</v>
      </c>
      <c r="I13" s="278"/>
      <c r="J13" s="314"/>
      <c r="K13" s="278"/>
      <c r="L13" s="320"/>
      <c r="M13" s="314"/>
      <c r="N13" s="314">
        <v>350000000</v>
      </c>
      <c r="O13" s="314"/>
      <c r="P13" s="314"/>
      <c r="Q13" s="335"/>
    </row>
    <row r="14" spans="1:17" ht="14.25" customHeight="1">
      <c r="A14" s="263"/>
      <c r="B14" s="273">
        <f t="shared" si="1"/>
        <v>12</v>
      </c>
      <c r="C14" s="274" t="s">
        <v>1456</v>
      </c>
      <c r="D14" s="274" t="s">
        <v>24</v>
      </c>
      <c r="E14" s="274" t="s">
        <v>25</v>
      </c>
      <c r="F14" s="274" t="s">
        <v>1457</v>
      </c>
      <c r="G14" s="275">
        <v>500000000</v>
      </c>
      <c r="H14" s="276" t="s">
        <v>1458</v>
      </c>
      <c r="I14" s="274"/>
      <c r="J14" s="312"/>
      <c r="K14" s="274"/>
      <c r="L14" s="312"/>
      <c r="M14" s="312"/>
      <c r="N14" s="312"/>
      <c r="O14" s="312"/>
      <c r="P14" s="312"/>
      <c r="Q14" s="335" t="s">
        <v>1459</v>
      </c>
    </row>
    <row r="15" spans="1:17" ht="14.25" customHeight="1">
      <c r="A15" s="263"/>
      <c r="B15" s="277">
        <f t="shared" si="1"/>
        <v>13</v>
      </c>
      <c r="C15" s="278" t="s">
        <v>1460</v>
      </c>
      <c r="D15" s="278" t="s">
        <v>24</v>
      </c>
      <c r="E15" s="278" t="s">
        <v>25</v>
      </c>
      <c r="F15" s="278" t="s">
        <v>26</v>
      </c>
      <c r="G15" s="279">
        <v>1500000000</v>
      </c>
      <c r="H15" s="280" t="s">
        <v>27</v>
      </c>
      <c r="I15" s="278"/>
      <c r="J15" s="314"/>
      <c r="K15" s="278"/>
      <c r="L15" s="314"/>
      <c r="M15" s="314"/>
      <c r="N15" s="314"/>
      <c r="O15" s="314"/>
      <c r="P15" s="314"/>
      <c r="Q15" s="335"/>
    </row>
    <row r="16" spans="1:17" ht="14.25" customHeight="1">
      <c r="A16" s="263"/>
      <c r="B16" s="273">
        <f t="shared" si="1"/>
        <v>14</v>
      </c>
      <c r="C16" s="274" t="s">
        <v>1461</v>
      </c>
      <c r="D16" s="274" t="s">
        <v>24</v>
      </c>
      <c r="E16" s="274" t="s">
        <v>43</v>
      </c>
      <c r="F16" s="274" t="s">
        <v>33</v>
      </c>
      <c r="G16" s="275">
        <v>400000000</v>
      </c>
      <c r="H16" s="282" t="s">
        <v>40</v>
      </c>
      <c r="I16" s="274"/>
      <c r="J16" s="312"/>
      <c r="K16" s="319">
        <v>438964350</v>
      </c>
      <c r="L16" s="312"/>
      <c r="M16" s="310"/>
      <c r="N16" s="310"/>
      <c r="O16" s="310"/>
      <c r="P16" s="310"/>
      <c r="Q16" s="335"/>
    </row>
    <row r="17" spans="1:17" ht="14.25" customHeight="1">
      <c r="A17" s="263"/>
      <c r="B17" s="277">
        <f t="shared" si="1"/>
        <v>15</v>
      </c>
      <c r="C17" s="278" t="s">
        <v>1462</v>
      </c>
      <c r="D17" s="278" t="s">
        <v>24</v>
      </c>
      <c r="E17" s="278" t="s">
        <v>43</v>
      </c>
      <c r="F17" s="278" t="s">
        <v>33</v>
      </c>
      <c r="G17" s="279">
        <v>416000000</v>
      </c>
      <c r="H17" s="282" t="s">
        <v>40</v>
      </c>
      <c r="I17" s="314"/>
      <c r="J17" s="314"/>
      <c r="K17" s="319">
        <v>416000000</v>
      </c>
      <c r="L17" s="314"/>
      <c r="M17" s="316"/>
      <c r="N17" s="316"/>
      <c r="O17" s="316"/>
      <c r="P17" s="316"/>
      <c r="Q17" s="335" t="s">
        <v>1463</v>
      </c>
    </row>
    <row r="18" spans="1:17" ht="14.25" customHeight="1">
      <c r="A18" s="263"/>
      <c r="B18" s="273">
        <f t="shared" si="1"/>
        <v>16</v>
      </c>
      <c r="C18" s="274" t="s">
        <v>1462</v>
      </c>
      <c r="D18" s="274" t="s">
        <v>24</v>
      </c>
      <c r="E18" s="274" t="s">
        <v>43</v>
      </c>
      <c r="F18" s="274" t="s">
        <v>26</v>
      </c>
      <c r="G18" s="275">
        <v>714000000</v>
      </c>
      <c r="H18" s="282" t="s">
        <v>40</v>
      </c>
      <c r="I18" s="274"/>
      <c r="J18" s="319">
        <v>840000000</v>
      </c>
      <c r="K18" s="274"/>
      <c r="L18" s="274"/>
      <c r="M18" s="310"/>
      <c r="N18" s="310"/>
      <c r="O18" s="310"/>
      <c r="P18" s="310"/>
      <c r="Q18" s="335" t="s">
        <v>1464</v>
      </c>
    </row>
    <row r="19" spans="1:17" ht="14.25" customHeight="1">
      <c r="A19" s="263"/>
      <c r="B19" s="277">
        <f t="shared" si="1"/>
        <v>17</v>
      </c>
      <c r="C19" s="278" t="s">
        <v>1465</v>
      </c>
      <c r="D19" s="278" t="s">
        <v>24</v>
      </c>
      <c r="E19" s="278" t="s">
        <v>43</v>
      </c>
      <c r="F19" s="278" t="s">
        <v>26</v>
      </c>
      <c r="G19" s="279">
        <v>1000000000</v>
      </c>
      <c r="H19" s="281" t="s">
        <v>67</v>
      </c>
      <c r="I19" s="278"/>
      <c r="J19" s="314">
        <f t="shared" ref="J19:J20" si="2">G19</f>
        <v>1000000000</v>
      </c>
      <c r="K19" s="311"/>
      <c r="L19" s="278"/>
      <c r="M19" s="316"/>
      <c r="N19" s="316"/>
      <c r="O19" s="316"/>
      <c r="P19" s="316"/>
      <c r="Q19" s="335" t="s">
        <v>1466</v>
      </c>
    </row>
    <row r="20" spans="1:17" ht="14.25" customHeight="1">
      <c r="A20" s="263"/>
      <c r="B20" s="273">
        <f t="shared" si="1"/>
        <v>18</v>
      </c>
      <c r="C20" s="274" t="s">
        <v>51</v>
      </c>
      <c r="D20" s="274" t="s">
        <v>24</v>
      </c>
      <c r="E20" s="274" t="s">
        <v>43</v>
      </c>
      <c r="F20" s="274" t="s">
        <v>26</v>
      </c>
      <c r="G20" s="275">
        <v>297000000</v>
      </c>
      <c r="H20" s="282" t="s">
        <v>40</v>
      </c>
      <c r="I20" s="274"/>
      <c r="J20" s="319">
        <f t="shared" si="2"/>
        <v>297000000</v>
      </c>
      <c r="K20" s="312"/>
      <c r="L20" s="274"/>
      <c r="M20" s="313"/>
      <c r="N20" s="313"/>
      <c r="O20" s="313"/>
      <c r="P20" s="313"/>
      <c r="Q20" s="335"/>
    </row>
    <row r="21" spans="1:17" ht="14.25" customHeight="1">
      <c r="A21" s="263"/>
      <c r="B21" s="277">
        <f t="shared" si="1"/>
        <v>19</v>
      </c>
      <c r="C21" s="278" t="s">
        <v>1467</v>
      </c>
      <c r="D21" s="278" t="s">
        <v>24</v>
      </c>
      <c r="E21" s="278" t="s">
        <v>43</v>
      </c>
      <c r="F21" s="278" t="s">
        <v>26</v>
      </c>
      <c r="G21" s="279">
        <v>1800000000</v>
      </c>
      <c r="H21" s="280" t="s">
        <v>1458</v>
      </c>
      <c r="I21" s="314"/>
      <c r="J21" s="314"/>
      <c r="K21" s="314"/>
      <c r="L21" s="314"/>
      <c r="M21" s="316"/>
      <c r="N21" s="316"/>
      <c r="O21" s="316"/>
      <c r="P21" s="316"/>
      <c r="Q21" s="335" t="s">
        <v>1468</v>
      </c>
    </row>
    <row r="22" spans="1:17" ht="14.25" customHeight="1">
      <c r="A22" s="263"/>
      <c r="B22" s="273">
        <f t="shared" si="1"/>
        <v>20</v>
      </c>
      <c r="C22" s="274" t="s">
        <v>42</v>
      </c>
      <c r="D22" s="274" t="s">
        <v>24</v>
      </c>
      <c r="E22" s="274" t="s">
        <v>43</v>
      </c>
      <c r="F22" s="274" t="s">
        <v>33</v>
      </c>
      <c r="G22" s="275">
        <v>332000000</v>
      </c>
      <c r="H22" s="282" t="s">
        <v>40</v>
      </c>
      <c r="I22" s="319">
        <f>G22</f>
        <v>332000000</v>
      </c>
      <c r="J22" s="312"/>
      <c r="K22" s="274"/>
      <c r="L22" s="312"/>
      <c r="M22" s="310"/>
      <c r="N22" s="310"/>
      <c r="O22" s="310"/>
      <c r="P22" s="310"/>
      <c r="Q22" s="335" t="s">
        <v>1469</v>
      </c>
    </row>
    <row r="23" spans="1:17" ht="14.25" customHeight="1">
      <c r="A23" s="263"/>
      <c r="B23" s="277">
        <f t="shared" si="1"/>
        <v>21</v>
      </c>
      <c r="C23" s="278" t="s">
        <v>42</v>
      </c>
      <c r="D23" s="278" t="s">
        <v>24</v>
      </c>
      <c r="E23" s="278" t="s">
        <v>43</v>
      </c>
      <c r="F23" s="278" t="s">
        <v>33</v>
      </c>
      <c r="G23" s="279">
        <v>400000000</v>
      </c>
      <c r="H23" s="282" t="s">
        <v>40</v>
      </c>
      <c r="I23" s="314"/>
      <c r="J23" s="319">
        <v>380000000</v>
      </c>
      <c r="K23" s="278"/>
      <c r="L23" s="314"/>
      <c r="M23" s="316"/>
      <c r="N23" s="316"/>
      <c r="O23" s="316"/>
      <c r="P23" s="316"/>
      <c r="Q23" s="335" t="s">
        <v>1470</v>
      </c>
    </row>
    <row r="24" spans="1:17" ht="14.25" customHeight="1">
      <c r="A24" s="263"/>
      <c r="B24" s="273">
        <f t="shared" si="1"/>
        <v>22</v>
      </c>
      <c r="C24" s="274" t="s">
        <v>42</v>
      </c>
      <c r="D24" s="274" t="s">
        <v>24</v>
      </c>
      <c r="E24" s="274" t="s">
        <v>43</v>
      </c>
      <c r="F24" s="274" t="s">
        <v>26</v>
      </c>
      <c r="G24" s="275">
        <v>4000000000</v>
      </c>
      <c r="H24" s="276" t="s">
        <v>1458</v>
      </c>
      <c r="I24" s="274"/>
      <c r="J24" s="312"/>
      <c r="K24" s="274"/>
      <c r="L24" s="312"/>
      <c r="M24" s="310"/>
      <c r="N24" s="310"/>
      <c r="O24" s="310">
        <v>4000000000</v>
      </c>
      <c r="P24" s="310"/>
      <c r="Q24" s="335" t="s">
        <v>1471</v>
      </c>
    </row>
    <row r="25" spans="1:17" ht="14.25" customHeight="1">
      <c r="A25" s="263"/>
      <c r="B25" s="277">
        <f t="shared" si="1"/>
        <v>23</v>
      </c>
      <c r="C25" s="278" t="s">
        <v>42</v>
      </c>
      <c r="D25" s="278" t="s">
        <v>24</v>
      </c>
      <c r="E25" s="278" t="s">
        <v>43</v>
      </c>
      <c r="F25" s="278" t="s">
        <v>33</v>
      </c>
      <c r="G25" s="279">
        <v>160000000</v>
      </c>
      <c r="H25" s="282" t="s">
        <v>40</v>
      </c>
      <c r="I25" s="278"/>
      <c r="J25" s="319">
        <v>160000000</v>
      </c>
      <c r="K25" s="278"/>
      <c r="L25" s="314"/>
      <c r="M25" s="316"/>
      <c r="N25" s="316"/>
      <c r="O25" s="316"/>
      <c r="P25" s="316"/>
      <c r="Q25" s="335"/>
    </row>
    <row r="26" spans="1:17" ht="14.25" customHeight="1">
      <c r="A26" s="263"/>
      <c r="B26" s="283">
        <f t="shared" si="1"/>
        <v>24</v>
      </c>
      <c r="C26" s="284" t="s">
        <v>1472</v>
      </c>
      <c r="D26" s="284" t="s">
        <v>24</v>
      </c>
      <c r="E26" s="284" t="s">
        <v>43</v>
      </c>
      <c r="F26" s="284" t="s">
        <v>26</v>
      </c>
      <c r="G26" s="285">
        <v>206000000</v>
      </c>
      <c r="H26" s="282" t="s">
        <v>40</v>
      </c>
      <c r="I26" s="284"/>
      <c r="J26" s="321"/>
      <c r="K26" s="284"/>
      <c r="L26" s="319">
        <v>206000000</v>
      </c>
      <c r="M26" s="322"/>
      <c r="N26" s="322"/>
      <c r="O26" s="322"/>
      <c r="P26" s="322"/>
      <c r="Q26" s="335"/>
    </row>
    <row r="27" spans="1:17" ht="14.25" customHeight="1">
      <c r="A27" s="263"/>
      <c r="B27" s="283">
        <f t="shared" si="1"/>
        <v>25</v>
      </c>
      <c r="C27" s="284" t="s">
        <v>656</v>
      </c>
      <c r="D27" s="284" t="s">
        <v>24</v>
      </c>
      <c r="E27" s="284" t="s">
        <v>43</v>
      </c>
      <c r="F27" s="284" t="s">
        <v>33</v>
      </c>
      <c r="G27" s="285">
        <v>345000000</v>
      </c>
      <c r="H27" s="282" t="s">
        <v>40</v>
      </c>
      <c r="I27" s="284"/>
      <c r="J27" s="321"/>
      <c r="K27" s="284"/>
      <c r="L27" s="319">
        <f>G27</f>
        <v>345000000</v>
      </c>
      <c r="M27" s="322"/>
      <c r="N27" s="322"/>
      <c r="O27" s="322"/>
      <c r="P27" s="322"/>
      <c r="Q27" s="335"/>
    </row>
    <row r="28" spans="1:17" ht="14.25" customHeight="1">
      <c r="A28" s="263"/>
      <c r="B28" s="277">
        <f t="shared" si="1"/>
        <v>26</v>
      </c>
      <c r="C28" s="278" t="s">
        <v>1473</v>
      </c>
      <c r="D28" s="278" t="s">
        <v>24</v>
      </c>
      <c r="E28" s="278" t="s">
        <v>54</v>
      </c>
      <c r="F28" s="278" t="s">
        <v>26</v>
      </c>
      <c r="G28" s="279">
        <f>1400000000+1390000000</f>
        <v>2790000000</v>
      </c>
      <c r="H28" s="280" t="s">
        <v>44</v>
      </c>
      <c r="I28" s="278"/>
      <c r="J28" s="314"/>
      <c r="K28" s="314"/>
      <c r="L28" s="314"/>
      <c r="M28" s="316">
        <v>1919700000</v>
      </c>
      <c r="N28" s="316"/>
      <c r="O28" s="316"/>
      <c r="P28" s="316"/>
      <c r="Q28" s="335" t="s">
        <v>1474</v>
      </c>
    </row>
    <row r="29" spans="1:17" ht="14.25" customHeight="1">
      <c r="A29" s="263"/>
      <c r="B29" s="277">
        <f t="shared" si="1"/>
        <v>27</v>
      </c>
      <c r="C29" s="274" t="s">
        <v>1475</v>
      </c>
      <c r="D29" s="274" t="s">
        <v>24</v>
      </c>
      <c r="E29" s="274" t="s">
        <v>54</v>
      </c>
      <c r="F29" s="274" t="s">
        <v>26</v>
      </c>
      <c r="G29" s="275">
        <v>977000000</v>
      </c>
      <c r="H29" s="276" t="s">
        <v>44</v>
      </c>
      <c r="I29" s="274"/>
      <c r="J29" s="312"/>
      <c r="K29" s="312"/>
      <c r="L29" s="274"/>
      <c r="M29" s="310">
        <v>959850000</v>
      </c>
      <c r="N29" s="310"/>
      <c r="O29" s="310"/>
      <c r="P29" s="310"/>
      <c r="Q29" s="335" t="s">
        <v>1474</v>
      </c>
    </row>
    <row r="30" spans="1:17" ht="14.25" customHeight="1">
      <c r="A30" s="263"/>
      <c r="B30" s="277">
        <f t="shared" si="1"/>
        <v>28</v>
      </c>
      <c r="C30" s="274" t="s">
        <v>1476</v>
      </c>
      <c r="D30" s="274" t="s">
        <v>24</v>
      </c>
      <c r="E30" s="274" t="s">
        <v>54</v>
      </c>
      <c r="F30" s="274" t="s">
        <v>33</v>
      </c>
      <c r="G30" s="275">
        <v>1050000000</v>
      </c>
      <c r="H30" s="281" t="s">
        <v>67</v>
      </c>
      <c r="I30" s="274"/>
      <c r="J30" s="312"/>
      <c r="K30" s="312"/>
      <c r="L30" s="312">
        <v>1050000000</v>
      </c>
      <c r="M30" s="310"/>
      <c r="N30" s="310"/>
      <c r="O30" s="310"/>
      <c r="P30" s="310"/>
      <c r="Q30" s="335" t="s">
        <v>1477</v>
      </c>
    </row>
    <row r="31" spans="1:17" ht="14.25" customHeight="1">
      <c r="A31" s="263"/>
      <c r="B31" s="277">
        <f t="shared" si="1"/>
        <v>29</v>
      </c>
      <c r="C31" s="278" t="s">
        <v>1478</v>
      </c>
      <c r="D31" s="278" t="s">
        <v>24</v>
      </c>
      <c r="E31" s="278" t="s">
        <v>1479</v>
      </c>
      <c r="F31" s="278" t="s">
        <v>100</v>
      </c>
      <c r="G31" s="279">
        <v>1678900000</v>
      </c>
      <c r="H31" s="282" t="s">
        <v>40</v>
      </c>
      <c r="I31" s="278"/>
      <c r="J31" s="278"/>
      <c r="K31" s="314"/>
      <c r="L31" s="319">
        <f>3000000000</f>
        <v>3000000000</v>
      </c>
      <c r="M31" s="316"/>
      <c r="N31" s="316"/>
      <c r="O31" s="316"/>
      <c r="P31" s="316"/>
      <c r="Q31" s="335" t="s">
        <v>1480</v>
      </c>
    </row>
    <row r="32" spans="1:17" ht="14.25" customHeight="1">
      <c r="A32" s="263"/>
      <c r="B32" s="277">
        <f t="shared" si="1"/>
        <v>30</v>
      </c>
      <c r="C32" s="274" t="s">
        <v>1481</v>
      </c>
      <c r="D32" s="274" t="s">
        <v>24</v>
      </c>
      <c r="E32" s="274" t="s">
        <v>1479</v>
      </c>
      <c r="F32" s="274" t="s">
        <v>33</v>
      </c>
      <c r="G32" s="275">
        <v>136000000</v>
      </c>
      <c r="H32" s="276" t="s">
        <v>27</v>
      </c>
      <c r="I32" s="274"/>
      <c r="J32" s="274"/>
      <c r="K32" s="312">
        <f>G32</f>
        <v>136000000</v>
      </c>
      <c r="L32" s="274"/>
      <c r="M32" s="313"/>
      <c r="N32" s="313"/>
      <c r="O32" s="313"/>
      <c r="P32" s="313"/>
      <c r="Q32" s="335" t="s">
        <v>1482</v>
      </c>
    </row>
    <row r="33" spans="1:17" ht="14.25" customHeight="1">
      <c r="A33" s="263"/>
      <c r="B33" s="277">
        <f t="shared" si="1"/>
        <v>31</v>
      </c>
      <c r="C33" s="278" t="s">
        <v>1483</v>
      </c>
      <c r="D33" s="278" t="s">
        <v>24</v>
      </c>
      <c r="E33" s="278" t="s">
        <v>1479</v>
      </c>
      <c r="F33" s="278" t="s">
        <v>100</v>
      </c>
      <c r="G33" s="279">
        <v>1255000000</v>
      </c>
      <c r="H33" s="280" t="s">
        <v>72</v>
      </c>
      <c r="I33" s="314"/>
      <c r="J33" s="314"/>
      <c r="K33" s="314"/>
      <c r="L33" s="314"/>
      <c r="M33" s="316">
        <v>1470025930</v>
      </c>
      <c r="N33" s="316"/>
      <c r="O33" s="316"/>
      <c r="P33" s="316"/>
      <c r="Q33" s="335" t="s">
        <v>1484</v>
      </c>
    </row>
    <row r="34" spans="1:17" ht="14.25" customHeight="1">
      <c r="A34" s="263"/>
      <c r="B34" s="277">
        <f t="shared" si="1"/>
        <v>32</v>
      </c>
      <c r="C34" s="274" t="s">
        <v>1485</v>
      </c>
      <c r="D34" s="274" t="s">
        <v>24</v>
      </c>
      <c r="E34" s="274" t="s">
        <v>1479</v>
      </c>
      <c r="F34" s="274" t="s">
        <v>100</v>
      </c>
      <c r="G34" s="275">
        <v>3242100000</v>
      </c>
      <c r="H34" s="276" t="s">
        <v>30</v>
      </c>
      <c r="I34" s="274"/>
      <c r="J34" s="274"/>
      <c r="K34" s="274"/>
      <c r="L34" s="318"/>
      <c r="M34" s="310"/>
      <c r="N34" s="310"/>
      <c r="O34" s="310"/>
      <c r="P34" s="312"/>
      <c r="Q34" s="335" t="s">
        <v>1486</v>
      </c>
    </row>
    <row r="35" spans="1:17" ht="14.25" customHeight="1">
      <c r="A35" s="263"/>
      <c r="B35" s="277">
        <f t="shared" si="1"/>
        <v>33</v>
      </c>
      <c r="C35" s="278" t="s">
        <v>1487</v>
      </c>
      <c r="D35" s="278" t="s">
        <v>90</v>
      </c>
      <c r="E35" s="278" t="s">
        <v>91</v>
      </c>
      <c r="F35" s="278" t="s">
        <v>26</v>
      </c>
      <c r="G35" s="279">
        <f>J35+L35</f>
        <v>247500000</v>
      </c>
      <c r="H35" s="282" t="s">
        <v>40</v>
      </c>
      <c r="I35" s="278"/>
      <c r="J35" s="319">
        <v>92500000</v>
      </c>
      <c r="K35" s="278"/>
      <c r="L35" s="319">
        <v>155000000</v>
      </c>
      <c r="M35" s="316"/>
      <c r="N35" s="316"/>
      <c r="O35" s="316"/>
      <c r="P35" s="316"/>
      <c r="Q35" s="335" t="s">
        <v>1488</v>
      </c>
    </row>
    <row r="36" spans="1:17" ht="14.25" customHeight="1">
      <c r="A36" s="263"/>
      <c r="B36" s="277">
        <f t="shared" si="1"/>
        <v>34</v>
      </c>
      <c r="C36" s="274" t="s">
        <v>89</v>
      </c>
      <c r="D36" s="274" t="s">
        <v>90</v>
      </c>
      <c r="E36" s="274" t="s">
        <v>91</v>
      </c>
      <c r="F36" s="274" t="s">
        <v>26</v>
      </c>
      <c r="G36" s="275">
        <v>1100000000</v>
      </c>
      <c r="H36" s="276" t="s">
        <v>27</v>
      </c>
      <c r="I36" s="274"/>
      <c r="J36" s="312"/>
      <c r="K36" s="274"/>
      <c r="L36" s="312"/>
      <c r="M36" s="310"/>
      <c r="N36" s="310"/>
      <c r="O36" s="310"/>
      <c r="P36" s="310"/>
      <c r="Q36" s="335" t="s">
        <v>92</v>
      </c>
    </row>
    <row r="37" spans="1:17" ht="14.25" customHeight="1">
      <c r="A37" s="263"/>
      <c r="B37" s="277">
        <f t="shared" si="1"/>
        <v>35</v>
      </c>
      <c r="C37" s="278" t="s">
        <v>93</v>
      </c>
      <c r="D37" s="278" t="s">
        <v>90</v>
      </c>
      <c r="E37" s="278" t="s">
        <v>91</v>
      </c>
      <c r="F37" s="278" t="s">
        <v>33</v>
      </c>
      <c r="G37" s="279">
        <v>40000000</v>
      </c>
      <c r="H37" s="280" t="s">
        <v>30</v>
      </c>
      <c r="I37" s="278"/>
      <c r="J37" s="314"/>
      <c r="K37" s="278"/>
      <c r="L37" s="314"/>
      <c r="M37" s="316"/>
      <c r="N37" s="316">
        <v>40000000</v>
      </c>
      <c r="O37" s="316"/>
      <c r="P37" s="316"/>
      <c r="Q37" s="335"/>
    </row>
    <row r="38" spans="1:17" ht="14.25" customHeight="1">
      <c r="A38" s="263"/>
      <c r="B38" s="277">
        <f t="shared" si="1"/>
        <v>36</v>
      </c>
      <c r="C38" s="274" t="s">
        <v>95</v>
      </c>
      <c r="D38" s="274" t="s">
        <v>90</v>
      </c>
      <c r="E38" s="274" t="s">
        <v>96</v>
      </c>
      <c r="F38" s="274" t="s">
        <v>26</v>
      </c>
      <c r="G38" s="275">
        <v>1300000000</v>
      </c>
      <c r="H38" s="281" t="s">
        <v>94</v>
      </c>
      <c r="I38" s="274"/>
      <c r="J38" s="274"/>
      <c r="K38" s="318"/>
      <c r="L38" s="312"/>
      <c r="M38" s="310"/>
      <c r="N38" s="310"/>
      <c r="O38" s="312"/>
      <c r="P38" s="312"/>
      <c r="Q38" s="335" t="s">
        <v>97</v>
      </c>
    </row>
    <row r="39" spans="1:17" ht="14.25" customHeight="1">
      <c r="A39" s="263"/>
      <c r="B39" s="277">
        <f t="shared" si="1"/>
        <v>37</v>
      </c>
      <c r="C39" s="278" t="s">
        <v>98</v>
      </c>
      <c r="D39" s="278" t="s">
        <v>90</v>
      </c>
      <c r="E39" s="278" t="s">
        <v>96</v>
      </c>
      <c r="F39" s="278" t="s">
        <v>26</v>
      </c>
      <c r="G39" s="279">
        <v>520000000</v>
      </c>
      <c r="H39" s="280" t="s">
        <v>27</v>
      </c>
      <c r="I39" s="278"/>
      <c r="J39" s="314"/>
      <c r="K39" s="278"/>
      <c r="L39" s="317"/>
      <c r="M39" s="316"/>
      <c r="N39" s="314">
        <v>520000000</v>
      </c>
      <c r="O39" s="314"/>
      <c r="P39" s="316"/>
      <c r="Q39" s="335"/>
    </row>
    <row r="40" spans="1:17" ht="14.25" customHeight="1">
      <c r="A40" s="263"/>
      <c r="B40" s="277">
        <f t="shared" si="1"/>
        <v>38</v>
      </c>
      <c r="C40" s="274" t="s">
        <v>99</v>
      </c>
      <c r="D40" s="274" t="s">
        <v>90</v>
      </c>
      <c r="E40" s="274" t="s">
        <v>96</v>
      </c>
      <c r="F40" s="274" t="s">
        <v>26</v>
      </c>
      <c r="G40" s="275">
        <v>1450000000</v>
      </c>
      <c r="H40" s="276" t="s">
        <v>30</v>
      </c>
      <c r="I40" s="312"/>
      <c r="J40" s="312"/>
      <c r="K40" s="312"/>
      <c r="L40" s="312"/>
      <c r="M40" s="310"/>
      <c r="N40" s="310"/>
      <c r="O40" s="310">
        <v>900000000</v>
      </c>
      <c r="P40" s="310"/>
      <c r="Q40" s="335" t="s">
        <v>101</v>
      </c>
    </row>
    <row r="41" spans="1:17" ht="14.25" customHeight="1">
      <c r="A41" s="263"/>
      <c r="B41" s="277">
        <f t="shared" si="1"/>
        <v>39</v>
      </c>
      <c r="C41" s="278" t="s">
        <v>102</v>
      </c>
      <c r="D41" s="278" t="s">
        <v>90</v>
      </c>
      <c r="E41" s="278" t="s">
        <v>103</v>
      </c>
      <c r="F41" s="278" t="s">
        <v>26</v>
      </c>
      <c r="G41" s="279">
        <v>1950000000</v>
      </c>
      <c r="H41" s="280" t="s">
        <v>30</v>
      </c>
      <c r="I41" s="323"/>
      <c r="J41" s="314"/>
      <c r="K41" s="314"/>
      <c r="L41" s="314"/>
      <c r="M41" s="316"/>
      <c r="N41" s="316"/>
      <c r="O41" s="316">
        <v>1950000000</v>
      </c>
      <c r="P41" s="316"/>
      <c r="Q41" s="335" t="s">
        <v>101</v>
      </c>
    </row>
    <row r="42" spans="1:17" ht="14.25" customHeight="1">
      <c r="A42" s="263"/>
      <c r="B42" s="277">
        <f t="shared" si="1"/>
        <v>40</v>
      </c>
      <c r="C42" s="274" t="s">
        <v>1489</v>
      </c>
      <c r="D42" s="274" t="s">
        <v>90</v>
      </c>
      <c r="E42" s="274" t="s">
        <v>103</v>
      </c>
      <c r="F42" s="274" t="s">
        <v>26</v>
      </c>
      <c r="G42" s="275">
        <v>80000000</v>
      </c>
      <c r="H42" s="282" t="s">
        <v>40</v>
      </c>
      <c r="I42" s="319">
        <v>90000000</v>
      </c>
      <c r="J42" s="312"/>
      <c r="K42" s="312"/>
      <c r="L42" s="312"/>
      <c r="M42" s="310"/>
      <c r="N42" s="310"/>
      <c r="O42" s="310"/>
      <c r="P42" s="310"/>
      <c r="Q42" s="335"/>
    </row>
    <row r="43" spans="1:17" ht="14.25" customHeight="1">
      <c r="A43" s="263"/>
      <c r="B43" s="277">
        <f t="shared" si="1"/>
        <v>41</v>
      </c>
      <c r="C43" s="278" t="s">
        <v>110</v>
      </c>
      <c r="D43" s="278" t="s">
        <v>90</v>
      </c>
      <c r="E43" s="278" t="s">
        <v>103</v>
      </c>
      <c r="F43" s="278" t="s">
        <v>26</v>
      </c>
      <c r="G43" s="279">
        <v>3062500000</v>
      </c>
      <c r="H43" s="282" t="s">
        <v>40</v>
      </c>
      <c r="I43" s="319">
        <f>G43</f>
        <v>3062500000</v>
      </c>
      <c r="J43" s="314"/>
      <c r="K43" s="314"/>
      <c r="L43" s="314"/>
      <c r="M43" s="316"/>
      <c r="N43" s="316"/>
      <c r="O43" s="316"/>
      <c r="P43" s="316"/>
      <c r="Q43" s="335"/>
    </row>
    <row r="44" spans="1:17" ht="16.5" customHeight="1">
      <c r="A44" s="263"/>
      <c r="B44" s="277">
        <f t="shared" si="1"/>
        <v>42</v>
      </c>
      <c r="C44" s="274" t="s">
        <v>104</v>
      </c>
      <c r="D44" s="274" t="s">
        <v>90</v>
      </c>
      <c r="E44" s="274" t="s">
        <v>103</v>
      </c>
      <c r="F44" s="274" t="s">
        <v>100</v>
      </c>
      <c r="G44" s="275">
        <v>342000000</v>
      </c>
      <c r="H44" s="281" t="s">
        <v>94</v>
      </c>
      <c r="I44" s="312"/>
      <c r="J44" s="312">
        <f>G44</f>
        <v>342000000</v>
      </c>
      <c r="K44" s="312"/>
      <c r="L44" s="312"/>
      <c r="M44" s="310"/>
      <c r="N44" s="310"/>
      <c r="O44" s="310"/>
      <c r="P44" s="310"/>
      <c r="Q44" s="337" t="s">
        <v>1490</v>
      </c>
    </row>
    <row r="45" spans="1:17" ht="14.25" customHeight="1">
      <c r="A45" s="263"/>
      <c r="B45" s="277">
        <f t="shared" si="1"/>
        <v>43</v>
      </c>
      <c r="C45" s="278" t="s">
        <v>106</v>
      </c>
      <c r="D45" s="278" t="s">
        <v>90</v>
      </c>
      <c r="E45" s="278" t="s">
        <v>103</v>
      </c>
      <c r="F45" s="278" t="s">
        <v>26</v>
      </c>
      <c r="G45" s="279">
        <v>352000000</v>
      </c>
      <c r="H45" s="280" t="s">
        <v>27</v>
      </c>
      <c r="I45" s="314"/>
      <c r="J45" s="314">
        <v>352000000</v>
      </c>
      <c r="K45" s="278"/>
      <c r="L45" s="314"/>
      <c r="M45" s="316"/>
      <c r="N45" s="316"/>
      <c r="O45" s="316"/>
      <c r="P45" s="316"/>
      <c r="Q45" s="337"/>
    </row>
    <row r="46" spans="1:17" ht="14.25" customHeight="1">
      <c r="A46" s="263"/>
      <c r="B46" s="277">
        <f t="shared" si="1"/>
        <v>44</v>
      </c>
      <c r="C46" s="274" t="s">
        <v>108</v>
      </c>
      <c r="D46" s="274" t="s">
        <v>90</v>
      </c>
      <c r="E46" s="274" t="s">
        <v>103</v>
      </c>
      <c r="F46" s="274" t="s">
        <v>26</v>
      </c>
      <c r="G46" s="275">
        <v>215249000</v>
      </c>
      <c r="H46" s="281" t="s">
        <v>94</v>
      </c>
      <c r="I46" s="312"/>
      <c r="J46" s="312">
        <f>G46</f>
        <v>215249000</v>
      </c>
      <c r="K46" s="274"/>
      <c r="L46" s="312"/>
      <c r="M46" s="310"/>
      <c r="N46" s="310"/>
      <c r="O46" s="310"/>
      <c r="P46" s="310"/>
      <c r="Q46" s="335"/>
    </row>
    <row r="47" spans="1:17" ht="14.25" customHeight="1">
      <c r="A47" s="263"/>
      <c r="B47" s="277">
        <f t="shared" si="1"/>
        <v>45</v>
      </c>
      <c r="C47" s="278" t="s">
        <v>110</v>
      </c>
      <c r="D47" s="278" t="s">
        <v>90</v>
      </c>
      <c r="E47" s="278" t="s">
        <v>103</v>
      </c>
      <c r="F47" s="278" t="s">
        <v>33</v>
      </c>
      <c r="G47" s="279">
        <v>651000000</v>
      </c>
      <c r="H47" s="280" t="s">
        <v>44</v>
      </c>
      <c r="I47" s="278"/>
      <c r="J47" s="323"/>
      <c r="K47" s="314"/>
      <c r="L47" s="314"/>
      <c r="M47" s="316">
        <v>651000000</v>
      </c>
      <c r="N47" s="316"/>
      <c r="O47" s="316"/>
      <c r="P47" s="316"/>
      <c r="Q47" s="335" t="s">
        <v>1491</v>
      </c>
    </row>
    <row r="48" spans="1:17" ht="14.25" customHeight="1">
      <c r="A48" s="263"/>
      <c r="B48" s="277">
        <f t="shared" si="1"/>
        <v>46</v>
      </c>
      <c r="C48" s="274" t="s">
        <v>110</v>
      </c>
      <c r="D48" s="274" t="s">
        <v>90</v>
      </c>
      <c r="E48" s="274" t="s">
        <v>103</v>
      </c>
      <c r="F48" s="274" t="s">
        <v>33</v>
      </c>
      <c r="G48" s="275">
        <v>900000000</v>
      </c>
      <c r="H48" s="276" t="s">
        <v>44</v>
      </c>
      <c r="I48" s="274"/>
      <c r="J48" s="274"/>
      <c r="K48" s="312"/>
      <c r="L48" s="312"/>
      <c r="M48" s="310">
        <v>900000000</v>
      </c>
      <c r="N48" s="310"/>
      <c r="O48" s="310"/>
      <c r="P48" s="310"/>
      <c r="Q48" s="335" t="s">
        <v>1491</v>
      </c>
    </row>
    <row r="49" spans="1:17" ht="14.25" customHeight="1">
      <c r="A49" s="263"/>
      <c r="B49" s="277">
        <f t="shared" si="1"/>
        <v>47</v>
      </c>
      <c r="C49" s="278" t="s">
        <v>112</v>
      </c>
      <c r="D49" s="278" t="s">
        <v>90</v>
      </c>
      <c r="E49" s="278" t="s">
        <v>103</v>
      </c>
      <c r="F49" s="278" t="s">
        <v>100</v>
      </c>
      <c r="G49" s="279">
        <v>4500000000</v>
      </c>
      <c r="H49" s="286" t="s">
        <v>1458</v>
      </c>
      <c r="I49" s="324"/>
      <c r="J49" s="324"/>
      <c r="K49" s="290"/>
      <c r="L49" s="290"/>
      <c r="M49" s="325"/>
      <c r="N49" s="325"/>
      <c r="O49" s="325"/>
      <c r="P49" s="325"/>
      <c r="Q49" s="318" t="s">
        <v>1492</v>
      </c>
    </row>
    <row r="50" spans="1:17" ht="14.25" customHeight="1">
      <c r="A50" s="263"/>
      <c r="B50" s="277">
        <f t="shared" si="1"/>
        <v>48</v>
      </c>
      <c r="C50" s="287" t="s">
        <v>1493</v>
      </c>
      <c r="D50" s="287" t="s">
        <v>90</v>
      </c>
      <c r="E50" s="287" t="s">
        <v>103</v>
      </c>
      <c r="F50" s="287" t="s">
        <v>33</v>
      </c>
      <c r="G50" s="288">
        <v>755000000</v>
      </c>
      <c r="H50" s="289" t="s">
        <v>40</v>
      </c>
      <c r="I50" s="326"/>
      <c r="J50" s="327">
        <f>G50</f>
        <v>755000000</v>
      </c>
      <c r="K50" s="287"/>
      <c r="L50" s="287"/>
      <c r="M50" s="328"/>
      <c r="N50" s="328"/>
      <c r="O50" s="328"/>
      <c r="P50" s="328"/>
      <c r="Q50" s="318"/>
    </row>
    <row r="51" spans="1:17" ht="14.25" customHeight="1">
      <c r="A51" s="263"/>
      <c r="B51" s="277">
        <f t="shared" si="1"/>
        <v>49</v>
      </c>
      <c r="C51" s="290" t="s">
        <v>1494</v>
      </c>
      <c r="D51" s="290" t="s">
        <v>90</v>
      </c>
      <c r="E51" s="290" t="s">
        <v>103</v>
      </c>
      <c r="F51" s="290" t="s">
        <v>26</v>
      </c>
      <c r="G51" s="291">
        <v>1531200000</v>
      </c>
      <c r="H51" s="289" t="s">
        <v>40</v>
      </c>
      <c r="I51" s="324"/>
      <c r="J51" s="327">
        <v>1531200000</v>
      </c>
      <c r="K51" s="290"/>
      <c r="L51" s="290"/>
      <c r="M51" s="325"/>
      <c r="N51" s="325"/>
      <c r="O51" s="325"/>
      <c r="P51" s="325"/>
      <c r="Q51" s="263"/>
    </row>
    <row r="52" spans="1:17" ht="14.25" customHeight="1">
      <c r="A52" s="263"/>
      <c r="B52" s="277">
        <f t="shared" si="1"/>
        <v>50</v>
      </c>
      <c r="C52" s="287" t="s">
        <v>1495</v>
      </c>
      <c r="D52" s="287" t="s">
        <v>90</v>
      </c>
      <c r="E52" s="287" t="s">
        <v>96</v>
      </c>
      <c r="F52" s="287" t="s">
        <v>33</v>
      </c>
      <c r="G52" s="288">
        <f>2540000+2425000</f>
        <v>4965000</v>
      </c>
      <c r="H52" s="289" t="s">
        <v>40</v>
      </c>
      <c r="I52" s="326"/>
      <c r="J52" s="327">
        <f t="shared" ref="J52:J56" si="3">G52</f>
        <v>4965000</v>
      </c>
      <c r="K52" s="287"/>
      <c r="L52" s="287"/>
      <c r="M52" s="328"/>
      <c r="N52" s="328"/>
      <c r="O52" s="328"/>
      <c r="P52" s="328"/>
      <c r="Q52" s="263"/>
    </row>
    <row r="53" spans="1:17" ht="14.25" customHeight="1">
      <c r="A53" s="263"/>
      <c r="B53" s="277">
        <f t="shared" si="1"/>
        <v>51</v>
      </c>
      <c r="C53" s="290" t="s">
        <v>1496</v>
      </c>
      <c r="D53" s="290" t="s">
        <v>90</v>
      </c>
      <c r="E53" s="290" t="s">
        <v>96</v>
      </c>
      <c r="F53" s="290" t="s">
        <v>33</v>
      </c>
      <c r="G53" s="291">
        <v>52865000</v>
      </c>
      <c r="H53" s="289" t="s">
        <v>40</v>
      </c>
      <c r="I53" s="324"/>
      <c r="J53" s="327">
        <f t="shared" si="3"/>
        <v>52865000</v>
      </c>
      <c r="K53" s="290"/>
      <c r="L53" s="290"/>
      <c r="M53" s="325"/>
      <c r="N53" s="325"/>
      <c r="O53" s="325"/>
      <c r="P53" s="325"/>
      <c r="Q53" s="263"/>
    </row>
    <row r="54" spans="1:17" ht="14.25" customHeight="1">
      <c r="A54" s="263"/>
      <c r="B54" s="277">
        <f t="shared" si="1"/>
        <v>52</v>
      </c>
      <c r="C54" s="287" t="s">
        <v>1497</v>
      </c>
      <c r="D54" s="287" t="s">
        <v>90</v>
      </c>
      <c r="E54" s="287" t="s">
        <v>96</v>
      </c>
      <c r="F54" s="287" t="s">
        <v>33</v>
      </c>
      <c r="G54" s="288">
        <v>19800000</v>
      </c>
      <c r="H54" s="289" t="s">
        <v>40</v>
      </c>
      <c r="I54" s="326"/>
      <c r="J54" s="327">
        <f t="shared" si="3"/>
        <v>19800000</v>
      </c>
      <c r="K54" s="287"/>
      <c r="L54" s="287"/>
      <c r="M54" s="328"/>
      <c r="N54" s="328"/>
      <c r="O54" s="328"/>
      <c r="P54" s="328"/>
      <c r="Q54" s="263"/>
    </row>
    <row r="55" spans="1:17" ht="14.25" customHeight="1">
      <c r="A55" s="263"/>
      <c r="B55" s="277">
        <f t="shared" si="1"/>
        <v>53</v>
      </c>
      <c r="C55" s="290" t="s">
        <v>1498</v>
      </c>
      <c r="D55" s="290" t="s">
        <v>90</v>
      </c>
      <c r="E55" s="290" t="s">
        <v>103</v>
      </c>
      <c r="F55" s="290" t="s">
        <v>26</v>
      </c>
      <c r="G55" s="291">
        <v>68000000</v>
      </c>
      <c r="H55" s="289" t="s">
        <v>40</v>
      </c>
      <c r="I55" s="324"/>
      <c r="J55" s="327">
        <f t="shared" si="3"/>
        <v>68000000</v>
      </c>
      <c r="K55" s="290"/>
      <c r="L55" s="290"/>
      <c r="M55" s="325"/>
      <c r="N55" s="325"/>
      <c r="O55" s="325"/>
      <c r="P55" s="325"/>
      <c r="Q55" s="263"/>
    </row>
    <row r="56" spans="1:17" ht="14.25" customHeight="1">
      <c r="A56" s="263"/>
      <c r="B56" s="277">
        <f t="shared" si="1"/>
        <v>54</v>
      </c>
      <c r="C56" s="287" t="s">
        <v>1499</v>
      </c>
      <c r="D56" s="287" t="s">
        <v>90</v>
      </c>
      <c r="E56" s="287" t="s">
        <v>96</v>
      </c>
      <c r="F56" s="287" t="s">
        <v>33</v>
      </c>
      <c r="G56" s="288">
        <v>11250000</v>
      </c>
      <c r="H56" s="289" t="s">
        <v>40</v>
      </c>
      <c r="I56" s="326"/>
      <c r="J56" s="327">
        <f t="shared" si="3"/>
        <v>11250000</v>
      </c>
      <c r="K56" s="287"/>
      <c r="L56" s="287"/>
      <c r="M56" s="328"/>
      <c r="N56" s="328"/>
      <c r="O56" s="328"/>
      <c r="P56" s="328"/>
      <c r="Q56" s="263"/>
    </row>
    <row r="57" spans="1:17" ht="14.25" customHeight="1">
      <c r="A57" s="263"/>
      <c r="B57" s="283">
        <f t="shared" si="1"/>
        <v>55</v>
      </c>
      <c r="C57" s="292" t="s">
        <v>1500</v>
      </c>
      <c r="D57" s="292" t="s">
        <v>90</v>
      </c>
      <c r="E57" s="292" t="s">
        <v>1501</v>
      </c>
      <c r="F57" s="292" t="s">
        <v>26</v>
      </c>
      <c r="G57" s="293">
        <v>750000000</v>
      </c>
      <c r="H57" s="289" t="s">
        <v>40</v>
      </c>
      <c r="I57" s="329"/>
      <c r="J57" s="330"/>
      <c r="K57" s="292"/>
      <c r="L57" s="327">
        <v>750000000</v>
      </c>
      <c r="M57" s="330"/>
      <c r="N57" s="330"/>
      <c r="O57" s="330"/>
      <c r="P57" s="330"/>
      <c r="Q57" s="263"/>
    </row>
    <row r="58" spans="1:17" ht="14.25" customHeight="1">
      <c r="A58" s="263"/>
      <c r="B58" s="283">
        <f t="shared" si="1"/>
        <v>56</v>
      </c>
      <c r="C58" s="292" t="s">
        <v>110</v>
      </c>
      <c r="D58" s="292" t="s">
        <v>90</v>
      </c>
      <c r="E58" s="292" t="s">
        <v>103</v>
      </c>
      <c r="F58" s="292" t="s">
        <v>26</v>
      </c>
      <c r="G58" s="293">
        <v>536250000</v>
      </c>
      <c r="H58" s="294" t="s">
        <v>44</v>
      </c>
      <c r="I58" s="329"/>
      <c r="J58" s="330"/>
      <c r="K58" s="292"/>
      <c r="L58" s="330"/>
      <c r="M58" s="330"/>
      <c r="N58" s="330">
        <v>536250000</v>
      </c>
      <c r="O58" s="330"/>
      <c r="P58" s="330"/>
      <c r="Q58" s="263" t="s">
        <v>114</v>
      </c>
    </row>
    <row r="59" spans="1:17" ht="14.25" customHeight="1">
      <c r="A59" s="263"/>
      <c r="B59" s="283">
        <f t="shared" si="1"/>
        <v>57</v>
      </c>
      <c r="C59" s="292" t="s">
        <v>1502</v>
      </c>
      <c r="D59" s="292" t="s">
        <v>90</v>
      </c>
      <c r="E59" s="292" t="s">
        <v>1501</v>
      </c>
      <c r="F59" s="292" t="s">
        <v>26</v>
      </c>
      <c r="G59" s="293">
        <v>211200000</v>
      </c>
      <c r="H59" s="289" t="s">
        <v>40</v>
      </c>
      <c r="I59" s="329"/>
      <c r="J59" s="330"/>
      <c r="K59" s="292"/>
      <c r="L59" s="327">
        <v>211200000</v>
      </c>
      <c r="M59" s="330"/>
      <c r="N59" s="330"/>
      <c r="O59" s="330"/>
      <c r="P59" s="330"/>
      <c r="Q59" s="263"/>
    </row>
    <row r="60" spans="1:17" ht="14.25" customHeight="1">
      <c r="A60" s="263"/>
      <c r="B60" s="283">
        <f t="shared" si="1"/>
        <v>58</v>
      </c>
      <c r="C60" s="292" t="s">
        <v>1503</v>
      </c>
      <c r="D60" s="292" t="s">
        <v>90</v>
      </c>
      <c r="E60" s="292" t="s">
        <v>103</v>
      </c>
      <c r="F60" s="292" t="s">
        <v>26</v>
      </c>
      <c r="G60" s="293">
        <v>120000000</v>
      </c>
      <c r="H60" s="289" t="s">
        <v>40</v>
      </c>
      <c r="I60" s="329"/>
      <c r="J60" s="330"/>
      <c r="K60" s="292"/>
      <c r="L60" s="327">
        <v>120000000</v>
      </c>
      <c r="M60" s="330"/>
      <c r="N60" s="330"/>
      <c r="O60" s="330"/>
      <c r="P60" s="330"/>
      <c r="Q60" s="263"/>
    </row>
    <row r="61" spans="1:17" ht="14.25" customHeight="1">
      <c r="A61" s="263"/>
      <c r="B61" s="263"/>
      <c r="C61" s="263"/>
      <c r="D61" s="263"/>
      <c r="E61" s="263"/>
      <c r="F61" s="263"/>
      <c r="G61" s="263"/>
      <c r="H61" s="263"/>
      <c r="I61" s="331">
        <f t="shared" ref="I61:P61" si="4">SUM(I3:I60)</f>
        <v>3484500000</v>
      </c>
      <c r="J61" s="331">
        <f t="shared" si="4"/>
        <v>6121829000</v>
      </c>
      <c r="K61" s="331">
        <f t="shared" si="4"/>
        <v>1838164350</v>
      </c>
      <c r="L61" s="331">
        <f t="shared" si="4"/>
        <v>5837200000</v>
      </c>
      <c r="M61" s="331">
        <f t="shared" si="4"/>
        <v>9795575930</v>
      </c>
      <c r="N61" s="331">
        <f t="shared" si="4"/>
        <v>1446250000</v>
      </c>
      <c r="O61" s="331">
        <f t="shared" si="4"/>
        <v>11650000000</v>
      </c>
      <c r="P61" s="331">
        <f t="shared" si="4"/>
        <v>2000000000</v>
      </c>
      <c r="Q61" s="263"/>
    </row>
    <row r="62" spans="1:17" ht="17.25" customHeight="1">
      <c r="A62" s="263"/>
      <c r="B62" s="263"/>
      <c r="C62" s="263"/>
      <c r="D62" s="263"/>
      <c r="E62" s="263"/>
      <c r="F62" s="263"/>
      <c r="G62" s="263"/>
      <c r="H62" s="295" t="s">
        <v>1504</v>
      </c>
      <c r="I62" s="332">
        <f>(I43+I42+I22)/I61</f>
        <v>1</v>
      </c>
      <c r="J62" s="333">
        <f>(J16+J35+J23+J18+J51+J50+J25+G52+J20+J53+J52+J54+J55+J56)/J61</f>
        <v>0.68893544723317168</v>
      </c>
      <c r="K62" s="333">
        <f>(K12+K17+K16)/K61</f>
        <v>0.92601314458089667</v>
      </c>
      <c r="L62" s="333">
        <f>(L35+L31+L57+L59+L60+L26+L27)/L61</f>
        <v>0.82011923524977726</v>
      </c>
      <c r="M62" s="332">
        <f>(M7+M8)/M61</f>
        <v>0.39762848329021122</v>
      </c>
      <c r="N62" s="295"/>
      <c r="O62" s="295"/>
      <c r="P62" s="295"/>
      <c r="Q62" s="263"/>
    </row>
    <row r="63" spans="1:17" ht="14.25" customHeight="1">
      <c r="A63" s="263"/>
      <c r="B63" s="263"/>
      <c r="C63" s="263"/>
      <c r="D63" s="296"/>
      <c r="E63" s="297" t="s">
        <v>1505</v>
      </c>
      <c r="F63" s="298"/>
      <c r="G63" s="299"/>
      <c r="H63" s="263"/>
      <c r="I63" s="263"/>
      <c r="J63" s="263"/>
      <c r="K63" s="263"/>
      <c r="L63" s="263"/>
      <c r="M63" s="263"/>
      <c r="N63" s="263"/>
      <c r="O63" s="263"/>
      <c r="P63" s="263"/>
      <c r="Q63" s="263"/>
    </row>
    <row r="64" spans="1:17" ht="14.25" customHeight="1">
      <c r="A64" s="263"/>
      <c r="B64" s="263"/>
      <c r="C64" s="263"/>
      <c r="D64" s="300"/>
      <c r="E64" s="301"/>
      <c r="F64" s="302" t="s">
        <v>1506</v>
      </c>
      <c r="G64" s="303"/>
      <c r="H64" s="263"/>
      <c r="I64" s="263"/>
      <c r="J64" s="263"/>
      <c r="K64" s="263"/>
      <c r="L64" s="263"/>
      <c r="M64" s="263"/>
      <c r="N64" s="263"/>
      <c r="O64" s="263"/>
      <c r="P64" s="263"/>
      <c r="Q64" s="263"/>
    </row>
    <row r="65" spans="1:17" ht="14.25" customHeight="1">
      <c r="A65" s="263"/>
      <c r="B65" s="263"/>
      <c r="C65" s="263"/>
      <c r="D65" s="300"/>
      <c r="E65" s="338" t="s">
        <v>1507</v>
      </c>
      <c r="F65" s="302" t="s">
        <v>1508</v>
      </c>
      <c r="G65" s="339"/>
      <c r="H65" s="263"/>
      <c r="I65" s="263"/>
      <c r="J65" s="263"/>
      <c r="K65" s="263"/>
      <c r="L65" s="263"/>
      <c r="M65" s="263"/>
      <c r="N65" s="263"/>
      <c r="O65" s="263"/>
      <c r="P65" s="263"/>
      <c r="Q65" s="263"/>
    </row>
    <row r="66" spans="1:17" ht="14.25" customHeight="1">
      <c r="A66" s="263"/>
      <c r="B66" s="263"/>
      <c r="C66" s="263"/>
      <c r="D66" s="300"/>
      <c r="E66" s="340"/>
      <c r="F66" s="302" t="s">
        <v>1509</v>
      </c>
      <c r="G66" s="339"/>
      <c r="H66" s="263"/>
      <c r="I66" s="263"/>
      <c r="J66" s="263"/>
      <c r="K66" s="263"/>
      <c r="L66" s="263"/>
      <c r="M66" s="263"/>
      <c r="N66" s="263"/>
      <c r="O66" s="263"/>
      <c r="P66" s="263"/>
      <c r="Q66" s="263"/>
    </row>
    <row r="67" spans="1:17" ht="14.25" customHeight="1">
      <c r="A67" s="263"/>
      <c r="B67" s="263"/>
      <c r="C67" s="263"/>
      <c r="D67" s="300"/>
      <c r="E67" s="341"/>
      <c r="F67" s="302" t="s">
        <v>1510</v>
      </c>
      <c r="G67" s="303"/>
      <c r="H67" s="263"/>
      <c r="I67" s="263"/>
      <c r="J67" s="263"/>
      <c r="K67" s="263"/>
      <c r="L67" s="263"/>
      <c r="M67" s="263"/>
      <c r="N67" s="263"/>
      <c r="O67" s="263"/>
      <c r="P67" s="263"/>
      <c r="Q67" s="263"/>
    </row>
    <row r="68" spans="1:17" ht="14.25" customHeight="1">
      <c r="A68" s="263"/>
      <c r="B68" s="263"/>
      <c r="C68" s="263"/>
      <c r="D68" s="300"/>
      <c r="E68" s="263"/>
      <c r="F68" s="263"/>
      <c r="G68" s="303"/>
      <c r="H68" s="263"/>
      <c r="I68" s="263"/>
      <c r="J68" s="263"/>
      <c r="K68" s="263"/>
      <c r="L68" s="263"/>
      <c r="M68" s="263"/>
      <c r="N68" s="263"/>
      <c r="O68" s="263"/>
      <c r="P68" s="263"/>
      <c r="Q68" s="263"/>
    </row>
    <row r="69" spans="1:17" ht="14.25" customHeight="1">
      <c r="A69" s="263"/>
      <c r="B69" s="263"/>
      <c r="C69" s="263"/>
      <c r="D69" s="342"/>
      <c r="E69" s="343"/>
      <c r="F69" s="343"/>
      <c r="G69" s="344"/>
      <c r="H69" s="263"/>
      <c r="I69" s="263"/>
      <c r="J69" s="263"/>
      <c r="K69" s="263"/>
      <c r="L69" s="263"/>
      <c r="M69" s="263"/>
      <c r="N69" s="263"/>
      <c r="O69" s="263"/>
      <c r="P69" s="263"/>
      <c r="Q69" s="263"/>
    </row>
    <row r="70" spans="1:17" ht="14.25" customHeight="1">
      <c r="A70" s="263"/>
      <c r="B70" s="263"/>
      <c r="C70" s="263"/>
      <c r="D70" s="263"/>
      <c r="E70" s="263"/>
      <c r="F70" s="263"/>
      <c r="G70" s="263"/>
      <c r="H70" s="263"/>
      <c r="I70" s="263"/>
      <c r="J70" s="263"/>
      <c r="K70" s="263"/>
      <c r="L70" s="263"/>
      <c r="M70" s="263"/>
      <c r="N70" s="263"/>
      <c r="O70" s="263"/>
      <c r="P70" s="263"/>
      <c r="Q70" s="263"/>
    </row>
    <row r="71" spans="1:17" ht="14.25" customHeight="1">
      <c r="A71" s="263"/>
      <c r="B71" s="263"/>
      <c r="C71" s="263"/>
      <c r="D71" s="263"/>
      <c r="E71" s="263"/>
      <c r="F71" s="263"/>
      <c r="G71" s="263"/>
      <c r="H71" s="263"/>
      <c r="I71" s="263"/>
      <c r="J71" s="263"/>
      <c r="K71" s="263"/>
      <c r="L71" s="263">
        <v>663000000</v>
      </c>
      <c r="M71" s="263"/>
      <c r="N71" s="263"/>
      <c r="O71" s="263"/>
      <c r="P71" s="263"/>
      <c r="Q71" s="263"/>
    </row>
    <row r="72" spans="1:17" ht="14.25" customHeight="1">
      <c r="A72" s="263"/>
      <c r="B72" s="263"/>
      <c r="C72" s="263"/>
      <c r="D72" s="263"/>
      <c r="E72" s="263"/>
      <c r="F72" s="263"/>
      <c r="G72" s="263"/>
      <c r="H72" s="263"/>
      <c r="I72" s="263"/>
      <c r="J72" s="263"/>
      <c r="K72" s="263"/>
      <c r="L72" s="263"/>
      <c r="M72" s="263"/>
      <c r="N72" s="263"/>
      <c r="O72" s="263"/>
      <c r="P72" s="263"/>
      <c r="Q72" s="263"/>
    </row>
    <row r="73" spans="1:17" ht="14.25" customHeight="1">
      <c r="A73" s="263"/>
      <c r="B73" s="263"/>
      <c r="C73" s="263"/>
      <c r="D73" s="263"/>
      <c r="E73" s="263"/>
      <c r="F73" s="263"/>
      <c r="G73" s="263"/>
      <c r="H73" s="263"/>
      <c r="I73" s="263"/>
      <c r="J73" s="263"/>
      <c r="K73" s="263"/>
      <c r="L73" s="263"/>
      <c r="M73" s="263"/>
      <c r="N73" s="263"/>
      <c r="O73" s="263"/>
      <c r="P73" s="263"/>
      <c r="Q73" s="263"/>
    </row>
    <row r="74" spans="1:17" ht="14.25" customHeight="1">
      <c r="A74" s="263"/>
      <c r="B74" s="263"/>
      <c r="C74" s="263"/>
      <c r="D74" s="263"/>
      <c r="E74" s="263"/>
      <c r="F74" s="263"/>
      <c r="G74" s="263"/>
      <c r="H74" s="263"/>
      <c r="I74" s="263"/>
      <c r="J74" s="263"/>
      <c r="K74" s="263"/>
      <c r="L74" s="263">
        <v>807025930</v>
      </c>
      <c r="M74" s="263"/>
      <c r="N74" s="263"/>
      <c r="O74" s="263"/>
      <c r="P74" s="263"/>
      <c r="Q74" s="263"/>
    </row>
    <row r="75" spans="1:17" ht="14.25" customHeight="1">
      <c r="A75" s="263"/>
      <c r="B75" s="263"/>
      <c r="C75" s="263"/>
      <c r="D75" s="263"/>
      <c r="E75" s="263"/>
      <c r="F75" s="263"/>
      <c r="G75" s="263"/>
      <c r="H75" s="263"/>
      <c r="I75" s="263"/>
      <c r="J75" s="263"/>
      <c r="K75" s="263"/>
      <c r="L75" s="263">
        <f>SUM(L71:L74)</f>
        <v>1470025930</v>
      </c>
      <c r="M75" s="263"/>
      <c r="N75" s="263"/>
      <c r="O75" s="263"/>
      <c r="P75" s="263"/>
      <c r="Q75" s="263"/>
    </row>
    <row r="76" spans="1:17" ht="14.25" customHeight="1">
      <c r="A76" s="263"/>
      <c r="B76" s="263"/>
      <c r="C76" s="263"/>
      <c r="D76" s="263"/>
      <c r="E76" s="263"/>
      <c r="F76" s="263"/>
      <c r="G76" s="263"/>
      <c r="H76" s="263"/>
      <c r="I76" s="263"/>
      <c r="J76" s="263"/>
      <c r="K76" s="263"/>
      <c r="L76" s="263"/>
      <c r="M76" s="263"/>
      <c r="N76" s="263"/>
      <c r="O76" s="263"/>
      <c r="P76" s="263"/>
      <c r="Q76" s="263"/>
    </row>
    <row r="77" spans="1:17" ht="14.25" customHeight="1">
      <c r="A77" s="263"/>
      <c r="B77" s="263"/>
      <c r="C77" s="263"/>
      <c r="D77" s="263"/>
      <c r="E77" s="263"/>
      <c r="F77" s="263"/>
      <c r="G77" s="263"/>
      <c r="H77" s="263"/>
      <c r="I77" s="263"/>
      <c r="J77" s="263"/>
      <c r="K77" s="263"/>
      <c r="L77" s="263"/>
      <c r="M77" s="263"/>
      <c r="N77" s="263"/>
      <c r="O77" s="263"/>
      <c r="P77" s="263"/>
      <c r="Q77" s="263"/>
    </row>
    <row r="78" spans="1:17" ht="14.25" customHeight="1">
      <c r="A78" s="263"/>
      <c r="B78" s="263"/>
      <c r="C78" s="263"/>
      <c r="D78" s="263"/>
      <c r="E78" s="263"/>
      <c r="F78" s="263"/>
      <c r="G78" s="263"/>
      <c r="H78" s="263"/>
      <c r="I78" s="263"/>
      <c r="J78" s="263"/>
      <c r="K78" s="263"/>
      <c r="L78" s="263"/>
      <c r="M78" s="263"/>
      <c r="N78" s="263"/>
      <c r="O78" s="263"/>
      <c r="P78" s="263"/>
      <c r="Q78" s="263"/>
    </row>
    <row r="79" spans="1:17" ht="14.25" customHeight="1">
      <c r="A79" s="263"/>
      <c r="B79" s="263"/>
      <c r="C79" s="263"/>
      <c r="D79" s="263"/>
      <c r="E79" s="263"/>
      <c r="F79" s="263"/>
      <c r="G79" s="263"/>
      <c r="H79" s="263"/>
      <c r="I79" s="263"/>
      <c r="J79" s="263"/>
      <c r="K79" s="263"/>
      <c r="L79" s="263"/>
      <c r="M79" s="263"/>
      <c r="N79" s="263"/>
      <c r="O79" s="263"/>
      <c r="P79" s="263"/>
      <c r="Q79" s="263"/>
    </row>
    <row r="80" spans="1:17" ht="14.25" customHeight="1">
      <c r="A80" s="263"/>
      <c r="B80" s="263"/>
      <c r="C80" s="263"/>
      <c r="D80" s="263"/>
      <c r="E80" s="263"/>
      <c r="F80" s="263"/>
      <c r="G80" s="263"/>
      <c r="H80" s="263"/>
      <c r="I80" s="263"/>
      <c r="J80" s="263"/>
      <c r="K80" s="263"/>
      <c r="L80" s="263"/>
      <c r="M80" s="263"/>
      <c r="N80" s="263"/>
      <c r="O80" s="263"/>
      <c r="P80" s="263"/>
      <c r="Q80" s="263"/>
    </row>
    <row r="81" spans="1:17" ht="14.25" customHeight="1">
      <c r="A81" s="263"/>
      <c r="B81" s="263"/>
      <c r="C81" s="263"/>
      <c r="D81" s="263"/>
      <c r="E81" s="263"/>
      <c r="F81" s="263"/>
      <c r="G81" s="263"/>
      <c r="H81" s="263"/>
      <c r="I81" s="263"/>
      <c r="J81" s="263"/>
      <c r="K81" s="263"/>
      <c r="L81" s="263"/>
      <c r="M81" s="263"/>
      <c r="N81" s="263"/>
      <c r="O81" s="263"/>
      <c r="P81" s="263"/>
      <c r="Q81" s="263"/>
    </row>
    <row r="82" spans="1:17" ht="14.25" customHeight="1">
      <c r="A82" s="263"/>
      <c r="B82" s="263"/>
      <c r="C82" s="263"/>
      <c r="D82" s="263"/>
      <c r="E82" s="263"/>
      <c r="F82" s="263"/>
      <c r="G82" s="263"/>
      <c r="H82" s="263"/>
      <c r="I82" s="263"/>
      <c r="J82" s="263"/>
      <c r="K82" s="263"/>
      <c r="L82" s="263"/>
      <c r="M82" s="263"/>
      <c r="N82" s="263"/>
      <c r="O82" s="263"/>
      <c r="P82" s="263"/>
      <c r="Q82" s="263"/>
    </row>
    <row r="83" spans="1:17" ht="14.25" customHeight="1">
      <c r="A83" s="263"/>
      <c r="B83" s="263"/>
      <c r="C83" s="263"/>
      <c r="D83" s="263"/>
      <c r="E83" s="263"/>
      <c r="F83" s="263"/>
      <c r="G83" s="263"/>
      <c r="H83" s="263"/>
      <c r="I83" s="263"/>
      <c r="J83" s="263"/>
      <c r="K83" s="263"/>
      <c r="L83" s="263"/>
      <c r="M83" s="263"/>
      <c r="N83" s="263"/>
      <c r="O83" s="263"/>
      <c r="P83" s="263"/>
      <c r="Q83" s="263"/>
    </row>
    <row r="84" spans="1:17" ht="14.25" customHeight="1">
      <c r="A84" s="263"/>
      <c r="B84" s="263"/>
      <c r="C84" s="263"/>
      <c r="D84" s="263"/>
      <c r="E84" s="263"/>
      <c r="F84" s="263"/>
      <c r="G84" s="263"/>
      <c r="H84" s="263"/>
      <c r="I84" s="263"/>
      <c r="J84" s="263"/>
      <c r="K84" s="263"/>
      <c r="L84" s="263"/>
      <c r="M84" s="263"/>
      <c r="N84" s="263"/>
      <c r="O84" s="263"/>
      <c r="P84" s="263"/>
      <c r="Q84" s="263"/>
    </row>
    <row r="85" spans="1:17" ht="14.25" customHeight="1">
      <c r="A85" s="263"/>
      <c r="B85" s="263"/>
      <c r="C85" s="263"/>
      <c r="D85" s="263"/>
      <c r="E85" s="263"/>
      <c r="F85" s="263"/>
      <c r="G85" s="263"/>
      <c r="H85" s="263"/>
      <c r="I85" s="263"/>
      <c r="J85" s="263"/>
      <c r="K85" s="263"/>
      <c r="L85" s="263"/>
      <c r="M85" s="263"/>
      <c r="N85" s="263"/>
      <c r="O85" s="263"/>
      <c r="P85" s="263"/>
      <c r="Q85" s="263"/>
    </row>
    <row r="86" spans="1:17" ht="14.25" customHeight="1">
      <c r="A86" s="263"/>
      <c r="B86" s="263"/>
      <c r="C86" s="263"/>
      <c r="D86" s="263"/>
      <c r="E86" s="263"/>
      <c r="F86" s="263"/>
      <c r="G86" s="263"/>
      <c r="H86" s="263"/>
      <c r="I86" s="263"/>
      <c r="J86" s="263"/>
      <c r="K86" s="263"/>
      <c r="L86" s="263"/>
      <c r="M86" s="263"/>
      <c r="N86" s="263"/>
      <c r="O86" s="263"/>
      <c r="P86" s="263"/>
      <c r="Q86" s="263"/>
    </row>
    <row r="87" spans="1:17" ht="14.25" customHeight="1">
      <c r="A87" s="263"/>
      <c r="B87" s="263"/>
      <c r="C87" s="263"/>
      <c r="D87" s="263"/>
      <c r="E87" s="263"/>
      <c r="F87" s="263"/>
      <c r="G87" s="263"/>
      <c r="H87" s="263"/>
      <c r="I87" s="263"/>
      <c r="J87" s="263"/>
      <c r="K87" s="263"/>
      <c r="L87" s="263"/>
      <c r="M87" s="263"/>
      <c r="N87" s="263"/>
      <c r="O87" s="263"/>
      <c r="P87" s="263"/>
      <c r="Q87" s="263"/>
    </row>
    <row r="88" spans="1:17" ht="14.25" customHeight="1">
      <c r="A88" s="263"/>
      <c r="B88" s="263"/>
      <c r="C88" s="263"/>
      <c r="D88" s="263"/>
      <c r="E88" s="263"/>
      <c r="F88" s="263"/>
      <c r="G88" s="263"/>
      <c r="H88" s="263"/>
      <c r="I88" s="263"/>
      <c r="J88" s="263"/>
      <c r="K88" s="263"/>
      <c r="L88" s="263"/>
      <c r="M88" s="263"/>
      <c r="N88" s="263"/>
      <c r="O88" s="263"/>
      <c r="P88" s="263"/>
      <c r="Q88" s="263"/>
    </row>
    <row r="89" spans="1:17" ht="14.25" customHeight="1">
      <c r="A89" s="263"/>
      <c r="B89" s="263"/>
      <c r="C89" s="263"/>
      <c r="D89" s="263"/>
      <c r="E89" s="263"/>
      <c r="F89" s="263"/>
      <c r="G89" s="263"/>
      <c r="H89" s="263"/>
      <c r="I89" s="263"/>
      <c r="J89" s="263"/>
      <c r="K89" s="263"/>
      <c r="L89" s="263"/>
      <c r="M89" s="263"/>
      <c r="N89" s="263"/>
      <c r="O89" s="263"/>
      <c r="P89" s="263"/>
      <c r="Q89" s="263"/>
    </row>
    <row r="90" spans="1:17" ht="14.25" customHeight="1">
      <c r="A90" s="263"/>
      <c r="B90" s="263"/>
      <c r="C90" s="263"/>
      <c r="D90" s="263"/>
      <c r="E90" s="263"/>
      <c r="F90" s="263"/>
      <c r="G90" s="263"/>
      <c r="H90" s="263"/>
      <c r="I90" s="263"/>
      <c r="J90" s="263"/>
      <c r="K90" s="263"/>
      <c r="L90" s="263"/>
      <c r="M90" s="263"/>
      <c r="N90" s="263"/>
      <c r="O90" s="263"/>
      <c r="P90" s="263"/>
      <c r="Q90" s="263"/>
    </row>
    <row r="91" spans="1:17" ht="14.25" customHeight="1">
      <c r="A91" s="263"/>
      <c r="B91" s="263"/>
      <c r="C91" s="263"/>
      <c r="D91" s="263"/>
      <c r="E91" s="263"/>
      <c r="F91" s="263"/>
      <c r="G91" s="263"/>
      <c r="H91" s="263"/>
      <c r="I91" s="263"/>
      <c r="J91" s="263"/>
      <c r="K91" s="263"/>
      <c r="L91" s="263"/>
      <c r="M91" s="263"/>
      <c r="N91" s="263"/>
      <c r="O91" s="263"/>
      <c r="P91" s="263"/>
      <c r="Q91" s="263"/>
    </row>
    <row r="92" spans="1:17" ht="14.25" customHeight="1">
      <c r="A92" s="263"/>
      <c r="B92" s="263"/>
      <c r="C92" s="263"/>
      <c r="D92" s="263"/>
      <c r="E92" s="263"/>
      <c r="F92" s="263"/>
      <c r="G92" s="263"/>
      <c r="H92" s="263"/>
      <c r="I92" s="263"/>
      <c r="J92" s="263"/>
      <c r="K92" s="263"/>
      <c r="L92" s="263"/>
      <c r="M92" s="263"/>
      <c r="N92" s="263"/>
      <c r="O92" s="263"/>
      <c r="P92" s="263"/>
      <c r="Q92" s="263"/>
    </row>
    <row r="93" spans="1:17" ht="14.25" customHeight="1">
      <c r="A93" s="263"/>
      <c r="B93" s="263"/>
      <c r="C93" s="263"/>
      <c r="D93" s="263"/>
      <c r="E93" s="263"/>
      <c r="F93" s="263"/>
      <c r="G93" s="263"/>
      <c r="H93" s="263"/>
      <c r="I93" s="263"/>
      <c r="J93" s="263"/>
      <c r="K93" s="263"/>
      <c r="L93" s="263"/>
      <c r="M93" s="263"/>
      <c r="N93" s="263"/>
      <c r="O93" s="263"/>
      <c r="P93" s="263"/>
      <c r="Q93" s="263"/>
    </row>
    <row r="94" spans="1:17" ht="14.25" customHeight="1">
      <c r="A94" s="263"/>
      <c r="B94" s="263"/>
      <c r="C94" s="263"/>
      <c r="D94" s="263"/>
      <c r="E94" s="263"/>
      <c r="F94" s="263"/>
      <c r="G94" s="263"/>
      <c r="H94" s="263"/>
      <c r="I94" s="263"/>
      <c r="J94" s="263"/>
      <c r="K94" s="263"/>
      <c r="L94" s="263"/>
      <c r="M94" s="263"/>
      <c r="N94" s="263"/>
      <c r="O94" s="263"/>
      <c r="P94" s="263"/>
      <c r="Q94" s="263"/>
    </row>
    <row r="95" spans="1:17" ht="14.25" customHeight="1">
      <c r="A95" s="263"/>
      <c r="B95" s="263"/>
      <c r="C95" s="263"/>
      <c r="D95" s="263"/>
      <c r="E95" s="263"/>
      <c r="F95" s="263"/>
      <c r="G95" s="263"/>
      <c r="H95" s="263"/>
      <c r="I95" s="263"/>
      <c r="J95" s="263"/>
      <c r="K95" s="263"/>
      <c r="L95" s="263"/>
      <c r="M95" s="263"/>
      <c r="N95" s="263"/>
      <c r="O95" s="263"/>
      <c r="P95" s="263"/>
      <c r="Q95" s="263"/>
    </row>
    <row r="96" spans="1:17" ht="14.25" customHeight="1">
      <c r="A96" s="263"/>
      <c r="B96" s="263"/>
      <c r="C96" s="263"/>
      <c r="D96" s="263"/>
      <c r="E96" s="263"/>
      <c r="F96" s="263"/>
      <c r="G96" s="263"/>
      <c r="H96" s="263"/>
      <c r="I96" s="263"/>
      <c r="J96" s="263"/>
      <c r="K96" s="263"/>
      <c r="L96" s="263"/>
      <c r="M96" s="263"/>
      <c r="N96" s="263"/>
      <c r="O96" s="263"/>
      <c r="P96" s="263"/>
      <c r="Q96" s="263"/>
    </row>
    <row r="97" spans="1:17" ht="14.25" customHeight="1">
      <c r="A97" s="263"/>
      <c r="B97" s="263"/>
      <c r="C97" s="263"/>
      <c r="D97" s="263"/>
      <c r="E97" s="263"/>
      <c r="F97" s="263"/>
      <c r="G97" s="263"/>
      <c r="H97" s="263"/>
      <c r="I97" s="263"/>
      <c r="J97" s="263"/>
      <c r="K97" s="263"/>
      <c r="L97" s="263"/>
      <c r="M97" s="263"/>
      <c r="N97" s="263"/>
      <c r="O97" s="263"/>
      <c r="P97" s="263"/>
      <c r="Q97" s="263"/>
    </row>
    <row r="98" spans="1:17" ht="14.25" customHeight="1">
      <c r="A98" s="263"/>
      <c r="B98" s="263"/>
      <c r="C98" s="263"/>
      <c r="D98" s="263"/>
      <c r="E98" s="263"/>
      <c r="F98" s="263"/>
      <c r="G98" s="263"/>
      <c r="H98" s="263"/>
      <c r="I98" s="263"/>
      <c r="J98" s="263"/>
      <c r="K98" s="263"/>
      <c r="L98" s="263"/>
      <c r="M98" s="263"/>
      <c r="N98" s="263"/>
      <c r="O98" s="263"/>
      <c r="P98" s="263"/>
      <c r="Q98" s="263"/>
    </row>
    <row r="99" spans="1:17" ht="14.25" customHeight="1">
      <c r="A99" s="263"/>
      <c r="B99" s="263"/>
      <c r="C99" s="263"/>
      <c r="D99" s="263"/>
      <c r="E99" s="263"/>
      <c r="F99" s="263"/>
      <c r="G99" s="263"/>
      <c r="H99" s="263"/>
      <c r="I99" s="263"/>
      <c r="J99" s="263"/>
      <c r="K99" s="263"/>
      <c r="L99" s="263"/>
      <c r="M99" s="263"/>
      <c r="N99" s="263"/>
      <c r="O99" s="263"/>
      <c r="P99" s="263"/>
      <c r="Q99" s="263"/>
    </row>
    <row r="100" spans="1:17" ht="14.25" customHeight="1">
      <c r="A100" s="263"/>
      <c r="B100" s="263"/>
      <c r="C100" s="263"/>
      <c r="D100" s="263"/>
      <c r="E100" s="263"/>
      <c r="F100" s="263"/>
      <c r="G100" s="263"/>
      <c r="H100" s="263"/>
      <c r="I100" s="263"/>
      <c r="J100" s="263"/>
      <c r="K100" s="263"/>
      <c r="L100" s="263"/>
      <c r="M100" s="263"/>
      <c r="N100" s="263"/>
      <c r="O100" s="263"/>
      <c r="P100" s="263"/>
      <c r="Q100" s="263"/>
    </row>
  </sheetData>
  <autoFilter ref="B2:Q67" xr:uid="{00000000-0009-0000-0000-000009000000}"/>
  <pageMargins left="0.7" right="0.7" top="0.75" bottom="0.75" header="0" footer="0"/>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AM849"/>
  <sheetViews>
    <sheetView workbookViewId="0">
      <pane xSplit="20" ySplit="2" topLeftCell="U3" activePane="bottomRight" state="frozen"/>
      <selection pane="topRight"/>
      <selection pane="bottomLeft"/>
      <selection pane="bottomRight"/>
    </sheetView>
  </sheetViews>
  <sheetFormatPr defaultColWidth="14.33203125" defaultRowHeight="15" customHeight="1"/>
  <cols>
    <col min="1" max="1" width="4.33203125" customWidth="1"/>
    <col min="2" max="2" width="8.33203125" customWidth="1"/>
    <col min="3" max="3" width="41.109375" hidden="1" customWidth="1"/>
    <col min="4" max="4" width="58.33203125" hidden="1" customWidth="1"/>
    <col min="5" max="20" width="13.33203125" hidden="1" customWidth="1"/>
    <col min="21" max="35" width="13.33203125" customWidth="1"/>
    <col min="36" max="36" width="41.88671875" customWidth="1"/>
    <col min="37" max="39" width="10.33203125" customWidth="1"/>
  </cols>
  <sheetData>
    <row r="1" spans="1:39" ht="12.75" customHeight="1">
      <c r="A1" s="1"/>
      <c r="B1" s="2"/>
      <c r="C1" s="1"/>
      <c r="D1" s="3" t="s">
        <v>1511</v>
      </c>
      <c r="E1" s="4" t="e">
        <f>SUM(#REF!+#REF!+#REF!+#REF!+#REF!+#REF!+#REF!)</f>
        <v>#REF!</v>
      </c>
      <c r="F1" s="4" t="e">
        <f>SUM(#REF!+#REF!+#REF!+#REF!+#REF!+#REF!+#REF!)</f>
        <v>#REF!</v>
      </c>
      <c r="G1" s="4" t="e">
        <f>SUM(#REF!+#REF!+#REF!+#REF!+#REF!+#REF!+#REF!)</f>
        <v>#REF!</v>
      </c>
      <c r="H1" s="4" t="e">
        <f>SUM(#REF!+#REF!+#REF!+#REF!+#REF!+#REF!+#REF!)</f>
        <v>#REF!</v>
      </c>
      <c r="I1" s="4" t="e">
        <f>SUM(#REF!+#REF!+#REF!+#REF!+#REF!+#REF!+#REF!)</f>
        <v>#REF!</v>
      </c>
      <c r="J1" s="4" t="e">
        <f>SUM(#REF!+#REF!+#REF!+#REF!+#REF!+#REF!+#REF!)</f>
        <v>#REF!</v>
      </c>
      <c r="K1" s="4" t="e">
        <f>SUM(#REF!+#REF!+#REF!+#REF!+#REF!+#REF!+#REF!)</f>
        <v>#REF!</v>
      </c>
      <c r="L1" s="4" t="e">
        <f>SUM(#REF!+#REF!+#REF!+#REF!+#REF!+#REF!+#REF!)</f>
        <v>#REF!</v>
      </c>
      <c r="M1" s="4" t="e">
        <f>SUM(#REF!+#REF!+#REF!+#REF!+#REF!+#REF!+#REF!)</f>
        <v>#REF!</v>
      </c>
      <c r="N1" s="4" t="e">
        <f>SUM(#REF!+#REF!+#REF!+#REF!+#REF!+#REF!+#REF!)</f>
        <v>#REF!</v>
      </c>
      <c r="O1" s="4" t="e">
        <f>SUM(#REF!+#REF!+#REF!+#REF!+#REF!+#REF!+#REF!)</f>
        <v>#REF!</v>
      </c>
      <c r="P1" s="4" t="e">
        <f>SUM(#REF!+#REF!+#REF!+#REF!+#REF!+#REF!+#REF!)</f>
        <v>#REF!</v>
      </c>
      <c r="Q1" s="4" t="e">
        <f>SUM(#REF!+#REF!+#REF!+#REF!+#REF!+#REF!+#REF!)</f>
        <v>#REF!</v>
      </c>
      <c r="R1" s="4" t="e">
        <f>SUM(#REF!+#REF!+#REF!+#REF!+#REF!+#REF!+#REF!)</f>
        <v>#REF!</v>
      </c>
      <c r="S1" s="4" t="e">
        <f>SUM(#REF!+#REF!+#REF!+#REF!+#REF!+#REF!+#REF!)</f>
        <v>#REF!</v>
      </c>
      <c r="T1" s="4" t="e">
        <f>SUM(#REF!+#REF!+#REF!+#REF!+#REF!+#REF!+#REF!)</f>
        <v>#REF!</v>
      </c>
      <c r="U1" s="4">
        <f t="shared" ref="U1:AI1" si="0">SUBTOTAL(9,U3:U849)</f>
        <v>12000000</v>
      </c>
      <c r="V1" s="4">
        <f t="shared" si="0"/>
        <v>165000000</v>
      </c>
      <c r="W1" s="4">
        <f t="shared" si="0"/>
        <v>44000000</v>
      </c>
      <c r="X1" s="4">
        <f t="shared" si="0"/>
        <v>529409666</v>
      </c>
      <c r="Y1" s="4">
        <f t="shared" si="0"/>
        <v>585936000</v>
      </c>
      <c r="Z1" s="4">
        <f t="shared" si="0"/>
        <v>1098642180</v>
      </c>
      <c r="AA1" s="4">
        <f t="shared" si="0"/>
        <v>2226999250</v>
      </c>
      <c r="AB1" s="4">
        <f t="shared" si="0"/>
        <v>1115729215</v>
      </c>
      <c r="AC1" s="4">
        <f t="shared" si="0"/>
        <v>1808541900</v>
      </c>
      <c r="AD1" s="4">
        <f t="shared" si="0"/>
        <v>1382167000</v>
      </c>
      <c r="AE1" s="4">
        <f t="shared" si="0"/>
        <v>1597538784</v>
      </c>
      <c r="AF1" s="4">
        <f t="shared" si="0"/>
        <v>2658188000</v>
      </c>
      <c r="AG1" s="4">
        <f t="shared" si="0"/>
        <v>4994950000</v>
      </c>
      <c r="AH1" s="4">
        <f t="shared" si="0"/>
        <v>1558400000</v>
      </c>
      <c r="AI1" s="4">
        <f t="shared" si="0"/>
        <v>1484000000</v>
      </c>
      <c r="AJ1" s="4">
        <f>SUM(U1:AI1)</f>
        <v>21261501995</v>
      </c>
      <c r="AK1" s="1"/>
      <c r="AL1" s="1"/>
      <c r="AM1" s="1"/>
    </row>
    <row r="2" spans="1:39" ht="16.5" customHeight="1">
      <c r="A2" s="5" t="s">
        <v>1512</v>
      </c>
      <c r="B2" s="6" t="s">
        <v>1513</v>
      </c>
      <c r="C2" s="7" t="s">
        <v>1514</v>
      </c>
      <c r="D2" s="8" t="s">
        <v>1515</v>
      </c>
      <c r="E2" s="9">
        <v>43930</v>
      </c>
      <c r="F2" s="9">
        <v>43953</v>
      </c>
      <c r="G2" s="9">
        <v>44007</v>
      </c>
      <c r="H2" s="9">
        <v>44029</v>
      </c>
      <c r="I2" s="9">
        <v>43930</v>
      </c>
      <c r="J2" s="9">
        <v>43953</v>
      </c>
      <c r="K2" s="9">
        <v>44007</v>
      </c>
      <c r="L2" s="9">
        <v>44029</v>
      </c>
      <c r="M2" s="9">
        <v>44053</v>
      </c>
      <c r="N2" s="9">
        <v>44077</v>
      </c>
      <c r="O2" s="9">
        <v>44124</v>
      </c>
      <c r="P2" s="9">
        <v>44155</v>
      </c>
      <c r="Q2" s="9">
        <v>44185</v>
      </c>
      <c r="R2" s="9">
        <v>44217</v>
      </c>
      <c r="S2" s="9">
        <v>44248</v>
      </c>
      <c r="T2" s="9">
        <v>44276</v>
      </c>
      <c r="U2" s="9">
        <v>44307</v>
      </c>
      <c r="V2" s="9">
        <v>44337</v>
      </c>
      <c r="W2" s="9">
        <v>44368</v>
      </c>
      <c r="X2" s="9">
        <v>44398</v>
      </c>
      <c r="Y2" s="9">
        <v>44429</v>
      </c>
      <c r="Z2" s="9">
        <v>44460</v>
      </c>
      <c r="AA2" s="9">
        <v>44470</v>
      </c>
      <c r="AB2" s="9">
        <v>44501</v>
      </c>
      <c r="AC2" s="9">
        <v>44531</v>
      </c>
      <c r="AD2" s="9">
        <v>44562</v>
      </c>
      <c r="AE2" s="9">
        <v>44593</v>
      </c>
      <c r="AF2" s="9">
        <v>44621</v>
      </c>
      <c r="AG2" s="9">
        <v>44652</v>
      </c>
      <c r="AH2" s="9">
        <v>44682</v>
      </c>
      <c r="AI2" s="9">
        <v>44713</v>
      </c>
      <c r="AJ2" s="30" t="s">
        <v>1516</v>
      </c>
      <c r="AK2" s="31"/>
      <c r="AL2" s="31"/>
      <c r="AM2" s="31"/>
    </row>
    <row r="3" spans="1:39" ht="12.75" hidden="1" customHeight="1">
      <c r="A3" s="10">
        <v>1</v>
      </c>
      <c r="B3" s="11" t="s">
        <v>1517</v>
      </c>
      <c r="C3" s="12" t="s">
        <v>1518</v>
      </c>
      <c r="D3" s="13" t="s">
        <v>1519</v>
      </c>
      <c r="E3" s="14"/>
      <c r="F3" s="14"/>
      <c r="G3" s="14"/>
      <c r="H3" s="14"/>
      <c r="I3" s="14"/>
      <c r="J3" s="14"/>
      <c r="K3" s="14"/>
      <c r="L3" s="14"/>
      <c r="M3" s="14"/>
      <c r="N3" s="14"/>
      <c r="O3" s="14"/>
      <c r="P3" s="14"/>
      <c r="Q3" s="14"/>
      <c r="R3" s="14"/>
      <c r="S3" s="14"/>
      <c r="T3" s="14"/>
      <c r="U3" s="14">
        <v>320000000</v>
      </c>
      <c r="V3" s="14"/>
      <c r="W3" s="14"/>
      <c r="X3" s="14"/>
      <c r="Y3" s="14"/>
      <c r="Z3" s="14"/>
      <c r="AA3" s="14"/>
      <c r="AB3" s="14"/>
      <c r="AC3" s="14"/>
      <c r="AD3" s="14"/>
      <c r="AE3" s="14"/>
      <c r="AF3" s="14"/>
      <c r="AG3" s="14"/>
      <c r="AH3" s="14"/>
      <c r="AI3" s="14"/>
      <c r="AJ3" s="14" t="s">
        <v>1520</v>
      </c>
      <c r="AK3" s="1"/>
      <c r="AL3" s="1"/>
      <c r="AM3" s="1"/>
    </row>
    <row r="4" spans="1:39" ht="12.75" hidden="1" customHeight="1">
      <c r="A4" s="15">
        <v>2</v>
      </c>
      <c r="B4" s="16" t="s">
        <v>1517</v>
      </c>
      <c r="C4" s="17" t="s">
        <v>32</v>
      </c>
      <c r="D4" s="18" t="s">
        <v>1521</v>
      </c>
      <c r="E4" s="19"/>
      <c r="F4" s="19"/>
      <c r="G4" s="19"/>
      <c r="H4" s="19"/>
      <c r="I4" s="19"/>
      <c r="J4" s="19"/>
      <c r="K4" s="19"/>
      <c r="L4" s="19"/>
      <c r="M4" s="19"/>
      <c r="N4" s="19"/>
      <c r="O4" s="19"/>
      <c r="P4" s="19"/>
      <c r="Q4" s="19"/>
      <c r="R4" s="19"/>
      <c r="S4" s="19"/>
      <c r="T4" s="19"/>
      <c r="U4" s="19">
        <v>117000000</v>
      </c>
      <c r="V4" s="19"/>
      <c r="W4" s="19"/>
      <c r="X4" s="19"/>
      <c r="Y4" s="19"/>
      <c r="Z4" s="19"/>
      <c r="AA4" s="19"/>
      <c r="AB4" s="19"/>
      <c r="AC4" s="19"/>
      <c r="AD4" s="19"/>
      <c r="AE4" s="19"/>
      <c r="AF4" s="19"/>
      <c r="AG4" s="19"/>
      <c r="AH4" s="19"/>
      <c r="AI4" s="19"/>
      <c r="AJ4" s="19" t="s">
        <v>1520</v>
      </c>
      <c r="AK4" s="1"/>
      <c r="AL4" s="1"/>
      <c r="AM4" s="1"/>
    </row>
    <row r="5" spans="1:39" ht="12.75" hidden="1" customHeight="1">
      <c r="A5" s="15">
        <v>3</v>
      </c>
      <c r="B5" s="20" t="s">
        <v>1517</v>
      </c>
      <c r="C5" s="17" t="s">
        <v>1522</v>
      </c>
      <c r="D5" s="18" t="s">
        <v>1523</v>
      </c>
      <c r="E5" s="19"/>
      <c r="F5" s="19"/>
      <c r="G5" s="19"/>
      <c r="H5" s="19"/>
      <c r="I5" s="19"/>
      <c r="J5" s="19"/>
      <c r="K5" s="19"/>
      <c r="L5" s="19"/>
      <c r="M5" s="19"/>
      <c r="N5" s="19"/>
      <c r="O5" s="19"/>
      <c r="P5" s="19"/>
      <c r="Q5" s="19"/>
      <c r="R5" s="19"/>
      <c r="S5" s="19"/>
      <c r="T5" s="19"/>
      <c r="U5" s="19"/>
      <c r="V5" s="19">
        <v>160000000</v>
      </c>
      <c r="W5" s="19"/>
      <c r="X5" s="19"/>
      <c r="Y5" s="19"/>
      <c r="Z5" s="19"/>
      <c r="AA5" s="19"/>
      <c r="AB5" s="19"/>
      <c r="AC5" s="19"/>
      <c r="AD5" s="19"/>
      <c r="AE5" s="19"/>
      <c r="AF5" s="19"/>
      <c r="AG5" s="19"/>
      <c r="AH5" s="19"/>
      <c r="AI5" s="19"/>
      <c r="AJ5" s="19" t="s">
        <v>1524</v>
      </c>
      <c r="AK5" s="1"/>
      <c r="AL5" s="1"/>
      <c r="AM5" s="1"/>
    </row>
    <row r="6" spans="1:39" ht="12.75" hidden="1" customHeight="1">
      <c r="A6" s="15">
        <v>4</v>
      </c>
      <c r="B6" s="20" t="s">
        <v>1517</v>
      </c>
      <c r="C6" s="17" t="s">
        <v>1525</v>
      </c>
      <c r="D6" s="21" t="s">
        <v>1526</v>
      </c>
      <c r="E6" s="19"/>
      <c r="F6" s="19"/>
      <c r="G6" s="19"/>
      <c r="H6" s="19"/>
      <c r="I6" s="19"/>
      <c r="J6" s="19"/>
      <c r="K6" s="19"/>
      <c r="L6" s="19"/>
      <c r="M6" s="19"/>
      <c r="N6" s="19"/>
      <c r="O6" s="19"/>
      <c r="P6" s="19"/>
      <c r="Q6" s="19"/>
      <c r="R6" s="19"/>
      <c r="S6" s="19"/>
      <c r="T6" s="19"/>
      <c r="U6" s="19">
        <v>29000000</v>
      </c>
      <c r="V6" s="19"/>
      <c r="W6" s="19"/>
      <c r="X6" s="19"/>
      <c r="Y6" s="19"/>
      <c r="Z6" s="19"/>
      <c r="AA6" s="19"/>
      <c r="AB6" s="19"/>
      <c r="AC6" s="19"/>
      <c r="AD6" s="19"/>
      <c r="AE6" s="19"/>
      <c r="AF6" s="19"/>
      <c r="AG6" s="19"/>
      <c r="AH6" s="19"/>
      <c r="AI6" s="19"/>
      <c r="AJ6" s="19" t="s">
        <v>1520</v>
      </c>
      <c r="AK6" s="1"/>
      <c r="AL6" s="1"/>
      <c r="AM6" s="1"/>
    </row>
    <row r="7" spans="1:39" ht="12.75" hidden="1" customHeight="1">
      <c r="A7" s="15">
        <v>5</v>
      </c>
      <c r="B7" s="20" t="s">
        <v>40</v>
      </c>
      <c r="C7" s="17" t="s">
        <v>1527</v>
      </c>
      <c r="D7" s="18" t="s">
        <v>1528</v>
      </c>
      <c r="E7" s="19"/>
      <c r="F7" s="19"/>
      <c r="G7" s="19"/>
      <c r="H7" s="19"/>
      <c r="I7" s="19"/>
      <c r="J7" s="19"/>
      <c r="K7" s="19"/>
      <c r="L7" s="19"/>
      <c r="M7" s="19"/>
      <c r="N7" s="19"/>
      <c r="O7" s="19"/>
      <c r="P7" s="19"/>
      <c r="Q7" s="19"/>
      <c r="R7" s="19"/>
      <c r="S7" s="19"/>
      <c r="T7" s="19"/>
      <c r="U7" s="19"/>
      <c r="V7" s="19">
        <v>138000000</v>
      </c>
      <c r="W7" s="19"/>
      <c r="X7" s="19"/>
      <c r="Y7" s="19"/>
      <c r="Z7" s="19"/>
      <c r="AA7" s="19"/>
      <c r="AB7" s="19"/>
      <c r="AC7" s="19"/>
      <c r="AD7" s="19"/>
      <c r="AE7" s="19"/>
      <c r="AF7" s="19"/>
      <c r="AG7" s="19"/>
      <c r="AH7" s="19"/>
      <c r="AI7" s="19"/>
      <c r="AJ7" s="19" t="s">
        <v>1529</v>
      </c>
      <c r="AK7" s="1"/>
      <c r="AL7" s="1"/>
      <c r="AM7" s="1"/>
    </row>
    <row r="8" spans="1:39" ht="12.75" hidden="1" customHeight="1">
      <c r="A8" s="15">
        <v>6</v>
      </c>
      <c r="B8" s="20" t="s">
        <v>40</v>
      </c>
      <c r="C8" s="17" t="s">
        <v>23</v>
      </c>
      <c r="D8" s="18" t="s">
        <v>1530</v>
      </c>
      <c r="E8" s="19"/>
      <c r="F8" s="19"/>
      <c r="G8" s="19"/>
      <c r="H8" s="19"/>
      <c r="I8" s="19"/>
      <c r="J8" s="19"/>
      <c r="K8" s="19"/>
      <c r="L8" s="19"/>
      <c r="M8" s="19"/>
      <c r="N8" s="19"/>
      <c r="O8" s="19"/>
      <c r="P8" s="19"/>
      <c r="Q8" s="19"/>
      <c r="R8" s="19"/>
      <c r="S8" s="19"/>
      <c r="T8" s="19"/>
      <c r="U8" s="19"/>
      <c r="V8" s="19"/>
      <c r="W8" s="19">
        <v>235000000</v>
      </c>
      <c r="X8" s="19"/>
      <c r="Y8" s="19"/>
      <c r="Z8" s="19"/>
      <c r="AA8" s="19"/>
      <c r="AB8" s="19"/>
      <c r="AC8" s="19"/>
      <c r="AD8" s="19"/>
      <c r="AE8" s="19"/>
      <c r="AF8" s="19"/>
      <c r="AG8" s="19"/>
      <c r="AH8" s="19"/>
      <c r="AI8" s="19"/>
      <c r="AJ8" s="19" t="s">
        <v>1531</v>
      </c>
      <c r="AK8" s="1"/>
      <c r="AL8" s="1"/>
      <c r="AM8" s="1"/>
    </row>
    <row r="9" spans="1:39" ht="12.75" hidden="1" customHeight="1">
      <c r="A9" s="15">
        <v>7</v>
      </c>
      <c r="B9" s="20" t="s">
        <v>40</v>
      </c>
      <c r="C9" s="17" t="s">
        <v>23</v>
      </c>
      <c r="D9" s="18" t="s">
        <v>1532</v>
      </c>
      <c r="E9" s="19"/>
      <c r="F9" s="19"/>
      <c r="G9" s="19"/>
      <c r="H9" s="19"/>
      <c r="I9" s="19"/>
      <c r="J9" s="19"/>
      <c r="K9" s="19"/>
      <c r="L9" s="19"/>
      <c r="M9" s="19"/>
      <c r="N9" s="19"/>
      <c r="O9" s="19"/>
      <c r="P9" s="19"/>
      <c r="Q9" s="19"/>
      <c r="R9" s="19"/>
      <c r="S9" s="19"/>
      <c r="T9" s="19"/>
      <c r="U9" s="19"/>
      <c r="V9" s="19"/>
      <c r="W9" s="19">
        <v>186000000</v>
      </c>
      <c r="X9" s="19"/>
      <c r="Y9" s="19"/>
      <c r="Z9" s="19"/>
      <c r="AA9" s="19"/>
      <c r="AB9" s="19"/>
      <c r="AC9" s="19"/>
      <c r="AD9" s="19"/>
      <c r="AE9" s="19"/>
      <c r="AF9" s="19"/>
      <c r="AG9" s="19"/>
      <c r="AH9" s="19"/>
      <c r="AI9" s="19"/>
      <c r="AJ9" s="19" t="s">
        <v>1531</v>
      </c>
      <c r="AK9" s="1"/>
      <c r="AL9" s="1"/>
      <c r="AM9" s="1"/>
    </row>
    <row r="10" spans="1:39" ht="12.75" hidden="1" customHeight="1">
      <c r="A10" s="15">
        <v>8</v>
      </c>
      <c r="B10" s="16" t="s">
        <v>40</v>
      </c>
      <c r="C10" s="17" t="s">
        <v>23</v>
      </c>
      <c r="D10" s="18" t="s">
        <v>1533</v>
      </c>
      <c r="E10" s="19"/>
      <c r="F10" s="19"/>
      <c r="G10" s="19"/>
      <c r="H10" s="19"/>
      <c r="I10" s="19"/>
      <c r="J10" s="19"/>
      <c r="K10" s="19"/>
      <c r="L10" s="19"/>
      <c r="M10" s="19"/>
      <c r="N10" s="19"/>
      <c r="O10" s="19"/>
      <c r="P10" s="19"/>
      <c r="Q10" s="19"/>
      <c r="R10" s="19"/>
      <c r="S10" s="19"/>
      <c r="T10" s="19"/>
      <c r="U10" s="19"/>
      <c r="V10" s="19"/>
      <c r="W10" s="19">
        <v>334000000</v>
      </c>
      <c r="X10" s="19"/>
      <c r="Y10" s="19"/>
      <c r="Z10" s="19"/>
      <c r="AA10" s="19"/>
      <c r="AB10" s="19"/>
      <c r="AC10" s="19"/>
      <c r="AD10" s="19"/>
      <c r="AE10" s="19"/>
      <c r="AF10" s="19"/>
      <c r="AG10" s="19"/>
      <c r="AH10" s="19"/>
      <c r="AI10" s="19"/>
      <c r="AJ10" s="19" t="s">
        <v>1531</v>
      </c>
      <c r="AK10" s="1"/>
      <c r="AL10" s="1"/>
      <c r="AM10" s="1"/>
    </row>
    <row r="11" spans="1:39" ht="12.75" hidden="1" customHeight="1">
      <c r="A11" s="15">
        <v>9</v>
      </c>
      <c r="B11" s="16" t="s">
        <v>1517</v>
      </c>
      <c r="C11" s="17" t="s">
        <v>1534</v>
      </c>
      <c r="D11" s="18" t="s">
        <v>1535</v>
      </c>
      <c r="E11" s="19"/>
      <c r="F11" s="19"/>
      <c r="G11" s="19"/>
      <c r="H11" s="19"/>
      <c r="I11" s="19"/>
      <c r="J11" s="19"/>
      <c r="K11" s="19"/>
      <c r="L11" s="19"/>
      <c r="M11" s="19"/>
      <c r="N11" s="19"/>
      <c r="O11" s="19"/>
      <c r="P11" s="19"/>
      <c r="Q11" s="19"/>
      <c r="R11" s="19"/>
      <c r="S11" s="19"/>
      <c r="T11" s="19"/>
      <c r="U11" s="19">
        <v>35000000</v>
      </c>
      <c r="V11" s="19"/>
      <c r="W11" s="19"/>
      <c r="X11" s="19"/>
      <c r="Y11" s="19"/>
      <c r="Z11" s="19"/>
      <c r="AA11" s="19"/>
      <c r="AB11" s="19"/>
      <c r="AC11" s="19"/>
      <c r="AD11" s="19"/>
      <c r="AE11" s="19"/>
      <c r="AF11" s="19"/>
      <c r="AG11" s="19"/>
      <c r="AH11" s="19"/>
      <c r="AI11" s="19"/>
      <c r="AJ11" s="19" t="s">
        <v>1520</v>
      </c>
      <c r="AK11" s="1"/>
      <c r="AL11" s="1"/>
      <c r="AM11" s="1"/>
    </row>
    <row r="12" spans="1:39" ht="12.75" hidden="1" customHeight="1">
      <c r="A12" s="15">
        <v>10</v>
      </c>
      <c r="B12" s="16" t="s">
        <v>1517</v>
      </c>
      <c r="C12" s="17" t="s">
        <v>1518</v>
      </c>
      <c r="D12" s="18" t="s">
        <v>1536</v>
      </c>
      <c r="E12" s="19"/>
      <c r="F12" s="19"/>
      <c r="G12" s="19"/>
      <c r="H12" s="19"/>
      <c r="I12" s="19"/>
      <c r="J12" s="19"/>
      <c r="K12" s="19"/>
      <c r="L12" s="19"/>
      <c r="M12" s="19"/>
      <c r="N12" s="19"/>
      <c r="O12" s="19"/>
      <c r="P12" s="19"/>
      <c r="Q12" s="19"/>
      <c r="R12" s="19"/>
      <c r="S12" s="19"/>
      <c r="T12" s="19"/>
      <c r="U12" s="19"/>
      <c r="V12" s="19"/>
      <c r="W12" s="19">
        <v>23000000</v>
      </c>
      <c r="X12" s="19"/>
      <c r="Y12" s="19"/>
      <c r="Z12" s="19"/>
      <c r="AA12" s="19"/>
      <c r="AB12" s="19"/>
      <c r="AC12" s="19"/>
      <c r="AD12" s="19"/>
      <c r="AE12" s="19"/>
      <c r="AF12" s="19"/>
      <c r="AG12" s="19"/>
      <c r="AH12" s="19"/>
      <c r="AI12" s="19"/>
      <c r="AJ12" s="19" t="s">
        <v>1524</v>
      </c>
      <c r="AK12" s="1"/>
      <c r="AL12" s="1"/>
      <c r="AM12" s="1"/>
    </row>
    <row r="13" spans="1:39" ht="12.75" hidden="1" customHeight="1">
      <c r="A13" s="15">
        <v>11</v>
      </c>
      <c r="B13" s="16" t="s">
        <v>1517</v>
      </c>
      <c r="C13" s="17" t="s">
        <v>1537</v>
      </c>
      <c r="D13" s="18" t="s">
        <v>1538</v>
      </c>
      <c r="E13" s="19"/>
      <c r="F13" s="19"/>
      <c r="G13" s="19"/>
      <c r="H13" s="19"/>
      <c r="I13" s="19"/>
      <c r="J13" s="19"/>
      <c r="K13" s="19"/>
      <c r="L13" s="19"/>
      <c r="M13" s="19"/>
      <c r="N13" s="19"/>
      <c r="O13" s="19"/>
      <c r="P13" s="19"/>
      <c r="Q13" s="19"/>
      <c r="R13" s="19"/>
      <c r="S13" s="19"/>
      <c r="T13" s="19"/>
      <c r="U13" s="19">
        <v>5000000</v>
      </c>
      <c r="V13" s="19"/>
      <c r="W13" s="19"/>
      <c r="X13" s="19"/>
      <c r="Y13" s="19"/>
      <c r="Z13" s="19"/>
      <c r="AA13" s="19"/>
      <c r="AB13" s="19"/>
      <c r="AC13" s="19"/>
      <c r="AD13" s="19"/>
      <c r="AE13" s="19"/>
      <c r="AF13" s="19"/>
      <c r="AG13" s="19"/>
      <c r="AH13" s="19"/>
      <c r="AI13" s="19"/>
      <c r="AJ13" s="19" t="s">
        <v>1520</v>
      </c>
      <c r="AK13" s="1"/>
      <c r="AL13" s="1"/>
      <c r="AM13" s="1"/>
    </row>
    <row r="14" spans="1:39" ht="12.75" hidden="1" customHeight="1">
      <c r="A14" s="15">
        <v>12</v>
      </c>
      <c r="B14" s="16" t="s">
        <v>1517</v>
      </c>
      <c r="C14" s="17" t="s">
        <v>1537</v>
      </c>
      <c r="D14" s="18" t="s">
        <v>1539</v>
      </c>
      <c r="E14" s="19"/>
      <c r="F14" s="19"/>
      <c r="G14" s="19"/>
      <c r="H14" s="19"/>
      <c r="I14" s="19"/>
      <c r="J14" s="19"/>
      <c r="K14" s="19"/>
      <c r="L14" s="19"/>
      <c r="M14" s="19"/>
      <c r="N14" s="19"/>
      <c r="O14" s="19"/>
      <c r="P14" s="19"/>
      <c r="Q14" s="19"/>
      <c r="R14" s="19"/>
      <c r="S14" s="19"/>
      <c r="T14" s="19"/>
      <c r="U14" s="19">
        <v>4600000</v>
      </c>
      <c r="V14" s="19"/>
      <c r="W14" s="19"/>
      <c r="X14" s="19"/>
      <c r="Y14" s="19"/>
      <c r="Z14" s="19"/>
      <c r="AA14" s="19"/>
      <c r="AB14" s="19"/>
      <c r="AC14" s="19"/>
      <c r="AD14" s="19"/>
      <c r="AE14" s="19"/>
      <c r="AF14" s="19"/>
      <c r="AG14" s="19"/>
      <c r="AH14" s="19"/>
      <c r="AI14" s="19"/>
      <c r="AJ14" s="19" t="s">
        <v>1520</v>
      </c>
      <c r="AK14" s="1"/>
      <c r="AL14" s="1"/>
      <c r="AM14" s="1"/>
    </row>
    <row r="15" spans="1:39" ht="12.75" hidden="1" customHeight="1">
      <c r="A15" s="15">
        <v>13</v>
      </c>
      <c r="B15" s="16" t="s">
        <v>1517</v>
      </c>
      <c r="C15" s="17" t="s">
        <v>1540</v>
      </c>
      <c r="D15" s="18" t="s">
        <v>1541</v>
      </c>
      <c r="E15" s="19"/>
      <c r="F15" s="19"/>
      <c r="G15" s="19"/>
      <c r="H15" s="19"/>
      <c r="I15" s="19"/>
      <c r="J15" s="19"/>
      <c r="K15" s="19"/>
      <c r="L15" s="19"/>
      <c r="M15" s="19"/>
      <c r="N15" s="19"/>
      <c r="O15" s="19"/>
      <c r="P15" s="19"/>
      <c r="Q15" s="19"/>
      <c r="R15" s="19"/>
      <c r="S15" s="19"/>
      <c r="T15" s="19"/>
      <c r="U15" s="19"/>
      <c r="V15" s="19">
        <v>12900000</v>
      </c>
      <c r="W15" s="19"/>
      <c r="X15" s="19"/>
      <c r="Y15" s="19"/>
      <c r="Z15" s="19"/>
      <c r="AA15" s="19"/>
      <c r="AB15" s="19"/>
      <c r="AC15" s="19"/>
      <c r="AD15" s="19"/>
      <c r="AE15" s="19"/>
      <c r="AF15" s="19"/>
      <c r="AG15" s="19"/>
      <c r="AH15" s="19"/>
      <c r="AI15" s="19"/>
      <c r="AJ15" s="19" t="s">
        <v>1520</v>
      </c>
      <c r="AK15" s="1"/>
      <c r="AL15" s="1"/>
      <c r="AM15" s="1"/>
    </row>
    <row r="16" spans="1:39" ht="12.75" hidden="1" customHeight="1">
      <c r="A16" s="15">
        <v>14</v>
      </c>
      <c r="B16" s="22" t="s">
        <v>1517</v>
      </c>
      <c r="C16" s="17" t="s">
        <v>1542</v>
      </c>
      <c r="D16" s="18" t="s">
        <v>1543</v>
      </c>
      <c r="E16" s="19"/>
      <c r="F16" s="19"/>
      <c r="G16" s="19"/>
      <c r="H16" s="19"/>
      <c r="I16" s="19"/>
      <c r="J16" s="19"/>
      <c r="K16" s="19"/>
      <c r="L16" s="19"/>
      <c r="M16" s="19"/>
      <c r="N16" s="19"/>
      <c r="O16" s="19"/>
      <c r="P16" s="19"/>
      <c r="Q16" s="19"/>
      <c r="R16" s="19"/>
      <c r="S16" s="19"/>
      <c r="T16" s="19"/>
      <c r="U16" s="19"/>
      <c r="V16" s="19">
        <v>21800000</v>
      </c>
      <c r="W16" s="19"/>
      <c r="X16" s="19"/>
      <c r="Y16" s="19"/>
      <c r="Z16" s="19"/>
      <c r="AA16" s="19"/>
      <c r="AB16" s="19"/>
      <c r="AC16" s="19"/>
      <c r="AD16" s="19"/>
      <c r="AE16" s="19"/>
      <c r="AF16" s="19"/>
      <c r="AG16" s="19"/>
      <c r="AH16" s="19"/>
      <c r="AI16" s="19"/>
      <c r="AJ16" s="19" t="s">
        <v>1520</v>
      </c>
      <c r="AK16" s="1"/>
      <c r="AL16" s="1"/>
      <c r="AM16" s="1"/>
    </row>
    <row r="17" spans="1:39" ht="12.75" hidden="1" customHeight="1">
      <c r="A17" s="15">
        <v>15</v>
      </c>
      <c r="B17" s="23" t="s">
        <v>1517</v>
      </c>
      <c r="C17" s="17" t="s">
        <v>1544</v>
      </c>
      <c r="D17" s="18" t="s">
        <v>1545</v>
      </c>
      <c r="E17" s="19"/>
      <c r="F17" s="19"/>
      <c r="G17" s="19"/>
      <c r="H17" s="19"/>
      <c r="I17" s="19"/>
      <c r="J17" s="19"/>
      <c r="K17" s="19"/>
      <c r="L17" s="19"/>
      <c r="M17" s="19"/>
      <c r="N17" s="19"/>
      <c r="O17" s="19"/>
      <c r="P17" s="19"/>
      <c r="Q17" s="19"/>
      <c r="R17" s="19"/>
      <c r="S17" s="19"/>
      <c r="T17" s="19"/>
      <c r="U17" s="19">
        <v>16000000</v>
      </c>
      <c r="V17" s="19"/>
      <c r="W17" s="19"/>
      <c r="X17" s="19"/>
      <c r="Y17" s="19"/>
      <c r="Z17" s="19"/>
      <c r="AA17" s="19"/>
      <c r="AB17" s="19"/>
      <c r="AC17" s="19"/>
      <c r="AD17" s="19"/>
      <c r="AE17" s="19"/>
      <c r="AF17" s="19"/>
      <c r="AG17" s="19"/>
      <c r="AH17" s="19"/>
      <c r="AI17" s="19"/>
      <c r="AJ17" s="19" t="s">
        <v>1520</v>
      </c>
      <c r="AK17" s="1"/>
      <c r="AL17" s="1"/>
      <c r="AM17" s="1"/>
    </row>
    <row r="18" spans="1:39" ht="12.75" hidden="1" customHeight="1">
      <c r="A18" s="15">
        <v>16</v>
      </c>
      <c r="B18" s="23" t="s">
        <v>40</v>
      </c>
      <c r="C18" s="17" t="s">
        <v>1546</v>
      </c>
      <c r="D18" s="18" t="s">
        <v>1547</v>
      </c>
      <c r="E18" s="19"/>
      <c r="F18" s="19"/>
      <c r="G18" s="19"/>
      <c r="H18" s="19"/>
      <c r="I18" s="19"/>
      <c r="J18" s="19"/>
      <c r="K18" s="19"/>
      <c r="L18" s="19"/>
      <c r="M18" s="19"/>
      <c r="N18" s="19"/>
      <c r="O18" s="19"/>
      <c r="P18" s="19"/>
      <c r="Q18" s="19"/>
      <c r="R18" s="19"/>
      <c r="S18" s="19"/>
      <c r="T18" s="19"/>
      <c r="U18" s="19">
        <v>158000000</v>
      </c>
      <c r="V18" s="19"/>
      <c r="W18" s="19"/>
      <c r="X18" s="19"/>
      <c r="Y18" s="19"/>
      <c r="Z18" s="19"/>
      <c r="AA18" s="19"/>
      <c r="AB18" s="19"/>
      <c r="AC18" s="19"/>
      <c r="AD18" s="19"/>
      <c r="AE18" s="19"/>
      <c r="AF18" s="19"/>
      <c r="AG18" s="19"/>
      <c r="AH18" s="19"/>
      <c r="AI18" s="19"/>
      <c r="AJ18" s="19" t="s">
        <v>1548</v>
      </c>
      <c r="AK18" s="1"/>
      <c r="AL18" s="1"/>
      <c r="AM18" s="1"/>
    </row>
    <row r="19" spans="1:39" ht="12.75" hidden="1" customHeight="1">
      <c r="A19" s="15">
        <v>17</v>
      </c>
      <c r="B19" s="23" t="s">
        <v>1549</v>
      </c>
      <c r="C19" s="17" t="s">
        <v>1550</v>
      </c>
      <c r="D19" s="18" t="s">
        <v>1551</v>
      </c>
      <c r="E19" s="19"/>
      <c r="F19" s="19"/>
      <c r="G19" s="19"/>
      <c r="H19" s="19"/>
      <c r="I19" s="19"/>
      <c r="J19" s="19"/>
      <c r="K19" s="19"/>
      <c r="L19" s="19"/>
      <c r="M19" s="19"/>
      <c r="N19" s="19"/>
      <c r="O19" s="19"/>
      <c r="P19" s="19"/>
      <c r="Q19" s="19"/>
      <c r="R19" s="19"/>
      <c r="S19" s="19"/>
      <c r="T19" s="19"/>
      <c r="U19" s="19"/>
      <c r="V19" s="19"/>
      <c r="W19" s="19"/>
      <c r="X19" s="19"/>
      <c r="Y19" s="19">
        <v>200000000</v>
      </c>
      <c r="Z19" s="19"/>
      <c r="AA19" s="19"/>
      <c r="AB19" s="19"/>
      <c r="AC19" s="19"/>
      <c r="AD19" s="19"/>
      <c r="AE19" s="19"/>
      <c r="AF19" s="19"/>
      <c r="AG19" s="19"/>
      <c r="AH19" s="19"/>
      <c r="AI19" s="19"/>
      <c r="AJ19" s="19" t="s">
        <v>1552</v>
      </c>
      <c r="AK19" s="1"/>
      <c r="AL19" s="1"/>
      <c r="AM19" s="1"/>
    </row>
    <row r="20" spans="1:39" ht="12.75" hidden="1" customHeight="1">
      <c r="A20" s="15">
        <v>18</v>
      </c>
      <c r="B20" s="23" t="s">
        <v>40</v>
      </c>
      <c r="C20" s="17" t="s">
        <v>1553</v>
      </c>
      <c r="D20" s="18" t="s">
        <v>1554</v>
      </c>
      <c r="E20" s="19"/>
      <c r="F20" s="19"/>
      <c r="G20" s="19"/>
      <c r="H20" s="19"/>
      <c r="I20" s="19"/>
      <c r="J20" s="19"/>
      <c r="K20" s="19"/>
      <c r="L20" s="19"/>
      <c r="M20" s="19"/>
      <c r="N20" s="19"/>
      <c r="O20" s="19"/>
      <c r="P20" s="19"/>
      <c r="Q20" s="19"/>
      <c r="R20" s="19"/>
      <c r="S20" s="19"/>
      <c r="T20" s="19"/>
      <c r="U20" s="19"/>
      <c r="V20" s="19">
        <v>168000000</v>
      </c>
      <c r="W20" s="19"/>
      <c r="X20" s="19"/>
      <c r="Y20" s="19"/>
      <c r="Z20" s="19"/>
      <c r="AA20" s="19"/>
      <c r="AB20" s="19"/>
      <c r="AC20" s="19"/>
      <c r="AD20" s="19"/>
      <c r="AE20" s="19"/>
      <c r="AF20" s="19"/>
      <c r="AG20" s="19"/>
      <c r="AH20" s="19"/>
      <c r="AI20" s="19"/>
      <c r="AJ20" s="19" t="s">
        <v>1520</v>
      </c>
      <c r="AK20" s="1"/>
      <c r="AL20" s="1"/>
      <c r="AM20" s="1"/>
    </row>
    <row r="21" spans="1:39" ht="12.75" hidden="1" customHeight="1">
      <c r="A21" s="15">
        <v>19</v>
      </c>
      <c r="B21" s="24" t="s">
        <v>72</v>
      </c>
      <c r="C21" s="17" t="s">
        <v>1518</v>
      </c>
      <c r="D21" s="18" t="s">
        <v>1555</v>
      </c>
      <c r="E21" s="25"/>
      <c r="F21" s="25"/>
      <c r="G21" s="25"/>
      <c r="H21" s="25"/>
      <c r="I21" s="25"/>
      <c r="J21" s="25"/>
      <c r="K21" s="25"/>
      <c r="L21" s="25"/>
      <c r="M21" s="25"/>
      <c r="N21" s="25"/>
      <c r="O21" s="25"/>
      <c r="P21" s="25"/>
      <c r="Q21" s="25"/>
      <c r="R21" s="25"/>
      <c r="S21" s="25"/>
      <c r="T21" s="25"/>
      <c r="U21" s="25"/>
      <c r="V21" s="25"/>
      <c r="W21" s="25"/>
      <c r="X21" s="25"/>
      <c r="Y21" s="25">
        <v>25000000</v>
      </c>
      <c r="Z21" s="25"/>
      <c r="AA21" s="25"/>
      <c r="AB21" s="25"/>
      <c r="AC21" s="25"/>
      <c r="AD21" s="25"/>
      <c r="AE21" s="25"/>
      <c r="AF21" s="25"/>
      <c r="AG21" s="25"/>
      <c r="AH21" s="25"/>
      <c r="AI21" s="25"/>
      <c r="AJ21" s="25" t="s">
        <v>1556</v>
      </c>
      <c r="AK21" s="1"/>
      <c r="AL21" s="1"/>
      <c r="AM21" s="1"/>
    </row>
    <row r="22" spans="1:39" ht="12.75" hidden="1" customHeight="1">
      <c r="A22" s="15">
        <v>20</v>
      </c>
      <c r="B22" s="23" t="s">
        <v>1517</v>
      </c>
      <c r="C22" s="17" t="s">
        <v>65</v>
      </c>
      <c r="D22" s="18" t="s">
        <v>1557</v>
      </c>
      <c r="E22" s="19"/>
      <c r="F22" s="19"/>
      <c r="G22" s="19"/>
      <c r="H22" s="19"/>
      <c r="I22" s="19"/>
      <c r="J22" s="19"/>
      <c r="K22" s="19"/>
      <c r="L22" s="19"/>
      <c r="M22" s="19"/>
      <c r="N22" s="19"/>
      <c r="O22" s="19"/>
      <c r="P22" s="19"/>
      <c r="Q22" s="19"/>
      <c r="R22" s="19"/>
      <c r="S22" s="19"/>
      <c r="T22" s="19"/>
      <c r="U22" s="19"/>
      <c r="V22" s="19">
        <v>5700000</v>
      </c>
      <c r="W22" s="19"/>
      <c r="X22" s="19"/>
      <c r="Y22" s="19"/>
      <c r="Z22" s="19"/>
      <c r="AA22" s="19"/>
      <c r="AB22" s="19"/>
      <c r="AC22" s="19"/>
      <c r="AD22" s="19"/>
      <c r="AE22" s="19"/>
      <c r="AF22" s="19"/>
      <c r="AG22" s="19"/>
      <c r="AH22" s="19"/>
      <c r="AI22" s="19"/>
      <c r="AJ22" s="19" t="s">
        <v>1520</v>
      </c>
      <c r="AK22" s="1"/>
      <c r="AL22" s="1"/>
      <c r="AM22" s="1"/>
    </row>
    <row r="23" spans="1:39" ht="12.75" hidden="1" customHeight="1">
      <c r="A23" s="15">
        <v>21</v>
      </c>
      <c r="B23" s="23" t="s">
        <v>1517</v>
      </c>
      <c r="C23" s="17" t="s">
        <v>1558</v>
      </c>
      <c r="D23" s="18" t="s">
        <v>1559</v>
      </c>
      <c r="E23" s="19"/>
      <c r="F23" s="19"/>
      <c r="G23" s="19"/>
      <c r="H23" s="19"/>
      <c r="I23" s="19"/>
      <c r="J23" s="19"/>
      <c r="K23" s="19"/>
      <c r="L23" s="19"/>
      <c r="M23" s="19"/>
      <c r="N23" s="19"/>
      <c r="O23" s="19"/>
      <c r="P23" s="19"/>
      <c r="Q23" s="19"/>
      <c r="R23" s="19"/>
      <c r="S23" s="19"/>
      <c r="T23" s="19"/>
      <c r="U23" s="19"/>
      <c r="V23" s="19"/>
      <c r="W23" s="19">
        <v>32000000</v>
      </c>
      <c r="X23" s="19"/>
      <c r="Y23" s="19"/>
      <c r="Z23" s="19"/>
      <c r="AA23" s="19"/>
      <c r="AB23" s="19"/>
      <c r="AC23" s="19"/>
      <c r="AD23" s="19"/>
      <c r="AE23" s="19"/>
      <c r="AF23" s="19"/>
      <c r="AG23" s="19"/>
      <c r="AH23" s="19"/>
      <c r="AI23" s="19"/>
      <c r="AJ23" s="19" t="s">
        <v>1524</v>
      </c>
      <c r="AK23" s="1"/>
      <c r="AL23" s="1"/>
      <c r="AM23" s="1"/>
    </row>
    <row r="24" spans="1:39" ht="12.75" hidden="1" customHeight="1">
      <c r="A24" s="15">
        <v>22</v>
      </c>
      <c r="B24" s="23" t="s">
        <v>40</v>
      </c>
      <c r="C24" s="17" t="s">
        <v>1560</v>
      </c>
      <c r="D24" s="18" t="s">
        <v>1561</v>
      </c>
      <c r="E24" s="19"/>
      <c r="F24" s="19"/>
      <c r="G24" s="19"/>
      <c r="H24" s="19"/>
      <c r="I24" s="19"/>
      <c r="J24" s="19"/>
      <c r="K24" s="19"/>
      <c r="L24" s="19"/>
      <c r="M24" s="19"/>
      <c r="N24" s="19"/>
      <c r="O24" s="19"/>
      <c r="P24" s="19"/>
      <c r="Q24" s="19"/>
      <c r="R24" s="19"/>
      <c r="S24" s="19"/>
      <c r="T24" s="19"/>
      <c r="U24" s="19"/>
      <c r="V24" s="19"/>
      <c r="W24" s="19">
        <v>250000000</v>
      </c>
      <c r="X24" s="19"/>
      <c r="Y24" s="19"/>
      <c r="Z24" s="19"/>
      <c r="AA24" s="19"/>
      <c r="AB24" s="19"/>
      <c r="AC24" s="19"/>
      <c r="AD24" s="19"/>
      <c r="AE24" s="19"/>
      <c r="AF24" s="19"/>
      <c r="AG24" s="19"/>
      <c r="AH24" s="19"/>
      <c r="AI24" s="19"/>
      <c r="AJ24" s="19" t="s">
        <v>1562</v>
      </c>
      <c r="AK24" s="1"/>
      <c r="AL24" s="1"/>
      <c r="AM24" s="1"/>
    </row>
    <row r="25" spans="1:39" ht="12.75" hidden="1" customHeight="1">
      <c r="A25" s="15">
        <v>23</v>
      </c>
      <c r="B25" s="23" t="s">
        <v>40</v>
      </c>
      <c r="C25" s="17" t="s">
        <v>1563</v>
      </c>
      <c r="D25" s="18" t="s">
        <v>1564</v>
      </c>
      <c r="E25" s="19"/>
      <c r="F25" s="19"/>
      <c r="G25" s="19"/>
      <c r="H25" s="19"/>
      <c r="I25" s="19"/>
      <c r="J25" s="19"/>
      <c r="K25" s="19"/>
      <c r="L25" s="19"/>
      <c r="M25" s="19"/>
      <c r="N25" s="19"/>
      <c r="O25" s="19"/>
      <c r="P25" s="19"/>
      <c r="Q25" s="19"/>
      <c r="R25" s="19"/>
      <c r="S25" s="19"/>
      <c r="T25" s="19"/>
      <c r="U25" s="19"/>
      <c r="V25" s="19"/>
      <c r="W25" s="19">
        <v>274000000</v>
      </c>
      <c r="X25" s="19"/>
      <c r="Y25" s="19"/>
      <c r="Z25" s="19"/>
      <c r="AA25" s="19"/>
      <c r="AB25" s="19"/>
      <c r="AC25" s="19"/>
      <c r="AD25" s="19"/>
      <c r="AE25" s="19"/>
      <c r="AF25" s="19"/>
      <c r="AG25" s="19"/>
      <c r="AH25" s="19"/>
      <c r="AI25" s="19"/>
      <c r="AJ25" s="19" t="s">
        <v>1565</v>
      </c>
      <c r="AK25" s="1"/>
      <c r="AL25" s="1"/>
      <c r="AM25" s="1"/>
    </row>
    <row r="26" spans="1:39" ht="12.75" hidden="1" customHeight="1">
      <c r="A26" s="15">
        <v>24</v>
      </c>
      <c r="B26" s="23" t="s">
        <v>40</v>
      </c>
      <c r="C26" s="17" t="s">
        <v>1563</v>
      </c>
      <c r="D26" s="18" t="s">
        <v>1566</v>
      </c>
      <c r="E26" s="19"/>
      <c r="F26" s="19"/>
      <c r="G26" s="19"/>
      <c r="H26" s="19"/>
      <c r="I26" s="19"/>
      <c r="J26" s="19"/>
      <c r="K26" s="19"/>
      <c r="L26" s="19"/>
      <c r="M26" s="19"/>
      <c r="N26" s="19"/>
      <c r="O26" s="19"/>
      <c r="P26" s="19"/>
      <c r="Q26" s="19"/>
      <c r="R26" s="19"/>
      <c r="S26" s="19"/>
      <c r="T26" s="19"/>
      <c r="U26" s="19"/>
      <c r="V26" s="19"/>
      <c r="W26" s="19">
        <v>25000000</v>
      </c>
      <c r="X26" s="19"/>
      <c r="Y26" s="19"/>
      <c r="Z26" s="19"/>
      <c r="AA26" s="19"/>
      <c r="AB26" s="19"/>
      <c r="AC26" s="19"/>
      <c r="AD26" s="19"/>
      <c r="AE26" s="19"/>
      <c r="AF26" s="19"/>
      <c r="AG26" s="19"/>
      <c r="AH26" s="19"/>
      <c r="AI26" s="19"/>
      <c r="AJ26" s="19" t="s">
        <v>1565</v>
      </c>
      <c r="AK26" s="1"/>
      <c r="AL26" s="1"/>
      <c r="AM26" s="1"/>
    </row>
    <row r="27" spans="1:39" ht="12.75" hidden="1" customHeight="1">
      <c r="A27" s="15">
        <v>25</v>
      </c>
      <c r="B27" s="22" t="s">
        <v>40</v>
      </c>
      <c r="C27" s="26" t="s">
        <v>1567</v>
      </c>
      <c r="D27" s="27" t="s">
        <v>1568</v>
      </c>
      <c r="E27" s="28"/>
      <c r="F27" s="28"/>
      <c r="G27" s="28"/>
      <c r="H27" s="28"/>
      <c r="I27" s="28"/>
      <c r="J27" s="28"/>
      <c r="K27" s="28"/>
      <c r="L27" s="28"/>
      <c r="M27" s="28"/>
      <c r="N27" s="28"/>
      <c r="O27" s="28"/>
      <c r="P27" s="28"/>
      <c r="Q27" s="28"/>
      <c r="R27" s="28"/>
      <c r="S27" s="28"/>
      <c r="T27" s="28"/>
      <c r="U27" s="28"/>
      <c r="V27" s="28"/>
      <c r="W27" s="28">
        <v>35000000</v>
      </c>
      <c r="X27" s="28"/>
      <c r="Y27" s="28"/>
      <c r="Z27" s="28"/>
      <c r="AA27" s="28"/>
      <c r="AB27" s="28"/>
      <c r="AC27" s="28"/>
      <c r="AD27" s="28"/>
      <c r="AE27" s="28"/>
      <c r="AF27" s="28"/>
      <c r="AG27" s="28"/>
      <c r="AH27" s="28"/>
      <c r="AI27" s="28"/>
      <c r="AJ27" s="28" t="s">
        <v>1562</v>
      </c>
      <c r="AK27" s="1"/>
      <c r="AL27" s="1"/>
      <c r="AM27" s="1"/>
    </row>
    <row r="28" spans="1:39" ht="12.75" hidden="1" customHeight="1">
      <c r="A28" s="15">
        <v>26</v>
      </c>
      <c r="B28" s="23" t="s">
        <v>1517</v>
      </c>
      <c r="C28" s="17" t="s">
        <v>1558</v>
      </c>
      <c r="D28" s="18" t="s">
        <v>1569</v>
      </c>
      <c r="E28" s="19"/>
      <c r="F28" s="19"/>
      <c r="G28" s="19"/>
      <c r="H28" s="19"/>
      <c r="I28" s="19"/>
      <c r="J28" s="19"/>
      <c r="K28" s="19"/>
      <c r="L28" s="19"/>
      <c r="M28" s="19"/>
      <c r="N28" s="19"/>
      <c r="O28" s="19"/>
      <c r="P28" s="19"/>
      <c r="Q28" s="19"/>
      <c r="R28" s="19"/>
      <c r="S28" s="19"/>
      <c r="T28" s="19"/>
      <c r="U28" s="19"/>
      <c r="V28" s="19"/>
      <c r="W28" s="19"/>
      <c r="X28" s="19">
        <v>8500000</v>
      </c>
      <c r="Y28" s="19"/>
      <c r="Z28" s="19"/>
      <c r="AA28" s="19"/>
      <c r="AB28" s="19"/>
      <c r="AC28" s="19"/>
      <c r="AD28" s="19"/>
      <c r="AE28" s="19"/>
      <c r="AF28" s="19"/>
      <c r="AG28" s="19"/>
      <c r="AH28" s="19"/>
      <c r="AI28" s="19"/>
      <c r="AJ28" s="19" t="s">
        <v>1520</v>
      </c>
      <c r="AK28" s="1"/>
      <c r="AL28" s="1"/>
      <c r="AM28" s="1"/>
    </row>
    <row r="29" spans="1:39" ht="12.75" hidden="1" customHeight="1">
      <c r="A29" s="15">
        <v>27</v>
      </c>
      <c r="B29" s="22" t="s">
        <v>40</v>
      </c>
      <c r="C29" s="17" t="s">
        <v>1570</v>
      </c>
      <c r="D29" s="18" t="s">
        <v>1571</v>
      </c>
      <c r="E29" s="19"/>
      <c r="F29" s="19"/>
      <c r="G29" s="19"/>
      <c r="H29" s="19"/>
      <c r="I29" s="19"/>
      <c r="J29" s="19"/>
      <c r="K29" s="19"/>
      <c r="L29" s="19"/>
      <c r="M29" s="19"/>
      <c r="N29" s="19"/>
      <c r="O29" s="19"/>
      <c r="P29" s="19"/>
      <c r="Q29" s="19"/>
      <c r="R29" s="19"/>
      <c r="S29" s="19"/>
      <c r="T29" s="19"/>
      <c r="U29" s="19"/>
      <c r="V29" s="19"/>
      <c r="W29" s="19"/>
      <c r="X29" s="19">
        <v>2750000</v>
      </c>
      <c r="Y29" s="19"/>
      <c r="Z29" s="19"/>
      <c r="AA29" s="19"/>
      <c r="AB29" s="19"/>
      <c r="AC29" s="19"/>
      <c r="AD29" s="19"/>
      <c r="AE29" s="19"/>
      <c r="AF29" s="19"/>
      <c r="AG29" s="19"/>
      <c r="AH29" s="19"/>
      <c r="AI29" s="19"/>
      <c r="AJ29" s="19" t="s">
        <v>1556</v>
      </c>
      <c r="AK29" s="1"/>
      <c r="AL29" s="1"/>
      <c r="AM29" s="1"/>
    </row>
    <row r="30" spans="1:39" ht="12.75" hidden="1" customHeight="1">
      <c r="A30" s="15">
        <v>28</v>
      </c>
      <c r="B30" s="22" t="s">
        <v>40</v>
      </c>
      <c r="C30" s="17" t="s">
        <v>1570</v>
      </c>
      <c r="D30" s="18" t="s">
        <v>1571</v>
      </c>
      <c r="E30" s="19"/>
      <c r="F30" s="19"/>
      <c r="G30" s="19"/>
      <c r="H30" s="19"/>
      <c r="I30" s="19"/>
      <c r="J30" s="19"/>
      <c r="K30" s="19"/>
      <c r="L30" s="19"/>
      <c r="M30" s="19"/>
      <c r="N30" s="19"/>
      <c r="O30" s="19"/>
      <c r="P30" s="19"/>
      <c r="Q30" s="19"/>
      <c r="R30" s="19"/>
      <c r="S30" s="19"/>
      <c r="T30" s="19"/>
      <c r="U30" s="19"/>
      <c r="V30" s="19"/>
      <c r="W30" s="19"/>
      <c r="X30" s="19">
        <v>2750000</v>
      </c>
      <c r="Y30" s="19"/>
      <c r="Z30" s="19"/>
      <c r="AA30" s="19"/>
      <c r="AB30" s="19"/>
      <c r="AC30" s="19"/>
      <c r="AD30" s="19"/>
      <c r="AE30" s="19"/>
      <c r="AF30" s="19"/>
      <c r="AG30" s="19"/>
      <c r="AH30" s="19"/>
      <c r="AI30" s="19"/>
      <c r="AJ30" s="19" t="s">
        <v>1556</v>
      </c>
      <c r="AK30" s="1"/>
      <c r="AL30" s="1"/>
      <c r="AM30" s="1"/>
    </row>
    <row r="31" spans="1:39" ht="12.75" hidden="1" customHeight="1">
      <c r="A31" s="15">
        <v>29</v>
      </c>
      <c r="B31" s="22" t="s">
        <v>40</v>
      </c>
      <c r="C31" s="17" t="s">
        <v>1570</v>
      </c>
      <c r="D31" s="18" t="s">
        <v>1572</v>
      </c>
      <c r="E31" s="19"/>
      <c r="F31" s="19"/>
      <c r="G31" s="19"/>
      <c r="H31" s="19"/>
      <c r="I31" s="19"/>
      <c r="J31" s="19"/>
      <c r="K31" s="19"/>
      <c r="L31" s="19"/>
      <c r="M31" s="19"/>
      <c r="N31" s="19"/>
      <c r="O31" s="19"/>
      <c r="P31" s="19"/>
      <c r="Q31" s="19"/>
      <c r="R31" s="19"/>
      <c r="S31" s="19"/>
      <c r="T31" s="19"/>
      <c r="U31" s="19"/>
      <c r="V31" s="19"/>
      <c r="W31" s="19"/>
      <c r="X31" s="19">
        <v>4100000</v>
      </c>
      <c r="Y31" s="19"/>
      <c r="Z31" s="19"/>
      <c r="AA31" s="19"/>
      <c r="AB31" s="19"/>
      <c r="AC31" s="19"/>
      <c r="AD31" s="19"/>
      <c r="AE31" s="19"/>
      <c r="AF31" s="19"/>
      <c r="AG31" s="19"/>
      <c r="AH31" s="19"/>
      <c r="AI31" s="19"/>
      <c r="AJ31" s="19" t="s">
        <v>1556</v>
      </c>
      <c r="AK31" s="1"/>
      <c r="AL31" s="1"/>
      <c r="AM31" s="1"/>
    </row>
    <row r="32" spans="1:39" ht="12.75" hidden="1" customHeight="1">
      <c r="A32" s="15">
        <v>30</v>
      </c>
      <c r="B32" s="22" t="s">
        <v>40</v>
      </c>
      <c r="C32" s="17" t="s">
        <v>1570</v>
      </c>
      <c r="D32" s="18" t="s">
        <v>1573</v>
      </c>
      <c r="E32" s="19"/>
      <c r="F32" s="19"/>
      <c r="G32" s="19"/>
      <c r="H32" s="19"/>
      <c r="I32" s="19"/>
      <c r="J32" s="19"/>
      <c r="K32" s="19"/>
      <c r="L32" s="19"/>
      <c r="M32" s="19"/>
      <c r="N32" s="19"/>
      <c r="O32" s="19"/>
      <c r="P32" s="19"/>
      <c r="Q32" s="19"/>
      <c r="R32" s="19"/>
      <c r="S32" s="19"/>
      <c r="T32" s="19"/>
      <c r="U32" s="19"/>
      <c r="V32" s="19"/>
      <c r="W32" s="19"/>
      <c r="X32" s="19">
        <v>3000000</v>
      </c>
      <c r="Y32" s="19"/>
      <c r="Z32" s="19"/>
      <c r="AA32" s="19"/>
      <c r="AB32" s="19"/>
      <c r="AC32" s="19"/>
      <c r="AD32" s="19"/>
      <c r="AE32" s="19"/>
      <c r="AF32" s="19"/>
      <c r="AG32" s="19"/>
      <c r="AH32" s="19"/>
      <c r="AI32" s="19"/>
      <c r="AJ32" s="19" t="s">
        <v>1556</v>
      </c>
      <c r="AK32" s="1"/>
      <c r="AL32" s="1"/>
      <c r="AM32" s="1"/>
    </row>
    <row r="33" spans="1:39" ht="12.75" hidden="1" customHeight="1">
      <c r="A33" s="15">
        <v>31</v>
      </c>
      <c r="B33" s="22" t="s">
        <v>40</v>
      </c>
      <c r="C33" s="17" t="s">
        <v>1570</v>
      </c>
      <c r="D33" s="18" t="s">
        <v>1574</v>
      </c>
      <c r="E33" s="19"/>
      <c r="F33" s="19"/>
      <c r="G33" s="19"/>
      <c r="H33" s="19"/>
      <c r="I33" s="19"/>
      <c r="J33" s="19"/>
      <c r="K33" s="19"/>
      <c r="L33" s="19"/>
      <c r="M33" s="19"/>
      <c r="N33" s="19"/>
      <c r="O33" s="19"/>
      <c r="P33" s="19"/>
      <c r="Q33" s="19"/>
      <c r="R33" s="19"/>
      <c r="S33" s="19"/>
      <c r="T33" s="19"/>
      <c r="U33" s="19"/>
      <c r="V33" s="19"/>
      <c r="W33" s="19"/>
      <c r="X33" s="19">
        <v>3800000</v>
      </c>
      <c r="Y33" s="19"/>
      <c r="Z33" s="19"/>
      <c r="AA33" s="19"/>
      <c r="AB33" s="19"/>
      <c r="AC33" s="19"/>
      <c r="AD33" s="19"/>
      <c r="AE33" s="19"/>
      <c r="AF33" s="19"/>
      <c r="AG33" s="19"/>
      <c r="AH33" s="19"/>
      <c r="AI33" s="19"/>
      <c r="AJ33" s="19" t="s">
        <v>1556</v>
      </c>
      <c r="AK33" s="1"/>
      <c r="AL33" s="1"/>
      <c r="AM33" s="1"/>
    </row>
    <row r="34" spans="1:39" ht="12.75" hidden="1" customHeight="1">
      <c r="A34" s="15">
        <v>32</v>
      </c>
      <c r="B34" s="22" t="s">
        <v>1549</v>
      </c>
      <c r="C34" s="17" t="s">
        <v>1575</v>
      </c>
      <c r="D34" s="18" t="s">
        <v>1576</v>
      </c>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v>120000000</v>
      </c>
      <c r="AG34" s="19"/>
      <c r="AH34" s="19"/>
      <c r="AI34" s="19"/>
      <c r="AJ34" s="19" t="s">
        <v>1577</v>
      </c>
      <c r="AK34" s="1"/>
      <c r="AL34" s="1"/>
      <c r="AM34" s="1"/>
    </row>
    <row r="35" spans="1:39" ht="12.75" hidden="1" customHeight="1">
      <c r="A35" s="15">
        <v>33</v>
      </c>
      <c r="B35" s="23" t="s">
        <v>1549</v>
      </c>
      <c r="C35" s="17" t="s">
        <v>1575</v>
      </c>
      <c r="D35" s="18" t="s">
        <v>1578</v>
      </c>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v>100000000</v>
      </c>
      <c r="AF35" s="19"/>
      <c r="AG35" s="19"/>
      <c r="AH35" s="19"/>
      <c r="AI35" s="19"/>
      <c r="AJ35" s="19" t="s">
        <v>1577</v>
      </c>
      <c r="AK35" s="1"/>
      <c r="AL35" s="1"/>
      <c r="AM35" s="1"/>
    </row>
    <row r="36" spans="1:39" ht="12.75" hidden="1" customHeight="1">
      <c r="A36" s="15">
        <v>34</v>
      </c>
      <c r="B36" s="23" t="s">
        <v>40</v>
      </c>
      <c r="C36" s="17" t="s">
        <v>1560</v>
      </c>
      <c r="D36" s="18" t="s">
        <v>1579</v>
      </c>
      <c r="E36" s="19"/>
      <c r="F36" s="19"/>
      <c r="G36" s="19"/>
      <c r="H36" s="19"/>
      <c r="I36" s="19"/>
      <c r="J36" s="19"/>
      <c r="K36" s="19"/>
      <c r="L36" s="19"/>
      <c r="M36" s="19"/>
      <c r="N36" s="19"/>
      <c r="O36" s="19"/>
      <c r="P36" s="19"/>
      <c r="Q36" s="19"/>
      <c r="R36" s="19"/>
      <c r="S36" s="19"/>
      <c r="T36" s="19"/>
      <c r="U36" s="19"/>
      <c r="V36" s="19"/>
      <c r="W36" s="19"/>
      <c r="X36" s="19"/>
      <c r="Y36" s="19"/>
      <c r="Z36" s="19"/>
      <c r="AA36" s="19"/>
      <c r="AB36" s="19">
        <v>107000000</v>
      </c>
      <c r="AC36" s="19"/>
      <c r="AD36" s="19"/>
      <c r="AE36" s="19"/>
      <c r="AF36" s="19"/>
      <c r="AG36" s="19"/>
      <c r="AH36" s="19"/>
      <c r="AI36" s="19"/>
      <c r="AJ36" s="19" t="s">
        <v>1580</v>
      </c>
      <c r="AK36" s="1"/>
      <c r="AL36" s="1"/>
      <c r="AM36" s="1"/>
    </row>
    <row r="37" spans="1:39" ht="12.75" hidden="1" customHeight="1">
      <c r="A37" s="15">
        <v>35</v>
      </c>
      <c r="B37" s="22" t="s">
        <v>40</v>
      </c>
      <c r="C37" s="17" t="s">
        <v>1560</v>
      </c>
      <c r="D37" s="18" t="s">
        <v>1581</v>
      </c>
      <c r="E37" s="19"/>
      <c r="F37" s="19"/>
      <c r="G37" s="19"/>
      <c r="H37" s="19"/>
      <c r="I37" s="19"/>
      <c r="J37" s="19"/>
      <c r="K37" s="19"/>
      <c r="L37" s="19"/>
      <c r="M37" s="19"/>
      <c r="N37" s="19"/>
      <c r="O37" s="19"/>
      <c r="P37" s="19"/>
      <c r="Q37" s="19"/>
      <c r="R37" s="19"/>
      <c r="S37" s="19"/>
      <c r="T37" s="19"/>
      <c r="U37" s="19"/>
      <c r="V37" s="19"/>
      <c r="W37" s="19"/>
      <c r="X37" s="19"/>
      <c r="Y37" s="19">
        <v>104000000</v>
      </c>
      <c r="Z37" s="19"/>
      <c r="AA37" s="19"/>
      <c r="AB37" s="19"/>
      <c r="AC37" s="19"/>
      <c r="AD37" s="19"/>
      <c r="AE37" s="19"/>
      <c r="AF37" s="19"/>
      <c r="AG37" s="19"/>
      <c r="AH37" s="19"/>
      <c r="AI37" s="19"/>
      <c r="AJ37" s="19" t="s">
        <v>1520</v>
      </c>
      <c r="AK37" s="1"/>
      <c r="AL37" s="1"/>
      <c r="AM37" s="1"/>
    </row>
    <row r="38" spans="1:39" ht="12.75" customHeight="1">
      <c r="A38" s="15">
        <v>36</v>
      </c>
      <c r="B38" s="23" t="s">
        <v>27</v>
      </c>
      <c r="C38" s="17" t="s">
        <v>1563</v>
      </c>
      <c r="D38" s="18" t="s">
        <v>1582</v>
      </c>
      <c r="E38" s="19"/>
      <c r="F38" s="19"/>
      <c r="G38" s="19"/>
      <c r="H38" s="19"/>
      <c r="I38" s="19"/>
      <c r="J38" s="19"/>
      <c r="K38" s="19"/>
      <c r="L38" s="19"/>
      <c r="M38" s="19"/>
      <c r="N38" s="19"/>
      <c r="O38" s="19"/>
      <c r="P38" s="19"/>
      <c r="Q38" s="19"/>
      <c r="R38" s="19"/>
      <c r="S38" s="19"/>
      <c r="T38" s="19"/>
      <c r="U38" s="19"/>
      <c r="V38" s="19"/>
      <c r="W38" s="19"/>
      <c r="X38" s="19"/>
      <c r="Y38" s="19">
        <v>4000000</v>
      </c>
      <c r="Z38" s="19"/>
      <c r="AA38" s="19"/>
      <c r="AB38" s="19"/>
      <c r="AC38" s="19"/>
      <c r="AD38" s="19"/>
      <c r="AE38" s="19"/>
      <c r="AF38" s="19"/>
      <c r="AG38" s="19"/>
      <c r="AH38" s="19"/>
      <c r="AI38" s="19"/>
      <c r="AJ38" s="19" t="s">
        <v>1343</v>
      </c>
      <c r="AK38" s="1"/>
      <c r="AL38" s="1"/>
      <c r="AM38" s="1"/>
    </row>
    <row r="39" spans="1:39" ht="12.75" customHeight="1">
      <c r="A39" s="15">
        <v>37</v>
      </c>
      <c r="B39" s="23" t="s">
        <v>27</v>
      </c>
      <c r="C39" s="17" t="s">
        <v>1558</v>
      </c>
      <c r="D39" s="18" t="s">
        <v>1583</v>
      </c>
      <c r="E39" s="19"/>
      <c r="F39" s="19"/>
      <c r="G39" s="19"/>
      <c r="H39" s="19"/>
      <c r="I39" s="19"/>
      <c r="J39" s="19"/>
      <c r="K39" s="19"/>
      <c r="L39" s="19"/>
      <c r="M39" s="19"/>
      <c r="N39" s="19"/>
      <c r="O39" s="19"/>
      <c r="P39" s="19"/>
      <c r="Q39" s="19"/>
      <c r="R39" s="19"/>
      <c r="S39" s="19"/>
      <c r="T39" s="19"/>
      <c r="U39" s="19"/>
      <c r="V39" s="19"/>
      <c r="W39" s="19"/>
      <c r="X39" s="19"/>
      <c r="Y39" s="19"/>
      <c r="Z39" s="19">
        <v>120000000</v>
      </c>
      <c r="AA39" s="19"/>
      <c r="AB39" s="19"/>
      <c r="AC39" s="19"/>
      <c r="AD39" s="19"/>
      <c r="AE39" s="19"/>
      <c r="AF39" s="19"/>
      <c r="AG39" s="19"/>
      <c r="AH39" s="19"/>
      <c r="AI39" s="19"/>
      <c r="AJ39" s="19" t="s">
        <v>1584</v>
      </c>
      <c r="AK39" s="1"/>
      <c r="AL39" s="1"/>
      <c r="AM39" s="1"/>
    </row>
    <row r="40" spans="1:39" ht="12.75" customHeight="1">
      <c r="A40" s="15">
        <v>38</v>
      </c>
      <c r="B40" s="23" t="s">
        <v>27</v>
      </c>
      <c r="C40" s="17" t="s">
        <v>23</v>
      </c>
      <c r="D40" s="18" t="s">
        <v>1585</v>
      </c>
      <c r="E40" s="19"/>
      <c r="F40" s="19"/>
      <c r="G40" s="19"/>
      <c r="H40" s="19"/>
      <c r="I40" s="19"/>
      <c r="J40" s="19"/>
      <c r="K40" s="19"/>
      <c r="L40" s="19"/>
      <c r="M40" s="19"/>
      <c r="N40" s="19"/>
      <c r="O40" s="19"/>
      <c r="P40" s="19"/>
      <c r="Q40" s="19"/>
      <c r="R40" s="19"/>
      <c r="S40" s="19"/>
      <c r="T40" s="19"/>
      <c r="U40" s="19"/>
      <c r="V40" s="19"/>
      <c r="W40" s="19"/>
      <c r="X40" s="19"/>
      <c r="Y40" s="19"/>
      <c r="Z40" s="19"/>
      <c r="AA40" s="19">
        <v>690000000</v>
      </c>
      <c r="AB40" s="19"/>
      <c r="AC40" s="19"/>
      <c r="AD40" s="19"/>
      <c r="AE40" s="19"/>
      <c r="AF40" s="19"/>
      <c r="AG40" s="19"/>
      <c r="AH40" s="19"/>
      <c r="AI40" s="19"/>
      <c r="AJ40" s="19" t="s">
        <v>1586</v>
      </c>
      <c r="AK40" s="1"/>
      <c r="AL40" s="1"/>
      <c r="AM40" s="1"/>
    </row>
    <row r="41" spans="1:39" ht="12.75" hidden="1" customHeight="1">
      <c r="A41" s="15">
        <v>39</v>
      </c>
      <c r="B41" s="23" t="s">
        <v>72</v>
      </c>
      <c r="C41" s="17" t="s">
        <v>1537</v>
      </c>
      <c r="D41" s="18" t="s">
        <v>1587</v>
      </c>
      <c r="E41" s="19"/>
      <c r="F41" s="19"/>
      <c r="G41" s="19"/>
      <c r="H41" s="19"/>
      <c r="I41" s="19"/>
      <c r="J41" s="19"/>
      <c r="K41" s="19"/>
      <c r="L41" s="19"/>
      <c r="M41" s="19"/>
      <c r="N41" s="19"/>
      <c r="O41" s="19"/>
      <c r="P41" s="19"/>
      <c r="Q41" s="19"/>
      <c r="R41" s="19"/>
      <c r="S41" s="19"/>
      <c r="T41" s="19"/>
      <c r="U41" s="19"/>
      <c r="V41" s="19"/>
      <c r="W41" s="19"/>
      <c r="X41" s="19"/>
      <c r="Y41" s="19">
        <v>120000000</v>
      </c>
      <c r="Z41" s="19"/>
      <c r="AA41" s="19"/>
      <c r="AB41" s="19"/>
      <c r="AC41" s="19"/>
      <c r="AD41" s="19"/>
      <c r="AE41" s="19"/>
      <c r="AF41" s="19"/>
      <c r="AG41" s="19"/>
      <c r="AH41" s="19"/>
      <c r="AI41" s="19"/>
      <c r="AJ41" s="19" t="s">
        <v>1529</v>
      </c>
      <c r="AK41" s="1"/>
      <c r="AL41" s="1"/>
      <c r="AM41" s="1"/>
    </row>
    <row r="42" spans="1:39" ht="12.75" hidden="1" customHeight="1">
      <c r="A42" s="15">
        <v>40</v>
      </c>
      <c r="B42" s="23" t="s">
        <v>1517</v>
      </c>
      <c r="C42" s="17" t="s">
        <v>1553</v>
      </c>
      <c r="D42" s="18" t="s">
        <v>1588</v>
      </c>
      <c r="E42" s="19"/>
      <c r="F42" s="19"/>
      <c r="G42" s="19"/>
      <c r="H42" s="19"/>
      <c r="I42" s="19"/>
      <c r="J42" s="19"/>
      <c r="K42" s="19"/>
      <c r="L42" s="19"/>
      <c r="M42" s="19"/>
      <c r="N42" s="19"/>
      <c r="O42" s="19"/>
      <c r="P42" s="19"/>
      <c r="Q42" s="19"/>
      <c r="R42" s="19"/>
      <c r="S42" s="19"/>
      <c r="T42" s="19"/>
      <c r="U42" s="19"/>
      <c r="V42" s="19"/>
      <c r="W42" s="19"/>
      <c r="X42" s="19"/>
      <c r="Y42" s="19"/>
      <c r="Z42" s="19"/>
      <c r="AA42" s="19">
        <v>51000000</v>
      </c>
      <c r="AB42" s="19"/>
      <c r="AC42" s="19"/>
      <c r="AD42" s="19"/>
      <c r="AE42" s="19"/>
      <c r="AF42" s="19"/>
      <c r="AG42" s="19"/>
      <c r="AH42" s="19"/>
      <c r="AI42" s="19"/>
      <c r="AJ42" s="19" t="s">
        <v>1524</v>
      </c>
      <c r="AK42" s="1"/>
      <c r="AL42" s="1"/>
      <c r="AM42" s="1"/>
    </row>
    <row r="43" spans="1:39" ht="12.75" hidden="1" customHeight="1">
      <c r="A43" s="15">
        <v>41</v>
      </c>
      <c r="B43" s="23" t="s">
        <v>40</v>
      </c>
      <c r="C43" s="17" t="s">
        <v>1570</v>
      </c>
      <c r="D43" s="18" t="s">
        <v>1589</v>
      </c>
      <c r="E43" s="19"/>
      <c r="F43" s="19"/>
      <c r="G43" s="19"/>
      <c r="H43" s="19"/>
      <c r="I43" s="19"/>
      <c r="J43" s="19"/>
      <c r="K43" s="19"/>
      <c r="L43" s="19"/>
      <c r="M43" s="19"/>
      <c r="N43" s="19"/>
      <c r="O43" s="19"/>
      <c r="P43" s="19"/>
      <c r="Q43" s="19"/>
      <c r="R43" s="19"/>
      <c r="S43" s="19"/>
      <c r="T43" s="19"/>
      <c r="U43" s="19"/>
      <c r="V43" s="19"/>
      <c r="W43" s="19"/>
      <c r="X43" s="19"/>
      <c r="Y43" s="19">
        <v>24000000</v>
      </c>
      <c r="Z43" s="19"/>
      <c r="AA43" s="19"/>
      <c r="AB43" s="19"/>
      <c r="AC43" s="19"/>
      <c r="AD43" s="19"/>
      <c r="AE43" s="19"/>
      <c r="AF43" s="19"/>
      <c r="AG43" s="19"/>
      <c r="AH43" s="19"/>
      <c r="AI43" s="19"/>
      <c r="AJ43" s="19" t="s">
        <v>1529</v>
      </c>
      <c r="AK43" s="1"/>
      <c r="AL43" s="1"/>
      <c r="AM43" s="1"/>
    </row>
    <row r="44" spans="1:39" ht="12.75" hidden="1" customHeight="1">
      <c r="A44" s="15">
        <v>42</v>
      </c>
      <c r="B44" s="23" t="s">
        <v>40</v>
      </c>
      <c r="C44" s="17" t="s">
        <v>1590</v>
      </c>
      <c r="D44" s="18" t="s">
        <v>1591</v>
      </c>
      <c r="E44" s="19"/>
      <c r="F44" s="19"/>
      <c r="G44" s="19"/>
      <c r="H44" s="19"/>
      <c r="I44" s="19"/>
      <c r="J44" s="19"/>
      <c r="K44" s="19"/>
      <c r="L44" s="19"/>
      <c r="M44" s="19"/>
      <c r="N44" s="19"/>
      <c r="O44" s="19"/>
      <c r="P44" s="19"/>
      <c r="Q44" s="19"/>
      <c r="R44" s="19"/>
      <c r="S44" s="19"/>
      <c r="T44" s="19"/>
      <c r="U44" s="19"/>
      <c r="V44" s="19"/>
      <c r="W44" s="19"/>
      <c r="X44" s="19"/>
      <c r="Y44" s="19">
        <v>4000000</v>
      </c>
      <c r="Z44" s="19"/>
      <c r="AA44" s="19"/>
      <c r="AB44" s="19"/>
      <c r="AC44" s="19"/>
      <c r="AD44" s="19"/>
      <c r="AE44" s="19"/>
      <c r="AF44" s="19"/>
      <c r="AG44" s="19"/>
      <c r="AH44" s="19"/>
      <c r="AI44" s="19"/>
      <c r="AJ44" s="19" t="s">
        <v>1592</v>
      </c>
      <c r="AK44" s="1"/>
      <c r="AL44" s="1"/>
      <c r="AM44" s="1"/>
    </row>
    <row r="45" spans="1:39" ht="12.75" customHeight="1">
      <c r="A45" s="15">
        <v>43</v>
      </c>
      <c r="B45" s="23" t="s">
        <v>27</v>
      </c>
      <c r="C45" s="17" t="s">
        <v>1518</v>
      </c>
      <c r="D45" s="18" t="s">
        <v>1593</v>
      </c>
      <c r="E45" s="19"/>
      <c r="F45" s="19"/>
      <c r="G45" s="19"/>
      <c r="H45" s="19"/>
      <c r="I45" s="19"/>
      <c r="J45" s="19"/>
      <c r="K45" s="19"/>
      <c r="L45" s="19"/>
      <c r="M45" s="19"/>
      <c r="N45" s="19"/>
      <c r="O45" s="19"/>
      <c r="P45" s="19"/>
      <c r="Q45" s="19"/>
      <c r="R45" s="19"/>
      <c r="S45" s="19"/>
      <c r="T45" s="19"/>
      <c r="U45" s="19"/>
      <c r="V45" s="19"/>
      <c r="W45" s="19"/>
      <c r="X45" s="19"/>
      <c r="Y45" s="19"/>
      <c r="Z45" s="19"/>
      <c r="AA45" s="19">
        <v>25000000</v>
      </c>
      <c r="AB45" s="19"/>
      <c r="AC45" s="19"/>
      <c r="AD45" s="19"/>
      <c r="AE45" s="19"/>
      <c r="AF45" s="19"/>
      <c r="AG45" s="19"/>
      <c r="AH45" s="19"/>
      <c r="AI45" s="19"/>
      <c r="AJ45" s="19" t="s">
        <v>1343</v>
      </c>
      <c r="AK45" s="1"/>
      <c r="AL45" s="1"/>
      <c r="AM45" s="1"/>
    </row>
    <row r="46" spans="1:39" ht="12.75" hidden="1" customHeight="1">
      <c r="A46" s="15">
        <v>44</v>
      </c>
      <c r="B46" s="23" t="s">
        <v>1517</v>
      </c>
      <c r="C46" s="17" t="s">
        <v>1594</v>
      </c>
      <c r="D46" s="18" t="s">
        <v>1595</v>
      </c>
      <c r="E46" s="19"/>
      <c r="F46" s="19"/>
      <c r="G46" s="19"/>
      <c r="H46" s="19"/>
      <c r="I46" s="19"/>
      <c r="J46" s="19"/>
      <c r="K46" s="19"/>
      <c r="L46" s="19"/>
      <c r="M46" s="19"/>
      <c r="N46" s="19"/>
      <c r="O46" s="19"/>
      <c r="P46" s="19"/>
      <c r="Q46" s="19"/>
      <c r="R46" s="19"/>
      <c r="S46" s="19"/>
      <c r="T46" s="19"/>
      <c r="U46" s="19"/>
      <c r="V46" s="19"/>
      <c r="W46" s="19"/>
      <c r="X46" s="19"/>
      <c r="Y46" s="19">
        <v>7000000</v>
      </c>
      <c r="Z46" s="19"/>
      <c r="AA46" s="19"/>
      <c r="AB46" s="19"/>
      <c r="AC46" s="19"/>
      <c r="AD46" s="19"/>
      <c r="AE46" s="19"/>
      <c r="AF46" s="19"/>
      <c r="AG46" s="19"/>
      <c r="AH46" s="19"/>
      <c r="AI46" s="19"/>
      <c r="AJ46" s="19" t="s">
        <v>1529</v>
      </c>
      <c r="AK46" s="1"/>
      <c r="AL46" s="1"/>
      <c r="AM46" s="1"/>
    </row>
    <row r="47" spans="1:39" ht="12.75" hidden="1" customHeight="1">
      <c r="A47" s="15">
        <v>45</v>
      </c>
      <c r="B47" s="23" t="s">
        <v>1517</v>
      </c>
      <c r="C47" s="17" t="s">
        <v>1596</v>
      </c>
      <c r="D47" s="18" t="s">
        <v>1597</v>
      </c>
      <c r="E47" s="19"/>
      <c r="F47" s="19"/>
      <c r="G47" s="19"/>
      <c r="H47" s="19"/>
      <c r="I47" s="19"/>
      <c r="J47" s="19"/>
      <c r="K47" s="19"/>
      <c r="L47" s="19"/>
      <c r="M47" s="19"/>
      <c r="N47" s="19"/>
      <c r="O47" s="19"/>
      <c r="P47" s="19"/>
      <c r="Q47" s="19"/>
      <c r="R47" s="19"/>
      <c r="S47" s="19"/>
      <c r="T47" s="19"/>
      <c r="U47" s="19"/>
      <c r="V47" s="19"/>
      <c r="W47" s="19"/>
      <c r="X47" s="19"/>
      <c r="Y47" s="19"/>
      <c r="Z47" s="19">
        <v>39000000</v>
      </c>
      <c r="AA47" s="19"/>
      <c r="AB47" s="19"/>
      <c r="AC47" s="19"/>
      <c r="AD47" s="19"/>
      <c r="AE47" s="19"/>
      <c r="AF47" s="19"/>
      <c r="AG47" s="19"/>
      <c r="AH47" s="19"/>
      <c r="AI47" s="19"/>
      <c r="AJ47" s="19" t="s">
        <v>1529</v>
      </c>
      <c r="AK47" s="1"/>
      <c r="AL47" s="1"/>
      <c r="AM47" s="1"/>
    </row>
    <row r="48" spans="1:39" ht="12.75" hidden="1" customHeight="1">
      <c r="A48" s="15">
        <v>46</v>
      </c>
      <c r="B48" s="23" t="s">
        <v>1517</v>
      </c>
      <c r="C48" s="17" t="s">
        <v>1563</v>
      </c>
      <c r="D48" s="18" t="s">
        <v>1598</v>
      </c>
      <c r="E48" s="19"/>
      <c r="F48" s="19"/>
      <c r="G48" s="19"/>
      <c r="H48" s="19"/>
      <c r="I48" s="19"/>
      <c r="J48" s="19"/>
      <c r="K48" s="19"/>
      <c r="L48" s="19"/>
      <c r="M48" s="19"/>
      <c r="N48" s="19"/>
      <c r="O48" s="19"/>
      <c r="P48" s="19"/>
      <c r="Q48" s="19"/>
      <c r="R48" s="19"/>
      <c r="S48" s="19"/>
      <c r="T48" s="19"/>
      <c r="U48" s="19"/>
      <c r="V48" s="19"/>
      <c r="W48" s="19"/>
      <c r="X48" s="19"/>
      <c r="Y48" s="19"/>
      <c r="Z48" s="19">
        <v>94000000</v>
      </c>
      <c r="AA48" s="19"/>
      <c r="AB48" s="19"/>
      <c r="AC48" s="19"/>
      <c r="AD48" s="19"/>
      <c r="AE48" s="19"/>
      <c r="AF48" s="19"/>
      <c r="AG48" s="19"/>
      <c r="AH48" s="19"/>
      <c r="AI48" s="19"/>
      <c r="AJ48" s="19" t="s">
        <v>1599</v>
      </c>
      <c r="AK48" s="1"/>
      <c r="AL48" s="1"/>
      <c r="AM48" s="1"/>
    </row>
    <row r="49" spans="1:39" ht="12.75" hidden="1" customHeight="1">
      <c r="A49" s="15">
        <v>47</v>
      </c>
      <c r="B49" s="23" t="s">
        <v>1517</v>
      </c>
      <c r="C49" s="21" t="s">
        <v>65</v>
      </c>
      <c r="D49" s="18" t="s">
        <v>1600</v>
      </c>
      <c r="E49" s="29"/>
      <c r="F49" s="29"/>
      <c r="G49" s="29"/>
      <c r="H49" s="29"/>
      <c r="I49" s="29"/>
      <c r="J49" s="29"/>
      <c r="K49" s="29"/>
      <c r="L49" s="29"/>
      <c r="M49" s="29"/>
      <c r="N49" s="29"/>
      <c r="O49" s="29"/>
      <c r="P49" s="29"/>
      <c r="Q49" s="29"/>
      <c r="R49" s="29"/>
      <c r="S49" s="29"/>
      <c r="T49" s="29"/>
      <c r="U49" s="29"/>
      <c r="V49" s="29"/>
      <c r="W49" s="29"/>
      <c r="X49" s="29"/>
      <c r="Y49" s="29"/>
      <c r="Z49" s="29">
        <v>4800000</v>
      </c>
      <c r="AA49" s="29"/>
      <c r="AB49" s="29"/>
      <c r="AC49" s="29"/>
      <c r="AD49" s="29"/>
      <c r="AE49" s="29"/>
      <c r="AF49" s="29"/>
      <c r="AG49" s="29"/>
      <c r="AH49" s="29"/>
      <c r="AI49" s="29"/>
      <c r="AJ49" s="29" t="s">
        <v>1520</v>
      </c>
      <c r="AK49" s="1"/>
      <c r="AL49" s="1"/>
      <c r="AM49" s="1"/>
    </row>
    <row r="50" spans="1:39" ht="12.75" hidden="1" customHeight="1">
      <c r="A50" s="15">
        <v>48</v>
      </c>
      <c r="B50" s="23" t="s">
        <v>1517</v>
      </c>
      <c r="C50" s="21" t="s">
        <v>1518</v>
      </c>
      <c r="D50" s="18" t="s">
        <v>1601</v>
      </c>
      <c r="E50" s="29"/>
      <c r="F50" s="29"/>
      <c r="G50" s="29"/>
      <c r="H50" s="29"/>
      <c r="I50" s="29"/>
      <c r="J50" s="29"/>
      <c r="K50" s="29"/>
      <c r="L50" s="29"/>
      <c r="M50" s="29"/>
      <c r="N50" s="29"/>
      <c r="O50" s="29"/>
      <c r="P50" s="29"/>
      <c r="Q50" s="29"/>
      <c r="R50" s="29"/>
      <c r="S50" s="29"/>
      <c r="T50" s="29"/>
      <c r="U50" s="29"/>
      <c r="V50" s="29"/>
      <c r="W50" s="29"/>
      <c r="X50" s="29"/>
      <c r="Y50" s="29"/>
      <c r="Z50" s="29"/>
      <c r="AA50" s="29"/>
      <c r="AB50" s="29">
        <v>25000000</v>
      </c>
      <c r="AC50" s="29"/>
      <c r="AD50" s="29"/>
      <c r="AE50" s="29"/>
      <c r="AF50" s="29"/>
      <c r="AG50" s="29"/>
      <c r="AH50" s="29"/>
      <c r="AI50" s="29"/>
      <c r="AJ50" s="29" t="s">
        <v>1520</v>
      </c>
      <c r="AK50" s="1"/>
      <c r="AL50" s="1"/>
      <c r="AM50" s="1"/>
    </row>
    <row r="51" spans="1:39" ht="12.75" hidden="1" customHeight="1">
      <c r="A51" s="15">
        <v>49</v>
      </c>
      <c r="B51" s="23" t="s">
        <v>1549</v>
      </c>
      <c r="C51" s="21" t="s">
        <v>65</v>
      </c>
      <c r="D51" s="18" t="s">
        <v>1602</v>
      </c>
      <c r="E51" s="29"/>
      <c r="F51" s="29"/>
      <c r="G51" s="29"/>
      <c r="H51" s="29"/>
      <c r="I51" s="29"/>
      <c r="J51" s="29"/>
      <c r="K51" s="29"/>
      <c r="L51" s="29"/>
      <c r="M51" s="29"/>
      <c r="N51" s="29"/>
      <c r="O51" s="29"/>
      <c r="P51" s="29"/>
      <c r="Q51" s="29"/>
      <c r="R51" s="29"/>
      <c r="S51" s="29"/>
      <c r="T51" s="29"/>
      <c r="U51" s="29"/>
      <c r="V51" s="29"/>
      <c r="W51" s="29"/>
      <c r="X51" s="29"/>
      <c r="Y51" s="29"/>
      <c r="Z51" s="29"/>
      <c r="AA51" s="29">
        <v>80000000</v>
      </c>
      <c r="AB51" s="29"/>
      <c r="AC51" s="29"/>
      <c r="AD51" s="29"/>
      <c r="AE51" s="29"/>
      <c r="AF51" s="29"/>
      <c r="AG51" s="29"/>
      <c r="AH51" s="29"/>
      <c r="AI51" s="29"/>
      <c r="AJ51" s="29" t="s">
        <v>1552</v>
      </c>
      <c r="AK51" s="1"/>
      <c r="AL51" s="1"/>
      <c r="AM51" s="1"/>
    </row>
    <row r="52" spans="1:39" ht="12.75" hidden="1" customHeight="1">
      <c r="A52" s="15">
        <v>50</v>
      </c>
      <c r="B52" s="23" t="s">
        <v>1517</v>
      </c>
      <c r="C52" s="21" t="s">
        <v>1594</v>
      </c>
      <c r="D52" s="18" t="s">
        <v>1603</v>
      </c>
      <c r="E52" s="29"/>
      <c r="F52" s="29"/>
      <c r="G52" s="29"/>
      <c r="H52" s="29"/>
      <c r="I52" s="29"/>
      <c r="J52" s="29"/>
      <c r="K52" s="29"/>
      <c r="L52" s="29"/>
      <c r="M52" s="29"/>
      <c r="N52" s="29"/>
      <c r="O52" s="29"/>
      <c r="P52" s="29"/>
      <c r="Q52" s="29"/>
      <c r="R52" s="29"/>
      <c r="S52" s="29"/>
      <c r="T52" s="29"/>
      <c r="U52" s="29"/>
      <c r="V52" s="29"/>
      <c r="W52" s="29"/>
      <c r="X52" s="29"/>
      <c r="Y52" s="29"/>
      <c r="Z52" s="29">
        <v>1500000</v>
      </c>
      <c r="AA52" s="29"/>
      <c r="AB52" s="29"/>
      <c r="AC52" s="29"/>
      <c r="AD52" s="29"/>
      <c r="AE52" s="29"/>
      <c r="AF52" s="29"/>
      <c r="AG52" s="29"/>
      <c r="AH52" s="29"/>
      <c r="AI52" s="29"/>
      <c r="AJ52" s="29" t="s">
        <v>1604</v>
      </c>
      <c r="AK52" s="1"/>
      <c r="AL52" s="1"/>
      <c r="AM52" s="1"/>
    </row>
    <row r="53" spans="1:39" ht="12.75" hidden="1" customHeight="1">
      <c r="A53" s="15">
        <v>51</v>
      </c>
      <c r="B53" s="23" t="s">
        <v>1517</v>
      </c>
      <c r="C53" s="17" t="s">
        <v>1605</v>
      </c>
      <c r="D53" s="18" t="s">
        <v>1574</v>
      </c>
      <c r="E53" s="19"/>
      <c r="F53" s="19"/>
      <c r="G53" s="19"/>
      <c r="H53" s="19"/>
      <c r="I53" s="19"/>
      <c r="J53" s="19"/>
      <c r="K53" s="19"/>
      <c r="L53" s="19"/>
      <c r="M53" s="19"/>
      <c r="N53" s="19"/>
      <c r="O53" s="19"/>
      <c r="P53" s="19"/>
      <c r="Q53" s="19"/>
      <c r="R53" s="19"/>
      <c r="S53" s="19"/>
      <c r="T53" s="19"/>
      <c r="U53" s="19"/>
      <c r="V53" s="19"/>
      <c r="W53" s="19"/>
      <c r="X53" s="19"/>
      <c r="Y53" s="19"/>
      <c r="Z53" s="19">
        <v>11000000</v>
      </c>
      <c r="AA53" s="19"/>
      <c r="AB53" s="19"/>
      <c r="AC53" s="19"/>
      <c r="AD53" s="19"/>
      <c r="AE53" s="19"/>
      <c r="AF53" s="19"/>
      <c r="AG53" s="19"/>
      <c r="AH53" s="19"/>
      <c r="AI53" s="19"/>
      <c r="AJ53" s="19" t="s">
        <v>1520</v>
      </c>
      <c r="AK53" s="1"/>
      <c r="AL53" s="1"/>
      <c r="AM53" s="1"/>
    </row>
    <row r="54" spans="1:39" ht="12.75" hidden="1" customHeight="1">
      <c r="A54" s="15">
        <v>52</v>
      </c>
      <c r="B54" s="23" t="s">
        <v>1517</v>
      </c>
      <c r="C54" s="17" t="s">
        <v>1606</v>
      </c>
      <c r="D54" s="18" t="s">
        <v>1607</v>
      </c>
      <c r="E54" s="19"/>
      <c r="F54" s="19"/>
      <c r="G54" s="19"/>
      <c r="H54" s="19"/>
      <c r="I54" s="19"/>
      <c r="J54" s="19"/>
      <c r="K54" s="19"/>
      <c r="L54" s="19"/>
      <c r="M54" s="19"/>
      <c r="N54" s="19"/>
      <c r="O54" s="19"/>
      <c r="P54" s="19"/>
      <c r="Q54" s="19"/>
      <c r="R54" s="19"/>
      <c r="S54" s="19"/>
      <c r="T54" s="19"/>
      <c r="U54" s="19"/>
      <c r="V54" s="19"/>
      <c r="W54" s="19"/>
      <c r="X54" s="19"/>
      <c r="Y54" s="19"/>
      <c r="Z54" s="19"/>
      <c r="AA54" s="19">
        <v>85000000</v>
      </c>
      <c r="AB54" s="19"/>
      <c r="AC54" s="19"/>
      <c r="AD54" s="19"/>
      <c r="AE54" s="19"/>
      <c r="AF54" s="19"/>
      <c r="AG54" s="19"/>
      <c r="AH54" s="19"/>
      <c r="AI54" s="19"/>
      <c r="AJ54" s="19" t="s">
        <v>1520</v>
      </c>
      <c r="AK54" s="1"/>
      <c r="AL54" s="1"/>
      <c r="AM54" s="1"/>
    </row>
    <row r="55" spans="1:39" ht="12.75" hidden="1" customHeight="1">
      <c r="A55" s="15">
        <v>53</v>
      </c>
      <c r="B55" s="23" t="s">
        <v>1517</v>
      </c>
      <c r="C55" s="17" t="s">
        <v>1605</v>
      </c>
      <c r="D55" s="18" t="s">
        <v>1608</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v>35000000</v>
      </c>
      <c r="AD55" s="19"/>
      <c r="AE55" s="19"/>
      <c r="AF55" s="19"/>
      <c r="AG55" s="19"/>
      <c r="AH55" s="19"/>
      <c r="AI55" s="19"/>
      <c r="AJ55" s="19" t="s">
        <v>1524</v>
      </c>
      <c r="AK55" s="1"/>
      <c r="AL55" s="1"/>
      <c r="AM55" s="1"/>
    </row>
    <row r="56" spans="1:39" ht="12.75" hidden="1" customHeight="1">
      <c r="A56" s="15">
        <v>54</v>
      </c>
      <c r="B56" s="23" t="s">
        <v>1517</v>
      </c>
      <c r="C56" s="17" t="s">
        <v>1537</v>
      </c>
      <c r="D56" s="18" t="s">
        <v>1609</v>
      </c>
      <c r="E56" s="19"/>
      <c r="F56" s="19"/>
      <c r="G56" s="19"/>
      <c r="H56" s="19"/>
      <c r="I56" s="19"/>
      <c r="J56" s="19"/>
      <c r="K56" s="19"/>
      <c r="L56" s="19"/>
      <c r="M56" s="19"/>
      <c r="N56" s="19"/>
      <c r="O56" s="19"/>
      <c r="P56" s="19"/>
      <c r="Q56" s="19"/>
      <c r="R56" s="19"/>
      <c r="S56" s="19"/>
      <c r="T56" s="19"/>
      <c r="U56" s="19"/>
      <c r="V56" s="19"/>
      <c r="W56" s="19"/>
      <c r="X56" s="19"/>
      <c r="Y56" s="19">
        <v>121000000</v>
      </c>
      <c r="Z56" s="19"/>
      <c r="AA56" s="19"/>
      <c r="AB56" s="19"/>
      <c r="AC56" s="19"/>
      <c r="AD56" s="19"/>
      <c r="AE56" s="19"/>
      <c r="AF56" s="19"/>
      <c r="AG56" s="19"/>
      <c r="AH56" s="19"/>
      <c r="AI56" s="19"/>
      <c r="AJ56" s="19" t="s">
        <v>1524</v>
      </c>
      <c r="AK56" s="1"/>
      <c r="AL56" s="1"/>
      <c r="AM56" s="1"/>
    </row>
    <row r="57" spans="1:39" ht="12.75" customHeight="1">
      <c r="A57" s="15">
        <v>55</v>
      </c>
      <c r="B57" s="23" t="s">
        <v>27</v>
      </c>
      <c r="C57" s="17" t="s">
        <v>1610</v>
      </c>
      <c r="D57" s="18" t="s">
        <v>1611</v>
      </c>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v>30000000</v>
      </c>
      <c r="AG57" s="19"/>
      <c r="AH57" s="19"/>
      <c r="AI57" s="19"/>
      <c r="AJ57" s="19" t="s">
        <v>1612</v>
      </c>
      <c r="AK57" s="1"/>
      <c r="AL57" s="1"/>
      <c r="AM57" s="1"/>
    </row>
    <row r="58" spans="1:39" ht="12.75" hidden="1" customHeight="1">
      <c r="A58" s="15">
        <v>56</v>
      </c>
      <c r="B58" s="23" t="s">
        <v>40</v>
      </c>
      <c r="C58" s="17" t="s">
        <v>1537</v>
      </c>
      <c r="D58" s="18" t="s">
        <v>1613</v>
      </c>
      <c r="E58" s="19"/>
      <c r="F58" s="19"/>
      <c r="G58" s="19"/>
      <c r="H58" s="19"/>
      <c r="I58" s="19"/>
      <c r="J58" s="19"/>
      <c r="K58" s="19"/>
      <c r="L58" s="19"/>
      <c r="M58" s="19"/>
      <c r="N58" s="19"/>
      <c r="O58" s="19"/>
      <c r="P58" s="19"/>
      <c r="Q58" s="19"/>
      <c r="R58" s="19"/>
      <c r="S58" s="19"/>
      <c r="T58" s="19"/>
      <c r="U58" s="19"/>
      <c r="V58" s="19"/>
      <c r="W58" s="19"/>
      <c r="X58" s="19"/>
      <c r="Y58" s="19"/>
      <c r="Z58" s="19"/>
      <c r="AA58" s="19"/>
      <c r="AB58" s="19">
        <v>230000000</v>
      </c>
      <c r="AC58" s="19"/>
      <c r="AD58" s="19"/>
      <c r="AE58" s="19"/>
      <c r="AF58" s="19"/>
      <c r="AG58" s="19"/>
      <c r="AH58" s="19"/>
      <c r="AI58" s="19"/>
      <c r="AJ58" s="19" t="s">
        <v>1614</v>
      </c>
      <c r="AK58" s="1"/>
      <c r="AL58" s="1"/>
      <c r="AM58" s="1"/>
    </row>
    <row r="59" spans="1:39" ht="12.75" hidden="1" customHeight="1">
      <c r="A59" s="15">
        <v>57</v>
      </c>
      <c r="B59" s="23" t="s">
        <v>40</v>
      </c>
      <c r="C59" s="17" t="s">
        <v>1615</v>
      </c>
      <c r="D59" s="18" t="s">
        <v>1616</v>
      </c>
      <c r="E59" s="19"/>
      <c r="F59" s="19"/>
      <c r="G59" s="19"/>
      <c r="H59" s="19"/>
      <c r="I59" s="19"/>
      <c r="J59" s="19"/>
      <c r="K59" s="19"/>
      <c r="L59" s="19"/>
      <c r="M59" s="19"/>
      <c r="N59" s="19"/>
      <c r="O59" s="19"/>
      <c r="P59" s="19"/>
      <c r="Q59" s="19"/>
      <c r="R59" s="19"/>
      <c r="S59" s="19"/>
      <c r="T59" s="19"/>
      <c r="U59" s="19"/>
      <c r="V59" s="19"/>
      <c r="W59" s="19"/>
      <c r="X59" s="19"/>
      <c r="Y59" s="19"/>
      <c r="Z59" s="19"/>
      <c r="AA59" s="19"/>
      <c r="AB59" s="19"/>
      <c r="AC59" s="19">
        <v>2400000</v>
      </c>
      <c r="AD59" s="19"/>
      <c r="AE59" s="19"/>
      <c r="AF59" s="19"/>
      <c r="AG59" s="19"/>
      <c r="AH59" s="19"/>
      <c r="AI59" s="19"/>
      <c r="AJ59" s="19" t="s">
        <v>1617</v>
      </c>
      <c r="AK59" s="1"/>
      <c r="AL59" s="1"/>
      <c r="AM59" s="1"/>
    </row>
    <row r="60" spans="1:39" ht="12.75" hidden="1" customHeight="1">
      <c r="A60" s="15">
        <v>58</v>
      </c>
      <c r="B60" s="23" t="s">
        <v>40</v>
      </c>
      <c r="C60" s="17" t="s">
        <v>1618</v>
      </c>
      <c r="D60" s="18" t="s">
        <v>1619</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v>340000000</v>
      </c>
      <c r="AE60" s="19"/>
      <c r="AF60" s="19"/>
      <c r="AG60" s="19"/>
      <c r="AH60" s="19"/>
      <c r="AI60" s="19"/>
      <c r="AJ60" s="19" t="s">
        <v>1620</v>
      </c>
      <c r="AK60" s="1"/>
      <c r="AL60" s="1"/>
      <c r="AM60" s="1"/>
    </row>
    <row r="61" spans="1:39" ht="12.75" hidden="1" customHeight="1">
      <c r="A61" s="15">
        <v>59</v>
      </c>
      <c r="B61" s="23" t="s">
        <v>40</v>
      </c>
      <c r="C61" s="17" t="s">
        <v>1563</v>
      </c>
      <c r="D61" s="18" t="s">
        <v>1621</v>
      </c>
      <c r="E61" s="19"/>
      <c r="F61" s="19"/>
      <c r="G61" s="19"/>
      <c r="H61" s="19"/>
      <c r="I61" s="19"/>
      <c r="J61" s="19"/>
      <c r="K61" s="19"/>
      <c r="L61" s="19"/>
      <c r="M61" s="19"/>
      <c r="N61" s="19"/>
      <c r="O61" s="19"/>
      <c r="P61" s="19"/>
      <c r="Q61" s="19"/>
      <c r="R61" s="19"/>
      <c r="S61" s="19"/>
      <c r="T61" s="19"/>
      <c r="U61" s="19"/>
      <c r="V61" s="19"/>
      <c r="W61" s="19"/>
      <c r="X61" s="19"/>
      <c r="Y61" s="19"/>
      <c r="Z61" s="19"/>
      <c r="AA61" s="19"/>
      <c r="AB61" s="19"/>
      <c r="AC61" s="19">
        <v>1500000000</v>
      </c>
      <c r="AD61" s="19"/>
      <c r="AE61" s="19"/>
      <c r="AF61" s="19"/>
      <c r="AG61" s="19"/>
      <c r="AH61" s="19"/>
      <c r="AI61" s="19"/>
      <c r="AJ61" s="19" t="s">
        <v>1622</v>
      </c>
      <c r="AK61" s="1"/>
      <c r="AL61" s="1"/>
      <c r="AM61" s="1"/>
    </row>
    <row r="62" spans="1:39" ht="12.75" customHeight="1">
      <c r="A62" s="15">
        <v>60</v>
      </c>
      <c r="B62" s="23" t="s">
        <v>27</v>
      </c>
      <c r="C62" s="17" t="s">
        <v>1623</v>
      </c>
      <c r="D62" s="18" t="s">
        <v>1624</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v>30000000</v>
      </c>
      <c r="AG62" s="19"/>
      <c r="AH62" s="19"/>
      <c r="AI62" s="19"/>
      <c r="AJ62" s="19" t="s">
        <v>1625</v>
      </c>
      <c r="AK62" s="1"/>
      <c r="AL62" s="1"/>
      <c r="AM62" s="1"/>
    </row>
    <row r="63" spans="1:39" ht="12.75" customHeight="1">
      <c r="A63" s="15">
        <v>61</v>
      </c>
      <c r="B63" s="23" t="s">
        <v>27</v>
      </c>
      <c r="C63" s="17" t="s">
        <v>1623</v>
      </c>
      <c r="D63" s="18" t="s">
        <v>1626</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v>110000000</v>
      </c>
      <c r="AG63" s="19"/>
      <c r="AH63" s="19"/>
      <c r="AI63" s="19"/>
      <c r="AJ63" s="19" t="s">
        <v>1625</v>
      </c>
      <c r="AK63" s="1"/>
      <c r="AL63" s="1"/>
      <c r="AM63" s="1"/>
    </row>
    <row r="64" spans="1:39" ht="12.75" hidden="1" customHeight="1">
      <c r="A64" s="15">
        <v>62</v>
      </c>
      <c r="B64" s="23" t="s">
        <v>1517</v>
      </c>
      <c r="C64" s="17" t="s">
        <v>1627</v>
      </c>
      <c r="D64" s="18" t="s">
        <v>1628</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v>35000000</v>
      </c>
      <c r="AD64" s="19"/>
      <c r="AE64" s="19"/>
      <c r="AF64" s="19"/>
      <c r="AG64" s="19"/>
      <c r="AH64" s="19"/>
      <c r="AI64" s="19"/>
      <c r="AJ64" s="19" t="s">
        <v>1629</v>
      </c>
      <c r="AK64" s="1"/>
      <c r="AL64" s="1"/>
      <c r="AM64" s="1"/>
    </row>
    <row r="65" spans="1:39" ht="12.75" hidden="1" customHeight="1">
      <c r="A65" s="15">
        <v>63</v>
      </c>
      <c r="B65" s="23" t="s">
        <v>1517</v>
      </c>
      <c r="C65" s="17" t="s">
        <v>1560</v>
      </c>
      <c r="D65" s="18" t="s">
        <v>1630</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v>250000000</v>
      </c>
      <c r="AD65" s="19"/>
      <c r="AE65" s="19"/>
      <c r="AF65" s="19"/>
      <c r="AG65" s="19"/>
      <c r="AH65" s="19"/>
      <c r="AI65" s="19"/>
      <c r="AJ65" s="19" t="s">
        <v>1631</v>
      </c>
      <c r="AK65" s="1"/>
      <c r="AL65" s="1"/>
      <c r="AM65" s="1"/>
    </row>
    <row r="66" spans="1:39" ht="12.75" hidden="1" customHeight="1">
      <c r="A66" s="15">
        <v>64</v>
      </c>
      <c r="B66" s="23" t="s">
        <v>1517</v>
      </c>
      <c r="C66" s="17" t="s">
        <v>23</v>
      </c>
      <c r="D66" s="18" t="s">
        <v>1632</v>
      </c>
      <c r="E66" s="19"/>
      <c r="F66" s="19"/>
      <c r="G66" s="19"/>
      <c r="H66" s="19"/>
      <c r="I66" s="19"/>
      <c r="J66" s="19"/>
      <c r="K66" s="19"/>
      <c r="L66" s="19"/>
      <c r="M66" s="19"/>
      <c r="N66" s="19"/>
      <c r="O66" s="19"/>
      <c r="P66" s="19"/>
      <c r="Q66" s="19"/>
      <c r="R66" s="19"/>
      <c r="S66" s="19"/>
      <c r="T66" s="19"/>
      <c r="U66" s="19"/>
      <c r="V66" s="19"/>
      <c r="W66" s="19"/>
      <c r="X66" s="19"/>
      <c r="Y66" s="19"/>
      <c r="Z66" s="19"/>
      <c r="AA66" s="19"/>
      <c r="AB66" s="19">
        <v>110000000</v>
      </c>
      <c r="AC66" s="19"/>
      <c r="AD66" s="19"/>
      <c r="AE66" s="19"/>
      <c r="AF66" s="19"/>
      <c r="AG66" s="19"/>
      <c r="AH66" s="19"/>
      <c r="AI66" s="19"/>
      <c r="AJ66" s="19" t="s">
        <v>1520</v>
      </c>
      <c r="AK66" s="1"/>
      <c r="AL66" s="1"/>
      <c r="AM66" s="1"/>
    </row>
    <row r="67" spans="1:39" ht="12.75" hidden="1" customHeight="1">
      <c r="A67" s="15">
        <v>65</v>
      </c>
      <c r="B67" s="32" t="s">
        <v>1517</v>
      </c>
      <c r="C67" s="33" t="s">
        <v>1633</v>
      </c>
      <c r="D67" s="34" t="s">
        <v>1634</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v>7500000</v>
      </c>
      <c r="AD67" s="19"/>
      <c r="AE67" s="19"/>
      <c r="AF67" s="19"/>
      <c r="AG67" s="19"/>
      <c r="AH67" s="19"/>
      <c r="AI67" s="19"/>
      <c r="AJ67" s="19" t="s">
        <v>1524</v>
      </c>
      <c r="AK67" s="1"/>
      <c r="AL67" s="1"/>
      <c r="AM67" s="1"/>
    </row>
    <row r="68" spans="1:39" ht="12.75" hidden="1" customHeight="1">
      <c r="A68" s="15">
        <v>66</v>
      </c>
      <c r="B68" s="32" t="s">
        <v>1517</v>
      </c>
      <c r="C68" s="33" t="s">
        <v>1635</v>
      </c>
      <c r="D68" s="34" t="s">
        <v>1636</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v>40000000</v>
      </c>
      <c r="AD68" s="19"/>
      <c r="AE68" s="19"/>
      <c r="AF68" s="19"/>
      <c r="AG68" s="19"/>
      <c r="AH68" s="19"/>
      <c r="AI68" s="19"/>
      <c r="AJ68" s="19" t="s">
        <v>1524</v>
      </c>
      <c r="AK68" s="1"/>
      <c r="AL68" s="1"/>
      <c r="AM68" s="1"/>
    </row>
    <row r="69" spans="1:39" ht="12.75" hidden="1" customHeight="1">
      <c r="A69" s="15">
        <v>67</v>
      </c>
      <c r="B69" s="32" t="s">
        <v>44</v>
      </c>
      <c r="C69" s="33" t="s">
        <v>1518</v>
      </c>
      <c r="D69" s="34" t="s">
        <v>1637</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v>1500000000</v>
      </c>
      <c r="AG69" s="19"/>
      <c r="AH69" s="19"/>
      <c r="AI69" s="19"/>
      <c r="AJ69" s="19" t="s">
        <v>1638</v>
      </c>
      <c r="AK69" s="1"/>
      <c r="AL69" s="1"/>
      <c r="AM69" s="1"/>
    </row>
    <row r="70" spans="1:39" ht="12.75" hidden="1" customHeight="1">
      <c r="A70" s="15">
        <v>68</v>
      </c>
      <c r="B70" s="23" t="s">
        <v>40</v>
      </c>
      <c r="C70" s="17" t="s">
        <v>1558</v>
      </c>
      <c r="D70" s="18" t="s">
        <v>1639</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v>27000000</v>
      </c>
      <c r="AD70" s="19"/>
      <c r="AE70" s="19"/>
      <c r="AF70" s="19"/>
      <c r="AG70" s="19"/>
      <c r="AH70" s="19"/>
      <c r="AI70" s="19"/>
      <c r="AJ70" s="19" t="s">
        <v>1622</v>
      </c>
      <c r="AK70" s="1"/>
      <c r="AL70" s="1"/>
      <c r="AM70" s="1"/>
    </row>
    <row r="71" spans="1:39" ht="12.75" hidden="1" customHeight="1">
      <c r="A71" s="15">
        <v>69</v>
      </c>
      <c r="B71" s="23" t="s">
        <v>40</v>
      </c>
      <c r="C71" s="17" t="s">
        <v>1546</v>
      </c>
      <c r="D71" s="18" t="s">
        <v>1640</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v>27000000</v>
      </c>
      <c r="AE71" s="19"/>
      <c r="AF71" s="19"/>
      <c r="AG71" s="19"/>
      <c r="AH71" s="19"/>
      <c r="AI71" s="19"/>
      <c r="AJ71" s="19" t="s">
        <v>1622</v>
      </c>
      <c r="AK71" s="1"/>
      <c r="AL71" s="1"/>
      <c r="AM71" s="1"/>
    </row>
    <row r="72" spans="1:39" ht="12.75" hidden="1" customHeight="1">
      <c r="A72" s="15">
        <v>70</v>
      </c>
      <c r="B72" s="23" t="s">
        <v>40</v>
      </c>
      <c r="C72" s="17" t="s">
        <v>1627</v>
      </c>
      <c r="D72" s="18" t="s">
        <v>1641</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v>35000000</v>
      </c>
      <c r="AE72" s="19"/>
      <c r="AF72" s="19"/>
      <c r="AG72" s="19"/>
      <c r="AH72" s="19"/>
      <c r="AI72" s="19"/>
      <c r="AJ72" s="19" t="s">
        <v>1622</v>
      </c>
      <c r="AK72" s="1"/>
      <c r="AL72" s="1"/>
      <c r="AM72" s="1"/>
    </row>
    <row r="73" spans="1:39" ht="12.75" hidden="1" customHeight="1">
      <c r="A73" s="15">
        <v>71</v>
      </c>
      <c r="B73" s="23" t="s">
        <v>40</v>
      </c>
      <c r="C73" s="17" t="s">
        <v>1642</v>
      </c>
      <c r="D73" s="18" t="s">
        <v>1643</v>
      </c>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v>1200000</v>
      </c>
      <c r="AE73" s="19"/>
      <c r="AF73" s="19"/>
      <c r="AG73" s="19"/>
      <c r="AH73" s="19"/>
      <c r="AI73" s="19"/>
      <c r="AJ73" s="19" t="s">
        <v>1644</v>
      </c>
      <c r="AK73" s="1"/>
      <c r="AL73" s="1"/>
      <c r="AM73" s="1"/>
    </row>
    <row r="74" spans="1:39" ht="12.75" hidden="1" customHeight="1">
      <c r="A74" s="15">
        <v>72</v>
      </c>
      <c r="B74" s="23" t="s">
        <v>1517</v>
      </c>
      <c r="C74" s="17" t="s">
        <v>1570</v>
      </c>
      <c r="D74" s="18" t="s">
        <v>1645</v>
      </c>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v>2500000</v>
      </c>
      <c r="AE74" s="19"/>
      <c r="AF74" s="19"/>
      <c r="AG74" s="19"/>
      <c r="AH74" s="19"/>
      <c r="AI74" s="19"/>
      <c r="AJ74" s="19" t="s">
        <v>1646</v>
      </c>
      <c r="AK74" s="1"/>
      <c r="AL74" s="1"/>
      <c r="AM74" s="1"/>
    </row>
    <row r="75" spans="1:39" ht="12.75" hidden="1" customHeight="1">
      <c r="A75" s="15">
        <v>73</v>
      </c>
      <c r="B75" s="23" t="s">
        <v>1517</v>
      </c>
      <c r="C75" s="17" t="s">
        <v>1570</v>
      </c>
      <c r="D75" s="18" t="s">
        <v>1647</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v>2250000</v>
      </c>
      <c r="AE75" s="19"/>
      <c r="AF75" s="19"/>
      <c r="AG75" s="19"/>
      <c r="AH75" s="19"/>
      <c r="AI75" s="19"/>
      <c r="AJ75" s="19" t="s">
        <v>1646</v>
      </c>
      <c r="AK75" s="1"/>
      <c r="AL75" s="1"/>
      <c r="AM75" s="1"/>
    </row>
    <row r="76" spans="1:39" ht="12.75" hidden="1" customHeight="1">
      <c r="A76" s="15">
        <v>74</v>
      </c>
      <c r="B76" s="23" t="s">
        <v>40</v>
      </c>
      <c r="C76" s="17" t="s">
        <v>1618</v>
      </c>
      <c r="D76" s="18" t="s">
        <v>1648</v>
      </c>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v>11000000</v>
      </c>
      <c r="AE76" s="19"/>
      <c r="AF76" s="19"/>
      <c r="AG76" s="19"/>
      <c r="AH76" s="19"/>
      <c r="AI76" s="19"/>
      <c r="AJ76" s="19" t="s">
        <v>1622</v>
      </c>
      <c r="AK76" s="1"/>
      <c r="AL76" s="1"/>
      <c r="AM76" s="1"/>
    </row>
    <row r="77" spans="1:39" ht="12.75" hidden="1" customHeight="1">
      <c r="A77" s="15">
        <v>75</v>
      </c>
      <c r="B77" s="23" t="s">
        <v>40</v>
      </c>
      <c r="C77" s="17" t="s">
        <v>1618</v>
      </c>
      <c r="D77" s="18" t="s">
        <v>1649</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v>3600000</v>
      </c>
      <c r="AE77" s="19"/>
      <c r="AF77" s="19"/>
      <c r="AG77" s="19"/>
      <c r="AH77" s="19"/>
      <c r="AI77" s="19"/>
      <c r="AJ77" s="19" t="s">
        <v>1622</v>
      </c>
      <c r="AK77" s="1"/>
      <c r="AL77" s="1"/>
      <c r="AM77" s="1"/>
    </row>
    <row r="78" spans="1:39" ht="12.75" hidden="1" customHeight="1">
      <c r="A78" s="15">
        <v>76</v>
      </c>
      <c r="B78" s="23" t="s">
        <v>1517</v>
      </c>
      <c r="C78" s="17" t="s">
        <v>1605</v>
      </c>
      <c r="D78" s="18" t="s">
        <v>1650</v>
      </c>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v>11000000</v>
      </c>
      <c r="AE78" s="19"/>
      <c r="AF78" s="19"/>
      <c r="AG78" s="19"/>
      <c r="AH78" s="19"/>
      <c r="AI78" s="19"/>
      <c r="AJ78" s="19" t="s">
        <v>1646</v>
      </c>
      <c r="AK78" s="1"/>
      <c r="AL78" s="1"/>
      <c r="AM78" s="1"/>
    </row>
    <row r="79" spans="1:39" ht="12.75" hidden="1" customHeight="1">
      <c r="A79" s="15">
        <v>77</v>
      </c>
      <c r="B79" s="23" t="s">
        <v>44</v>
      </c>
      <c r="C79" s="17" t="s">
        <v>23</v>
      </c>
      <c r="D79" s="18" t="s">
        <v>1651</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v>45000000</v>
      </c>
      <c r="AG79" s="19"/>
      <c r="AH79" s="19"/>
      <c r="AI79" s="19"/>
      <c r="AJ79" s="29" t="s">
        <v>1652</v>
      </c>
      <c r="AK79" s="1"/>
      <c r="AL79" s="1"/>
      <c r="AM79" s="1"/>
    </row>
    <row r="80" spans="1:39" ht="12.75" hidden="1" customHeight="1">
      <c r="A80" s="15">
        <v>78</v>
      </c>
      <c r="B80" s="23" t="s">
        <v>44</v>
      </c>
      <c r="C80" s="17" t="s">
        <v>23</v>
      </c>
      <c r="D80" s="18" t="s">
        <v>1653</v>
      </c>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v>40000000</v>
      </c>
      <c r="AG80" s="19"/>
      <c r="AH80" s="19"/>
      <c r="AI80" s="19"/>
      <c r="AJ80" s="29" t="s">
        <v>1652</v>
      </c>
      <c r="AK80" s="1"/>
      <c r="AL80" s="1"/>
      <c r="AM80" s="1"/>
    </row>
    <row r="81" spans="1:39" ht="12.75" hidden="1" customHeight="1">
      <c r="A81" s="15">
        <v>79</v>
      </c>
      <c r="B81" s="23" t="s">
        <v>44</v>
      </c>
      <c r="C81" s="17" t="s">
        <v>23</v>
      </c>
      <c r="D81" s="18" t="s">
        <v>1654</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v>180000000</v>
      </c>
      <c r="AG81" s="19"/>
      <c r="AH81" s="19"/>
      <c r="AI81" s="19"/>
      <c r="AJ81" s="29" t="s">
        <v>1652</v>
      </c>
      <c r="AK81" s="1"/>
      <c r="AL81" s="1"/>
      <c r="AM81" s="1"/>
    </row>
    <row r="82" spans="1:39" ht="12.75" hidden="1" customHeight="1">
      <c r="A82" s="15">
        <v>80</v>
      </c>
      <c r="B82" s="23" t="s">
        <v>44</v>
      </c>
      <c r="C82" s="17" t="s">
        <v>23</v>
      </c>
      <c r="D82" s="18" t="s">
        <v>1655</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v>75000000</v>
      </c>
      <c r="AG82" s="19"/>
      <c r="AH82" s="19"/>
      <c r="AI82" s="19"/>
      <c r="AJ82" s="29" t="s">
        <v>1652</v>
      </c>
      <c r="AK82" s="1"/>
      <c r="AL82" s="1"/>
      <c r="AM82" s="1"/>
    </row>
    <row r="83" spans="1:39" ht="12.75" hidden="1" customHeight="1">
      <c r="A83" s="15">
        <v>81</v>
      </c>
      <c r="B83" s="23" t="s">
        <v>44</v>
      </c>
      <c r="C83" s="17" t="s">
        <v>1537</v>
      </c>
      <c r="D83" s="18" t="s">
        <v>1656</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v>32000000</v>
      </c>
      <c r="AF83" s="19"/>
      <c r="AG83" s="19"/>
      <c r="AH83" s="19"/>
      <c r="AI83" s="19"/>
      <c r="AJ83" s="29" t="s">
        <v>1657</v>
      </c>
      <c r="AK83" s="1"/>
      <c r="AL83" s="1"/>
      <c r="AM83" s="1"/>
    </row>
    <row r="84" spans="1:39" ht="12.75" customHeight="1">
      <c r="A84" s="15">
        <v>82</v>
      </c>
      <c r="B84" s="23" t="s">
        <v>27</v>
      </c>
      <c r="C84" s="17" t="s">
        <v>1537</v>
      </c>
      <c r="D84" s="18" t="s">
        <v>1658</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v>80000000</v>
      </c>
      <c r="AG84" s="19"/>
      <c r="AH84" s="19"/>
      <c r="AI84" s="19"/>
      <c r="AJ84" s="29" t="s">
        <v>1659</v>
      </c>
      <c r="AK84" s="1"/>
      <c r="AL84" s="1"/>
      <c r="AM84" s="1"/>
    </row>
    <row r="85" spans="1:39" ht="12.75" hidden="1" customHeight="1">
      <c r="A85" s="15">
        <v>83</v>
      </c>
      <c r="B85" s="23" t="s">
        <v>40</v>
      </c>
      <c r="C85" s="17" t="s">
        <v>1563</v>
      </c>
      <c r="D85" s="18" t="s">
        <v>1660</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v>1160000000</v>
      </c>
      <c r="AF85" s="19"/>
      <c r="AG85" s="19"/>
      <c r="AH85" s="19"/>
      <c r="AI85" s="19"/>
      <c r="AJ85" s="19" t="s">
        <v>1661</v>
      </c>
      <c r="AK85" s="1"/>
      <c r="AL85" s="1"/>
      <c r="AM85" s="1"/>
    </row>
    <row r="86" spans="1:39" ht="12.75" hidden="1" customHeight="1">
      <c r="A86" s="15">
        <v>84</v>
      </c>
      <c r="B86" s="23" t="s">
        <v>40</v>
      </c>
      <c r="C86" s="17" t="s">
        <v>1563</v>
      </c>
      <c r="D86" s="18" t="s">
        <v>1662</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v>1750000000</v>
      </c>
      <c r="AF86" s="19"/>
      <c r="AG86" s="19"/>
      <c r="AH86" s="19"/>
      <c r="AI86" s="19"/>
      <c r="AJ86" s="19" t="s">
        <v>1661</v>
      </c>
      <c r="AK86" s="1"/>
      <c r="AL86" s="1"/>
      <c r="AM86" s="1"/>
    </row>
    <row r="87" spans="1:39" ht="12.75" hidden="1" customHeight="1">
      <c r="A87" s="15">
        <v>85</v>
      </c>
      <c r="B87" s="23" t="s">
        <v>40</v>
      </c>
      <c r="C87" s="17" t="s">
        <v>1563</v>
      </c>
      <c r="D87" s="18" t="s">
        <v>1663</v>
      </c>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v>1012500000</v>
      </c>
      <c r="AF87" s="19"/>
      <c r="AG87" s="19"/>
      <c r="AH87" s="19"/>
      <c r="AI87" s="19"/>
      <c r="AJ87" s="19" t="s">
        <v>1664</v>
      </c>
      <c r="AK87" s="1"/>
      <c r="AL87" s="1"/>
      <c r="AM87" s="1"/>
    </row>
    <row r="88" spans="1:39" ht="12.75" customHeight="1">
      <c r="A88" s="15">
        <v>86</v>
      </c>
      <c r="B88" s="23" t="s">
        <v>27</v>
      </c>
      <c r="C88" s="17" t="s">
        <v>1633</v>
      </c>
      <c r="D88" s="18" t="s">
        <v>1665</v>
      </c>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v>35000000</v>
      </c>
      <c r="AG88" s="19"/>
      <c r="AH88" s="19"/>
      <c r="AI88" s="19"/>
      <c r="AJ88" s="29" t="s">
        <v>1666</v>
      </c>
      <c r="AK88" s="1"/>
      <c r="AL88" s="1"/>
      <c r="AM88" s="1"/>
    </row>
    <row r="89" spans="1:39" ht="12.75" hidden="1" customHeight="1">
      <c r="A89" s="15">
        <v>87</v>
      </c>
      <c r="B89" s="23" t="s">
        <v>40</v>
      </c>
      <c r="C89" s="17" t="s">
        <v>1606</v>
      </c>
      <c r="D89" s="18" t="s">
        <v>1667</v>
      </c>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v>16000000</v>
      </c>
      <c r="AF89" s="19"/>
      <c r="AG89" s="19"/>
      <c r="AH89" s="19"/>
      <c r="AI89" s="19"/>
      <c r="AJ89" s="19" t="s">
        <v>1622</v>
      </c>
      <c r="AK89" s="1"/>
      <c r="AL89" s="1"/>
      <c r="AM89" s="1"/>
    </row>
    <row r="90" spans="1:39" ht="12.75" hidden="1" customHeight="1">
      <c r="A90" s="15">
        <v>88</v>
      </c>
      <c r="B90" s="23" t="s">
        <v>1517</v>
      </c>
      <c r="C90" s="17" t="s">
        <v>1618</v>
      </c>
      <c r="D90" s="18" t="s">
        <v>1648</v>
      </c>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v>11850000</v>
      </c>
      <c r="AF90" s="19"/>
      <c r="AG90" s="19"/>
      <c r="AH90" s="19"/>
      <c r="AI90" s="19"/>
      <c r="AJ90" s="19" t="s">
        <v>1646</v>
      </c>
      <c r="AK90" s="1"/>
      <c r="AL90" s="1"/>
      <c r="AM90" s="1"/>
    </row>
    <row r="91" spans="1:39" ht="12.75" hidden="1" customHeight="1">
      <c r="A91" s="15">
        <v>89</v>
      </c>
      <c r="B91" s="23" t="s">
        <v>44</v>
      </c>
      <c r="C91" s="17" t="s">
        <v>1618</v>
      </c>
      <c r="D91" s="18" t="s">
        <v>1668</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v>5000000</v>
      </c>
      <c r="AG91" s="19"/>
      <c r="AH91" s="19"/>
      <c r="AI91" s="19"/>
      <c r="AJ91" s="29" t="s">
        <v>1669</v>
      </c>
      <c r="AK91" s="1"/>
      <c r="AL91" s="1"/>
      <c r="AM91" s="1"/>
    </row>
    <row r="92" spans="1:39" ht="12.75" hidden="1" customHeight="1">
      <c r="A92" s="15">
        <v>90</v>
      </c>
      <c r="B92" s="23" t="s">
        <v>44</v>
      </c>
      <c r="C92" s="17" t="s">
        <v>1618</v>
      </c>
      <c r="D92" s="18" t="s">
        <v>1648</v>
      </c>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v>11850000</v>
      </c>
      <c r="AG92" s="19"/>
      <c r="AH92" s="19"/>
      <c r="AI92" s="19"/>
      <c r="AJ92" s="29" t="s">
        <v>1669</v>
      </c>
      <c r="AK92" s="1"/>
      <c r="AL92" s="1"/>
      <c r="AM92" s="1"/>
    </row>
    <row r="93" spans="1:39" ht="12.75" hidden="1" customHeight="1">
      <c r="A93" s="15">
        <v>91</v>
      </c>
      <c r="B93" s="23" t="s">
        <v>40</v>
      </c>
      <c r="C93" s="17" t="s">
        <v>1670</v>
      </c>
      <c r="D93" s="18" t="s">
        <v>1671</v>
      </c>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v>78000000</v>
      </c>
      <c r="AF93" s="19"/>
      <c r="AG93" s="19"/>
      <c r="AH93" s="19"/>
      <c r="AI93" s="19"/>
      <c r="AJ93" s="19" t="s">
        <v>1672</v>
      </c>
      <c r="AK93" s="1"/>
      <c r="AL93" s="1"/>
      <c r="AM93" s="1"/>
    </row>
    <row r="94" spans="1:39" ht="12.75" hidden="1" customHeight="1">
      <c r="A94" s="15">
        <v>92</v>
      </c>
      <c r="B94" s="23" t="s">
        <v>40</v>
      </c>
      <c r="C94" s="17" t="s">
        <v>1606</v>
      </c>
      <c r="D94" s="18" t="s">
        <v>1673</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v>46000000</v>
      </c>
      <c r="AG94" s="19"/>
      <c r="AH94" s="19"/>
      <c r="AI94" s="19"/>
      <c r="AJ94" s="19" t="s">
        <v>1674</v>
      </c>
      <c r="AK94" s="1"/>
      <c r="AL94" s="1"/>
      <c r="AM94" s="1"/>
    </row>
    <row r="95" spans="1:39" ht="12.75" hidden="1" customHeight="1">
      <c r="A95" s="15">
        <v>93</v>
      </c>
      <c r="B95" s="23" t="s">
        <v>40</v>
      </c>
      <c r="C95" s="17" t="s">
        <v>1675</v>
      </c>
      <c r="D95" s="18" t="s">
        <v>1676</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v>1400000</v>
      </c>
      <c r="AF95" s="19"/>
      <c r="AG95" s="19"/>
      <c r="AH95" s="19"/>
      <c r="AI95" s="19"/>
      <c r="AJ95" s="19" t="s">
        <v>1622</v>
      </c>
      <c r="AK95" s="1"/>
      <c r="AL95" s="1"/>
      <c r="AM95" s="1"/>
    </row>
    <row r="96" spans="1:39" ht="12.75" hidden="1" customHeight="1">
      <c r="A96" s="15">
        <v>94</v>
      </c>
      <c r="B96" s="23" t="s">
        <v>40</v>
      </c>
      <c r="C96" s="17" t="s">
        <v>1677</v>
      </c>
      <c r="D96" s="18" t="s">
        <v>1678</v>
      </c>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v>7000000</v>
      </c>
      <c r="AF96" s="19"/>
      <c r="AG96" s="19"/>
      <c r="AH96" s="19"/>
      <c r="AI96" s="19"/>
      <c r="AJ96" s="19" t="s">
        <v>1622</v>
      </c>
      <c r="AK96" s="1"/>
      <c r="AL96" s="1"/>
      <c r="AM96" s="1"/>
    </row>
    <row r="97" spans="1:39" ht="12.75" customHeight="1">
      <c r="A97" s="15">
        <v>95</v>
      </c>
      <c r="B97" s="23" t="s">
        <v>27</v>
      </c>
      <c r="C97" s="17" t="s">
        <v>1553</v>
      </c>
      <c r="D97" s="18" t="s">
        <v>1679</v>
      </c>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v>14000000</v>
      </c>
      <c r="AG97" s="19"/>
      <c r="AH97" s="19"/>
      <c r="AI97" s="19"/>
      <c r="AJ97" s="19" t="s">
        <v>1680</v>
      </c>
      <c r="AK97" s="1"/>
      <c r="AL97" s="1"/>
      <c r="AM97" s="1"/>
    </row>
    <row r="98" spans="1:39" ht="12.75" hidden="1" customHeight="1">
      <c r="A98" s="15">
        <v>96</v>
      </c>
      <c r="B98" s="23" t="s">
        <v>40</v>
      </c>
      <c r="C98" s="17" t="s">
        <v>1681</v>
      </c>
      <c r="D98" s="18" t="s">
        <v>1682</v>
      </c>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v>8000000</v>
      </c>
      <c r="AF98" s="19"/>
      <c r="AG98" s="19"/>
      <c r="AH98" s="19"/>
      <c r="AI98" s="19"/>
      <c r="AJ98" s="19" t="s">
        <v>1622</v>
      </c>
      <c r="AK98" s="1"/>
      <c r="AL98" s="1"/>
      <c r="AM98" s="1"/>
    </row>
    <row r="99" spans="1:39" ht="12.75" hidden="1" customHeight="1">
      <c r="A99" s="15">
        <v>97</v>
      </c>
      <c r="B99" s="23" t="s">
        <v>40</v>
      </c>
      <c r="C99" s="17" t="s">
        <v>1563</v>
      </c>
      <c r="D99" s="18" t="s">
        <v>1683</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v>18000000</v>
      </c>
      <c r="AG99" s="19"/>
      <c r="AH99" s="19"/>
      <c r="AI99" s="19"/>
      <c r="AJ99" s="19" t="s">
        <v>1680</v>
      </c>
      <c r="AK99" s="1"/>
      <c r="AL99" s="1"/>
      <c r="AM99" s="1"/>
    </row>
    <row r="100" spans="1:39" ht="12.75" hidden="1" customHeight="1">
      <c r="A100" s="15">
        <v>98</v>
      </c>
      <c r="B100" s="23" t="s">
        <v>44</v>
      </c>
      <c r="C100" s="17" t="s">
        <v>1606</v>
      </c>
      <c r="D100" s="18" t="s">
        <v>1684</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v>5000000</v>
      </c>
      <c r="AG100" s="19"/>
      <c r="AH100" s="19"/>
      <c r="AI100" s="19"/>
      <c r="AJ100" s="29" t="s">
        <v>1669</v>
      </c>
      <c r="AK100" s="1"/>
      <c r="AL100" s="1"/>
      <c r="AM100" s="1"/>
    </row>
    <row r="101" spans="1:39" ht="12.75" hidden="1" customHeight="1">
      <c r="A101" s="15">
        <v>99</v>
      </c>
      <c r="B101" s="23" t="s">
        <v>44</v>
      </c>
      <c r="C101" s="17" t="s">
        <v>23</v>
      </c>
      <c r="D101" s="18" t="s">
        <v>1685</v>
      </c>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v>180000000</v>
      </c>
      <c r="AH101" s="19"/>
      <c r="AI101" s="19"/>
      <c r="AJ101" s="29" t="s">
        <v>1652</v>
      </c>
      <c r="AK101" s="1"/>
      <c r="AL101" s="1"/>
      <c r="AM101" s="1"/>
    </row>
    <row r="102" spans="1:39" ht="12.75" hidden="1" customHeight="1">
      <c r="A102" s="15">
        <v>100</v>
      </c>
      <c r="B102" s="23" t="s">
        <v>44</v>
      </c>
      <c r="C102" s="17" t="s">
        <v>1686</v>
      </c>
      <c r="D102" s="18" t="s">
        <v>1687</v>
      </c>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v>35000000</v>
      </c>
      <c r="AI102" s="19"/>
      <c r="AJ102" s="29" t="s">
        <v>1652</v>
      </c>
      <c r="AK102" s="1"/>
      <c r="AL102" s="1"/>
      <c r="AM102" s="1"/>
    </row>
    <row r="103" spans="1:39" ht="12.75" hidden="1" customHeight="1">
      <c r="A103" s="15">
        <v>101</v>
      </c>
      <c r="B103" s="23" t="s">
        <v>44</v>
      </c>
      <c r="C103" s="17" t="s">
        <v>1686</v>
      </c>
      <c r="D103" s="18" t="s">
        <v>1688</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v>35000000</v>
      </c>
      <c r="AJ103" s="29" t="s">
        <v>1652</v>
      </c>
      <c r="AK103" s="1"/>
      <c r="AL103" s="1"/>
      <c r="AM103" s="1"/>
    </row>
    <row r="104" spans="1:39" ht="12.75" customHeight="1">
      <c r="A104" s="15">
        <v>102</v>
      </c>
      <c r="B104" s="23" t="s">
        <v>27</v>
      </c>
      <c r="C104" s="17" t="s">
        <v>1550</v>
      </c>
      <c r="D104" s="18" t="s">
        <v>1689</v>
      </c>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v>100000000</v>
      </c>
      <c r="AH104" s="19"/>
      <c r="AI104" s="19"/>
      <c r="AJ104" s="29" t="s">
        <v>1652</v>
      </c>
      <c r="AK104" s="1"/>
      <c r="AL104" s="1"/>
      <c r="AM104" s="1"/>
    </row>
    <row r="105" spans="1:39" ht="12.75" customHeight="1">
      <c r="A105" s="15">
        <v>103</v>
      </c>
      <c r="B105" s="23" t="s">
        <v>27</v>
      </c>
      <c r="C105" s="17" t="s">
        <v>1550</v>
      </c>
      <c r="D105" s="18" t="s">
        <v>1690</v>
      </c>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v>100000000</v>
      </c>
      <c r="AI105" s="19"/>
      <c r="AJ105" s="29" t="s">
        <v>1652</v>
      </c>
      <c r="AK105" s="1"/>
      <c r="AL105" s="1"/>
      <c r="AM105" s="1"/>
    </row>
    <row r="106" spans="1:39" ht="12.75" customHeight="1">
      <c r="A106" s="15">
        <v>104</v>
      </c>
      <c r="B106" s="23" t="s">
        <v>27</v>
      </c>
      <c r="C106" s="17" t="s">
        <v>32</v>
      </c>
      <c r="D106" s="18" t="s">
        <v>1691</v>
      </c>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v>100000000</v>
      </c>
      <c r="AI106" s="19"/>
      <c r="AJ106" s="29" t="s">
        <v>1692</v>
      </c>
      <c r="AK106" s="1"/>
      <c r="AL106" s="1"/>
      <c r="AM106" s="1"/>
    </row>
    <row r="107" spans="1:39" ht="12.75" customHeight="1">
      <c r="A107" s="15">
        <v>105</v>
      </c>
      <c r="B107" s="23" t="s">
        <v>27</v>
      </c>
      <c r="C107" s="17" t="s">
        <v>32</v>
      </c>
      <c r="D107" s="18" t="s">
        <v>1693</v>
      </c>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v>100000000</v>
      </c>
      <c r="AJ107" s="29" t="s">
        <v>1692</v>
      </c>
      <c r="AK107" s="1"/>
      <c r="AL107" s="1"/>
      <c r="AM107" s="1"/>
    </row>
    <row r="108" spans="1:39" ht="12.75" hidden="1" customHeight="1">
      <c r="A108" s="35">
        <v>1</v>
      </c>
      <c r="B108" s="36" t="s">
        <v>1694</v>
      </c>
      <c r="C108" s="37" t="s">
        <v>1695</v>
      </c>
      <c r="D108" s="38" t="s">
        <v>1696</v>
      </c>
      <c r="E108" s="39"/>
      <c r="F108" s="39"/>
      <c r="G108" s="40"/>
      <c r="H108" s="40"/>
      <c r="I108" s="39"/>
      <c r="J108" s="39"/>
      <c r="K108" s="40"/>
      <c r="L108" s="40"/>
      <c r="M108" s="40"/>
      <c r="N108" s="39"/>
      <c r="O108" s="39"/>
      <c r="P108" s="40"/>
      <c r="Q108" s="40"/>
      <c r="R108" s="40"/>
      <c r="S108" s="40"/>
      <c r="T108" s="40"/>
      <c r="U108" s="52"/>
      <c r="V108" s="52"/>
      <c r="W108" s="52"/>
      <c r="X108" s="52"/>
      <c r="Y108" s="52"/>
      <c r="Z108" s="52"/>
      <c r="AA108" s="52"/>
      <c r="AB108" s="52"/>
      <c r="AC108" s="52"/>
      <c r="AD108" s="52">
        <v>381440700</v>
      </c>
      <c r="AE108" s="52"/>
      <c r="AF108" s="52"/>
      <c r="AG108" s="52"/>
      <c r="AH108" s="52"/>
      <c r="AI108" s="52"/>
      <c r="AJ108" s="53" t="s">
        <v>1556</v>
      </c>
      <c r="AK108" s="1"/>
      <c r="AL108" s="1"/>
      <c r="AM108" s="1"/>
    </row>
    <row r="109" spans="1:39" ht="12.75" hidden="1" customHeight="1">
      <c r="A109" s="15">
        <v>2</v>
      </c>
      <c r="B109" s="20" t="s">
        <v>1697</v>
      </c>
      <c r="C109" s="41" t="s">
        <v>1698</v>
      </c>
      <c r="D109" s="18" t="s">
        <v>1699</v>
      </c>
      <c r="E109" s="42"/>
      <c r="F109" s="42"/>
      <c r="G109" s="43"/>
      <c r="H109" s="43"/>
      <c r="I109" s="42"/>
      <c r="J109" s="42"/>
      <c r="K109" s="43"/>
      <c r="L109" s="43"/>
      <c r="M109" s="43"/>
      <c r="N109" s="42"/>
      <c r="O109" s="42"/>
      <c r="P109" s="42"/>
      <c r="Q109" s="42"/>
      <c r="R109" s="42"/>
      <c r="S109" s="42"/>
      <c r="T109" s="42"/>
      <c r="U109" s="42">
        <v>6227100</v>
      </c>
      <c r="V109" s="42"/>
      <c r="W109" s="42"/>
      <c r="X109" s="42"/>
      <c r="Y109" s="42"/>
      <c r="Z109" s="42"/>
      <c r="AA109" s="42"/>
      <c r="AB109" s="42"/>
      <c r="AC109" s="42"/>
      <c r="AD109" s="42"/>
      <c r="AE109" s="42"/>
      <c r="AF109" s="42"/>
      <c r="AG109" s="42"/>
      <c r="AH109" s="42"/>
      <c r="AI109" s="42"/>
      <c r="AJ109" s="54" t="s">
        <v>1700</v>
      </c>
      <c r="AK109" s="1"/>
      <c r="AL109" s="1"/>
      <c r="AM109" s="1"/>
    </row>
    <row r="110" spans="1:39" ht="12.75" customHeight="1">
      <c r="A110" s="35">
        <v>3</v>
      </c>
      <c r="B110" s="44" t="s">
        <v>27</v>
      </c>
      <c r="C110" s="45" t="s">
        <v>1701</v>
      </c>
      <c r="D110" s="27" t="s">
        <v>1702</v>
      </c>
      <c r="E110" s="46"/>
      <c r="F110" s="46"/>
      <c r="G110" s="47"/>
      <c r="H110" s="47"/>
      <c r="I110" s="46"/>
      <c r="J110" s="46"/>
      <c r="K110" s="47"/>
      <c r="L110" s="47"/>
      <c r="M110" s="47"/>
      <c r="N110" s="46"/>
      <c r="O110" s="46"/>
      <c r="P110" s="46"/>
      <c r="Q110" s="46"/>
      <c r="R110" s="46"/>
      <c r="S110" s="46"/>
      <c r="T110" s="46"/>
      <c r="U110" s="46"/>
      <c r="V110" s="46"/>
      <c r="W110" s="46"/>
      <c r="X110" s="46"/>
      <c r="Y110" s="46"/>
      <c r="Z110" s="46">
        <v>50000000</v>
      </c>
      <c r="AA110" s="46"/>
      <c r="AB110" s="46"/>
      <c r="AC110" s="46"/>
      <c r="AD110" s="46"/>
      <c r="AE110" s="46"/>
      <c r="AF110" s="46"/>
      <c r="AG110" s="46"/>
      <c r="AH110" s="46"/>
      <c r="AI110" s="46"/>
      <c r="AJ110" s="55" t="s">
        <v>1703</v>
      </c>
      <c r="AK110" s="1"/>
      <c r="AL110" s="1"/>
      <c r="AM110" s="1"/>
    </row>
    <row r="111" spans="1:39" ht="12.75" hidden="1" customHeight="1">
      <c r="A111" s="15">
        <v>4</v>
      </c>
      <c r="B111" s="20" t="s">
        <v>40</v>
      </c>
      <c r="C111" s="41" t="s">
        <v>1704</v>
      </c>
      <c r="D111" s="18" t="s">
        <v>1705</v>
      </c>
      <c r="E111" s="42"/>
      <c r="F111" s="42"/>
      <c r="G111" s="43"/>
      <c r="H111" s="43"/>
      <c r="I111" s="42"/>
      <c r="J111" s="42"/>
      <c r="K111" s="43"/>
      <c r="L111" s="43"/>
      <c r="M111" s="43"/>
      <c r="N111" s="42"/>
      <c r="O111" s="42"/>
      <c r="P111" s="42"/>
      <c r="Q111" s="42"/>
      <c r="R111" s="42"/>
      <c r="S111" s="42"/>
      <c r="T111" s="42"/>
      <c r="U111" s="42"/>
      <c r="V111" s="42"/>
      <c r="W111" s="42">
        <v>585571182</v>
      </c>
      <c r="X111" s="42"/>
      <c r="Y111" s="42"/>
      <c r="Z111" s="42"/>
      <c r="AA111" s="46"/>
      <c r="AB111" s="46"/>
      <c r="AC111" s="46"/>
      <c r="AD111" s="46"/>
      <c r="AE111" s="46"/>
      <c r="AF111" s="46"/>
      <c r="AG111" s="46"/>
      <c r="AH111" s="46"/>
      <c r="AI111" s="46"/>
      <c r="AJ111" s="56" t="s">
        <v>1556</v>
      </c>
      <c r="AK111" s="1"/>
      <c r="AL111" s="1"/>
      <c r="AM111" s="1"/>
    </row>
    <row r="112" spans="1:39" ht="12.75" customHeight="1">
      <c r="A112" s="15">
        <v>5</v>
      </c>
      <c r="B112" s="20" t="s">
        <v>27</v>
      </c>
      <c r="C112" s="41" t="s">
        <v>1701</v>
      </c>
      <c r="D112" s="18" t="s">
        <v>1706</v>
      </c>
      <c r="E112" s="42"/>
      <c r="F112" s="42"/>
      <c r="G112" s="43"/>
      <c r="H112" s="43"/>
      <c r="I112" s="42"/>
      <c r="J112" s="42"/>
      <c r="K112" s="43"/>
      <c r="L112" s="43"/>
      <c r="M112" s="43"/>
      <c r="N112" s="42"/>
      <c r="O112" s="42"/>
      <c r="P112" s="42"/>
      <c r="Q112" s="42"/>
      <c r="R112" s="42"/>
      <c r="S112" s="42"/>
      <c r="T112" s="42"/>
      <c r="U112" s="42"/>
      <c r="V112" s="42"/>
      <c r="W112" s="42"/>
      <c r="X112" s="42"/>
      <c r="Y112" s="42"/>
      <c r="Z112" s="42">
        <v>50000000</v>
      </c>
      <c r="AA112" s="46"/>
      <c r="AB112" s="46"/>
      <c r="AC112" s="46"/>
      <c r="AD112" s="46"/>
      <c r="AE112" s="46"/>
      <c r="AF112" s="46"/>
      <c r="AG112" s="46"/>
      <c r="AH112" s="46"/>
      <c r="AI112" s="46"/>
      <c r="AJ112" s="55" t="s">
        <v>1703</v>
      </c>
      <c r="AK112" s="1"/>
      <c r="AL112" s="1"/>
      <c r="AM112" s="1"/>
    </row>
    <row r="113" spans="1:39" ht="12.75" hidden="1" customHeight="1">
      <c r="A113" s="35">
        <v>6</v>
      </c>
      <c r="B113" s="20" t="s">
        <v>1517</v>
      </c>
      <c r="C113" s="41" t="s">
        <v>1707</v>
      </c>
      <c r="D113" s="18" t="s">
        <v>1708</v>
      </c>
      <c r="E113" s="42"/>
      <c r="F113" s="42"/>
      <c r="G113" s="43"/>
      <c r="H113" s="43"/>
      <c r="I113" s="42"/>
      <c r="J113" s="42"/>
      <c r="K113" s="43"/>
      <c r="L113" s="43"/>
      <c r="M113" s="43"/>
      <c r="N113" s="42"/>
      <c r="O113" s="42"/>
      <c r="P113" s="42"/>
      <c r="Q113" s="42"/>
      <c r="R113" s="42"/>
      <c r="S113" s="42"/>
      <c r="T113" s="42"/>
      <c r="U113" s="42">
        <v>125951000</v>
      </c>
      <c r="V113" s="42"/>
      <c r="W113" s="42"/>
      <c r="X113" s="42"/>
      <c r="Y113" s="42"/>
      <c r="Z113" s="42"/>
      <c r="AA113" s="42"/>
      <c r="AB113" s="42"/>
      <c r="AC113" s="42"/>
      <c r="AD113" s="42"/>
      <c r="AE113" s="42"/>
      <c r="AF113" s="42"/>
      <c r="AG113" s="42"/>
      <c r="AH113" s="42"/>
      <c r="AI113" s="42"/>
      <c r="AJ113" s="54" t="s">
        <v>1700</v>
      </c>
      <c r="AK113" s="1"/>
      <c r="AL113" s="1"/>
      <c r="AM113" s="1"/>
    </row>
    <row r="114" spans="1:39" ht="12.75" customHeight="1">
      <c r="A114" s="15">
        <v>7</v>
      </c>
      <c r="B114" s="20" t="s">
        <v>27</v>
      </c>
      <c r="C114" s="41" t="s">
        <v>1709</v>
      </c>
      <c r="D114" s="18" t="s">
        <v>1710</v>
      </c>
      <c r="E114" s="42"/>
      <c r="F114" s="42"/>
      <c r="G114" s="43"/>
      <c r="H114" s="43"/>
      <c r="I114" s="42"/>
      <c r="J114" s="42"/>
      <c r="K114" s="43"/>
      <c r="L114" s="43"/>
      <c r="M114" s="43"/>
      <c r="N114" s="42"/>
      <c r="O114" s="42"/>
      <c r="P114" s="42"/>
      <c r="Q114" s="42"/>
      <c r="R114" s="42"/>
      <c r="S114" s="42"/>
      <c r="T114" s="42"/>
      <c r="U114" s="42"/>
      <c r="V114" s="42"/>
      <c r="W114" s="42"/>
      <c r="X114" s="42"/>
      <c r="Y114" s="42"/>
      <c r="Z114" s="42"/>
      <c r="AA114" s="46"/>
      <c r="AB114" s="42">
        <v>25000000</v>
      </c>
      <c r="AC114" s="46"/>
      <c r="AD114" s="46"/>
      <c r="AE114" s="46"/>
      <c r="AF114" s="46"/>
      <c r="AG114" s="46"/>
      <c r="AH114" s="46"/>
      <c r="AI114" s="46"/>
      <c r="AJ114" s="55" t="s">
        <v>1703</v>
      </c>
      <c r="AK114" s="1"/>
      <c r="AL114" s="1"/>
      <c r="AM114" s="1"/>
    </row>
    <row r="115" spans="1:39" ht="12.75" hidden="1" customHeight="1">
      <c r="A115" s="15">
        <v>8</v>
      </c>
      <c r="B115" s="44" t="s">
        <v>40</v>
      </c>
      <c r="C115" s="45" t="s">
        <v>1707</v>
      </c>
      <c r="D115" s="18" t="s">
        <v>1711</v>
      </c>
      <c r="E115" s="46"/>
      <c r="F115" s="46"/>
      <c r="G115" s="47"/>
      <c r="H115" s="47"/>
      <c r="I115" s="46"/>
      <c r="J115" s="46"/>
      <c r="K115" s="47"/>
      <c r="L115" s="47"/>
      <c r="M115" s="47"/>
      <c r="N115" s="46"/>
      <c r="O115" s="46"/>
      <c r="P115" s="46"/>
      <c r="Q115" s="46"/>
      <c r="R115" s="46"/>
      <c r="S115" s="46"/>
      <c r="T115" s="46"/>
      <c r="U115" s="46"/>
      <c r="V115" s="46">
        <v>71801950</v>
      </c>
      <c r="W115" s="46"/>
      <c r="X115" s="46"/>
      <c r="Y115" s="46"/>
      <c r="Z115" s="46"/>
      <c r="AA115" s="46"/>
      <c r="AB115" s="46"/>
      <c r="AC115" s="46"/>
      <c r="AD115" s="46"/>
      <c r="AE115" s="46"/>
      <c r="AF115" s="46"/>
      <c r="AG115" s="46"/>
      <c r="AH115" s="46"/>
      <c r="AI115" s="46"/>
      <c r="AJ115" s="56" t="s">
        <v>1556</v>
      </c>
      <c r="AK115" s="1"/>
      <c r="AL115" s="1"/>
      <c r="AM115" s="1"/>
    </row>
    <row r="116" spans="1:39" ht="12.75" hidden="1" customHeight="1">
      <c r="A116" s="35">
        <v>9</v>
      </c>
      <c r="B116" s="20" t="s">
        <v>40</v>
      </c>
      <c r="C116" s="41" t="s">
        <v>1712</v>
      </c>
      <c r="D116" s="18" t="s">
        <v>1713</v>
      </c>
      <c r="E116" s="42"/>
      <c r="F116" s="42"/>
      <c r="G116" s="43"/>
      <c r="H116" s="43"/>
      <c r="I116" s="42"/>
      <c r="J116" s="42"/>
      <c r="K116" s="43"/>
      <c r="L116" s="43"/>
      <c r="M116" s="43"/>
      <c r="N116" s="42"/>
      <c r="O116" s="42"/>
      <c r="P116" s="42"/>
      <c r="Q116" s="42"/>
      <c r="R116" s="42"/>
      <c r="S116" s="42"/>
      <c r="T116" s="42"/>
      <c r="U116" s="42">
        <v>23205600</v>
      </c>
      <c r="V116" s="42"/>
      <c r="W116" s="42"/>
      <c r="X116" s="42"/>
      <c r="Y116" s="42"/>
      <c r="Z116" s="42"/>
      <c r="AA116" s="42"/>
      <c r="AB116" s="42"/>
      <c r="AC116" s="42"/>
      <c r="AD116" s="42"/>
      <c r="AE116" s="42"/>
      <c r="AF116" s="42"/>
      <c r="AG116" s="42"/>
      <c r="AH116" s="42"/>
      <c r="AI116" s="42"/>
      <c r="AJ116" s="54" t="s">
        <v>1556</v>
      </c>
      <c r="AK116" s="1"/>
      <c r="AL116" s="1"/>
      <c r="AM116" s="1"/>
    </row>
    <row r="117" spans="1:39" ht="12.75" hidden="1" customHeight="1">
      <c r="A117" s="15">
        <v>10</v>
      </c>
      <c r="B117" s="20" t="s">
        <v>40</v>
      </c>
      <c r="C117" s="41" t="s">
        <v>1714</v>
      </c>
      <c r="D117" s="18" t="s">
        <v>1715</v>
      </c>
      <c r="E117" s="42"/>
      <c r="F117" s="42"/>
      <c r="G117" s="43"/>
      <c r="H117" s="43"/>
      <c r="I117" s="42"/>
      <c r="J117" s="42"/>
      <c r="K117" s="43"/>
      <c r="L117" s="43"/>
      <c r="M117" s="43"/>
      <c r="N117" s="42"/>
      <c r="O117" s="42"/>
      <c r="P117" s="42"/>
      <c r="Q117" s="42"/>
      <c r="R117" s="42"/>
      <c r="S117" s="42"/>
      <c r="T117" s="42"/>
      <c r="U117" s="42">
        <v>17556000</v>
      </c>
      <c r="V117" s="42"/>
      <c r="W117" s="42"/>
      <c r="X117" s="42"/>
      <c r="Y117" s="42"/>
      <c r="Z117" s="42"/>
      <c r="AA117" s="42"/>
      <c r="AB117" s="42"/>
      <c r="AC117" s="42"/>
      <c r="AD117" s="42"/>
      <c r="AE117" s="42"/>
      <c r="AF117" s="42"/>
      <c r="AG117" s="42"/>
      <c r="AH117" s="42"/>
      <c r="AI117" s="42"/>
      <c r="AJ117" s="54" t="s">
        <v>1556</v>
      </c>
      <c r="AK117" s="1"/>
      <c r="AL117" s="1"/>
      <c r="AM117" s="1"/>
    </row>
    <row r="118" spans="1:39" ht="12.75" customHeight="1">
      <c r="A118" s="15">
        <v>11</v>
      </c>
      <c r="B118" s="20" t="s">
        <v>27</v>
      </c>
      <c r="C118" s="41" t="s">
        <v>1716</v>
      </c>
      <c r="D118" s="18" t="s">
        <v>1717</v>
      </c>
      <c r="E118" s="42"/>
      <c r="F118" s="42"/>
      <c r="G118" s="43"/>
      <c r="H118" s="43"/>
      <c r="I118" s="42"/>
      <c r="J118" s="42"/>
      <c r="K118" s="43"/>
      <c r="L118" s="43"/>
      <c r="M118" s="43"/>
      <c r="N118" s="42"/>
      <c r="O118" s="42"/>
      <c r="P118" s="42"/>
      <c r="Q118" s="42"/>
      <c r="R118" s="42"/>
      <c r="S118" s="42"/>
      <c r="T118" s="42"/>
      <c r="U118" s="42"/>
      <c r="V118" s="42"/>
      <c r="W118" s="42"/>
      <c r="X118" s="42"/>
      <c r="Y118" s="42"/>
      <c r="Z118" s="42">
        <v>60000000</v>
      </c>
      <c r="AA118" s="46"/>
      <c r="AB118" s="46"/>
      <c r="AC118" s="46"/>
      <c r="AD118" s="46"/>
      <c r="AE118" s="46"/>
      <c r="AF118" s="46"/>
      <c r="AG118" s="46"/>
      <c r="AH118" s="46"/>
      <c r="AI118" s="46"/>
      <c r="AJ118" s="55" t="s">
        <v>1703</v>
      </c>
      <c r="AK118" s="1"/>
      <c r="AL118" s="1"/>
      <c r="AM118" s="1"/>
    </row>
    <row r="119" spans="1:39" ht="12.75" hidden="1" customHeight="1">
      <c r="A119" s="35">
        <v>12</v>
      </c>
      <c r="B119" s="44" t="s">
        <v>1517</v>
      </c>
      <c r="C119" s="45" t="s">
        <v>1718</v>
      </c>
      <c r="D119" s="18" t="s">
        <v>1719</v>
      </c>
      <c r="E119" s="46"/>
      <c r="F119" s="46"/>
      <c r="G119" s="47"/>
      <c r="H119" s="47"/>
      <c r="I119" s="46"/>
      <c r="J119" s="46"/>
      <c r="K119" s="47"/>
      <c r="L119" s="47"/>
      <c r="M119" s="47"/>
      <c r="N119" s="46"/>
      <c r="O119" s="46"/>
      <c r="P119" s="46"/>
      <c r="Q119" s="46"/>
      <c r="R119" s="46"/>
      <c r="S119" s="46"/>
      <c r="T119" s="46"/>
      <c r="U119" s="46"/>
      <c r="V119" s="46">
        <v>2618000</v>
      </c>
      <c r="W119" s="46"/>
      <c r="X119" s="46"/>
      <c r="Y119" s="46"/>
      <c r="Z119" s="46"/>
      <c r="AA119" s="46"/>
      <c r="AB119" s="46"/>
      <c r="AC119" s="46"/>
      <c r="AD119" s="46"/>
      <c r="AE119" s="46"/>
      <c r="AF119" s="46"/>
      <c r="AG119" s="46"/>
      <c r="AH119" s="46"/>
      <c r="AI119" s="46"/>
      <c r="AJ119" s="56" t="s">
        <v>1700</v>
      </c>
      <c r="AK119" s="1"/>
      <c r="AL119" s="1"/>
      <c r="AM119" s="1"/>
    </row>
    <row r="120" spans="1:39" ht="12.75" hidden="1" customHeight="1">
      <c r="A120" s="15">
        <v>13</v>
      </c>
      <c r="B120" s="44" t="s">
        <v>40</v>
      </c>
      <c r="C120" s="45" t="s">
        <v>1720</v>
      </c>
      <c r="D120" s="21" t="s">
        <v>1721</v>
      </c>
      <c r="E120" s="46"/>
      <c r="F120" s="46"/>
      <c r="G120" s="47"/>
      <c r="H120" s="47"/>
      <c r="I120" s="46"/>
      <c r="J120" s="46"/>
      <c r="K120" s="47"/>
      <c r="L120" s="47"/>
      <c r="M120" s="47"/>
      <c r="N120" s="46"/>
      <c r="O120" s="46"/>
      <c r="P120" s="46"/>
      <c r="Q120" s="46"/>
      <c r="R120" s="46"/>
      <c r="S120" s="46"/>
      <c r="T120" s="46"/>
      <c r="U120" s="46"/>
      <c r="V120" s="46"/>
      <c r="W120" s="46">
        <v>12224000</v>
      </c>
      <c r="X120" s="46"/>
      <c r="Y120" s="46"/>
      <c r="Z120" s="46"/>
      <c r="AA120" s="46"/>
      <c r="AB120" s="46"/>
      <c r="AC120" s="46"/>
      <c r="AD120" s="46"/>
      <c r="AE120" s="46"/>
      <c r="AF120" s="46"/>
      <c r="AG120" s="46"/>
      <c r="AH120" s="46"/>
      <c r="AI120" s="46"/>
      <c r="AJ120" s="56" t="s">
        <v>1556</v>
      </c>
      <c r="AK120" s="1"/>
      <c r="AL120" s="1"/>
      <c r="AM120" s="1"/>
    </row>
    <row r="121" spans="1:39" ht="12.75" hidden="1" customHeight="1">
      <c r="A121" s="15">
        <v>14</v>
      </c>
      <c r="B121" s="44" t="s">
        <v>40</v>
      </c>
      <c r="C121" s="45" t="s">
        <v>1722</v>
      </c>
      <c r="D121" s="21" t="s">
        <v>1723</v>
      </c>
      <c r="E121" s="46"/>
      <c r="F121" s="46"/>
      <c r="G121" s="47"/>
      <c r="H121" s="47"/>
      <c r="I121" s="46"/>
      <c r="J121" s="46"/>
      <c r="K121" s="47"/>
      <c r="L121" s="47"/>
      <c r="M121" s="47"/>
      <c r="N121" s="46"/>
      <c r="O121" s="46"/>
      <c r="P121" s="46"/>
      <c r="Q121" s="46"/>
      <c r="R121" s="46"/>
      <c r="S121" s="46"/>
      <c r="T121" s="46"/>
      <c r="U121" s="46"/>
      <c r="V121" s="46"/>
      <c r="W121" s="46">
        <v>101869377</v>
      </c>
      <c r="X121" s="46"/>
      <c r="Y121" s="46"/>
      <c r="Z121" s="46"/>
      <c r="AA121" s="46"/>
      <c r="AB121" s="46"/>
      <c r="AC121" s="46"/>
      <c r="AD121" s="46"/>
      <c r="AE121" s="46"/>
      <c r="AF121" s="46"/>
      <c r="AG121" s="46"/>
      <c r="AH121" s="46"/>
      <c r="AI121" s="46"/>
      <c r="AJ121" s="56" t="s">
        <v>1556</v>
      </c>
      <c r="AK121" s="1"/>
      <c r="AL121" s="1"/>
      <c r="AM121" s="1"/>
    </row>
    <row r="122" spans="1:39" ht="12.75" hidden="1" customHeight="1">
      <c r="A122" s="35">
        <v>15</v>
      </c>
      <c r="B122" s="44" t="s">
        <v>40</v>
      </c>
      <c r="C122" s="41" t="s">
        <v>1724</v>
      </c>
      <c r="D122" s="21" t="s">
        <v>1725</v>
      </c>
      <c r="E122" s="42"/>
      <c r="F122" s="42"/>
      <c r="G122" s="43"/>
      <c r="H122" s="43"/>
      <c r="I122" s="42"/>
      <c r="J122" s="42"/>
      <c r="K122" s="43"/>
      <c r="L122" s="43"/>
      <c r="M122" s="43"/>
      <c r="N122" s="42"/>
      <c r="O122" s="42"/>
      <c r="P122" s="42"/>
      <c r="Q122" s="42"/>
      <c r="R122" s="42"/>
      <c r="S122" s="42"/>
      <c r="T122" s="42"/>
      <c r="U122" s="42"/>
      <c r="V122" s="42"/>
      <c r="W122" s="42"/>
      <c r="X122" s="42"/>
      <c r="Y122" s="42">
        <v>147468640</v>
      </c>
      <c r="Z122" s="42"/>
      <c r="AA122" s="46"/>
      <c r="AB122" s="46"/>
      <c r="AC122" s="46"/>
      <c r="AD122" s="46"/>
      <c r="AE122" s="46"/>
      <c r="AF122" s="46"/>
      <c r="AG122" s="46"/>
      <c r="AH122" s="46"/>
      <c r="AI122" s="46"/>
      <c r="AJ122" s="56" t="s">
        <v>1556</v>
      </c>
      <c r="AK122" s="1"/>
      <c r="AL122" s="1"/>
      <c r="AM122" s="1"/>
    </row>
    <row r="123" spans="1:39" ht="12.75" hidden="1" customHeight="1">
      <c r="A123" s="15">
        <v>16</v>
      </c>
      <c r="B123" s="44" t="s">
        <v>40</v>
      </c>
      <c r="C123" s="41" t="s">
        <v>1726</v>
      </c>
      <c r="D123" s="21" t="s">
        <v>1727</v>
      </c>
      <c r="E123" s="42"/>
      <c r="F123" s="42"/>
      <c r="G123" s="43"/>
      <c r="H123" s="43"/>
      <c r="I123" s="42"/>
      <c r="J123" s="42"/>
      <c r="K123" s="43"/>
      <c r="L123" s="43"/>
      <c r="M123" s="43"/>
      <c r="N123" s="42"/>
      <c r="O123" s="42"/>
      <c r="P123" s="42"/>
      <c r="Q123" s="42"/>
      <c r="R123" s="42"/>
      <c r="S123" s="42"/>
      <c r="T123" s="42"/>
      <c r="U123" s="42"/>
      <c r="V123" s="42"/>
      <c r="W123" s="42">
        <v>106113000</v>
      </c>
      <c r="X123" s="42"/>
      <c r="Y123" s="42"/>
      <c r="Z123" s="42"/>
      <c r="AA123" s="46"/>
      <c r="AB123" s="46"/>
      <c r="AC123" s="46"/>
      <c r="AD123" s="46"/>
      <c r="AE123" s="46"/>
      <c r="AF123" s="46"/>
      <c r="AG123" s="46"/>
      <c r="AH123" s="46"/>
      <c r="AI123" s="46"/>
      <c r="AJ123" s="56" t="s">
        <v>1556</v>
      </c>
      <c r="AK123" s="1"/>
      <c r="AL123" s="1"/>
      <c r="AM123" s="1"/>
    </row>
    <row r="124" spans="1:39" ht="12.75" hidden="1" customHeight="1">
      <c r="A124" s="15">
        <v>17</v>
      </c>
      <c r="B124" s="20" t="s">
        <v>1694</v>
      </c>
      <c r="C124" s="48" t="s">
        <v>1728</v>
      </c>
      <c r="D124" s="49" t="s">
        <v>1729</v>
      </c>
      <c r="E124" s="50"/>
      <c r="F124" s="50"/>
      <c r="G124" s="51"/>
      <c r="H124" s="51"/>
      <c r="I124" s="50"/>
      <c r="J124" s="50"/>
      <c r="K124" s="51"/>
      <c r="L124" s="51"/>
      <c r="M124" s="51"/>
      <c r="N124" s="50"/>
      <c r="O124" s="50"/>
      <c r="P124" s="50"/>
      <c r="Q124" s="50"/>
      <c r="R124" s="50"/>
      <c r="S124" s="50"/>
      <c r="T124" s="50"/>
      <c r="U124" s="50">
        <v>44019800</v>
      </c>
      <c r="V124" s="50"/>
      <c r="W124" s="50"/>
      <c r="X124" s="50"/>
      <c r="Y124" s="50"/>
      <c r="Z124" s="50"/>
      <c r="AA124" s="50"/>
      <c r="AB124" s="50"/>
      <c r="AC124" s="50"/>
      <c r="AD124" s="50"/>
      <c r="AE124" s="50"/>
      <c r="AF124" s="50"/>
      <c r="AG124" s="50"/>
      <c r="AH124" s="50"/>
      <c r="AI124" s="50"/>
      <c r="AJ124" s="57" t="s">
        <v>1556</v>
      </c>
      <c r="AK124" s="1"/>
      <c r="AL124" s="1"/>
      <c r="AM124" s="1"/>
    </row>
    <row r="125" spans="1:39" ht="12.75" hidden="1" customHeight="1">
      <c r="A125" s="35">
        <v>18</v>
      </c>
      <c r="B125" s="20" t="s">
        <v>1517</v>
      </c>
      <c r="C125" s="48" t="s">
        <v>1730</v>
      </c>
      <c r="D125" s="49" t="s">
        <v>1731</v>
      </c>
      <c r="E125" s="50"/>
      <c r="F125" s="50"/>
      <c r="G125" s="51"/>
      <c r="H125" s="51"/>
      <c r="I125" s="50"/>
      <c r="J125" s="50"/>
      <c r="K125" s="51"/>
      <c r="L125" s="51"/>
      <c r="M125" s="51"/>
      <c r="N125" s="50"/>
      <c r="O125" s="50"/>
      <c r="P125" s="50"/>
      <c r="Q125" s="50"/>
      <c r="R125" s="50"/>
      <c r="S125" s="50"/>
      <c r="T125" s="50"/>
      <c r="U125" s="50"/>
      <c r="V125" s="50">
        <v>13200000</v>
      </c>
      <c r="W125" s="50"/>
      <c r="X125" s="50"/>
      <c r="Y125" s="50"/>
      <c r="Z125" s="50"/>
      <c r="AA125" s="50"/>
      <c r="AB125" s="50"/>
      <c r="AC125" s="50"/>
      <c r="AD125" s="50"/>
      <c r="AE125" s="50"/>
      <c r="AF125" s="50"/>
      <c r="AG125" s="50"/>
      <c r="AH125" s="50"/>
      <c r="AI125" s="50"/>
      <c r="AJ125" s="57" t="s">
        <v>1700</v>
      </c>
      <c r="AK125" s="1"/>
      <c r="AL125" s="1"/>
      <c r="AM125" s="1"/>
    </row>
    <row r="126" spans="1:39" ht="12.75" hidden="1" customHeight="1">
      <c r="A126" s="15">
        <v>19</v>
      </c>
      <c r="B126" s="20" t="s">
        <v>1517</v>
      </c>
      <c r="C126" s="48" t="s">
        <v>1701</v>
      </c>
      <c r="D126" s="49" t="s">
        <v>1732</v>
      </c>
      <c r="E126" s="50"/>
      <c r="F126" s="50"/>
      <c r="G126" s="51"/>
      <c r="H126" s="51"/>
      <c r="I126" s="50"/>
      <c r="J126" s="50"/>
      <c r="K126" s="51"/>
      <c r="L126" s="51"/>
      <c r="M126" s="51"/>
      <c r="N126" s="50"/>
      <c r="O126" s="50"/>
      <c r="P126" s="50"/>
      <c r="Q126" s="50"/>
      <c r="R126" s="50"/>
      <c r="S126" s="50"/>
      <c r="T126" s="50"/>
      <c r="U126" s="50"/>
      <c r="V126" s="50">
        <v>2684000</v>
      </c>
      <c r="W126" s="50"/>
      <c r="X126" s="50"/>
      <c r="Y126" s="50"/>
      <c r="Z126" s="50"/>
      <c r="AA126" s="50"/>
      <c r="AB126" s="50"/>
      <c r="AC126" s="50"/>
      <c r="AD126" s="50"/>
      <c r="AE126" s="50"/>
      <c r="AF126" s="50"/>
      <c r="AG126" s="50"/>
      <c r="AH126" s="50"/>
      <c r="AI126" s="50"/>
      <c r="AJ126" s="57" t="s">
        <v>1700</v>
      </c>
      <c r="AK126" s="1"/>
      <c r="AL126" s="1"/>
      <c r="AM126" s="1"/>
    </row>
    <row r="127" spans="1:39" ht="12.75" hidden="1" customHeight="1">
      <c r="A127" s="15">
        <v>20</v>
      </c>
      <c r="B127" s="20" t="s">
        <v>1517</v>
      </c>
      <c r="C127" s="48" t="s">
        <v>1733</v>
      </c>
      <c r="D127" s="49" t="s">
        <v>1734</v>
      </c>
      <c r="E127" s="50"/>
      <c r="F127" s="50"/>
      <c r="G127" s="51"/>
      <c r="H127" s="51"/>
      <c r="I127" s="50"/>
      <c r="J127" s="50"/>
      <c r="K127" s="51"/>
      <c r="L127" s="51"/>
      <c r="M127" s="51"/>
      <c r="N127" s="50"/>
      <c r="O127" s="50"/>
      <c r="P127" s="50"/>
      <c r="Q127" s="50"/>
      <c r="R127" s="50"/>
      <c r="S127" s="50"/>
      <c r="T127" s="50"/>
      <c r="U127" s="50"/>
      <c r="V127" s="50">
        <v>4730000</v>
      </c>
      <c r="W127" s="50"/>
      <c r="X127" s="50"/>
      <c r="Y127" s="50"/>
      <c r="Z127" s="50"/>
      <c r="AA127" s="50"/>
      <c r="AB127" s="50"/>
      <c r="AC127" s="50"/>
      <c r="AD127" s="50"/>
      <c r="AE127" s="50"/>
      <c r="AF127" s="50"/>
      <c r="AG127" s="50"/>
      <c r="AH127" s="50"/>
      <c r="AI127" s="50"/>
      <c r="AJ127" s="57" t="s">
        <v>1700</v>
      </c>
      <c r="AK127" s="1"/>
      <c r="AL127" s="1"/>
      <c r="AM127" s="1"/>
    </row>
    <row r="128" spans="1:39" ht="12.75" hidden="1" customHeight="1">
      <c r="A128" s="35">
        <v>21</v>
      </c>
      <c r="B128" s="20" t="s">
        <v>1694</v>
      </c>
      <c r="C128" s="48" t="s">
        <v>1733</v>
      </c>
      <c r="D128" s="49" t="s">
        <v>1735</v>
      </c>
      <c r="E128" s="50"/>
      <c r="F128" s="50"/>
      <c r="G128" s="51"/>
      <c r="H128" s="51"/>
      <c r="I128" s="50"/>
      <c r="J128" s="50"/>
      <c r="K128" s="51"/>
      <c r="L128" s="51"/>
      <c r="M128" s="51"/>
      <c r="N128" s="50"/>
      <c r="O128" s="50"/>
      <c r="P128" s="50"/>
      <c r="Q128" s="50"/>
      <c r="R128" s="50"/>
      <c r="S128" s="50"/>
      <c r="T128" s="50"/>
      <c r="U128" s="50"/>
      <c r="V128" s="50">
        <v>71500000</v>
      </c>
      <c r="W128" s="50"/>
      <c r="X128" s="50"/>
      <c r="Y128" s="50"/>
      <c r="Z128" s="50"/>
      <c r="AA128" s="50"/>
      <c r="AB128" s="50"/>
      <c r="AC128" s="50"/>
      <c r="AD128" s="50"/>
      <c r="AE128" s="50"/>
      <c r="AF128" s="50"/>
      <c r="AG128" s="50"/>
      <c r="AH128" s="50"/>
      <c r="AI128" s="50"/>
      <c r="AJ128" s="57" t="s">
        <v>1556</v>
      </c>
      <c r="AK128" s="1"/>
      <c r="AL128" s="1"/>
      <c r="AM128" s="1"/>
    </row>
    <row r="129" spans="1:39" ht="12.75" hidden="1" customHeight="1">
      <c r="A129" s="15">
        <v>22</v>
      </c>
      <c r="B129" s="20" t="s">
        <v>1694</v>
      </c>
      <c r="C129" s="48" t="s">
        <v>1733</v>
      </c>
      <c r="D129" s="49" t="s">
        <v>1736</v>
      </c>
      <c r="E129" s="50"/>
      <c r="F129" s="50"/>
      <c r="G129" s="51"/>
      <c r="H129" s="51"/>
      <c r="I129" s="50"/>
      <c r="J129" s="50"/>
      <c r="K129" s="51"/>
      <c r="L129" s="51"/>
      <c r="M129" s="51"/>
      <c r="N129" s="50"/>
      <c r="O129" s="50"/>
      <c r="P129" s="50"/>
      <c r="Q129" s="50"/>
      <c r="R129" s="50"/>
      <c r="S129" s="50"/>
      <c r="T129" s="50"/>
      <c r="U129" s="50"/>
      <c r="V129" s="50">
        <v>71500000</v>
      </c>
      <c r="W129" s="50"/>
      <c r="X129" s="50"/>
      <c r="Y129" s="50"/>
      <c r="Z129" s="50"/>
      <c r="AA129" s="50"/>
      <c r="AB129" s="50"/>
      <c r="AC129" s="50"/>
      <c r="AD129" s="50"/>
      <c r="AE129" s="50"/>
      <c r="AF129" s="50"/>
      <c r="AG129" s="50"/>
      <c r="AH129" s="50"/>
      <c r="AI129" s="50"/>
      <c r="AJ129" s="57" t="s">
        <v>1556</v>
      </c>
      <c r="AK129" s="1"/>
      <c r="AL129" s="1"/>
      <c r="AM129" s="1"/>
    </row>
    <row r="130" spans="1:39" ht="12.75" hidden="1" customHeight="1">
      <c r="A130" s="15">
        <v>23</v>
      </c>
      <c r="B130" s="20" t="s">
        <v>1517</v>
      </c>
      <c r="C130" s="48" t="s">
        <v>656</v>
      </c>
      <c r="D130" s="49" t="s">
        <v>1737</v>
      </c>
      <c r="E130" s="50"/>
      <c r="F130" s="50"/>
      <c r="G130" s="51"/>
      <c r="H130" s="51"/>
      <c r="I130" s="50"/>
      <c r="J130" s="50"/>
      <c r="K130" s="51"/>
      <c r="L130" s="51"/>
      <c r="M130" s="51"/>
      <c r="N130" s="50"/>
      <c r="O130" s="50"/>
      <c r="P130" s="50"/>
      <c r="Q130" s="50"/>
      <c r="R130" s="50"/>
      <c r="S130" s="50"/>
      <c r="T130" s="50"/>
      <c r="U130" s="50"/>
      <c r="V130" s="50">
        <v>14091600</v>
      </c>
      <c r="W130" s="50"/>
      <c r="X130" s="50"/>
      <c r="Y130" s="50"/>
      <c r="Z130" s="50"/>
      <c r="AA130" s="50"/>
      <c r="AB130" s="50"/>
      <c r="AC130" s="50"/>
      <c r="AD130" s="50"/>
      <c r="AE130" s="50"/>
      <c r="AF130" s="50"/>
      <c r="AG130" s="50"/>
      <c r="AH130" s="50"/>
      <c r="AI130" s="50"/>
      <c r="AJ130" s="57" t="s">
        <v>1700</v>
      </c>
      <c r="AK130" s="1"/>
      <c r="AL130" s="1"/>
      <c r="AM130" s="1"/>
    </row>
    <row r="131" spans="1:39" ht="12.75" hidden="1" customHeight="1">
      <c r="A131" s="35">
        <v>24</v>
      </c>
      <c r="B131" s="20" t="s">
        <v>1694</v>
      </c>
      <c r="C131" s="48" t="s">
        <v>1738</v>
      </c>
      <c r="D131" s="49" t="s">
        <v>1739</v>
      </c>
      <c r="E131" s="50"/>
      <c r="F131" s="50"/>
      <c r="G131" s="51"/>
      <c r="H131" s="51"/>
      <c r="I131" s="50"/>
      <c r="J131" s="50"/>
      <c r="K131" s="51"/>
      <c r="L131" s="51"/>
      <c r="M131" s="51"/>
      <c r="N131" s="50"/>
      <c r="O131" s="50"/>
      <c r="P131" s="50"/>
      <c r="Q131" s="50"/>
      <c r="R131" s="50"/>
      <c r="S131" s="50"/>
      <c r="T131" s="50"/>
      <c r="U131" s="50"/>
      <c r="V131" s="50">
        <v>38586900</v>
      </c>
      <c r="W131" s="50"/>
      <c r="X131" s="50"/>
      <c r="Y131" s="50"/>
      <c r="Z131" s="50"/>
      <c r="AA131" s="50"/>
      <c r="AB131" s="50"/>
      <c r="AC131" s="50"/>
      <c r="AD131" s="50"/>
      <c r="AE131" s="50"/>
      <c r="AF131" s="50"/>
      <c r="AG131" s="50"/>
      <c r="AH131" s="50"/>
      <c r="AI131" s="50"/>
      <c r="AJ131" s="57" t="s">
        <v>1556</v>
      </c>
      <c r="AK131" s="1"/>
      <c r="AL131" s="1"/>
      <c r="AM131" s="1"/>
    </row>
    <row r="132" spans="1:39" ht="12.75" hidden="1" customHeight="1">
      <c r="A132" s="15">
        <v>25</v>
      </c>
      <c r="B132" s="20" t="s">
        <v>1694</v>
      </c>
      <c r="C132" s="48" t="s">
        <v>1740</v>
      </c>
      <c r="D132" s="49" t="s">
        <v>1741</v>
      </c>
      <c r="E132" s="50"/>
      <c r="F132" s="50"/>
      <c r="G132" s="51"/>
      <c r="H132" s="51"/>
      <c r="I132" s="50"/>
      <c r="J132" s="50"/>
      <c r="K132" s="51"/>
      <c r="L132" s="51"/>
      <c r="M132" s="51"/>
      <c r="N132" s="50"/>
      <c r="O132" s="50"/>
      <c r="P132" s="50"/>
      <c r="Q132" s="50"/>
      <c r="R132" s="50"/>
      <c r="S132" s="50"/>
      <c r="T132" s="50"/>
      <c r="U132" s="50"/>
      <c r="V132" s="50">
        <v>931104790</v>
      </c>
      <c r="W132" s="50"/>
      <c r="X132" s="50"/>
      <c r="Y132" s="50"/>
      <c r="Z132" s="50"/>
      <c r="AA132" s="50"/>
      <c r="AB132" s="50"/>
      <c r="AC132" s="50"/>
      <c r="AD132" s="50"/>
      <c r="AE132" s="50"/>
      <c r="AF132" s="50"/>
      <c r="AG132" s="50"/>
      <c r="AH132" s="50"/>
      <c r="AI132" s="50"/>
      <c r="AJ132" s="57" t="s">
        <v>1556</v>
      </c>
      <c r="AK132" s="1"/>
      <c r="AL132" s="1"/>
      <c r="AM132" s="1"/>
    </row>
    <row r="133" spans="1:39" ht="12.75" customHeight="1">
      <c r="A133" s="15">
        <v>26</v>
      </c>
      <c r="B133" s="20" t="s">
        <v>27</v>
      </c>
      <c r="C133" s="48" t="s">
        <v>1707</v>
      </c>
      <c r="D133" s="49" t="s">
        <v>1742</v>
      </c>
      <c r="E133" s="50"/>
      <c r="F133" s="50"/>
      <c r="G133" s="51"/>
      <c r="H133" s="51"/>
      <c r="I133" s="50"/>
      <c r="J133" s="50"/>
      <c r="K133" s="51"/>
      <c r="L133" s="51"/>
      <c r="M133" s="51"/>
      <c r="N133" s="50"/>
      <c r="O133" s="50"/>
      <c r="P133" s="50"/>
      <c r="Q133" s="50"/>
      <c r="R133" s="50"/>
      <c r="S133" s="50"/>
      <c r="T133" s="50"/>
      <c r="U133" s="50"/>
      <c r="V133" s="50"/>
      <c r="W133" s="50"/>
      <c r="X133" s="50"/>
      <c r="Y133" s="50"/>
      <c r="Z133" s="50"/>
      <c r="AA133" s="50"/>
      <c r="AB133" s="50"/>
      <c r="AC133" s="50">
        <v>252900000</v>
      </c>
      <c r="AD133" s="50"/>
      <c r="AE133" s="50"/>
      <c r="AF133" s="50"/>
      <c r="AG133" s="50"/>
      <c r="AH133" s="50"/>
      <c r="AI133" s="50"/>
      <c r="AJ133" s="57" t="s">
        <v>1743</v>
      </c>
      <c r="AK133" s="1"/>
      <c r="AL133" s="1"/>
      <c r="AM133" s="1"/>
    </row>
    <row r="134" spans="1:39" ht="12.75" customHeight="1">
      <c r="A134" s="35">
        <v>27</v>
      </c>
      <c r="B134" s="20" t="s">
        <v>27</v>
      </c>
      <c r="C134" s="48" t="s">
        <v>1744</v>
      </c>
      <c r="D134" s="49" t="s">
        <v>1737</v>
      </c>
      <c r="E134" s="50"/>
      <c r="F134" s="50"/>
      <c r="G134" s="51"/>
      <c r="H134" s="51"/>
      <c r="I134" s="50"/>
      <c r="J134" s="50"/>
      <c r="K134" s="51"/>
      <c r="L134" s="51"/>
      <c r="M134" s="51"/>
      <c r="N134" s="50"/>
      <c r="O134" s="50"/>
      <c r="P134" s="50"/>
      <c r="Q134" s="50"/>
      <c r="R134" s="50"/>
      <c r="S134" s="50"/>
      <c r="T134" s="50"/>
      <c r="U134" s="50"/>
      <c r="V134" s="50"/>
      <c r="W134" s="50"/>
      <c r="X134" s="50"/>
      <c r="Y134" s="50"/>
      <c r="Z134" s="50">
        <v>5000000</v>
      </c>
      <c r="AA134" s="50"/>
      <c r="AB134" s="50"/>
      <c r="AC134" s="50"/>
      <c r="AD134" s="50"/>
      <c r="AE134" s="50"/>
      <c r="AF134" s="50"/>
      <c r="AG134" s="50"/>
      <c r="AH134" s="50"/>
      <c r="AI134" s="50"/>
      <c r="AJ134" s="55" t="s">
        <v>1745</v>
      </c>
      <c r="AK134" s="1"/>
      <c r="AL134" s="1"/>
      <c r="AM134" s="1"/>
    </row>
    <row r="135" spans="1:39" ht="12.75" hidden="1" customHeight="1">
      <c r="A135" s="15">
        <v>28</v>
      </c>
      <c r="B135" s="20" t="s">
        <v>40</v>
      </c>
      <c r="C135" s="48" t="s">
        <v>1707</v>
      </c>
      <c r="D135" s="49" t="s">
        <v>1746</v>
      </c>
      <c r="E135" s="50"/>
      <c r="F135" s="50"/>
      <c r="G135" s="51"/>
      <c r="H135" s="51"/>
      <c r="I135" s="50"/>
      <c r="J135" s="50"/>
      <c r="K135" s="51"/>
      <c r="L135" s="51"/>
      <c r="M135" s="51"/>
      <c r="N135" s="50"/>
      <c r="O135" s="50"/>
      <c r="P135" s="50"/>
      <c r="Q135" s="50"/>
      <c r="R135" s="50"/>
      <c r="S135" s="50"/>
      <c r="T135" s="50"/>
      <c r="U135" s="50"/>
      <c r="V135" s="50">
        <v>767546780</v>
      </c>
      <c r="W135" s="50"/>
      <c r="X135" s="50"/>
      <c r="Y135" s="50"/>
      <c r="Z135" s="50"/>
      <c r="AA135" s="50"/>
      <c r="AB135" s="50"/>
      <c r="AC135" s="50"/>
      <c r="AD135" s="50"/>
      <c r="AE135" s="50"/>
      <c r="AF135" s="50"/>
      <c r="AG135" s="50"/>
      <c r="AH135" s="50"/>
      <c r="AI135" s="50"/>
      <c r="AJ135" s="57" t="s">
        <v>1556</v>
      </c>
      <c r="AK135" s="1"/>
      <c r="AL135" s="1"/>
      <c r="AM135" s="1"/>
    </row>
    <row r="136" spans="1:39" ht="12.75" hidden="1" customHeight="1">
      <c r="A136" s="15">
        <v>29</v>
      </c>
      <c r="B136" s="20" t="s">
        <v>40</v>
      </c>
      <c r="C136" s="48" t="s">
        <v>1720</v>
      </c>
      <c r="D136" s="49" t="s">
        <v>1747</v>
      </c>
      <c r="E136" s="50"/>
      <c r="F136" s="50"/>
      <c r="G136" s="51"/>
      <c r="H136" s="51"/>
      <c r="I136" s="50"/>
      <c r="J136" s="50"/>
      <c r="K136" s="51"/>
      <c r="L136" s="51"/>
      <c r="M136" s="51"/>
      <c r="N136" s="50"/>
      <c r="O136" s="50"/>
      <c r="P136" s="50"/>
      <c r="Q136" s="50"/>
      <c r="R136" s="50"/>
      <c r="S136" s="50"/>
      <c r="T136" s="50"/>
      <c r="U136" s="50"/>
      <c r="V136" s="50"/>
      <c r="W136" s="50">
        <v>38203000</v>
      </c>
      <c r="X136" s="50"/>
      <c r="Y136" s="50"/>
      <c r="Z136" s="50"/>
      <c r="AA136" s="50"/>
      <c r="AB136" s="50"/>
      <c r="AC136" s="50"/>
      <c r="AD136" s="50"/>
      <c r="AE136" s="50"/>
      <c r="AF136" s="50"/>
      <c r="AG136" s="50"/>
      <c r="AH136" s="50"/>
      <c r="AI136" s="50"/>
      <c r="AJ136" s="57" t="s">
        <v>1556</v>
      </c>
      <c r="AK136" s="1"/>
      <c r="AL136" s="1"/>
      <c r="AM136" s="1"/>
    </row>
    <row r="137" spans="1:39" ht="12.75" hidden="1" customHeight="1">
      <c r="A137" s="35">
        <v>30</v>
      </c>
      <c r="B137" s="20" t="s">
        <v>1517</v>
      </c>
      <c r="C137" s="48" t="s">
        <v>1748</v>
      </c>
      <c r="D137" s="49" t="s">
        <v>1749</v>
      </c>
      <c r="E137" s="50"/>
      <c r="F137" s="50"/>
      <c r="G137" s="51"/>
      <c r="H137" s="51"/>
      <c r="I137" s="50"/>
      <c r="J137" s="50"/>
      <c r="K137" s="51"/>
      <c r="L137" s="51"/>
      <c r="M137" s="51"/>
      <c r="N137" s="50"/>
      <c r="O137" s="50"/>
      <c r="P137" s="50"/>
      <c r="Q137" s="50"/>
      <c r="R137" s="50"/>
      <c r="S137" s="50"/>
      <c r="T137" s="50"/>
      <c r="U137" s="50"/>
      <c r="V137" s="50"/>
      <c r="W137" s="50">
        <v>2612500</v>
      </c>
      <c r="X137" s="50"/>
      <c r="Y137" s="50"/>
      <c r="Z137" s="50"/>
      <c r="AA137" s="50"/>
      <c r="AB137" s="50"/>
      <c r="AC137" s="50"/>
      <c r="AD137" s="50"/>
      <c r="AE137" s="50"/>
      <c r="AF137" s="50"/>
      <c r="AG137" s="50"/>
      <c r="AH137" s="50"/>
      <c r="AI137" s="50"/>
      <c r="AJ137" s="57" t="s">
        <v>1700</v>
      </c>
      <c r="AK137" s="1"/>
      <c r="AL137" s="1"/>
      <c r="AM137" s="1"/>
    </row>
    <row r="138" spans="1:39" ht="12.75" customHeight="1">
      <c r="A138" s="15">
        <v>31</v>
      </c>
      <c r="B138" s="20" t="s">
        <v>27</v>
      </c>
      <c r="C138" s="48" t="s">
        <v>1750</v>
      </c>
      <c r="D138" s="49" t="s">
        <v>1751</v>
      </c>
      <c r="E138" s="50"/>
      <c r="F138" s="50"/>
      <c r="G138" s="51"/>
      <c r="H138" s="51"/>
      <c r="I138" s="50"/>
      <c r="J138" s="50"/>
      <c r="K138" s="51"/>
      <c r="L138" s="51"/>
      <c r="M138" s="51"/>
      <c r="N138" s="50"/>
      <c r="O138" s="50"/>
      <c r="P138" s="50"/>
      <c r="Q138" s="50"/>
      <c r="R138" s="50"/>
      <c r="S138" s="50"/>
      <c r="T138" s="50"/>
      <c r="U138" s="50"/>
      <c r="V138" s="50"/>
      <c r="W138" s="50"/>
      <c r="X138" s="50">
        <v>168009666</v>
      </c>
      <c r="Y138" s="50"/>
      <c r="Z138" s="50"/>
      <c r="AA138" s="50"/>
      <c r="AB138" s="50"/>
      <c r="AC138" s="50"/>
      <c r="AD138" s="50"/>
      <c r="AE138" s="50"/>
      <c r="AF138" s="50"/>
      <c r="AG138" s="50"/>
      <c r="AH138" s="50"/>
      <c r="AI138" s="50"/>
      <c r="AJ138" s="57" t="s">
        <v>1752</v>
      </c>
      <c r="AK138" s="1"/>
      <c r="AL138" s="1"/>
      <c r="AM138" s="1"/>
    </row>
    <row r="139" spans="1:39" ht="12.75" hidden="1" customHeight="1">
      <c r="A139" s="15">
        <v>32</v>
      </c>
      <c r="B139" s="20" t="s">
        <v>40</v>
      </c>
      <c r="C139" s="48" t="s">
        <v>656</v>
      </c>
      <c r="D139" s="49" t="s">
        <v>1753</v>
      </c>
      <c r="E139" s="50"/>
      <c r="F139" s="50"/>
      <c r="G139" s="51"/>
      <c r="H139" s="51"/>
      <c r="I139" s="50"/>
      <c r="J139" s="50"/>
      <c r="K139" s="51"/>
      <c r="L139" s="51"/>
      <c r="M139" s="51"/>
      <c r="N139" s="50"/>
      <c r="O139" s="50"/>
      <c r="P139" s="50"/>
      <c r="Q139" s="50"/>
      <c r="R139" s="50"/>
      <c r="S139" s="50"/>
      <c r="T139" s="50"/>
      <c r="U139" s="50"/>
      <c r="V139" s="50"/>
      <c r="W139" s="50">
        <v>442668400</v>
      </c>
      <c r="X139" s="50"/>
      <c r="Y139" s="50"/>
      <c r="Z139" s="50"/>
      <c r="AA139" s="50"/>
      <c r="AB139" s="50"/>
      <c r="AC139" s="50"/>
      <c r="AD139" s="50"/>
      <c r="AE139" s="50"/>
      <c r="AF139" s="50"/>
      <c r="AG139" s="50"/>
      <c r="AH139" s="50"/>
      <c r="AI139" s="50"/>
      <c r="AJ139" s="57" t="s">
        <v>1556</v>
      </c>
      <c r="AK139" s="1"/>
      <c r="AL139" s="1"/>
      <c r="AM139" s="1"/>
    </row>
    <row r="140" spans="1:39" ht="12.75" customHeight="1">
      <c r="A140" s="35">
        <v>33</v>
      </c>
      <c r="B140" s="20" t="s">
        <v>27</v>
      </c>
      <c r="C140" s="48" t="s">
        <v>1754</v>
      </c>
      <c r="D140" s="49" t="s">
        <v>1755</v>
      </c>
      <c r="E140" s="50"/>
      <c r="F140" s="50"/>
      <c r="G140" s="51"/>
      <c r="H140" s="51"/>
      <c r="I140" s="50"/>
      <c r="J140" s="50"/>
      <c r="K140" s="51"/>
      <c r="L140" s="51"/>
      <c r="M140" s="51"/>
      <c r="N140" s="50"/>
      <c r="O140" s="50"/>
      <c r="P140" s="50"/>
      <c r="Q140" s="50"/>
      <c r="R140" s="50"/>
      <c r="S140" s="50"/>
      <c r="T140" s="50"/>
      <c r="U140" s="50"/>
      <c r="V140" s="50"/>
      <c r="W140" s="50"/>
      <c r="X140" s="50"/>
      <c r="Y140" s="50">
        <v>30000000</v>
      </c>
      <c r="Z140" s="50"/>
      <c r="AA140" s="50"/>
      <c r="AB140" s="50"/>
      <c r="AC140" s="50"/>
      <c r="AD140" s="50"/>
      <c r="AE140" s="50"/>
      <c r="AF140" s="50"/>
      <c r="AG140" s="50"/>
      <c r="AH140" s="50"/>
      <c r="AI140" s="50"/>
      <c r="AJ140" s="55" t="s">
        <v>1703</v>
      </c>
      <c r="AK140" s="1"/>
      <c r="AL140" s="1"/>
      <c r="AM140" s="1"/>
    </row>
    <row r="141" spans="1:39" ht="12.75" customHeight="1">
      <c r="A141" s="15">
        <v>34</v>
      </c>
      <c r="B141" s="20" t="s">
        <v>27</v>
      </c>
      <c r="C141" s="48" t="s">
        <v>1754</v>
      </c>
      <c r="D141" s="49" t="s">
        <v>1756</v>
      </c>
      <c r="E141" s="50"/>
      <c r="F141" s="50"/>
      <c r="G141" s="51"/>
      <c r="H141" s="51"/>
      <c r="I141" s="50"/>
      <c r="J141" s="50"/>
      <c r="K141" s="51"/>
      <c r="L141" s="51"/>
      <c r="M141" s="51"/>
      <c r="N141" s="50"/>
      <c r="O141" s="50"/>
      <c r="P141" s="50"/>
      <c r="Q141" s="50"/>
      <c r="R141" s="50"/>
      <c r="S141" s="50"/>
      <c r="T141" s="50"/>
      <c r="U141" s="50"/>
      <c r="V141" s="50"/>
      <c r="W141" s="50"/>
      <c r="X141" s="50">
        <v>33060000</v>
      </c>
      <c r="Y141" s="50"/>
      <c r="Z141" s="50"/>
      <c r="AA141" s="50"/>
      <c r="AB141" s="50"/>
      <c r="AC141" s="50"/>
      <c r="AD141" s="50"/>
      <c r="AE141" s="50"/>
      <c r="AF141" s="50"/>
      <c r="AG141" s="50"/>
      <c r="AH141" s="50"/>
      <c r="AI141" s="50"/>
      <c r="AJ141" s="57" t="s">
        <v>1700</v>
      </c>
      <c r="AK141" s="1"/>
      <c r="AL141" s="1"/>
      <c r="AM141" s="1"/>
    </row>
    <row r="142" spans="1:39" ht="12.75" hidden="1" customHeight="1">
      <c r="A142" s="15">
        <v>35</v>
      </c>
      <c r="B142" s="20" t="s">
        <v>40</v>
      </c>
      <c r="C142" s="48" t="s">
        <v>1757</v>
      </c>
      <c r="D142" s="49" t="s">
        <v>1758</v>
      </c>
      <c r="E142" s="50"/>
      <c r="F142" s="50"/>
      <c r="G142" s="51"/>
      <c r="H142" s="51"/>
      <c r="I142" s="50"/>
      <c r="J142" s="50"/>
      <c r="K142" s="51"/>
      <c r="L142" s="51"/>
      <c r="M142" s="51"/>
      <c r="N142" s="50"/>
      <c r="O142" s="50"/>
      <c r="P142" s="50"/>
      <c r="Q142" s="50"/>
      <c r="R142" s="50"/>
      <c r="S142" s="50"/>
      <c r="T142" s="50"/>
      <c r="U142" s="50"/>
      <c r="V142" s="50"/>
      <c r="W142" s="50">
        <v>4752000</v>
      </c>
      <c r="X142" s="50"/>
      <c r="Y142" s="50"/>
      <c r="Z142" s="50"/>
      <c r="AA142" s="50"/>
      <c r="AB142" s="50"/>
      <c r="AC142" s="50"/>
      <c r="AD142" s="50"/>
      <c r="AE142" s="50"/>
      <c r="AF142" s="50"/>
      <c r="AG142" s="50"/>
      <c r="AH142" s="50"/>
      <c r="AI142" s="50"/>
      <c r="AJ142" s="57" t="s">
        <v>1700</v>
      </c>
      <c r="AK142" s="1"/>
      <c r="AL142" s="1"/>
      <c r="AM142" s="1"/>
    </row>
    <row r="143" spans="1:39" ht="12.75" hidden="1" customHeight="1">
      <c r="A143" s="35">
        <v>36</v>
      </c>
      <c r="B143" s="20" t="s">
        <v>1517</v>
      </c>
      <c r="C143" s="48" t="s">
        <v>1759</v>
      </c>
      <c r="D143" s="49" t="s">
        <v>1760</v>
      </c>
      <c r="E143" s="50"/>
      <c r="F143" s="50"/>
      <c r="G143" s="51"/>
      <c r="H143" s="51"/>
      <c r="I143" s="50"/>
      <c r="J143" s="50"/>
      <c r="K143" s="51"/>
      <c r="L143" s="51"/>
      <c r="M143" s="51"/>
      <c r="N143" s="50"/>
      <c r="O143" s="50"/>
      <c r="P143" s="50"/>
      <c r="Q143" s="50"/>
      <c r="R143" s="50"/>
      <c r="S143" s="50"/>
      <c r="T143" s="50"/>
      <c r="U143" s="50"/>
      <c r="V143" s="50"/>
      <c r="W143" s="50"/>
      <c r="X143" s="50">
        <v>10252000</v>
      </c>
      <c r="Y143" s="50"/>
      <c r="Z143" s="50"/>
      <c r="AA143" s="50"/>
      <c r="AB143" s="50"/>
      <c r="AC143" s="50"/>
      <c r="AD143" s="50"/>
      <c r="AE143" s="50"/>
      <c r="AF143" s="50"/>
      <c r="AG143" s="50"/>
      <c r="AH143" s="50"/>
      <c r="AI143" s="50"/>
      <c r="AJ143" s="57" t="s">
        <v>1700</v>
      </c>
      <c r="AK143" s="1"/>
      <c r="AL143" s="1"/>
      <c r="AM143" s="1"/>
    </row>
    <row r="144" spans="1:39" ht="12.75" customHeight="1">
      <c r="A144" s="15">
        <v>37</v>
      </c>
      <c r="B144" s="20" t="s">
        <v>27</v>
      </c>
      <c r="C144" s="48" t="s">
        <v>1761</v>
      </c>
      <c r="D144" s="49" t="s">
        <v>1762</v>
      </c>
      <c r="E144" s="50"/>
      <c r="F144" s="50"/>
      <c r="G144" s="51"/>
      <c r="H144" s="51"/>
      <c r="I144" s="50"/>
      <c r="J144" s="50"/>
      <c r="K144" s="51"/>
      <c r="L144" s="51"/>
      <c r="M144" s="51"/>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5" t="s">
        <v>1763</v>
      </c>
      <c r="AK144" s="1"/>
      <c r="AL144" s="1"/>
      <c r="AM144" s="1"/>
    </row>
    <row r="145" spans="1:39" ht="12.75" customHeight="1">
      <c r="A145" s="15">
        <v>38</v>
      </c>
      <c r="B145" s="20" t="s">
        <v>27</v>
      </c>
      <c r="C145" s="48" t="s">
        <v>1733</v>
      </c>
      <c r="D145" s="49" t="s">
        <v>1764</v>
      </c>
      <c r="E145" s="50"/>
      <c r="F145" s="50"/>
      <c r="G145" s="51"/>
      <c r="H145" s="51"/>
      <c r="I145" s="50"/>
      <c r="J145" s="50"/>
      <c r="K145" s="51"/>
      <c r="L145" s="51"/>
      <c r="M145" s="51"/>
      <c r="N145" s="50"/>
      <c r="O145" s="50"/>
      <c r="P145" s="50"/>
      <c r="Q145" s="50"/>
      <c r="R145" s="50"/>
      <c r="S145" s="50"/>
      <c r="T145" s="50"/>
      <c r="U145" s="50"/>
      <c r="V145" s="50"/>
      <c r="W145" s="50"/>
      <c r="X145" s="50"/>
      <c r="Y145" s="50"/>
      <c r="Z145" s="50"/>
      <c r="AA145" s="50"/>
      <c r="AB145" s="50">
        <v>5073200</v>
      </c>
      <c r="AC145" s="50"/>
      <c r="AD145" s="50"/>
      <c r="AE145" s="50"/>
      <c r="AF145" s="50"/>
      <c r="AG145" s="50"/>
      <c r="AH145" s="50"/>
      <c r="AI145" s="50"/>
      <c r="AJ145" s="55" t="s">
        <v>1765</v>
      </c>
      <c r="AK145" s="1"/>
      <c r="AL145" s="1"/>
      <c r="AM145" s="1"/>
    </row>
    <row r="146" spans="1:39" ht="12.75" customHeight="1">
      <c r="A146" s="35">
        <v>39</v>
      </c>
      <c r="B146" s="20" t="s">
        <v>27</v>
      </c>
      <c r="C146" s="48" t="s">
        <v>1722</v>
      </c>
      <c r="D146" s="49" t="s">
        <v>1766</v>
      </c>
      <c r="E146" s="50"/>
      <c r="F146" s="50"/>
      <c r="G146" s="51"/>
      <c r="H146" s="51"/>
      <c r="I146" s="50"/>
      <c r="J146" s="50"/>
      <c r="K146" s="51"/>
      <c r="L146" s="51"/>
      <c r="M146" s="51"/>
      <c r="N146" s="50"/>
      <c r="O146" s="50"/>
      <c r="P146" s="50"/>
      <c r="Q146" s="50"/>
      <c r="R146" s="50"/>
      <c r="S146" s="50"/>
      <c r="T146" s="50"/>
      <c r="U146" s="50"/>
      <c r="V146" s="50"/>
      <c r="W146" s="50"/>
      <c r="X146" s="50"/>
      <c r="Y146" s="50">
        <v>7000000</v>
      </c>
      <c r="Z146" s="50"/>
      <c r="AA146" s="50"/>
      <c r="AB146" s="50"/>
      <c r="AC146" s="50"/>
      <c r="AD146" s="50"/>
      <c r="AE146" s="50"/>
      <c r="AF146" s="50"/>
      <c r="AG146" s="50"/>
      <c r="AH146" s="50"/>
      <c r="AI146" s="50"/>
      <c r="AJ146" s="55" t="s">
        <v>1703</v>
      </c>
      <c r="AK146" s="1"/>
      <c r="AL146" s="1"/>
      <c r="AM146" s="1"/>
    </row>
    <row r="147" spans="1:39" ht="12.75" hidden="1" customHeight="1">
      <c r="A147" s="15">
        <v>40</v>
      </c>
      <c r="B147" s="20" t="s">
        <v>1517</v>
      </c>
      <c r="C147" s="48" t="s">
        <v>1748</v>
      </c>
      <c r="D147" s="49" t="s">
        <v>1749</v>
      </c>
      <c r="E147" s="50"/>
      <c r="F147" s="50"/>
      <c r="G147" s="51"/>
      <c r="H147" s="51"/>
      <c r="I147" s="50"/>
      <c r="J147" s="50"/>
      <c r="K147" s="51"/>
      <c r="L147" s="51"/>
      <c r="M147" s="51"/>
      <c r="N147" s="50"/>
      <c r="O147" s="50"/>
      <c r="P147" s="50"/>
      <c r="Q147" s="50"/>
      <c r="R147" s="50"/>
      <c r="S147" s="50"/>
      <c r="T147" s="50"/>
      <c r="U147" s="50"/>
      <c r="V147" s="50"/>
      <c r="W147" s="50">
        <v>2612500</v>
      </c>
      <c r="X147" s="50"/>
      <c r="Y147" s="50"/>
      <c r="Z147" s="50"/>
      <c r="AA147" s="50"/>
      <c r="AB147" s="50"/>
      <c r="AC147" s="50"/>
      <c r="AD147" s="50"/>
      <c r="AE147" s="50"/>
      <c r="AF147" s="50"/>
      <c r="AG147" s="50"/>
      <c r="AH147" s="50"/>
      <c r="AI147" s="50"/>
      <c r="AJ147" s="57" t="s">
        <v>1700</v>
      </c>
      <c r="AK147" s="1"/>
      <c r="AL147" s="1"/>
      <c r="AM147" s="1"/>
    </row>
    <row r="148" spans="1:39" ht="12.75" hidden="1" customHeight="1">
      <c r="A148" s="15">
        <v>41</v>
      </c>
      <c r="B148" s="20" t="s">
        <v>1517</v>
      </c>
      <c r="C148" s="48" t="s">
        <v>1767</v>
      </c>
      <c r="D148" s="49" t="s">
        <v>1768</v>
      </c>
      <c r="E148" s="50"/>
      <c r="F148" s="50"/>
      <c r="G148" s="51"/>
      <c r="H148" s="51"/>
      <c r="I148" s="50"/>
      <c r="J148" s="50"/>
      <c r="K148" s="51"/>
      <c r="L148" s="51"/>
      <c r="M148" s="51"/>
      <c r="N148" s="50"/>
      <c r="O148" s="50"/>
      <c r="P148" s="50"/>
      <c r="Q148" s="50"/>
      <c r="R148" s="50"/>
      <c r="S148" s="50"/>
      <c r="T148" s="50"/>
      <c r="U148" s="50"/>
      <c r="V148" s="50"/>
      <c r="W148" s="50"/>
      <c r="X148" s="50">
        <v>38699100</v>
      </c>
      <c r="Y148" s="50"/>
      <c r="Z148" s="50"/>
      <c r="AA148" s="50"/>
      <c r="AB148" s="50"/>
      <c r="AC148" s="50"/>
      <c r="AD148" s="50"/>
      <c r="AE148" s="50"/>
      <c r="AF148" s="50"/>
      <c r="AG148" s="50"/>
      <c r="AH148" s="50"/>
      <c r="AI148" s="50"/>
      <c r="AJ148" s="57" t="s">
        <v>1700</v>
      </c>
      <c r="AK148" s="1"/>
      <c r="AL148" s="1"/>
      <c r="AM148" s="1"/>
    </row>
    <row r="149" spans="1:39" ht="12.75" customHeight="1">
      <c r="A149" s="35">
        <v>42</v>
      </c>
      <c r="B149" s="58" t="s">
        <v>27</v>
      </c>
      <c r="C149" s="48" t="s">
        <v>1754</v>
      </c>
      <c r="D149" s="49" t="s">
        <v>1731</v>
      </c>
      <c r="E149" s="50"/>
      <c r="F149" s="50"/>
      <c r="G149" s="51"/>
      <c r="H149" s="51"/>
      <c r="I149" s="50"/>
      <c r="J149" s="50"/>
      <c r="K149" s="51"/>
      <c r="L149" s="51"/>
      <c r="M149" s="51"/>
      <c r="N149" s="50"/>
      <c r="O149" s="50"/>
      <c r="P149" s="50"/>
      <c r="Q149" s="50"/>
      <c r="R149" s="50"/>
      <c r="S149" s="50"/>
      <c r="T149" s="50"/>
      <c r="U149" s="50"/>
      <c r="V149" s="50"/>
      <c r="W149" s="50"/>
      <c r="X149" s="50">
        <v>3840000</v>
      </c>
      <c r="Y149" s="50"/>
      <c r="Z149" s="50"/>
      <c r="AA149" s="50"/>
      <c r="AB149" s="50"/>
      <c r="AC149" s="50"/>
      <c r="AD149" s="50"/>
      <c r="AE149" s="50"/>
      <c r="AF149" s="50"/>
      <c r="AG149" s="50"/>
      <c r="AH149" s="50"/>
      <c r="AI149" s="50"/>
      <c r="AJ149" s="59" t="s">
        <v>1700</v>
      </c>
      <c r="AK149" s="1"/>
      <c r="AL149" s="1"/>
      <c r="AM149" s="1"/>
    </row>
    <row r="150" spans="1:39" ht="12.75" customHeight="1">
      <c r="A150" s="15">
        <v>43</v>
      </c>
      <c r="B150" s="58" t="s">
        <v>27</v>
      </c>
      <c r="C150" s="48" t="s">
        <v>1728</v>
      </c>
      <c r="D150" s="49" t="s">
        <v>1769</v>
      </c>
      <c r="E150" s="50"/>
      <c r="F150" s="50"/>
      <c r="G150" s="51"/>
      <c r="H150" s="51"/>
      <c r="I150" s="50"/>
      <c r="J150" s="50"/>
      <c r="K150" s="51"/>
      <c r="L150" s="51"/>
      <c r="M150" s="51"/>
      <c r="N150" s="50"/>
      <c r="O150" s="50"/>
      <c r="P150" s="50"/>
      <c r="Q150" s="50"/>
      <c r="R150" s="50"/>
      <c r="S150" s="50"/>
      <c r="T150" s="50"/>
      <c r="U150" s="50"/>
      <c r="V150" s="50"/>
      <c r="W150" s="50"/>
      <c r="X150" s="50"/>
      <c r="Y150" s="50"/>
      <c r="Z150" s="50"/>
      <c r="AA150" s="50">
        <v>83725000</v>
      </c>
      <c r="AB150" s="50"/>
      <c r="AC150" s="50"/>
      <c r="AD150" s="50"/>
      <c r="AE150" s="50"/>
      <c r="AF150" s="50"/>
      <c r="AG150" s="50"/>
      <c r="AH150" s="50"/>
      <c r="AI150" s="50"/>
      <c r="AJ150" s="59" t="s">
        <v>1556</v>
      </c>
      <c r="AK150" s="1"/>
      <c r="AL150" s="1"/>
      <c r="AM150" s="1"/>
    </row>
    <row r="151" spans="1:39" ht="12.75" hidden="1" customHeight="1">
      <c r="A151" s="15">
        <v>44</v>
      </c>
      <c r="B151" s="58" t="s">
        <v>40</v>
      </c>
      <c r="C151" s="48" t="s">
        <v>1770</v>
      </c>
      <c r="D151" s="49" t="s">
        <v>1737</v>
      </c>
      <c r="E151" s="50"/>
      <c r="F151" s="50"/>
      <c r="G151" s="51"/>
      <c r="H151" s="51"/>
      <c r="I151" s="50"/>
      <c r="J151" s="50"/>
      <c r="K151" s="51"/>
      <c r="L151" s="51"/>
      <c r="M151" s="51"/>
      <c r="N151" s="50"/>
      <c r="O151" s="50"/>
      <c r="P151" s="50"/>
      <c r="Q151" s="50"/>
      <c r="R151" s="50"/>
      <c r="S151" s="50"/>
      <c r="T151" s="50"/>
      <c r="U151" s="50"/>
      <c r="V151" s="50"/>
      <c r="W151" s="50"/>
      <c r="X151" s="50">
        <v>23958000</v>
      </c>
      <c r="Y151" s="50"/>
      <c r="Z151" s="50"/>
      <c r="AA151" s="50"/>
      <c r="AB151" s="50"/>
      <c r="AC151" s="50"/>
      <c r="AD151" s="50"/>
      <c r="AE151" s="50"/>
      <c r="AF151" s="50"/>
      <c r="AG151" s="50"/>
      <c r="AH151" s="50"/>
      <c r="AI151" s="50"/>
      <c r="AJ151" s="59" t="s">
        <v>1556</v>
      </c>
      <c r="AK151" s="1"/>
      <c r="AL151" s="1"/>
      <c r="AM151" s="1"/>
    </row>
    <row r="152" spans="1:39" ht="12.75" customHeight="1">
      <c r="A152" s="35">
        <v>45</v>
      </c>
      <c r="B152" s="58" t="s">
        <v>27</v>
      </c>
      <c r="C152" s="48" t="s">
        <v>1771</v>
      </c>
      <c r="D152" s="49" t="s">
        <v>1772</v>
      </c>
      <c r="E152" s="50"/>
      <c r="F152" s="50"/>
      <c r="G152" s="51"/>
      <c r="H152" s="51"/>
      <c r="I152" s="50"/>
      <c r="J152" s="50"/>
      <c r="K152" s="51"/>
      <c r="L152" s="51"/>
      <c r="M152" s="51"/>
      <c r="N152" s="50"/>
      <c r="O152" s="50"/>
      <c r="P152" s="50"/>
      <c r="Q152" s="50"/>
      <c r="R152" s="50"/>
      <c r="S152" s="50"/>
      <c r="T152" s="50"/>
      <c r="U152" s="50"/>
      <c r="V152" s="50"/>
      <c r="W152" s="50"/>
      <c r="X152" s="50"/>
      <c r="Y152" s="50">
        <v>56070000</v>
      </c>
      <c r="Z152" s="50"/>
      <c r="AA152" s="50"/>
      <c r="AB152" s="50"/>
      <c r="AC152" s="50"/>
      <c r="AD152" s="50"/>
      <c r="AE152" s="50"/>
      <c r="AF152" s="50"/>
      <c r="AG152" s="50"/>
      <c r="AH152" s="50"/>
      <c r="AI152" s="50"/>
      <c r="AJ152" s="59" t="s">
        <v>1556</v>
      </c>
      <c r="AK152" s="1"/>
      <c r="AL152" s="1"/>
      <c r="AM152" s="1"/>
    </row>
    <row r="153" spans="1:39" ht="12.75" hidden="1" customHeight="1">
      <c r="A153" s="15">
        <v>46</v>
      </c>
      <c r="B153" s="58" t="s">
        <v>40</v>
      </c>
      <c r="C153" s="48" t="s">
        <v>1714</v>
      </c>
      <c r="D153" s="49" t="s">
        <v>1773</v>
      </c>
      <c r="E153" s="50"/>
      <c r="F153" s="50"/>
      <c r="G153" s="51"/>
      <c r="H153" s="51"/>
      <c r="I153" s="50"/>
      <c r="J153" s="50"/>
      <c r="K153" s="51"/>
      <c r="L153" s="51"/>
      <c r="M153" s="51"/>
      <c r="N153" s="50"/>
      <c r="O153" s="50"/>
      <c r="P153" s="50"/>
      <c r="Q153" s="50"/>
      <c r="R153" s="50"/>
      <c r="S153" s="50"/>
      <c r="T153" s="50"/>
      <c r="U153" s="50"/>
      <c r="V153" s="50"/>
      <c r="W153" s="50"/>
      <c r="X153" s="50"/>
      <c r="Y153" s="50"/>
      <c r="Z153" s="50">
        <v>1000000000</v>
      </c>
      <c r="AA153" s="50"/>
      <c r="AB153" s="50"/>
      <c r="AC153" s="50"/>
      <c r="AD153" s="50"/>
      <c r="AE153" s="50"/>
      <c r="AF153" s="50"/>
      <c r="AG153" s="50"/>
      <c r="AH153" s="50"/>
      <c r="AI153" s="50"/>
      <c r="AJ153" s="59" t="s">
        <v>1556</v>
      </c>
      <c r="AK153" s="1"/>
      <c r="AL153" s="1"/>
      <c r="AM153" s="1"/>
    </row>
    <row r="154" spans="1:39" ht="12.75" hidden="1" customHeight="1">
      <c r="A154" s="15">
        <v>47</v>
      </c>
      <c r="B154" s="58" t="s">
        <v>40</v>
      </c>
      <c r="C154" s="48" t="s">
        <v>1774</v>
      </c>
      <c r="D154" s="49" t="s">
        <v>1775</v>
      </c>
      <c r="E154" s="50"/>
      <c r="F154" s="50"/>
      <c r="G154" s="51"/>
      <c r="H154" s="51"/>
      <c r="I154" s="50"/>
      <c r="J154" s="50"/>
      <c r="K154" s="51"/>
      <c r="L154" s="51"/>
      <c r="M154" s="51"/>
      <c r="N154" s="50"/>
      <c r="O154" s="50"/>
      <c r="P154" s="50"/>
      <c r="Q154" s="50"/>
      <c r="R154" s="50"/>
      <c r="S154" s="50"/>
      <c r="T154" s="50"/>
      <c r="U154" s="50"/>
      <c r="V154" s="50"/>
      <c r="W154" s="50"/>
      <c r="X154" s="50">
        <v>5181000</v>
      </c>
      <c r="Y154" s="50"/>
      <c r="Z154" s="50"/>
      <c r="AA154" s="50"/>
      <c r="AB154" s="50"/>
      <c r="AC154" s="50"/>
      <c r="AD154" s="50"/>
      <c r="AE154" s="50"/>
      <c r="AF154" s="50"/>
      <c r="AG154" s="50"/>
      <c r="AH154" s="50"/>
      <c r="AI154" s="50"/>
      <c r="AJ154" s="59" t="s">
        <v>1700</v>
      </c>
      <c r="AK154" s="1"/>
      <c r="AL154" s="1"/>
      <c r="AM154" s="1"/>
    </row>
    <row r="155" spans="1:39" ht="12.75" hidden="1" customHeight="1">
      <c r="A155" s="35">
        <v>48</v>
      </c>
      <c r="B155" s="58" t="s">
        <v>40</v>
      </c>
      <c r="C155" s="48" t="s">
        <v>1776</v>
      </c>
      <c r="D155" s="49" t="s">
        <v>1777</v>
      </c>
      <c r="E155" s="50"/>
      <c r="F155" s="50"/>
      <c r="G155" s="51"/>
      <c r="H155" s="51"/>
      <c r="I155" s="50"/>
      <c r="J155" s="50"/>
      <c r="K155" s="51"/>
      <c r="L155" s="51"/>
      <c r="M155" s="51"/>
      <c r="N155" s="50"/>
      <c r="O155" s="50"/>
      <c r="P155" s="50"/>
      <c r="Q155" s="50"/>
      <c r="R155" s="50"/>
      <c r="S155" s="50"/>
      <c r="T155" s="50"/>
      <c r="U155" s="50"/>
      <c r="V155" s="50"/>
      <c r="W155" s="50"/>
      <c r="X155" s="50"/>
      <c r="Y155" s="50">
        <v>16000000</v>
      </c>
      <c r="Z155" s="50"/>
      <c r="AA155" s="50"/>
      <c r="AB155" s="50"/>
      <c r="AC155" s="50"/>
      <c r="AD155" s="50"/>
      <c r="AE155" s="50"/>
      <c r="AF155" s="50"/>
      <c r="AG155" s="50"/>
      <c r="AH155" s="50"/>
      <c r="AI155" s="50"/>
      <c r="AJ155" s="59" t="s">
        <v>1700</v>
      </c>
      <c r="AK155" s="1"/>
      <c r="AL155" s="1"/>
      <c r="AM155" s="1"/>
    </row>
    <row r="156" spans="1:39" ht="12.75" hidden="1" customHeight="1">
      <c r="A156" s="15">
        <v>49</v>
      </c>
      <c r="B156" s="58" t="s">
        <v>1517</v>
      </c>
      <c r="C156" s="48" t="s">
        <v>1754</v>
      </c>
      <c r="D156" s="49" t="s">
        <v>1778</v>
      </c>
      <c r="E156" s="50"/>
      <c r="F156" s="50"/>
      <c r="G156" s="51"/>
      <c r="H156" s="51"/>
      <c r="I156" s="50"/>
      <c r="J156" s="50"/>
      <c r="K156" s="51"/>
      <c r="L156" s="51"/>
      <c r="M156" s="51"/>
      <c r="N156" s="50"/>
      <c r="O156" s="50"/>
      <c r="P156" s="50"/>
      <c r="Q156" s="50"/>
      <c r="R156" s="50"/>
      <c r="S156" s="50"/>
      <c r="T156" s="50"/>
      <c r="U156" s="50"/>
      <c r="V156" s="50"/>
      <c r="W156" s="50"/>
      <c r="X156" s="50"/>
      <c r="Y156" s="50"/>
      <c r="Z156" s="50">
        <v>30000000</v>
      </c>
      <c r="AA156" s="50"/>
      <c r="AB156" s="50"/>
      <c r="AC156" s="50"/>
      <c r="AD156" s="50"/>
      <c r="AE156" s="50"/>
      <c r="AF156" s="50"/>
      <c r="AG156" s="50"/>
      <c r="AH156" s="50"/>
      <c r="AI156" s="50"/>
      <c r="AJ156" s="55" t="s">
        <v>1703</v>
      </c>
      <c r="AK156" s="1"/>
      <c r="AL156" s="1"/>
      <c r="AM156" s="1"/>
    </row>
    <row r="157" spans="1:39" ht="12.75" hidden="1" customHeight="1">
      <c r="A157" s="15">
        <v>50</v>
      </c>
      <c r="B157" s="58" t="s">
        <v>40</v>
      </c>
      <c r="C157" s="48" t="s">
        <v>1714</v>
      </c>
      <c r="D157" s="49" t="s">
        <v>1779</v>
      </c>
      <c r="E157" s="50"/>
      <c r="F157" s="50"/>
      <c r="G157" s="51"/>
      <c r="H157" s="51"/>
      <c r="I157" s="50"/>
      <c r="J157" s="50"/>
      <c r="K157" s="51"/>
      <c r="L157" s="51"/>
      <c r="M157" s="51"/>
      <c r="N157" s="50"/>
      <c r="O157" s="50"/>
      <c r="P157" s="50"/>
      <c r="Q157" s="50"/>
      <c r="R157" s="50"/>
      <c r="S157" s="50"/>
      <c r="T157" s="50"/>
      <c r="U157" s="50"/>
      <c r="V157" s="50"/>
      <c r="W157" s="50"/>
      <c r="X157" s="50"/>
      <c r="Y157" s="50"/>
      <c r="Z157" s="50">
        <v>127000000</v>
      </c>
      <c r="AA157" s="50"/>
      <c r="AB157" s="50"/>
      <c r="AC157" s="50"/>
      <c r="AD157" s="50"/>
      <c r="AE157" s="50"/>
      <c r="AF157" s="50"/>
      <c r="AG157" s="50"/>
      <c r="AH157" s="50"/>
      <c r="AI157" s="50"/>
      <c r="AJ157" s="59" t="s">
        <v>1556</v>
      </c>
      <c r="AK157" s="1"/>
      <c r="AL157" s="1"/>
      <c r="AM157" s="1"/>
    </row>
    <row r="158" spans="1:39" ht="12.75" customHeight="1">
      <c r="A158" s="35">
        <v>51</v>
      </c>
      <c r="B158" s="58" t="s">
        <v>27</v>
      </c>
      <c r="C158" s="48" t="s">
        <v>1780</v>
      </c>
      <c r="D158" s="49" t="s">
        <v>1781</v>
      </c>
      <c r="E158" s="50"/>
      <c r="F158" s="50"/>
      <c r="G158" s="51"/>
      <c r="H158" s="51"/>
      <c r="I158" s="50"/>
      <c r="J158" s="50"/>
      <c r="K158" s="51"/>
      <c r="L158" s="51"/>
      <c r="M158" s="51"/>
      <c r="N158" s="50"/>
      <c r="O158" s="50"/>
      <c r="P158" s="50"/>
      <c r="Q158" s="50"/>
      <c r="R158" s="50"/>
      <c r="S158" s="50"/>
      <c r="T158" s="50"/>
      <c r="U158" s="50"/>
      <c r="V158" s="50"/>
      <c r="W158" s="50"/>
      <c r="X158" s="50"/>
      <c r="Y158" s="50"/>
      <c r="Z158" s="50"/>
      <c r="AA158" s="50"/>
      <c r="AB158" s="50"/>
      <c r="AC158" s="50"/>
      <c r="AD158" s="50">
        <v>250000000</v>
      </c>
      <c r="AE158" s="50"/>
      <c r="AF158" s="50"/>
      <c r="AG158" s="50"/>
      <c r="AH158" s="50"/>
      <c r="AI158" s="50"/>
      <c r="AJ158" s="55" t="s">
        <v>1782</v>
      </c>
      <c r="AK158" s="1"/>
      <c r="AL158" s="1"/>
      <c r="AM158" s="1"/>
    </row>
    <row r="159" spans="1:39" ht="12.75" hidden="1" customHeight="1">
      <c r="A159" s="15">
        <v>52</v>
      </c>
      <c r="B159" s="58" t="s">
        <v>40</v>
      </c>
      <c r="C159" s="48" t="s">
        <v>1783</v>
      </c>
      <c r="D159" s="49" t="s">
        <v>1768</v>
      </c>
      <c r="E159" s="50"/>
      <c r="F159" s="50"/>
      <c r="G159" s="51"/>
      <c r="H159" s="51"/>
      <c r="I159" s="50"/>
      <c r="J159" s="50"/>
      <c r="K159" s="51"/>
      <c r="L159" s="51"/>
      <c r="M159" s="51"/>
      <c r="N159" s="50"/>
      <c r="O159" s="50"/>
      <c r="P159" s="50"/>
      <c r="Q159" s="50"/>
      <c r="R159" s="50"/>
      <c r="S159" s="50"/>
      <c r="T159" s="50"/>
      <c r="U159" s="50"/>
      <c r="V159" s="50"/>
      <c r="W159" s="50"/>
      <c r="X159" s="50"/>
      <c r="Y159" s="50">
        <v>1562000</v>
      </c>
      <c r="Z159" s="50"/>
      <c r="AA159" s="50"/>
      <c r="AB159" s="50"/>
      <c r="AC159" s="50"/>
      <c r="AD159" s="50"/>
      <c r="AE159" s="50"/>
      <c r="AF159" s="50"/>
      <c r="AG159" s="50"/>
      <c r="AH159" s="50"/>
      <c r="AI159" s="50"/>
      <c r="AJ159" s="59" t="s">
        <v>1556</v>
      </c>
      <c r="AK159" s="1"/>
      <c r="AL159" s="1"/>
      <c r="AM159" s="1"/>
    </row>
    <row r="160" spans="1:39" ht="12.75" hidden="1" customHeight="1">
      <c r="A160" s="15">
        <v>53</v>
      </c>
      <c r="B160" s="58" t="s">
        <v>40</v>
      </c>
      <c r="C160" s="48" t="s">
        <v>1748</v>
      </c>
      <c r="D160" s="49" t="s">
        <v>1749</v>
      </c>
      <c r="E160" s="50"/>
      <c r="F160" s="50"/>
      <c r="G160" s="51"/>
      <c r="H160" s="51"/>
      <c r="I160" s="50"/>
      <c r="J160" s="50"/>
      <c r="K160" s="51"/>
      <c r="L160" s="51"/>
      <c r="M160" s="51"/>
      <c r="N160" s="50"/>
      <c r="O160" s="50"/>
      <c r="P160" s="50"/>
      <c r="Q160" s="50"/>
      <c r="R160" s="50"/>
      <c r="S160" s="50"/>
      <c r="T160" s="50"/>
      <c r="U160" s="50"/>
      <c r="V160" s="50"/>
      <c r="W160" s="50"/>
      <c r="X160" s="50"/>
      <c r="Y160" s="50">
        <v>2612500</v>
      </c>
      <c r="Z160" s="50"/>
      <c r="AA160" s="50"/>
      <c r="AB160" s="50"/>
      <c r="AC160" s="50"/>
      <c r="AD160" s="50"/>
      <c r="AE160" s="50"/>
      <c r="AF160" s="50"/>
      <c r="AG160" s="50"/>
      <c r="AH160" s="50"/>
      <c r="AI160" s="50"/>
      <c r="AJ160" s="59" t="s">
        <v>1556</v>
      </c>
      <c r="AK160" s="1"/>
      <c r="AL160" s="1"/>
      <c r="AM160" s="1"/>
    </row>
    <row r="161" spans="1:39" ht="12.75" hidden="1" customHeight="1">
      <c r="A161" s="35">
        <v>54</v>
      </c>
      <c r="B161" s="58" t="s">
        <v>40</v>
      </c>
      <c r="C161" s="48" t="s">
        <v>1784</v>
      </c>
      <c r="D161" s="49" t="s">
        <v>1732</v>
      </c>
      <c r="E161" s="50"/>
      <c r="F161" s="50"/>
      <c r="G161" s="51"/>
      <c r="H161" s="51"/>
      <c r="I161" s="50"/>
      <c r="J161" s="50"/>
      <c r="K161" s="51"/>
      <c r="L161" s="51"/>
      <c r="M161" s="51"/>
      <c r="N161" s="50"/>
      <c r="O161" s="50"/>
      <c r="P161" s="50"/>
      <c r="Q161" s="50"/>
      <c r="R161" s="50"/>
      <c r="S161" s="50"/>
      <c r="T161" s="50"/>
      <c r="U161" s="50"/>
      <c r="V161" s="50"/>
      <c r="W161" s="50"/>
      <c r="X161" s="50"/>
      <c r="Y161" s="50">
        <v>40146040</v>
      </c>
      <c r="Z161" s="50"/>
      <c r="AA161" s="50"/>
      <c r="AB161" s="50"/>
      <c r="AC161" s="50"/>
      <c r="AD161" s="50"/>
      <c r="AE161" s="50"/>
      <c r="AF161" s="50"/>
      <c r="AG161" s="50"/>
      <c r="AH161" s="50"/>
      <c r="AI161" s="50"/>
      <c r="AJ161" s="59" t="s">
        <v>1700</v>
      </c>
      <c r="AK161" s="1"/>
      <c r="AL161" s="1"/>
      <c r="AM161" s="1"/>
    </row>
    <row r="162" spans="1:39" ht="12.75" hidden="1" customHeight="1">
      <c r="A162" s="15">
        <v>55</v>
      </c>
      <c r="B162" s="58" t="s">
        <v>40</v>
      </c>
      <c r="C162" s="48" t="s">
        <v>1709</v>
      </c>
      <c r="D162" s="49" t="s">
        <v>1785</v>
      </c>
      <c r="E162" s="50"/>
      <c r="F162" s="50"/>
      <c r="G162" s="51"/>
      <c r="H162" s="51"/>
      <c r="I162" s="50"/>
      <c r="J162" s="50"/>
      <c r="K162" s="51"/>
      <c r="L162" s="51"/>
      <c r="M162" s="51"/>
      <c r="N162" s="50"/>
      <c r="O162" s="50"/>
      <c r="P162" s="50"/>
      <c r="Q162" s="50"/>
      <c r="R162" s="50"/>
      <c r="S162" s="50"/>
      <c r="T162" s="50"/>
      <c r="U162" s="50"/>
      <c r="V162" s="50"/>
      <c r="W162" s="50"/>
      <c r="X162" s="50"/>
      <c r="Y162" s="50">
        <v>13310000</v>
      </c>
      <c r="Z162" s="50"/>
      <c r="AA162" s="50"/>
      <c r="AB162" s="50"/>
      <c r="AC162" s="50"/>
      <c r="AD162" s="50"/>
      <c r="AE162" s="50"/>
      <c r="AF162" s="50"/>
      <c r="AG162" s="50"/>
      <c r="AH162" s="50"/>
      <c r="AI162" s="50"/>
      <c r="AJ162" s="59" t="s">
        <v>1700</v>
      </c>
      <c r="AK162" s="1"/>
      <c r="AL162" s="1"/>
      <c r="AM162" s="1"/>
    </row>
    <row r="163" spans="1:39" ht="12.75" hidden="1" customHeight="1">
      <c r="A163" s="15">
        <v>56</v>
      </c>
      <c r="B163" s="58" t="s">
        <v>40</v>
      </c>
      <c r="C163" s="48" t="s">
        <v>1720</v>
      </c>
      <c r="D163" s="49" t="s">
        <v>1747</v>
      </c>
      <c r="E163" s="50"/>
      <c r="F163" s="50"/>
      <c r="G163" s="51"/>
      <c r="H163" s="51"/>
      <c r="I163" s="50"/>
      <c r="J163" s="50"/>
      <c r="K163" s="51"/>
      <c r="L163" s="51"/>
      <c r="M163" s="51"/>
      <c r="N163" s="50"/>
      <c r="O163" s="50"/>
      <c r="P163" s="50"/>
      <c r="Q163" s="50"/>
      <c r="R163" s="50"/>
      <c r="S163" s="50"/>
      <c r="T163" s="50"/>
      <c r="U163" s="50"/>
      <c r="V163" s="50"/>
      <c r="W163" s="50"/>
      <c r="X163" s="50"/>
      <c r="Y163" s="50">
        <v>14124000</v>
      </c>
      <c r="Z163" s="50"/>
      <c r="AA163" s="50"/>
      <c r="AB163" s="50"/>
      <c r="AC163" s="50"/>
      <c r="AD163" s="50"/>
      <c r="AE163" s="50"/>
      <c r="AF163" s="50"/>
      <c r="AG163" s="50"/>
      <c r="AH163" s="50"/>
      <c r="AI163" s="50"/>
      <c r="AJ163" s="59" t="s">
        <v>1700</v>
      </c>
      <c r="AK163" s="1"/>
      <c r="AL163" s="1"/>
      <c r="AM163" s="1"/>
    </row>
    <row r="164" spans="1:39" ht="12.75" customHeight="1">
      <c r="A164" s="35">
        <v>57</v>
      </c>
      <c r="B164" s="58" t="s">
        <v>27</v>
      </c>
      <c r="C164" s="48" t="s">
        <v>1786</v>
      </c>
      <c r="D164" s="49" t="s">
        <v>1787</v>
      </c>
      <c r="E164" s="50"/>
      <c r="F164" s="50"/>
      <c r="G164" s="51"/>
      <c r="H164" s="51"/>
      <c r="I164" s="50"/>
      <c r="J164" s="50"/>
      <c r="K164" s="51"/>
      <c r="L164" s="51"/>
      <c r="M164" s="51"/>
      <c r="N164" s="50"/>
      <c r="O164" s="50"/>
      <c r="P164" s="50"/>
      <c r="Q164" s="50"/>
      <c r="R164" s="50"/>
      <c r="S164" s="50"/>
      <c r="T164" s="50"/>
      <c r="U164" s="50"/>
      <c r="V164" s="50"/>
      <c r="W164" s="50"/>
      <c r="X164" s="50"/>
      <c r="Y164" s="50"/>
      <c r="Z164" s="50"/>
      <c r="AA164" s="50"/>
      <c r="AB164" s="50"/>
      <c r="AC164" s="50">
        <v>10000000</v>
      </c>
      <c r="AD164" s="50"/>
      <c r="AE164" s="50"/>
      <c r="AF164" s="50"/>
      <c r="AG164" s="50"/>
      <c r="AH164" s="50"/>
      <c r="AI164" s="50"/>
      <c r="AJ164" s="55" t="s">
        <v>1703</v>
      </c>
      <c r="AK164" s="1"/>
      <c r="AL164" s="1"/>
      <c r="AM164" s="1"/>
    </row>
    <row r="165" spans="1:39" ht="12.75" hidden="1" customHeight="1">
      <c r="A165" s="15">
        <v>58</v>
      </c>
      <c r="B165" s="58" t="s">
        <v>40</v>
      </c>
      <c r="C165" s="48" t="s">
        <v>1788</v>
      </c>
      <c r="D165" s="49" t="s">
        <v>1789</v>
      </c>
      <c r="E165" s="50"/>
      <c r="F165" s="50"/>
      <c r="G165" s="51"/>
      <c r="H165" s="51"/>
      <c r="I165" s="50"/>
      <c r="J165" s="50"/>
      <c r="K165" s="51"/>
      <c r="L165" s="51"/>
      <c r="M165" s="51"/>
      <c r="N165" s="50"/>
      <c r="O165" s="50"/>
      <c r="P165" s="50"/>
      <c r="Q165" s="50"/>
      <c r="R165" s="50"/>
      <c r="S165" s="50"/>
      <c r="T165" s="50"/>
      <c r="U165" s="50"/>
      <c r="V165" s="50"/>
      <c r="W165" s="50"/>
      <c r="X165" s="50"/>
      <c r="Y165" s="50"/>
      <c r="Z165" s="50">
        <v>28755000</v>
      </c>
      <c r="AA165" s="50"/>
      <c r="AB165" s="50"/>
      <c r="AC165" s="50"/>
      <c r="AD165" s="50"/>
      <c r="AE165" s="50"/>
      <c r="AF165" s="50"/>
      <c r="AG165" s="50"/>
      <c r="AH165" s="50"/>
      <c r="AI165" s="50"/>
      <c r="AJ165" s="55" t="s">
        <v>1556</v>
      </c>
      <c r="AK165" s="1"/>
      <c r="AL165" s="1"/>
      <c r="AM165" s="1"/>
    </row>
    <row r="166" spans="1:39" ht="12.75" hidden="1" customHeight="1">
      <c r="A166" s="15">
        <v>59</v>
      </c>
      <c r="B166" s="58" t="s">
        <v>40</v>
      </c>
      <c r="C166" s="48" t="s">
        <v>1771</v>
      </c>
      <c r="D166" s="49" t="s">
        <v>1790</v>
      </c>
      <c r="E166" s="50"/>
      <c r="F166" s="50"/>
      <c r="G166" s="51"/>
      <c r="H166" s="51"/>
      <c r="I166" s="50"/>
      <c r="J166" s="50"/>
      <c r="K166" s="51"/>
      <c r="L166" s="51"/>
      <c r="M166" s="51"/>
      <c r="N166" s="50"/>
      <c r="O166" s="50"/>
      <c r="P166" s="50"/>
      <c r="Q166" s="50"/>
      <c r="R166" s="50"/>
      <c r="S166" s="50"/>
      <c r="T166" s="50"/>
      <c r="U166" s="50"/>
      <c r="V166" s="50"/>
      <c r="W166" s="50"/>
      <c r="X166" s="50"/>
      <c r="Y166" s="50">
        <v>73895580</v>
      </c>
      <c r="Z166" s="50"/>
      <c r="AA166" s="50"/>
      <c r="AB166" s="50"/>
      <c r="AC166" s="50"/>
      <c r="AD166" s="50"/>
      <c r="AE166" s="50"/>
      <c r="AF166" s="50"/>
      <c r="AG166" s="50"/>
      <c r="AH166" s="50"/>
      <c r="AI166" s="50"/>
      <c r="AJ166" s="59" t="s">
        <v>1556</v>
      </c>
      <c r="AK166" s="1"/>
      <c r="AL166" s="1"/>
      <c r="AM166" s="1"/>
    </row>
    <row r="167" spans="1:39" ht="12.75" hidden="1" customHeight="1">
      <c r="A167" s="35">
        <v>60</v>
      </c>
      <c r="B167" s="58" t="s">
        <v>44</v>
      </c>
      <c r="C167" s="48" t="s">
        <v>1791</v>
      </c>
      <c r="D167" s="49" t="s">
        <v>1792</v>
      </c>
      <c r="E167" s="50"/>
      <c r="F167" s="50"/>
      <c r="G167" s="51"/>
      <c r="H167" s="51"/>
      <c r="I167" s="50"/>
      <c r="J167" s="50"/>
      <c r="K167" s="51"/>
      <c r="L167" s="51"/>
      <c r="M167" s="51"/>
      <c r="N167" s="50"/>
      <c r="O167" s="50"/>
      <c r="P167" s="50"/>
      <c r="Q167" s="50"/>
      <c r="R167" s="50"/>
      <c r="S167" s="50"/>
      <c r="T167" s="50"/>
      <c r="U167" s="50"/>
      <c r="V167" s="50"/>
      <c r="W167" s="50"/>
      <c r="X167" s="50"/>
      <c r="Y167" s="50"/>
      <c r="Z167" s="50"/>
      <c r="AA167" s="50"/>
      <c r="AB167" s="50"/>
      <c r="AC167" s="50">
        <v>950000000</v>
      </c>
      <c r="AD167" s="50"/>
      <c r="AE167" s="50"/>
      <c r="AF167" s="50"/>
      <c r="AG167" s="50"/>
      <c r="AH167" s="50"/>
      <c r="AI167" s="50"/>
      <c r="AJ167" s="59" t="s">
        <v>1793</v>
      </c>
      <c r="AK167" s="1"/>
      <c r="AL167" s="1"/>
      <c r="AM167" s="1"/>
    </row>
    <row r="168" spans="1:39" ht="12.75" customHeight="1">
      <c r="A168" s="15">
        <v>61</v>
      </c>
      <c r="B168" s="58" t="s">
        <v>27</v>
      </c>
      <c r="C168" s="48" t="s">
        <v>1794</v>
      </c>
      <c r="D168" s="49" t="s">
        <v>1781</v>
      </c>
      <c r="E168" s="50"/>
      <c r="F168" s="50"/>
      <c r="G168" s="51"/>
      <c r="H168" s="51"/>
      <c r="I168" s="50"/>
      <c r="J168" s="50"/>
      <c r="K168" s="51"/>
      <c r="L168" s="51"/>
      <c r="M168" s="51"/>
      <c r="N168" s="50"/>
      <c r="O168" s="50"/>
      <c r="P168" s="50"/>
      <c r="Q168" s="50"/>
      <c r="R168" s="50"/>
      <c r="S168" s="50"/>
      <c r="T168" s="50"/>
      <c r="U168" s="50"/>
      <c r="V168" s="50"/>
      <c r="W168" s="50"/>
      <c r="X168" s="50"/>
      <c r="Y168" s="50"/>
      <c r="Z168" s="50"/>
      <c r="AA168" s="50"/>
      <c r="AB168" s="50">
        <v>132829200</v>
      </c>
      <c r="AC168" s="50"/>
      <c r="AD168" s="50"/>
      <c r="AE168" s="50"/>
      <c r="AF168" s="50"/>
      <c r="AG168" s="50"/>
      <c r="AH168" s="50"/>
      <c r="AI168" s="50"/>
      <c r="AJ168" s="59" t="s">
        <v>1556</v>
      </c>
      <c r="AK168" s="1"/>
      <c r="AL168" s="1"/>
      <c r="AM168" s="1"/>
    </row>
    <row r="169" spans="1:39" ht="12.75" hidden="1" customHeight="1">
      <c r="A169" s="15">
        <v>62</v>
      </c>
      <c r="B169" s="58" t="s">
        <v>40</v>
      </c>
      <c r="C169" s="48" t="s">
        <v>1795</v>
      </c>
      <c r="D169" s="49" t="s">
        <v>1796</v>
      </c>
      <c r="E169" s="50"/>
      <c r="F169" s="50"/>
      <c r="G169" s="51"/>
      <c r="H169" s="51"/>
      <c r="I169" s="50"/>
      <c r="J169" s="50"/>
      <c r="K169" s="51"/>
      <c r="L169" s="51"/>
      <c r="M169" s="51"/>
      <c r="N169" s="50"/>
      <c r="O169" s="50"/>
      <c r="P169" s="50"/>
      <c r="Q169" s="50"/>
      <c r="R169" s="50"/>
      <c r="S169" s="50"/>
      <c r="T169" s="50"/>
      <c r="U169" s="50"/>
      <c r="V169" s="50"/>
      <c r="W169" s="50"/>
      <c r="X169" s="50"/>
      <c r="Y169" s="50"/>
      <c r="Z169" s="50"/>
      <c r="AA169" s="50"/>
      <c r="AB169" s="50"/>
      <c r="AC169" s="50">
        <v>105606000</v>
      </c>
      <c r="AD169" s="50"/>
      <c r="AE169" s="50"/>
      <c r="AF169" s="50"/>
      <c r="AG169" s="50"/>
      <c r="AH169" s="50"/>
      <c r="AI169" s="50"/>
      <c r="AJ169" s="59" t="s">
        <v>1556</v>
      </c>
      <c r="AK169" s="1"/>
      <c r="AL169" s="1"/>
      <c r="AM169" s="1"/>
    </row>
    <row r="170" spans="1:39" ht="12.75" hidden="1" customHeight="1">
      <c r="A170" s="35">
        <v>63</v>
      </c>
      <c r="B170" s="58" t="s">
        <v>40</v>
      </c>
      <c r="C170" s="48" t="s">
        <v>1795</v>
      </c>
      <c r="D170" s="49" t="s">
        <v>1797</v>
      </c>
      <c r="E170" s="50"/>
      <c r="F170" s="50"/>
      <c r="G170" s="51"/>
      <c r="H170" s="51"/>
      <c r="I170" s="50"/>
      <c r="J170" s="50"/>
      <c r="K170" s="51"/>
      <c r="L170" s="51"/>
      <c r="M170" s="51"/>
      <c r="N170" s="50"/>
      <c r="O170" s="50"/>
      <c r="P170" s="50"/>
      <c r="Q170" s="50"/>
      <c r="R170" s="50"/>
      <c r="S170" s="50"/>
      <c r="T170" s="50"/>
      <c r="U170" s="50"/>
      <c r="V170" s="50"/>
      <c r="W170" s="50"/>
      <c r="X170" s="50"/>
      <c r="Y170" s="50"/>
      <c r="Z170" s="50"/>
      <c r="AA170" s="50"/>
      <c r="AB170" s="50"/>
      <c r="AC170" s="50">
        <v>139369500</v>
      </c>
      <c r="AD170" s="50"/>
      <c r="AE170" s="50"/>
      <c r="AF170" s="50"/>
      <c r="AG170" s="50"/>
      <c r="AH170" s="50"/>
      <c r="AI170" s="50"/>
      <c r="AJ170" s="59" t="s">
        <v>1556</v>
      </c>
      <c r="AK170" s="1"/>
      <c r="AL170" s="1"/>
      <c r="AM170" s="1"/>
    </row>
    <row r="171" spans="1:39" ht="12.75" hidden="1" customHeight="1">
      <c r="A171" s="15">
        <v>64</v>
      </c>
      <c r="B171" s="58" t="s">
        <v>40</v>
      </c>
      <c r="C171" s="48" t="s">
        <v>1795</v>
      </c>
      <c r="D171" s="49" t="s">
        <v>1798</v>
      </c>
      <c r="E171" s="50"/>
      <c r="F171" s="50"/>
      <c r="G171" s="51"/>
      <c r="H171" s="51"/>
      <c r="I171" s="50"/>
      <c r="J171" s="50"/>
      <c r="K171" s="51"/>
      <c r="L171" s="51"/>
      <c r="M171" s="51"/>
      <c r="N171" s="50"/>
      <c r="O171" s="50"/>
      <c r="P171" s="50"/>
      <c r="Q171" s="50"/>
      <c r="R171" s="50"/>
      <c r="S171" s="50"/>
      <c r="T171" s="50"/>
      <c r="U171" s="50"/>
      <c r="V171" s="50"/>
      <c r="W171" s="50"/>
      <c r="X171" s="50"/>
      <c r="Y171" s="50"/>
      <c r="Z171" s="50"/>
      <c r="AA171" s="50"/>
      <c r="AB171" s="50"/>
      <c r="AC171" s="50">
        <v>138109500</v>
      </c>
      <c r="AD171" s="50"/>
      <c r="AE171" s="50"/>
      <c r="AF171" s="50"/>
      <c r="AG171" s="50"/>
      <c r="AH171" s="50"/>
      <c r="AI171" s="50"/>
      <c r="AJ171" s="59" t="s">
        <v>1556</v>
      </c>
      <c r="AK171" s="1"/>
      <c r="AL171" s="1"/>
      <c r="AM171" s="1"/>
    </row>
    <row r="172" spans="1:39" ht="12.75" hidden="1" customHeight="1">
      <c r="A172" s="15">
        <v>65</v>
      </c>
      <c r="B172" s="58" t="s">
        <v>40</v>
      </c>
      <c r="C172" s="48" t="s">
        <v>1795</v>
      </c>
      <c r="D172" s="49" t="s">
        <v>1799</v>
      </c>
      <c r="E172" s="50"/>
      <c r="F172" s="50"/>
      <c r="G172" s="51"/>
      <c r="H172" s="51"/>
      <c r="I172" s="50"/>
      <c r="J172" s="50"/>
      <c r="K172" s="51"/>
      <c r="L172" s="51"/>
      <c r="M172" s="51"/>
      <c r="N172" s="50"/>
      <c r="O172" s="50"/>
      <c r="P172" s="50"/>
      <c r="Q172" s="50"/>
      <c r="R172" s="50"/>
      <c r="S172" s="50"/>
      <c r="T172" s="50"/>
      <c r="U172" s="50"/>
      <c r="V172" s="50"/>
      <c r="W172" s="50"/>
      <c r="X172" s="50"/>
      <c r="Y172" s="50"/>
      <c r="Z172" s="50"/>
      <c r="AA172" s="50"/>
      <c r="AB172" s="50"/>
      <c r="AC172" s="50">
        <v>148162500</v>
      </c>
      <c r="AD172" s="50"/>
      <c r="AE172" s="50"/>
      <c r="AF172" s="50"/>
      <c r="AG172" s="50"/>
      <c r="AH172" s="50"/>
      <c r="AI172" s="50"/>
      <c r="AJ172" s="59" t="s">
        <v>1556</v>
      </c>
      <c r="AK172" s="1"/>
      <c r="AL172" s="1"/>
      <c r="AM172" s="1"/>
    </row>
    <row r="173" spans="1:39" ht="12.75" hidden="1" customHeight="1">
      <c r="A173" s="35">
        <v>66</v>
      </c>
      <c r="B173" s="58" t="s">
        <v>40</v>
      </c>
      <c r="C173" s="48" t="s">
        <v>1800</v>
      </c>
      <c r="D173" s="49" t="s">
        <v>1801</v>
      </c>
      <c r="E173" s="50"/>
      <c r="F173" s="50"/>
      <c r="G173" s="51"/>
      <c r="H173" s="51"/>
      <c r="I173" s="50"/>
      <c r="J173" s="50"/>
      <c r="K173" s="51"/>
      <c r="L173" s="51"/>
      <c r="M173" s="51"/>
      <c r="N173" s="50"/>
      <c r="O173" s="50"/>
      <c r="P173" s="50"/>
      <c r="Q173" s="50"/>
      <c r="R173" s="50"/>
      <c r="S173" s="50"/>
      <c r="T173" s="50"/>
      <c r="U173" s="50"/>
      <c r="V173" s="50"/>
      <c r="W173" s="50"/>
      <c r="X173" s="50"/>
      <c r="Y173" s="50"/>
      <c r="Z173" s="50">
        <v>57680000</v>
      </c>
      <c r="AA173" s="50"/>
      <c r="AB173" s="50"/>
      <c r="AC173" s="50"/>
      <c r="AD173" s="50"/>
      <c r="AE173" s="50"/>
      <c r="AF173" s="50"/>
      <c r="AG173" s="50"/>
      <c r="AH173" s="50"/>
      <c r="AI173" s="50"/>
      <c r="AJ173" s="59" t="s">
        <v>1556</v>
      </c>
      <c r="AK173" s="1"/>
      <c r="AL173" s="1"/>
      <c r="AM173" s="1"/>
    </row>
    <row r="174" spans="1:39" ht="12.75" hidden="1" customHeight="1">
      <c r="A174" s="15">
        <v>67</v>
      </c>
      <c r="B174" s="58" t="s">
        <v>40</v>
      </c>
      <c r="C174" s="48" t="s">
        <v>1802</v>
      </c>
      <c r="D174" s="49" t="s">
        <v>1803</v>
      </c>
      <c r="E174" s="50"/>
      <c r="F174" s="50"/>
      <c r="G174" s="51"/>
      <c r="H174" s="51"/>
      <c r="I174" s="50"/>
      <c r="J174" s="50"/>
      <c r="K174" s="51"/>
      <c r="L174" s="51"/>
      <c r="M174" s="51"/>
      <c r="N174" s="50"/>
      <c r="O174" s="50"/>
      <c r="P174" s="50"/>
      <c r="Q174" s="50"/>
      <c r="R174" s="50"/>
      <c r="S174" s="50"/>
      <c r="T174" s="50"/>
      <c r="U174" s="50"/>
      <c r="V174" s="50"/>
      <c r="W174" s="50"/>
      <c r="X174" s="50"/>
      <c r="Y174" s="50"/>
      <c r="Z174" s="50">
        <v>41372000</v>
      </c>
      <c r="AA174" s="50"/>
      <c r="AB174" s="50"/>
      <c r="AC174" s="50"/>
      <c r="AD174" s="50"/>
      <c r="AE174" s="50"/>
      <c r="AF174" s="50"/>
      <c r="AG174" s="50"/>
      <c r="AH174" s="50"/>
      <c r="AI174" s="50"/>
      <c r="AJ174" s="59" t="s">
        <v>1556</v>
      </c>
      <c r="AK174" s="1"/>
      <c r="AL174" s="1"/>
      <c r="AM174" s="1"/>
    </row>
    <row r="175" spans="1:39" ht="12.75" hidden="1" customHeight="1">
      <c r="A175" s="15">
        <v>68</v>
      </c>
      <c r="B175" s="58" t="s">
        <v>40</v>
      </c>
      <c r="C175" s="48" t="s">
        <v>1774</v>
      </c>
      <c r="D175" s="49" t="s">
        <v>1775</v>
      </c>
      <c r="E175" s="50"/>
      <c r="F175" s="50"/>
      <c r="G175" s="51"/>
      <c r="H175" s="51"/>
      <c r="I175" s="50"/>
      <c r="J175" s="50"/>
      <c r="K175" s="51"/>
      <c r="L175" s="51"/>
      <c r="M175" s="51"/>
      <c r="N175" s="50"/>
      <c r="O175" s="50"/>
      <c r="P175" s="50"/>
      <c r="Q175" s="50"/>
      <c r="R175" s="50"/>
      <c r="S175" s="50"/>
      <c r="T175" s="50"/>
      <c r="U175" s="50"/>
      <c r="V175" s="50"/>
      <c r="W175" s="50"/>
      <c r="X175" s="50"/>
      <c r="Y175" s="50"/>
      <c r="Z175" s="50">
        <v>4941000</v>
      </c>
      <c r="AA175" s="50"/>
      <c r="AB175" s="50"/>
      <c r="AC175" s="50"/>
      <c r="AD175" s="50"/>
      <c r="AE175" s="50"/>
      <c r="AF175" s="50"/>
      <c r="AG175" s="50"/>
      <c r="AH175" s="50"/>
      <c r="AI175" s="50"/>
      <c r="AJ175" s="59" t="s">
        <v>1556</v>
      </c>
      <c r="AK175" s="1"/>
      <c r="AL175" s="1"/>
      <c r="AM175" s="1"/>
    </row>
    <row r="176" spans="1:39" ht="12.75" hidden="1" customHeight="1">
      <c r="A176" s="35">
        <v>69</v>
      </c>
      <c r="B176" s="58" t="s">
        <v>1517</v>
      </c>
      <c r="C176" s="48" t="s">
        <v>1804</v>
      </c>
      <c r="D176" s="49" t="s">
        <v>1805</v>
      </c>
      <c r="E176" s="50"/>
      <c r="F176" s="50"/>
      <c r="G176" s="51"/>
      <c r="H176" s="51"/>
      <c r="I176" s="50"/>
      <c r="J176" s="50"/>
      <c r="K176" s="51"/>
      <c r="L176" s="51"/>
      <c r="M176" s="51"/>
      <c r="N176" s="50"/>
      <c r="O176" s="50"/>
      <c r="P176" s="50"/>
      <c r="Q176" s="50"/>
      <c r="R176" s="50"/>
      <c r="S176" s="50"/>
      <c r="T176" s="50"/>
      <c r="U176" s="50"/>
      <c r="V176" s="50"/>
      <c r="W176" s="50"/>
      <c r="X176" s="50"/>
      <c r="Y176" s="50"/>
      <c r="Z176" s="50">
        <v>123053480</v>
      </c>
      <c r="AA176" s="50"/>
      <c r="AB176" s="50"/>
      <c r="AC176" s="50"/>
      <c r="AD176" s="50"/>
      <c r="AE176" s="50"/>
      <c r="AF176" s="50"/>
      <c r="AG176" s="50"/>
      <c r="AH176" s="50"/>
      <c r="AI176" s="50"/>
      <c r="AJ176" s="55" t="s">
        <v>1556</v>
      </c>
      <c r="AK176" s="1"/>
      <c r="AL176" s="1"/>
      <c r="AM176" s="1"/>
    </row>
    <row r="177" spans="1:39" ht="12.75" customHeight="1">
      <c r="A177" s="15">
        <v>70</v>
      </c>
      <c r="B177" s="58" t="s">
        <v>27</v>
      </c>
      <c r="C177" s="48" t="s">
        <v>1728</v>
      </c>
      <c r="D177" s="49" t="s">
        <v>1769</v>
      </c>
      <c r="E177" s="50"/>
      <c r="F177" s="50"/>
      <c r="G177" s="51"/>
      <c r="H177" s="51"/>
      <c r="I177" s="50"/>
      <c r="J177" s="50"/>
      <c r="K177" s="51"/>
      <c r="L177" s="51"/>
      <c r="M177" s="51"/>
      <c r="N177" s="50"/>
      <c r="O177" s="50"/>
      <c r="P177" s="50"/>
      <c r="Q177" s="50"/>
      <c r="R177" s="50"/>
      <c r="S177" s="50"/>
      <c r="T177" s="50"/>
      <c r="U177" s="50"/>
      <c r="V177" s="50"/>
      <c r="W177" s="50"/>
      <c r="X177" s="50"/>
      <c r="Y177" s="50"/>
      <c r="Z177" s="50"/>
      <c r="AA177" s="50"/>
      <c r="AB177" s="50"/>
      <c r="AC177" s="50"/>
      <c r="AD177" s="50">
        <v>16065000</v>
      </c>
      <c r="AE177" s="50"/>
      <c r="AF177" s="50"/>
      <c r="AG177" s="50"/>
      <c r="AH177" s="50"/>
      <c r="AI177" s="50"/>
      <c r="AJ177" s="55" t="s">
        <v>1703</v>
      </c>
      <c r="AK177" s="1"/>
      <c r="AL177" s="1"/>
      <c r="AM177" s="1"/>
    </row>
    <row r="178" spans="1:39" ht="12.75" hidden="1" customHeight="1">
      <c r="A178" s="15">
        <v>71</v>
      </c>
      <c r="B178" s="58" t="s">
        <v>1517</v>
      </c>
      <c r="C178" s="48" t="s">
        <v>1806</v>
      </c>
      <c r="D178" s="49" t="s">
        <v>1807</v>
      </c>
      <c r="E178" s="50"/>
      <c r="F178" s="50"/>
      <c r="G178" s="51"/>
      <c r="H178" s="51"/>
      <c r="I178" s="50"/>
      <c r="J178" s="50"/>
      <c r="K178" s="51"/>
      <c r="L178" s="51"/>
      <c r="M178" s="51"/>
      <c r="N178" s="50"/>
      <c r="O178" s="50"/>
      <c r="P178" s="50"/>
      <c r="Q178" s="50"/>
      <c r="R178" s="50"/>
      <c r="S178" s="50"/>
      <c r="T178" s="50"/>
      <c r="U178" s="50"/>
      <c r="V178" s="50"/>
      <c r="W178" s="50"/>
      <c r="X178" s="50"/>
      <c r="Y178" s="50"/>
      <c r="Z178" s="50">
        <v>41002800</v>
      </c>
      <c r="AA178" s="50"/>
      <c r="AB178" s="50"/>
      <c r="AC178" s="50"/>
      <c r="AD178" s="50"/>
      <c r="AE178" s="50"/>
      <c r="AF178" s="50"/>
      <c r="AG178" s="50"/>
      <c r="AH178" s="50"/>
      <c r="AI178" s="50"/>
      <c r="AJ178" s="59" t="s">
        <v>1700</v>
      </c>
      <c r="AK178" s="1"/>
      <c r="AL178" s="1"/>
      <c r="AM178" s="1"/>
    </row>
    <row r="179" spans="1:39" ht="12.75" customHeight="1">
      <c r="A179" s="35">
        <v>72</v>
      </c>
      <c r="B179" s="58" t="s">
        <v>27</v>
      </c>
      <c r="C179" s="48" t="s">
        <v>1808</v>
      </c>
      <c r="D179" s="49" t="s">
        <v>1809</v>
      </c>
      <c r="E179" s="50"/>
      <c r="F179" s="50"/>
      <c r="G179" s="51"/>
      <c r="H179" s="51"/>
      <c r="I179" s="50"/>
      <c r="J179" s="50"/>
      <c r="K179" s="51"/>
      <c r="L179" s="51"/>
      <c r="M179" s="51"/>
      <c r="N179" s="50"/>
      <c r="O179" s="50"/>
      <c r="P179" s="50"/>
      <c r="Q179" s="50"/>
      <c r="R179" s="50"/>
      <c r="S179" s="50"/>
      <c r="T179" s="50"/>
      <c r="U179" s="50"/>
      <c r="V179" s="50"/>
      <c r="W179" s="50"/>
      <c r="X179" s="50"/>
      <c r="Y179" s="50"/>
      <c r="Z179" s="50"/>
      <c r="AA179" s="50"/>
      <c r="AB179" s="50"/>
      <c r="AC179" s="50">
        <v>30000000</v>
      </c>
      <c r="AD179" s="50"/>
      <c r="AE179" s="50"/>
      <c r="AF179" s="50"/>
      <c r="AG179" s="50"/>
      <c r="AH179" s="50"/>
      <c r="AI179" s="50"/>
      <c r="AJ179" s="55" t="s">
        <v>1703</v>
      </c>
      <c r="AK179" s="1"/>
      <c r="AL179" s="1"/>
      <c r="AM179" s="1"/>
    </row>
    <row r="180" spans="1:39" ht="12.75" hidden="1" customHeight="1">
      <c r="A180" s="15">
        <v>73</v>
      </c>
      <c r="B180" s="58" t="s">
        <v>40</v>
      </c>
      <c r="C180" s="48" t="s">
        <v>1810</v>
      </c>
      <c r="D180" s="49" t="s">
        <v>1811</v>
      </c>
      <c r="E180" s="50"/>
      <c r="F180" s="50"/>
      <c r="G180" s="51"/>
      <c r="H180" s="51"/>
      <c r="I180" s="50"/>
      <c r="J180" s="50"/>
      <c r="K180" s="51"/>
      <c r="L180" s="51"/>
      <c r="M180" s="51"/>
      <c r="N180" s="50"/>
      <c r="O180" s="50"/>
      <c r="P180" s="50"/>
      <c r="Q180" s="50"/>
      <c r="R180" s="50"/>
      <c r="S180" s="50"/>
      <c r="T180" s="50"/>
      <c r="U180" s="50"/>
      <c r="V180" s="50"/>
      <c r="W180" s="50"/>
      <c r="X180" s="50"/>
      <c r="Y180" s="50"/>
      <c r="Z180" s="50"/>
      <c r="AA180" s="50"/>
      <c r="AB180" s="50"/>
      <c r="AC180" s="50">
        <v>182064080</v>
      </c>
      <c r="AD180" s="50"/>
      <c r="AE180" s="50"/>
      <c r="AF180" s="50"/>
      <c r="AG180" s="50"/>
      <c r="AH180" s="50"/>
      <c r="AI180" s="50"/>
      <c r="AJ180" s="55" t="s">
        <v>1556</v>
      </c>
      <c r="AK180" s="1"/>
      <c r="AL180" s="1"/>
      <c r="AM180" s="1"/>
    </row>
    <row r="181" spans="1:39" ht="12.75" hidden="1" customHeight="1">
      <c r="A181" s="15">
        <v>74</v>
      </c>
      <c r="B181" s="58" t="s">
        <v>40</v>
      </c>
      <c r="C181" s="48" t="s">
        <v>1810</v>
      </c>
      <c r="D181" s="49" t="s">
        <v>1812</v>
      </c>
      <c r="E181" s="50"/>
      <c r="F181" s="50"/>
      <c r="G181" s="51"/>
      <c r="H181" s="51"/>
      <c r="I181" s="50"/>
      <c r="J181" s="50"/>
      <c r="K181" s="51"/>
      <c r="L181" s="51"/>
      <c r="M181" s="51"/>
      <c r="N181" s="50"/>
      <c r="O181" s="50"/>
      <c r="P181" s="50"/>
      <c r="Q181" s="50"/>
      <c r="R181" s="50"/>
      <c r="S181" s="50"/>
      <c r="T181" s="50"/>
      <c r="U181" s="50"/>
      <c r="V181" s="50"/>
      <c r="W181" s="50"/>
      <c r="X181" s="50"/>
      <c r="Y181" s="50"/>
      <c r="Z181" s="50"/>
      <c r="AA181" s="50"/>
      <c r="AB181" s="50"/>
      <c r="AC181" s="50">
        <v>98880111</v>
      </c>
      <c r="AD181" s="50"/>
      <c r="AE181" s="50"/>
      <c r="AF181" s="50"/>
      <c r="AG181" s="50"/>
      <c r="AH181" s="50"/>
      <c r="AI181" s="50"/>
      <c r="AJ181" s="55" t="s">
        <v>1556</v>
      </c>
      <c r="AK181" s="1"/>
      <c r="AL181" s="1"/>
      <c r="AM181" s="1"/>
    </row>
    <row r="182" spans="1:39" ht="12.75" hidden="1" customHeight="1">
      <c r="A182" s="35">
        <v>75</v>
      </c>
      <c r="B182" s="58" t="s">
        <v>40</v>
      </c>
      <c r="C182" s="48" t="s">
        <v>1813</v>
      </c>
      <c r="D182" s="49" t="s">
        <v>1814</v>
      </c>
      <c r="E182" s="50"/>
      <c r="F182" s="50"/>
      <c r="G182" s="51"/>
      <c r="H182" s="51"/>
      <c r="I182" s="50"/>
      <c r="J182" s="50"/>
      <c r="K182" s="51"/>
      <c r="L182" s="51"/>
      <c r="M182" s="51"/>
      <c r="N182" s="50"/>
      <c r="O182" s="50"/>
      <c r="P182" s="50"/>
      <c r="Q182" s="50"/>
      <c r="R182" s="50"/>
      <c r="S182" s="50"/>
      <c r="T182" s="50"/>
      <c r="U182" s="50"/>
      <c r="V182" s="50"/>
      <c r="W182" s="50"/>
      <c r="X182" s="50"/>
      <c r="Y182" s="50"/>
      <c r="Z182" s="50"/>
      <c r="AA182" s="50"/>
      <c r="AB182" s="50"/>
      <c r="AC182" s="50">
        <v>172797170</v>
      </c>
      <c r="AD182" s="50"/>
      <c r="AE182" s="50"/>
      <c r="AF182" s="50"/>
      <c r="AG182" s="50"/>
      <c r="AH182" s="50"/>
      <c r="AI182" s="50"/>
      <c r="AJ182" s="55" t="s">
        <v>1556</v>
      </c>
      <c r="AK182" s="1"/>
      <c r="AL182" s="1"/>
      <c r="AM182" s="1"/>
    </row>
    <row r="183" spans="1:39" ht="12.75" hidden="1" customHeight="1">
      <c r="A183" s="15">
        <v>76</v>
      </c>
      <c r="B183" s="58" t="s">
        <v>1517</v>
      </c>
      <c r="C183" s="48" t="s">
        <v>1815</v>
      </c>
      <c r="D183" s="49" t="s">
        <v>1816</v>
      </c>
      <c r="E183" s="50"/>
      <c r="F183" s="50"/>
      <c r="G183" s="51"/>
      <c r="H183" s="51"/>
      <c r="I183" s="50"/>
      <c r="J183" s="50"/>
      <c r="K183" s="51"/>
      <c r="L183" s="51"/>
      <c r="M183" s="51"/>
      <c r="N183" s="50"/>
      <c r="O183" s="50"/>
      <c r="P183" s="50"/>
      <c r="Q183" s="50"/>
      <c r="R183" s="50"/>
      <c r="S183" s="50"/>
      <c r="T183" s="50"/>
      <c r="U183" s="50"/>
      <c r="V183" s="50"/>
      <c r="W183" s="50"/>
      <c r="X183" s="50"/>
      <c r="Y183" s="50"/>
      <c r="Z183" s="50"/>
      <c r="AA183" s="50">
        <v>8640000</v>
      </c>
      <c r="AB183" s="50"/>
      <c r="AC183" s="50"/>
      <c r="AD183" s="50"/>
      <c r="AE183" s="50"/>
      <c r="AF183" s="50"/>
      <c r="AG183" s="50"/>
      <c r="AH183" s="50"/>
      <c r="AI183" s="50"/>
      <c r="AJ183" s="59" t="s">
        <v>1700</v>
      </c>
      <c r="AK183" s="1"/>
      <c r="AL183" s="1"/>
      <c r="AM183" s="1"/>
    </row>
    <row r="184" spans="1:39" ht="12.75" hidden="1" customHeight="1">
      <c r="A184" s="15">
        <v>77</v>
      </c>
      <c r="B184" s="58" t="s">
        <v>40</v>
      </c>
      <c r="C184" s="48" t="s">
        <v>1815</v>
      </c>
      <c r="D184" s="49" t="s">
        <v>1817</v>
      </c>
      <c r="E184" s="50"/>
      <c r="F184" s="50"/>
      <c r="G184" s="51"/>
      <c r="H184" s="51"/>
      <c r="I184" s="50"/>
      <c r="J184" s="50"/>
      <c r="K184" s="51"/>
      <c r="L184" s="51"/>
      <c r="M184" s="51"/>
      <c r="N184" s="50"/>
      <c r="O184" s="50"/>
      <c r="P184" s="50"/>
      <c r="Q184" s="50"/>
      <c r="R184" s="50"/>
      <c r="S184" s="50"/>
      <c r="T184" s="50"/>
      <c r="U184" s="50"/>
      <c r="V184" s="50"/>
      <c r="W184" s="50"/>
      <c r="X184" s="50"/>
      <c r="Y184" s="50"/>
      <c r="Z184" s="50"/>
      <c r="AA184" s="50">
        <v>36207000</v>
      </c>
      <c r="AB184" s="50"/>
      <c r="AC184" s="50"/>
      <c r="AD184" s="50"/>
      <c r="AE184" s="50"/>
      <c r="AF184" s="50"/>
      <c r="AG184" s="50"/>
      <c r="AH184" s="50"/>
      <c r="AI184" s="50"/>
      <c r="AJ184" s="59" t="s">
        <v>1556</v>
      </c>
      <c r="AK184" s="1"/>
      <c r="AL184" s="1"/>
      <c r="AM184" s="1"/>
    </row>
    <row r="185" spans="1:39" ht="12.75" hidden="1" customHeight="1">
      <c r="A185" s="35">
        <v>78</v>
      </c>
      <c r="B185" s="58" t="s">
        <v>40</v>
      </c>
      <c r="C185" s="48" t="s">
        <v>1759</v>
      </c>
      <c r="D185" s="49" t="s">
        <v>1818</v>
      </c>
      <c r="E185" s="50"/>
      <c r="F185" s="50"/>
      <c r="G185" s="51"/>
      <c r="H185" s="51"/>
      <c r="I185" s="50"/>
      <c r="J185" s="50"/>
      <c r="K185" s="51"/>
      <c r="L185" s="51"/>
      <c r="M185" s="51"/>
      <c r="N185" s="50"/>
      <c r="O185" s="50"/>
      <c r="P185" s="50"/>
      <c r="Q185" s="50"/>
      <c r="R185" s="50"/>
      <c r="S185" s="50"/>
      <c r="T185" s="50"/>
      <c r="U185" s="50"/>
      <c r="V185" s="50"/>
      <c r="W185" s="50"/>
      <c r="X185" s="50"/>
      <c r="Y185" s="50"/>
      <c r="Z185" s="50"/>
      <c r="AA185" s="50"/>
      <c r="AB185" s="50">
        <v>140140800</v>
      </c>
      <c r="AC185" s="50"/>
      <c r="AD185" s="50"/>
      <c r="AE185" s="50"/>
      <c r="AF185" s="50"/>
      <c r="AG185" s="50"/>
      <c r="AH185" s="50"/>
      <c r="AI185" s="50"/>
      <c r="AJ185" s="59" t="s">
        <v>1556</v>
      </c>
      <c r="AK185" s="1"/>
      <c r="AL185" s="1"/>
      <c r="AM185" s="1"/>
    </row>
    <row r="186" spans="1:39" ht="12.75" customHeight="1">
      <c r="A186" s="15">
        <v>79</v>
      </c>
      <c r="B186" s="58" t="s">
        <v>27</v>
      </c>
      <c r="C186" s="48" t="s">
        <v>1714</v>
      </c>
      <c r="D186" s="49" t="s">
        <v>1715</v>
      </c>
      <c r="E186" s="50"/>
      <c r="F186" s="50"/>
      <c r="G186" s="51"/>
      <c r="H186" s="51"/>
      <c r="I186" s="50"/>
      <c r="J186" s="50"/>
      <c r="K186" s="51"/>
      <c r="L186" s="51"/>
      <c r="M186" s="51"/>
      <c r="N186" s="50"/>
      <c r="O186" s="50"/>
      <c r="P186" s="50"/>
      <c r="Q186" s="50"/>
      <c r="R186" s="50"/>
      <c r="S186" s="50"/>
      <c r="T186" s="50"/>
      <c r="U186" s="50"/>
      <c r="V186" s="50"/>
      <c r="W186" s="50"/>
      <c r="X186" s="50"/>
      <c r="Y186" s="50"/>
      <c r="Z186" s="50"/>
      <c r="AA186" s="50"/>
      <c r="AB186" s="50"/>
      <c r="AC186" s="50">
        <v>20000000</v>
      </c>
      <c r="AD186" s="50"/>
      <c r="AE186" s="50"/>
      <c r="AF186" s="50"/>
      <c r="AG186" s="50"/>
      <c r="AH186" s="50"/>
      <c r="AI186" s="50"/>
      <c r="AJ186" s="55" t="s">
        <v>1703</v>
      </c>
      <c r="AK186" s="1"/>
      <c r="AL186" s="1"/>
      <c r="AM186" s="1"/>
    </row>
    <row r="187" spans="1:39" ht="12.75" hidden="1" customHeight="1">
      <c r="A187" s="15">
        <v>80</v>
      </c>
      <c r="B187" s="58" t="s">
        <v>1517</v>
      </c>
      <c r="C187" s="48" t="s">
        <v>1819</v>
      </c>
      <c r="D187" s="49" t="s">
        <v>1820</v>
      </c>
      <c r="E187" s="50"/>
      <c r="F187" s="50"/>
      <c r="G187" s="51"/>
      <c r="H187" s="51"/>
      <c r="I187" s="50"/>
      <c r="J187" s="50"/>
      <c r="K187" s="51"/>
      <c r="L187" s="51"/>
      <c r="M187" s="51"/>
      <c r="N187" s="50"/>
      <c r="O187" s="50"/>
      <c r="P187" s="50"/>
      <c r="Q187" s="50"/>
      <c r="R187" s="50"/>
      <c r="S187" s="50"/>
      <c r="T187" s="50"/>
      <c r="U187" s="50"/>
      <c r="V187" s="50"/>
      <c r="W187" s="50"/>
      <c r="X187" s="50"/>
      <c r="Y187" s="50"/>
      <c r="Z187" s="50"/>
      <c r="AA187" s="50"/>
      <c r="AB187" s="50"/>
      <c r="AC187" s="50">
        <v>67968000</v>
      </c>
      <c r="AD187" s="50"/>
      <c r="AE187" s="50"/>
      <c r="AF187" s="50"/>
      <c r="AG187" s="50"/>
      <c r="AH187" s="50"/>
      <c r="AI187" s="50"/>
      <c r="AJ187" s="59" t="s">
        <v>1700</v>
      </c>
      <c r="AK187" s="1"/>
      <c r="AL187" s="1"/>
      <c r="AM187" s="1"/>
    </row>
    <row r="188" spans="1:39" ht="12.75" hidden="1" customHeight="1">
      <c r="A188" s="35">
        <v>81</v>
      </c>
      <c r="B188" s="58" t="s">
        <v>1517</v>
      </c>
      <c r="C188" s="48" t="s">
        <v>1821</v>
      </c>
      <c r="D188" s="49" t="s">
        <v>1789</v>
      </c>
      <c r="E188" s="50"/>
      <c r="F188" s="50"/>
      <c r="G188" s="51"/>
      <c r="H188" s="51"/>
      <c r="I188" s="50"/>
      <c r="J188" s="50"/>
      <c r="K188" s="51"/>
      <c r="L188" s="51"/>
      <c r="M188" s="51"/>
      <c r="N188" s="50"/>
      <c r="O188" s="50"/>
      <c r="P188" s="50"/>
      <c r="Q188" s="50"/>
      <c r="R188" s="50"/>
      <c r="S188" s="50"/>
      <c r="T188" s="50"/>
      <c r="U188" s="50"/>
      <c r="V188" s="50"/>
      <c r="W188" s="50"/>
      <c r="X188" s="50"/>
      <c r="Y188" s="50"/>
      <c r="Z188" s="50"/>
      <c r="AA188" s="50"/>
      <c r="AB188" s="50">
        <v>33962500</v>
      </c>
      <c r="AC188" s="50"/>
      <c r="AD188" s="50"/>
      <c r="AE188" s="50"/>
      <c r="AF188" s="50"/>
      <c r="AG188" s="50"/>
      <c r="AH188" s="50"/>
      <c r="AI188" s="50"/>
      <c r="AJ188" s="59" t="s">
        <v>1700</v>
      </c>
      <c r="AK188" s="1"/>
      <c r="AL188" s="1"/>
      <c r="AM188" s="1"/>
    </row>
    <row r="189" spans="1:39" ht="12.75" hidden="1" customHeight="1">
      <c r="A189" s="15">
        <v>82</v>
      </c>
      <c r="B189" s="58" t="s">
        <v>40</v>
      </c>
      <c r="C189" s="48" t="s">
        <v>1748</v>
      </c>
      <c r="D189" s="49" t="s">
        <v>1749</v>
      </c>
      <c r="E189" s="50"/>
      <c r="F189" s="50"/>
      <c r="G189" s="51"/>
      <c r="H189" s="51"/>
      <c r="I189" s="50"/>
      <c r="J189" s="50"/>
      <c r="K189" s="51"/>
      <c r="L189" s="51"/>
      <c r="M189" s="51"/>
      <c r="N189" s="50"/>
      <c r="O189" s="50"/>
      <c r="P189" s="50"/>
      <c r="Q189" s="50"/>
      <c r="R189" s="50"/>
      <c r="S189" s="50"/>
      <c r="T189" s="50"/>
      <c r="U189" s="50"/>
      <c r="V189" s="50"/>
      <c r="W189" s="50"/>
      <c r="X189" s="50"/>
      <c r="Y189" s="50"/>
      <c r="Z189" s="50"/>
      <c r="AA189" s="50">
        <v>3900600</v>
      </c>
      <c r="AB189" s="50"/>
      <c r="AC189" s="50"/>
      <c r="AD189" s="50"/>
      <c r="AE189" s="50"/>
      <c r="AF189" s="50"/>
      <c r="AG189" s="50"/>
      <c r="AH189" s="50"/>
      <c r="AI189" s="50"/>
      <c r="AJ189" s="59" t="s">
        <v>1556</v>
      </c>
      <c r="AK189" s="1"/>
      <c r="AL189" s="1"/>
      <c r="AM189" s="1"/>
    </row>
    <row r="190" spans="1:39" ht="12.75" hidden="1" customHeight="1">
      <c r="A190" s="15">
        <v>83</v>
      </c>
      <c r="B190" s="58" t="s">
        <v>40</v>
      </c>
      <c r="C190" s="48" t="s">
        <v>1822</v>
      </c>
      <c r="D190" s="49" t="s">
        <v>1823</v>
      </c>
      <c r="E190" s="50"/>
      <c r="F190" s="50"/>
      <c r="G190" s="51"/>
      <c r="H190" s="51"/>
      <c r="I190" s="50"/>
      <c r="J190" s="50"/>
      <c r="K190" s="51"/>
      <c r="L190" s="51"/>
      <c r="M190" s="51"/>
      <c r="N190" s="50"/>
      <c r="O190" s="50"/>
      <c r="P190" s="50"/>
      <c r="Q190" s="50"/>
      <c r="R190" s="50"/>
      <c r="S190" s="50"/>
      <c r="T190" s="50"/>
      <c r="U190" s="50"/>
      <c r="V190" s="50"/>
      <c r="W190" s="50"/>
      <c r="X190" s="50"/>
      <c r="Y190" s="50"/>
      <c r="Z190" s="50"/>
      <c r="AA190" s="50">
        <v>131608000</v>
      </c>
      <c r="AB190" s="50"/>
      <c r="AC190" s="50"/>
      <c r="AD190" s="50"/>
      <c r="AE190" s="50"/>
      <c r="AF190" s="50"/>
      <c r="AG190" s="50"/>
      <c r="AH190" s="50"/>
      <c r="AI190" s="50"/>
      <c r="AJ190" s="59" t="s">
        <v>1556</v>
      </c>
      <c r="AK190" s="1"/>
      <c r="AL190" s="1"/>
      <c r="AM190" s="1"/>
    </row>
    <row r="191" spans="1:39" ht="12.75" customHeight="1">
      <c r="A191" s="35">
        <v>84</v>
      </c>
      <c r="B191" s="58" t="s">
        <v>27</v>
      </c>
      <c r="C191" s="48" t="s">
        <v>1761</v>
      </c>
      <c r="D191" s="49" t="s">
        <v>1805</v>
      </c>
      <c r="E191" s="50"/>
      <c r="F191" s="50"/>
      <c r="G191" s="51"/>
      <c r="H191" s="51"/>
      <c r="I191" s="50"/>
      <c r="J191" s="50"/>
      <c r="K191" s="51"/>
      <c r="L191" s="51"/>
      <c r="M191" s="51"/>
      <c r="N191" s="50"/>
      <c r="O191" s="50"/>
      <c r="P191" s="50"/>
      <c r="Q191" s="50"/>
      <c r="R191" s="50"/>
      <c r="S191" s="50"/>
      <c r="T191" s="50"/>
      <c r="U191" s="50"/>
      <c r="V191" s="50"/>
      <c r="W191" s="50"/>
      <c r="X191" s="50"/>
      <c r="Y191" s="50"/>
      <c r="Z191" s="50"/>
      <c r="AA191" s="50"/>
      <c r="AB191" s="50"/>
      <c r="AC191" s="50"/>
      <c r="AD191" s="50"/>
      <c r="AE191" s="50">
        <v>90000000</v>
      </c>
      <c r="AF191" s="50"/>
      <c r="AG191" s="50"/>
      <c r="AH191" s="50"/>
      <c r="AI191" s="50"/>
      <c r="AJ191" s="59" t="s">
        <v>1703</v>
      </c>
      <c r="AK191" s="1"/>
      <c r="AL191" s="1"/>
      <c r="AM191" s="1"/>
    </row>
    <row r="192" spans="1:39" ht="12.75" hidden="1" customHeight="1">
      <c r="A192" s="15">
        <v>85</v>
      </c>
      <c r="B192" s="58" t="s">
        <v>40</v>
      </c>
      <c r="C192" s="48" t="s">
        <v>1824</v>
      </c>
      <c r="D192" s="49" t="s">
        <v>1825</v>
      </c>
      <c r="E192" s="50"/>
      <c r="F192" s="50"/>
      <c r="G192" s="51"/>
      <c r="H192" s="51"/>
      <c r="I192" s="50"/>
      <c r="J192" s="50"/>
      <c r="K192" s="51"/>
      <c r="L192" s="51"/>
      <c r="M192" s="51"/>
      <c r="N192" s="50"/>
      <c r="O192" s="50"/>
      <c r="P192" s="50"/>
      <c r="Q192" s="50"/>
      <c r="R192" s="50"/>
      <c r="S192" s="50"/>
      <c r="T192" s="50"/>
      <c r="U192" s="50"/>
      <c r="V192" s="50"/>
      <c r="W192" s="50"/>
      <c r="X192" s="50"/>
      <c r="Y192" s="50"/>
      <c r="Z192" s="50"/>
      <c r="AA192" s="50"/>
      <c r="AB192" s="50"/>
      <c r="AC192" s="50">
        <v>327429000</v>
      </c>
      <c r="AD192" s="50"/>
      <c r="AE192" s="50"/>
      <c r="AF192" s="50"/>
      <c r="AG192" s="50"/>
      <c r="AH192" s="50"/>
      <c r="AI192" s="50"/>
      <c r="AJ192" s="59" t="s">
        <v>1556</v>
      </c>
      <c r="AK192" s="1"/>
      <c r="AL192" s="1"/>
      <c r="AM192" s="1"/>
    </row>
    <row r="193" spans="1:39" ht="12.75" hidden="1" customHeight="1">
      <c r="A193" s="15">
        <v>86</v>
      </c>
      <c r="B193" s="58" t="s">
        <v>1517</v>
      </c>
      <c r="C193" s="48" t="s">
        <v>1759</v>
      </c>
      <c r="D193" s="49" t="s">
        <v>1826</v>
      </c>
      <c r="E193" s="50"/>
      <c r="F193" s="50"/>
      <c r="G193" s="51"/>
      <c r="H193" s="51"/>
      <c r="I193" s="50"/>
      <c r="J193" s="50"/>
      <c r="K193" s="51"/>
      <c r="L193" s="51"/>
      <c r="M193" s="51"/>
      <c r="N193" s="50"/>
      <c r="O193" s="50"/>
      <c r="P193" s="50"/>
      <c r="Q193" s="50"/>
      <c r="R193" s="50"/>
      <c r="S193" s="50"/>
      <c r="T193" s="50"/>
      <c r="U193" s="50"/>
      <c r="V193" s="50"/>
      <c r="W193" s="50"/>
      <c r="X193" s="50"/>
      <c r="Y193" s="50"/>
      <c r="Z193" s="50"/>
      <c r="AA193" s="50">
        <v>4660000</v>
      </c>
      <c r="AB193" s="50"/>
      <c r="AC193" s="50"/>
      <c r="AD193" s="50"/>
      <c r="AE193" s="50"/>
      <c r="AF193" s="50"/>
      <c r="AG193" s="50"/>
      <c r="AH193" s="50"/>
      <c r="AI193" s="50"/>
      <c r="AJ193" s="59" t="s">
        <v>1700</v>
      </c>
      <c r="AK193" s="1"/>
      <c r="AL193" s="1"/>
      <c r="AM193" s="1"/>
    </row>
    <row r="194" spans="1:39" ht="12.75" customHeight="1">
      <c r="A194" s="35">
        <v>87</v>
      </c>
      <c r="B194" s="58" t="s">
        <v>27</v>
      </c>
      <c r="C194" s="48" t="s">
        <v>1733</v>
      </c>
      <c r="D194" s="49" t="s">
        <v>1768</v>
      </c>
      <c r="E194" s="50"/>
      <c r="F194" s="50"/>
      <c r="G194" s="51"/>
      <c r="H194" s="51"/>
      <c r="I194" s="50"/>
      <c r="J194" s="50"/>
      <c r="K194" s="51"/>
      <c r="L194" s="51"/>
      <c r="M194" s="51"/>
      <c r="N194" s="50"/>
      <c r="O194" s="50"/>
      <c r="P194" s="50"/>
      <c r="Q194" s="50"/>
      <c r="R194" s="50"/>
      <c r="S194" s="50"/>
      <c r="T194" s="50"/>
      <c r="U194" s="50"/>
      <c r="V194" s="50"/>
      <c r="W194" s="50"/>
      <c r="X194" s="50"/>
      <c r="Y194" s="50"/>
      <c r="Z194" s="50"/>
      <c r="AA194" s="50"/>
      <c r="AB194" s="50">
        <v>10000000</v>
      </c>
      <c r="AC194" s="50"/>
      <c r="AD194" s="50"/>
      <c r="AE194" s="50"/>
      <c r="AF194" s="50"/>
      <c r="AG194" s="50"/>
      <c r="AH194" s="50"/>
      <c r="AI194" s="50"/>
      <c r="AJ194" s="59" t="s">
        <v>1703</v>
      </c>
      <c r="AK194" s="1"/>
      <c r="AL194" s="1"/>
      <c r="AM194" s="1"/>
    </row>
    <row r="195" spans="1:39" ht="12.75" hidden="1" customHeight="1">
      <c r="A195" s="15">
        <v>88</v>
      </c>
      <c r="B195" s="58" t="s">
        <v>40</v>
      </c>
      <c r="C195" s="48" t="s">
        <v>1722</v>
      </c>
      <c r="D195" s="49" t="s">
        <v>1827</v>
      </c>
      <c r="E195" s="50"/>
      <c r="F195" s="50"/>
      <c r="G195" s="51"/>
      <c r="H195" s="51"/>
      <c r="I195" s="50"/>
      <c r="J195" s="50"/>
      <c r="K195" s="51"/>
      <c r="L195" s="51"/>
      <c r="M195" s="51"/>
      <c r="N195" s="50"/>
      <c r="O195" s="50"/>
      <c r="P195" s="50"/>
      <c r="Q195" s="50"/>
      <c r="R195" s="50"/>
      <c r="S195" s="50"/>
      <c r="T195" s="50"/>
      <c r="U195" s="50"/>
      <c r="V195" s="50"/>
      <c r="W195" s="50"/>
      <c r="X195" s="50"/>
      <c r="Y195" s="50"/>
      <c r="Z195" s="50"/>
      <c r="AA195" s="50"/>
      <c r="AB195" s="50">
        <v>13490000</v>
      </c>
      <c r="AC195" s="50"/>
      <c r="AD195" s="50"/>
      <c r="AE195" s="50"/>
      <c r="AF195" s="50"/>
      <c r="AG195" s="50"/>
      <c r="AH195" s="50"/>
      <c r="AI195" s="50"/>
      <c r="AJ195" s="59" t="s">
        <v>1556</v>
      </c>
      <c r="AK195" s="1"/>
      <c r="AL195" s="1"/>
      <c r="AM195" s="1"/>
    </row>
    <row r="196" spans="1:39" ht="12.75" hidden="1" customHeight="1">
      <c r="A196" s="15">
        <v>89</v>
      </c>
      <c r="B196" s="58" t="s">
        <v>40</v>
      </c>
      <c r="C196" s="48" t="s">
        <v>1828</v>
      </c>
      <c r="D196" s="49" t="s">
        <v>1829</v>
      </c>
      <c r="E196" s="50"/>
      <c r="F196" s="50"/>
      <c r="G196" s="51"/>
      <c r="H196" s="51"/>
      <c r="I196" s="50"/>
      <c r="J196" s="50"/>
      <c r="K196" s="51"/>
      <c r="L196" s="51"/>
      <c r="M196" s="51"/>
      <c r="N196" s="50"/>
      <c r="O196" s="50"/>
      <c r="P196" s="50"/>
      <c r="Q196" s="50"/>
      <c r="R196" s="50"/>
      <c r="S196" s="50"/>
      <c r="T196" s="50"/>
      <c r="U196" s="50"/>
      <c r="V196" s="50"/>
      <c r="W196" s="50"/>
      <c r="X196" s="50"/>
      <c r="Y196" s="50"/>
      <c r="Z196" s="50"/>
      <c r="AA196" s="50"/>
      <c r="AB196" s="50"/>
      <c r="AC196" s="50">
        <v>13920000</v>
      </c>
      <c r="AD196" s="50"/>
      <c r="AE196" s="50"/>
      <c r="AF196" s="50"/>
      <c r="AG196" s="50"/>
      <c r="AH196" s="50"/>
      <c r="AI196" s="50"/>
      <c r="AJ196" s="59" t="s">
        <v>1556</v>
      </c>
      <c r="AK196" s="1"/>
      <c r="AL196" s="1"/>
      <c r="AM196" s="1"/>
    </row>
    <row r="197" spans="1:39" ht="12.75" hidden="1" customHeight="1">
      <c r="A197" s="35">
        <v>90</v>
      </c>
      <c r="B197" s="58" t="s">
        <v>40</v>
      </c>
      <c r="C197" s="48" t="s">
        <v>1830</v>
      </c>
      <c r="D197" s="49" t="s">
        <v>1831</v>
      </c>
      <c r="E197" s="50"/>
      <c r="F197" s="50"/>
      <c r="G197" s="51"/>
      <c r="H197" s="51"/>
      <c r="I197" s="50"/>
      <c r="J197" s="50"/>
      <c r="K197" s="51"/>
      <c r="L197" s="51"/>
      <c r="M197" s="51"/>
      <c r="N197" s="50"/>
      <c r="O197" s="50"/>
      <c r="P197" s="50"/>
      <c r="Q197" s="50"/>
      <c r="R197" s="50"/>
      <c r="S197" s="50"/>
      <c r="T197" s="50"/>
      <c r="U197" s="50"/>
      <c r="V197" s="50"/>
      <c r="W197" s="50"/>
      <c r="X197" s="50"/>
      <c r="Y197" s="50"/>
      <c r="Z197" s="50"/>
      <c r="AA197" s="50"/>
      <c r="AB197" s="50">
        <v>495110500</v>
      </c>
      <c r="AC197" s="50"/>
      <c r="AD197" s="50"/>
      <c r="AE197" s="50"/>
      <c r="AF197" s="50"/>
      <c r="AG197" s="50"/>
      <c r="AH197" s="50"/>
      <c r="AI197" s="50"/>
      <c r="AJ197" s="59" t="s">
        <v>1556</v>
      </c>
      <c r="AK197" s="1"/>
      <c r="AL197" s="1"/>
      <c r="AM197" s="1"/>
    </row>
    <row r="198" spans="1:39" ht="12.75" customHeight="1">
      <c r="A198" s="15">
        <v>91</v>
      </c>
      <c r="B198" s="58" t="s">
        <v>27</v>
      </c>
      <c r="C198" s="48" t="s">
        <v>1738</v>
      </c>
      <c r="D198" s="49" t="s">
        <v>1832</v>
      </c>
      <c r="E198" s="50"/>
      <c r="F198" s="50"/>
      <c r="G198" s="51"/>
      <c r="H198" s="51"/>
      <c r="I198" s="50"/>
      <c r="J198" s="50"/>
      <c r="K198" s="51"/>
      <c r="L198" s="51"/>
      <c r="M198" s="51"/>
      <c r="N198" s="50"/>
      <c r="O198" s="50"/>
      <c r="P198" s="50"/>
      <c r="Q198" s="50"/>
      <c r="R198" s="50"/>
      <c r="S198" s="50"/>
      <c r="T198" s="50"/>
      <c r="U198" s="50"/>
      <c r="V198" s="50"/>
      <c r="W198" s="50"/>
      <c r="X198" s="50"/>
      <c r="Y198" s="50"/>
      <c r="Z198" s="50"/>
      <c r="AA198" s="50"/>
      <c r="AB198" s="50"/>
      <c r="AC198" s="50"/>
      <c r="AD198" s="50"/>
      <c r="AE198" s="50"/>
      <c r="AF198" s="50">
        <v>35000000</v>
      </c>
      <c r="AG198" s="50"/>
      <c r="AH198" s="50"/>
      <c r="AI198" s="50"/>
      <c r="AJ198" s="59" t="s">
        <v>1703</v>
      </c>
      <c r="AK198" s="1"/>
      <c r="AL198" s="1"/>
      <c r="AM198" s="1"/>
    </row>
    <row r="199" spans="1:39" ht="12.75" hidden="1" customHeight="1">
      <c r="A199" s="15">
        <v>92</v>
      </c>
      <c r="B199" s="58" t="s">
        <v>40</v>
      </c>
      <c r="C199" s="48" t="s">
        <v>1720</v>
      </c>
      <c r="D199" s="49" t="s">
        <v>1833</v>
      </c>
      <c r="E199" s="50"/>
      <c r="F199" s="50"/>
      <c r="G199" s="51"/>
      <c r="H199" s="51"/>
      <c r="I199" s="50"/>
      <c r="J199" s="50"/>
      <c r="K199" s="51"/>
      <c r="L199" s="51"/>
      <c r="M199" s="51"/>
      <c r="N199" s="50"/>
      <c r="O199" s="50"/>
      <c r="P199" s="50"/>
      <c r="Q199" s="50"/>
      <c r="R199" s="50"/>
      <c r="S199" s="50"/>
      <c r="T199" s="50"/>
      <c r="U199" s="50"/>
      <c r="V199" s="50"/>
      <c r="W199" s="50"/>
      <c r="X199" s="50"/>
      <c r="Y199" s="50"/>
      <c r="Z199" s="50"/>
      <c r="AA199" s="50"/>
      <c r="AB199" s="50"/>
      <c r="AC199" s="50"/>
      <c r="AD199" s="50">
        <v>13335000</v>
      </c>
      <c r="AE199" s="50"/>
      <c r="AF199" s="50"/>
      <c r="AG199" s="50"/>
      <c r="AH199" s="50"/>
      <c r="AI199" s="50"/>
      <c r="AJ199" s="59" t="s">
        <v>1556</v>
      </c>
      <c r="AK199" s="1"/>
      <c r="AL199" s="1"/>
      <c r="AM199" s="1"/>
    </row>
    <row r="200" spans="1:39" ht="12.75" hidden="1" customHeight="1">
      <c r="A200" s="35">
        <v>93</v>
      </c>
      <c r="B200" s="58" t="s">
        <v>40</v>
      </c>
      <c r="C200" s="48" t="s">
        <v>1701</v>
      </c>
      <c r="D200" s="49" t="s">
        <v>1732</v>
      </c>
      <c r="E200" s="50"/>
      <c r="F200" s="50"/>
      <c r="G200" s="51"/>
      <c r="H200" s="51"/>
      <c r="I200" s="50"/>
      <c r="J200" s="50"/>
      <c r="K200" s="51"/>
      <c r="L200" s="51"/>
      <c r="M200" s="51"/>
      <c r="N200" s="50"/>
      <c r="O200" s="50"/>
      <c r="P200" s="50"/>
      <c r="Q200" s="50"/>
      <c r="R200" s="50"/>
      <c r="S200" s="50"/>
      <c r="T200" s="50"/>
      <c r="U200" s="50"/>
      <c r="V200" s="50"/>
      <c r="W200" s="50"/>
      <c r="X200" s="50"/>
      <c r="Y200" s="50"/>
      <c r="Z200" s="50"/>
      <c r="AA200" s="50"/>
      <c r="AB200" s="50"/>
      <c r="AC200" s="50"/>
      <c r="AD200" s="50">
        <v>2090000</v>
      </c>
      <c r="AE200" s="50"/>
      <c r="AF200" s="50"/>
      <c r="AG200" s="50"/>
      <c r="AH200" s="50"/>
      <c r="AI200" s="50"/>
      <c r="AJ200" s="59" t="s">
        <v>1556</v>
      </c>
      <c r="AK200" s="1"/>
      <c r="AL200" s="1"/>
      <c r="AM200" s="1"/>
    </row>
    <row r="201" spans="1:39" ht="12.75" hidden="1" customHeight="1">
      <c r="A201" s="15">
        <v>94</v>
      </c>
      <c r="B201" s="58" t="s">
        <v>1517</v>
      </c>
      <c r="C201" s="48" t="s">
        <v>1834</v>
      </c>
      <c r="D201" s="49" t="s">
        <v>1835</v>
      </c>
      <c r="E201" s="50"/>
      <c r="F201" s="50"/>
      <c r="G201" s="51"/>
      <c r="H201" s="51"/>
      <c r="I201" s="50"/>
      <c r="J201" s="50"/>
      <c r="K201" s="51"/>
      <c r="L201" s="51"/>
      <c r="M201" s="51"/>
      <c r="N201" s="50"/>
      <c r="O201" s="50"/>
      <c r="P201" s="50"/>
      <c r="Q201" s="50"/>
      <c r="R201" s="50"/>
      <c r="S201" s="50"/>
      <c r="T201" s="50"/>
      <c r="U201" s="50"/>
      <c r="V201" s="50"/>
      <c r="W201" s="50"/>
      <c r="X201" s="50"/>
      <c r="Y201" s="50"/>
      <c r="Z201" s="50"/>
      <c r="AA201" s="50"/>
      <c r="AB201" s="50"/>
      <c r="AC201" s="50"/>
      <c r="AD201" s="50">
        <v>14520000</v>
      </c>
      <c r="AE201" s="50"/>
      <c r="AF201" s="50"/>
      <c r="AG201" s="50"/>
      <c r="AH201" s="50"/>
      <c r="AI201" s="50"/>
      <c r="AJ201" s="59" t="s">
        <v>1700</v>
      </c>
      <c r="AK201" s="1"/>
      <c r="AL201" s="1"/>
      <c r="AM201" s="1"/>
    </row>
    <row r="202" spans="1:39" ht="12.75" hidden="1" customHeight="1">
      <c r="A202" s="15">
        <v>95</v>
      </c>
      <c r="B202" s="58" t="s">
        <v>40</v>
      </c>
      <c r="C202" s="48" t="s">
        <v>1834</v>
      </c>
      <c r="D202" s="49" t="s">
        <v>1836</v>
      </c>
      <c r="E202" s="50"/>
      <c r="F202" s="50"/>
      <c r="G202" s="51"/>
      <c r="H202" s="51"/>
      <c r="I202" s="50"/>
      <c r="J202" s="50"/>
      <c r="K202" s="51"/>
      <c r="L202" s="51"/>
      <c r="M202" s="51"/>
      <c r="N202" s="50"/>
      <c r="O202" s="50"/>
      <c r="P202" s="50"/>
      <c r="Q202" s="50"/>
      <c r="R202" s="50"/>
      <c r="S202" s="50"/>
      <c r="T202" s="50"/>
      <c r="U202" s="50"/>
      <c r="V202" s="50"/>
      <c r="W202" s="50"/>
      <c r="X202" s="50"/>
      <c r="Y202" s="50"/>
      <c r="Z202" s="50"/>
      <c r="AA202" s="50"/>
      <c r="AB202" s="50"/>
      <c r="AC202" s="50"/>
      <c r="AD202" s="50">
        <v>114965000</v>
      </c>
      <c r="AE202" s="50"/>
      <c r="AF202" s="50"/>
      <c r="AG202" s="50"/>
      <c r="AH202" s="50"/>
      <c r="AI202" s="50"/>
      <c r="AJ202" s="59" t="s">
        <v>1556</v>
      </c>
      <c r="AK202" s="1"/>
      <c r="AL202" s="1"/>
      <c r="AM202" s="1"/>
    </row>
    <row r="203" spans="1:39" ht="12.75" hidden="1" customHeight="1">
      <c r="A203" s="35">
        <v>96</v>
      </c>
      <c r="B203" s="58" t="s">
        <v>40</v>
      </c>
      <c r="C203" s="48" t="s">
        <v>1722</v>
      </c>
      <c r="D203" s="49" t="s">
        <v>1837</v>
      </c>
      <c r="E203" s="50"/>
      <c r="F203" s="50"/>
      <c r="G203" s="51"/>
      <c r="H203" s="51"/>
      <c r="I203" s="50"/>
      <c r="J203" s="50"/>
      <c r="K203" s="51"/>
      <c r="L203" s="51"/>
      <c r="M203" s="51"/>
      <c r="N203" s="50"/>
      <c r="O203" s="50"/>
      <c r="P203" s="50"/>
      <c r="Q203" s="50"/>
      <c r="R203" s="50"/>
      <c r="S203" s="50"/>
      <c r="T203" s="50"/>
      <c r="U203" s="50"/>
      <c r="V203" s="50"/>
      <c r="W203" s="50"/>
      <c r="X203" s="50"/>
      <c r="Y203" s="50"/>
      <c r="Z203" s="50"/>
      <c r="AA203" s="50"/>
      <c r="AB203" s="50"/>
      <c r="AC203" s="50">
        <v>12595100</v>
      </c>
      <c r="AD203" s="50"/>
      <c r="AE203" s="50"/>
      <c r="AF203" s="50"/>
      <c r="AG203" s="50"/>
      <c r="AH203" s="50"/>
      <c r="AI203" s="50"/>
      <c r="AJ203" s="59" t="s">
        <v>1556</v>
      </c>
      <c r="AK203" s="1"/>
      <c r="AL203" s="1"/>
      <c r="AM203" s="1"/>
    </row>
    <row r="204" spans="1:39" ht="12.75" hidden="1" customHeight="1">
      <c r="A204" s="15">
        <v>97</v>
      </c>
      <c r="B204" s="58" t="s">
        <v>40</v>
      </c>
      <c r="C204" s="48" t="s">
        <v>1722</v>
      </c>
      <c r="D204" s="49" t="s">
        <v>1838</v>
      </c>
      <c r="E204" s="50"/>
      <c r="F204" s="50"/>
      <c r="G204" s="51"/>
      <c r="H204" s="51"/>
      <c r="I204" s="50"/>
      <c r="J204" s="50"/>
      <c r="K204" s="51"/>
      <c r="L204" s="51"/>
      <c r="M204" s="51"/>
      <c r="N204" s="50"/>
      <c r="O204" s="50"/>
      <c r="P204" s="50"/>
      <c r="Q204" s="50"/>
      <c r="R204" s="50"/>
      <c r="S204" s="50"/>
      <c r="T204" s="50"/>
      <c r="U204" s="50"/>
      <c r="V204" s="50"/>
      <c r="W204" s="50"/>
      <c r="X204" s="50"/>
      <c r="Y204" s="50"/>
      <c r="Z204" s="50"/>
      <c r="AA204" s="50"/>
      <c r="AB204" s="50"/>
      <c r="AC204" s="50"/>
      <c r="AD204" s="50"/>
      <c r="AE204" s="50">
        <v>3199400</v>
      </c>
      <c r="AF204" s="50"/>
      <c r="AG204" s="50"/>
      <c r="AH204" s="50"/>
      <c r="AI204" s="50"/>
      <c r="AJ204" s="59" t="s">
        <v>1556</v>
      </c>
      <c r="AK204" s="1"/>
      <c r="AL204" s="1"/>
      <c r="AM204" s="1"/>
    </row>
    <row r="205" spans="1:39" ht="12.75" hidden="1" customHeight="1">
      <c r="A205" s="15">
        <v>98</v>
      </c>
      <c r="B205" s="58" t="s">
        <v>40</v>
      </c>
      <c r="C205" s="48" t="s">
        <v>1722</v>
      </c>
      <c r="D205" s="49" t="s">
        <v>1839</v>
      </c>
      <c r="E205" s="50"/>
      <c r="F205" s="50"/>
      <c r="G205" s="51"/>
      <c r="H205" s="51"/>
      <c r="I205" s="50"/>
      <c r="J205" s="50"/>
      <c r="K205" s="51"/>
      <c r="L205" s="51"/>
      <c r="M205" s="51"/>
      <c r="N205" s="50"/>
      <c r="O205" s="50"/>
      <c r="P205" s="50"/>
      <c r="Q205" s="50"/>
      <c r="R205" s="50"/>
      <c r="S205" s="50"/>
      <c r="T205" s="50"/>
      <c r="U205" s="50"/>
      <c r="V205" s="50"/>
      <c r="W205" s="50"/>
      <c r="X205" s="50"/>
      <c r="Y205" s="50"/>
      <c r="Z205" s="50"/>
      <c r="AA205" s="50"/>
      <c r="AB205" s="50"/>
      <c r="AC205" s="50"/>
      <c r="AD205" s="50"/>
      <c r="AE205" s="50"/>
      <c r="AF205" s="50">
        <v>37510560</v>
      </c>
      <c r="AG205" s="50"/>
      <c r="AH205" s="50"/>
      <c r="AI205" s="50"/>
      <c r="AJ205" s="59" t="s">
        <v>1556</v>
      </c>
      <c r="AK205" s="1"/>
      <c r="AL205" s="1"/>
      <c r="AM205" s="1"/>
    </row>
    <row r="206" spans="1:39" ht="12.75" hidden="1" customHeight="1">
      <c r="A206" s="35">
        <v>99</v>
      </c>
      <c r="B206" s="58" t="s">
        <v>40</v>
      </c>
      <c r="C206" s="48" t="s">
        <v>1774</v>
      </c>
      <c r="D206" s="49" t="s">
        <v>1840</v>
      </c>
      <c r="E206" s="50"/>
      <c r="F206" s="50"/>
      <c r="G206" s="51"/>
      <c r="H206" s="51"/>
      <c r="I206" s="50"/>
      <c r="J206" s="50"/>
      <c r="K206" s="51"/>
      <c r="L206" s="51"/>
      <c r="M206" s="51"/>
      <c r="N206" s="50"/>
      <c r="O206" s="50"/>
      <c r="P206" s="50"/>
      <c r="Q206" s="50"/>
      <c r="R206" s="50"/>
      <c r="S206" s="50"/>
      <c r="T206" s="50"/>
      <c r="U206" s="50"/>
      <c r="V206" s="50"/>
      <c r="W206" s="50"/>
      <c r="X206" s="50"/>
      <c r="Y206" s="50"/>
      <c r="Z206" s="50"/>
      <c r="AA206" s="50"/>
      <c r="AB206" s="50"/>
      <c r="AC206" s="50"/>
      <c r="AD206" s="50"/>
      <c r="AE206" s="50">
        <v>3294000</v>
      </c>
      <c r="AF206" s="50"/>
      <c r="AG206" s="50"/>
      <c r="AH206" s="50"/>
      <c r="AI206" s="50"/>
      <c r="AJ206" s="59" t="s">
        <v>1556</v>
      </c>
      <c r="AK206" s="1"/>
      <c r="AL206" s="1"/>
      <c r="AM206" s="1"/>
    </row>
    <row r="207" spans="1:39" ht="12.75" hidden="1" customHeight="1">
      <c r="A207" s="15">
        <v>100</v>
      </c>
      <c r="B207" s="58" t="s">
        <v>40</v>
      </c>
      <c r="C207" s="48" t="s">
        <v>1720</v>
      </c>
      <c r="D207" s="49" t="s">
        <v>1841</v>
      </c>
      <c r="E207" s="50"/>
      <c r="F207" s="50"/>
      <c r="G207" s="51"/>
      <c r="H207" s="51"/>
      <c r="I207" s="50"/>
      <c r="J207" s="50"/>
      <c r="K207" s="51"/>
      <c r="L207" s="51"/>
      <c r="M207" s="51"/>
      <c r="N207" s="50"/>
      <c r="O207" s="50"/>
      <c r="P207" s="50"/>
      <c r="Q207" s="50"/>
      <c r="R207" s="50"/>
      <c r="S207" s="50"/>
      <c r="T207" s="50"/>
      <c r="U207" s="50"/>
      <c r="V207" s="50"/>
      <c r="W207" s="50"/>
      <c r="X207" s="50"/>
      <c r="Y207" s="50"/>
      <c r="Z207" s="50"/>
      <c r="AA207" s="50"/>
      <c r="AB207" s="50"/>
      <c r="AC207" s="50"/>
      <c r="AD207" s="50"/>
      <c r="AE207" s="50">
        <v>26781450</v>
      </c>
      <c r="AF207" s="50"/>
      <c r="AG207" s="50"/>
      <c r="AH207" s="50"/>
      <c r="AI207" s="50"/>
      <c r="AJ207" s="59" t="s">
        <v>1556</v>
      </c>
      <c r="AK207" s="1"/>
      <c r="AL207" s="1"/>
      <c r="AM207" s="1"/>
    </row>
    <row r="208" spans="1:39" ht="12.75" hidden="1" customHeight="1">
      <c r="A208" s="15">
        <v>101</v>
      </c>
      <c r="B208" s="58" t="s">
        <v>40</v>
      </c>
      <c r="C208" s="48" t="s">
        <v>1819</v>
      </c>
      <c r="D208" s="49" t="s">
        <v>1842</v>
      </c>
      <c r="E208" s="50"/>
      <c r="F208" s="50"/>
      <c r="G208" s="51"/>
      <c r="H208" s="51"/>
      <c r="I208" s="50"/>
      <c r="J208" s="50"/>
      <c r="K208" s="51"/>
      <c r="L208" s="51"/>
      <c r="M208" s="51"/>
      <c r="N208" s="50"/>
      <c r="O208" s="50"/>
      <c r="P208" s="50"/>
      <c r="Q208" s="50"/>
      <c r="R208" s="50"/>
      <c r="S208" s="50"/>
      <c r="T208" s="50"/>
      <c r="U208" s="50"/>
      <c r="V208" s="50"/>
      <c r="W208" s="50"/>
      <c r="X208" s="50"/>
      <c r="Y208" s="50"/>
      <c r="Z208" s="50"/>
      <c r="AA208" s="50"/>
      <c r="AB208" s="50"/>
      <c r="AC208" s="50"/>
      <c r="AD208" s="50"/>
      <c r="AE208" s="50">
        <v>49300000</v>
      </c>
      <c r="AF208" s="50"/>
      <c r="AG208" s="50"/>
      <c r="AH208" s="50"/>
      <c r="AI208" s="50"/>
      <c r="AJ208" s="59" t="s">
        <v>1556</v>
      </c>
      <c r="AK208" s="1"/>
      <c r="AL208" s="1"/>
      <c r="AM208" s="1"/>
    </row>
    <row r="209" spans="1:39" ht="12.75" hidden="1" customHeight="1">
      <c r="A209" s="35">
        <v>102</v>
      </c>
      <c r="B209" s="58" t="s">
        <v>40</v>
      </c>
      <c r="C209" s="48" t="s">
        <v>1843</v>
      </c>
      <c r="D209" s="49" t="s">
        <v>1844</v>
      </c>
      <c r="E209" s="50"/>
      <c r="F209" s="50"/>
      <c r="G209" s="51"/>
      <c r="H209" s="51"/>
      <c r="I209" s="50"/>
      <c r="J209" s="50"/>
      <c r="K209" s="51"/>
      <c r="L209" s="51"/>
      <c r="M209" s="51"/>
      <c r="N209" s="50"/>
      <c r="O209" s="50"/>
      <c r="P209" s="50"/>
      <c r="Q209" s="50"/>
      <c r="R209" s="50"/>
      <c r="S209" s="50"/>
      <c r="T209" s="50"/>
      <c r="U209" s="50"/>
      <c r="V209" s="50"/>
      <c r="W209" s="50"/>
      <c r="X209" s="50"/>
      <c r="Y209" s="50"/>
      <c r="Z209" s="50"/>
      <c r="AA209" s="50"/>
      <c r="AB209" s="50"/>
      <c r="AC209" s="50"/>
      <c r="AD209" s="50"/>
      <c r="AE209" s="50">
        <v>5850000</v>
      </c>
      <c r="AF209" s="50"/>
      <c r="AG209" s="50"/>
      <c r="AH209" s="50"/>
      <c r="AI209" s="50"/>
      <c r="AJ209" s="59" t="s">
        <v>1556</v>
      </c>
      <c r="AK209" s="1"/>
      <c r="AL209" s="1"/>
      <c r="AM209" s="1"/>
    </row>
    <row r="210" spans="1:39" ht="12.75" hidden="1" customHeight="1">
      <c r="A210" s="15">
        <v>103</v>
      </c>
      <c r="B210" s="58" t="s">
        <v>40</v>
      </c>
      <c r="C210" s="48" t="s">
        <v>1843</v>
      </c>
      <c r="D210" s="49" t="s">
        <v>1845</v>
      </c>
      <c r="E210" s="50"/>
      <c r="F210" s="50"/>
      <c r="G210" s="51"/>
      <c r="H210" s="51"/>
      <c r="I210" s="50"/>
      <c r="J210" s="50"/>
      <c r="K210" s="51"/>
      <c r="L210" s="51"/>
      <c r="M210" s="51"/>
      <c r="N210" s="50"/>
      <c r="O210" s="50"/>
      <c r="P210" s="50"/>
      <c r="Q210" s="50"/>
      <c r="R210" s="50"/>
      <c r="S210" s="50"/>
      <c r="T210" s="50"/>
      <c r="U210" s="50"/>
      <c r="V210" s="50"/>
      <c r="W210" s="50"/>
      <c r="X210" s="50"/>
      <c r="Y210" s="50"/>
      <c r="Z210" s="50"/>
      <c r="AA210" s="50"/>
      <c r="AB210" s="50"/>
      <c r="AC210" s="50"/>
      <c r="AD210" s="50"/>
      <c r="AE210" s="50">
        <v>5000000</v>
      </c>
      <c r="AF210" s="50"/>
      <c r="AG210" s="50"/>
      <c r="AH210" s="50"/>
      <c r="AI210" s="50"/>
      <c r="AJ210" s="59" t="s">
        <v>1556</v>
      </c>
      <c r="AK210" s="1"/>
      <c r="AL210" s="1"/>
      <c r="AM210" s="1"/>
    </row>
    <row r="211" spans="1:39" ht="12.75" hidden="1" customHeight="1">
      <c r="A211" s="15">
        <v>104</v>
      </c>
      <c r="B211" s="58" t="s">
        <v>40</v>
      </c>
      <c r="C211" s="48" t="s">
        <v>1846</v>
      </c>
      <c r="D211" s="49" t="s">
        <v>1847</v>
      </c>
      <c r="E211" s="50"/>
      <c r="F211" s="50"/>
      <c r="G211" s="51"/>
      <c r="H211" s="51"/>
      <c r="I211" s="50"/>
      <c r="J211" s="50"/>
      <c r="K211" s="51"/>
      <c r="L211" s="51"/>
      <c r="M211" s="51"/>
      <c r="N211" s="50"/>
      <c r="O211" s="50"/>
      <c r="P211" s="50"/>
      <c r="Q211" s="50"/>
      <c r="R211" s="50"/>
      <c r="S211" s="50"/>
      <c r="T211" s="50"/>
      <c r="U211" s="50"/>
      <c r="V211" s="50"/>
      <c r="W211" s="50"/>
      <c r="X211" s="50"/>
      <c r="Y211" s="50"/>
      <c r="Z211" s="50"/>
      <c r="AA211" s="50"/>
      <c r="AB211" s="50"/>
      <c r="AC211" s="50"/>
      <c r="AD211" s="50"/>
      <c r="AE211" s="50">
        <v>43785540</v>
      </c>
      <c r="AF211" s="50"/>
      <c r="AG211" s="50"/>
      <c r="AH211" s="50"/>
      <c r="AI211" s="50"/>
      <c r="AJ211" s="59" t="s">
        <v>1556</v>
      </c>
      <c r="AK211" s="1"/>
      <c r="AL211" s="1"/>
      <c r="AM211" s="1"/>
    </row>
    <row r="212" spans="1:39" ht="12.75" customHeight="1">
      <c r="A212" s="15">
        <v>105</v>
      </c>
      <c r="B212" s="58" t="s">
        <v>27</v>
      </c>
      <c r="C212" s="48" t="s">
        <v>1848</v>
      </c>
      <c r="D212" s="49" t="s">
        <v>1849</v>
      </c>
      <c r="E212" s="50"/>
      <c r="F212" s="50"/>
      <c r="G212" s="51"/>
      <c r="H212" s="51"/>
      <c r="I212" s="50"/>
      <c r="J212" s="50"/>
      <c r="K212" s="51"/>
      <c r="L212" s="51"/>
      <c r="M212" s="51"/>
      <c r="N212" s="50"/>
      <c r="O212" s="50"/>
      <c r="P212" s="50"/>
      <c r="Q212" s="50"/>
      <c r="R212" s="50"/>
      <c r="S212" s="50"/>
      <c r="T212" s="50"/>
      <c r="U212" s="50"/>
      <c r="V212" s="50"/>
      <c r="W212" s="50"/>
      <c r="X212" s="50"/>
      <c r="Y212" s="50"/>
      <c r="Z212" s="50"/>
      <c r="AA212" s="50"/>
      <c r="AB212" s="50"/>
      <c r="AC212" s="50"/>
      <c r="AD212" s="50"/>
      <c r="AE212" s="50"/>
      <c r="AF212" s="50"/>
      <c r="AG212" s="50">
        <v>750000000</v>
      </c>
      <c r="AH212" s="50"/>
      <c r="AI212" s="50"/>
      <c r="AJ212" s="59" t="s">
        <v>1703</v>
      </c>
      <c r="AK212" s="1"/>
      <c r="AL212" s="1"/>
      <c r="AM212" s="1"/>
    </row>
    <row r="213" spans="1:39" ht="12.75" customHeight="1">
      <c r="A213" s="15">
        <v>106</v>
      </c>
      <c r="B213" s="20" t="s">
        <v>27</v>
      </c>
      <c r="C213" s="48" t="s">
        <v>1750</v>
      </c>
      <c r="D213" s="49" t="s">
        <v>1850</v>
      </c>
      <c r="E213" s="50"/>
      <c r="F213" s="50"/>
      <c r="G213" s="51"/>
      <c r="H213" s="51"/>
      <c r="I213" s="50"/>
      <c r="J213" s="50"/>
      <c r="K213" s="51"/>
      <c r="L213" s="51"/>
      <c r="M213" s="51"/>
      <c r="N213" s="50"/>
      <c r="O213" s="50"/>
      <c r="P213" s="50"/>
      <c r="Q213" s="50"/>
      <c r="R213" s="50"/>
      <c r="S213" s="50"/>
      <c r="T213" s="50"/>
      <c r="U213" s="50"/>
      <c r="V213" s="50"/>
      <c r="W213" s="50"/>
      <c r="X213" s="50"/>
      <c r="Y213" s="50"/>
      <c r="Z213" s="50"/>
      <c r="AA213" s="50"/>
      <c r="AB213" s="50"/>
      <c r="AC213" s="50"/>
      <c r="AD213" s="50"/>
      <c r="AE213" s="50"/>
      <c r="AF213" s="50"/>
      <c r="AG213" s="50"/>
      <c r="AH213" s="50">
        <v>120000000</v>
      </c>
      <c r="AI213" s="50"/>
      <c r="AJ213" s="55" t="s">
        <v>1851</v>
      </c>
      <c r="AK213" s="1"/>
      <c r="AL213" s="1"/>
      <c r="AM213" s="1"/>
    </row>
    <row r="214" spans="1:39" ht="12.75" hidden="1" customHeight="1">
      <c r="A214" s="15">
        <v>107</v>
      </c>
      <c r="B214" s="58" t="s">
        <v>44</v>
      </c>
      <c r="C214" s="48" t="s">
        <v>1791</v>
      </c>
      <c r="D214" s="49" t="s">
        <v>1792</v>
      </c>
      <c r="E214" s="50"/>
      <c r="F214" s="50"/>
      <c r="G214" s="51"/>
      <c r="H214" s="51"/>
      <c r="I214" s="50"/>
      <c r="J214" s="50"/>
      <c r="K214" s="51"/>
      <c r="L214" s="51"/>
      <c r="M214" s="51"/>
      <c r="N214" s="50"/>
      <c r="O214" s="50"/>
      <c r="P214" s="50"/>
      <c r="Q214" s="50"/>
      <c r="R214" s="50"/>
      <c r="S214" s="50"/>
      <c r="T214" s="50"/>
      <c r="U214" s="50"/>
      <c r="V214" s="50"/>
      <c r="W214" s="50"/>
      <c r="X214" s="50"/>
      <c r="Y214" s="50"/>
      <c r="Z214" s="50"/>
      <c r="AA214" s="50"/>
      <c r="AB214" s="50"/>
      <c r="AC214" s="50"/>
      <c r="AD214" s="50"/>
      <c r="AE214" s="50"/>
      <c r="AF214" s="50"/>
      <c r="AG214" s="50"/>
      <c r="AH214" s="50">
        <v>950000000</v>
      </c>
      <c r="AI214" s="50"/>
      <c r="AJ214" s="59" t="s">
        <v>1852</v>
      </c>
      <c r="AK214" s="1"/>
      <c r="AL214" s="1"/>
      <c r="AM214" s="1"/>
    </row>
    <row r="215" spans="1:39" ht="12.75" customHeight="1">
      <c r="A215" s="15">
        <v>108</v>
      </c>
      <c r="B215" s="58" t="s">
        <v>27</v>
      </c>
      <c r="C215" s="48" t="s">
        <v>1853</v>
      </c>
      <c r="D215" s="49" t="s">
        <v>1854</v>
      </c>
      <c r="E215" s="50"/>
      <c r="F215" s="50"/>
      <c r="G215" s="51"/>
      <c r="H215" s="51"/>
      <c r="I215" s="50"/>
      <c r="J215" s="50"/>
      <c r="K215" s="51"/>
      <c r="L215" s="51"/>
      <c r="M215" s="51"/>
      <c r="N215" s="50"/>
      <c r="O215" s="50"/>
      <c r="P215" s="50"/>
      <c r="Q215" s="50"/>
      <c r="R215" s="50"/>
      <c r="S215" s="50"/>
      <c r="T215" s="50"/>
      <c r="U215" s="50"/>
      <c r="V215" s="50"/>
      <c r="W215" s="50"/>
      <c r="X215" s="50"/>
      <c r="Y215" s="50"/>
      <c r="Z215" s="50"/>
      <c r="AA215" s="50"/>
      <c r="AB215" s="50"/>
      <c r="AC215" s="50"/>
      <c r="AD215" s="50"/>
      <c r="AE215" s="50"/>
      <c r="AF215" s="50"/>
      <c r="AG215" s="50"/>
      <c r="AH215" s="50">
        <v>100000000</v>
      </c>
      <c r="AI215" s="50"/>
      <c r="AJ215" s="55" t="s">
        <v>1703</v>
      </c>
      <c r="AK215" s="1"/>
      <c r="AL215" s="1"/>
      <c r="AM215" s="1"/>
    </row>
    <row r="216" spans="1:39" ht="12.75" hidden="1" customHeight="1">
      <c r="A216" s="15">
        <v>109</v>
      </c>
      <c r="B216" s="58" t="s">
        <v>44</v>
      </c>
      <c r="C216" s="48" t="s">
        <v>1720</v>
      </c>
      <c r="D216" s="49" t="s">
        <v>1855</v>
      </c>
      <c r="E216" s="50"/>
      <c r="F216" s="50"/>
      <c r="G216" s="51"/>
      <c r="H216" s="51"/>
      <c r="I216" s="50"/>
      <c r="J216" s="50"/>
      <c r="K216" s="51"/>
      <c r="L216" s="51"/>
      <c r="M216" s="51"/>
      <c r="N216" s="50"/>
      <c r="O216" s="50"/>
      <c r="P216" s="50"/>
      <c r="Q216" s="50"/>
      <c r="R216" s="50"/>
      <c r="S216" s="50"/>
      <c r="T216" s="50"/>
      <c r="U216" s="50"/>
      <c r="V216" s="50"/>
      <c r="W216" s="50"/>
      <c r="X216" s="50"/>
      <c r="Y216" s="50"/>
      <c r="Z216" s="50"/>
      <c r="AA216" s="50"/>
      <c r="AB216" s="50"/>
      <c r="AC216" s="50"/>
      <c r="AD216" s="50"/>
      <c r="AE216" s="50"/>
      <c r="AF216" s="50"/>
      <c r="AG216" s="50">
        <v>30000000</v>
      </c>
      <c r="AH216" s="50"/>
      <c r="AI216" s="50"/>
      <c r="AJ216" s="59" t="s">
        <v>1703</v>
      </c>
      <c r="AK216" s="1"/>
      <c r="AL216" s="1"/>
      <c r="AM216" s="1"/>
    </row>
    <row r="217" spans="1:39" ht="12.75" customHeight="1">
      <c r="A217" s="15">
        <v>110</v>
      </c>
      <c r="B217" s="58" t="s">
        <v>27</v>
      </c>
      <c r="C217" s="48" t="s">
        <v>1783</v>
      </c>
      <c r="D217" s="49" t="s">
        <v>1856</v>
      </c>
      <c r="E217" s="50"/>
      <c r="F217" s="50"/>
      <c r="G217" s="51"/>
      <c r="H217" s="51"/>
      <c r="I217" s="50"/>
      <c r="J217" s="50"/>
      <c r="K217" s="51"/>
      <c r="L217" s="51"/>
      <c r="M217" s="51"/>
      <c r="N217" s="50"/>
      <c r="O217" s="50"/>
      <c r="P217" s="50"/>
      <c r="Q217" s="50"/>
      <c r="R217" s="50"/>
      <c r="S217" s="50"/>
      <c r="T217" s="50"/>
      <c r="U217" s="50"/>
      <c r="V217" s="50"/>
      <c r="W217" s="50"/>
      <c r="X217" s="50"/>
      <c r="Y217" s="50"/>
      <c r="Z217" s="50"/>
      <c r="AA217" s="50"/>
      <c r="AB217" s="50"/>
      <c r="AC217" s="50"/>
      <c r="AD217" s="50"/>
      <c r="AE217" s="50"/>
      <c r="AF217" s="50"/>
      <c r="AG217" s="50">
        <v>30000000</v>
      </c>
      <c r="AH217" s="50"/>
      <c r="AI217" s="50"/>
      <c r="AJ217" s="59" t="s">
        <v>1703</v>
      </c>
      <c r="AK217" s="1"/>
      <c r="AL217" s="1"/>
      <c r="AM217" s="1"/>
    </row>
    <row r="218" spans="1:39" ht="12.75" customHeight="1">
      <c r="A218" s="15">
        <v>111</v>
      </c>
      <c r="B218" s="58" t="s">
        <v>27</v>
      </c>
      <c r="C218" s="48" t="s">
        <v>1813</v>
      </c>
      <c r="D218" s="49" t="s">
        <v>1857</v>
      </c>
      <c r="E218" s="50"/>
      <c r="F218" s="50"/>
      <c r="G218" s="51"/>
      <c r="H218" s="51"/>
      <c r="I218" s="50"/>
      <c r="J218" s="50"/>
      <c r="K218" s="51"/>
      <c r="L218" s="51"/>
      <c r="M218" s="51"/>
      <c r="N218" s="50"/>
      <c r="O218" s="50"/>
      <c r="P218" s="50"/>
      <c r="Q218" s="50"/>
      <c r="R218" s="50"/>
      <c r="S218" s="50"/>
      <c r="T218" s="50"/>
      <c r="U218" s="50"/>
      <c r="V218" s="50"/>
      <c r="W218" s="50"/>
      <c r="X218" s="50"/>
      <c r="Y218" s="50"/>
      <c r="Z218" s="50"/>
      <c r="AA218" s="50"/>
      <c r="AB218" s="50"/>
      <c r="AC218" s="50"/>
      <c r="AD218" s="50"/>
      <c r="AE218" s="50"/>
      <c r="AF218" s="50"/>
      <c r="AG218" s="50">
        <v>100000000</v>
      </c>
      <c r="AH218" s="50"/>
      <c r="AI218" s="50"/>
      <c r="AJ218" s="59" t="s">
        <v>1703</v>
      </c>
      <c r="AK218" s="1"/>
      <c r="AL218" s="1"/>
      <c r="AM218" s="1"/>
    </row>
    <row r="219" spans="1:39" ht="12.75" customHeight="1">
      <c r="A219" s="15">
        <v>112</v>
      </c>
      <c r="B219" s="58" t="s">
        <v>27</v>
      </c>
      <c r="C219" s="48" t="s">
        <v>1858</v>
      </c>
      <c r="D219" s="49" t="s">
        <v>1859</v>
      </c>
      <c r="E219" s="50"/>
      <c r="F219" s="50"/>
      <c r="G219" s="51"/>
      <c r="H219" s="51"/>
      <c r="I219" s="50"/>
      <c r="J219" s="50"/>
      <c r="K219" s="51"/>
      <c r="L219" s="51"/>
      <c r="M219" s="51"/>
      <c r="N219" s="50"/>
      <c r="O219" s="50"/>
      <c r="P219" s="50"/>
      <c r="Q219" s="50"/>
      <c r="R219" s="50"/>
      <c r="S219" s="50"/>
      <c r="T219" s="50"/>
      <c r="U219" s="50"/>
      <c r="V219" s="50"/>
      <c r="W219" s="50"/>
      <c r="X219" s="50"/>
      <c r="Y219" s="50"/>
      <c r="Z219" s="50"/>
      <c r="AA219" s="50"/>
      <c r="AB219" s="50"/>
      <c r="AC219" s="50"/>
      <c r="AD219" s="50"/>
      <c r="AE219" s="50"/>
      <c r="AF219" s="50"/>
      <c r="AG219" s="50">
        <v>30000000</v>
      </c>
      <c r="AH219" s="50"/>
      <c r="AI219" s="50"/>
      <c r="AJ219" s="59" t="s">
        <v>1703</v>
      </c>
      <c r="AK219" s="1"/>
      <c r="AL219" s="1"/>
      <c r="AM219" s="1"/>
    </row>
    <row r="220" spans="1:39" ht="12.75" hidden="1" customHeight="1">
      <c r="A220" s="15">
        <v>113</v>
      </c>
      <c r="B220" s="58" t="s">
        <v>72</v>
      </c>
      <c r="C220" s="48" t="s">
        <v>1728</v>
      </c>
      <c r="D220" s="49" t="s">
        <v>1860</v>
      </c>
      <c r="E220" s="50"/>
      <c r="F220" s="50"/>
      <c r="G220" s="51"/>
      <c r="H220" s="51"/>
      <c r="I220" s="50"/>
      <c r="J220" s="50"/>
      <c r="K220" s="51"/>
      <c r="L220" s="51"/>
      <c r="M220" s="51"/>
      <c r="N220" s="50"/>
      <c r="O220" s="50"/>
      <c r="P220" s="50"/>
      <c r="Q220" s="50"/>
      <c r="R220" s="50"/>
      <c r="S220" s="50"/>
      <c r="T220" s="50"/>
      <c r="U220" s="50"/>
      <c r="V220" s="50"/>
      <c r="W220" s="50"/>
      <c r="X220" s="50"/>
      <c r="Y220" s="50"/>
      <c r="Z220" s="50"/>
      <c r="AA220" s="50"/>
      <c r="AB220" s="50"/>
      <c r="AC220" s="50"/>
      <c r="AD220" s="50"/>
      <c r="AE220" s="50"/>
      <c r="AF220" s="50"/>
      <c r="AG220" s="50"/>
      <c r="AH220" s="50"/>
      <c r="AI220" s="50">
        <v>47453120</v>
      </c>
      <c r="AJ220" s="59" t="s">
        <v>1861</v>
      </c>
      <c r="AK220" s="1"/>
      <c r="AL220" s="1"/>
      <c r="AM220" s="1"/>
    </row>
    <row r="221" spans="1:39" ht="12.75" hidden="1" customHeight="1">
      <c r="A221" s="60">
        <v>1</v>
      </c>
      <c r="B221" s="11" t="s">
        <v>1517</v>
      </c>
      <c r="C221" s="13" t="s">
        <v>1862</v>
      </c>
      <c r="D221" s="13" t="s">
        <v>1863</v>
      </c>
      <c r="E221" s="61"/>
      <c r="F221" s="62"/>
      <c r="G221" s="62"/>
      <c r="H221" s="62"/>
      <c r="I221" s="62"/>
      <c r="J221" s="62"/>
      <c r="K221" s="62"/>
      <c r="L221" s="62"/>
      <c r="M221" s="62"/>
      <c r="N221" s="62"/>
      <c r="O221" s="62"/>
      <c r="P221" s="66"/>
      <c r="Q221" s="66"/>
      <c r="R221" s="66"/>
      <c r="S221" s="66"/>
      <c r="T221" s="71"/>
      <c r="U221" s="72">
        <v>100000000</v>
      </c>
      <c r="V221" s="39"/>
      <c r="W221" s="73"/>
      <c r="X221" s="73"/>
      <c r="Y221" s="73"/>
      <c r="Z221" s="76"/>
      <c r="AA221" s="76"/>
      <c r="AB221" s="76"/>
      <c r="AC221" s="76"/>
      <c r="AD221" s="76"/>
      <c r="AE221" s="76"/>
      <c r="AF221" s="76"/>
      <c r="AG221" s="76"/>
      <c r="AH221" s="76"/>
      <c r="AI221" s="76"/>
      <c r="AJ221" s="84" t="s">
        <v>1864</v>
      </c>
      <c r="AK221" s="85"/>
      <c r="AL221" s="85"/>
      <c r="AM221" s="85"/>
    </row>
    <row r="222" spans="1:39" ht="12.75" hidden="1" customHeight="1">
      <c r="A222" s="63">
        <v>2</v>
      </c>
      <c r="B222" s="20" t="s">
        <v>44</v>
      </c>
      <c r="C222" s="21" t="s">
        <v>1865</v>
      </c>
      <c r="D222" s="21" t="s">
        <v>1866</v>
      </c>
      <c r="E222" s="61"/>
      <c r="F222" s="62"/>
      <c r="G222" s="62"/>
      <c r="H222" s="62"/>
      <c r="I222" s="62"/>
      <c r="J222" s="62"/>
      <c r="K222" s="62"/>
      <c r="L222" s="62"/>
      <c r="M222" s="62"/>
      <c r="N222" s="62"/>
      <c r="O222" s="62"/>
      <c r="P222" s="66"/>
      <c r="Q222" s="66"/>
      <c r="R222" s="66"/>
      <c r="S222" s="66"/>
      <c r="T222" s="71"/>
      <c r="U222" s="70"/>
      <c r="V222" s="42"/>
      <c r="W222" s="70"/>
      <c r="X222" s="70"/>
      <c r="Y222" s="70"/>
      <c r="Z222" s="77"/>
      <c r="AA222" s="77">
        <v>400000000</v>
      </c>
      <c r="AB222" s="77"/>
      <c r="AC222" s="77"/>
      <c r="AD222" s="77"/>
      <c r="AE222" s="77"/>
      <c r="AF222" s="77"/>
      <c r="AG222" s="77"/>
      <c r="AH222" s="77"/>
      <c r="AI222" s="77"/>
      <c r="AJ222" s="86" t="s">
        <v>1864</v>
      </c>
      <c r="AK222" s="85"/>
      <c r="AL222" s="85"/>
      <c r="AM222" s="85"/>
    </row>
    <row r="223" spans="1:39" ht="12.75" hidden="1" customHeight="1">
      <c r="A223" s="64">
        <v>3</v>
      </c>
      <c r="B223" s="20" t="s">
        <v>1517</v>
      </c>
      <c r="C223" s="21" t="s">
        <v>1867</v>
      </c>
      <c r="D223" s="21" t="s">
        <v>1868</v>
      </c>
      <c r="E223" s="61"/>
      <c r="F223" s="62"/>
      <c r="G223" s="62"/>
      <c r="H223" s="62"/>
      <c r="I223" s="62"/>
      <c r="J223" s="62"/>
      <c r="K223" s="62"/>
      <c r="L223" s="62"/>
      <c r="M223" s="62"/>
      <c r="N223" s="62"/>
      <c r="O223" s="62"/>
      <c r="P223" s="66"/>
      <c r="Q223" s="66"/>
      <c r="R223" s="66"/>
      <c r="S223" s="66"/>
      <c r="T223" s="71"/>
      <c r="U223" s="70"/>
      <c r="V223" s="42"/>
      <c r="W223" s="70"/>
      <c r="X223" s="70"/>
      <c r="Y223" s="70"/>
      <c r="Z223" s="77"/>
      <c r="AA223" s="77">
        <v>50000000</v>
      </c>
      <c r="AB223" s="77"/>
      <c r="AC223" s="77"/>
      <c r="AD223" s="77"/>
      <c r="AE223" s="77"/>
      <c r="AF223" s="77"/>
      <c r="AG223" s="77"/>
      <c r="AH223" s="77"/>
      <c r="AI223" s="77"/>
      <c r="AJ223" s="86" t="s">
        <v>1869</v>
      </c>
      <c r="AK223" s="85"/>
      <c r="AL223" s="85"/>
      <c r="AM223" s="85"/>
    </row>
    <row r="224" spans="1:39" ht="12.75" hidden="1" customHeight="1">
      <c r="A224" s="63">
        <v>4</v>
      </c>
      <c r="B224" s="20" t="s">
        <v>44</v>
      </c>
      <c r="C224" s="21" t="s">
        <v>1870</v>
      </c>
      <c r="D224" s="21" t="s">
        <v>1871</v>
      </c>
      <c r="E224" s="61"/>
      <c r="F224" s="62"/>
      <c r="G224" s="62"/>
      <c r="H224" s="62"/>
      <c r="I224" s="62"/>
      <c r="J224" s="62"/>
      <c r="K224" s="62"/>
      <c r="L224" s="62"/>
      <c r="M224" s="62"/>
      <c r="N224" s="62"/>
      <c r="O224" s="62"/>
      <c r="P224" s="66"/>
      <c r="Q224" s="66"/>
      <c r="R224" s="66"/>
      <c r="S224" s="66"/>
      <c r="T224" s="71"/>
      <c r="U224" s="70"/>
      <c r="V224" s="42"/>
      <c r="W224" s="70"/>
      <c r="X224" s="70"/>
      <c r="Y224" s="70">
        <v>55000000</v>
      </c>
      <c r="Z224" s="77"/>
      <c r="AA224" s="77"/>
      <c r="AB224" s="77"/>
      <c r="AC224" s="77"/>
      <c r="AD224" s="77"/>
      <c r="AE224" s="77"/>
      <c r="AF224" s="77"/>
      <c r="AG224" s="77"/>
      <c r="AH224" s="77"/>
      <c r="AI224" s="77"/>
      <c r="AJ224" s="86" t="s">
        <v>1872</v>
      </c>
      <c r="AK224" s="85"/>
      <c r="AL224" s="85"/>
      <c r="AM224" s="85"/>
    </row>
    <row r="225" spans="1:39" ht="12.75" hidden="1" customHeight="1">
      <c r="A225" s="63">
        <v>5</v>
      </c>
      <c r="B225" s="16" t="s">
        <v>72</v>
      </c>
      <c r="C225" s="21" t="s">
        <v>1873</v>
      </c>
      <c r="D225" s="21" t="s">
        <v>1874</v>
      </c>
      <c r="E225" s="61"/>
      <c r="F225" s="62"/>
      <c r="G225" s="62"/>
      <c r="H225" s="62"/>
      <c r="I225" s="62"/>
      <c r="J225" s="62"/>
      <c r="K225" s="62"/>
      <c r="L225" s="62"/>
      <c r="M225" s="62"/>
      <c r="N225" s="62"/>
      <c r="O225" s="62"/>
      <c r="P225" s="66"/>
      <c r="Q225" s="66"/>
      <c r="R225" s="66"/>
      <c r="S225" s="66"/>
      <c r="T225" s="71"/>
      <c r="U225" s="70"/>
      <c r="V225" s="42"/>
      <c r="W225" s="70">
        <v>1500000000</v>
      </c>
      <c r="X225" s="70"/>
      <c r="Y225" s="70"/>
      <c r="Z225" s="78"/>
      <c r="AA225" s="79"/>
      <c r="AB225" s="79"/>
      <c r="AC225" s="79"/>
      <c r="AD225" s="79"/>
      <c r="AE225" s="79"/>
      <c r="AF225" s="79"/>
      <c r="AG225" s="79"/>
      <c r="AH225" s="79"/>
      <c r="AI225" s="79"/>
      <c r="AJ225" s="86" t="s">
        <v>1864</v>
      </c>
      <c r="AK225" s="85"/>
      <c r="AL225" s="85"/>
      <c r="AM225" s="85"/>
    </row>
    <row r="226" spans="1:39" ht="12.75" hidden="1" customHeight="1">
      <c r="A226" s="63">
        <v>6</v>
      </c>
      <c r="B226" s="20" t="s">
        <v>40</v>
      </c>
      <c r="C226" s="21" t="s">
        <v>1875</v>
      </c>
      <c r="D226" s="21" t="s">
        <v>1876</v>
      </c>
      <c r="E226" s="61"/>
      <c r="F226" s="62"/>
      <c r="G226" s="62"/>
      <c r="H226" s="62"/>
      <c r="I226" s="62"/>
      <c r="J226" s="62"/>
      <c r="K226" s="62"/>
      <c r="L226" s="62"/>
      <c r="M226" s="62"/>
      <c r="N226" s="62"/>
      <c r="O226" s="62"/>
      <c r="P226" s="66"/>
      <c r="Q226" s="66"/>
      <c r="R226" s="66"/>
      <c r="S226" s="66"/>
      <c r="T226" s="71"/>
      <c r="U226" s="70"/>
      <c r="V226" s="42">
        <v>100000000</v>
      </c>
      <c r="W226" s="70"/>
      <c r="X226" s="70"/>
      <c r="Y226" s="70"/>
      <c r="Z226" s="77"/>
      <c r="AA226" s="77"/>
      <c r="AB226" s="77"/>
      <c r="AC226" s="77"/>
      <c r="AD226" s="77"/>
      <c r="AE226" s="77"/>
      <c r="AF226" s="77"/>
      <c r="AG226" s="77"/>
      <c r="AH226" s="77"/>
      <c r="AI226" s="77"/>
      <c r="AJ226" s="86" t="s">
        <v>1864</v>
      </c>
      <c r="AK226" s="85"/>
      <c r="AL226" s="85"/>
      <c r="AM226" s="85"/>
    </row>
    <row r="227" spans="1:39" ht="12.75" hidden="1" customHeight="1">
      <c r="A227" s="64">
        <v>7</v>
      </c>
      <c r="B227" s="20" t="s">
        <v>40</v>
      </c>
      <c r="C227" s="21" t="s">
        <v>1877</v>
      </c>
      <c r="D227" s="21" t="s">
        <v>1876</v>
      </c>
      <c r="E227" s="61"/>
      <c r="F227" s="62"/>
      <c r="G227" s="62"/>
      <c r="H227" s="62"/>
      <c r="I227" s="62"/>
      <c r="J227" s="62"/>
      <c r="K227" s="62"/>
      <c r="L227" s="62"/>
      <c r="M227" s="62"/>
      <c r="N227" s="62"/>
      <c r="O227" s="62"/>
      <c r="P227" s="66"/>
      <c r="Q227" s="66"/>
      <c r="R227" s="66"/>
      <c r="S227" s="66"/>
      <c r="T227" s="71"/>
      <c r="U227" s="70"/>
      <c r="V227" s="42"/>
      <c r="W227" s="70"/>
      <c r="X227" s="70">
        <v>100000000</v>
      </c>
      <c r="Y227" s="70"/>
      <c r="Z227" s="77"/>
      <c r="AA227" s="77"/>
      <c r="AB227" s="77"/>
      <c r="AC227" s="77"/>
      <c r="AD227" s="77"/>
      <c r="AE227" s="77"/>
      <c r="AF227" s="77"/>
      <c r="AG227" s="77"/>
      <c r="AH227" s="77"/>
      <c r="AI227" s="77"/>
      <c r="AJ227" s="86" t="s">
        <v>1864</v>
      </c>
      <c r="AK227" s="85"/>
      <c r="AL227" s="85"/>
      <c r="AM227" s="85"/>
    </row>
    <row r="228" spans="1:39" ht="12.75" hidden="1" customHeight="1">
      <c r="A228" s="63">
        <v>8</v>
      </c>
      <c r="B228" s="20" t="s">
        <v>72</v>
      </c>
      <c r="C228" s="18" t="s">
        <v>1878</v>
      </c>
      <c r="D228" s="18" t="s">
        <v>1879</v>
      </c>
      <c r="E228" s="65"/>
      <c r="F228" s="66"/>
      <c r="G228" s="66"/>
      <c r="H228" s="66"/>
      <c r="I228" s="66"/>
      <c r="J228" s="66"/>
      <c r="K228" s="66"/>
      <c r="L228" s="66"/>
      <c r="M228" s="66"/>
      <c r="N228" s="66"/>
      <c r="O228" s="66"/>
      <c r="P228" s="66"/>
      <c r="Q228" s="66"/>
      <c r="R228" s="66"/>
      <c r="S228" s="66"/>
      <c r="T228" s="71"/>
      <c r="U228" s="70"/>
      <c r="V228" s="42"/>
      <c r="W228" s="70"/>
      <c r="X228" s="70">
        <v>289000000</v>
      </c>
      <c r="Y228" s="70"/>
      <c r="Z228" s="77"/>
      <c r="AA228" s="77"/>
      <c r="AB228" s="77"/>
      <c r="AC228" s="77"/>
      <c r="AD228" s="77"/>
      <c r="AE228" s="77"/>
      <c r="AF228" s="77"/>
      <c r="AG228" s="77"/>
      <c r="AH228" s="77"/>
      <c r="AI228" s="77"/>
      <c r="AJ228" s="86" t="s">
        <v>1864</v>
      </c>
      <c r="AK228" s="85"/>
      <c r="AL228" s="85"/>
      <c r="AM228" s="85"/>
    </row>
    <row r="229" spans="1:39" ht="12.75" hidden="1" customHeight="1">
      <c r="A229" s="63">
        <v>9</v>
      </c>
      <c r="B229" s="20" t="s">
        <v>72</v>
      </c>
      <c r="C229" s="21" t="s">
        <v>1878</v>
      </c>
      <c r="D229" s="21" t="s">
        <v>1880</v>
      </c>
      <c r="E229" s="61"/>
      <c r="F229" s="62"/>
      <c r="G229" s="62"/>
      <c r="H229" s="62"/>
      <c r="I229" s="62"/>
      <c r="J229" s="62"/>
      <c r="K229" s="62"/>
      <c r="L229" s="62"/>
      <c r="M229" s="62"/>
      <c r="N229" s="62"/>
      <c r="O229" s="62"/>
      <c r="P229" s="66"/>
      <c r="Q229" s="66"/>
      <c r="R229" s="66"/>
      <c r="S229" s="66"/>
      <c r="T229" s="71"/>
      <c r="U229" s="70"/>
      <c r="V229" s="42"/>
      <c r="W229" s="70"/>
      <c r="X229" s="70">
        <v>604000000</v>
      </c>
      <c r="Y229" s="70"/>
      <c r="Z229" s="77"/>
      <c r="AA229" s="77"/>
      <c r="AB229" s="77"/>
      <c r="AC229" s="77"/>
      <c r="AD229" s="77"/>
      <c r="AE229" s="77"/>
      <c r="AF229" s="77"/>
      <c r="AG229" s="77"/>
      <c r="AH229" s="77"/>
      <c r="AI229" s="77"/>
      <c r="AJ229" s="86" t="s">
        <v>1864</v>
      </c>
      <c r="AK229" s="85"/>
      <c r="AL229" s="85"/>
      <c r="AM229" s="85"/>
    </row>
    <row r="230" spans="1:39" ht="12.75" hidden="1" customHeight="1">
      <c r="A230" s="63">
        <v>10</v>
      </c>
      <c r="B230" s="20" t="s">
        <v>30</v>
      </c>
      <c r="C230" s="21" t="s">
        <v>1881</v>
      </c>
      <c r="D230" s="21" t="s">
        <v>1882</v>
      </c>
      <c r="E230" s="61"/>
      <c r="F230" s="62"/>
      <c r="G230" s="62"/>
      <c r="H230" s="62"/>
      <c r="I230" s="62"/>
      <c r="J230" s="62"/>
      <c r="K230" s="62"/>
      <c r="L230" s="62"/>
      <c r="M230" s="62"/>
      <c r="N230" s="62"/>
      <c r="O230" s="62"/>
      <c r="P230" s="66"/>
      <c r="Q230" s="66"/>
      <c r="R230" s="66"/>
      <c r="S230" s="66"/>
      <c r="T230" s="71"/>
      <c r="U230" s="70"/>
      <c r="V230" s="42"/>
      <c r="W230" s="70"/>
      <c r="X230" s="70"/>
      <c r="Y230" s="70"/>
      <c r="Z230" s="77"/>
      <c r="AA230" s="77"/>
      <c r="AB230" s="77"/>
      <c r="AC230" s="77"/>
      <c r="AD230" s="77">
        <v>50000000</v>
      </c>
      <c r="AE230" s="77"/>
      <c r="AF230" s="77"/>
      <c r="AG230" s="77"/>
      <c r="AH230" s="77"/>
      <c r="AI230" s="77"/>
      <c r="AJ230" s="70" t="s">
        <v>1872</v>
      </c>
      <c r="AK230" s="85"/>
      <c r="AL230" s="85"/>
      <c r="AM230" s="85"/>
    </row>
    <row r="231" spans="1:39" ht="12.75" customHeight="1">
      <c r="A231" s="64">
        <v>11</v>
      </c>
      <c r="B231" s="20" t="s">
        <v>27</v>
      </c>
      <c r="C231" s="21" t="s">
        <v>1883</v>
      </c>
      <c r="D231" s="21" t="s">
        <v>1884</v>
      </c>
      <c r="E231" s="61"/>
      <c r="F231" s="62"/>
      <c r="G231" s="62"/>
      <c r="H231" s="62"/>
      <c r="I231" s="62"/>
      <c r="J231" s="62"/>
      <c r="K231" s="62"/>
      <c r="L231" s="62"/>
      <c r="M231" s="62"/>
      <c r="N231" s="62"/>
      <c r="O231" s="62"/>
      <c r="P231" s="66"/>
      <c r="Q231" s="66"/>
      <c r="R231" s="66"/>
      <c r="S231" s="66"/>
      <c r="T231" s="71"/>
      <c r="U231" s="70"/>
      <c r="V231" s="42"/>
      <c r="W231" s="70"/>
      <c r="X231" s="70"/>
      <c r="Y231" s="70"/>
      <c r="Z231" s="77"/>
      <c r="AA231" s="77"/>
      <c r="AB231" s="77"/>
      <c r="AC231" s="77"/>
      <c r="AD231" s="77">
        <v>50000000</v>
      </c>
      <c r="AE231" s="77"/>
      <c r="AF231" s="77"/>
      <c r="AG231" s="77"/>
      <c r="AH231" s="77"/>
      <c r="AI231" s="77"/>
      <c r="AJ231" s="70" t="s">
        <v>1872</v>
      </c>
      <c r="AK231" s="85"/>
      <c r="AL231" s="85"/>
      <c r="AM231" s="85"/>
    </row>
    <row r="232" spans="1:39" ht="12.75" hidden="1" customHeight="1">
      <c r="A232" s="63">
        <v>12</v>
      </c>
      <c r="B232" s="20" t="s">
        <v>30</v>
      </c>
      <c r="C232" s="21" t="s">
        <v>1885</v>
      </c>
      <c r="D232" s="21" t="s">
        <v>1886</v>
      </c>
      <c r="E232" s="61"/>
      <c r="F232" s="62"/>
      <c r="G232" s="62"/>
      <c r="H232" s="62"/>
      <c r="I232" s="62"/>
      <c r="J232" s="62"/>
      <c r="K232" s="62"/>
      <c r="L232" s="62"/>
      <c r="M232" s="62"/>
      <c r="N232" s="62"/>
      <c r="O232" s="62"/>
      <c r="P232" s="66"/>
      <c r="Q232" s="66"/>
      <c r="R232" s="66"/>
      <c r="S232" s="66"/>
      <c r="T232" s="71"/>
      <c r="U232" s="70"/>
      <c r="V232" s="42">
        <v>50000000</v>
      </c>
      <c r="W232" s="70"/>
      <c r="X232" s="70"/>
      <c r="Y232" s="70"/>
      <c r="Z232" s="77"/>
      <c r="AA232" s="77"/>
      <c r="AB232" s="77"/>
      <c r="AC232" s="77"/>
      <c r="AD232" s="77"/>
      <c r="AE232" s="77"/>
      <c r="AF232" s="77"/>
      <c r="AG232" s="77"/>
      <c r="AH232" s="77"/>
      <c r="AI232" s="77"/>
      <c r="AJ232" s="87" t="s">
        <v>1887</v>
      </c>
      <c r="AK232" s="85"/>
      <c r="AL232" s="85"/>
      <c r="AM232" s="85"/>
    </row>
    <row r="233" spans="1:39" ht="12.75" hidden="1" customHeight="1">
      <c r="A233" s="63">
        <v>13</v>
      </c>
      <c r="B233" s="20" t="s">
        <v>44</v>
      </c>
      <c r="C233" s="18" t="s">
        <v>1888</v>
      </c>
      <c r="D233" s="18" t="s">
        <v>1889</v>
      </c>
      <c r="E233" s="65"/>
      <c r="F233" s="66"/>
      <c r="G233" s="66"/>
      <c r="H233" s="66"/>
      <c r="I233" s="66"/>
      <c r="J233" s="66"/>
      <c r="K233" s="66"/>
      <c r="L233" s="66"/>
      <c r="M233" s="66"/>
      <c r="N233" s="66"/>
      <c r="O233" s="66"/>
      <c r="P233" s="66"/>
      <c r="Q233" s="66"/>
      <c r="R233" s="66"/>
      <c r="S233" s="66"/>
      <c r="T233" s="71"/>
      <c r="U233" s="70"/>
      <c r="V233" s="42"/>
      <c r="W233" s="70"/>
      <c r="X233" s="70"/>
      <c r="Y233" s="70"/>
      <c r="Z233" s="77"/>
      <c r="AA233" s="77"/>
      <c r="AB233" s="77">
        <v>100000000</v>
      </c>
      <c r="AC233" s="77"/>
      <c r="AD233" s="77"/>
      <c r="AE233" s="77"/>
      <c r="AF233" s="77"/>
      <c r="AG233" s="77"/>
      <c r="AH233" s="77"/>
      <c r="AI233" s="77"/>
      <c r="AJ233" s="70" t="s">
        <v>1890</v>
      </c>
      <c r="AK233" s="1"/>
      <c r="AL233" s="1"/>
      <c r="AM233" s="1"/>
    </row>
    <row r="234" spans="1:39" ht="12.75" hidden="1" customHeight="1">
      <c r="A234" s="63">
        <v>14</v>
      </c>
      <c r="B234" s="16" t="s">
        <v>40</v>
      </c>
      <c r="C234" s="21" t="s">
        <v>1891</v>
      </c>
      <c r="D234" s="21" t="s">
        <v>1892</v>
      </c>
      <c r="E234" s="61"/>
      <c r="F234" s="62"/>
      <c r="G234" s="62"/>
      <c r="H234" s="62"/>
      <c r="I234" s="62"/>
      <c r="J234" s="62"/>
      <c r="K234" s="62"/>
      <c r="L234" s="62"/>
      <c r="M234" s="62"/>
      <c r="N234" s="62"/>
      <c r="O234" s="62"/>
      <c r="P234" s="66"/>
      <c r="Q234" s="66"/>
      <c r="R234" s="66"/>
      <c r="S234" s="66"/>
      <c r="T234" s="71"/>
      <c r="U234" s="70"/>
      <c r="V234" s="42">
        <v>2000000000</v>
      </c>
      <c r="W234" s="70"/>
      <c r="X234" s="70"/>
      <c r="Y234" s="70"/>
      <c r="Z234" s="78"/>
      <c r="AA234" s="79"/>
      <c r="AB234" s="79"/>
      <c r="AC234" s="79"/>
      <c r="AD234" s="79"/>
      <c r="AE234" s="79"/>
      <c r="AF234" s="79"/>
      <c r="AG234" s="79"/>
      <c r="AH234" s="79"/>
      <c r="AI234" s="79"/>
      <c r="AJ234" s="86" t="s">
        <v>1864</v>
      </c>
      <c r="AK234" s="85"/>
      <c r="AL234" s="85"/>
      <c r="AM234" s="85"/>
    </row>
    <row r="235" spans="1:39" ht="12.75" hidden="1" customHeight="1">
      <c r="A235" s="64">
        <v>15</v>
      </c>
      <c r="B235" s="16" t="s">
        <v>72</v>
      </c>
      <c r="C235" s="21" t="s">
        <v>1893</v>
      </c>
      <c r="D235" s="21" t="s">
        <v>1894</v>
      </c>
      <c r="E235" s="61"/>
      <c r="F235" s="62"/>
      <c r="G235" s="62"/>
      <c r="H235" s="62"/>
      <c r="I235" s="62"/>
      <c r="J235" s="62"/>
      <c r="K235" s="62"/>
      <c r="L235" s="62"/>
      <c r="M235" s="62"/>
      <c r="N235" s="62"/>
      <c r="O235" s="62"/>
      <c r="P235" s="66"/>
      <c r="Q235" s="66"/>
      <c r="R235" s="66"/>
      <c r="S235" s="66"/>
      <c r="T235" s="71"/>
      <c r="U235" s="70"/>
      <c r="V235" s="42"/>
      <c r="W235" s="70"/>
      <c r="X235" s="70">
        <v>200000000</v>
      </c>
      <c r="Y235" s="70"/>
      <c r="Z235" s="78"/>
      <c r="AA235" s="79"/>
      <c r="AB235" s="79"/>
      <c r="AC235" s="79"/>
      <c r="AD235" s="79"/>
      <c r="AE235" s="79"/>
      <c r="AF235" s="79"/>
      <c r="AG235" s="79"/>
      <c r="AH235" s="79"/>
      <c r="AI235" s="79"/>
      <c r="AJ235" s="86" t="s">
        <v>1864</v>
      </c>
      <c r="AK235" s="85"/>
      <c r="AL235" s="85"/>
      <c r="AM235" s="85"/>
    </row>
    <row r="236" spans="1:39" ht="12.75" hidden="1" customHeight="1">
      <c r="A236" s="63">
        <v>16</v>
      </c>
      <c r="B236" s="16" t="s">
        <v>44</v>
      </c>
      <c r="C236" s="18" t="s">
        <v>1895</v>
      </c>
      <c r="D236" s="18" t="s">
        <v>1896</v>
      </c>
      <c r="E236" s="65"/>
      <c r="F236" s="66"/>
      <c r="G236" s="66"/>
      <c r="H236" s="66"/>
      <c r="I236" s="66"/>
      <c r="J236" s="66"/>
      <c r="K236" s="66"/>
      <c r="L236" s="66"/>
      <c r="M236" s="66"/>
      <c r="N236" s="66"/>
      <c r="O236" s="66"/>
      <c r="P236" s="66"/>
      <c r="Q236" s="66"/>
      <c r="R236" s="66"/>
      <c r="S236" s="66"/>
      <c r="T236" s="71"/>
      <c r="U236" s="70"/>
      <c r="V236" s="42"/>
      <c r="W236" s="70"/>
      <c r="X236" s="70"/>
      <c r="Y236" s="70">
        <v>183000000</v>
      </c>
      <c r="Z236" s="78"/>
      <c r="AA236" s="79"/>
      <c r="AB236" s="79"/>
      <c r="AC236" s="79"/>
      <c r="AD236" s="79"/>
      <c r="AE236" s="79"/>
      <c r="AF236" s="79"/>
      <c r="AG236" s="79"/>
      <c r="AH236" s="79"/>
      <c r="AI236" s="79"/>
      <c r="AJ236" s="86" t="s">
        <v>1897</v>
      </c>
      <c r="AK236" s="85"/>
      <c r="AL236" s="85"/>
      <c r="AM236" s="85"/>
    </row>
    <row r="237" spans="1:39" ht="12.75" hidden="1" customHeight="1">
      <c r="A237" s="63">
        <v>17</v>
      </c>
      <c r="B237" s="16" t="s">
        <v>44</v>
      </c>
      <c r="C237" s="18" t="s">
        <v>1898</v>
      </c>
      <c r="D237" s="18" t="s">
        <v>1899</v>
      </c>
      <c r="E237" s="65"/>
      <c r="F237" s="66"/>
      <c r="G237" s="66"/>
      <c r="H237" s="66"/>
      <c r="I237" s="66"/>
      <c r="J237" s="66"/>
      <c r="K237" s="66"/>
      <c r="L237" s="66"/>
      <c r="M237" s="66"/>
      <c r="N237" s="66"/>
      <c r="O237" s="66"/>
      <c r="P237" s="66"/>
      <c r="Q237" s="66"/>
      <c r="R237" s="66"/>
      <c r="S237" s="66"/>
      <c r="T237" s="71"/>
      <c r="U237" s="70"/>
      <c r="V237" s="42"/>
      <c r="W237" s="70"/>
      <c r="X237" s="70"/>
      <c r="Y237" s="70"/>
      <c r="Z237" s="78"/>
      <c r="AA237" s="79"/>
      <c r="AB237" s="79"/>
      <c r="AC237" s="79"/>
      <c r="AD237" s="79"/>
      <c r="AE237" s="79"/>
      <c r="AF237" s="79"/>
      <c r="AG237" s="79"/>
      <c r="AH237" s="79"/>
      <c r="AI237" s="79"/>
      <c r="AJ237" s="21" t="s">
        <v>1900</v>
      </c>
      <c r="AK237" s="85"/>
      <c r="AL237" s="85"/>
      <c r="AM237" s="85"/>
    </row>
    <row r="238" spans="1:39" ht="12.75" hidden="1" customHeight="1">
      <c r="A238" s="63">
        <v>18</v>
      </c>
      <c r="B238" s="16" t="s">
        <v>40</v>
      </c>
      <c r="C238" s="18" t="s">
        <v>1901</v>
      </c>
      <c r="D238" s="18" t="s">
        <v>1902</v>
      </c>
      <c r="E238" s="65"/>
      <c r="F238" s="66"/>
      <c r="G238" s="66"/>
      <c r="H238" s="66"/>
      <c r="I238" s="66"/>
      <c r="J238" s="66"/>
      <c r="K238" s="66"/>
      <c r="L238" s="66"/>
      <c r="M238" s="66"/>
      <c r="N238" s="66"/>
      <c r="O238" s="66"/>
      <c r="P238" s="66"/>
      <c r="Q238" s="66"/>
      <c r="R238" s="66"/>
      <c r="S238" s="66"/>
      <c r="T238" s="71"/>
      <c r="U238" s="70"/>
      <c r="V238" s="42"/>
      <c r="W238" s="70"/>
      <c r="X238" s="70">
        <v>161000000</v>
      </c>
      <c r="Y238" s="70"/>
      <c r="Z238" s="78"/>
      <c r="AA238" s="79"/>
      <c r="AB238" s="79"/>
      <c r="AC238" s="79"/>
      <c r="AD238" s="79"/>
      <c r="AE238" s="79"/>
      <c r="AF238" s="79"/>
      <c r="AG238" s="79"/>
      <c r="AH238" s="79"/>
      <c r="AI238" s="79"/>
      <c r="AJ238" s="21" t="s">
        <v>1903</v>
      </c>
      <c r="AK238" s="85"/>
      <c r="AL238" s="85"/>
      <c r="AM238" s="85"/>
    </row>
    <row r="239" spans="1:39" ht="12.75" hidden="1" customHeight="1">
      <c r="A239" s="64">
        <v>19</v>
      </c>
      <c r="B239" s="67" t="s">
        <v>40</v>
      </c>
      <c r="C239" s="27" t="s">
        <v>1904</v>
      </c>
      <c r="D239" s="27" t="s">
        <v>1905</v>
      </c>
      <c r="E239" s="68"/>
      <c r="F239" s="69"/>
      <c r="G239" s="69"/>
      <c r="H239" s="69"/>
      <c r="I239" s="69"/>
      <c r="J239" s="69"/>
      <c r="K239" s="69"/>
      <c r="L239" s="69"/>
      <c r="M239" s="69"/>
      <c r="N239" s="69"/>
      <c r="O239" s="69"/>
      <c r="P239" s="69"/>
      <c r="Q239" s="69"/>
      <c r="R239" s="69"/>
      <c r="S239" s="69"/>
      <c r="T239" s="74"/>
      <c r="U239" s="75"/>
      <c r="V239" s="46"/>
      <c r="W239" s="75">
        <v>16000000</v>
      </c>
      <c r="X239" s="75"/>
      <c r="Y239" s="75"/>
      <c r="Z239" s="80"/>
      <c r="AA239" s="79"/>
      <c r="AB239" s="81"/>
      <c r="AC239" s="81"/>
      <c r="AD239" s="81"/>
      <c r="AE239" s="81"/>
      <c r="AF239" s="81"/>
      <c r="AG239" s="81"/>
      <c r="AH239" s="81"/>
      <c r="AI239" s="81"/>
      <c r="AJ239" s="88" t="s">
        <v>205</v>
      </c>
      <c r="AK239" s="85"/>
      <c r="AL239" s="85"/>
      <c r="AM239" s="85"/>
    </row>
    <row r="240" spans="1:39" ht="12.75" hidden="1" customHeight="1">
      <c r="A240" s="63">
        <v>20</v>
      </c>
      <c r="B240" s="16" t="s">
        <v>40</v>
      </c>
      <c r="C240" s="21" t="s">
        <v>1885</v>
      </c>
      <c r="D240" s="18" t="s">
        <v>1905</v>
      </c>
      <c r="E240" s="65"/>
      <c r="F240" s="66"/>
      <c r="G240" s="66"/>
      <c r="H240" s="66"/>
      <c r="I240" s="66"/>
      <c r="J240" s="66"/>
      <c r="K240" s="66"/>
      <c r="L240" s="66"/>
      <c r="M240" s="66"/>
      <c r="N240" s="66"/>
      <c r="O240" s="66"/>
      <c r="P240" s="66"/>
      <c r="Q240" s="66"/>
      <c r="R240" s="66"/>
      <c r="S240" s="66"/>
      <c r="T240" s="71"/>
      <c r="U240" s="70"/>
      <c r="V240" s="42"/>
      <c r="W240" s="70">
        <v>54000000</v>
      </c>
      <c r="X240" s="70"/>
      <c r="Y240" s="70"/>
      <c r="Z240" s="78"/>
      <c r="AA240" s="81"/>
      <c r="AB240" s="81"/>
      <c r="AC240" s="81"/>
      <c r="AD240" s="81"/>
      <c r="AE240" s="81"/>
      <c r="AF240" s="81"/>
      <c r="AG240" s="81"/>
      <c r="AH240" s="81"/>
      <c r="AI240" s="81"/>
      <c r="AJ240" s="21" t="s">
        <v>205</v>
      </c>
      <c r="AK240" s="85"/>
      <c r="AL240" s="85"/>
      <c r="AM240" s="85"/>
    </row>
    <row r="241" spans="1:39" ht="12.75" hidden="1" customHeight="1">
      <c r="A241" s="63">
        <v>21</v>
      </c>
      <c r="B241" s="16" t="s">
        <v>40</v>
      </c>
      <c r="C241" s="21" t="s">
        <v>1906</v>
      </c>
      <c r="D241" s="18" t="s">
        <v>1905</v>
      </c>
      <c r="E241" s="65"/>
      <c r="F241" s="66"/>
      <c r="G241" s="66"/>
      <c r="H241" s="66"/>
      <c r="I241" s="66"/>
      <c r="J241" s="66"/>
      <c r="K241" s="66"/>
      <c r="L241" s="66"/>
      <c r="M241" s="66"/>
      <c r="N241" s="66"/>
      <c r="O241" s="66"/>
      <c r="P241" s="66"/>
      <c r="Q241" s="66"/>
      <c r="R241" s="66"/>
      <c r="S241" s="66"/>
      <c r="T241" s="71"/>
      <c r="U241" s="70"/>
      <c r="V241" s="42"/>
      <c r="W241" s="70">
        <v>81000000</v>
      </c>
      <c r="X241" s="70"/>
      <c r="Y241" s="70"/>
      <c r="Z241" s="78"/>
      <c r="AA241" s="79"/>
      <c r="AB241" s="79"/>
      <c r="AC241" s="79"/>
      <c r="AD241" s="79"/>
      <c r="AE241" s="79"/>
      <c r="AF241" s="79"/>
      <c r="AG241" s="79"/>
      <c r="AH241" s="79"/>
      <c r="AI241" s="79"/>
      <c r="AJ241" s="21" t="s">
        <v>205</v>
      </c>
      <c r="AK241" s="85"/>
      <c r="AL241" s="85"/>
      <c r="AM241" s="85"/>
    </row>
    <row r="242" spans="1:39" ht="12.75" hidden="1" customHeight="1">
      <c r="A242" s="63">
        <v>22</v>
      </c>
      <c r="B242" s="16" t="s">
        <v>44</v>
      </c>
      <c r="C242" s="21" t="s">
        <v>1907</v>
      </c>
      <c r="D242" s="18" t="s">
        <v>1896</v>
      </c>
      <c r="E242" s="65"/>
      <c r="F242" s="66"/>
      <c r="G242" s="66"/>
      <c r="H242" s="66"/>
      <c r="I242" s="66"/>
      <c r="J242" s="66"/>
      <c r="K242" s="66"/>
      <c r="L242" s="66"/>
      <c r="M242" s="66"/>
      <c r="N242" s="66"/>
      <c r="O242" s="66"/>
      <c r="P242" s="66"/>
      <c r="Q242" s="66"/>
      <c r="R242" s="66"/>
      <c r="S242" s="66"/>
      <c r="T242" s="71"/>
      <c r="U242" s="70"/>
      <c r="V242" s="42"/>
      <c r="W242" s="70"/>
      <c r="X242" s="70"/>
      <c r="Y242" s="70"/>
      <c r="Z242" s="78"/>
      <c r="AA242" s="79">
        <v>200000000</v>
      </c>
      <c r="AB242" s="79"/>
      <c r="AC242" s="79"/>
      <c r="AD242" s="79"/>
      <c r="AE242" s="79"/>
      <c r="AF242" s="79"/>
      <c r="AG242" s="79"/>
      <c r="AH242" s="79"/>
      <c r="AI242" s="79"/>
      <c r="AJ242" s="21" t="s">
        <v>1864</v>
      </c>
      <c r="AK242" s="85"/>
      <c r="AL242" s="85"/>
      <c r="AM242" s="85"/>
    </row>
    <row r="243" spans="1:39" ht="12.75" hidden="1" customHeight="1">
      <c r="A243" s="64">
        <v>23</v>
      </c>
      <c r="B243" s="16" t="s">
        <v>44</v>
      </c>
      <c r="C243" s="21" t="s">
        <v>1908</v>
      </c>
      <c r="D243" s="18" t="s">
        <v>1905</v>
      </c>
      <c r="E243" s="65"/>
      <c r="F243" s="66"/>
      <c r="G243" s="66"/>
      <c r="H243" s="66"/>
      <c r="I243" s="66"/>
      <c r="J243" s="66"/>
      <c r="K243" s="66"/>
      <c r="L243" s="66"/>
      <c r="M243" s="66"/>
      <c r="N243" s="66"/>
      <c r="O243" s="66"/>
      <c r="P243" s="66"/>
      <c r="Q243" s="66"/>
      <c r="R243" s="66"/>
      <c r="S243" s="66"/>
      <c r="T243" s="71"/>
      <c r="U243" s="70"/>
      <c r="V243" s="42"/>
      <c r="W243" s="70"/>
      <c r="X243" s="70"/>
      <c r="Y243" s="70">
        <v>40000000</v>
      </c>
      <c r="Z243" s="78"/>
      <c r="AA243" s="79"/>
      <c r="AB243" s="79"/>
      <c r="AC243" s="79"/>
      <c r="AD243" s="79"/>
      <c r="AE243" s="79"/>
      <c r="AF243" s="79"/>
      <c r="AG243" s="79"/>
      <c r="AH243" s="79"/>
      <c r="AI243" s="79"/>
      <c r="AJ243" s="21" t="s">
        <v>205</v>
      </c>
      <c r="AK243" s="85"/>
      <c r="AL243" s="85"/>
      <c r="AM243" s="85"/>
    </row>
    <row r="244" spans="1:39" ht="12.75" hidden="1" customHeight="1">
      <c r="A244" s="63">
        <v>24</v>
      </c>
      <c r="B244" s="16" t="s">
        <v>44</v>
      </c>
      <c r="C244" s="21" t="s">
        <v>1909</v>
      </c>
      <c r="D244" s="18" t="s">
        <v>1910</v>
      </c>
      <c r="E244" s="65"/>
      <c r="F244" s="66"/>
      <c r="G244" s="66"/>
      <c r="H244" s="66"/>
      <c r="I244" s="66"/>
      <c r="J244" s="66"/>
      <c r="K244" s="66"/>
      <c r="L244" s="66"/>
      <c r="M244" s="66"/>
      <c r="N244" s="66"/>
      <c r="O244" s="66"/>
      <c r="P244" s="66"/>
      <c r="Q244" s="66"/>
      <c r="R244" s="66"/>
      <c r="S244" s="66"/>
      <c r="T244" s="71"/>
      <c r="U244" s="70"/>
      <c r="V244" s="42"/>
      <c r="W244" s="70"/>
      <c r="X244" s="70"/>
      <c r="Y244" s="70"/>
      <c r="Z244" s="78"/>
      <c r="AA244" s="79"/>
      <c r="AB244" s="79"/>
      <c r="AC244" s="79"/>
      <c r="AD244" s="79">
        <v>55000000</v>
      </c>
      <c r="AE244" s="79"/>
      <c r="AF244" s="79"/>
      <c r="AG244" s="79"/>
      <c r="AH244" s="79"/>
      <c r="AI244" s="79"/>
      <c r="AJ244" s="70" t="s">
        <v>1872</v>
      </c>
      <c r="AK244" s="85"/>
      <c r="AL244" s="85"/>
      <c r="AM244" s="85"/>
    </row>
    <row r="245" spans="1:39" ht="12.75" customHeight="1">
      <c r="A245" s="63">
        <v>25</v>
      </c>
      <c r="B245" s="16" t="s">
        <v>27</v>
      </c>
      <c r="C245" s="21" t="s">
        <v>1911</v>
      </c>
      <c r="D245" s="18" t="s">
        <v>1912</v>
      </c>
      <c r="E245" s="65"/>
      <c r="F245" s="66"/>
      <c r="G245" s="66"/>
      <c r="H245" s="66"/>
      <c r="I245" s="66"/>
      <c r="J245" s="66"/>
      <c r="K245" s="66"/>
      <c r="L245" s="66"/>
      <c r="M245" s="66"/>
      <c r="N245" s="66"/>
      <c r="O245" s="66"/>
      <c r="P245" s="66"/>
      <c r="Q245" s="66"/>
      <c r="R245" s="66"/>
      <c r="S245" s="66"/>
      <c r="T245" s="71"/>
      <c r="U245" s="70"/>
      <c r="V245" s="42"/>
      <c r="W245" s="70"/>
      <c r="X245" s="70"/>
      <c r="Y245" s="70"/>
      <c r="Z245" s="82">
        <v>55000000</v>
      </c>
      <c r="AA245" s="81"/>
      <c r="AB245" s="81"/>
      <c r="AC245" s="81"/>
      <c r="AD245" s="81"/>
      <c r="AE245" s="81"/>
      <c r="AF245" s="81"/>
      <c r="AG245" s="81"/>
      <c r="AH245" s="81"/>
      <c r="AI245" s="81"/>
      <c r="AJ245" s="70" t="s">
        <v>1887</v>
      </c>
      <c r="AK245" s="85"/>
      <c r="AL245" s="85"/>
      <c r="AM245" s="85"/>
    </row>
    <row r="246" spans="1:39" ht="12.75" customHeight="1">
      <c r="A246" s="63">
        <v>26</v>
      </c>
      <c r="B246" s="16" t="s">
        <v>27</v>
      </c>
      <c r="C246" s="21" t="s">
        <v>1913</v>
      </c>
      <c r="D246" s="18" t="s">
        <v>1914</v>
      </c>
      <c r="E246" s="65"/>
      <c r="F246" s="66"/>
      <c r="G246" s="66"/>
      <c r="H246" s="66"/>
      <c r="I246" s="66"/>
      <c r="J246" s="66"/>
      <c r="K246" s="66"/>
      <c r="L246" s="66"/>
      <c r="M246" s="66"/>
      <c r="N246" s="66"/>
      <c r="O246" s="66"/>
      <c r="P246" s="66"/>
      <c r="Q246" s="66"/>
      <c r="R246" s="66"/>
      <c r="S246" s="66"/>
      <c r="T246" s="71"/>
      <c r="U246" s="70"/>
      <c r="V246" s="42"/>
      <c r="W246" s="70"/>
      <c r="X246" s="70"/>
      <c r="Y246" s="70"/>
      <c r="Z246" s="82"/>
      <c r="AA246" s="79">
        <v>35000000</v>
      </c>
      <c r="AB246" s="79"/>
      <c r="AC246" s="79"/>
      <c r="AD246" s="79"/>
      <c r="AE246" s="79"/>
      <c r="AF246" s="79"/>
      <c r="AG246" s="79"/>
      <c r="AH246" s="79"/>
      <c r="AI246" s="79"/>
      <c r="AJ246" s="70" t="s">
        <v>1915</v>
      </c>
      <c r="AK246" s="85"/>
      <c r="AL246" s="85"/>
      <c r="AM246" s="85"/>
    </row>
    <row r="247" spans="1:39" ht="12.75" customHeight="1">
      <c r="A247" s="64">
        <v>27</v>
      </c>
      <c r="B247" s="16" t="s">
        <v>27</v>
      </c>
      <c r="C247" s="21" t="s">
        <v>1916</v>
      </c>
      <c r="D247" s="18" t="s">
        <v>1917</v>
      </c>
      <c r="E247" s="65"/>
      <c r="F247" s="66"/>
      <c r="G247" s="66"/>
      <c r="H247" s="66"/>
      <c r="I247" s="66"/>
      <c r="J247" s="66"/>
      <c r="K247" s="66"/>
      <c r="L247" s="66"/>
      <c r="M247" s="66"/>
      <c r="N247" s="66"/>
      <c r="O247" s="66"/>
      <c r="P247" s="66"/>
      <c r="Q247" s="66"/>
      <c r="R247" s="66"/>
      <c r="S247" s="66"/>
      <c r="T247" s="71"/>
      <c r="U247" s="70"/>
      <c r="V247" s="42"/>
      <c r="W247" s="70"/>
      <c r="X247" s="70"/>
      <c r="Y247" s="70"/>
      <c r="Z247" s="82"/>
      <c r="AA247" s="79"/>
      <c r="AB247" s="79"/>
      <c r="AC247" s="79"/>
      <c r="AD247" s="79">
        <v>350000000</v>
      </c>
      <c r="AE247" s="79"/>
      <c r="AF247" s="79"/>
      <c r="AG247" s="79"/>
      <c r="AH247" s="79"/>
      <c r="AI247" s="79"/>
      <c r="AJ247" s="70" t="s">
        <v>1872</v>
      </c>
      <c r="AK247" s="85"/>
      <c r="AL247" s="85"/>
      <c r="AM247" s="85"/>
    </row>
    <row r="248" spans="1:39" ht="12.75" hidden="1" customHeight="1">
      <c r="A248" s="63">
        <v>28</v>
      </c>
      <c r="B248" s="16" t="s">
        <v>40</v>
      </c>
      <c r="C248" s="21" t="s">
        <v>1918</v>
      </c>
      <c r="D248" s="18" t="s">
        <v>1919</v>
      </c>
      <c r="E248" s="70"/>
      <c r="F248" s="70"/>
      <c r="G248" s="70"/>
      <c r="H248" s="70"/>
      <c r="I248" s="70"/>
      <c r="J248" s="70"/>
      <c r="K248" s="70"/>
      <c r="L248" s="70"/>
      <c r="M248" s="70"/>
      <c r="N248" s="70"/>
      <c r="O248" s="70"/>
      <c r="P248" s="70"/>
      <c r="Q248" s="70"/>
      <c r="R248" s="70"/>
      <c r="S248" s="70"/>
      <c r="T248" s="70"/>
      <c r="U248" s="70"/>
      <c r="V248" s="70"/>
      <c r="W248" s="70"/>
      <c r="X248" s="70"/>
      <c r="Y248" s="70">
        <v>50000000</v>
      </c>
      <c r="Z248" s="82"/>
      <c r="AA248" s="79"/>
      <c r="AB248" s="79"/>
      <c r="AC248" s="79"/>
      <c r="AD248" s="79"/>
      <c r="AE248" s="79"/>
      <c r="AF248" s="79"/>
      <c r="AG248" s="79"/>
      <c r="AH248" s="79"/>
      <c r="AI248" s="79"/>
      <c r="AJ248" s="70" t="s">
        <v>205</v>
      </c>
      <c r="AK248" s="85"/>
      <c r="AL248" s="85"/>
      <c r="AM248" s="85"/>
    </row>
    <row r="249" spans="1:39" ht="12.75" hidden="1" customHeight="1">
      <c r="A249" s="63">
        <v>29</v>
      </c>
      <c r="B249" s="16" t="s">
        <v>72</v>
      </c>
      <c r="C249" s="21" t="s">
        <v>1920</v>
      </c>
      <c r="D249" s="18" t="s">
        <v>1921</v>
      </c>
      <c r="E249" s="70"/>
      <c r="F249" s="70"/>
      <c r="G249" s="70"/>
      <c r="H249" s="70"/>
      <c r="I249" s="70"/>
      <c r="J249" s="70"/>
      <c r="K249" s="70"/>
      <c r="L249" s="70"/>
      <c r="M249" s="70"/>
      <c r="N249" s="70"/>
      <c r="O249" s="70"/>
      <c r="P249" s="70"/>
      <c r="Q249" s="70"/>
      <c r="R249" s="70"/>
      <c r="S249" s="70"/>
      <c r="T249" s="70"/>
      <c r="U249" s="70"/>
      <c r="V249" s="70"/>
      <c r="W249" s="70"/>
      <c r="X249" s="70"/>
      <c r="Y249" s="70"/>
      <c r="Z249" s="82"/>
      <c r="AA249" s="79"/>
      <c r="AB249" s="79"/>
      <c r="AC249" s="79">
        <v>55000000</v>
      </c>
      <c r="AD249" s="79"/>
      <c r="AE249" s="79"/>
      <c r="AF249" s="79"/>
      <c r="AG249" s="79"/>
      <c r="AH249" s="79"/>
      <c r="AI249" s="79"/>
      <c r="AJ249" s="70" t="s">
        <v>1922</v>
      </c>
      <c r="AK249" s="85"/>
      <c r="AL249" s="85"/>
      <c r="AM249" s="85"/>
    </row>
    <row r="250" spans="1:39" ht="12.75" hidden="1" customHeight="1">
      <c r="A250" s="63">
        <v>30</v>
      </c>
      <c r="B250" s="16" t="s">
        <v>44</v>
      </c>
      <c r="C250" s="21" t="s">
        <v>1895</v>
      </c>
      <c r="D250" s="18" t="s">
        <v>1923</v>
      </c>
      <c r="E250" s="70"/>
      <c r="F250" s="70"/>
      <c r="G250" s="70"/>
      <c r="H250" s="70"/>
      <c r="I250" s="70"/>
      <c r="J250" s="70"/>
      <c r="K250" s="70"/>
      <c r="L250" s="70"/>
      <c r="M250" s="70"/>
      <c r="N250" s="70"/>
      <c r="O250" s="70"/>
      <c r="P250" s="70"/>
      <c r="Q250" s="70"/>
      <c r="R250" s="70"/>
      <c r="S250" s="70"/>
      <c r="T250" s="70"/>
      <c r="U250" s="70"/>
      <c r="V250" s="70"/>
      <c r="W250" s="70"/>
      <c r="X250" s="70"/>
      <c r="Y250" s="70"/>
      <c r="Z250" s="82"/>
      <c r="AA250" s="79">
        <v>400000000</v>
      </c>
      <c r="AB250" s="79"/>
      <c r="AC250" s="82"/>
      <c r="AD250" s="82"/>
      <c r="AE250" s="82"/>
      <c r="AF250" s="82"/>
      <c r="AG250" s="82"/>
      <c r="AH250" s="82"/>
      <c r="AI250" s="82"/>
      <c r="AJ250" s="70" t="s">
        <v>1556</v>
      </c>
      <c r="AK250" s="85"/>
      <c r="AL250" s="85"/>
      <c r="AM250" s="85"/>
    </row>
    <row r="251" spans="1:39" ht="12.75" hidden="1" customHeight="1">
      <c r="A251" s="64">
        <v>31</v>
      </c>
      <c r="B251" s="16" t="s">
        <v>44</v>
      </c>
      <c r="C251" s="21" t="s">
        <v>1924</v>
      </c>
      <c r="D251" s="18" t="s">
        <v>1925</v>
      </c>
      <c r="E251" s="70"/>
      <c r="F251" s="70"/>
      <c r="G251" s="70"/>
      <c r="H251" s="70"/>
      <c r="I251" s="70"/>
      <c r="J251" s="70"/>
      <c r="K251" s="70"/>
      <c r="L251" s="70"/>
      <c r="M251" s="70"/>
      <c r="N251" s="70"/>
      <c r="O251" s="70"/>
      <c r="P251" s="70"/>
      <c r="Q251" s="70"/>
      <c r="R251" s="70"/>
      <c r="S251" s="70"/>
      <c r="T251" s="70"/>
      <c r="U251" s="70"/>
      <c r="V251" s="70"/>
      <c r="W251" s="70"/>
      <c r="X251" s="70"/>
      <c r="Y251" s="70"/>
      <c r="Z251" s="82"/>
      <c r="AA251" s="79"/>
      <c r="AB251" s="79"/>
      <c r="AC251" s="82">
        <v>55000000</v>
      </c>
      <c r="AD251" s="82"/>
      <c r="AE251" s="82"/>
      <c r="AF251" s="82"/>
      <c r="AG251" s="82"/>
      <c r="AH251" s="82"/>
      <c r="AI251" s="82"/>
      <c r="AJ251" s="70" t="s">
        <v>1926</v>
      </c>
      <c r="AK251" s="85"/>
      <c r="AL251" s="85"/>
      <c r="AM251" s="85"/>
    </row>
    <row r="252" spans="1:39" ht="12.75" hidden="1" customHeight="1">
      <c r="A252" s="63">
        <v>32</v>
      </c>
      <c r="B252" s="16" t="s">
        <v>44</v>
      </c>
      <c r="C252" s="21" t="s">
        <v>1904</v>
      </c>
      <c r="D252" s="18" t="s">
        <v>1927</v>
      </c>
      <c r="E252" s="70"/>
      <c r="F252" s="70"/>
      <c r="G252" s="70"/>
      <c r="H252" s="70"/>
      <c r="I252" s="70"/>
      <c r="J252" s="70"/>
      <c r="K252" s="70"/>
      <c r="L252" s="70"/>
      <c r="M252" s="70"/>
      <c r="N252" s="70"/>
      <c r="O252" s="70"/>
      <c r="P252" s="70"/>
      <c r="Q252" s="70"/>
      <c r="R252" s="70"/>
      <c r="S252" s="70"/>
      <c r="T252" s="70"/>
      <c r="U252" s="70"/>
      <c r="V252" s="70"/>
      <c r="W252" s="70"/>
      <c r="X252" s="70"/>
      <c r="Y252" s="70"/>
      <c r="Z252" s="82"/>
      <c r="AA252" s="79">
        <v>18000000</v>
      </c>
      <c r="AB252" s="79"/>
      <c r="AC252" s="82"/>
      <c r="AD252" s="82"/>
      <c r="AE252" s="82"/>
      <c r="AF252" s="82"/>
      <c r="AG252" s="82"/>
      <c r="AH252" s="82"/>
      <c r="AI252" s="82"/>
      <c r="AJ252" s="70" t="s">
        <v>205</v>
      </c>
      <c r="AK252" s="85"/>
      <c r="AL252" s="85"/>
      <c r="AM252" s="85"/>
    </row>
    <row r="253" spans="1:39" ht="12.75" hidden="1" customHeight="1">
      <c r="A253" s="63">
        <v>33</v>
      </c>
      <c r="B253" s="16" t="s">
        <v>44</v>
      </c>
      <c r="C253" s="21" t="s">
        <v>1928</v>
      </c>
      <c r="D253" s="18" t="s">
        <v>1929</v>
      </c>
      <c r="E253" s="70"/>
      <c r="F253" s="70"/>
      <c r="G253" s="70"/>
      <c r="H253" s="70"/>
      <c r="I253" s="70"/>
      <c r="J253" s="70"/>
      <c r="K253" s="70"/>
      <c r="L253" s="70"/>
      <c r="M253" s="70"/>
      <c r="N253" s="70"/>
      <c r="O253" s="70"/>
      <c r="P253" s="70"/>
      <c r="Q253" s="70"/>
      <c r="R253" s="70"/>
      <c r="S253" s="70"/>
      <c r="T253" s="70"/>
      <c r="U253" s="70"/>
      <c r="V253" s="70"/>
      <c r="W253" s="70"/>
      <c r="X253" s="70"/>
      <c r="Y253" s="70"/>
      <c r="Z253" s="82"/>
      <c r="AA253" s="79"/>
      <c r="AB253" s="79">
        <v>150000000</v>
      </c>
      <c r="AC253" s="82"/>
      <c r="AD253" s="82"/>
      <c r="AE253" s="82"/>
      <c r="AF253" s="82"/>
      <c r="AG253" s="82"/>
      <c r="AH253" s="82"/>
      <c r="AI253" s="82"/>
      <c r="AJ253" s="70" t="s">
        <v>1903</v>
      </c>
      <c r="AK253" s="85"/>
      <c r="AL253" s="85"/>
      <c r="AM253" s="85"/>
    </row>
    <row r="254" spans="1:39" ht="12.75" hidden="1" customHeight="1">
      <c r="A254" s="63">
        <v>34</v>
      </c>
      <c r="B254" s="16" t="s">
        <v>40</v>
      </c>
      <c r="C254" s="21" t="s">
        <v>1930</v>
      </c>
      <c r="D254" s="18" t="s">
        <v>1931</v>
      </c>
      <c r="E254" s="70"/>
      <c r="F254" s="70"/>
      <c r="G254" s="70"/>
      <c r="H254" s="70"/>
      <c r="I254" s="70"/>
      <c r="J254" s="70"/>
      <c r="K254" s="70"/>
      <c r="L254" s="70"/>
      <c r="M254" s="70"/>
      <c r="N254" s="70"/>
      <c r="O254" s="70"/>
      <c r="P254" s="70"/>
      <c r="Q254" s="70"/>
      <c r="R254" s="70"/>
      <c r="S254" s="70"/>
      <c r="T254" s="70"/>
      <c r="U254" s="70"/>
      <c r="V254" s="70"/>
      <c r="W254" s="70"/>
      <c r="X254" s="70"/>
      <c r="Y254" s="70"/>
      <c r="Z254" s="82"/>
      <c r="AA254" s="79"/>
      <c r="AB254" s="79">
        <v>50000000</v>
      </c>
      <c r="AC254" s="82"/>
      <c r="AD254" s="82"/>
      <c r="AE254" s="82"/>
      <c r="AF254" s="83"/>
      <c r="AG254" s="83"/>
      <c r="AH254" s="83"/>
      <c r="AI254" s="83"/>
      <c r="AJ254" s="89" t="s">
        <v>205</v>
      </c>
      <c r="AK254" s="85"/>
      <c r="AL254" s="85"/>
      <c r="AM254" s="85"/>
    </row>
    <row r="255" spans="1:39" ht="12.75" hidden="1" customHeight="1">
      <c r="A255" s="64">
        <v>35</v>
      </c>
      <c r="B255" s="16" t="s">
        <v>40</v>
      </c>
      <c r="C255" s="21" t="s">
        <v>1932</v>
      </c>
      <c r="D255" s="18" t="s">
        <v>1933</v>
      </c>
      <c r="E255" s="70"/>
      <c r="F255" s="70"/>
      <c r="G255" s="70"/>
      <c r="H255" s="70"/>
      <c r="I255" s="70"/>
      <c r="J255" s="70"/>
      <c r="K255" s="70"/>
      <c r="L255" s="70"/>
      <c r="M255" s="70"/>
      <c r="N255" s="70"/>
      <c r="O255" s="70"/>
      <c r="P255" s="70"/>
      <c r="Q255" s="70"/>
      <c r="R255" s="70"/>
      <c r="S255" s="70"/>
      <c r="T255" s="70"/>
      <c r="U255" s="70"/>
      <c r="V255" s="70"/>
      <c r="W255" s="70"/>
      <c r="X255" s="70"/>
      <c r="Y255" s="70"/>
      <c r="Z255" s="82"/>
      <c r="AA255" s="79"/>
      <c r="AB255" s="79"/>
      <c r="AC255" s="82">
        <v>55000000</v>
      </c>
      <c r="AD255" s="82"/>
      <c r="AE255" s="82"/>
      <c r="AF255" s="82"/>
      <c r="AG255" s="82"/>
      <c r="AH255" s="82"/>
      <c r="AI255" s="82"/>
      <c r="AJ255" s="70" t="s">
        <v>205</v>
      </c>
      <c r="AK255" s="85"/>
      <c r="AL255" s="85"/>
      <c r="AM255" s="85"/>
    </row>
    <row r="256" spans="1:39" ht="12.75" hidden="1" customHeight="1">
      <c r="A256" s="63">
        <v>36</v>
      </c>
      <c r="B256" s="16" t="s">
        <v>40</v>
      </c>
      <c r="C256" s="21" t="s">
        <v>1934</v>
      </c>
      <c r="D256" s="18" t="s">
        <v>1935</v>
      </c>
      <c r="E256" s="70"/>
      <c r="F256" s="70"/>
      <c r="G256" s="70"/>
      <c r="H256" s="70"/>
      <c r="I256" s="70"/>
      <c r="J256" s="70"/>
      <c r="K256" s="70"/>
      <c r="L256" s="70"/>
      <c r="M256" s="70"/>
      <c r="N256" s="70"/>
      <c r="O256" s="70"/>
      <c r="P256" s="70"/>
      <c r="Q256" s="70"/>
      <c r="R256" s="70"/>
      <c r="S256" s="70"/>
      <c r="T256" s="70"/>
      <c r="U256" s="70"/>
      <c r="V256" s="70"/>
      <c r="W256" s="70"/>
      <c r="X256" s="70"/>
      <c r="Y256" s="70"/>
      <c r="Z256" s="82"/>
      <c r="AA256" s="79"/>
      <c r="AB256" s="79">
        <v>39000000</v>
      </c>
      <c r="AC256" s="82"/>
      <c r="AD256" s="82"/>
      <c r="AE256" s="82"/>
      <c r="AF256" s="82"/>
      <c r="AG256" s="82"/>
      <c r="AH256" s="82"/>
      <c r="AI256" s="82"/>
      <c r="AJ256" s="70" t="s">
        <v>205</v>
      </c>
      <c r="AK256" s="85"/>
      <c r="AL256" s="85"/>
      <c r="AM256" s="85"/>
    </row>
    <row r="257" spans="1:39" ht="12.75" hidden="1" customHeight="1">
      <c r="A257" s="63">
        <v>37</v>
      </c>
      <c r="B257" s="16" t="s">
        <v>40</v>
      </c>
      <c r="C257" s="21" t="s">
        <v>1934</v>
      </c>
      <c r="D257" s="18" t="s">
        <v>1936</v>
      </c>
      <c r="E257" s="70"/>
      <c r="F257" s="70"/>
      <c r="G257" s="70"/>
      <c r="H257" s="70"/>
      <c r="I257" s="70"/>
      <c r="J257" s="70"/>
      <c r="K257" s="70"/>
      <c r="L257" s="70"/>
      <c r="M257" s="70"/>
      <c r="N257" s="70"/>
      <c r="O257" s="70"/>
      <c r="P257" s="70"/>
      <c r="Q257" s="70"/>
      <c r="R257" s="70"/>
      <c r="S257" s="70"/>
      <c r="T257" s="70"/>
      <c r="U257" s="70"/>
      <c r="V257" s="70"/>
      <c r="W257" s="70"/>
      <c r="X257" s="70"/>
      <c r="Y257" s="70"/>
      <c r="Z257" s="82"/>
      <c r="AA257" s="79"/>
      <c r="AB257" s="79">
        <v>70000000</v>
      </c>
      <c r="AC257" s="82"/>
      <c r="AD257" s="82"/>
      <c r="AE257" s="82"/>
      <c r="AF257" s="82"/>
      <c r="AG257" s="82"/>
      <c r="AH257" s="82"/>
      <c r="AI257" s="82"/>
      <c r="AJ257" s="70" t="s">
        <v>205</v>
      </c>
      <c r="AK257" s="85"/>
      <c r="AL257" s="85"/>
      <c r="AM257" s="85"/>
    </row>
    <row r="258" spans="1:39" ht="12.75" hidden="1" customHeight="1">
      <c r="A258" s="63">
        <v>38</v>
      </c>
      <c r="B258" s="16" t="s">
        <v>40</v>
      </c>
      <c r="C258" s="21" t="s">
        <v>1937</v>
      </c>
      <c r="D258" s="18" t="s">
        <v>1938</v>
      </c>
      <c r="E258" s="70"/>
      <c r="F258" s="70"/>
      <c r="G258" s="70"/>
      <c r="H258" s="70"/>
      <c r="I258" s="70"/>
      <c r="J258" s="70"/>
      <c r="K258" s="70"/>
      <c r="L258" s="70"/>
      <c r="M258" s="70"/>
      <c r="N258" s="70"/>
      <c r="O258" s="70"/>
      <c r="P258" s="70"/>
      <c r="Q258" s="70"/>
      <c r="R258" s="70"/>
      <c r="S258" s="70"/>
      <c r="T258" s="70"/>
      <c r="U258" s="70"/>
      <c r="V258" s="70"/>
      <c r="W258" s="70"/>
      <c r="X258" s="70"/>
      <c r="Y258" s="70"/>
      <c r="Z258" s="82"/>
      <c r="AA258" s="79"/>
      <c r="AB258" s="79"/>
      <c r="AC258" s="82">
        <v>60000000</v>
      </c>
      <c r="AD258" s="82"/>
      <c r="AE258" s="82"/>
      <c r="AF258" s="82"/>
      <c r="AG258" s="82"/>
      <c r="AH258" s="82"/>
      <c r="AI258" s="82"/>
      <c r="AJ258" s="70" t="s">
        <v>205</v>
      </c>
      <c r="AK258" s="85"/>
      <c r="AL258" s="85"/>
      <c r="AM258" s="85"/>
    </row>
    <row r="259" spans="1:39" ht="12.75" hidden="1" customHeight="1">
      <c r="A259" s="63">
        <v>39</v>
      </c>
      <c r="B259" s="16" t="s">
        <v>72</v>
      </c>
      <c r="C259" s="21" t="s">
        <v>1939</v>
      </c>
      <c r="D259" s="18" t="s">
        <v>1940</v>
      </c>
      <c r="E259" s="70"/>
      <c r="F259" s="70"/>
      <c r="G259" s="70"/>
      <c r="H259" s="70"/>
      <c r="I259" s="70"/>
      <c r="J259" s="70"/>
      <c r="K259" s="70"/>
      <c r="L259" s="70"/>
      <c r="M259" s="70"/>
      <c r="N259" s="70"/>
      <c r="O259" s="70"/>
      <c r="P259" s="70"/>
      <c r="Q259" s="70"/>
      <c r="R259" s="70"/>
      <c r="S259" s="70"/>
      <c r="T259" s="70"/>
      <c r="U259" s="70"/>
      <c r="V259" s="70"/>
      <c r="W259" s="70"/>
      <c r="X259" s="70"/>
      <c r="Y259" s="70"/>
      <c r="Z259" s="82"/>
      <c r="AA259" s="79"/>
      <c r="AB259" s="79"/>
      <c r="AC259" s="82"/>
      <c r="AD259" s="82"/>
      <c r="AE259" s="82">
        <v>20000000</v>
      </c>
      <c r="AF259" s="82"/>
      <c r="AG259" s="82"/>
      <c r="AH259" s="82"/>
      <c r="AI259" s="82"/>
      <c r="AJ259" s="70" t="s">
        <v>1897</v>
      </c>
      <c r="AK259" s="85"/>
      <c r="AL259" s="85"/>
      <c r="AM259" s="85"/>
    </row>
    <row r="260" spans="1:39" ht="12.75" customHeight="1">
      <c r="A260" s="64">
        <v>40</v>
      </c>
      <c r="B260" s="16" t="s">
        <v>27</v>
      </c>
      <c r="C260" s="21" t="s">
        <v>1941</v>
      </c>
      <c r="D260" s="18" t="s">
        <v>1942</v>
      </c>
      <c r="E260" s="70"/>
      <c r="F260" s="70"/>
      <c r="G260" s="70"/>
      <c r="H260" s="70"/>
      <c r="I260" s="70"/>
      <c r="J260" s="70"/>
      <c r="K260" s="70"/>
      <c r="L260" s="70"/>
      <c r="M260" s="70"/>
      <c r="N260" s="70"/>
      <c r="O260" s="70"/>
      <c r="P260" s="70"/>
      <c r="Q260" s="70"/>
      <c r="R260" s="70"/>
      <c r="S260" s="70"/>
      <c r="T260" s="70"/>
      <c r="U260" s="70"/>
      <c r="V260" s="70"/>
      <c r="W260" s="70"/>
      <c r="X260" s="70"/>
      <c r="Y260" s="70"/>
      <c r="Z260" s="82"/>
      <c r="AA260" s="79"/>
      <c r="AB260" s="79"/>
      <c r="AC260" s="82">
        <v>150000000</v>
      </c>
      <c r="AD260" s="82"/>
      <c r="AE260" s="82"/>
      <c r="AF260" s="82"/>
      <c r="AG260" s="82"/>
      <c r="AH260" s="82"/>
      <c r="AI260" s="82"/>
      <c r="AJ260" s="70" t="s">
        <v>1903</v>
      </c>
      <c r="AK260" s="85"/>
      <c r="AL260" s="85"/>
      <c r="AM260" s="85"/>
    </row>
    <row r="261" spans="1:39" ht="12.75" hidden="1" customHeight="1">
      <c r="A261" s="63">
        <v>41</v>
      </c>
      <c r="B261" s="16" t="s">
        <v>72</v>
      </c>
      <c r="C261" s="21" t="s">
        <v>1943</v>
      </c>
      <c r="D261" s="18" t="s">
        <v>1944</v>
      </c>
      <c r="E261" s="70"/>
      <c r="F261" s="70"/>
      <c r="G261" s="70"/>
      <c r="H261" s="70"/>
      <c r="I261" s="70"/>
      <c r="J261" s="70"/>
      <c r="K261" s="70"/>
      <c r="L261" s="70"/>
      <c r="M261" s="70"/>
      <c r="N261" s="70"/>
      <c r="O261" s="70"/>
      <c r="P261" s="70"/>
      <c r="Q261" s="70"/>
      <c r="R261" s="70"/>
      <c r="S261" s="70"/>
      <c r="T261" s="70"/>
      <c r="U261" s="70"/>
      <c r="V261" s="70"/>
      <c r="W261" s="70"/>
      <c r="X261" s="70"/>
      <c r="Y261" s="70"/>
      <c r="Z261" s="82"/>
      <c r="AA261" s="79"/>
      <c r="AB261" s="79"/>
      <c r="AC261" s="82"/>
      <c r="AD261" s="82"/>
      <c r="AE261" s="82">
        <v>35000000</v>
      </c>
      <c r="AF261" s="83"/>
      <c r="AG261" s="83"/>
      <c r="AH261" s="83"/>
      <c r="AI261" s="83"/>
      <c r="AJ261" s="89" t="s">
        <v>1945</v>
      </c>
      <c r="AK261" s="85"/>
      <c r="AL261" s="85"/>
      <c r="AM261" s="85"/>
    </row>
    <row r="262" spans="1:39" ht="12.75" customHeight="1">
      <c r="A262" s="63">
        <v>42</v>
      </c>
      <c r="B262" s="16" t="s">
        <v>27</v>
      </c>
      <c r="C262" s="21" t="s">
        <v>1946</v>
      </c>
      <c r="D262" s="18" t="s">
        <v>1947</v>
      </c>
      <c r="E262" s="70"/>
      <c r="F262" s="70"/>
      <c r="G262" s="70"/>
      <c r="H262" s="70"/>
      <c r="I262" s="70"/>
      <c r="J262" s="70"/>
      <c r="K262" s="70"/>
      <c r="L262" s="70"/>
      <c r="M262" s="70"/>
      <c r="N262" s="70"/>
      <c r="O262" s="70"/>
      <c r="P262" s="70"/>
      <c r="Q262" s="70"/>
      <c r="R262" s="70"/>
      <c r="S262" s="70"/>
      <c r="T262" s="70"/>
      <c r="U262" s="70"/>
      <c r="V262" s="70"/>
      <c r="W262" s="70"/>
      <c r="X262" s="70"/>
      <c r="Y262" s="70"/>
      <c r="Z262" s="82"/>
      <c r="AA262" s="79"/>
      <c r="AB262" s="79"/>
      <c r="AC262" s="82"/>
      <c r="AD262" s="82"/>
      <c r="AE262" s="82"/>
      <c r="AF262" s="82">
        <v>12500000</v>
      </c>
      <c r="AG262" s="82"/>
      <c r="AH262" s="82"/>
      <c r="AI262" s="82"/>
      <c r="AJ262" s="70" t="s">
        <v>1945</v>
      </c>
      <c r="AK262" s="85"/>
      <c r="AL262" s="85"/>
      <c r="AM262" s="85"/>
    </row>
    <row r="263" spans="1:39" ht="12.75" customHeight="1">
      <c r="A263" s="63">
        <v>43</v>
      </c>
      <c r="B263" s="16" t="s">
        <v>27</v>
      </c>
      <c r="C263" s="21" t="s">
        <v>1930</v>
      </c>
      <c r="D263" s="18" t="s">
        <v>1948</v>
      </c>
      <c r="E263" s="70"/>
      <c r="F263" s="70"/>
      <c r="G263" s="70"/>
      <c r="H263" s="70"/>
      <c r="I263" s="70"/>
      <c r="J263" s="70"/>
      <c r="K263" s="70"/>
      <c r="L263" s="70"/>
      <c r="M263" s="70"/>
      <c r="N263" s="70"/>
      <c r="O263" s="70"/>
      <c r="P263" s="70"/>
      <c r="Q263" s="70"/>
      <c r="R263" s="70"/>
      <c r="S263" s="70"/>
      <c r="T263" s="70"/>
      <c r="U263" s="70"/>
      <c r="V263" s="70"/>
      <c r="W263" s="70"/>
      <c r="X263" s="70"/>
      <c r="Y263" s="70"/>
      <c r="Z263" s="82"/>
      <c r="AA263" s="79"/>
      <c r="AB263" s="79"/>
      <c r="AC263" s="82"/>
      <c r="AD263" s="82"/>
      <c r="AE263" s="82"/>
      <c r="AF263" s="82">
        <v>20200000</v>
      </c>
      <c r="AG263" s="82"/>
      <c r="AH263" s="82"/>
      <c r="AI263" s="82"/>
      <c r="AJ263" s="70" t="s">
        <v>1945</v>
      </c>
      <c r="AK263" s="85"/>
      <c r="AL263" s="85"/>
      <c r="AM263" s="85"/>
    </row>
    <row r="264" spans="1:39" ht="12.75" customHeight="1">
      <c r="A264" s="63">
        <v>44</v>
      </c>
      <c r="B264" s="16" t="s">
        <v>27</v>
      </c>
      <c r="C264" s="21" t="s">
        <v>1949</v>
      </c>
      <c r="D264" s="18" t="s">
        <v>1950</v>
      </c>
      <c r="E264" s="70"/>
      <c r="F264" s="70"/>
      <c r="G264" s="70"/>
      <c r="H264" s="70"/>
      <c r="I264" s="70"/>
      <c r="J264" s="70"/>
      <c r="K264" s="70"/>
      <c r="L264" s="70"/>
      <c r="M264" s="70"/>
      <c r="N264" s="70"/>
      <c r="O264" s="70"/>
      <c r="P264" s="70"/>
      <c r="Q264" s="70"/>
      <c r="R264" s="70"/>
      <c r="S264" s="70"/>
      <c r="T264" s="70"/>
      <c r="U264" s="70"/>
      <c r="V264" s="70"/>
      <c r="W264" s="70"/>
      <c r="X264" s="70"/>
      <c r="Y264" s="70"/>
      <c r="Z264" s="82"/>
      <c r="AA264" s="79"/>
      <c r="AB264" s="79"/>
      <c r="AC264" s="82"/>
      <c r="AD264" s="82"/>
      <c r="AE264" s="82"/>
      <c r="AF264" s="82"/>
      <c r="AG264" s="82">
        <v>35000000</v>
      </c>
      <c r="AH264" s="82"/>
      <c r="AI264" s="82"/>
      <c r="AJ264" s="70" t="s">
        <v>1945</v>
      </c>
      <c r="AK264" s="85"/>
      <c r="AL264" s="85"/>
      <c r="AM264" s="85"/>
    </row>
    <row r="265" spans="1:39" ht="12.75" customHeight="1">
      <c r="A265" s="63">
        <v>45</v>
      </c>
      <c r="B265" s="16" t="s">
        <v>27</v>
      </c>
      <c r="C265" s="21" t="s">
        <v>1932</v>
      </c>
      <c r="D265" s="18" t="s">
        <v>1951</v>
      </c>
      <c r="E265" s="70"/>
      <c r="F265" s="70"/>
      <c r="G265" s="70"/>
      <c r="H265" s="70"/>
      <c r="I265" s="70"/>
      <c r="J265" s="70"/>
      <c r="K265" s="70"/>
      <c r="L265" s="70"/>
      <c r="M265" s="70"/>
      <c r="N265" s="70"/>
      <c r="O265" s="70"/>
      <c r="P265" s="70"/>
      <c r="Q265" s="70"/>
      <c r="R265" s="70"/>
      <c r="S265" s="70"/>
      <c r="T265" s="70"/>
      <c r="U265" s="70"/>
      <c r="V265" s="70"/>
      <c r="W265" s="70"/>
      <c r="X265" s="70"/>
      <c r="Y265" s="70"/>
      <c r="Z265" s="82"/>
      <c r="AA265" s="79"/>
      <c r="AB265" s="79"/>
      <c r="AC265" s="82"/>
      <c r="AD265" s="82"/>
      <c r="AE265" s="82"/>
      <c r="AF265" s="82"/>
      <c r="AG265" s="82">
        <v>38000000</v>
      </c>
      <c r="AH265" s="82"/>
      <c r="AI265" s="82"/>
      <c r="AJ265" s="70" t="s">
        <v>1945</v>
      </c>
      <c r="AK265" s="85"/>
      <c r="AL265" s="85"/>
      <c r="AM265" s="85"/>
    </row>
    <row r="266" spans="1:39" ht="12.75" hidden="1" customHeight="1">
      <c r="A266" s="63">
        <v>46</v>
      </c>
      <c r="B266" s="16" t="s">
        <v>30</v>
      </c>
      <c r="C266" s="21" t="s">
        <v>1952</v>
      </c>
      <c r="D266" s="18" t="s">
        <v>1953</v>
      </c>
      <c r="E266" s="70"/>
      <c r="F266" s="70"/>
      <c r="G266" s="70"/>
      <c r="H266" s="70"/>
      <c r="I266" s="70"/>
      <c r="J266" s="70"/>
      <c r="K266" s="70"/>
      <c r="L266" s="70"/>
      <c r="M266" s="70"/>
      <c r="N266" s="70"/>
      <c r="O266" s="70"/>
      <c r="P266" s="70"/>
      <c r="Q266" s="70"/>
      <c r="R266" s="70"/>
      <c r="S266" s="70"/>
      <c r="T266" s="70"/>
      <c r="U266" s="70"/>
      <c r="V266" s="70"/>
      <c r="W266" s="70"/>
      <c r="X266" s="70"/>
      <c r="Y266" s="70"/>
      <c r="Z266" s="82"/>
      <c r="AA266" s="79"/>
      <c r="AB266" s="79"/>
      <c r="AC266" s="82"/>
      <c r="AD266" s="82"/>
      <c r="AE266" s="82"/>
      <c r="AF266" s="83"/>
      <c r="AG266" s="82">
        <v>45500000</v>
      </c>
      <c r="AH266" s="82"/>
      <c r="AI266" s="82"/>
      <c r="AJ266" s="70" t="s">
        <v>1945</v>
      </c>
      <c r="AK266" s="85"/>
      <c r="AL266" s="85"/>
      <c r="AM266" s="85"/>
    </row>
    <row r="267" spans="1:39" ht="12.75" hidden="1" customHeight="1">
      <c r="A267" s="63">
        <v>47</v>
      </c>
      <c r="B267" s="16" t="s">
        <v>30</v>
      </c>
      <c r="C267" s="21" t="s">
        <v>1954</v>
      </c>
      <c r="D267" s="18" t="s">
        <v>1955</v>
      </c>
      <c r="E267" s="70"/>
      <c r="F267" s="70"/>
      <c r="G267" s="70"/>
      <c r="H267" s="70"/>
      <c r="I267" s="70"/>
      <c r="J267" s="70"/>
      <c r="K267" s="70"/>
      <c r="L267" s="70"/>
      <c r="M267" s="70"/>
      <c r="N267" s="70"/>
      <c r="O267" s="70"/>
      <c r="P267" s="70"/>
      <c r="Q267" s="70"/>
      <c r="R267" s="70"/>
      <c r="S267" s="70"/>
      <c r="T267" s="70"/>
      <c r="U267" s="70"/>
      <c r="V267" s="70"/>
      <c r="W267" s="70"/>
      <c r="X267" s="70"/>
      <c r="Y267" s="70"/>
      <c r="Z267" s="82"/>
      <c r="AA267" s="79"/>
      <c r="AB267" s="79"/>
      <c r="AC267" s="82"/>
      <c r="AD267" s="82"/>
      <c r="AE267" s="82"/>
      <c r="AF267" s="82"/>
      <c r="AG267" s="82"/>
      <c r="AH267" s="82">
        <v>650000000</v>
      </c>
      <c r="AI267" s="82"/>
      <c r="AJ267" s="70" t="s">
        <v>1945</v>
      </c>
      <c r="AK267" s="85"/>
      <c r="AL267" s="85"/>
      <c r="AM267" s="85"/>
    </row>
    <row r="268" spans="1:39" ht="12.75" customHeight="1">
      <c r="A268" s="63">
        <v>48</v>
      </c>
      <c r="B268" s="16" t="s">
        <v>27</v>
      </c>
      <c r="C268" s="21" t="s">
        <v>1956</v>
      </c>
      <c r="D268" s="18" t="s">
        <v>1876</v>
      </c>
      <c r="E268" s="70"/>
      <c r="F268" s="70"/>
      <c r="G268" s="70"/>
      <c r="H268" s="70"/>
      <c r="I268" s="70"/>
      <c r="J268" s="70"/>
      <c r="K268" s="70"/>
      <c r="L268" s="70"/>
      <c r="M268" s="70"/>
      <c r="N268" s="70"/>
      <c r="O268" s="70"/>
      <c r="P268" s="70"/>
      <c r="Q268" s="70"/>
      <c r="R268" s="70"/>
      <c r="S268" s="70"/>
      <c r="T268" s="70"/>
      <c r="U268" s="70"/>
      <c r="V268" s="70"/>
      <c r="W268" s="70"/>
      <c r="X268" s="70"/>
      <c r="Y268" s="70"/>
      <c r="Z268" s="82"/>
      <c r="AA268" s="79"/>
      <c r="AB268" s="79"/>
      <c r="AC268" s="82"/>
      <c r="AD268" s="82"/>
      <c r="AE268" s="82"/>
      <c r="AF268" s="82"/>
      <c r="AG268" s="79"/>
      <c r="AH268" s="79">
        <v>35000000</v>
      </c>
      <c r="AI268" s="79"/>
      <c r="AJ268" s="70" t="s">
        <v>1945</v>
      </c>
      <c r="AK268" s="85"/>
      <c r="AL268" s="85"/>
      <c r="AM268" s="85"/>
    </row>
    <row r="269" spans="1:39" ht="12.75" hidden="1" customHeight="1">
      <c r="A269" s="63">
        <v>1</v>
      </c>
      <c r="B269" s="90" t="s">
        <v>1957</v>
      </c>
      <c r="C269" s="91" t="s">
        <v>1958</v>
      </c>
      <c r="D269" s="13" t="s">
        <v>1959</v>
      </c>
      <c r="E269" s="92"/>
      <c r="F269" s="93"/>
      <c r="G269" s="93"/>
      <c r="H269" s="93"/>
      <c r="I269" s="93"/>
      <c r="J269" s="93"/>
      <c r="K269" s="93"/>
      <c r="L269" s="93"/>
      <c r="M269" s="93"/>
      <c r="N269" s="93"/>
      <c r="O269" s="93"/>
      <c r="P269" s="93"/>
      <c r="Q269" s="93"/>
      <c r="R269" s="93"/>
      <c r="S269" s="93"/>
      <c r="T269" s="114"/>
      <c r="U269" s="93">
        <v>97496600</v>
      </c>
      <c r="V269" s="115"/>
      <c r="W269" s="116"/>
      <c r="X269" s="106"/>
      <c r="Y269" s="116"/>
      <c r="Z269" s="120"/>
      <c r="AA269" s="116"/>
      <c r="AB269" s="115"/>
      <c r="AC269" s="116"/>
      <c r="AD269" s="116"/>
      <c r="AE269" s="120"/>
      <c r="AF269" s="116"/>
      <c r="AG269" s="116"/>
      <c r="AH269" s="116"/>
      <c r="AI269" s="116"/>
      <c r="AJ269" s="13" t="s">
        <v>1599</v>
      </c>
      <c r="AK269" s="1"/>
      <c r="AL269" s="1"/>
      <c r="AM269" s="1"/>
    </row>
    <row r="270" spans="1:39" ht="12.75" hidden="1" customHeight="1">
      <c r="A270" s="63">
        <v>2</v>
      </c>
      <c r="B270" s="94" t="s">
        <v>1960</v>
      </c>
      <c r="C270" s="95" t="s">
        <v>1961</v>
      </c>
      <c r="D270" s="49" t="s">
        <v>1962</v>
      </c>
      <c r="E270" s="96"/>
      <c r="F270" s="49"/>
      <c r="G270" s="49"/>
      <c r="H270" s="49"/>
      <c r="I270" s="49"/>
      <c r="J270" s="49"/>
      <c r="K270" s="49"/>
      <c r="L270" s="49"/>
      <c r="M270" s="49"/>
      <c r="N270" s="49"/>
      <c r="O270" s="49"/>
      <c r="P270" s="49"/>
      <c r="Q270" s="49"/>
      <c r="R270" s="93"/>
      <c r="S270" s="93"/>
      <c r="T270" s="114"/>
      <c r="U270" s="117"/>
      <c r="V270" s="114"/>
      <c r="W270" s="93"/>
      <c r="X270" s="106"/>
      <c r="Y270" s="93"/>
      <c r="Z270" s="121">
        <v>310450000</v>
      </c>
      <c r="AA270" s="93"/>
      <c r="AB270" s="114"/>
      <c r="AC270" s="93"/>
      <c r="AD270" s="93"/>
      <c r="AE270" s="106"/>
      <c r="AF270" s="93"/>
      <c r="AG270" s="93"/>
      <c r="AH270" s="93"/>
      <c r="AI270" s="93"/>
      <c r="AJ270" s="21" t="s">
        <v>1599</v>
      </c>
      <c r="AK270" s="1"/>
      <c r="AL270" s="1"/>
      <c r="AM270" s="1"/>
    </row>
    <row r="271" spans="1:39" ht="12.75" hidden="1" customHeight="1">
      <c r="A271" s="63">
        <v>3</v>
      </c>
      <c r="B271" s="94" t="s">
        <v>1957</v>
      </c>
      <c r="C271" s="97" t="s">
        <v>1963</v>
      </c>
      <c r="D271" s="21" t="s">
        <v>1964</v>
      </c>
      <c r="E271" s="92"/>
      <c r="F271" s="93"/>
      <c r="G271" s="93"/>
      <c r="H271" s="93"/>
      <c r="I271" s="93"/>
      <c r="J271" s="93"/>
      <c r="K271" s="93"/>
      <c r="L271" s="93"/>
      <c r="M271" s="93"/>
      <c r="N271" s="93"/>
      <c r="O271" s="93"/>
      <c r="P271" s="93"/>
      <c r="Q271" s="93"/>
      <c r="R271" s="93"/>
      <c r="S271" s="93"/>
      <c r="T271" s="114"/>
      <c r="U271" s="93"/>
      <c r="V271" s="114"/>
      <c r="W271" s="118">
        <v>494475685</v>
      </c>
      <c r="X271" s="106"/>
      <c r="Y271" s="93"/>
      <c r="Z271" s="106"/>
      <c r="AA271" s="93"/>
      <c r="AB271" s="114"/>
      <c r="AC271" s="93"/>
      <c r="AD271" s="93"/>
      <c r="AE271" s="106"/>
      <c r="AF271" s="93"/>
      <c r="AG271" s="93"/>
      <c r="AH271" s="93"/>
      <c r="AI271" s="93"/>
      <c r="AJ271" s="21" t="s">
        <v>1599</v>
      </c>
      <c r="AK271" s="1"/>
      <c r="AL271" s="1"/>
      <c r="AM271" s="1"/>
    </row>
    <row r="272" spans="1:39" ht="12.75" hidden="1" customHeight="1">
      <c r="A272" s="63">
        <v>4</v>
      </c>
      <c r="B272" s="94" t="s">
        <v>1957</v>
      </c>
      <c r="C272" s="95" t="s">
        <v>1965</v>
      </c>
      <c r="D272" s="21" t="s">
        <v>1966</v>
      </c>
      <c r="E272" s="92"/>
      <c r="F272" s="93"/>
      <c r="G272" s="93"/>
      <c r="H272" s="93"/>
      <c r="I272" s="93"/>
      <c r="J272" s="93"/>
      <c r="K272" s="93"/>
      <c r="L272" s="93"/>
      <c r="M272" s="93"/>
      <c r="N272" s="93"/>
      <c r="O272" s="93"/>
      <c r="P272" s="93"/>
      <c r="Q272" s="93"/>
      <c r="R272" s="93"/>
      <c r="S272" s="93"/>
      <c r="T272" s="114"/>
      <c r="U272" s="93">
        <v>184851900</v>
      </c>
      <c r="V272" s="114"/>
      <c r="W272" s="93"/>
      <c r="X272" s="106"/>
      <c r="Y272" s="93"/>
      <c r="Z272" s="106"/>
      <c r="AA272" s="93"/>
      <c r="AB272" s="114"/>
      <c r="AC272" s="93"/>
      <c r="AD272" s="93"/>
      <c r="AE272" s="106"/>
      <c r="AF272" s="93"/>
      <c r="AG272" s="93"/>
      <c r="AH272" s="93"/>
      <c r="AI272" s="93"/>
      <c r="AJ272" s="21" t="s">
        <v>1520</v>
      </c>
      <c r="AK272" s="1"/>
      <c r="AL272" s="1"/>
      <c r="AM272" s="1"/>
    </row>
    <row r="273" spans="1:39" ht="12.75" customHeight="1">
      <c r="A273" s="63">
        <v>5</v>
      </c>
      <c r="B273" s="94" t="s">
        <v>1967</v>
      </c>
      <c r="C273" s="97" t="s">
        <v>1968</v>
      </c>
      <c r="D273" s="21" t="s">
        <v>1959</v>
      </c>
      <c r="E273" s="92"/>
      <c r="F273" s="93"/>
      <c r="G273" s="93"/>
      <c r="H273" s="93"/>
      <c r="I273" s="93"/>
      <c r="J273" s="93"/>
      <c r="K273" s="93"/>
      <c r="L273" s="93"/>
      <c r="M273" s="93"/>
      <c r="N273" s="93"/>
      <c r="O273" s="93"/>
      <c r="P273" s="93"/>
      <c r="Q273" s="93"/>
      <c r="R273" s="93"/>
      <c r="S273" s="93"/>
      <c r="T273" s="114"/>
      <c r="U273" s="93"/>
      <c r="V273" s="114"/>
      <c r="W273" s="93"/>
      <c r="X273" s="106"/>
      <c r="Y273" s="118"/>
      <c r="Z273" s="93">
        <v>378666180</v>
      </c>
      <c r="AA273" s="93"/>
      <c r="AB273" s="114"/>
      <c r="AC273" s="93"/>
      <c r="AD273" s="93"/>
      <c r="AE273" s="106"/>
      <c r="AF273" s="93"/>
      <c r="AG273" s="93"/>
      <c r="AH273" s="93"/>
      <c r="AI273" s="93"/>
      <c r="AJ273" s="93" t="s">
        <v>1864</v>
      </c>
      <c r="AK273" s="1"/>
      <c r="AL273" s="1"/>
      <c r="AM273" s="1"/>
    </row>
    <row r="274" spans="1:39" ht="12.75" hidden="1" customHeight="1">
      <c r="A274" s="63">
        <v>6</v>
      </c>
      <c r="B274" s="98" t="s">
        <v>1957</v>
      </c>
      <c r="C274" s="99" t="s">
        <v>1969</v>
      </c>
      <c r="D274" s="100" t="s">
        <v>1966</v>
      </c>
      <c r="E274" s="101"/>
      <c r="F274" s="102"/>
      <c r="G274" s="102"/>
      <c r="H274" s="102"/>
      <c r="I274" s="102"/>
      <c r="J274" s="107"/>
      <c r="K274" s="108"/>
      <c r="L274" s="109"/>
      <c r="M274" s="110"/>
      <c r="N274" s="110"/>
      <c r="O274" s="102"/>
      <c r="P274" s="102"/>
      <c r="Q274" s="102"/>
      <c r="R274" s="102"/>
      <c r="S274" s="102"/>
      <c r="T274" s="107"/>
      <c r="U274" s="108">
        <v>142560000</v>
      </c>
      <c r="V274" s="119"/>
      <c r="W274" s="108"/>
      <c r="X274" s="109"/>
      <c r="Y274" s="110"/>
      <c r="Z274" s="122"/>
      <c r="AA274" s="110"/>
      <c r="AB274" s="123"/>
      <c r="AC274" s="110"/>
      <c r="AD274" s="110"/>
      <c r="AE274" s="109"/>
      <c r="AF274" s="110"/>
      <c r="AG274" s="110"/>
      <c r="AH274" s="110"/>
      <c r="AI274" s="110"/>
      <c r="AJ274" s="110" t="s">
        <v>1970</v>
      </c>
      <c r="AK274" s="126"/>
      <c r="AL274" s="126"/>
      <c r="AM274" s="126"/>
    </row>
    <row r="275" spans="1:39" ht="12.75" hidden="1" customHeight="1">
      <c r="A275" s="63">
        <v>7</v>
      </c>
      <c r="B275" s="103" t="s">
        <v>1957</v>
      </c>
      <c r="C275" s="97" t="s">
        <v>1971</v>
      </c>
      <c r="D275" s="49" t="s">
        <v>1966</v>
      </c>
      <c r="E275" s="104"/>
      <c r="F275" s="105"/>
      <c r="G275" s="105"/>
      <c r="H275" s="105"/>
      <c r="I275" s="105"/>
      <c r="J275" s="111"/>
      <c r="K275" s="93"/>
      <c r="L275" s="112"/>
      <c r="M275" s="113"/>
      <c r="N275" s="113"/>
      <c r="O275" s="105"/>
      <c r="P275" s="105"/>
      <c r="Q275" s="105"/>
      <c r="R275" s="105"/>
      <c r="S275" s="105"/>
      <c r="T275" s="111"/>
      <c r="U275" s="93"/>
      <c r="V275" s="114"/>
      <c r="W275" s="113"/>
      <c r="X275" s="112">
        <v>419630000</v>
      </c>
      <c r="Y275" s="113"/>
      <c r="Z275" s="106"/>
      <c r="AA275" s="113"/>
      <c r="AB275" s="124"/>
      <c r="AC275" s="113"/>
      <c r="AD275" s="113"/>
      <c r="AE275" s="112"/>
      <c r="AF275" s="113"/>
      <c r="AG275" s="113"/>
      <c r="AH275" s="113"/>
      <c r="AI275" s="113"/>
      <c r="AJ275" s="21" t="s">
        <v>1599</v>
      </c>
      <c r="AK275" s="126"/>
      <c r="AL275" s="126"/>
      <c r="AM275" s="126"/>
    </row>
    <row r="276" spans="1:39" ht="12.75" hidden="1" customHeight="1">
      <c r="A276" s="63">
        <v>8</v>
      </c>
      <c r="B276" s="103" t="s">
        <v>1957</v>
      </c>
      <c r="C276" s="97" t="s">
        <v>1972</v>
      </c>
      <c r="D276" s="49" t="s">
        <v>1966</v>
      </c>
      <c r="E276" s="104"/>
      <c r="F276" s="105"/>
      <c r="G276" s="105"/>
      <c r="H276" s="105"/>
      <c r="I276" s="105"/>
      <c r="J276" s="111"/>
      <c r="K276" s="93"/>
      <c r="L276" s="112"/>
      <c r="M276" s="113"/>
      <c r="N276" s="113"/>
      <c r="O276" s="105"/>
      <c r="P276" s="105"/>
      <c r="Q276" s="105"/>
      <c r="R276" s="105"/>
      <c r="S276" s="105"/>
      <c r="T276" s="111"/>
      <c r="U276" s="93"/>
      <c r="V276" s="114">
        <v>98586600</v>
      </c>
      <c r="W276" s="93"/>
      <c r="X276" s="112"/>
      <c r="Y276" s="113"/>
      <c r="Z276" s="106"/>
      <c r="AA276" s="113"/>
      <c r="AB276" s="124"/>
      <c r="AC276" s="113"/>
      <c r="AD276" s="113"/>
      <c r="AE276" s="112"/>
      <c r="AF276" s="113"/>
      <c r="AG276" s="113"/>
      <c r="AH276" s="113"/>
      <c r="AI276" s="113"/>
      <c r="AJ276" s="113" t="s">
        <v>1970</v>
      </c>
      <c r="AK276" s="126"/>
      <c r="AL276" s="126"/>
      <c r="AM276" s="126"/>
    </row>
    <row r="277" spans="1:39" ht="12.75" hidden="1" customHeight="1">
      <c r="A277" s="63">
        <v>9</v>
      </c>
      <c r="B277" s="103" t="s">
        <v>1957</v>
      </c>
      <c r="C277" s="97" t="s">
        <v>1973</v>
      </c>
      <c r="D277" s="49" t="s">
        <v>1966</v>
      </c>
      <c r="E277" s="104"/>
      <c r="F277" s="105"/>
      <c r="G277" s="105"/>
      <c r="H277" s="105"/>
      <c r="I277" s="105"/>
      <c r="J277" s="111"/>
      <c r="K277" s="113"/>
      <c r="L277" s="112"/>
      <c r="M277" s="113"/>
      <c r="N277" s="113"/>
      <c r="O277" s="105"/>
      <c r="P277" s="105"/>
      <c r="Q277" s="105"/>
      <c r="R277" s="105"/>
      <c r="S277" s="105"/>
      <c r="T277" s="111"/>
      <c r="U277" s="93"/>
      <c r="V277" s="114">
        <v>59445000</v>
      </c>
      <c r="W277" s="113"/>
      <c r="X277" s="112"/>
      <c r="Y277" s="113"/>
      <c r="Z277" s="106"/>
      <c r="AA277" s="113"/>
      <c r="AB277" s="124"/>
      <c r="AC277" s="113"/>
      <c r="AD277" s="113"/>
      <c r="AE277" s="112"/>
      <c r="AF277" s="113"/>
      <c r="AG277" s="113"/>
      <c r="AH277" s="113"/>
      <c r="AI277" s="113"/>
      <c r="AJ277" s="113" t="s">
        <v>1970</v>
      </c>
      <c r="AK277" s="126"/>
      <c r="AL277" s="126"/>
      <c r="AM277" s="126"/>
    </row>
    <row r="278" spans="1:39" ht="12.75" customHeight="1">
      <c r="A278" s="63">
        <v>10</v>
      </c>
      <c r="B278" s="103" t="s">
        <v>1967</v>
      </c>
      <c r="C278" s="97" t="s">
        <v>1969</v>
      </c>
      <c r="D278" s="49" t="s">
        <v>1974</v>
      </c>
      <c r="E278" s="104"/>
      <c r="F278" s="105"/>
      <c r="G278" s="105"/>
      <c r="H278" s="105"/>
      <c r="I278" s="105"/>
      <c r="J278" s="111"/>
      <c r="K278" s="93"/>
      <c r="L278" s="112"/>
      <c r="M278" s="93"/>
      <c r="N278" s="113"/>
      <c r="O278" s="105"/>
      <c r="P278" s="105"/>
      <c r="Q278" s="105"/>
      <c r="R278" s="105"/>
      <c r="S278" s="105"/>
      <c r="T278" s="111"/>
      <c r="U278" s="93"/>
      <c r="V278" s="114"/>
      <c r="W278" s="93"/>
      <c r="X278" s="112"/>
      <c r="Y278" s="118"/>
      <c r="Z278" s="106"/>
      <c r="AA278" s="113"/>
      <c r="AB278" s="124"/>
      <c r="AC278" s="113"/>
      <c r="AD278" s="113"/>
      <c r="AE278" s="112"/>
      <c r="AF278" s="118">
        <v>142560000</v>
      </c>
      <c r="AG278" s="127"/>
      <c r="AH278" s="127"/>
      <c r="AI278" s="127"/>
      <c r="AJ278" s="113" t="s">
        <v>1975</v>
      </c>
      <c r="AK278" s="126"/>
      <c r="AL278" s="126"/>
      <c r="AM278" s="126"/>
    </row>
    <row r="279" spans="1:39" ht="12.75" hidden="1" customHeight="1">
      <c r="A279" s="63">
        <v>11</v>
      </c>
      <c r="B279" s="103" t="s">
        <v>1957</v>
      </c>
      <c r="C279" s="97" t="s">
        <v>1976</v>
      </c>
      <c r="D279" s="49" t="s">
        <v>1977</v>
      </c>
      <c r="E279" s="104"/>
      <c r="F279" s="105"/>
      <c r="G279" s="105"/>
      <c r="H279" s="105"/>
      <c r="I279" s="105"/>
      <c r="J279" s="111"/>
      <c r="K279" s="113"/>
      <c r="L279" s="112"/>
      <c r="M279" s="113"/>
      <c r="N279" s="113"/>
      <c r="O279" s="105"/>
      <c r="P279" s="105"/>
      <c r="Q279" s="105"/>
      <c r="R279" s="105"/>
      <c r="S279" s="105"/>
      <c r="T279" s="111"/>
      <c r="U279" s="93"/>
      <c r="V279" s="114"/>
      <c r="W279" s="113"/>
      <c r="X279" s="106">
        <v>134198240</v>
      </c>
      <c r="Y279" s="110"/>
      <c r="Z279" s="106"/>
      <c r="AA279" s="113"/>
      <c r="AB279" s="124"/>
      <c r="AC279" s="113"/>
      <c r="AD279" s="113"/>
      <c r="AE279" s="112"/>
      <c r="AF279" s="113"/>
      <c r="AG279" s="113"/>
      <c r="AH279" s="113"/>
      <c r="AI279" s="113"/>
      <c r="AJ279" s="113" t="s">
        <v>1599</v>
      </c>
      <c r="AK279" s="126"/>
      <c r="AL279" s="126"/>
      <c r="AM279" s="126"/>
    </row>
    <row r="280" spans="1:39" ht="12.75" hidden="1" customHeight="1">
      <c r="A280" s="63">
        <v>12</v>
      </c>
      <c r="B280" s="103" t="s">
        <v>1957</v>
      </c>
      <c r="C280" s="97" t="s">
        <v>1976</v>
      </c>
      <c r="D280" s="49" t="s">
        <v>1978</v>
      </c>
      <c r="E280" s="104"/>
      <c r="F280" s="105"/>
      <c r="G280" s="105"/>
      <c r="H280" s="105"/>
      <c r="I280" s="105"/>
      <c r="J280" s="111"/>
      <c r="K280" s="113"/>
      <c r="L280" s="112"/>
      <c r="M280" s="113"/>
      <c r="N280" s="113"/>
      <c r="O280" s="105"/>
      <c r="P280" s="105"/>
      <c r="Q280" s="105"/>
      <c r="R280" s="105"/>
      <c r="S280" s="105"/>
      <c r="T280" s="111"/>
      <c r="U280" s="93"/>
      <c r="V280" s="114"/>
      <c r="W280" s="113"/>
      <c r="X280" s="106">
        <v>36986400</v>
      </c>
      <c r="Y280" s="113"/>
      <c r="Z280" s="106"/>
      <c r="AA280" s="113"/>
      <c r="AB280" s="124"/>
      <c r="AC280" s="113"/>
      <c r="AD280" s="113"/>
      <c r="AE280" s="112"/>
      <c r="AF280" s="113"/>
      <c r="AG280" s="113"/>
      <c r="AH280" s="113"/>
      <c r="AI280" s="113"/>
      <c r="AJ280" s="113" t="s">
        <v>1599</v>
      </c>
      <c r="AK280" s="126"/>
      <c r="AL280" s="126"/>
      <c r="AM280" s="126"/>
    </row>
    <row r="281" spans="1:39" ht="12.75" hidden="1" customHeight="1">
      <c r="A281" s="63">
        <v>13</v>
      </c>
      <c r="B281" s="103" t="s">
        <v>1957</v>
      </c>
      <c r="C281" s="97" t="s">
        <v>1976</v>
      </c>
      <c r="D281" s="49" t="s">
        <v>1978</v>
      </c>
      <c r="E281" s="104"/>
      <c r="F281" s="105"/>
      <c r="G281" s="105"/>
      <c r="H281" s="105"/>
      <c r="I281" s="105"/>
      <c r="J281" s="111"/>
      <c r="K281" s="113"/>
      <c r="L281" s="112"/>
      <c r="M281" s="113"/>
      <c r="N281" s="113"/>
      <c r="O281" s="105"/>
      <c r="P281" s="105"/>
      <c r="Q281" s="105"/>
      <c r="R281" s="105"/>
      <c r="S281" s="105"/>
      <c r="T281" s="111"/>
      <c r="U281" s="93"/>
      <c r="V281" s="114">
        <v>43421664</v>
      </c>
      <c r="W281" s="113"/>
      <c r="X281" s="112"/>
      <c r="Y281" s="113"/>
      <c r="Z281" s="106"/>
      <c r="AA281" s="113"/>
      <c r="AB281" s="124"/>
      <c r="AC281" s="113"/>
      <c r="AD281" s="113"/>
      <c r="AE281" s="112"/>
      <c r="AF281" s="113"/>
      <c r="AG281" s="113"/>
      <c r="AH281" s="113"/>
      <c r="AI281" s="113"/>
      <c r="AJ281" s="113" t="s">
        <v>1970</v>
      </c>
      <c r="AK281" s="126"/>
      <c r="AL281" s="126"/>
      <c r="AM281" s="126"/>
    </row>
    <row r="282" spans="1:39" ht="12.75" hidden="1" customHeight="1">
      <c r="A282" s="63">
        <v>14</v>
      </c>
      <c r="B282" s="103" t="s">
        <v>1957</v>
      </c>
      <c r="C282" s="97" t="s">
        <v>1979</v>
      </c>
      <c r="D282" s="49" t="s">
        <v>1977</v>
      </c>
      <c r="E282" s="104"/>
      <c r="F282" s="105"/>
      <c r="G282" s="105"/>
      <c r="H282" s="105"/>
      <c r="I282" s="105"/>
      <c r="J282" s="111"/>
      <c r="K282" s="113"/>
      <c r="L282" s="112"/>
      <c r="M282" s="113"/>
      <c r="N282" s="113"/>
      <c r="O282" s="105"/>
      <c r="P282" s="105"/>
      <c r="Q282" s="105"/>
      <c r="R282" s="105"/>
      <c r="S282" s="105"/>
      <c r="T282" s="111"/>
      <c r="U282" s="93">
        <v>62704000</v>
      </c>
      <c r="V282" s="114"/>
      <c r="W282" s="113"/>
      <c r="X282" s="112"/>
      <c r="Y282" s="113"/>
      <c r="Z282" s="106"/>
      <c r="AA282" s="113"/>
      <c r="AB282" s="124"/>
      <c r="AC282" s="113"/>
      <c r="AD282" s="113"/>
      <c r="AE282" s="112"/>
      <c r="AF282" s="113"/>
      <c r="AG282" s="113"/>
      <c r="AH282" s="113"/>
      <c r="AI282" s="113"/>
      <c r="AJ282" s="113" t="s">
        <v>1970</v>
      </c>
      <c r="AK282" s="126"/>
      <c r="AL282" s="126"/>
      <c r="AM282" s="126"/>
    </row>
    <row r="283" spans="1:39" ht="12.75" hidden="1" customHeight="1">
      <c r="A283" s="63">
        <v>15</v>
      </c>
      <c r="B283" s="103" t="s">
        <v>1957</v>
      </c>
      <c r="C283" s="97" t="s">
        <v>1979</v>
      </c>
      <c r="D283" s="49" t="s">
        <v>1977</v>
      </c>
      <c r="E283" s="104"/>
      <c r="F283" s="105"/>
      <c r="G283" s="105"/>
      <c r="H283" s="105"/>
      <c r="I283" s="105"/>
      <c r="J283" s="111"/>
      <c r="K283" s="113"/>
      <c r="L283" s="112"/>
      <c r="M283" s="113"/>
      <c r="N283" s="113"/>
      <c r="O283" s="105"/>
      <c r="P283" s="105"/>
      <c r="Q283" s="105"/>
      <c r="R283" s="105"/>
      <c r="S283" s="105"/>
      <c r="T283" s="111"/>
      <c r="U283" s="93">
        <v>9249000</v>
      </c>
      <c r="V283" s="114"/>
      <c r="W283" s="113"/>
      <c r="X283" s="112"/>
      <c r="Y283" s="113"/>
      <c r="Z283" s="106"/>
      <c r="AA283" s="113"/>
      <c r="AB283" s="124"/>
      <c r="AC283" s="113"/>
      <c r="AD283" s="113"/>
      <c r="AE283" s="112"/>
      <c r="AF283" s="113"/>
      <c r="AG283" s="113"/>
      <c r="AH283" s="113"/>
      <c r="AI283" s="113"/>
      <c r="AJ283" s="113" t="s">
        <v>1970</v>
      </c>
      <c r="AK283" s="126"/>
      <c r="AL283" s="126"/>
      <c r="AM283" s="126"/>
    </row>
    <row r="284" spans="1:39" ht="12.75" hidden="1" customHeight="1">
      <c r="A284" s="63">
        <v>16</v>
      </c>
      <c r="B284" s="103" t="s">
        <v>1957</v>
      </c>
      <c r="C284" s="97" t="s">
        <v>1979</v>
      </c>
      <c r="D284" s="49" t="s">
        <v>1977</v>
      </c>
      <c r="E284" s="104"/>
      <c r="F284" s="105"/>
      <c r="G284" s="105"/>
      <c r="H284" s="105"/>
      <c r="I284" s="105"/>
      <c r="J284" s="111"/>
      <c r="K284" s="113"/>
      <c r="L284" s="112"/>
      <c r="M284" s="113"/>
      <c r="N284" s="113"/>
      <c r="O284" s="105"/>
      <c r="P284" s="105"/>
      <c r="Q284" s="105"/>
      <c r="R284" s="105"/>
      <c r="S284" s="105"/>
      <c r="T284" s="111"/>
      <c r="U284" s="93">
        <v>14138000</v>
      </c>
      <c r="V284" s="114"/>
      <c r="W284" s="113"/>
      <c r="X284" s="112"/>
      <c r="Y284" s="113"/>
      <c r="Z284" s="106"/>
      <c r="AA284" s="113"/>
      <c r="AB284" s="124"/>
      <c r="AC284" s="113"/>
      <c r="AD284" s="113"/>
      <c r="AE284" s="112"/>
      <c r="AF284" s="113"/>
      <c r="AG284" s="113"/>
      <c r="AH284" s="113"/>
      <c r="AI284" s="113"/>
      <c r="AJ284" s="113" t="s">
        <v>1970</v>
      </c>
      <c r="AK284" s="126"/>
      <c r="AL284" s="126"/>
      <c r="AM284" s="126"/>
    </row>
    <row r="285" spans="1:39" ht="12.75" hidden="1" customHeight="1">
      <c r="A285" s="63">
        <v>17</v>
      </c>
      <c r="B285" s="103" t="s">
        <v>1957</v>
      </c>
      <c r="C285" s="97" t="s">
        <v>1971</v>
      </c>
      <c r="D285" s="49" t="s">
        <v>1966</v>
      </c>
      <c r="E285" s="104"/>
      <c r="F285" s="105"/>
      <c r="G285" s="105"/>
      <c r="H285" s="105"/>
      <c r="I285" s="105"/>
      <c r="J285" s="111"/>
      <c r="K285" s="113"/>
      <c r="L285" s="112"/>
      <c r="M285" s="113"/>
      <c r="N285" s="113"/>
      <c r="O285" s="105"/>
      <c r="P285" s="105"/>
      <c r="Q285" s="105"/>
      <c r="R285" s="105"/>
      <c r="S285" s="105"/>
      <c r="T285" s="111"/>
      <c r="U285" s="93"/>
      <c r="V285" s="114"/>
      <c r="W285" s="113"/>
      <c r="X285" s="106">
        <v>53600000</v>
      </c>
      <c r="Y285" s="113"/>
      <c r="Z285" s="106"/>
      <c r="AA285" s="113"/>
      <c r="AB285" s="124"/>
      <c r="AC285" s="113"/>
      <c r="AD285" s="113"/>
      <c r="AE285" s="112"/>
      <c r="AF285" s="113"/>
      <c r="AG285" s="113"/>
      <c r="AH285" s="113"/>
      <c r="AI285" s="113"/>
      <c r="AJ285" s="113" t="s">
        <v>1970</v>
      </c>
      <c r="AK285" s="126"/>
      <c r="AL285" s="126"/>
      <c r="AM285" s="126"/>
    </row>
    <row r="286" spans="1:39" ht="12.75" hidden="1" customHeight="1">
      <c r="A286" s="63">
        <v>18</v>
      </c>
      <c r="B286" s="103" t="s">
        <v>1957</v>
      </c>
      <c r="C286" s="97" t="s">
        <v>1965</v>
      </c>
      <c r="D286" s="49" t="s">
        <v>1966</v>
      </c>
      <c r="E286" s="104"/>
      <c r="F286" s="105"/>
      <c r="G286" s="105"/>
      <c r="H286" s="105"/>
      <c r="I286" s="105"/>
      <c r="J286" s="111"/>
      <c r="K286" s="113"/>
      <c r="L286" s="112"/>
      <c r="M286" s="113"/>
      <c r="N286" s="113"/>
      <c r="O286" s="105"/>
      <c r="P286" s="105"/>
      <c r="Q286" s="105"/>
      <c r="R286" s="105"/>
      <c r="S286" s="105"/>
      <c r="T286" s="111"/>
      <c r="U286" s="93"/>
      <c r="V286" s="114">
        <v>19730700</v>
      </c>
      <c r="W286" s="113"/>
      <c r="X286" s="112"/>
      <c r="Y286" s="113"/>
      <c r="Z286" s="106"/>
      <c r="AA286" s="113"/>
      <c r="AB286" s="124"/>
      <c r="AC286" s="113"/>
      <c r="AD286" s="113"/>
      <c r="AE286" s="112"/>
      <c r="AF286" s="113"/>
      <c r="AG286" s="113"/>
      <c r="AH286" s="113"/>
      <c r="AI286" s="113"/>
      <c r="AJ286" s="113" t="s">
        <v>1599</v>
      </c>
      <c r="AK286" s="126"/>
      <c r="AL286" s="126"/>
      <c r="AM286" s="126"/>
    </row>
    <row r="287" spans="1:39" ht="12.75" hidden="1" customHeight="1">
      <c r="A287" s="63">
        <v>19</v>
      </c>
      <c r="B287" s="103" t="s">
        <v>1957</v>
      </c>
      <c r="C287" s="97" t="s">
        <v>1980</v>
      </c>
      <c r="D287" s="49" t="s">
        <v>1966</v>
      </c>
      <c r="E287" s="104"/>
      <c r="F287" s="105"/>
      <c r="G287" s="105"/>
      <c r="H287" s="105"/>
      <c r="I287" s="105"/>
      <c r="J287" s="111"/>
      <c r="K287" s="113"/>
      <c r="L287" s="112"/>
      <c r="M287" s="113"/>
      <c r="N287" s="113"/>
      <c r="O287" s="105"/>
      <c r="P287" s="105"/>
      <c r="Q287" s="105"/>
      <c r="R287" s="105"/>
      <c r="S287" s="105"/>
      <c r="T287" s="111"/>
      <c r="U287" s="93"/>
      <c r="V287" s="114"/>
      <c r="W287" s="113"/>
      <c r="X287" s="112"/>
      <c r="Y287" s="113">
        <v>486096215</v>
      </c>
      <c r="Z287" s="106"/>
      <c r="AA287" s="113"/>
      <c r="AB287" s="124"/>
      <c r="AC287" s="113"/>
      <c r="AD287" s="113"/>
      <c r="AE287" s="112"/>
      <c r="AF287" s="113"/>
      <c r="AG287" s="113"/>
      <c r="AH287" s="113"/>
      <c r="AI287" s="113"/>
      <c r="AJ287" s="113" t="s">
        <v>1599</v>
      </c>
      <c r="AK287" s="126"/>
      <c r="AL287" s="126"/>
      <c r="AM287" s="126"/>
    </row>
    <row r="288" spans="1:39" ht="12.75" customHeight="1">
      <c r="A288" s="63">
        <v>20</v>
      </c>
      <c r="B288" s="103" t="s">
        <v>1967</v>
      </c>
      <c r="C288" s="97" t="s">
        <v>1981</v>
      </c>
      <c r="D288" s="49" t="s">
        <v>1966</v>
      </c>
      <c r="E288" s="104"/>
      <c r="F288" s="105"/>
      <c r="G288" s="105"/>
      <c r="H288" s="105"/>
      <c r="I288" s="105"/>
      <c r="J288" s="111"/>
      <c r="K288" s="113"/>
      <c r="L288" s="112"/>
      <c r="M288" s="113"/>
      <c r="N288" s="113"/>
      <c r="O288" s="105"/>
      <c r="P288" s="105"/>
      <c r="Q288" s="105"/>
      <c r="R288" s="105"/>
      <c r="S288" s="105"/>
      <c r="T288" s="111"/>
      <c r="U288" s="93"/>
      <c r="V288" s="114"/>
      <c r="W288" s="113"/>
      <c r="X288" s="112"/>
      <c r="Y288" s="113">
        <v>90000000</v>
      </c>
      <c r="Z288" s="106"/>
      <c r="AA288" s="113"/>
      <c r="AB288" s="124"/>
      <c r="AC288" s="113"/>
      <c r="AD288" s="113"/>
      <c r="AE288" s="112"/>
      <c r="AF288" s="113"/>
      <c r="AG288" s="113"/>
      <c r="AH288" s="113"/>
      <c r="AI288" s="113"/>
      <c r="AJ288" s="113" t="s">
        <v>1982</v>
      </c>
      <c r="AK288" s="126"/>
      <c r="AL288" s="126"/>
      <c r="AM288" s="126"/>
    </row>
    <row r="289" spans="1:39" ht="12.75" customHeight="1">
      <c r="A289" s="63">
        <v>21</v>
      </c>
      <c r="B289" s="103" t="s">
        <v>1967</v>
      </c>
      <c r="C289" s="97" t="s">
        <v>1983</v>
      </c>
      <c r="D289" s="49" t="s">
        <v>1966</v>
      </c>
      <c r="E289" s="104"/>
      <c r="F289" s="105"/>
      <c r="G289" s="105"/>
      <c r="H289" s="105"/>
      <c r="I289" s="105"/>
      <c r="J289" s="111"/>
      <c r="K289" s="113"/>
      <c r="L289" s="112"/>
      <c r="M289" s="113"/>
      <c r="N289" s="113"/>
      <c r="O289" s="105"/>
      <c r="P289" s="105"/>
      <c r="Q289" s="105"/>
      <c r="R289" s="105"/>
      <c r="S289" s="105"/>
      <c r="T289" s="111"/>
      <c r="U289" s="93"/>
      <c r="V289" s="114">
        <v>35000000</v>
      </c>
      <c r="W289" s="113"/>
      <c r="X289" s="112"/>
      <c r="Y289" s="113"/>
      <c r="Z289" s="106"/>
      <c r="AA289" s="113"/>
      <c r="AB289" s="124"/>
      <c r="AC289" s="113"/>
      <c r="AD289" s="113"/>
      <c r="AE289" s="112"/>
      <c r="AF289" s="113"/>
      <c r="AG289" s="113"/>
      <c r="AH289" s="113"/>
      <c r="AI289" s="113"/>
      <c r="AJ289" s="113" t="s">
        <v>1984</v>
      </c>
      <c r="AK289" s="126"/>
      <c r="AL289" s="126"/>
      <c r="AM289" s="126"/>
    </row>
    <row r="290" spans="1:39" ht="12.75" hidden="1" customHeight="1">
      <c r="A290" s="63">
        <v>22</v>
      </c>
      <c r="B290" s="94" t="s">
        <v>1957</v>
      </c>
      <c r="C290" s="97" t="s">
        <v>598</v>
      </c>
      <c r="D290" s="21" t="s">
        <v>1977</v>
      </c>
      <c r="E290" s="104"/>
      <c r="F290" s="105"/>
      <c r="G290" s="105"/>
      <c r="H290" s="105"/>
      <c r="I290" s="105"/>
      <c r="J290" s="111"/>
      <c r="K290" s="93"/>
      <c r="L290" s="106"/>
      <c r="M290" s="93"/>
      <c r="N290" s="93"/>
      <c r="O290" s="105"/>
      <c r="P290" s="105"/>
      <c r="Q290" s="105"/>
      <c r="R290" s="105"/>
      <c r="S290" s="105"/>
      <c r="T290" s="111"/>
      <c r="U290" s="93"/>
      <c r="V290" s="114"/>
      <c r="W290" s="93"/>
      <c r="X290" s="106">
        <v>22508100</v>
      </c>
      <c r="Y290" s="93"/>
      <c r="Z290" s="106"/>
      <c r="AA290" s="93"/>
      <c r="AB290" s="114"/>
      <c r="AC290" s="93"/>
      <c r="AD290" s="93"/>
      <c r="AE290" s="106"/>
      <c r="AF290" s="93"/>
      <c r="AG290" s="93"/>
      <c r="AH290" s="93"/>
      <c r="AI290" s="93"/>
      <c r="AJ290" s="93" t="s">
        <v>1599</v>
      </c>
      <c r="AK290" s="126"/>
      <c r="AL290" s="126"/>
      <c r="AM290" s="126"/>
    </row>
    <row r="291" spans="1:39" ht="12.75" hidden="1" customHeight="1">
      <c r="A291" s="63">
        <v>23</v>
      </c>
      <c r="B291" s="94" t="s">
        <v>1957</v>
      </c>
      <c r="C291" s="97" t="s">
        <v>1985</v>
      </c>
      <c r="D291" s="21" t="s">
        <v>1966</v>
      </c>
      <c r="E291" s="106"/>
      <c r="F291" s="106"/>
      <c r="G291" s="106"/>
      <c r="H291" s="106"/>
      <c r="I291" s="106"/>
      <c r="J291" s="106"/>
      <c r="K291" s="93"/>
      <c r="L291" s="106"/>
      <c r="M291" s="93"/>
      <c r="N291" s="93"/>
      <c r="O291" s="106"/>
      <c r="P291" s="106"/>
      <c r="Q291" s="106"/>
      <c r="R291" s="106"/>
      <c r="S291" s="106"/>
      <c r="T291" s="106"/>
      <c r="U291" s="93"/>
      <c r="V291" s="114"/>
      <c r="W291" s="93">
        <v>67320000</v>
      </c>
      <c r="X291" s="106"/>
      <c r="Y291" s="93"/>
      <c r="Z291" s="106"/>
      <c r="AA291" s="93"/>
      <c r="AB291" s="114"/>
      <c r="AC291" s="93"/>
      <c r="AD291" s="93"/>
      <c r="AE291" s="106"/>
      <c r="AF291" s="93"/>
      <c r="AG291" s="93"/>
      <c r="AH291" s="93"/>
      <c r="AI291" s="93"/>
      <c r="AJ291" s="93" t="s">
        <v>1970</v>
      </c>
      <c r="AK291" s="126"/>
      <c r="AL291" s="126"/>
      <c r="AM291" s="126"/>
    </row>
    <row r="292" spans="1:39" ht="12.75" hidden="1" customHeight="1">
      <c r="A292" s="63">
        <v>24</v>
      </c>
      <c r="B292" s="94" t="s">
        <v>1957</v>
      </c>
      <c r="C292" s="97" t="s">
        <v>1986</v>
      </c>
      <c r="D292" s="21" t="s">
        <v>1987</v>
      </c>
      <c r="E292" s="106"/>
      <c r="F292" s="106"/>
      <c r="G292" s="106"/>
      <c r="H292" s="106"/>
      <c r="I292" s="106"/>
      <c r="J292" s="106"/>
      <c r="K292" s="93"/>
      <c r="L292" s="106"/>
      <c r="M292" s="93"/>
      <c r="N292" s="93"/>
      <c r="O292" s="106"/>
      <c r="P292" s="106"/>
      <c r="Q292" s="106"/>
      <c r="R292" s="106"/>
      <c r="S292" s="106"/>
      <c r="T292" s="106"/>
      <c r="U292" s="93"/>
      <c r="V292" s="114"/>
      <c r="W292" s="93"/>
      <c r="X292" s="106"/>
      <c r="Y292" s="93">
        <v>133624025</v>
      </c>
      <c r="Z292" s="106"/>
      <c r="AA292" s="93"/>
      <c r="AB292" s="114"/>
      <c r="AC292" s="93"/>
      <c r="AD292" s="93"/>
      <c r="AE292" s="106"/>
      <c r="AF292" s="93"/>
      <c r="AG292" s="93"/>
      <c r="AH292" s="93"/>
      <c r="AI292" s="93"/>
      <c r="AJ292" s="21" t="s">
        <v>1599</v>
      </c>
      <c r="AK292" s="126"/>
      <c r="AL292" s="126"/>
      <c r="AM292" s="126"/>
    </row>
    <row r="293" spans="1:39" ht="12.75" hidden="1" customHeight="1">
      <c r="A293" s="63">
        <v>25</v>
      </c>
      <c r="B293" s="94" t="s">
        <v>1957</v>
      </c>
      <c r="C293" s="97" t="s">
        <v>1988</v>
      </c>
      <c r="D293" s="21" t="s">
        <v>1977</v>
      </c>
      <c r="E293" s="106"/>
      <c r="F293" s="106"/>
      <c r="G293" s="106"/>
      <c r="H293" s="106"/>
      <c r="I293" s="106"/>
      <c r="J293" s="106"/>
      <c r="K293" s="93"/>
      <c r="L293" s="106"/>
      <c r="M293" s="93"/>
      <c r="N293" s="93"/>
      <c r="O293" s="106"/>
      <c r="P293" s="106"/>
      <c r="Q293" s="106"/>
      <c r="R293" s="106"/>
      <c r="S293" s="106"/>
      <c r="T293" s="106"/>
      <c r="U293" s="93"/>
      <c r="V293" s="114"/>
      <c r="W293" s="93">
        <v>37502200</v>
      </c>
      <c r="X293" s="106"/>
      <c r="Y293" s="93"/>
      <c r="Z293" s="106"/>
      <c r="AA293" s="93"/>
      <c r="AB293" s="114"/>
      <c r="AC293" s="93"/>
      <c r="AD293" s="93"/>
      <c r="AE293" s="106"/>
      <c r="AF293" s="93"/>
      <c r="AG293" s="93"/>
      <c r="AH293" s="93"/>
      <c r="AI293" s="93"/>
      <c r="AJ293" s="93" t="s">
        <v>1970</v>
      </c>
      <c r="AK293" s="126"/>
      <c r="AL293" s="126"/>
      <c r="AM293" s="126"/>
    </row>
    <row r="294" spans="1:39" ht="12.75" hidden="1" customHeight="1">
      <c r="A294" s="63">
        <v>26</v>
      </c>
      <c r="B294" s="94" t="s">
        <v>1957</v>
      </c>
      <c r="C294" s="97" t="s">
        <v>1989</v>
      </c>
      <c r="D294" s="21" t="s">
        <v>1959</v>
      </c>
      <c r="E294" s="106"/>
      <c r="F294" s="106"/>
      <c r="G294" s="106"/>
      <c r="H294" s="106"/>
      <c r="I294" s="106"/>
      <c r="J294" s="106"/>
      <c r="K294" s="93"/>
      <c r="L294" s="106"/>
      <c r="M294" s="93"/>
      <c r="N294" s="93"/>
      <c r="O294" s="106"/>
      <c r="P294" s="106"/>
      <c r="Q294" s="106"/>
      <c r="R294" s="106"/>
      <c r="S294" s="106"/>
      <c r="T294" s="106"/>
      <c r="U294" s="93"/>
      <c r="V294" s="114"/>
      <c r="W294" s="93"/>
      <c r="X294" s="106">
        <v>40745000</v>
      </c>
      <c r="Y294" s="93"/>
      <c r="Z294" s="106"/>
      <c r="AA294" s="93"/>
      <c r="AB294" s="114"/>
      <c r="AC294" s="93"/>
      <c r="AD294" s="93"/>
      <c r="AE294" s="106"/>
      <c r="AF294" s="93"/>
      <c r="AG294" s="93"/>
      <c r="AH294" s="93"/>
      <c r="AI294" s="93"/>
      <c r="AJ294" s="21" t="s">
        <v>1599</v>
      </c>
      <c r="AK294" s="126"/>
      <c r="AL294" s="126"/>
      <c r="AM294" s="126"/>
    </row>
    <row r="295" spans="1:39" ht="12.75" hidden="1" customHeight="1">
      <c r="A295" s="63">
        <v>27</v>
      </c>
      <c r="B295" s="94" t="s">
        <v>1990</v>
      </c>
      <c r="C295" s="97" t="s">
        <v>1991</v>
      </c>
      <c r="D295" s="21" t="s">
        <v>1959</v>
      </c>
      <c r="E295" s="106"/>
      <c r="F295" s="106"/>
      <c r="G295" s="106"/>
      <c r="H295" s="106"/>
      <c r="I295" s="106"/>
      <c r="J295" s="106"/>
      <c r="K295" s="93"/>
      <c r="L295" s="106"/>
      <c r="M295" s="93"/>
      <c r="N295" s="93"/>
      <c r="O295" s="106"/>
      <c r="P295" s="106"/>
      <c r="Q295" s="106"/>
      <c r="R295" s="106"/>
      <c r="S295" s="106"/>
      <c r="T295" s="106"/>
      <c r="U295" s="93"/>
      <c r="V295" s="114"/>
      <c r="W295" s="93"/>
      <c r="X295" s="106">
        <v>50000000</v>
      </c>
      <c r="Y295" s="93"/>
      <c r="Z295" s="106"/>
      <c r="AA295" s="93"/>
      <c r="AB295" s="114"/>
      <c r="AC295" s="93"/>
      <c r="AD295" s="93"/>
      <c r="AE295" s="106"/>
      <c r="AF295" s="93"/>
      <c r="AG295" s="93"/>
      <c r="AH295" s="93"/>
      <c r="AI295" s="93"/>
      <c r="AJ295" s="21" t="s">
        <v>1992</v>
      </c>
      <c r="AK295" s="126"/>
      <c r="AL295" s="126"/>
      <c r="AM295" s="126"/>
    </row>
    <row r="296" spans="1:39" ht="12.75" hidden="1" customHeight="1">
      <c r="A296" s="63">
        <v>28</v>
      </c>
      <c r="B296" s="94" t="s">
        <v>1957</v>
      </c>
      <c r="C296" s="97" t="s">
        <v>1993</v>
      </c>
      <c r="D296" s="21" t="s">
        <v>1959</v>
      </c>
      <c r="E296" s="106"/>
      <c r="F296" s="106"/>
      <c r="G296" s="106"/>
      <c r="H296" s="106"/>
      <c r="I296" s="106"/>
      <c r="J296" s="106"/>
      <c r="K296" s="93"/>
      <c r="L296" s="106"/>
      <c r="M296" s="93"/>
      <c r="N296" s="93"/>
      <c r="O296" s="106"/>
      <c r="P296" s="106"/>
      <c r="Q296" s="106"/>
      <c r="R296" s="106"/>
      <c r="S296" s="106"/>
      <c r="T296" s="106"/>
      <c r="U296" s="93"/>
      <c r="V296" s="114"/>
      <c r="W296" s="93"/>
      <c r="X296" s="106">
        <v>51300000</v>
      </c>
      <c r="Y296" s="93"/>
      <c r="Z296" s="106"/>
      <c r="AA296" s="93"/>
      <c r="AB296" s="114"/>
      <c r="AC296" s="93"/>
      <c r="AD296" s="93"/>
      <c r="AE296" s="106"/>
      <c r="AF296" s="93"/>
      <c r="AG296" s="93"/>
      <c r="AH296" s="93"/>
      <c r="AI296" s="93"/>
      <c r="AJ296" s="93" t="s">
        <v>1599</v>
      </c>
      <c r="AK296" s="126"/>
      <c r="AL296" s="126"/>
      <c r="AM296" s="126"/>
    </row>
    <row r="297" spans="1:39" ht="12.75" hidden="1" customHeight="1">
      <c r="A297" s="63">
        <v>29</v>
      </c>
      <c r="B297" s="94" t="s">
        <v>1990</v>
      </c>
      <c r="C297" s="97" t="s">
        <v>1994</v>
      </c>
      <c r="D297" s="21" t="s">
        <v>1959</v>
      </c>
      <c r="E297" s="106"/>
      <c r="F297" s="106"/>
      <c r="G297" s="106"/>
      <c r="H297" s="106"/>
      <c r="I297" s="106"/>
      <c r="J297" s="106"/>
      <c r="K297" s="93"/>
      <c r="L297" s="106"/>
      <c r="M297" s="93"/>
      <c r="N297" s="93"/>
      <c r="O297" s="106"/>
      <c r="P297" s="106"/>
      <c r="Q297" s="106"/>
      <c r="R297" s="106"/>
      <c r="S297" s="106"/>
      <c r="T297" s="106"/>
      <c r="U297" s="93"/>
      <c r="V297" s="114"/>
      <c r="W297" s="93"/>
      <c r="X297" s="106">
        <v>250000000</v>
      </c>
      <c r="Y297" s="93"/>
      <c r="Z297" s="106"/>
      <c r="AA297" s="93"/>
      <c r="AB297" s="114"/>
      <c r="AC297" s="93"/>
      <c r="AD297" s="93"/>
      <c r="AE297" s="106"/>
      <c r="AF297" s="93"/>
      <c r="AG297" s="93"/>
      <c r="AH297" s="93"/>
      <c r="AI297" s="93"/>
      <c r="AJ297" s="21" t="s">
        <v>1995</v>
      </c>
      <c r="AK297" s="126"/>
      <c r="AL297" s="126"/>
      <c r="AM297" s="126"/>
    </row>
    <row r="298" spans="1:39" ht="12.75" hidden="1" customHeight="1">
      <c r="A298" s="63">
        <v>30</v>
      </c>
      <c r="B298" s="94" t="s">
        <v>1957</v>
      </c>
      <c r="C298" s="97" t="s">
        <v>1996</v>
      </c>
      <c r="D298" s="21" t="s">
        <v>1977</v>
      </c>
      <c r="E298" s="104"/>
      <c r="F298" s="105"/>
      <c r="G298" s="105"/>
      <c r="H298" s="105"/>
      <c r="I298" s="105"/>
      <c r="J298" s="105"/>
      <c r="K298" s="105"/>
      <c r="L298" s="105"/>
      <c r="M298" s="105"/>
      <c r="N298" s="105"/>
      <c r="O298" s="105"/>
      <c r="P298" s="105"/>
      <c r="Q298" s="105"/>
      <c r="R298" s="105"/>
      <c r="S298" s="105"/>
      <c r="T298" s="111"/>
      <c r="U298" s="93"/>
      <c r="V298" s="93"/>
      <c r="W298" s="93"/>
      <c r="X298" s="93">
        <v>12811000</v>
      </c>
      <c r="Y298" s="93"/>
      <c r="Z298" s="93"/>
      <c r="AA298" s="93"/>
      <c r="AB298" s="114"/>
      <c r="AC298" s="93"/>
      <c r="AD298" s="93"/>
      <c r="AE298" s="106"/>
      <c r="AF298" s="93"/>
      <c r="AG298" s="93"/>
      <c r="AH298" s="93"/>
      <c r="AI298" s="93"/>
      <c r="AJ298" s="93" t="s">
        <v>1599</v>
      </c>
      <c r="AK298" s="126"/>
      <c r="AL298" s="126"/>
      <c r="AM298" s="126"/>
    </row>
    <row r="299" spans="1:39" ht="12.75" hidden="1" customHeight="1">
      <c r="A299" s="63">
        <v>31</v>
      </c>
      <c r="B299" s="94" t="s">
        <v>1990</v>
      </c>
      <c r="C299" s="97" t="s">
        <v>1997</v>
      </c>
      <c r="D299" s="21" t="s">
        <v>1998</v>
      </c>
      <c r="E299" s="104"/>
      <c r="F299" s="105"/>
      <c r="G299" s="105"/>
      <c r="H299" s="105"/>
      <c r="I299" s="105"/>
      <c r="J299" s="105"/>
      <c r="K299" s="105"/>
      <c r="L299" s="105"/>
      <c r="M299" s="105"/>
      <c r="N299" s="105"/>
      <c r="O299" s="105"/>
      <c r="P299" s="105"/>
      <c r="Q299" s="105"/>
      <c r="R299" s="105"/>
      <c r="S299" s="105"/>
      <c r="T299" s="111"/>
      <c r="U299" s="93"/>
      <c r="V299" s="93"/>
      <c r="W299" s="93"/>
      <c r="X299" s="93"/>
      <c r="Y299" s="93"/>
      <c r="Z299" s="118">
        <v>269708560</v>
      </c>
      <c r="AA299" s="93"/>
      <c r="AB299" s="125"/>
      <c r="AC299" s="93"/>
      <c r="AD299" s="93"/>
      <c r="AE299" s="106"/>
      <c r="AF299" s="93"/>
      <c r="AG299" s="93"/>
      <c r="AH299" s="93"/>
      <c r="AI299" s="93"/>
      <c r="AJ299" s="21" t="s">
        <v>1599</v>
      </c>
      <c r="AK299" s="126"/>
      <c r="AL299" s="126"/>
      <c r="AM299" s="126"/>
    </row>
    <row r="300" spans="1:39" ht="12.75" hidden="1" customHeight="1">
      <c r="A300" s="63">
        <v>32</v>
      </c>
      <c r="B300" s="94" t="s">
        <v>1990</v>
      </c>
      <c r="C300" s="97" t="s">
        <v>1445</v>
      </c>
      <c r="D300" s="21" t="s">
        <v>1999</v>
      </c>
      <c r="E300" s="104"/>
      <c r="F300" s="105"/>
      <c r="G300" s="105"/>
      <c r="H300" s="105"/>
      <c r="I300" s="105"/>
      <c r="J300" s="105"/>
      <c r="K300" s="105"/>
      <c r="L300" s="105"/>
      <c r="M300" s="105"/>
      <c r="N300" s="105"/>
      <c r="O300" s="105"/>
      <c r="P300" s="105"/>
      <c r="Q300" s="105"/>
      <c r="R300" s="105"/>
      <c r="S300" s="105"/>
      <c r="T300" s="111"/>
      <c r="U300" s="93"/>
      <c r="V300" s="93"/>
      <c r="W300" s="93"/>
      <c r="X300" s="93"/>
      <c r="Y300" s="93"/>
      <c r="Z300" s="118">
        <v>1174529400</v>
      </c>
      <c r="AA300" s="118"/>
      <c r="AB300" s="114"/>
      <c r="AC300" s="93"/>
      <c r="AD300" s="93"/>
      <c r="AE300" s="106"/>
      <c r="AF300" s="93"/>
      <c r="AG300" s="93"/>
      <c r="AH300" s="93"/>
      <c r="AI300" s="93"/>
      <c r="AJ300" s="21" t="s">
        <v>1599</v>
      </c>
      <c r="AK300" s="126"/>
      <c r="AL300" s="126"/>
      <c r="AM300" s="126"/>
    </row>
    <row r="301" spans="1:39" ht="12.75" hidden="1" customHeight="1">
      <c r="A301" s="63">
        <v>33</v>
      </c>
      <c r="B301" s="94" t="s">
        <v>40</v>
      </c>
      <c r="C301" s="97" t="s">
        <v>2000</v>
      </c>
      <c r="D301" s="21" t="s">
        <v>2001</v>
      </c>
      <c r="E301" s="104"/>
      <c r="F301" s="105"/>
      <c r="G301" s="105"/>
      <c r="H301" s="105"/>
      <c r="I301" s="105"/>
      <c r="J301" s="105"/>
      <c r="K301" s="105"/>
      <c r="L301" s="105"/>
      <c r="M301" s="105"/>
      <c r="N301" s="105"/>
      <c r="O301" s="105"/>
      <c r="P301" s="105"/>
      <c r="Q301" s="105"/>
      <c r="R301" s="105"/>
      <c r="S301" s="105"/>
      <c r="T301" s="111"/>
      <c r="U301" s="93"/>
      <c r="V301" s="93"/>
      <c r="W301" s="93"/>
      <c r="X301" s="93"/>
      <c r="Y301" s="93"/>
      <c r="Z301" s="93"/>
      <c r="AA301" s="93">
        <v>106893500</v>
      </c>
      <c r="AB301" s="114"/>
      <c r="AC301" s="93"/>
      <c r="AD301" s="93"/>
      <c r="AE301" s="106"/>
      <c r="AF301" s="93"/>
      <c r="AG301" s="93"/>
      <c r="AH301" s="93"/>
      <c r="AI301" s="93"/>
      <c r="AJ301" s="21" t="s">
        <v>1599</v>
      </c>
      <c r="AK301" s="126"/>
      <c r="AL301" s="126"/>
      <c r="AM301" s="126"/>
    </row>
    <row r="302" spans="1:39" ht="12.75" hidden="1" customHeight="1">
      <c r="A302" s="63">
        <v>34</v>
      </c>
      <c r="B302" s="94" t="s">
        <v>1990</v>
      </c>
      <c r="C302" s="97" t="s">
        <v>585</v>
      </c>
      <c r="D302" s="21" t="s">
        <v>2002</v>
      </c>
      <c r="E302" s="104"/>
      <c r="F302" s="105"/>
      <c r="G302" s="105"/>
      <c r="H302" s="105"/>
      <c r="I302" s="105"/>
      <c r="J302" s="105"/>
      <c r="K302" s="105"/>
      <c r="L302" s="105"/>
      <c r="M302" s="105"/>
      <c r="N302" s="105"/>
      <c r="O302" s="105"/>
      <c r="P302" s="105"/>
      <c r="Q302" s="105"/>
      <c r="R302" s="105"/>
      <c r="S302" s="105"/>
      <c r="T302" s="111"/>
      <c r="U302" s="93"/>
      <c r="V302" s="93"/>
      <c r="W302" s="93"/>
      <c r="X302" s="93"/>
      <c r="Y302" s="93">
        <v>80000000</v>
      </c>
      <c r="Z302" s="93"/>
      <c r="AA302" s="93"/>
      <c r="AB302" s="114"/>
      <c r="AC302" s="93"/>
      <c r="AD302" s="93"/>
      <c r="AE302" s="106"/>
      <c r="AF302" s="93"/>
      <c r="AG302" s="93"/>
      <c r="AH302" s="93"/>
      <c r="AI302" s="93"/>
      <c r="AJ302" s="21" t="s">
        <v>2003</v>
      </c>
      <c r="AK302" s="126"/>
      <c r="AL302" s="126"/>
      <c r="AM302" s="126"/>
    </row>
    <row r="303" spans="1:39" ht="12.75" hidden="1" customHeight="1">
      <c r="A303" s="63">
        <v>35</v>
      </c>
      <c r="B303" s="94" t="s">
        <v>1957</v>
      </c>
      <c r="C303" s="97" t="s">
        <v>2004</v>
      </c>
      <c r="D303" s="21" t="s">
        <v>1977</v>
      </c>
      <c r="E303" s="104"/>
      <c r="F303" s="105"/>
      <c r="G303" s="105"/>
      <c r="H303" s="105"/>
      <c r="I303" s="105"/>
      <c r="J303" s="105"/>
      <c r="K303" s="105"/>
      <c r="L303" s="105"/>
      <c r="M303" s="105"/>
      <c r="N303" s="105"/>
      <c r="O303" s="105"/>
      <c r="P303" s="105"/>
      <c r="Q303" s="105"/>
      <c r="R303" s="105"/>
      <c r="S303" s="105"/>
      <c r="T303" s="111"/>
      <c r="U303" s="93"/>
      <c r="V303" s="93"/>
      <c r="W303" s="93"/>
      <c r="X303" s="93">
        <v>12690000</v>
      </c>
      <c r="Y303" s="93"/>
      <c r="Z303" s="93"/>
      <c r="AA303" s="93"/>
      <c r="AB303" s="114"/>
      <c r="AC303" s="93"/>
      <c r="AD303" s="93"/>
      <c r="AE303" s="106"/>
      <c r="AF303" s="93"/>
      <c r="AG303" s="93"/>
      <c r="AH303" s="93"/>
      <c r="AI303" s="93"/>
      <c r="AJ303" s="21" t="s">
        <v>1599</v>
      </c>
      <c r="AK303" s="126"/>
      <c r="AL303" s="126"/>
      <c r="AM303" s="126"/>
    </row>
    <row r="304" spans="1:39" ht="12.75" hidden="1" customHeight="1">
      <c r="A304" s="63">
        <v>36</v>
      </c>
      <c r="B304" s="94" t="s">
        <v>1957</v>
      </c>
      <c r="C304" s="97" t="s">
        <v>579</v>
      </c>
      <c r="D304" s="21" t="s">
        <v>1977</v>
      </c>
      <c r="E304" s="104"/>
      <c r="F304" s="105"/>
      <c r="G304" s="105"/>
      <c r="H304" s="105"/>
      <c r="I304" s="105"/>
      <c r="J304" s="105"/>
      <c r="K304" s="105"/>
      <c r="L304" s="105"/>
      <c r="M304" s="105"/>
      <c r="N304" s="105"/>
      <c r="O304" s="105"/>
      <c r="P304" s="105"/>
      <c r="Q304" s="105"/>
      <c r="R304" s="105"/>
      <c r="S304" s="105"/>
      <c r="T304" s="111"/>
      <c r="U304" s="93"/>
      <c r="V304" s="93"/>
      <c r="W304" s="93"/>
      <c r="X304" s="93">
        <v>10470000</v>
      </c>
      <c r="Y304" s="93"/>
      <c r="Z304" s="93"/>
      <c r="AA304" s="93"/>
      <c r="AB304" s="114"/>
      <c r="AC304" s="93"/>
      <c r="AD304" s="93"/>
      <c r="AE304" s="106"/>
      <c r="AF304" s="93"/>
      <c r="AG304" s="93"/>
      <c r="AH304" s="93"/>
      <c r="AI304" s="93"/>
      <c r="AJ304" s="21" t="s">
        <v>1599</v>
      </c>
      <c r="AK304" s="126"/>
      <c r="AL304" s="126"/>
      <c r="AM304" s="126"/>
    </row>
    <row r="305" spans="1:39" ht="12.75" hidden="1" customHeight="1">
      <c r="A305" s="63">
        <v>37</v>
      </c>
      <c r="B305" s="94" t="s">
        <v>1957</v>
      </c>
      <c r="C305" s="97" t="s">
        <v>2005</v>
      </c>
      <c r="D305" s="21" t="s">
        <v>1977</v>
      </c>
      <c r="E305" s="104"/>
      <c r="F305" s="105"/>
      <c r="G305" s="105"/>
      <c r="H305" s="105"/>
      <c r="I305" s="105"/>
      <c r="J305" s="105"/>
      <c r="K305" s="105"/>
      <c r="L305" s="105"/>
      <c r="M305" s="105"/>
      <c r="N305" s="105"/>
      <c r="O305" s="105"/>
      <c r="P305" s="105"/>
      <c r="Q305" s="105"/>
      <c r="R305" s="105"/>
      <c r="S305" s="105"/>
      <c r="T305" s="111"/>
      <c r="U305" s="93"/>
      <c r="V305" s="93"/>
      <c r="W305" s="93"/>
      <c r="X305" s="93">
        <v>6979000</v>
      </c>
      <c r="Y305" s="93"/>
      <c r="Z305" s="93"/>
      <c r="AA305" s="93"/>
      <c r="AB305" s="114"/>
      <c r="AC305" s="93"/>
      <c r="AD305" s="93"/>
      <c r="AE305" s="106"/>
      <c r="AF305" s="93"/>
      <c r="AG305" s="93"/>
      <c r="AH305" s="93"/>
      <c r="AI305" s="93"/>
      <c r="AJ305" s="21" t="s">
        <v>1599</v>
      </c>
      <c r="AK305" s="126"/>
      <c r="AL305" s="126"/>
      <c r="AM305" s="126"/>
    </row>
    <row r="306" spans="1:39" ht="12.75" hidden="1" customHeight="1">
      <c r="A306" s="63">
        <v>38</v>
      </c>
      <c r="B306" s="94" t="s">
        <v>1990</v>
      </c>
      <c r="C306" s="97" t="s">
        <v>2006</v>
      </c>
      <c r="D306" s="21" t="s">
        <v>2007</v>
      </c>
      <c r="E306" s="104"/>
      <c r="F306" s="105"/>
      <c r="G306" s="105"/>
      <c r="H306" s="105"/>
      <c r="I306" s="105"/>
      <c r="J306" s="105"/>
      <c r="K306" s="105"/>
      <c r="L306" s="105"/>
      <c r="M306" s="105"/>
      <c r="N306" s="105"/>
      <c r="O306" s="105"/>
      <c r="P306" s="105"/>
      <c r="Q306" s="105"/>
      <c r="R306" s="105"/>
      <c r="S306" s="105"/>
      <c r="T306" s="111"/>
      <c r="U306" s="93"/>
      <c r="V306" s="93"/>
      <c r="W306" s="93"/>
      <c r="X306" s="93"/>
      <c r="Y306" s="118">
        <v>29588500</v>
      </c>
      <c r="Z306" s="93"/>
      <c r="AA306" s="93"/>
      <c r="AB306" s="114"/>
      <c r="AC306" s="93"/>
      <c r="AD306" s="93"/>
      <c r="AE306" s="106"/>
      <c r="AF306" s="93"/>
      <c r="AG306" s="93"/>
      <c r="AH306" s="93"/>
      <c r="AI306" s="93"/>
      <c r="AJ306" s="21" t="s">
        <v>1599</v>
      </c>
      <c r="AK306" s="126"/>
      <c r="AL306" s="126"/>
      <c r="AM306" s="126"/>
    </row>
    <row r="307" spans="1:39" ht="12.75" hidden="1" customHeight="1">
      <c r="A307" s="63">
        <v>39</v>
      </c>
      <c r="B307" s="94" t="s">
        <v>1957</v>
      </c>
      <c r="C307" s="97" t="s">
        <v>2008</v>
      </c>
      <c r="D307" s="21" t="s">
        <v>1977</v>
      </c>
      <c r="E307" s="104"/>
      <c r="F307" s="105"/>
      <c r="G307" s="105"/>
      <c r="H307" s="105"/>
      <c r="I307" s="105"/>
      <c r="J307" s="105"/>
      <c r="K307" s="105"/>
      <c r="L307" s="105"/>
      <c r="M307" s="105"/>
      <c r="N307" s="105"/>
      <c r="O307" s="105"/>
      <c r="P307" s="105"/>
      <c r="Q307" s="105"/>
      <c r="R307" s="105"/>
      <c r="S307" s="105"/>
      <c r="T307" s="111"/>
      <c r="U307" s="93"/>
      <c r="V307" s="93"/>
      <c r="W307" s="93"/>
      <c r="X307" s="93">
        <v>16422000</v>
      </c>
      <c r="Y307" s="93"/>
      <c r="Z307" s="93"/>
      <c r="AA307" s="93"/>
      <c r="AB307" s="114"/>
      <c r="AC307" s="93"/>
      <c r="AD307" s="93"/>
      <c r="AE307" s="106"/>
      <c r="AF307" s="93"/>
      <c r="AG307" s="93"/>
      <c r="AH307" s="93"/>
      <c r="AI307" s="93"/>
      <c r="AJ307" s="21" t="s">
        <v>1599</v>
      </c>
      <c r="AK307" s="126"/>
      <c r="AL307" s="126"/>
      <c r="AM307" s="126"/>
    </row>
    <row r="308" spans="1:39" ht="12.75" hidden="1" customHeight="1">
      <c r="A308" s="63">
        <v>40</v>
      </c>
      <c r="B308" s="94" t="s">
        <v>1957</v>
      </c>
      <c r="C308" s="97" t="s">
        <v>2009</v>
      </c>
      <c r="D308" s="21" t="s">
        <v>2010</v>
      </c>
      <c r="E308" s="104"/>
      <c r="F308" s="105"/>
      <c r="G308" s="105"/>
      <c r="H308" s="105"/>
      <c r="I308" s="105"/>
      <c r="J308" s="105"/>
      <c r="K308" s="105"/>
      <c r="L308" s="105"/>
      <c r="M308" s="105"/>
      <c r="N308" s="105"/>
      <c r="O308" s="105"/>
      <c r="P308" s="105"/>
      <c r="Q308" s="105"/>
      <c r="R308" s="105"/>
      <c r="S308" s="105"/>
      <c r="T308" s="111"/>
      <c r="U308" s="93"/>
      <c r="V308" s="93"/>
      <c r="W308" s="93"/>
      <c r="X308" s="93">
        <v>54491400</v>
      </c>
      <c r="Y308" s="93"/>
      <c r="Z308" s="93"/>
      <c r="AA308" s="93"/>
      <c r="AB308" s="114"/>
      <c r="AC308" s="93"/>
      <c r="AD308" s="93"/>
      <c r="AE308" s="106"/>
      <c r="AF308" s="93"/>
      <c r="AG308" s="93"/>
      <c r="AH308" s="93"/>
      <c r="AI308" s="93"/>
      <c r="AJ308" s="21" t="s">
        <v>1599</v>
      </c>
      <c r="AK308" s="126"/>
      <c r="AL308" s="126"/>
      <c r="AM308" s="126"/>
    </row>
    <row r="309" spans="1:39" ht="12.75" hidden="1" customHeight="1">
      <c r="A309" s="63">
        <v>41</v>
      </c>
      <c r="B309" s="94" t="s">
        <v>1990</v>
      </c>
      <c r="C309" s="97" t="s">
        <v>2011</v>
      </c>
      <c r="D309" s="21" t="s">
        <v>2012</v>
      </c>
      <c r="E309" s="104"/>
      <c r="F309" s="105"/>
      <c r="G309" s="105"/>
      <c r="H309" s="105"/>
      <c r="I309" s="105"/>
      <c r="J309" s="105"/>
      <c r="K309" s="105"/>
      <c r="L309" s="105"/>
      <c r="M309" s="105"/>
      <c r="N309" s="105"/>
      <c r="O309" s="105"/>
      <c r="P309" s="105"/>
      <c r="Q309" s="105"/>
      <c r="R309" s="105"/>
      <c r="S309" s="105"/>
      <c r="T309" s="111"/>
      <c r="U309" s="93"/>
      <c r="V309" s="93"/>
      <c r="W309" s="93"/>
      <c r="X309" s="93"/>
      <c r="Y309" s="93">
        <v>18000000</v>
      </c>
      <c r="Z309" s="93"/>
      <c r="AA309" s="93"/>
      <c r="AB309" s="114"/>
      <c r="AC309" s="93"/>
      <c r="AD309" s="93"/>
      <c r="AE309" s="106"/>
      <c r="AF309" s="93"/>
      <c r="AG309" s="93"/>
      <c r="AH309" s="93"/>
      <c r="AI309" s="93"/>
      <c r="AJ309" s="21" t="s">
        <v>1599</v>
      </c>
      <c r="AK309" s="126"/>
      <c r="AL309" s="126"/>
      <c r="AM309" s="126"/>
    </row>
    <row r="310" spans="1:39" ht="12.75" hidden="1" customHeight="1">
      <c r="A310" s="63">
        <v>42</v>
      </c>
      <c r="B310" s="94" t="s">
        <v>1990</v>
      </c>
      <c r="C310" s="97" t="s">
        <v>598</v>
      </c>
      <c r="D310" s="21" t="s">
        <v>1978</v>
      </c>
      <c r="E310" s="104"/>
      <c r="F310" s="105"/>
      <c r="G310" s="105"/>
      <c r="H310" s="105"/>
      <c r="I310" s="105"/>
      <c r="J310" s="105"/>
      <c r="K310" s="105"/>
      <c r="L310" s="105"/>
      <c r="M310" s="105"/>
      <c r="N310" s="105"/>
      <c r="O310" s="105"/>
      <c r="P310" s="105"/>
      <c r="Q310" s="105"/>
      <c r="R310" s="105"/>
      <c r="S310" s="105"/>
      <c r="T310" s="111"/>
      <c r="U310" s="93"/>
      <c r="V310" s="93"/>
      <c r="W310" s="93"/>
      <c r="X310" s="93"/>
      <c r="Y310" s="93">
        <v>24094329</v>
      </c>
      <c r="Z310" s="93"/>
      <c r="AA310" s="93"/>
      <c r="AB310" s="114"/>
      <c r="AC310" s="93"/>
      <c r="AD310" s="110"/>
      <c r="AE310" s="109"/>
      <c r="AF310" s="110"/>
      <c r="AG310" s="110"/>
      <c r="AH310" s="110"/>
      <c r="AI310" s="110"/>
      <c r="AJ310" s="100" t="s">
        <v>1599</v>
      </c>
      <c r="AK310" s="126"/>
      <c r="AL310" s="126"/>
      <c r="AM310" s="126"/>
    </row>
    <row r="311" spans="1:39" ht="12.75" hidden="1" customHeight="1">
      <c r="A311" s="63">
        <v>43</v>
      </c>
      <c r="B311" s="94" t="s">
        <v>1957</v>
      </c>
      <c r="C311" s="97" t="s">
        <v>2013</v>
      </c>
      <c r="D311" s="21" t="s">
        <v>2014</v>
      </c>
      <c r="E311" s="104"/>
      <c r="F311" s="105"/>
      <c r="G311" s="105"/>
      <c r="H311" s="105"/>
      <c r="I311" s="105"/>
      <c r="J311" s="105"/>
      <c r="K311" s="105"/>
      <c r="L311" s="105"/>
      <c r="M311" s="105"/>
      <c r="N311" s="105"/>
      <c r="O311" s="105"/>
      <c r="P311" s="105"/>
      <c r="Q311" s="105"/>
      <c r="R311" s="105"/>
      <c r="S311" s="105"/>
      <c r="T311" s="111"/>
      <c r="U311" s="93"/>
      <c r="V311" s="93"/>
      <c r="W311" s="93"/>
      <c r="X311" s="93"/>
      <c r="Y311" s="118"/>
      <c r="Z311" s="118">
        <v>370085133</v>
      </c>
      <c r="AA311" s="93"/>
      <c r="AB311" s="114"/>
      <c r="AC311" s="93"/>
      <c r="AD311" s="93"/>
      <c r="AE311" s="106"/>
      <c r="AF311" s="93"/>
      <c r="AG311" s="93"/>
      <c r="AH311" s="93"/>
      <c r="AI311" s="93"/>
      <c r="AJ311" s="21" t="s">
        <v>1599</v>
      </c>
      <c r="AK311" s="126"/>
      <c r="AL311" s="126"/>
      <c r="AM311" s="126"/>
    </row>
    <row r="312" spans="1:39" ht="12.75" hidden="1" customHeight="1">
      <c r="A312" s="63">
        <v>44</v>
      </c>
      <c r="B312" s="94" t="s">
        <v>1957</v>
      </c>
      <c r="C312" s="97" t="s">
        <v>2015</v>
      </c>
      <c r="D312" s="21" t="s">
        <v>1978</v>
      </c>
      <c r="E312" s="104"/>
      <c r="F312" s="105"/>
      <c r="G312" s="105"/>
      <c r="H312" s="105"/>
      <c r="I312" s="105"/>
      <c r="J312" s="105"/>
      <c r="K312" s="105"/>
      <c r="L312" s="105"/>
      <c r="M312" s="105"/>
      <c r="N312" s="105"/>
      <c r="O312" s="105"/>
      <c r="P312" s="105"/>
      <c r="Q312" s="105"/>
      <c r="R312" s="105"/>
      <c r="S312" s="105"/>
      <c r="T312" s="111"/>
      <c r="U312" s="93"/>
      <c r="V312" s="93"/>
      <c r="W312" s="93"/>
      <c r="X312" s="93"/>
      <c r="Y312" s="93">
        <v>19140000</v>
      </c>
      <c r="Z312" s="93"/>
      <c r="AA312" s="93"/>
      <c r="AB312" s="114"/>
      <c r="AC312" s="93"/>
      <c r="AD312" s="93"/>
      <c r="AE312" s="106"/>
      <c r="AF312" s="93"/>
      <c r="AG312" s="93"/>
      <c r="AH312" s="93"/>
      <c r="AI312" s="93"/>
      <c r="AJ312" s="21" t="s">
        <v>1599</v>
      </c>
      <c r="AK312" s="126"/>
      <c r="AL312" s="126"/>
      <c r="AM312" s="126"/>
    </row>
    <row r="313" spans="1:39" ht="12.75" hidden="1" customHeight="1">
      <c r="A313" s="63">
        <v>45</v>
      </c>
      <c r="B313" s="94" t="s">
        <v>1990</v>
      </c>
      <c r="C313" s="97" t="s">
        <v>2016</v>
      </c>
      <c r="D313" s="21" t="s">
        <v>2017</v>
      </c>
      <c r="E313" s="104"/>
      <c r="F313" s="105"/>
      <c r="G313" s="105"/>
      <c r="H313" s="105"/>
      <c r="I313" s="105"/>
      <c r="J313" s="105"/>
      <c r="K313" s="105"/>
      <c r="L313" s="105"/>
      <c r="M313" s="105"/>
      <c r="N313" s="105"/>
      <c r="O313" s="105"/>
      <c r="P313" s="105"/>
      <c r="Q313" s="105"/>
      <c r="R313" s="105"/>
      <c r="S313" s="105"/>
      <c r="T313" s="111"/>
      <c r="U313" s="93"/>
      <c r="V313" s="93"/>
      <c r="W313" s="93"/>
      <c r="X313" s="93"/>
      <c r="Y313" s="93">
        <v>40000000</v>
      </c>
      <c r="Z313" s="93"/>
      <c r="AA313" s="93"/>
      <c r="AB313" s="114"/>
      <c r="AC313" s="93"/>
      <c r="AD313" s="93"/>
      <c r="AE313" s="106"/>
      <c r="AF313" s="93"/>
      <c r="AG313" s="93"/>
      <c r="AH313" s="93"/>
      <c r="AI313" s="93"/>
      <c r="AJ313" s="21" t="s">
        <v>1599</v>
      </c>
      <c r="AK313" s="126"/>
      <c r="AL313" s="126"/>
      <c r="AM313" s="126"/>
    </row>
    <row r="314" spans="1:39" ht="12.75" hidden="1" customHeight="1">
      <c r="A314" s="63">
        <v>46</v>
      </c>
      <c r="B314" s="94" t="s">
        <v>40</v>
      </c>
      <c r="C314" s="97" t="s">
        <v>579</v>
      </c>
      <c r="D314" s="21" t="s">
        <v>1978</v>
      </c>
      <c r="E314" s="104"/>
      <c r="F314" s="105"/>
      <c r="G314" s="105"/>
      <c r="H314" s="105"/>
      <c r="I314" s="105"/>
      <c r="J314" s="105"/>
      <c r="K314" s="105"/>
      <c r="L314" s="105"/>
      <c r="M314" s="105"/>
      <c r="N314" s="105"/>
      <c r="O314" s="105"/>
      <c r="P314" s="105"/>
      <c r="Q314" s="105"/>
      <c r="R314" s="105"/>
      <c r="S314" s="105"/>
      <c r="T314" s="111"/>
      <c r="U314" s="93"/>
      <c r="V314" s="93"/>
      <c r="W314" s="93"/>
      <c r="X314" s="93"/>
      <c r="Y314" s="93">
        <v>7002000</v>
      </c>
      <c r="Z314" s="93"/>
      <c r="AA314" s="93"/>
      <c r="AB314" s="114"/>
      <c r="AC314" s="93"/>
      <c r="AD314" s="93"/>
      <c r="AE314" s="106"/>
      <c r="AF314" s="93"/>
      <c r="AG314" s="93"/>
      <c r="AH314" s="93"/>
      <c r="AI314" s="93"/>
      <c r="AJ314" s="21" t="s">
        <v>1599</v>
      </c>
      <c r="AK314" s="126"/>
      <c r="AL314" s="126"/>
      <c r="AM314" s="126"/>
    </row>
    <row r="315" spans="1:39" ht="12.75" hidden="1" customHeight="1">
      <c r="A315" s="63">
        <v>47</v>
      </c>
      <c r="B315" s="94" t="s">
        <v>40</v>
      </c>
      <c r="C315" s="97" t="s">
        <v>1988</v>
      </c>
      <c r="D315" s="21" t="s">
        <v>2018</v>
      </c>
      <c r="E315" s="104"/>
      <c r="F315" s="105"/>
      <c r="G315" s="105"/>
      <c r="H315" s="105"/>
      <c r="I315" s="105"/>
      <c r="J315" s="105"/>
      <c r="K315" s="105"/>
      <c r="L315" s="105"/>
      <c r="M315" s="105"/>
      <c r="N315" s="105"/>
      <c r="O315" s="105"/>
      <c r="P315" s="105"/>
      <c r="Q315" s="105"/>
      <c r="R315" s="105"/>
      <c r="S315" s="105"/>
      <c r="T315" s="111"/>
      <c r="U315" s="93"/>
      <c r="V315" s="93"/>
      <c r="W315" s="93"/>
      <c r="X315" s="93"/>
      <c r="Y315" s="93">
        <v>4846000</v>
      </c>
      <c r="Z315" s="93"/>
      <c r="AA315" s="93"/>
      <c r="AB315" s="114"/>
      <c r="AC315" s="93"/>
      <c r="AD315" s="93"/>
      <c r="AE315" s="106"/>
      <c r="AF315" s="93"/>
      <c r="AG315" s="93"/>
      <c r="AH315" s="93"/>
      <c r="AI315" s="93"/>
      <c r="AJ315" s="21" t="s">
        <v>1599</v>
      </c>
      <c r="AK315" s="126"/>
      <c r="AL315" s="126"/>
      <c r="AM315" s="126"/>
    </row>
    <row r="316" spans="1:39" ht="12.75" hidden="1" customHeight="1">
      <c r="A316" s="63">
        <v>48</v>
      </c>
      <c r="B316" s="94" t="s">
        <v>40</v>
      </c>
      <c r="C316" s="97" t="s">
        <v>1996</v>
      </c>
      <c r="D316" s="21" t="s">
        <v>2019</v>
      </c>
      <c r="E316" s="104"/>
      <c r="F316" s="105"/>
      <c r="G316" s="105"/>
      <c r="H316" s="105"/>
      <c r="I316" s="105"/>
      <c r="J316" s="105"/>
      <c r="K316" s="105"/>
      <c r="L316" s="105"/>
      <c r="M316" s="105"/>
      <c r="N316" s="105"/>
      <c r="O316" s="105"/>
      <c r="P316" s="105"/>
      <c r="Q316" s="105"/>
      <c r="R316" s="105"/>
      <c r="S316" s="105"/>
      <c r="T316" s="111"/>
      <c r="U316" s="93"/>
      <c r="V316" s="93"/>
      <c r="W316" s="93"/>
      <c r="X316" s="93"/>
      <c r="Y316" s="93">
        <v>19671000</v>
      </c>
      <c r="Z316" s="93"/>
      <c r="AA316" s="93"/>
      <c r="AB316" s="114"/>
      <c r="AC316" s="93"/>
      <c r="AD316" s="93"/>
      <c r="AE316" s="106"/>
      <c r="AF316" s="93"/>
      <c r="AG316" s="93"/>
      <c r="AH316" s="93"/>
      <c r="AI316" s="93"/>
      <c r="AJ316" s="21" t="s">
        <v>1599</v>
      </c>
      <c r="AK316" s="126"/>
      <c r="AL316" s="126"/>
      <c r="AM316" s="126"/>
    </row>
    <row r="317" spans="1:39" ht="12.75" hidden="1" customHeight="1">
      <c r="A317" s="63">
        <v>49</v>
      </c>
      <c r="B317" s="94" t="s">
        <v>40</v>
      </c>
      <c r="C317" s="97" t="s">
        <v>579</v>
      </c>
      <c r="D317" s="21" t="s">
        <v>1978</v>
      </c>
      <c r="E317" s="104"/>
      <c r="F317" s="105"/>
      <c r="G317" s="105"/>
      <c r="H317" s="105"/>
      <c r="I317" s="105"/>
      <c r="J317" s="105"/>
      <c r="K317" s="105"/>
      <c r="L317" s="105"/>
      <c r="M317" s="105"/>
      <c r="N317" s="105"/>
      <c r="O317" s="105"/>
      <c r="P317" s="105"/>
      <c r="Q317" s="105"/>
      <c r="R317" s="105"/>
      <c r="S317" s="105"/>
      <c r="T317" s="111"/>
      <c r="U317" s="93"/>
      <c r="V317" s="93"/>
      <c r="W317" s="93"/>
      <c r="X317" s="93"/>
      <c r="Y317" s="93">
        <v>17140000</v>
      </c>
      <c r="Z317" s="93"/>
      <c r="AA317" s="93"/>
      <c r="AB317" s="114"/>
      <c r="AC317" s="93"/>
      <c r="AD317" s="93"/>
      <c r="AE317" s="106"/>
      <c r="AF317" s="93"/>
      <c r="AG317" s="93"/>
      <c r="AH317" s="93"/>
      <c r="AI317" s="93"/>
      <c r="AJ317" s="21" t="s">
        <v>1599</v>
      </c>
      <c r="AK317" s="126"/>
      <c r="AL317" s="126"/>
      <c r="AM317" s="126"/>
    </row>
    <row r="318" spans="1:39" ht="12.75" hidden="1" customHeight="1">
      <c r="A318" s="63">
        <v>50</v>
      </c>
      <c r="B318" s="94" t="s">
        <v>30</v>
      </c>
      <c r="C318" s="97" t="s">
        <v>1963</v>
      </c>
      <c r="D318" s="21" t="s">
        <v>2020</v>
      </c>
      <c r="E318" s="104"/>
      <c r="F318" s="105"/>
      <c r="G318" s="105"/>
      <c r="H318" s="105"/>
      <c r="I318" s="105"/>
      <c r="J318" s="105"/>
      <c r="K318" s="105"/>
      <c r="L318" s="105"/>
      <c r="M318" s="105"/>
      <c r="N318" s="105"/>
      <c r="O318" s="105"/>
      <c r="P318" s="105"/>
      <c r="Q318" s="105"/>
      <c r="R318" s="105"/>
      <c r="S318" s="105"/>
      <c r="T318" s="111"/>
      <c r="U318" s="93"/>
      <c r="V318" s="93"/>
      <c r="W318" s="93"/>
      <c r="X318" s="93"/>
      <c r="Y318" s="93"/>
      <c r="Z318" s="93"/>
      <c r="AA318" s="93"/>
      <c r="AB318" s="114"/>
      <c r="AC318" s="93"/>
      <c r="AD318" s="114"/>
      <c r="AE318" s="114">
        <v>350000000</v>
      </c>
      <c r="AF318" s="93"/>
      <c r="AG318" s="93"/>
      <c r="AH318" s="93"/>
      <c r="AI318" s="93"/>
      <c r="AJ318" s="21" t="s">
        <v>2021</v>
      </c>
      <c r="AK318" s="126"/>
      <c r="AL318" s="126"/>
      <c r="AM318" s="126"/>
    </row>
    <row r="319" spans="1:39" ht="12.75" hidden="1" customHeight="1">
      <c r="A319" s="63">
        <v>51</v>
      </c>
      <c r="B319" s="94" t="s">
        <v>30</v>
      </c>
      <c r="C319" s="97" t="s">
        <v>2011</v>
      </c>
      <c r="D319" s="21" t="s">
        <v>2022</v>
      </c>
      <c r="E319" s="104"/>
      <c r="F319" s="105"/>
      <c r="G319" s="105"/>
      <c r="H319" s="105"/>
      <c r="I319" s="105"/>
      <c r="J319" s="105"/>
      <c r="K319" s="105"/>
      <c r="L319" s="105"/>
      <c r="M319" s="105"/>
      <c r="N319" s="105"/>
      <c r="O319" s="105"/>
      <c r="P319" s="105"/>
      <c r="Q319" s="105"/>
      <c r="R319" s="105"/>
      <c r="S319" s="105"/>
      <c r="T319" s="111"/>
      <c r="U319" s="93"/>
      <c r="V319" s="93"/>
      <c r="W319" s="93"/>
      <c r="X319" s="93"/>
      <c r="Y319" s="93"/>
      <c r="Z319" s="93"/>
      <c r="AA319" s="93"/>
      <c r="AB319" s="114">
        <v>200000000</v>
      </c>
      <c r="AC319" s="93"/>
      <c r="AD319" s="93"/>
      <c r="AE319" s="106"/>
      <c r="AF319" s="93"/>
      <c r="AG319" s="93"/>
      <c r="AH319" s="93"/>
      <c r="AI319" s="93"/>
      <c r="AJ319" s="21" t="s">
        <v>2023</v>
      </c>
      <c r="AK319" s="126"/>
      <c r="AL319" s="126"/>
      <c r="AM319" s="126"/>
    </row>
    <row r="320" spans="1:39" ht="12.75" hidden="1" customHeight="1">
      <c r="A320" s="63">
        <v>52</v>
      </c>
      <c r="B320" s="94" t="s">
        <v>40</v>
      </c>
      <c r="C320" s="97" t="s">
        <v>1976</v>
      </c>
      <c r="D320" s="21" t="s">
        <v>2024</v>
      </c>
      <c r="E320" s="104"/>
      <c r="F320" s="105"/>
      <c r="G320" s="105"/>
      <c r="H320" s="105"/>
      <c r="I320" s="105"/>
      <c r="J320" s="105"/>
      <c r="K320" s="105"/>
      <c r="L320" s="105"/>
      <c r="M320" s="105"/>
      <c r="N320" s="105"/>
      <c r="O320" s="105"/>
      <c r="P320" s="105"/>
      <c r="Q320" s="105"/>
      <c r="R320" s="105"/>
      <c r="S320" s="105"/>
      <c r="T320" s="111"/>
      <c r="U320" s="93"/>
      <c r="V320" s="93"/>
      <c r="W320" s="93"/>
      <c r="X320" s="93"/>
      <c r="Y320" s="93"/>
      <c r="Z320" s="93"/>
      <c r="AA320" s="93">
        <v>140822033</v>
      </c>
      <c r="AB320" s="114"/>
      <c r="AC320" s="93"/>
      <c r="AD320" s="93"/>
      <c r="AE320" s="106"/>
      <c r="AF320" s="93"/>
      <c r="AG320" s="93"/>
      <c r="AH320" s="93"/>
      <c r="AI320" s="93"/>
      <c r="AJ320" s="21" t="s">
        <v>1599</v>
      </c>
      <c r="AK320" s="126"/>
      <c r="AL320" s="126"/>
      <c r="AM320" s="126"/>
    </row>
    <row r="321" spans="1:39" ht="12.75" hidden="1" customHeight="1">
      <c r="A321" s="63">
        <v>53</v>
      </c>
      <c r="B321" s="94" t="s">
        <v>40</v>
      </c>
      <c r="C321" s="97" t="s">
        <v>1976</v>
      </c>
      <c r="D321" s="21" t="s">
        <v>2025</v>
      </c>
      <c r="E321" s="104"/>
      <c r="F321" s="105"/>
      <c r="G321" s="105"/>
      <c r="H321" s="105"/>
      <c r="I321" s="105"/>
      <c r="J321" s="105"/>
      <c r="K321" s="105"/>
      <c r="L321" s="105"/>
      <c r="M321" s="105"/>
      <c r="N321" s="105"/>
      <c r="O321" s="105"/>
      <c r="P321" s="105"/>
      <c r="Q321" s="105"/>
      <c r="R321" s="105"/>
      <c r="S321" s="105"/>
      <c r="T321" s="111"/>
      <c r="U321" s="93"/>
      <c r="V321" s="93"/>
      <c r="W321" s="93"/>
      <c r="X321" s="93"/>
      <c r="Y321" s="93"/>
      <c r="Z321" s="93"/>
      <c r="AA321" s="93">
        <v>7560533</v>
      </c>
      <c r="AB321" s="114"/>
      <c r="AC321" s="93"/>
      <c r="AD321" s="93"/>
      <c r="AE321" s="106"/>
      <c r="AF321" s="93"/>
      <c r="AG321" s="93"/>
      <c r="AH321" s="93"/>
      <c r="AI321" s="93"/>
      <c r="AJ321" s="21" t="s">
        <v>1599</v>
      </c>
      <c r="AK321" s="126"/>
      <c r="AL321" s="126"/>
      <c r="AM321" s="126"/>
    </row>
    <row r="322" spans="1:39" ht="12.75" hidden="1" customHeight="1">
      <c r="A322" s="63">
        <v>54</v>
      </c>
      <c r="B322" s="94" t="s">
        <v>1957</v>
      </c>
      <c r="C322" s="97" t="s">
        <v>2008</v>
      </c>
      <c r="D322" s="21" t="s">
        <v>2026</v>
      </c>
      <c r="E322" s="122"/>
      <c r="F322" s="122"/>
      <c r="G322" s="122"/>
      <c r="H322" s="122"/>
      <c r="I322" s="122"/>
      <c r="J322" s="122"/>
      <c r="K322" s="122"/>
      <c r="L322" s="122"/>
      <c r="M322" s="122"/>
      <c r="N322" s="122"/>
      <c r="O322" s="122"/>
      <c r="P322" s="122"/>
      <c r="Q322" s="122"/>
      <c r="R322" s="122"/>
      <c r="S322" s="122"/>
      <c r="T322" s="122"/>
      <c r="U322" s="113"/>
      <c r="V322" s="113"/>
      <c r="W322" s="113"/>
      <c r="X322" s="113"/>
      <c r="Y322" s="113"/>
      <c r="Z322" s="113">
        <v>14800000</v>
      </c>
      <c r="AA322" s="113"/>
      <c r="AB322" s="124"/>
      <c r="AC322" s="93"/>
      <c r="AD322" s="93"/>
      <c r="AE322" s="106"/>
      <c r="AF322" s="93"/>
      <c r="AG322" s="93"/>
      <c r="AH322" s="93"/>
      <c r="AI322" s="93"/>
      <c r="AJ322" s="21" t="s">
        <v>1599</v>
      </c>
      <c r="AK322" s="126"/>
      <c r="AL322" s="126"/>
      <c r="AM322" s="126"/>
    </row>
    <row r="323" spans="1:39" ht="12.75" hidden="1" customHeight="1">
      <c r="A323" s="63">
        <v>55</v>
      </c>
      <c r="B323" s="94" t="s">
        <v>1957</v>
      </c>
      <c r="C323" s="99" t="s">
        <v>1988</v>
      </c>
      <c r="D323" s="21" t="s">
        <v>2018</v>
      </c>
      <c r="E323" s="122"/>
      <c r="F323" s="122"/>
      <c r="G323" s="122"/>
      <c r="H323" s="122"/>
      <c r="I323" s="122"/>
      <c r="J323" s="122"/>
      <c r="K323" s="122"/>
      <c r="L323" s="122"/>
      <c r="M323" s="122"/>
      <c r="N323" s="122"/>
      <c r="O323" s="122"/>
      <c r="P323" s="122"/>
      <c r="Q323" s="122"/>
      <c r="R323" s="122"/>
      <c r="S323" s="122"/>
      <c r="T323" s="122"/>
      <c r="U323" s="113"/>
      <c r="V323" s="113"/>
      <c r="W323" s="113"/>
      <c r="X323" s="113"/>
      <c r="Y323" s="113">
        <v>36162700</v>
      </c>
      <c r="Z323" s="113"/>
      <c r="AA323" s="113"/>
      <c r="AB323" s="124"/>
      <c r="AC323" s="93"/>
      <c r="AD323" s="93"/>
      <c r="AE323" s="106"/>
      <c r="AF323" s="93"/>
      <c r="AG323" s="93"/>
      <c r="AH323" s="93"/>
      <c r="AI323" s="93"/>
      <c r="AJ323" s="21" t="s">
        <v>1599</v>
      </c>
      <c r="AK323" s="126"/>
      <c r="AL323" s="126"/>
      <c r="AM323" s="126"/>
    </row>
    <row r="324" spans="1:39" ht="12.75" hidden="1" customHeight="1">
      <c r="A324" s="63">
        <v>56</v>
      </c>
      <c r="B324" s="103" t="s">
        <v>40</v>
      </c>
      <c r="C324" s="99" t="s">
        <v>598</v>
      </c>
      <c r="D324" s="88" t="s">
        <v>2027</v>
      </c>
      <c r="E324" s="122"/>
      <c r="F324" s="122"/>
      <c r="G324" s="122"/>
      <c r="H324" s="122"/>
      <c r="I324" s="122"/>
      <c r="J324" s="122"/>
      <c r="K324" s="122"/>
      <c r="L324" s="122"/>
      <c r="M324" s="122"/>
      <c r="N324" s="122"/>
      <c r="O324" s="122"/>
      <c r="P324" s="122"/>
      <c r="Q324" s="122"/>
      <c r="R324" s="122"/>
      <c r="S324" s="122"/>
      <c r="T324" s="122"/>
      <c r="U324" s="113"/>
      <c r="V324" s="113"/>
      <c r="W324" s="113"/>
      <c r="X324" s="113"/>
      <c r="Y324" s="113"/>
      <c r="Z324" s="113">
        <v>7800000</v>
      </c>
      <c r="AA324" s="113"/>
      <c r="AB324" s="124"/>
      <c r="AC324" s="93"/>
      <c r="AD324" s="93"/>
      <c r="AE324" s="106"/>
      <c r="AF324" s="93"/>
      <c r="AG324" s="93"/>
      <c r="AH324" s="93"/>
      <c r="AI324" s="93"/>
      <c r="AJ324" s="21" t="s">
        <v>1599</v>
      </c>
      <c r="AK324" s="126"/>
      <c r="AL324" s="126"/>
      <c r="AM324" s="126"/>
    </row>
    <row r="325" spans="1:39" ht="12.75" hidden="1" customHeight="1">
      <c r="A325" s="63">
        <v>57</v>
      </c>
      <c r="B325" s="103" t="s">
        <v>40</v>
      </c>
      <c r="C325" s="99" t="s">
        <v>2028</v>
      </c>
      <c r="D325" s="88" t="s">
        <v>2029</v>
      </c>
      <c r="E325" s="122"/>
      <c r="F325" s="122"/>
      <c r="G325" s="122"/>
      <c r="H325" s="122"/>
      <c r="I325" s="122"/>
      <c r="J325" s="122"/>
      <c r="K325" s="122"/>
      <c r="L325" s="122"/>
      <c r="M325" s="122"/>
      <c r="N325" s="122"/>
      <c r="O325" s="122"/>
      <c r="P325" s="122"/>
      <c r="Q325" s="122"/>
      <c r="R325" s="122"/>
      <c r="S325" s="122"/>
      <c r="T325" s="122"/>
      <c r="U325" s="113"/>
      <c r="V325" s="113"/>
      <c r="W325" s="113"/>
      <c r="X325" s="113"/>
      <c r="Y325" s="113"/>
      <c r="Z325" s="113">
        <v>4000000</v>
      </c>
      <c r="AA325" s="113"/>
      <c r="AB325" s="124"/>
      <c r="AC325" s="93"/>
      <c r="AD325" s="93"/>
      <c r="AE325" s="106"/>
      <c r="AF325" s="93"/>
      <c r="AG325" s="93"/>
      <c r="AH325" s="93"/>
      <c r="AI325" s="93"/>
      <c r="AJ325" s="21" t="s">
        <v>1599</v>
      </c>
      <c r="AK325" s="126"/>
      <c r="AL325" s="126"/>
      <c r="AM325" s="126"/>
    </row>
    <row r="326" spans="1:39" ht="12.75" hidden="1" customHeight="1">
      <c r="A326" s="63">
        <v>58</v>
      </c>
      <c r="B326" s="94" t="s">
        <v>30</v>
      </c>
      <c r="C326" s="99" t="s">
        <v>2030</v>
      </c>
      <c r="D326" s="88" t="s">
        <v>2031</v>
      </c>
      <c r="E326" s="122"/>
      <c r="F326" s="122"/>
      <c r="G326" s="122"/>
      <c r="H326" s="122"/>
      <c r="I326" s="122"/>
      <c r="J326" s="122"/>
      <c r="K326" s="122"/>
      <c r="L326" s="122"/>
      <c r="M326" s="122"/>
      <c r="N326" s="122"/>
      <c r="O326" s="122"/>
      <c r="P326" s="122"/>
      <c r="Q326" s="122"/>
      <c r="R326" s="122"/>
      <c r="S326" s="122"/>
      <c r="T326" s="122"/>
      <c r="U326" s="113"/>
      <c r="V326" s="113"/>
      <c r="W326" s="113"/>
      <c r="X326" s="113"/>
      <c r="Y326" s="113"/>
      <c r="Z326" s="113"/>
      <c r="AA326" s="113">
        <v>65987000</v>
      </c>
      <c r="AB326" s="124"/>
      <c r="AC326" s="113"/>
      <c r="AD326" s="93"/>
      <c r="AE326" s="106"/>
      <c r="AF326" s="93"/>
      <c r="AG326" s="93"/>
      <c r="AH326" s="93"/>
      <c r="AI326" s="93"/>
      <c r="AJ326" s="21" t="s">
        <v>1599</v>
      </c>
      <c r="AK326" s="126"/>
      <c r="AL326" s="126"/>
      <c r="AM326" s="126"/>
    </row>
    <row r="327" spans="1:39" ht="12.75" hidden="1" customHeight="1">
      <c r="A327" s="63">
        <v>59</v>
      </c>
      <c r="B327" s="94" t="s">
        <v>40</v>
      </c>
      <c r="C327" s="99" t="s">
        <v>2032</v>
      </c>
      <c r="D327" s="128" t="s">
        <v>2033</v>
      </c>
      <c r="E327" s="122"/>
      <c r="F327" s="122"/>
      <c r="G327" s="122"/>
      <c r="H327" s="122"/>
      <c r="I327" s="122"/>
      <c r="J327" s="122"/>
      <c r="K327" s="122"/>
      <c r="L327" s="122"/>
      <c r="M327" s="122"/>
      <c r="N327" s="122"/>
      <c r="O327" s="122"/>
      <c r="P327" s="122"/>
      <c r="Q327" s="122"/>
      <c r="R327" s="122"/>
      <c r="S327" s="122"/>
      <c r="T327" s="122"/>
      <c r="U327" s="113"/>
      <c r="V327" s="113"/>
      <c r="W327" s="113"/>
      <c r="X327" s="113"/>
      <c r="Y327" s="113"/>
      <c r="Z327" s="113"/>
      <c r="AA327" s="113"/>
      <c r="AB327" s="124"/>
      <c r="AC327" s="93">
        <v>205462000</v>
      </c>
      <c r="AD327" s="93"/>
      <c r="AE327" s="106"/>
      <c r="AF327" s="93"/>
      <c r="AG327" s="93"/>
      <c r="AH327" s="93"/>
      <c r="AI327" s="93"/>
      <c r="AJ327" s="21" t="s">
        <v>1556</v>
      </c>
      <c r="AK327" s="126"/>
      <c r="AL327" s="126"/>
      <c r="AM327" s="126"/>
    </row>
    <row r="328" spans="1:39" ht="12.75" hidden="1" customHeight="1">
      <c r="A328" s="63"/>
      <c r="B328" s="103" t="s">
        <v>40</v>
      </c>
      <c r="C328" s="99" t="s">
        <v>2032</v>
      </c>
      <c r="D328" s="128" t="s">
        <v>2034</v>
      </c>
      <c r="E328" s="122"/>
      <c r="F328" s="122"/>
      <c r="G328" s="122"/>
      <c r="H328" s="122"/>
      <c r="I328" s="122"/>
      <c r="J328" s="122"/>
      <c r="K328" s="122"/>
      <c r="L328" s="122"/>
      <c r="M328" s="122"/>
      <c r="N328" s="122"/>
      <c r="O328" s="122"/>
      <c r="P328" s="122"/>
      <c r="Q328" s="122"/>
      <c r="R328" s="122"/>
      <c r="S328" s="122"/>
      <c r="T328" s="122"/>
      <c r="U328" s="113"/>
      <c r="V328" s="113"/>
      <c r="W328" s="113"/>
      <c r="X328" s="113"/>
      <c r="Y328" s="113"/>
      <c r="Z328" s="113"/>
      <c r="AA328" s="113"/>
      <c r="AB328" s="124"/>
      <c r="AC328" s="93">
        <v>69275000</v>
      </c>
      <c r="AD328" s="93"/>
      <c r="AE328" s="106"/>
      <c r="AF328" s="93"/>
      <c r="AG328" s="93"/>
      <c r="AH328" s="93"/>
      <c r="AI328" s="93"/>
      <c r="AJ328" s="21" t="s">
        <v>1864</v>
      </c>
      <c r="AK328" s="126"/>
      <c r="AL328" s="126"/>
      <c r="AM328" s="126"/>
    </row>
    <row r="329" spans="1:39" ht="12.75" customHeight="1">
      <c r="A329" s="63">
        <v>60</v>
      </c>
      <c r="B329" s="103" t="s">
        <v>1967</v>
      </c>
      <c r="C329" s="99" t="s">
        <v>159</v>
      </c>
      <c r="D329" s="88" t="s">
        <v>2035</v>
      </c>
      <c r="E329" s="122"/>
      <c r="F329" s="122"/>
      <c r="G329" s="122"/>
      <c r="H329" s="122"/>
      <c r="I329" s="122"/>
      <c r="J329" s="122"/>
      <c r="K329" s="122"/>
      <c r="L329" s="122"/>
      <c r="M329" s="122"/>
      <c r="N329" s="122"/>
      <c r="O329" s="122"/>
      <c r="P329" s="122"/>
      <c r="Q329" s="122"/>
      <c r="R329" s="122"/>
      <c r="S329" s="122"/>
      <c r="T329" s="122"/>
      <c r="U329" s="113"/>
      <c r="V329" s="113"/>
      <c r="W329" s="113"/>
      <c r="X329" s="113"/>
      <c r="Y329" s="113"/>
      <c r="Z329" s="113"/>
      <c r="AA329" s="113">
        <v>340000000</v>
      </c>
      <c r="AB329" s="124"/>
      <c r="AC329" s="93"/>
      <c r="AD329" s="93"/>
      <c r="AE329" s="106"/>
      <c r="AF329" s="93"/>
      <c r="AG329" s="93"/>
      <c r="AH329" s="93"/>
      <c r="AI329" s="93"/>
      <c r="AJ329" s="21" t="s">
        <v>34</v>
      </c>
      <c r="AK329" s="126"/>
      <c r="AL329" s="126"/>
      <c r="AM329" s="126"/>
    </row>
    <row r="330" spans="1:39" ht="12.75" hidden="1" customHeight="1">
      <c r="A330" s="63">
        <v>61</v>
      </c>
      <c r="B330" s="103" t="s">
        <v>40</v>
      </c>
      <c r="C330" s="99" t="s">
        <v>1988</v>
      </c>
      <c r="D330" s="88" t="s">
        <v>2036</v>
      </c>
      <c r="E330" s="122"/>
      <c r="F330" s="122"/>
      <c r="G330" s="122"/>
      <c r="H330" s="122"/>
      <c r="I330" s="122"/>
      <c r="J330" s="122"/>
      <c r="K330" s="122"/>
      <c r="L330" s="122"/>
      <c r="M330" s="122"/>
      <c r="N330" s="122"/>
      <c r="O330" s="122"/>
      <c r="P330" s="122"/>
      <c r="Q330" s="122"/>
      <c r="R330" s="122"/>
      <c r="S330" s="122"/>
      <c r="T330" s="122"/>
      <c r="U330" s="113"/>
      <c r="V330" s="113"/>
      <c r="W330" s="113"/>
      <c r="X330" s="113"/>
      <c r="Y330" s="113"/>
      <c r="Z330" s="113"/>
      <c r="AA330" s="113"/>
      <c r="AB330" s="124">
        <v>221479200</v>
      </c>
      <c r="AC330" s="93"/>
      <c r="AD330" s="93"/>
      <c r="AE330" s="106"/>
      <c r="AF330" s="93"/>
      <c r="AG330" s="93"/>
      <c r="AH330" s="93"/>
      <c r="AI330" s="93"/>
      <c r="AJ330" s="21" t="s">
        <v>1556</v>
      </c>
      <c r="AK330" s="126"/>
      <c r="AL330" s="126"/>
      <c r="AM330" s="126"/>
    </row>
    <row r="331" spans="1:39" ht="12.75" customHeight="1">
      <c r="A331" s="63">
        <v>62</v>
      </c>
      <c r="B331" s="103" t="s">
        <v>27</v>
      </c>
      <c r="C331" s="99" t="s">
        <v>2037</v>
      </c>
      <c r="D331" s="88" t="s">
        <v>2038</v>
      </c>
      <c r="E331" s="122"/>
      <c r="F331" s="122"/>
      <c r="G331" s="122"/>
      <c r="H331" s="122"/>
      <c r="I331" s="122"/>
      <c r="J331" s="122"/>
      <c r="K331" s="122"/>
      <c r="L331" s="122"/>
      <c r="M331" s="122"/>
      <c r="N331" s="122"/>
      <c r="O331" s="122"/>
      <c r="P331" s="122"/>
      <c r="Q331" s="122"/>
      <c r="R331" s="122"/>
      <c r="S331" s="122"/>
      <c r="T331" s="122"/>
      <c r="U331" s="113"/>
      <c r="V331" s="113"/>
      <c r="W331" s="113"/>
      <c r="X331" s="113"/>
      <c r="Y331" s="113"/>
      <c r="Z331" s="113"/>
      <c r="AA331" s="113">
        <v>40000000</v>
      </c>
      <c r="AB331" s="124"/>
      <c r="AC331" s="113"/>
      <c r="AD331" s="93"/>
      <c r="AE331" s="106"/>
      <c r="AF331" s="93"/>
      <c r="AG331" s="93"/>
      <c r="AH331" s="93"/>
      <c r="AI331" s="93"/>
      <c r="AJ331" s="21" t="s">
        <v>2039</v>
      </c>
      <c r="AK331" s="126"/>
      <c r="AL331" s="126"/>
      <c r="AM331" s="126"/>
    </row>
    <row r="332" spans="1:39" ht="12.75" hidden="1" customHeight="1">
      <c r="A332" s="63">
        <v>63</v>
      </c>
      <c r="B332" s="103" t="s">
        <v>40</v>
      </c>
      <c r="C332" s="99" t="s">
        <v>1976</v>
      </c>
      <c r="D332" s="21" t="s">
        <v>2040</v>
      </c>
      <c r="E332" s="122"/>
      <c r="F332" s="122"/>
      <c r="G332" s="122"/>
      <c r="H332" s="122"/>
      <c r="I332" s="122"/>
      <c r="J332" s="122"/>
      <c r="K332" s="122"/>
      <c r="L332" s="122"/>
      <c r="M332" s="122"/>
      <c r="N332" s="122"/>
      <c r="O332" s="122"/>
      <c r="P332" s="122"/>
      <c r="Q332" s="122"/>
      <c r="R332" s="122"/>
      <c r="S332" s="122"/>
      <c r="T332" s="122"/>
      <c r="U332" s="113"/>
      <c r="V332" s="113"/>
      <c r="W332" s="113"/>
      <c r="X332" s="113"/>
      <c r="Y332" s="113"/>
      <c r="Z332" s="113"/>
      <c r="AA332" s="113">
        <v>142107620</v>
      </c>
      <c r="AB332" s="124"/>
      <c r="AC332" s="93"/>
      <c r="AD332" s="93"/>
      <c r="AE332" s="106"/>
      <c r="AF332" s="93"/>
      <c r="AG332" s="93"/>
      <c r="AH332" s="93"/>
      <c r="AI332" s="93"/>
      <c r="AJ332" s="21" t="s">
        <v>1599</v>
      </c>
      <c r="AK332" s="126"/>
      <c r="AL332" s="126"/>
      <c r="AM332" s="126"/>
    </row>
    <row r="333" spans="1:39" ht="12.75" hidden="1" customHeight="1">
      <c r="A333" s="63">
        <v>64</v>
      </c>
      <c r="B333" s="103" t="s">
        <v>40</v>
      </c>
      <c r="C333" s="99" t="s">
        <v>1976</v>
      </c>
      <c r="D333" s="21" t="s">
        <v>2041</v>
      </c>
      <c r="E333" s="122"/>
      <c r="F333" s="122"/>
      <c r="G333" s="122"/>
      <c r="H333" s="122"/>
      <c r="I333" s="122"/>
      <c r="J333" s="122"/>
      <c r="K333" s="122"/>
      <c r="L333" s="122"/>
      <c r="M333" s="122"/>
      <c r="N333" s="122"/>
      <c r="O333" s="122"/>
      <c r="P333" s="122"/>
      <c r="Q333" s="122"/>
      <c r="R333" s="122"/>
      <c r="S333" s="122"/>
      <c r="T333" s="122"/>
      <c r="U333" s="113"/>
      <c r="V333" s="113"/>
      <c r="W333" s="113"/>
      <c r="X333" s="113"/>
      <c r="Y333" s="113"/>
      <c r="Z333" s="113"/>
      <c r="AA333" s="113">
        <v>16035600</v>
      </c>
      <c r="AB333" s="124"/>
      <c r="AC333" s="93"/>
      <c r="AD333" s="93"/>
      <c r="AE333" s="106"/>
      <c r="AF333" s="93"/>
      <c r="AG333" s="93"/>
      <c r="AH333" s="93"/>
      <c r="AI333" s="93"/>
      <c r="AJ333" s="21" t="s">
        <v>1599</v>
      </c>
      <c r="AK333" s="126"/>
      <c r="AL333" s="126"/>
      <c r="AM333" s="126"/>
    </row>
    <row r="334" spans="1:39" ht="12.75" customHeight="1">
      <c r="A334" s="63">
        <v>65</v>
      </c>
      <c r="B334" s="103" t="s">
        <v>27</v>
      </c>
      <c r="C334" s="99" t="s">
        <v>2042</v>
      </c>
      <c r="D334" s="88" t="s">
        <v>2043</v>
      </c>
      <c r="E334" s="122"/>
      <c r="F334" s="122"/>
      <c r="G334" s="122"/>
      <c r="H334" s="122"/>
      <c r="I334" s="122"/>
      <c r="J334" s="122"/>
      <c r="K334" s="122"/>
      <c r="L334" s="122"/>
      <c r="M334" s="122"/>
      <c r="N334" s="122"/>
      <c r="O334" s="122"/>
      <c r="P334" s="122"/>
      <c r="Q334" s="122"/>
      <c r="R334" s="122"/>
      <c r="S334" s="122"/>
      <c r="T334" s="122"/>
      <c r="U334" s="113"/>
      <c r="V334" s="113"/>
      <c r="W334" s="113"/>
      <c r="X334" s="113"/>
      <c r="Y334" s="113"/>
      <c r="Z334" s="113"/>
      <c r="AA334" s="113">
        <v>112000000</v>
      </c>
      <c r="AB334" s="124"/>
      <c r="AC334" s="93"/>
      <c r="AD334" s="93"/>
      <c r="AE334" s="106"/>
      <c r="AF334" s="93"/>
      <c r="AG334" s="93"/>
      <c r="AH334" s="93"/>
      <c r="AI334" s="93"/>
      <c r="AJ334" s="21" t="s">
        <v>2044</v>
      </c>
      <c r="AK334" s="126"/>
      <c r="AL334" s="126"/>
      <c r="AM334" s="126"/>
    </row>
    <row r="335" spans="1:39" ht="12.75" hidden="1" customHeight="1">
      <c r="A335" s="63">
        <v>66</v>
      </c>
      <c r="B335" s="103" t="s">
        <v>40</v>
      </c>
      <c r="C335" s="99" t="s">
        <v>2045</v>
      </c>
      <c r="D335" s="21" t="s">
        <v>2046</v>
      </c>
      <c r="E335" s="122"/>
      <c r="F335" s="122"/>
      <c r="G335" s="122"/>
      <c r="H335" s="122"/>
      <c r="I335" s="122"/>
      <c r="J335" s="122"/>
      <c r="K335" s="122"/>
      <c r="L335" s="122"/>
      <c r="M335" s="122"/>
      <c r="N335" s="122"/>
      <c r="O335" s="122"/>
      <c r="P335" s="122"/>
      <c r="Q335" s="122"/>
      <c r="R335" s="122"/>
      <c r="S335" s="122"/>
      <c r="T335" s="122"/>
      <c r="U335" s="113"/>
      <c r="V335" s="113"/>
      <c r="W335" s="113"/>
      <c r="X335" s="113"/>
      <c r="Y335" s="113"/>
      <c r="Z335" s="113"/>
      <c r="AA335" s="113">
        <v>33537240</v>
      </c>
      <c r="AB335" s="124"/>
      <c r="AC335" s="93"/>
      <c r="AD335" s="93"/>
      <c r="AE335" s="106"/>
      <c r="AF335" s="93"/>
      <c r="AG335" s="93"/>
      <c r="AH335" s="93"/>
      <c r="AI335" s="93"/>
      <c r="AJ335" s="21" t="s">
        <v>1599</v>
      </c>
      <c r="AK335" s="126"/>
      <c r="AL335" s="126"/>
      <c r="AM335" s="1"/>
    </row>
    <row r="336" spans="1:39" ht="12.75" hidden="1" customHeight="1">
      <c r="A336" s="63">
        <v>67</v>
      </c>
      <c r="B336" s="103" t="s">
        <v>40</v>
      </c>
      <c r="C336" s="99" t="s">
        <v>2047</v>
      </c>
      <c r="D336" s="88" t="s">
        <v>2048</v>
      </c>
      <c r="E336" s="122"/>
      <c r="F336" s="122"/>
      <c r="G336" s="122"/>
      <c r="H336" s="122"/>
      <c r="I336" s="122"/>
      <c r="J336" s="122"/>
      <c r="K336" s="122"/>
      <c r="L336" s="122"/>
      <c r="M336" s="122"/>
      <c r="N336" s="122"/>
      <c r="O336" s="122"/>
      <c r="P336" s="122"/>
      <c r="Q336" s="122"/>
      <c r="R336" s="122"/>
      <c r="S336" s="122"/>
      <c r="T336" s="122"/>
      <c r="U336" s="113"/>
      <c r="V336" s="113"/>
      <c r="W336" s="113"/>
      <c r="X336" s="113"/>
      <c r="Y336" s="113"/>
      <c r="Z336" s="113"/>
      <c r="AA336" s="113"/>
      <c r="AB336" s="124">
        <v>50700000</v>
      </c>
      <c r="AC336" s="93"/>
      <c r="AD336" s="93"/>
      <c r="AE336" s="106"/>
      <c r="AF336" s="93"/>
      <c r="AG336" s="93"/>
      <c r="AH336" s="93"/>
      <c r="AI336" s="93"/>
      <c r="AJ336" s="21" t="s">
        <v>1599</v>
      </c>
      <c r="AK336" s="126"/>
      <c r="AL336" s="126"/>
      <c r="AM336" s="1"/>
    </row>
    <row r="337" spans="1:39" ht="12.75" hidden="1" customHeight="1">
      <c r="A337" s="63">
        <v>68</v>
      </c>
      <c r="B337" s="94" t="s">
        <v>30</v>
      </c>
      <c r="C337" s="99" t="s">
        <v>2049</v>
      </c>
      <c r="D337" s="88" t="s">
        <v>2050</v>
      </c>
      <c r="E337" s="122"/>
      <c r="F337" s="122"/>
      <c r="G337" s="122"/>
      <c r="H337" s="122"/>
      <c r="I337" s="122"/>
      <c r="J337" s="122"/>
      <c r="K337" s="122"/>
      <c r="L337" s="122"/>
      <c r="M337" s="122"/>
      <c r="N337" s="122"/>
      <c r="O337" s="122"/>
      <c r="P337" s="122"/>
      <c r="Q337" s="122"/>
      <c r="R337" s="122"/>
      <c r="S337" s="122"/>
      <c r="T337" s="122"/>
      <c r="U337" s="113"/>
      <c r="V337" s="113"/>
      <c r="W337" s="113"/>
      <c r="X337" s="113"/>
      <c r="Y337" s="113"/>
      <c r="Z337" s="113"/>
      <c r="AA337" s="113"/>
      <c r="AB337" s="124"/>
      <c r="AC337" s="93">
        <v>110000000</v>
      </c>
      <c r="AD337" s="93"/>
      <c r="AE337" s="106"/>
      <c r="AF337" s="93"/>
      <c r="AG337" s="93"/>
      <c r="AH337" s="93"/>
      <c r="AI337" s="93"/>
      <c r="AJ337" s="21" t="s">
        <v>2039</v>
      </c>
      <c r="AK337" s="126"/>
      <c r="AL337" s="126"/>
      <c r="AM337" s="1"/>
    </row>
    <row r="338" spans="1:39" ht="12.75" hidden="1" customHeight="1">
      <c r="A338" s="63">
        <v>69</v>
      </c>
      <c r="B338" s="103" t="s">
        <v>40</v>
      </c>
      <c r="C338" s="99" t="s">
        <v>2008</v>
      </c>
      <c r="D338" s="88" t="s">
        <v>2051</v>
      </c>
      <c r="E338" s="122"/>
      <c r="F338" s="122"/>
      <c r="G338" s="122"/>
      <c r="H338" s="122"/>
      <c r="I338" s="122"/>
      <c r="J338" s="122"/>
      <c r="K338" s="122"/>
      <c r="L338" s="122"/>
      <c r="M338" s="122"/>
      <c r="N338" s="122"/>
      <c r="O338" s="122"/>
      <c r="P338" s="122"/>
      <c r="Q338" s="122"/>
      <c r="R338" s="122"/>
      <c r="S338" s="122"/>
      <c r="T338" s="122"/>
      <c r="U338" s="113"/>
      <c r="V338" s="113"/>
      <c r="W338" s="113"/>
      <c r="X338" s="113"/>
      <c r="Y338" s="113"/>
      <c r="Z338" s="113"/>
      <c r="AA338" s="113">
        <v>47850000</v>
      </c>
      <c r="AB338" s="124"/>
      <c r="AC338" s="93"/>
      <c r="AD338" s="93"/>
      <c r="AE338" s="106"/>
      <c r="AF338" s="93"/>
      <c r="AG338" s="93"/>
      <c r="AH338" s="93"/>
      <c r="AI338" s="93"/>
      <c r="AJ338" s="21" t="s">
        <v>1599</v>
      </c>
      <c r="AK338" s="126"/>
      <c r="AL338" s="126"/>
      <c r="AM338" s="1"/>
    </row>
    <row r="339" spans="1:39" ht="12.75" hidden="1" customHeight="1">
      <c r="A339" s="63">
        <v>70</v>
      </c>
      <c r="B339" s="103" t="s">
        <v>40</v>
      </c>
      <c r="C339" s="99" t="s">
        <v>2052</v>
      </c>
      <c r="D339" s="88" t="s">
        <v>2053</v>
      </c>
      <c r="E339" s="122"/>
      <c r="F339" s="122"/>
      <c r="G339" s="122"/>
      <c r="H339" s="122"/>
      <c r="I339" s="122"/>
      <c r="J339" s="122"/>
      <c r="K339" s="122"/>
      <c r="L339" s="122"/>
      <c r="M339" s="122"/>
      <c r="N339" s="122"/>
      <c r="O339" s="122"/>
      <c r="P339" s="122"/>
      <c r="Q339" s="122"/>
      <c r="R339" s="122"/>
      <c r="S339" s="122"/>
      <c r="T339" s="122"/>
      <c r="U339" s="113"/>
      <c r="V339" s="113"/>
      <c r="W339" s="113"/>
      <c r="X339" s="113"/>
      <c r="Y339" s="113"/>
      <c r="Z339" s="113"/>
      <c r="AA339" s="113"/>
      <c r="AB339" s="124"/>
      <c r="AC339" s="93"/>
      <c r="AD339" s="93">
        <v>150955000</v>
      </c>
      <c r="AE339" s="106"/>
      <c r="AF339" s="93"/>
      <c r="AG339" s="93"/>
      <c r="AH339" s="93"/>
      <c r="AI339" s="93"/>
      <c r="AJ339" s="21" t="s">
        <v>1556</v>
      </c>
      <c r="AK339" s="126"/>
      <c r="AL339" s="126"/>
      <c r="AM339" s="1"/>
    </row>
    <row r="340" spans="1:39" ht="12.75" hidden="1" customHeight="1">
      <c r="A340" s="63">
        <v>71</v>
      </c>
      <c r="B340" s="103" t="s">
        <v>40</v>
      </c>
      <c r="C340" s="99" t="s">
        <v>2054</v>
      </c>
      <c r="D340" s="88" t="s">
        <v>2055</v>
      </c>
      <c r="E340" s="122"/>
      <c r="F340" s="122"/>
      <c r="G340" s="122"/>
      <c r="H340" s="122"/>
      <c r="I340" s="122"/>
      <c r="J340" s="122"/>
      <c r="K340" s="122"/>
      <c r="L340" s="122"/>
      <c r="M340" s="122"/>
      <c r="N340" s="122"/>
      <c r="O340" s="122"/>
      <c r="P340" s="122"/>
      <c r="Q340" s="122"/>
      <c r="R340" s="122"/>
      <c r="S340" s="122"/>
      <c r="T340" s="122"/>
      <c r="U340" s="113"/>
      <c r="V340" s="113"/>
      <c r="W340" s="113"/>
      <c r="X340" s="113"/>
      <c r="Y340" s="113"/>
      <c r="Z340" s="113"/>
      <c r="AA340" s="113"/>
      <c r="AB340" s="93">
        <v>70200000</v>
      </c>
      <c r="AC340" s="93"/>
      <c r="AD340" s="93"/>
      <c r="AE340" s="106"/>
      <c r="AF340" s="93"/>
      <c r="AG340" s="93"/>
      <c r="AH340" s="93"/>
      <c r="AI340" s="93"/>
      <c r="AJ340" s="21" t="s">
        <v>1556</v>
      </c>
      <c r="AK340" s="126"/>
      <c r="AL340" s="126"/>
      <c r="AM340" s="1"/>
    </row>
    <row r="341" spans="1:39" ht="12.75" hidden="1" customHeight="1">
      <c r="A341" s="63">
        <v>72</v>
      </c>
      <c r="B341" s="103" t="s">
        <v>40</v>
      </c>
      <c r="C341" s="99" t="s">
        <v>2056</v>
      </c>
      <c r="D341" s="88" t="s">
        <v>2057</v>
      </c>
      <c r="E341" s="122"/>
      <c r="F341" s="122"/>
      <c r="G341" s="122"/>
      <c r="H341" s="122"/>
      <c r="I341" s="122"/>
      <c r="J341" s="122"/>
      <c r="K341" s="122"/>
      <c r="L341" s="122"/>
      <c r="M341" s="122"/>
      <c r="N341" s="122"/>
      <c r="O341" s="122"/>
      <c r="P341" s="122"/>
      <c r="Q341" s="122"/>
      <c r="R341" s="122"/>
      <c r="S341" s="122"/>
      <c r="T341" s="122"/>
      <c r="U341" s="113"/>
      <c r="V341" s="113"/>
      <c r="W341" s="113"/>
      <c r="X341" s="113"/>
      <c r="Y341" s="113"/>
      <c r="Z341" s="113"/>
      <c r="AA341" s="113">
        <v>19000000</v>
      </c>
      <c r="AB341" s="124"/>
      <c r="AC341" s="93"/>
      <c r="AD341" s="93"/>
      <c r="AE341" s="106"/>
      <c r="AF341" s="93"/>
      <c r="AG341" s="93"/>
      <c r="AH341" s="93"/>
      <c r="AI341" s="93"/>
      <c r="AJ341" s="21" t="s">
        <v>1599</v>
      </c>
      <c r="AK341" s="126"/>
      <c r="AL341" s="126"/>
      <c r="AM341" s="1"/>
    </row>
    <row r="342" spans="1:39" ht="12.75" hidden="1" customHeight="1">
      <c r="A342" s="63">
        <v>73</v>
      </c>
      <c r="B342" s="94" t="s">
        <v>30</v>
      </c>
      <c r="C342" s="99" t="s">
        <v>598</v>
      </c>
      <c r="D342" s="88" t="s">
        <v>2058</v>
      </c>
      <c r="E342" s="122"/>
      <c r="F342" s="122"/>
      <c r="G342" s="122"/>
      <c r="H342" s="122"/>
      <c r="I342" s="122"/>
      <c r="J342" s="122"/>
      <c r="K342" s="122"/>
      <c r="L342" s="122"/>
      <c r="M342" s="122"/>
      <c r="N342" s="122"/>
      <c r="O342" s="122"/>
      <c r="P342" s="122"/>
      <c r="Q342" s="122"/>
      <c r="R342" s="122"/>
      <c r="S342" s="122"/>
      <c r="T342" s="122"/>
      <c r="U342" s="113"/>
      <c r="V342" s="113"/>
      <c r="W342" s="113"/>
      <c r="X342" s="113"/>
      <c r="Y342" s="113"/>
      <c r="Z342" s="113"/>
      <c r="AA342" s="113"/>
      <c r="AB342" s="124"/>
      <c r="AC342" s="93"/>
      <c r="AD342" s="93">
        <v>108999000</v>
      </c>
      <c r="AE342" s="106"/>
      <c r="AF342" s="93"/>
      <c r="AG342" s="93"/>
      <c r="AH342" s="93"/>
      <c r="AI342" s="93"/>
      <c r="AJ342" s="21" t="s">
        <v>1556</v>
      </c>
      <c r="AK342" s="126"/>
      <c r="AL342" s="126"/>
      <c r="AM342" s="1"/>
    </row>
    <row r="343" spans="1:39" ht="12.75" customHeight="1">
      <c r="A343" s="63">
        <v>74</v>
      </c>
      <c r="B343" s="103" t="s">
        <v>27</v>
      </c>
      <c r="C343" s="99" t="s">
        <v>1991</v>
      </c>
      <c r="D343" s="88" t="s">
        <v>2059</v>
      </c>
      <c r="E343" s="122"/>
      <c r="F343" s="122"/>
      <c r="G343" s="122"/>
      <c r="H343" s="122"/>
      <c r="I343" s="122"/>
      <c r="J343" s="122"/>
      <c r="K343" s="122"/>
      <c r="L343" s="122"/>
      <c r="M343" s="122"/>
      <c r="N343" s="122"/>
      <c r="O343" s="122"/>
      <c r="P343" s="122"/>
      <c r="Q343" s="122"/>
      <c r="R343" s="122"/>
      <c r="S343" s="122"/>
      <c r="T343" s="122"/>
      <c r="U343" s="113"/>
      <c r="V343" s="113"/>
      <c r="W343" s="113"/>
      <c r="X343" s="113"/>
      <c r="Y343" s="113"/>
      <c r="Z343" s="113"/>
      <c r="AA343" s="113"/>
      <c r="AB343" s="124">
        <v>85000000</v>
      </c>
      <c r="AC343" s="93"/>
      <c r="AD343" s="93"/>
      <c r="AE343" s="106"/>
      <c r="AF343" s="93"/>
      <c r="AG343" s="93"/>
      <c r="AH343" s="93"/>
      <c r="AI343" s="93"/>
      <c r="AJ343" s="21" t="s">
        <v>2060</v>
      </c>
      <c r="AK343" s="126"/>
      <c r="AL343" s="126"/>
      <c r="AM343" s="1"/>
    </row>
    <row r="344" spans="1:39" ht="12.75" hidden="1" customHeight="1">
      <c r="A344" s="63">
        <v>75</v>
      </c>
      <c r="B344" s="103" t="s">
        <v>40</v>
      </c>
      <c r="C344" s="99" t="s">
        <v>2061</v>
      </c>
      <c r="D344" s="88" t="s">
        <v>2062</v>
      </c>
      <c r="E344" s="122"/>
      <c r="F344" s="122"/>
      <c r="G344" s="122"/>
      <c r="H344" s="122"/>
      <c r="I344" s="122"/>
      <c r="J344" s="122"/>
      <c r="K344" s="122"/>
      <c r="L344" s="122"/>
      <c r="M344" s="122"/>
      <c r="N344" s="122"/>
      <c r="O344" s="122"/>
      <c r="P344" s="122"/>
      <c r="Q344" s="122"/>
      <c r="R344" s="122"/>
      <c r="S344" s="122"/>
      <c r="T344" s="122"/>
      <c r="U344" s="113"/>
      <c r="V344" s="113"/>
      <c r="W344" s="113"/>
      <c r="X344" s="113"/>
      <c r="Y344" s="113"/>
      <c r="Z344" s="113"/>
      <c r="AA344" s="113">
        <v>10800000</v>
      </c>
      <c r="AB344" s="124"/>
      <c r="AC344" s="93"/>
      <c r="AD344" s="93"/>
      <c r="AE344" s="106"/>
      <c r="AF344" s="93"/>
      <c r="AG344" s="93"/>
      <c r="AH344" s="93"/>
      <c r="AI344" s="93"/>
      <c r="AJ344" s="21" t="s">
        <v>1556</v>
      </c>
      <c r="AK344" s="126"/>
      <c r="AL344" s="126"/>
      <c r="AM344" s="1"/>
    </row>
    <row r="345" spans="1:39" ht="12.75" hidden="1" customHeight="1">
      <c r="A345" s="63">
        <v>76</v>
      </c>
      <c r="B345" s="94" t="s">
        <v>30</v>
      </c>
      <c r="C345" s="99" t="s">
        <v>2063</v>
      </c>
      <c r="D345" s="88" t="s">
        <v>2064</v>
      </c>
      <c r="E345" s="122"/>
      <c r="F345" s="122"/>
      <c r="G345" s="122"/>
      <c r="H345" s="122"/>
      <c r="I345" s="122"/>
      <c r="J345" s="122"/>
      <c r="K345" s="122"/>
      <c r="L345" s="122"/>
      <c r="M345" s="122"/>
      <c r="N345" s="122"/>
      <c r="O345" s="122"/>
      <c r="P345" s="122"/>
      <c r="Q345" s="122"/>
      <c r="R345" s="122"/>
      <c r="S345" s="122"/>
      <c r="T345" s="122"/>
      <c r="U345" s="113"/>
      <c r="V345" s="113"/>
      <c r="W345" s="113"/>
      <c r="X345" s="113"/>
      <c r="Y345" s="113"/>
      <c r="Z345" s="113"/>
      <c r="AA345" s="113"/>
      <c r="AB345" s="124"/>
      <c r="AC345" s="93"/>
      <c r="AD345" s="93">
        <v>400000000</v>
      </c>
      <c r="AE345" s="106"/>
      <c r="AF345" s="93"/>
      <c r="AG345" s="93"/>
      <c r="AH345" s="93"/>
      <c r="AI345" s="93"/>
      <c r="AJ345" s="21" t="s">
        <v>2039</v>
      </c>
      <c r="AK345" s="126"/>
      <c r="AL345" s="126"/>
      <c r="AM345" s="1"/>
    </row>
    <row r="346" spans="1:39" ht="12.75" hidden="1" customHeight="1">
      <c r="A346" s="63">
        <v>77</v>
      </c>
      <c r="B346" s="103" t="s">
        <v>40</v>
      </c>
      <c r="C346" s="99" t="s">
        <v>2065</v>
      </c>
      <c r="D346" s="88" t="s">
        <v>2066</v>
      </c>
      <c r="E346" s="122"/>
      <c r="F346" s="122"/>
      <c r="G346" s="122"/>
      <c r="H346" s="122"/>
      <c r="I346" s="122"/>
      <c r="J346" s="122"/>
      <c r="K346" s="122"/>
      <c r="L346" s="122"/>
      <c r="M346" s="122"/>
      <c r="N346" s="122"/>
      <c r="O346" s="122"/>
      <c r="P346" s="122"/>
      <c r="Q346" s="122"/>
      <c r="R346" s="122"/>
      <c r="S346" s="122"/>
      <c r="T346" s="122"/>
      <c r="U346" s="113"/>
      <c r="V346" s="113"/>
      <c r="W346" s="113"/>
      <c r="X346" s="113"/>
      <c r="Y346" s="113"/>
      <c r="Z346" s="113"/>
      <c r="AA346" s="113">
        <v>8789000</v>
      </c>
      <c r="AB346" s="124"/>
      <c r="AC346" s="93"/>
      <c r="AD346" s="93"/>
      <c r="AE346" s="106"/>
      <c r="AF346" s="93"/>
      <c r="AG346" s="110"/>
      <c r="AH346" s="110"/>
      <c r="AI346" s="110"/>
      <c r="AJ346" s="100" t="s">
        <v>1599</v>
      </c>
      <c r="AK346" s="126"/>
      <c r="AL346" s="126"/>
      <c r="AM346" s="1"/>
    </row>
    <row r="347" spans="1:39" ht="12.75" hidden="1" customHeight="1">
      <c r="A347" s="63">
        <v>78</v>
      </c>
      <c r="B347" s="103" t="s">
        <v>40</v>
      </c>
      <c r="C347" s="99" t="s">
        <v>2067</v>
      </c>
      <c r="D347" s="88" t="s">
        <v>2068</v>
      </c>
      <c r="E347" s="122"/>
      <c r="F347" s="122"/>
      <c r="G347" s="122"/>
      <c r="H347" s="122"/>
      <c r="I347" s="122"/>
      <c r="J347" s="122"/>
      <c r="K347" s="122"/>
      <c r="L347" s="122"/>
      <c r="M347" s="122"/>
      <c r="N347" s="122"/>
      <c r="O347" s="122"/>
      <c r="P347" s="122"/>
      <c r="Q347" s="122"/>
      <c r="R347" s="122"/>
      <c r="S347" s="122"/>
      <c r="T347" s="122"/>
      <c r="U347" s="113"/>
      <c r="V347" s="113"/>
      <c r="W347" s="113"/>
      <c r="X347" s="113"/>
      <c r="Y347" s="113"/>
      <c r="Z347" s="113"/>
      <c r="AA347" s="129">
        <v>8035700</v>
      </c>
      <c r="AB347" s="124"/>
      <c r="AC347" s="93"/>
      <c r="AD347" s="93"/>
      <c r="AE347" s="106"/>
      <c r="AF347" s="93"/>
      <c r="AG347" s="110"/>
      <c r="AH347" s="110"/>
      <c r="AI347" s="110"/>
      <c r="AJ347" s="100" t="s">
        <v>1556</v>
      </c>
      <c r="AK347" s="126"/>
      <c r="AL347" s="126"/>
      <c r="AM347" s="1"/>
    </row>
    <row r="348" spans="1:39" ht="12.75" hidden="1" customHeight="1">
      <c r="A348" s="63">
        <v>79</v>
      </c>
      <c r="B348" s="103" t="s">
        <v>40</v>
      </c>
      <c r="C348" s="99" t="s">
        <v>2052</v>
      </c>
      <c r="D348" s="88" t="s">
        <v>2069</v>
      </c>
      <c r="E348" s="122"/>
      <c r="F348" s="122"/>
      <c r="G348" s="122"/>
      <c r="H348" s="122"/>
      <c r="I348" s="122"/>
      <c r="J348" s="122"/>
      <c r="K348" s="122"/>
      <c r="L348" s="122"/>
      <c r="M348" s="122"/>
      <c r="N348" s="122"/>
      <c r="O348" s="122"/>
      <c r="P348" s="122"/>
      <c r="Q348" s="122"/>
      <c r="R348" s="122"/>
      <c r="S348" s="122"/>
      <c r="T348" s="122"/>
      <c r="U348" s="113"/>
      <c r="V348" s="113"/>
      <c r="W348" s="113"/>
      <c r="X348" s="113"/>
      <c r="Y348" s="113"/>
      <c r="Z348" s="113"/>
      <c r="AA348" s="113"/>
      <c r="AB348" s="124">
        <v>13085300</v>
      </c>
      <c r="AC348" s="93"/>
      <c r="AD348" s="93"/>
      <c r="AE348" s="106"/>
      <c r="AF348" s="93"/>
      <c r="AG348" s="93"/>
      <c r="AH348" s="93"/>
      <c r="AI348" s="93"/>
      <c r="AJ348" s="21" t="s">
        <v>2039</v>
      </c>
      <c r="AK348" s="126"/>
      <c r="AL348" s="126"/>
      <c r="AM348" s="1"/>
    </row>
    <row r="349" spans="1:39" ht="12.75" hidden="1" customHeight="1">
      <c r="A349" s="63">
        <v>80</v>
      </c>
      <c r="B349" s="103" t="s">
        <v>40</v>
      </c>
      <c r="C349" s="99" t="s">
        <v>2070</v>
      </c>
      <c r="D349" s="88" t="s">
        <v>2071</v>
      </c>
      <c r="E349" s="122"/>
      <c r="F349" s="122"/>
      <c r="G349" s="122"/>
      <c r="H349" s="122"/>
      <c r="I349" s="122"/>
      <c r="J349" s="122"/>
      <c r="K349" s="122"/>
      <c r="L349" s="122"/>
      <c r="M349" s="122"/>
      <c r="N349" s="122"/>
      <c r="O349" s="122"/>
      <c r="P349" s="122"/>
      <c r="Q349" s="122"/>
      <c r="R349" s="122"/>
      <c r="S349" s="122"/>
      <c r="T349" s="122"/>
      <c r="U349" s="113"/>
      <c r="V349" s="113"/>
      <c r="W349" s="113"/>
      <c r="X349" s="113"/>
      <c r="Y349" s="113"/>
      <c r="Z349" s="113"/>
      <c r="AA349" s="113"/>
      <c r="AB349" s="124">
        <v>11565000</v>
      </c>
      <c r="AC349" s="93"/>
      <c r="AD349" s="93"/>
      <c r="AE349" s="106"/>
      <c r="AF349" s="93"/>
      <c r="AG349" s="93"/>
      <c r="AH349" s="93"/>
      <c r="AI349" s="93"/>
      <c r="AJ349" s="21" t="s">
        <v>1599</v>
      </c>
      <c r="AK349" s="126"/>
      <c r="AL349" s="126"/>
      <c r="AM349" s="1"/>
    </row>
    <row r="350" spans="1:39" ht="12.75" hidden="1" customHeight="1">
      <c r="A350" s="63">
        <v>81</v>
      </c>
      <c r="B350" s="103" t="s">
        <v>40</v>
      </c>
      <c r="C350" s="99" t="s">
        <v>2070</v>
      </c>
      <c r="D350" s="88" t="s">
        <v>2072</v>
      </c>
      <c r="E350" s="122"/>
      <c r="F350" s="122"/>
      <c r="G350" s="122"/>
      <c r="H350" s="122"/>
      <c r="I350" s="122"/>
      <c r="J350" s="122"/>
      <c r="K350" s="122"/>
      <c r="L350" s="122"/>
      <c r="M350" s="122"/>
      <c r="N350" s="122"/>
      <c r="O350" s="122"/>
      <c r="P350" s="122"/>
      <c r="Q350" s="122"/>
      <c r="R350" s="122"/>
      <c r="S350" s="122"/>
      <c r="T350" s="122"/>
      <c r="U350" s="113"/>
      <c r="V350" s="113"/>
      <c r="W350" s="113"/>
      <c r="X350" s="113"/>
      <c r="Y350" s="113"/>
      <c r="Z350" s="113"/>
      <c r="AA350" s="113"/>
      <c r="AB350" s="124">
        <v>3740000</v>
      </c>
      <c r="AC350" s="93"/>
      <c r="AD350" s="93"/>
      <c r="AE350" s="106"/>
      <c r="AF350" s="93"/>
      <c r="AG350" s="108"/>
      <c r="AH350" s="108"/>
      <c r="AI350" s="108"/>
      <c r="AJ350" s="88" t="s">
        <v>1599</v>
      </c>
      <c r="AK350" s="126"/>
      <c r="AL350" s="126"/>
      <c r="AM350" s="1"/>
    </row>
    <row r="351" spans="1:39" ht="12.75" hidden="1" customHeight="1">
      <c r="A351" s="63">
        <v>82</v>
      </c>
      <c r="B351" s="103" t="s">
        <v>40</v>
      </c>
      <c r="C351" s="99" t="s">
        <v>2073</v>
      </c>
      <c r="D351" s="88" t="s">
        <v>2074</v>
      </c>
      <c r="E351" s="122"/>
      <c r="F351" s="122"/>
      <c r="G351" s="122"/>
      <c r="H351" s="122"/>
      <c r="I351" s="122"/>
      <c r="J351" s="122"/>
      <c r="K351" s="122"/>
      <c r="L351" s="122"/>
      <c r="M351" s="122"/>
      <c r="N351" s="122"/>
      <c r="O351" s="122"/>
      <c r="P351" s="122"/>
      <c r="Q351" s="122"/>
      <c r="R351" s="122"/>
      <c r="S351" s="122"/>
      <c r="T351" s="122"/>
      <c r="U351" s="113"/>
      <c r="V351" s="113"/>
      <c r="W351" s="113"/>
      <c r="X351" s="113"/>
      <c r="Y351" s="113"/>
      <c r="Z351" s="113"/>
      <c r="AA351" s="113"/>
      <c r="AB351" s="124">
        <v>136500000</v>
      </c>
      <c r="AC351" s="93"/>
      <c r="AD351" s="93"/>
      <c r="AE351" s="106"/>
      <c r="AF351" s="93"/>
      <c r="AG351" s="110"/>
      <c r="AH351" s="110"/>
      <c r="AI351" s="110"/>
      <c r="AJ351" s="100" t="s">
        <v>2075</v>
      </c>
      <c r="AK351" s="126"/>
      <c r="AL351" s="126"/>
      <c r="AM351" s="1"/>
    </row>
    <row r="352" spans="1:39" ht="12.75" hidden="1" customHeight="1">
      <c r="A352" s="63">
        <v>83</v>
      </c>
      <c r="B352" s="94" t="s">
        <v>30</v>
      </c>
      <c r="C352" s="99" t="s">
        <v>2076</v>
      </c>
      <c r="D352" s="88" t="s">
        <v>2077</v>
      </c>
      <c r="E352" s="122"/>
      <c r="F352" s="122"/>
      <c r="G352" s="122"/>
      <c r="H352" s="122"/>
      <c r="I352" s="122"/>
      <c r="J352" s="122"/>
      <c r="K352" s="122"/>
      <c r="L352" s="122"/>
      <c r="M352" s="122"/>
      <c r="N352" s="122"/>
      <c r="O352" s="122"/>
      <c r="P352" s="122"/>
      <c r="Q352" s="122"/>
      <c r="R352" s="122"/>
      <c r="S352" s="122"/>
      <c r="T352" s="122"/>
      <c r="U352" s="113"/>
      <c r="V352" s="113"/>
      <c r="W352" s="113"/>
      <c r="X352" s="113"/>
      <c r="Y352" s="113"/>
      <c r="Z352" s="113"/>
      <c r="AA352" s="113"/>
      <c r="AB352" s="124"/>
      <c r="AC352" s="93">
        <v>50000000</v>
      </c>
      <c r="AD352" s="93"/>
      <c r="AE352" s="106"/>
      <c r="AF352" s="93"/>
      <c r="AG352" s="93"/>
      <c r="AH352" s="93"/>
      <c r="AI352" s="93"/>
      <c r="AJ352" s="21" t="s">
        <v>2039</v>
      </c>
      <c r="AK352" s="126"/>
      <c r="AL352" s="126"/>
      <c r="AM352" s="1"/>
    </row>
    <row r="353" spans="1:39" ht="12.75" hidden="1" customHeight="1">
      <c r="A353" s="63">
        <v>84</v>
      </c>
      <c r="B353" s="103" t="s">
        <v>40</v>
      </c>
      <c r="C353" s="99" t="s">
        <v>2078</v>
      </c>
      <c r="D353" s="21" t="s">
        <v>2079</v>
      </c>
      <c r="E353" s="104"/>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v>120000000</v>
      </c>
      <c r="AD353" s="105"/>
      <c r="AE353" s="106"/>
      <c r="AF353" s="93"/>
      <c r="AG353" s="93"/>
      <c r="AH353" s="93"/>
      <c r="AI353" s="93"/>
      <c r="AJ353" s="21" t="s">
        <v>1556</v>
      </c>
      <c r="AK353" s="126"/>
      <c r="AL353" s="126"/>
      <c r="AM353" s="1"/>
    </row>
    <row r="354" spans="1:39" ht="12.75" hidden="1" customHeight="1">
      <c r="A354" s="63">
        <v>85</v>
      </c>
      <c r="B354" s="103" t="s">
        <v>40</v>
      </c>
      <c r="C354" s="99" t="s">
        <v>2078</v>
      </c>
      <c r="D354" s="21" t="s">
        <v>2080</v>
      </c>
      <c r="E354" s="104"/>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v>120000000</v>
      </c>
      <c r="AD354" s="105"/>
      <c r="AE354" s="106"/>
      <c r="AF354" s="93"/>
      <c r="AG354" s="93"/>
      <c r="AH354" s="93"/>
      <c r="AI354" s="93"/>
      <c r="AJ354" s="21" t="s">
        <v>1556</v>
      </c>
      <c r="AK354" s="126"/>
      <c r="AL354" s="126"/>
      <c r="AM354" s="1"/>
    </row>
    <row r="355" spans="1:39" ht="12.75" hidden="1" customHeight="1">
      <c r="A355" s="63">
        <v>86</v>
      </c>
      <c r="B355" s="103" t="s">
        <v>40</v>
      </c>
      <c r="C355" s="99" t="s">
        <v>2078</v>
      </c>
      <c r="D355" s="21" t="s">
        <v>2081</v>
      </c>
      <c r="E355" s="104"/>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v>635796000</v>
      </c>
      <c r="AD355" s="105"/>
      <c r="AE355" s="106"/>
      <c r="AF355" s="93"/>
      <c r="AG355" s="93"/>
      <c r="AH355" s="93"/>
      <c r="AI355" s="93"/>
      <c r="AJ355" s="21" t="s">
        <v>1556</v>
      </c>
      <c r="AK355" s="126"/>
      <c r="AL355" s="126"/>
      <c r="AM355" s="1"/>
    </row>
    <row r="356" spans="1:39" ht="12.75" hidden="1" customHeight="1">
      <c r="A356" s="63">
        <v>87</v>
      </c>
      <c r="B356" s="103" t="s">
        <v>40</v>
      </c>
      <c r="C356" s="99" t="s">
        <v>2078</v>
      </c>
      <c r="D356" s="21" t="s">
        <v>2082</v>
      </c>
      <c r="E356" s="104"/>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v>245049000</v>
      </c>
      <c r="AD356" s="105"/>
      <c r="AE356" s="106"/>
      <c r="AF356" s="93"/>
      <c r="AG356" s="93"/>
      <c r="AH356" s="93"/>
      <c r="AI356" s="93"/>
      <c r="AJ356" s="21" t="s">
        <v>1556</v>
      </c>
      <c r="AK356" s="126"/>
      <c r="AL356" s="126"/>
      <c r="AM356" s="1"/>
    </row>
    <row r="357" spans="1:39" ht="12.75" hidden="1" customHeight="1">
      <c r="A357" s="63">
        <v>88</v>
      </c>
      <c r="B357" s="103" t="s">
        <v>40</v>
      </c>
      <c r="C357" s="99" t="s">
        <v>2083</v>
      </c>
      <c r="D357" s="21" t="s">
        <v>2084</v>
      </c>
      <c r="E357" s="104"/>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v>17500000</v>
      </c>
      <c r="AD357" s="105"/>
      <c r="AE357" s="106"/>
      <c r="AF357" s="93"/>
      <c r="AG357" s="93"/>
      <c r="AH357" s="93"/>
      <c r="AI357" s="93"/>
      <c r="AJ357" s="21" t="s">
        <v>1556</v>
      </c>
      <c r="AK357" s="126"/>
      <c r="AL357" s="126"/>
      <c r="AM357" s="1"/>
    </row>
    <row r="358" spans="1:39" ht="12.75" hidden="1" customHeight="1">
      <c r="A358" s="63">
        <v>89</v>
      </c>
      <c r="B358" s="103" t="s">
        <v>40</v>
      </c>
      <c r="C358" s="99" t="s">
        <v>2083</v>
      </c>
      <c r="D358" s="21" t="s">
        <v>2085</v>
      </c>
      <c r="E358" s="104"/>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v>4900000</v>
      </c>
      <c r="AD358" s="105"/>
      <c r="AE358" s="106"/>
      <c r="AF358" s="93"/>
      <c r="AG358" s="93"/>
      <c r="AH358" s="93"/>
      <c r="AI358" s="93"/>
      <c r="AJ358" s="21" t="s">
        <v>1556</v>
      </c>
      <c r="AK358" s="126"/>
      <c r="AL358" s="126"/>
      <c r="AM358" s="1"/>
    </row>
    <row r="359" spans="1:39" ht="12.75" hidden="1" customHeight="1">
      <c r="A359" s="63">
        <v>90</v>
      </c>
      <c r="B359" s="103" t="s">
        <v>40</v>
      </c>
      <c r="C359" s="99" t="s">
        <v>2086</v>
      </c>
      <c r="D359" s="21" t="s">
        <v>2087</v>
      </c>
      <c r="E359" s="104"/>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v>38533000</v>
      </c>
      <c r="AE359" s="106"/>
      <c r="AF359" s="93"/>
      <c r="AG359" s="114"/>
      <c r="AH359" s="114"/>
      <c r="AI359" s="114"/>
      <c r="AJ359" s="130" t="s">
        <v>1556</v>
      </c>
      <c r="AK359" s="126"/>
      <c r="AL359" s="126"/>
      <c r="AM359" s="1"/>
    </row>
    <row r="360" spans="1:39" ht="12.75" hidden="1" customHeight="1">
      <c r="A360" s="63">
        <v>91</v>
      </c>
      <c r="B360" s="103" t="s">
        <v>40</v>
      </c>
      <c r="C360" s="99" t="s">
        <v>2086</v>
      </c>
      <c r="D360" s="21" t="s">
        <v>2088</v>
      </c>
      <c r="E360" s="104"/>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v>12555000</v>
      </c>
      <c r="AE360" s="106"/>
      <c r="AF360" s="93"/>
      <c r="AG360" s="114"/>
      <c r="AH360" s="114"/>
      <c r="AI360" s="114"/>
      <c r="AJ360" s="130" t="s">
        <v>1556</v>
      </c>
      <c r="AK360" s="126"/>
      <c r="AL360" s="126"/>
      <c r="AM360" s="1"/>
    </row>
    <row r="361" spans="1:39" ht="12.75" hidden="1" customHeight="1">
      <c r="A361" s="63">
        <v>92</v>
      </c>
      <c r="B361" s="103" t="s">
        <v>30</v>
      </c>
      <c r="C361" s="99" t="s">
        <v>2000</v>
      </c>
      <c r="D361" s="21" t="s">
        <v>2089</v>
      </c>
      <c r="E361" s="104"/>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11"/>
      <c r="AF361" s="93">
        <v>150000000</v>
      </c>
      <c r="AG361" s="114"/>
      <c r="AH361" s="114"/>
      <c r="AI361" s="114"/>
      <c r="AJ361" s="130" t="s">
        <v>34</v>
      </c>
      <c r="AK361" s="126"/>
      <c r="AL361" s="126"/>
      <c r="AM361" s="1"/>
    </row>
    <row r="362" spans="1:39" ht="12.75" hidden="1" customHeight="1">
      <c r="A362" s="63">
        <v>93</v>
      </c>
      <c r="B362" s="103" t="s">
        <v>30</v>
      </c>
      <c r="C362" s="99" t="s">
        <v>2008</v>
      </c>
      <c r="D362" s="21" t="s">
        <v>2090</v>
      </c>
      <c r="E362" s="104"/>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v>120312900</v>
      </c>
      <c r="AE362" s="93"/>
      <c r="AF362" s="93"/>
      <c r="AG362" s="114"/>
      <c r="AH362" s="114"/>
      <c r="AI362" s="114"/>
      <c r="AJ362" s="130" t="s">
        <v>1556</v>
      </c>
      <c r="AK362" s="126"/>
      <c r="AL362" s="126"/>
      <c r="AM362" s="1"/>
    </row>
    <row r="363" spans="1:39" ht="12.75" hidden="1" customHeight="1">
      <c r="A363" s="63">
        <v>94</v>
      </c>
      <c r="B363" s="103" t="s">
        <v>30</v>
      </c>
      <c r="C363" s="99" t="s">
        <v>2008</v>
      </c>
      <c r="D363" s="21" t="s">
        <v>2091</v>
      </c>
      <c r="E363" s="104"/>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11">
        <v>100000000</v>
      </c>
      <c r="AF363" s="93"/>
      <c r="AG363" s="114"/>
      <c r="AH363" s="114"/>
      <c r="AI363" s="114"/>
      <c r="AJ363" s="130" t="s">
        <v>34</v>
      </c>
      <c r="AK363" s="126"/>
      <c r="AL363" s="126"/>
      <c r="AM363" s="1"/>
    </row>
    <row r="364" spans="1:39" ht="12.75" hidden="1" customHeight="1">
      <c r="A364" s="63">
        <v>95</v>
      </c>
      <c r="B364" s="94" t="s">
        <v>40</v>
      </c>
      <c r="C364" s="21" t="s">
        <v>2092</v>
      </c>
      <c r="D364" s="21" t="s">
        <v>2093</v>
      </c>
      <c r="E364" s="93"/>
      <c r="F364" s="93"/>
      <c r="G364" s="93"/>
      <c r="H364" s="93"/>
      <c r="I364" s="93"/>
      <c r="J364" s="93"/>
      <c r="K364" s="93"/>
      <c r="L364" s="93"/>
      <c r="M364" s="93"/>
      <c r="N364" s="93"/>
      <c r="O364" s="93"/>
      <c r="P364" s="93"/>
      <c r="Q364" s="93"/>
      <c r="R364" s="93"/>
      <c r="S364" s="93"/>
      <c r="T364" s="93"/>
      <c r="U364" s="93"/>
      <c r="V364" s="93"/>
      <c r="W364" s="93"/>
      <c r="X364" s="93"/>
      <c r="Y364" s="93"/>
      <c r="Z364" s="93"/>
      <c r="AA364" s="93"/>
      <c r="AB364" s="93"/>
      <c r="AC364" s="93"/>
      <c r="AD364" s="93">
        <v>21237776</v>
      </c>
      <c r="AE364" s="93"/>
      <c r="AF364" s="93"/>
      <c r="AG364" s="114"/>
      <c r="AH364" s="114"/>
      <c r="AI364" s="114"/>
      <c r="AJ364" s="130" t="s">
        <v>1556</v>
      </c>
      <c r="AK364" s="126"/>
      <c r="AL364" s="126"/>
      <c r="AM364" s="1"/>
    </row>
    <row r="365" spans="1:39" ht="12.75" hidden="1" customHeight="1">
      <c r="A365" s="63">
        <v>96</v>
      </c>
      <c r="B365" s="94" t="s">
        <v>40</v>
      </c>
      <c r="C365" s="21" t="s">
        <v>598</v>
      </c>
      <c r="D365" s="21" t="s">
        <v>2027</v>
      </c>
      <c r="E365" s="93"/>
      <c r="F365" s="93"/>
      <c r="G365" s="93"/>
      <c r="H365" s="93"/>
      <c r="I365" s="93"/>
      <c r="J365" s="93"/>
      <c r="K365" s="93"/>
      <c r="L365" s="93"/>
      <c r="M365" s="93"/>
      <c r="N365" s="93"/>
      <c r="O365" s="93"/>
      <c r="P365" s="93"/>
      <c r="Q365" s="93"/>
      <c r="R365" s="93"/>
      <c r="S365" s="93"/>
      <c r="T365" s="93"/>
      <c r="U365" s="93"/>
      <c r="V365" s="93"/>
      <c r="W365" s="93"/>
      <c r="X365" s="93"/>
      <c r="Y365" s="93"/>
      <c r="Z365" s="93"/>
      <c r="AA365" s="93"/>
      <c r="AB365" s="93"/>
      <c r="AC365" s="93"/>
      <c r="AD365" s="93">
        <v>7800000</v>
      </c>
      <c r="AE365" s="93"/>
      <c r="AF365" s="93"/>
      <c r="AG365" s="114"/>
      <c r="AH365" s="114"/>
      <c r="AI365" s="114"/>
      <c r="AJ365" s="130" t="s">
        <v>1556</v>
      </c>
      <c r="AK365" s="126"/>
      <c r="AL365" s="126"/>
      <c r="AM365" s="1"/>
    </row>
    <row r="366" spans="1:39" ht="12.75" hidden="1" customHeight="1">
      <c r="A366" s="63">
        <v>97</v>
      </c>
      <c r="B366" s="94" t="s">
        <v>40</v>
      </c>
      <c r="C366" s="21" t="s">
        <v>2005</v>
      </c>
      <c r="D366" s="21" t="s">
        <v>2094</v>
      </c>
      <c r="E366" s="93"/>
      <c r="F366" s="93"/>
      <c r="G366" s="93"/>
      <c r="H366" s="93"/>
      <c r="I366" s="93"/>
      <c r="J366" s="93"/>
      <c r="K366" s="93"/>
      <c r="L366" s="93"/>
      <c r="M366" s="93"/>
      <c r="N366" s="93"/>
      <c r="O366" s="93"/>
      <c r="P366" s="93"/>
      <c r="Q366" s="93"/>
      <c r="R366" s="93"/>
      <c r="S366" s="93"/>
      <c r="T366" s="93"/>
      <c r="U366" s="93"/>
      <c r="V366" s="93"/>
      <c r="W366" s="93"/>
      <c r="X366" s="93"/>
      <c r="Y366" s="93"/>
      <c r="Z366" s="93"/>
      <c r="AA366" s="93"/>
      <c r="AB366" s="93"/>
      <c r="AC366" s="93"/>
      <c r="AD366" s="93">
        <v>21240000</v>
      </c>
      <c r="AE366" s="93"/>
      <c r="AF366" s="93"/>
      <c r="AG366" s="114"/>
      <c r="AH366" s="114"/>
      <c r="AI366" s="114"/>
      <c r="AJ366" s="130" t="s">
        <v>1556</v>
      </c>
      <c r="AK366" s="126"/>
      <c r="AL366" s="126"/>
      <c r="AM366" s="1"/>
    </row>
    <row r="367" spans="1:39" ht="12.75" hidden="1" customHeight="1">
      <c r="A367" s="63">
        <v>98</v>
      </c>
      <c r="B367" s="94" t="s">
        <v>40</v>
      </c>
      <c r="C367" s="21" t="s">
        <v>2095</v>
      </c>
      <c r="D367" s="21" t="s">
        <v>2096</v>
      </c>
      <c r="E367" s="93"/>
      <c r="F367" s="93"/>
      <c r="G367" s="93"/>
      <c r="H367" s="93"/>
      <c r="I367" s="93"/>
      <c r="J367" s="93"/>
      <c r="K367" s="93"/>
      <c r="L367" s="93"/>
      <c r="M367" s="93"/>
      <c r="N367" s="93"/>
      <c r="O367" s="93"/>
      <c r="P367" s="93"/>
      <c r="Q367" s="93"/>
      <c r="R367" s="93"/>
      <c r="S367" s="93"/>
      <c r="T367" s="93"/>
      <c r="U367" s="93"/>
      <c r="V367" s="93"/>
      <c r="W367" s="93"/>
      <c r="X367" s="93"/>
      <c r="Y367" s="93"/>
      <c r="Z367" s="93"/>
      <c r="AA367" s="93"/>
      <c r="AB367" s="93"/>
      <c r="AC367" s="93"/>
      <c r="AD367" s="93">
        <v>14100000</v>
      </c>
      <c r="AE367" s="93"/>
      <c r="AF367" s="93"/>
      <c r="AG367" s="114"/>
      <c r="AH367" s="114"/>
      <c r="AI367" s="114"/>
      <c r="AJ367" s="130" t="s">
        <v>1556</v>
      </c>
      <c r="AK367" s="126"/>
      <c r="AL367" s="126"/>
      <c r="AM367" s="1"/>
    </row>
    <row r="368" spans="1:39" ht="12.75" hidden="1" customHeight="1">
      <c r="A368" s="63">
        <v>99</v>
      </c>
      <c r="B368" s="94" t="s">
        <v>40</v>
      </c>
      <c r="C368" s="21" t="s">
        <v>598</v>
      </c>
      <c r="D368" s="21" t="s">
        <v>2097</v>
      </c>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c r="AC368" s="93"/>
      <c r="AD368" s="93">
        <v>14400000</v>
      </c>
      <c r="AE368" s="93"/>
      <c r="AF368" s="93"/>
      <c r="AG368" s="114"/>
      <c r="AH368" s="114"/>
      <c r="AI368" s="114"/>
      <c r="AJ368" s="130" t="s">
        <v>1556</v>
      </c>
      <c r="AK368" s="126"/>
      <c r="AL368" s="126"/>
      <c r="AM368" s="1"/>
    </row>
    <row r="369" spans="1:39" ht="12.75" hidden="1" customHeight="1">
      <c r="A369" s="63">
        <v>100</v>
      </c>
      <c r="B369" s="94" t="s">
        <v>40</v>
      </c>
      <c r="C369" s="21" t="s">
        <v>2098</v>
      </c>
      <c r="D369" s="21" t="s">
        <v>2099</v>
      </c>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v>5050200</v>
      </c>
      <c r="AE369" s="93"/>
      <c r="AF369" s="93"/>
      <c r="AG369" s="114"/>
      <c r="AH369" s="114"/>
      <c r="AI369" s="114"/>
      <c r="AJ369" s="130" t="s">
        <v>1556</v>
      </c>
      <c r="AK369" s="126"/>
      <c r="AL369" s="126"/>
      <c r="AM369" s="1"/>
    </row>
    <row r="370" spans="1:39" ht="12.75" hidden="1" customHeight="1">
      <c r="A370" s="63">
        <v>101</v>
      </c>
      <c r="B370" s="94" t="s">
        <v>40</v>
      </c>
      <c r="C370" s="21" t="s">
        <v>1976</v>
      </c>
      <c r="D370" s="21" t="s">
        <v>2100</v>
      </c>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v>4935000</v>
      </c>
      <c r="AE370" s="93"/>
      <c r="AF370" s="93"/>
      <c r="AG370" s="114"/>
      <c r="AH370" s="114"/>
      <c r="AI370" s="114"/>
      <c r="AJ370" s="130" t="s">
        <v>1556</v>
      </c>
      <c r="AK370" s="126"/>
      <c r="AL370" s="126"/>
      <c r="AM370" s="1"/>
    </row>
    <row r="371" spans="1:39" ht="12.75" hidden="1" customHeight="1">
      <c r="A371" s="63">
        <v>102</v>
      </c>
      <c r="B371" s="94" t="s">
        <v>40</v>
      </c>
      <c r="C371" s="21" t="s">
        <v>2101</v>
      </c>
      <c r="D371" s="21" t="s">
        <v>2102</v>
      </c>
      <c r="E371" s="113"/>
      <c r="F371" s="113"/>
      <c r="G371" s="113"/>
      <c r="H371" s="113"/>
      <c r="I371" s="113"/>
      <c r="J371" s="113"/>
      <c r="K371" s="113"/>
      <c r="L371" s="113"/>
      <c r="M371" s="113"/>
      <c r="N371" s="113"/>
      <c r="O371" s="113"/>
      <c r="P371" s="113"/>
      <c r="Q371" s="113"/>
      <c r="R371" s="113"/>
      <c r="S371" s="113"/>
      <c r="T371" s="113"/>
      <c r="U371" s="93"/>
      <c r="V371" s="93"/>
      <c r="W371" s="93"/>
      <c r="X371" s="93"/>
      <c r="Y371" s="93"/>
      <c r="Z371" s="93"/>
      <c r="AA371" s="93"/>
      <c r="AB371" s="93"/>
      <c r="AC371" s="93"/>
      <c r="AD371" s="93">
        <v>16960500</v>
      </c>
      <c r="AE371" s="93"/>
      <c r="AF371" s="93"/>
      <c r="AG371" s="114"/>
      <c r="AH371" s="114"/>
      <c r="AI371" s="114"/>
      <c r="AJ371" s="130" t="s">
        <v>1556</v>
      </c>
      <c r="AK371" s="126"/>
      <c r="AL371" s="126"/>
      <c r="AM371" s="1"/>
    </row>
    <row r="372" spans="1:39" ht="12.75" hidden="1" customHeight="1">
      <c r="A372" s="63">
        <v>103</v>
      </c>
      <c r="B372" s="94" t="s">
        <v>40</v>
      </c>
      <c r="C372" s="17" t="s">
        <v>2103</v>
      </c>
      <c r="D372" s="21" t="s">
        <v>2104</v>
      </c>
      <c r="E372" s="110"/>
      <c r="F372" s="110"/>
      <c r="G372" s="110"/>
      <c r="H372" s="110"/>
      <c r="I372" s="110"/>
      <c r="J372" s="110"/>
      <c r="K372" s="110"/>
      <c r="L372" s="110"/>
      <c r="M372" s="110"/>
      <c r="N372" s="110"/>
      <c r="O372" s="110"/>
      <c r="P372" s="110"/>
      <c r="Q372" s="110"/>
      <c r="R372" s="110"/>
      <c r="S372" s="110"/>
      <c r="T372" s="110"/>
      <c r="U372" s="93"/>
      <c r="V372" s="93"/>
      <c r="W372" s="93"/>
      <c r="X372" s="93"/>
      <c r="Y372" s="93"/>
      <c r="Z372" s="93"/>
      <c r="AA372" s="93"/>
      <c r="AB372" s="93"/>
      <c r="AC372" s="93"/>
      <c r="AD372" s="93"/>
      <c r="AE372" s="93">
        <v>10618888</v>
      </c>
      <c r="AF372" s="93"/>
      <c r="AG372" s="93"/>
      <c r="AH372" s="93"/>
      <c r="AI372" s="93"/>
      <c r="AJ372" s="34" t="s">
        <v>1556</v>
      </c>
      <c r="AK372" s="126"/>
      <c r="AL372" s="126"/>
      <c r="AM372" s="1"/>
    </row>
    <row r="373" spans="1:39" ht="12.75" hidden="1" customHeight="1">
      <c r="A373" s="63">
        <v>104</v>
      </c>
      <c r="B373" s="94" t="s">
        <v>40</v>
      </c>
      <c r="C373" s="17" t="s">
        <v>2105</v>
      </c>
      <c r="D373" s="21" t="s">
        <v>2106</v>
      </c>
      <c r="E373" s="110"/>
      <c r="F373" s="110"/>
      <c r="G373" s="110"/>
      <c r="H373" s="110"/>
      <c r="I373" s="110"/>
      <c r="J373" s="110"/>
      <c r="K373" s="110"/>
      <c r="L373" s="110"/>
      <c r="M373" s="110"/>
      <c r="N373" s="110"/>
      <c r="O373" s="110"/>
      <c r="P373" s="110"/>
      <c r="Q373" s="110"/>
      <c r="R373" s="110"/>
      <c r="S373" s="110"/>
      <c r="T373" s="110"/>
      <c r="U373" s="93"/>
      <c r="V373" s="93"/>
      <c r="W373" s="93"/>
      <c r="X373" s="93"/>
      <c r="Y373" s="93"/>
      <c r="Z373" s="93"/>
      <c r="AA373" s="93"/>
      <c r="AB373" s="93"/>
      <c r="AC373" s="93"/>
      <c r="AD373" s="93"/>
      <c r="AE373" s="93">
        <v>253778250</v>
      </c>
      <c r="AF373" s="93"/>
      <c r="AG373" s="93"/>
      <c r="AH373" s="93"/>
      <c r="AI373" s="93"/>
      <c r="AJ373" s="34" t="s">
        <v>1556</v>
      </c>
      <c r="AK373" s="126"/>
      <c r="AL373" s="126"/>
      <c r="AM373" s="1"/>
    </row>
    <row r="374" spans="1:39" ht="12.75" hidden="1" customHeight="1">
      <c r="A374" s="63">
        <v>105</v>
      </c>
      <c r="B374" s="94" t="s">
        <v>40</v>
      </c>
      <c r="C374" s="17" t="s">
        <v>1972</v>
      </c>
      <c r="D374" s="21" t="s">
        <v>2107</v>
      </c>
      <c r="E374" s="110"/>
      <c r="F374" s="110"/>
      <c r="G374" s="110"/>
      <c r="H374" s="110"/>
      <c r="I374" s="110"/>
      <c r="J374" s="110"/>
      <c r="K374" s="110"/>
      <c r="L374" s="110"/>
      <c r="M374" s="110"/>
      <c r="N374" s="110"/>
      <c r="O374" s="110"/>
      <c r="P374" s="110"/>
      <c r="Q374" s="110"/>
      <c r="R374" s="110"/>
      <c r="S374" s="110"/>
      <c r="T374" s="110"/>
      <c r="U374" s="93"/>
      <c r="V374" s="93"/>
      <c r="W374" s="93"/>
      <c r="X374" s="93"/>
      <c r="Y374" s="93"/>
      <c r="Z374" s="93"/>
      <c r="AA374" s="93"/>
      <c r="AB374" s="93"/>
      <c r="AC374" s="93"/>
      <c r="AD374" s="93"/>
      <c r="AE374" s="93">
        <v>81735000</v>
      </c>
      <c r="AF374" s="93"/>
      <c r="AG374" s="93"/>
      <c r="AH374" s="93"/>
      <c r="AI374" s="93"/>
      <c r="AJ374" s="34" t="s">
        <v>1556</v>
      </c>
      <c r="AK374" s="126"/>
      <c r="AL374" s="126"/>
      <c r="AM374" s="1"/>
    </row>
    <row r="375" spans="1:39" ht="12.75" hidden="1" customHeight="1">
      <c r="A375" s="63">
        <v>106</v>
      </c>
      <c r="B375" s="94" t="s">
        <v>40</v>
      </c>
      <c r="C375" s="17" t="s">
        <v>1988</v>
      </c>
      <c r="D375" s="21" t="s">
        <v>2108</v>
      </c>
      <c r="E375" s="110"/>
      <c r="F375" s="110"/>
      <c r="G375" s="110"/>
      <c r="H375" s="110"/>
      <c r="I375" s="110"/>
      <c r="J375" s="110"/>
      <c r="K375" s="110"/>
      <c r="L375" s="110"/>
      <c r="M375" s="110"/>
      <c r="N375" s="110"/>
      <c r="O375" s="110"/>
      <c r="P375" s="110"/>
      <c r="Q375" s="110"/>
      <c r="R375" s="110"/>
      <c r="S375" s="110"/>
      <c r="T375" s="110"/>
      <c r="U375" s="93"/>
      <c r="V375" s="93"/>
      <c r="W375" s="93"/>
      <c r="X375" s="93"/>
      <c r="Y375" s="93"/>
      <c r="Z375" s="93"/>
      <c r="AA375" s="93"/>
      <c r="AB375" s="93"/>
      <c r="AC375" s="93"/>
      <c r="AD375" s="93"/>
      <c r="AE375" s="93">
        <v>2931550</v>
      </c>
      <c r="AF375" s="93"/>
      <c r="AG375" s="93"/>
      <c r="AH375" s="93"/>
      <c r="AI375" s="93"/>
      <c r="AJ375" s="34" t="s">
        <v>1556</v>
      </c>
      <c r="AK375" s="126"/>
      <c r="AL375" s="126"/>
      <c r="AM375" s="1"/>
    </row>
    <row r="376" spans="1:39" ht="12.75" hidden="1" customHeight="1">
      <c r="A376" s="63">
        <v>107</v>
      </c>
      <c r="B376" s="94" t="s">
        <v>40</v>
      </c>
      <c r="C376" s="17" t="s">
        <v>2109</v>
      </c>
      <c r="D376" s="21" t="s">
        <v>2110</v>
      </c>
      <c r="E376" s="110"/>
      <c r="F376" s="110"/>
      <c r="G376" s="110"/>
      <c r="H376" s="110"/>
      <c r="I376" s="110"/>
      <c r="J376" s="110"/>
      <c r="K376" s="110"/>
      <c r="L376" s="110"/>
      <c r="M376" s="110"/>
      <c r="N376" s="110"/>
      <c r="O376" s="110"/>
      <c r="P376" s="110"/>
      <c r="Q376" s="110"/>
      <c r="R376" s="110"/>
      <c r="S376" s="110"/>
      <c r="T376" s="110"/>
      <c r="U376" s="93"/>
      <c r="V376" s="93"/>
      <c r="W376" s="93"/>
      <c r="X376" s="93"/>
      <c r="Y376" s="93"/>
      <c r="Z376" s="93"/>
      <c r="AA376" s="93"/>
      <c r="AB376" s="93"/>
      <c r="AC376" s="93"/>
      <c r="AD376" s="93"/>
      <c r="AE376" s="93">
        <v>75578580</v>
      </c>
      <c r="AF376" s="93"/>
      <c r="AG376" s="93"/>
      <c r="AH376" s="93"/>
      <c r="AI376" s="93"/>
      <c r="AJ376" s="34" t="s">
        <v>1556</v>
      </c>
      <c r="AK376" s="126"/>
      <c r="AL376" s="126"/>
      <c r="AM376" s="1"/>
    </row>
    <row r="377" spans="1:39" ht="12.75" hidden="1" customHeight="1">
      <c r="A377" s="63">
        <v>108</v>
      </c>
      <c r="B377" s="94" t="s">
        <v>40</v>
      </c>
      <c r="C377" s="17" t="s">
        <v>2000</v>
      </c>
      <c r="D377" s="21" t="s">
        <v>2111</v>
      </c>
      <c r="E377" s="110"/>
      <c r="F377" s="110"/>
      <c r="G377" s="110"/>
      <c r="H377" s="110"/>
      <c r="I377" s="110"/>
      <c r="J377" s="110"/>
      <c r="K377" s="110"/>
      <c r="L377" s="110"/>
      <c r="M377" s="110"/>
      <c r="N377" s="110"/>
      <c r="O377" s="110"/>
      <c r="P377" s="110"/>
      <c r="Q377" s="110"/>
      <c r="R377" s="110"/>
      <c r="S377" s="110"/>
      <c r="T377" s="110"/>
      <c r="U377" s="93"/>
      <c r="V377" s="93"/>
      <c r="W377" s="93"/>
      <c r="X377" s="93"/>
      <c r="Y377" s="93"/>
      <c r="Z377" s="93"/>
      <c r="AA377" s="93"/>
      <c r="AB377" s="93"/>
      <c r="AC377" s="93"/>
      <c r="AD377" s="93"/>
      <c r="AE377" s="93">
        <v>114792700</v>
      </c>
      <c r="AF377" s="93"/>
      <c r="AG377" s="93"/>
      <c r="AH377" s="93"/>
      <c r="AI377" s="93"/>
      <c r="AJ377" s="34" t="s">
        <v>1556</v>
      </c>
      <c r="AK377" s="126"/>
      <c r="AL377" s="126"/>
      <c r="AM377" s="1"/>
    </row>
    <row r="378" spans="1:39" ht="12.75" hidden="1" customHeight="1">
      <c r="A378" s="63">
        <v>109</v>
      </c>
      <c r="B378" s="94" t="s">
        <v>40</v>
      </c>
      <c r="C378" s="17" t="s">
        <v>697</v>
      </c>
      <c r="D378" s="21" t="s">
        <v>2112</v>
      </c>
      <c r="E378" s="110"/>
      <c r="F378" s="110"/>
      <c r="G378" s="110"/>
      <c r="H378" s="110"/>
      <c r="I378" s="110"/>
      <c r="J378" s="110"/>
      <c r="K378" s="110"/>
      <c r="L378" s="110"/>
      <c r="M378" s="110"/>
      <c r="N378" s="110"/>
      <c r="O378" s="110"/>
      <c r="P378" s="110"/>
      <c r="Q378" s="110"/>
      <c r="R378" s="110"/>
      <c r="S378" s="110"/>
      <c r="T378" s="110"/>
      <c r="U378" s="93"/>
      <c r="V378" s="93"/>
      <c r="W378" s="93"/>
      <c r="X378" s="93"/>
      <c r="Y378" s="93"/>
      <c r="Z378" s="93"/>
      <c r="AA378" s="93"/>
      <c r="AB378" s="93"/>
      <c r="AC378" s="93"/>
      <c r="AD378" s="93"/>
      <c r="AE378" s="93">
        <v>4924000</v>
      </c>
      <c r="AF378" s="93"/>
      <c r="AG378" s="93"/>
      <c r="AH378" s="93"/>
      <c r="AI378" s="93"/>
      <c r="AJ378" s="34" t="s">
        <v>1556</v>
      </c>
      <c r="AK378" s="126"/>
      <c r="AL378" s="126"/>
      <c r="AM378" s="1"/>
    </row>
    <row r="379" spans="1:39" ht="12.75" hidden="1" customHeight="1">
      <c r="A379" s="63">
        <v>110</v>
      </c>
      <c r="B379" s="94" t="s">
        <v>40</v>
      </c>
      <c r="C379" s="17" t="s">
        <v>2113</v>
      </c>
      <c r="D379" s="21" t="s">
        <v>2114</v>
      </c>
      <c r="E379" s="110"/>
      <c r="F379" s="110"/>
      <c r="G379" s="110"/>
      <c r="H379" s="110"/>
      <c r="I379" s="110"/>
      <c r="J379" s="110"/>
      <c r="K379" s="110"/>
      <c r="L379" s="110"/>
      <c r="M379" s="110"/>
      <c r="N379" s="110"/>
      <c r="O379" s="110"/>
      <c r="P379" s="110"/>
      <c r="Q379" s="110"/>
      <c r="R379" s="110"/>
      <c r="S379" s="110"/>
      <c r="T379" s="110"/>
      <c r="U379" s="93"/>
      <c r="V379" s="93"/>
      <c r="W379" s="93"/>
      <c r="X379" s="93"/>
      <c r="Y379" s="93"/>
      <c r="Z379" s="93"/>
      <c r="AA379" s="93"/>
      <c r="AB379" s="93"/>
      <c r="AC379" s="93"/>
      <c r="AD379" s="93"/>
      <c r="AE379" s="93">
        <v>20047500</v>
      </c>
      <c r="AF379" s="93"/>
      <c r="AG379" s="93"/>
      <c r="AH379" s="93"/>
      <c r="AI379" s="93"/>
      <c r="AJ379" s="34" t="s">
        <v>1556</v>
      </c>
      <c r="AK379" s="126"/>
      <c r="AL379" s="126"/>
      <c r="AM379" s="1"/>
    </row>
    <row r="380" spans="1:39" ht="12.75" hidden="1" customHeight="1">
      <c r="A380" s="63">
        <v>111</v>
      </c>
      <c r="B380" s="94" t="s">
        <v>40</v>
      </c>
      <c r="C380" s="17" t="s">
        <v>1979</v>
      </c>
      <c r="D380" s="21" t="s">
        <v>2115</v>
      </c>
      <c r="E380" s="110"/>
      <c r="F380" s="110"/>
      <c r="G380" s="110"/>
      <c r="H380" s="110"/>
      <c r="I380" s="110"/>
      <c r="J380" s="110"/>
      <c r="K380" s="110"/>
      <c r="L380" s="110"/>
      <c r="M380" s="110"/>
      <c r="N380" s="110"/>
      <c r="O380" s="110"/>
      <c r="P380" s="110"/>
      <c r="Q380" s="110"/>
      <c r="R380" s="110"/>
      <c r="S380" s="110"/>
      <c r="T380" s="110"/>
      <c r="U380" s="93"/>
      <c r="V380" s="93"/>
      <c r="W380" s="93"/>
      <c r="X380" s="93"/>
      <c r="Y380" s="93"/>
      <c r="Z380" s="93"/>
      <c r="AA380" s="93"/>
      <c r="AB380" s="93"/>
      <c r="AC380" s="93"/>
      <c r="AD380" s="93"/>
      <c r="AE380" s="93">
        <v>7098000</v>
      </c>
      <c r="AF380" s="93"/>
      <c r="AG380" s="93"/>
      <c r="AH380" s="93"/>
      <c r="AI380" s="93"/>
      <c r="AJ380" s="34" t="s">
        <v>1556</v>
      </c>
      <c r="AK380" s="126"/>
      <c r="AL380" s="126"/>
      <c r="AM380" s="1"/>
    </row>
    <row r="381" spans="1:39" ht="12.75" hidden="1" customHeight="1">
      <c r="A381" s="63">
        <v>112</v>
      </c>
      <c r="B381" s="94" t="s">
        <v>40</v>
      </c>
      <c r="C381" s="17" t="s">
        <v>2098</v>
      </c>
      <c r="D381" s="21" t="s">
        <v>2116</v>
      </c>
      <c r="E381" s="110"/>
      <c r="F381" s="110"/>
      <c r="G381" s="110"/>
      <c r="H381" s="110"/>
      <c r="I381" s="110"/>
      <c r="J381" s="110"/>
      <c r="K381" s="110"/>
      <c r="L381" s="110"/>
      <c r="M381" s="110"/>
      <c r="N381" s="110"/>
      <c r="O381" s="110"/>
      <c r="P381" s="110"/>
      <c r="Q381" s="110"/>
      <c r="R381" s="110"/>
      <c r="S381" s="110"/>
      <c r="T381" s="110"/>
      <c r="U381" s="93"/>
      <c r="V381" s="93"/>
      <c r="W381" s="93"/>
      <c r="X381" s="93"/>
      <c r="Y381" s="93"/>
      <c r="Z381" s="93"/>
      <c r="AA381" s="93"/>
      <c r="AB381" s="93"/>
      <c r="AC381" s="93"/>
      <c r="AD381" s="93"/>
      <c r="AE381" s="93">
        <v>6840000</v>
      </c>
      <c r="AF381" s="93"/>
      <c r="AG381" s="93"/>
      <c r="AH381" s="93"/>
      <c r="AI381" s="93"/>
      <c r="AJ381" s="34" t="s">
        <v>1556</v>
      </c>
      <c r="AK381" s="126"/>
      <c r="AL381" s="126"/>
      <c r="AM381" s="1"/>
    </row>
    <row r="382" spans="1:39" ht="12.75" hidden="1" customHeight="1">
      <c r="A382" s="63">
        <v>113</v>
      </c>
      <c r="B382" s="94" t="s">
        <v>40</v>
      </c>
      <c r="C382" s="17" t="s">
        <v>2117</v>
      </c>
      <c r="D382" s="21" t="s">
        <v>2118</v>
      </c>
      <c r="E382" s="110"/>
      <c r="F382" s="110"/>
      <c r="G382" s="110"/>
      <c r="H382" s="110"/>
      <c r="I382" s="110"/>
      <c r="J382" s="110"/>
      <c r="K382" s="110"/>
      <c r="L382" s="110"/>
      <c r="M382" s="110"/>
      <c r="N382" s="110"/>
      <c r="O382" s="110"/>
      <c r="P382" s="110"/>
      <c r="Q382" s="110"/>
      <c r="R382" s="110"/>
      <c r="S382" s="110"/>
      <c r="T382" s="110"/>
      <c r="U382" s="93"/>
      <c r="V382" s="93"/>
      <c r="W382" s="93"/>
      <c r="X382" s="93"/>
      <c r="Y382" s="93"/>
      <c r="Z382" s="93"/>
      <c r="AA382" s="93"/>
      <c r="AB382" s="93"/>
      <c r="AC382" s="93"/>
      <c r="AD382" s="93"/>
      <c r="AE382" s="93">
        <v>12275000</v>
      </c>
      <c r="AF382" s="93"/>
      <c r="AG382" s="93"/>
      <c r="AH382" s="93"/>
      <c r="AI382" s="93"/>
      <c r="AJ382" s="34" t="s">
        <v>1556</v>
      </c>
      <c r="AK382" s="126"/>
      <c r="AL382" s="126"/>
      <c r="AM382" s="1"/>
    </row>
    <row r="383" spans="1:39" ht="12.75" hidden="1" customHeight="1">
      <c r="A383" s="63">
        <v>114</v>
      </c>
      <c r="B383" s="94" t="s">
        <v>40</v>
      </c>
      <c r="C383" s="17" t="s">
        <v>2119</v>
      </c>
      <c r="D383" s="21" t="s">
        <v>2120</v>
      </c>
      <c r="E383" s="110"/>
      <c r="F383" s="110"/>
      <c r="G383" s="110"/>
      <c r="H383" s="110"/>
      <c r="I383" s="110"/>
      <c r="J383" s="110"/>
      <c r="K383" s="110"/>
      <c r="L383" s="110"/>
      <c r="M383" s="110"/>
      <c r="N383" s="110"/>
      <c r="O383" s="110"/>
      <c r="P383" s="110"/>
      <c r="Q383" s="110"/>
      <c r="R383" s="110"/>
      <c r="S383" s="110"/>
      <c r="T383" s="110"/>
      <c r="U383" s="93"/>
      <c r="V383" s="93"/>
      <c r="W383" s="93"/>
      <c r="X383" s="93"/>
      <c r="Y383" s="93"/>
      <c r="Z383" s="93"/>
      <c r="AA383" s="93"/>
      <c r="AB383" s="93"/>
      <c r="AC383" s="93"/>
      <c r="AD383" s="93"/>
      <c r="AE383" s="93">
        <v>21680000</v>
      </c>
      <c r="AF383" s="93"/>
      <c r="AG383" s="93"/>
      <c r="AH383" s="93"/>
      <c r="AI383" s="93"/>
      <c r="AJ383" s="34" t="s">
        <v>1556</v>
      </c>
      <c r="AK383" s="126"/>
      <c r="AL383" s="126"/>
      <c r="AM383" s="1"/>
    </row>
    <row r="384" spans="1:39" ht="12.75" hidden="1" customHeight="1">
      <c r="A384" s="63">
        <v>115</v>
      </c>
      <c r="B384" s="94" t="s">
        <v>40</v>
      </c>
      <c r="C384" s="17" t="s">
        <v>2054</v>
      </c>
      <c r="D384" s="21" t="s">
        <v>2121</v>
      </c>
      <c r="E384" s="110"/>
      <c r="F384" s="110"/>
      <c r="G384" s="110"/>
      <c r="H384" s="110"/>
      <c r="I384" s="110"/>
      <c r="J384" s="110"/>
      <c r="K384" s="110"/>
      <c r="L384" s="110"/>
      <c r="M384" s="110"/>
      <c r="N384" s="110"/>
      <c r="O384" s="110"/>
      <c r="P384" s="110"/>
      <c r="Q384" s="110"/>
      <c r="R384" s="110"/>
      <c r="S384" s="110"/>
      <c r="T384" s="110"/>
      <c r="U384" s="93"/>
      <c r="V384" s="93"/>
      <c r="W384" s="93"/>
      <c r="X384" s="93"/>
      <c r="Y384" s="93"/>
      <c r="Z384" s="93"/>
      <c r="AA384" s="93"/>
      <c r="AB384" s="93"/>
      <c r="AC384" s="93"/>
      <c r="AD384" s="93"/>
      <c r="AE384" s="93">
        <v>20000000</v>
      </c>
      <c r="AF384" s="93"/>
      <c r="AG384" s="93"/>
      <c r="AH384" s="93"/>
      <c r="AI384" s="93"/>
      <c r="AJ384" s="34" t="s">
        <v>1556</v>
      </c>
      <c r="AK384" s="126"/>
      <c r="AL384" s="126"/>
      <c r="AM384" s="1"/>
    </row>
    <row r="385" spans="1:39" ht="12.75" hidden="1" customHeight="1">
      <c r="A385" s="63">
        <v>116</v>
      </c>
      <c r="B385" s="94" t="s">
        <v>40</v>
      </c>
      <c r="C385" s="17" t="s">
        <v>2122</v>
      </c>
      <c r="D385" s="21" t="s">
        <v>2123</v>
      </c>
      <c r="E385" s="110"/>
      <c r="F385" s="110"/>
      <c r="G385" s="110"/>
      <c r="H385" s="110"/>
      <c r="I385" s="110"/>
      <c r="J385" s="110"/>
      <c r="K385" s="110"/>
      <c r="L385" s="110"/>
      <c r="M385" s="110"/>
      <c r="N385" s="110"/>
      <c r="O385" s="110"/>
      <c r="P385" s="110"/>
      <c r="Q385" s="110"/>
      <c r="R385" s="110"/>
      <c r="S385" s="110"/>
      <c r="T385" s="110"/>
      <c r="U385" s="93"/>
      <c r="V385" s="93"/>
      <c r="W385" s="93"/>
      <c r="X385" s="93"/>
      <c r="Y385" s="93"/>
      <c r="Z385" s="93"/>
      <c r="AA385" s="93"/>
      <c r="AB385" s="93"/>
      <c r="AC385" s="93"/>
      <c r="AD385" s="93"/>
      <c r="AE385" s="93">
        <v>164349000</v>
      </c>
      <c r="AF385" s="93"/>
      <c r="AG385" s="93"/>
      <c r="AH385" s="93"/>
      <c r="AI385" s="93"/>
      <c r="AJ385" s="34" t="s">
        <v>1556</v>
      </c>
      <c r="AK385" s="126"/>
      <c r="AL385" s="126"/>
      <c r="AM385" s="1"/>
    </row>
    <row r="386" spans="1:39" ht="12.75" hidden="1" customHeight="1">
      <c r="A386" s="63">
        <v>117</v>
      </c>
      <c r="B386" s="94" t="s">
        <v>40</v>
      </c>
      <c r="C386" s="17" t="s">
        <v>2122</v>
      </c>
      <c r="D386" s="21" t="s">
        <v>2124</v>
      </c>
      <c r="E386" s="110"/>
      <c r="F386" s="110"/>
      <c r="G386" s="110"/>
      <c r="H386" s="110"/>
      <c r="I386" s="110"/>
      <c r="J386" s="110"/>
      <c r="K386" s="110"/>
      <c r="L386" s="110"/>
      <c r="M386" s="110"/>
      <c r="N386" s="110"/>
      <c r="O386" s="110"/>
      <c r="P386" s="110"/>
      <c r="Q386" s="110"/>
      <c r="R386" s="110"/>
      <c r="S386" s="110"/>
      <c r="T386" s="110"/>
      <c r="U386" s="93"/>
      <c r="V386" s="93"/>
      <c r="W386" s="93"/>
      <c r="X386" s="93"/>
      <c r="Y386" s="93"/>
      <c r="Z386" s="93"/>
      <c r="AA386" s="93"/>
      <c r="AB386" s="93"/>
      <c r="AC386" s="93"/>
      <c r="AD386" s="93"/>
      <c r="AE386" s="93">
        <v>23867000</v>
      </c>
      <c r="AF386" s="93"/>
      <c r="AG386" s="93"/>
      <c r="AH386" s="93"/>
      <c r="AI386" s="93"/>
      <c r="AJ386" s="34" t="s">
        <v>1556</v>
      </c>
      <c r="AK386" s="126"/>
      <c r="AL386" s="126"/>
      <c r="AM386" s="1"/>
    </row>
    <row r="387" spans="1:39" ht="12.75" hidden="1" customHeight="1">
      <c r="A387" s="63">
        <v>118</v>
      </c>
      <c r="B387" s="94" t="s">
        <v>40</v>
      </c>
      <c r="C387" s="17" t="s">
        <v>2122</v>
      </c>
      <c r="D387" s="21" t="s">
        <v>2124</v>
      </c>
      <c r="E387" s="110"/>
      <c r="F387" s="110"/>
      <c r="G387" s="110"/>
      <c r="H387" s="110"/>
      <c r="I387" s="110"/>
      <c r="J387" s="110"/>
      <c r="K387" s="110"/>
      <c r="L387" s="110"/>
      <c r="M387" s="110"/>
      <c r="N387" s="110"/>
      <c r="O387" s="110"/>
      <c r="P387" s="110"/>
      <c r="Q387" s="110"/>
      <c r="R387" s="110"/>
      <c r="S387" s="110"/>
      <c r="T387" s="110"/>
      <c r="U387" s="93"/>
      <c r="V387" s="93"/>
      <c r="W387" s="93"/>
      <c r="X387" s="93"/>
      <c r="Y387" s="93"/>
      <c r="Z387" s="93"/>
      <c r="AA387" s="93"/>
      <c r="AB387" s="93"/>
      <c r="AC387" s="93"/>
      <c r="AD387" s="93"/>
      <c r="AE387" s="93">
        <v>25506000</v>
      </c>
      <c r="AF387" s="93"/>
      <c r="AG387" s="93"/>
      <c r="AH387" s="93"/>
      <c r="AI387" s="93"/>
      <c r="AJ387" s="34" t="s">
        <v>1556</v>
      </c>
      <c r="AK387" s="126"/>
      <c r="AL387" s="126"/>
      <c r="AM387" s="1"/>
    </row>
    <row r="388" spans="1:39" ht="12.75" hidden="1" customHeight="1">
      <c r="A388" s="63">
        <v>119</v>
      </c>
      <c r="B388" s="94" t="s">
        <v>40</v>
      </c>
      <c r="C388" s="17" t="s">
        <v>2122</v>
      </c>
      <c r="D388" s="21" t="s">
        <v>2125</v>
      </c>
      <c r="E388" s="110"/>
      <c r="F388" s="110"/>
      <c r="G388" s="110"/>
      <c r="H388" s="110"/>
      <c r="I388" s="110"/>
      <c r="J388" s="110"/>
      <c r="K388" s="110"/>
      <c r="L388" s="110"/>
      <c r="M388" s="110"/>
      <c r="N388" s="110"/>
      <c r="O388" s="110"/>
      <c r="P388" s="110"/>
      <c r="Q388" s="110"/>
      <c r="R388" s="110"/>
      <c r="S388" s="110"/>
      <c r="T388" s="110"/>
      <c r="U388" s="93"/>
      <c r="V388" s="93"/>
      <c r="W388" s="93"/>
      <c r="X388" s="93"/>
      <c r="Y388" s="93"/>
      <c r="Z388" s="93"/>
      <c r="AA388" s="93"/>
      <c r="AB388" s="93"/>
      <c r="AC388" s="93"/>
      <c r="AD388" s="93"/>
      <c r="AE388" s="93">
        <v>112574000</v>
      </c>
      <c r="AF388" s="93"/>
      <c r="AG388" s="93"/>
      <c r="AH388" s="93"/>
      <c r="AI388" s="93"/>
      <c r="AJ388" s="34" t="s">
        <v>1556</v>
      </c>
      <c r="AK388" s="126"/>
      <c r="AL388" s="126"/>
      <c r="AM388" s="1"/>
    </row>
    <row r="389" spans="1:39" ht="12.75" hidden="1" customHeight="1">
      <c r="A389" s="63">
        <v>120</v>
      </c>
      <c r="B389" s="94" t="s">
        <v>40</v>
      </c>
      <c r="C389" s="17" t="s">
        <v>2122</v>
      </c>
      <c r="D389" s="21" t="s">
        <v>2125</v>
      </c>
      <c r="E389" s="110"/>
      <c r="F389" s="110"/>
      <c r="G389" s="110"/>
      <c r="H389" s="110"/>
      <c r="I389" s="110"/>
      <c r="J389" s="110"/>
      <c r="K389" s="110"/>
      <c r="L389" s="110"/>
      <c r="M389" s="110"/>
      <c r="N389" s="110"/>
      <c r="O389" s="110"/>
      <c r="P389" s="110"/>
      <c r="Q389" s="110"/>
      <c r="R389" s="110"/>
      <c r="S389" s="110"/>
      <c r="T389" s="110"/>
      <c r="U389" s="93"/>
      <c r="V389" s="93"/>
      <c r="W389" s="93"/>
      <c r="X389" s="93"/>
      <c r="Y389" s="93"/>
      <c r="Z389" s="93"/>
      <c r="AA389" s="93"/>
      <c r="AB389" s="93"/>
      <c r="AC389" s="93"/>
      <c r="AD389" s="93"/>
      <c r="AE389" s="93">
        <v>13767000</v>
      </c>
      <c r="AF389" s="93"/>
      <c r="AG389" s="93"/>
      <c r="AH389" s="93"/>
      <c r="AI389" s="93"/>
      <c r="AJ389" s="34" t="s">
        <v>1556</v>
      </c>
      <c r="AK389" s="126"/>
      <c r="AL389" s="126"/>
      <c r="AM389" s="1"/>
    </row>
    <row r="390" spans="1:39" ht="12.75" hidden="1" customHeight="1">
      <c r="A390" s="63">
        <v>121</v>
      </c>
      <c r="B390" s="94" t="s">
        <v>40</v>
      </c>
      <c r="C390" s="17" t="s">
        <v>2122</v>
      </c>
      <c r="D390" s="21" t="s">
        <v>2125</v>
      </c>
      <c r="E390" s="110"/>
      <c r="F390" s="110"/>
      <c r="G390" s="110"/>
      <c r="H390" s="110"/>
      <c r="I390" s="110"/>
      <c r="J390" s="110"/>
      <c r="K390" s="110"/>
      <c r="L390" s="110"/>
      <c r="M390" s="110"/>
      <c r="N390" s="110"/>
      <c r="O390" s="110"/>
      <c r="P390" s="110"/>
      <c r="Q390" s="110"/>
      <c r="R390" s="110"/>
      <c r="S390" s="110"/>
      <c r="T390" s="110"/>
      <c r="U390" s="93"/>
      <c r="V390" s="93"/>
      <c r="W390" s="93"/>
      <c r="X390" s="93"/>
      <c r="Y390" s="93"/>
      <c r="Z390" s="93"/>
      <c r="AA390" s="93"/>
      <c r="AB390" s="93"/>
      <c r="AC390" s="93"/>
      <c r="AD390" s="93"/>
      <c r="AE390" s="93">
        <v>185000</v>
      </c>
      <c r="AF390" s="93"/>
      <c r="AG390" s="93"/>
      <c r="AH390" s="93"/>
      <c r="AI390" s="93"/>
      <c r="AJ390" s="34" t="s">
        <v>1556</v>
      </c>
      <c r="AK390" s="126"/>
      <c r="AL390" s="126"/>
      <c r="AM390" s="1"/>
    </row>
    <row r="391" spans="1:39" ht="12.75" customHeight="1">
      <c r="A391" s="63">
        <v>122</v>
      </c>
      <c r="B391" s="94" t="s">
        <v>27</v>
      </c>
      <c r="C391" s="21" t="s">
        <v>2126</v>
      </c>
      <c r="D391" s="21" t="s">
        <v>2127</v>
      </c>
      <c r="E391" s="110"/>
      <c r="F391" s="110"/>
      <c r="G391" s="110"/>
      <c r="H391" s="110"/>
      <c r="I391" s="110"/>
      <c r="J391" s="110"/>
      <c r="K391" s="110"/>
      <c r="L391" s="110"/>
      <c r="M391" s="110"/>
      <c r="N391" s="110"/>
      <c r="O391" s="110"/>
      <c r="P391" s="110"/>
      <c r="Q391" s="110"/>
      <c r="R391" s="110"/>
      <c r="S391" s="110"/>
      <c r="T391" s="110"/>
      <c r="U391" s="93"/>
      <c r="V391" s="93"/>
      <c r="W391" s="93"/>
      <c r="X391" s="93"/>
      <c r="Y391" s="93"/>
      <c r="Z391" s="93"/>
      <c r="AA391" s="93"/>
      <c r="AB391" s="93"/>
      <c r="AC391" s="93"/>
      <c r="AD391" s="93"/>
      <c r="AE391" s="93"/>
      <c r="AF391" s="93">
        <v>50000000</v>
      </c>
      <c r="AG391" s="93"/>
      <c r="AH391" s="93"/>
      <c r="AI391" s="93"/>
      <c r="AJ391" s="34" t="s">
        <v>34</v>
      </c>
      <c r="AK391" s="126"/>
      <c r="AL391" s="126"/>
      <c r="AM391" s="1"/>
    </row>
    <row r="392" spans="1:39" ht="12.75" customHeight="1">
      <c r="A392" s="63">
        <v>123</v>
      </c>
      <c r="B392" s="103" t="s">
        <v>27</v>
      </c>
      <c r="C392" s="88" t="s">
        <v>2122</v>
      </c>
      <c r="D392" s="21" t="s">
        <v>2128</v>
      </c>
      <c r="E392" s="110"/>
      <c r="F392" s="110"/>
      <c r="G392" s="110"/>
      <c r="H392" s="110"/>
      <c r="I392" s="110"/>
      <c r="J392" s="110"/>
      <c r="K392" s="110"/>
      <c r="L392" s="110"/>
      <c r="M392" s="110"/>
      <c r="N392" s="110"/>
      <c r="O392" s="110"/>
      <c r="P392" s="110"/>
      <c r="Q392" s="110"/>
      <c r="R392" s="110"/>
      <c r="S392" s="110"/>
      <c r="T392" s="110"/>
      <c r="U392" s="93"/>
      <c r="V392" s="93"/>
      <c r="W392" s="93"/>
      <c r="X392" s="93"/>
      <c r="Y392" s="93"/>
      <c r="Z392" s="93"/>
      <c r="AA392" s="93"/>
      <c r="AB392" s="93"/>
      <c r="AC392" s="93"/>
      <c r="AD392" s="93"/>
      <c r="AE392" s="93"/>
      <c r="AF392" s="93"/>
      <c r="AG392" s="108">
        <v>280000000</v>
      </c>
      <c r="AH392" s="93"/>
      <c r="AI392" s="93"/>
      <c r="AJ392" s="21" t="s">
        <v>2039</v>
      </c>
      <c r="AK392" s="126"/>
      <c r="AL392" s="126"/>
      <c r="AM392" s="1"/>
    </row>
    <row r="393" spans="1:39" ht="12.75" customHeight="1">
      <c r="A393" s="63">
        <v>124</v>
      </c>
      <c r="B393" s="94" t="s">
        <v>27</v>
      </c>
      <c r="C393" s="21" t="s">
        <v>2098</v>
      </c>
      <c r="D393" s="21" t="s">
        <v>2129</v>
      </c>
      <c r="E393" s="110"/>
      <c r="F393" s="110"/>
      <c r="G393" s="110"/>
      <c r="H393" s="110"/>
      <c r="I393" s="110"/>
      <c r="J393" s="110"/>
      <c r="K393" s="110"/>
      <c r="L393" s="110"/>
      <c r="M393" s="110"/>
      <c r="N393" s="110"/>
      <c r="O393" s="110"/>
      <c r="P393" s="110"/>
      <c r="Q393" s="110"/>
      <c r="R393" s="110"/>
      <c r="S393" s="110"/>
      <c r="T393" s="110"/>
      <c r="U393" s="93"/>
      <c r="V393" s="93"/>
      <c r="W393" s="93"/>
      <c r="X393" s="93"/>
      <c r="Y393" s="93"/>
      <c r="Z393" s="93"/>
      <c r="AA393" s="93"/>
      <c r="AB393" s="93"/>
      <c r="AC393" s="93"/>
      <c r="AD393" s="93"/>
      <c r="AE393" s="93"/>
      <c r="AF393" s="93"/>
      <c r="AG393" s="93">
        <v>20000000</v>
      </c>
      <c r="AH393" s="93"/>
      <c r="AI393" s="93"/>
      <c r="AJ393" s="21" t="s">
        <v>34</v>
      </c>
      <c r="AK393" s="126"/>
      <c r="AL393" s="126"/>
      <c r="AM393" s="1"/>
    </row>
    <row r="394" spans="1:39" ht="12.75" customHeight="1">
      <c r="A394" s="63">
        <v>125</v>
      </c>
      <c r="B394" s="94" t="s">
        <v>27</v>
      </c>
      <c r="C394" s="21" t="s">
        <v>2122</v>
      </c>
      <c r="D394" s="21" t="s">
        <v>2130</v>
      </c>
      <c r="E394" s="110"/>
      <c r="F394" s="110"/>
      <c r="G394" s="110"/>
      <c r="H394" s="110"/>
      <c r="I394" s="110"/>
      <c r="J394" s="110"/>
      <c r="K394" s="110"/>
      <c r="L394" s="110"/>
      <c r="M394" s="110"/>
      <c r="N394" s="110"/>
      <c r="O394" s="110"/>
      <c r="P394" s="110"/>
      <c r="Q394" s="110"/>
      <c r="R394" s="110"/>
      <c r="S394" s="110"/>
      <c r="T394" s="110"/>
      <c r="U394" s="93"/>
      <c r="V394" s="93"/>
      <c r="W394" s="93"/>
      <c r="X394" s="93"/>
      <c r="Y394" s="93"/>
      <c r="Z394" s="93"/>
      <c r="AA394" s="93"/>
      <c r="AB394" s="93"/>
      <c r="AC394" s="93"/>
      <c r="AD394" s="93"/>
      <c r="AE394" s="93"/>
      <c r="AF394" s="93"/>
      <c r="AG394" s="93">
        <v>490000000</v>
      </c>
      <c r="AH394" s="93"/>
      <c r="AI394" s="93"/>
      <c r="AJ394" s="21" t="s">
        <v>34</v>
      </c>
      <c r="AK394" s="126"/>
      <c r="AL394" s="126"/>
      <c r="AM394" s="1"/>
    </row>
    <row r="395" spans="1:39" ht="12.75" customHeight="1">
      <c r="A395" s="63">
        <v>126</v>
      </c>
      <c r="B395" s="94" t="s">
        <v>27</v>
      </c>
      <c r="C395" s="21" t="s">
        <v>2122</v>
      </c>
      <c r="D395" s="21" t="s">
        <v>2131</v>
      </c>
      <c r="E395" s="110"/>
      <c r="F395" s="110"/>
      <c r="G395" s="110"/>
      <c r="H395" s="110"/>
      <c r="I395" s="110"/>
      <c r="J395" s="110"/>
      <c r="K395" s="110"/>
      <c r="L395" s="110"/>
      <c r="M395" s="110"/>
      <c r="N395" s="110"/>
      <c r="O395" s="110"/>
      <c r="P395" s="110"/>
      <c r="Q395" s="110"/>
      <c r="R395" s="110"/>
      <c r="S395" s="110"/>
      <c r="T395" s="110"/>
      <c r="U395" s="93"/>
      <c r="V395" s="93"/>
      <c r="W395" s="93"/>
      <c r="X395" s="93"/>
      <c r="Y395" s="93"/>
      <c r="Z395" s="93"/>
      <c r="AA395" s="93"/>
      <c r="AB395" s="93"/>
      <c r="AC395" s="93"/>
      <c r="AD395" s="93"/>
      <c r="AE395" s="93"/>
      <c r="AF395" s="93"/>
      <c r="AG395" s="93">
        <v>150000000</v>
      </c>
      <c r="AH395" s="93"/>
      <c r="AI395" s="93"/>
      <c r="AJ395" s="21" t="s">
        <v>34</v>
      </c>
      <c r="AK395" s="126"/>
      <c r="AL395" s="126"/>
      <c r="AM395" s="1"/>
    </row>
    <row r="396" spans="1:39" ht="12.75" customHeight="1">
      <c r="A396" s="63">
        <v>127</v>
      </c>
      <c r="B396" s="94" t="s">
        <v>27</v>
      </c>
      <c r="C396" s="21" t="s">
        <v>1972</v>
      </c>
      <c r="D396" s="21" t="s">
        <v>2132</v>
      </c>
      <c r="E396" s="110"/>
      <c r="F396" s="110"/>
      <c r="G396" s="110"/>
      <c r="H396" s="110"/>
      <c r="I396" s="110"/>
      <c r="J396" s="110"/>
      <c r="K396" s="110"/>
      <c r="L396" s="110"/>
      <c r="M396" s="110"/>
      <c r="N396" s="110"/>
      <c r="O396" s="110"/>
      <c r="P396" s="110"/>
      <c r="Q396" s="110"/>
      <c r="R396" s="110"/>
      <c r="S396" s="110"/>
      <c r="T396" s="110"/>
      <c r="U396" s="93"/>
      <c r="V396" s="93"/>
      <c r="W396" s="93"/>
      <c r="X396" s="93"/>
      <c r="Y396" s="93"/>
      <c r="Z396" s="93"/>
      <c r="AA396" s="93"/>
      <c r="AB396" s="93"/>
      <c r="AC396" s="93"/>
      <c r="AD396" s="93"/>
      <c r="AE396" s="93"/>
      <c r="AF396" s="93"/>
      <c r="AG396" s="93">
        <v>340000000</v>
      </c>
      <c r="AH396" s="93"/>
      <c r="AI396" s="93"/>
      <c r="AJ396" s="21" t="s">
        <v>34</v>
      </c>
      <c r="AK396" s="126"/>
      <c r="AL396" s="126"/>
      <c r="AM396" s="1"/>
    </row>
    <row r="397" spans="1:39" ht="12.75" customHeight="1">
      <c r="A397" s="63">
        <v>128</v>
      </c>
      <c r="B397" s="94" t="s">
        <v>27</v>
      </c>
      <c r="C397" s="21" t="s">
        <v>2133</v>
      </c>
      <c r="D397" s="21" t="s">
        <v>2134</v>
      </c>
      <c r="E397" s="110"/>
      <c r="F397" s="110"/>
      <c r="G397" s="110"/>
      <c r="H397" s="110"/>
      <c r="I397" s="110"/>
      <c r="J397" s="110"/>
      <c r="K397" s="110"/>
      <c r="L397" s="110"/>
      <c r="M397" s="110"/>
      <c r="N397" s="110"/>
      <c r="O397" s="110"/>
      <c r="P397" s="110"/>
      <c r="Q397" s="110"/>
      <c r="R397" s="110"/>
      <c r="S397" s="110"/>
      <c r="T397" s="110"/>
      <c r="U397" s="93"/>
      <c r="V397" s="93"/>
      <c r="W397" s="93"/>
      <c r="X397" s="93"/>
      <c r="Y397" s="93"/>
      <c r="Z397" s="93"/>
      <c r="AA397" s="93"/>
      <c r="AB397" s="93"/>
      <c r="AC397" s="93"/>
      <c r="AD397" s="93"/>
      <c r="AE397" s="93"/>
      <c r="AF397" s="93"/>
      <c r="AG397" s="93"/>
      <c r="AH397" s="93"/>
      <c r="AI397" s="93">
        <v>300000000</v>
      </c>
      <c r="AJ397" s="21" t="s">
        <v>34</v>
      </c>
      <c r="AK397" s="126"/>
      <c r="AL397" s="126"/>
      <c r="AM397" s="1"/>
    </row>
    <row r="398" spans="1:39" ht="12.75" customHeight="1">
      <c r="A398" s="63">
        <v>129</v>
      </c>
      <c r="B398" s="94" t="s">
        <v>27</v>
      </c>
      <c r="C398" s="21" t="s">
        <v>1991</v>
      </c>
      <c r="D398" s="21" t="s">
        <v>2135</v>
      </c>
      <c r="E398" s="110"/>
      <c r="F398" s="110"/>
      <c r="G398" s="110"/>
      <c r="H398" s="110"/>
      <c r="I398" s="110"/>
      <c r="J398" s="110"/>
      <c r="K398" s="110"/>
      <c r="L398" s="110"/>
      <c r="M398" s="110"/>
      <c r="N398" s="110"/>
      <c r="O398" s="110"/>
      <c r="P398" s="110"/>
      <c r="Q398" s="110"/>
      <c r="R398" s="110"/>
      <c r="S398" s="110"/>
      <c r="T398" s="110"/>
      <c r="U398" s="93"/>
      <c r="V398" s="93"/>
      <c r="W398" s="93"/>
      <c r="X398" s="93"/>
      <c r="Y398" s="93"/>
      <c r="Z398" s="93"/>
      <c r="AA398" s="93"/>
      <c r="AB398" s="93"/>
      <c r="AC398" s="93"/>
      <c r="AD398" s="93"/>
      <c r="AE398" s="93"/>
      <c r="AF398" s="93"/>
      <c r="AG398" s="93">
        <v>80000000</v>
      </c>
      <c r="AH398" s="93"/>
      <c r="AI398" s="57"/>
      <c r="AJ398" s="57" t="s">
        <v>34</v>
      </c>
      <c r="AK398" s="126"/>
      <c r="AL398" s="126"/>
      <c r="AM398" s="1"/>
    </row>
    <row r="399" spans="1:39" ht="12.75" customHeight="1">
      <c r="A399" s="63">
        <v>130</v>
      </c>
      <c r="B399" s="94" t="s">
        <v>27</v>
      </c>
      <c r="C399" s="21" t="s">
        <v>2136</v>
      </c>
      <c r="D399" s="21" t="s">
        <v>2137</v>
      </c>
      <c r="E399" s="110"/>
      <c r="F399" s="110"/>
      <c r="G399" s="110"/>
      <c r="H399" s="110"/>
      <c r="I399" s="110"/>
      <c r="J399" s="110"/>
      <c r="K399" s="110"/>
      <c r="L399" s="110"/>
      <c r="M399" s="110"/>
      <c r="N399" s="110"/>
      <c r="O399" s="110"/>
      <c r="P399" s="110"/>
      <c r="Q399" s="110"/>
      <c r="R399" s="110"/>
      <c r="S399" s="110"/>
      <c r="T399" s="110"/>
      <c r="U399" s="93"/>
      <c r="V399" s="93"/>
      <c r="W399" s="93"/>
      <c r="X399" s="93"/>
      <c r="Y399" s="93"/>
      <c r="Z399" s="93"/>
      <c r="AA399" s="93"/>
      <c r="AB399" s="93"/>
      <c r="AC399" s="93"/>
      <c r="AD399" s="93"/>
      <c r="AE399" s="93"/>
      <c r="AF399" s="93"/>
      <c r="AG399" s="93"/>
      <c r="AH399" s="93">
        <v>70000000</v>
      </c>
      <c r="AI399" s="93"/>
      <c r="AJ399" s="57" t="s">
        <v>34</v>
      </c>
      <c r="AK399" s="126"/>
      <c r="AL399" s="126"/>
      <c r="AM399" s="1"/>
    </row>
    <row r="400" spans="1:39" ht="12.75" customHeight="1">
      <c r="A400" s="63">
        <v>131</v>
      </c>
      <c r="B400" s="94" t="s">
        <v>27</v>
      </c>
      <c r="C400" s="21" t="s">
        <v>2000</v>
      </c>
      <c r="D400" s="21" t="s">
        <v>2138</v>
      </c>
      <c r="E400" s="110"/>
      <c r="F400" s="110"/>
      <c r="G400" s="110"/>
      <c r="H400" s="110"/>
      <c r="I400" s="110"/>
      <c r="J400" s="110"/>
      <c r="K400" s="110"/>
      <c r="L400" s="110"/>
      <c r="M400" s="110"/>
      <c r="N400" s="110"/>
      <c r="O400" s="110"/>
      <c r="P400" s="110"/>
      <c r="Q400" s="110"/>
      <c r="R400" s="110"/>
      <c r="S400" s="110"/>
      <c r="T400" s="110"/>
      <c r="U400" s="93"/>
      <c r="V400" s="93"/>
      <c r="W400" s="93"/>
      <c r="X400" s="93"/>
      <c r="Y400" s="93"/>
      <c r="Z400" s="93"/>
      <c r="AA400" s="93"/>
      <c r="AB400" s="93"/>
      <c r="AC400" s="93"/>
      <c r="AD400" s="93"/>
      <c r="AE400" s="93"/>
      <c r="AF400" s="93"/>
      <c r="AG400" s="93">
        <v>20000000</v>
      </c>
      <c r="AH400" s="93"/>
      <c r="AI400" s="93"/>
      <c r="AJ400" s="57" t="s">
        <v>34</v>
      </c>
      <c r="AK400" s="126"/>
      <c r="AL400" s="126"/>
      <c r="AM400" s="1"/>
    </row>
    <row r="401" spans="1:39" ht="12.75" customHeight="1">
      <c r="A401" s="131">
        <v>1</v>
      </c>
      <c r="B401" s="132" t="s">
        <v>27</v>
      </c>
      <c r="C401" s="133" t="s">
        <v>2139</v>
      </c>
      <c r="D401" s="21" t="s">
        <v>2140</v>
      </c>
      <c r="E401" s="116"/>
      <c r="F401" s="116"/>
      <c r="G401" s="116"/>
      <c r="H401" s="116"/>
      <c r="I401" s="116"/>
      <c r="J401" s="116"/>
      <c r="K401" s="116"/>
      <c r="L401" s="116"/>
      <c r="M401" s="116"/>
      <c r="N401" s="116"/>
      <c r="O401" s="116"/>
      <c r="P401" s="116"/>
      <c r="Q401" s="116"/>
      <c r="R401" s="116"/>
      <c r="S401" s="116"/>
      <c r="T401" s="116"/>
      <c r="U401" s="76"/>
      <c r="V401" s="76"/>
      <c r="W401" s="76"/>
      <c r="X401" s="142"/>
      <c r="Y401" s="148"/>
      <c r="Z401" s="142"/>
      <c r="AA401" s="149"/>
      <c r="AB401" s="149"/>
      <c r="AC401" s="108"/>
      <c r="AD401" s="108"/>
      <c r="AE401" s="108"/>
      <c r="AF401" s="108"/>
      <c r="AG401" s="108"/>
      <c r="AH401" s="108"/>
      <c r="AI401" s="108"/>
      <c r="AJ401" s="164" t="s">
        <v>2141</v>
      </c>
      <c r="AK401" s="1"/>
      <c r="AL401" s="1"/>
      <c r="AM401" s="1"/>
    </row>
    <row r="402" spans="1:39" ht="12.75" customHeight="1">
      <c r="A402" s="63">
        <v>2</v>
      </c>
      <c r="B402" s="134" t="s">
        <v>27</v>
      </c>
      <c r="C402" s="135" t="s">
        <v>2142</v>
      </c>
      <c r="D402" s="21" t="s">
        <v>2143</v>
      </c>
      <c r="E402" s="21"/>
      <c r="F402" s="21"/>
      <c r="G402" s="21"/>
      <c r="H402" s="21"/>
      <c r="I402" s="21"/>
      <c r="J402" s="21"/>
      <c r="K402" s="21"/>
      <c r="L402" s="21"/>
      <c r="M402" s="21"/>
      <c r="N402" s="21"/>
      <c r="O402" s="21"/>
      <c r="P402" s="21"/>
      <c r="Q402" s="21"/>
      <c r="R402" s="93"/>
      <c r="S402" s="93"/>
      <c r="T402" s="93"/>
      <c r="U402" s="79"/>
      <c r="V402" s="77"/>
      <c r="W402" s="77"/>
      <c r="X402" s="42"/>
      <c r="Y402" s="43"/>
      <c r="Z402" s="43"/>
      <c r="AA402" s="150"/>
      <c r="AB402" s="151"/>
      <c r="AC402" s="93"/>
      <c r="AD402" s="93"/>
      <c r="AE402" s="93">
        <v>32000000</v>
      </c>
      <c r="AF402" s="93"/>
      <c r="AG402" s="93"/>
      <c r="AH402" s="93"/>
      <c r="AI402" s="93"/>
      <c r="AJ402" s="165" t="s">
        <v>2144</v>
      </c>
      <c r="AK402" s="1"/>
      <c r="AL402" s="1"/>
      <c r="AM402" s="1"/>
    </row>
    <row r="403" spans="1:39" ht="12.75" customHeight="1">
      <c r="A403" s="63">
        <v>3</v>
      </c>
      <c r="B403" s="134" t="s">
        <v>27</v>
      </c>
      <c r="C403" s="135" t="s">
        <v>2145</v>
      </c>
      <c r="D403" s="21" t="s">
        <v>2146</v>
      </c>
      <c r="E403" s="93"/>
      <c r="F403" s="93"/>
      <c r="G403" s="93"/>
      <c r="H403" s="93"/>
      <c r="I403" s="93"/>
      <c r="J403" s="93"/>
      <c r="K403" s="93"/>
      <c r="L403" s="93"/>
      <c r="M403" s="93"/>
      <c r="N403" s="93"/>
      <c r="O403" s="93"/>
      <c r="P403" s="93"/>
      <c r="Q403" s="93"/>
      <c r="R403" s="93"/>
      <c r="S403" s="93"/>
      <c r="T403" s="93"/>
      <c r="U403" s="77"/>
      <c r="V403" s="77"/>
      <c r="W403" s="77"/>
      <c r="X403" s="42"/>
      <c r="Y403" s="43"/>
      <c r="Z403" s="152"/>
      <c r="AA403" s="153"/>
      <c r="AB403" s="151"/>
      <c r="AC403" s="93"/>
      <c r="AD403" s="93"/>
      <c r="AE403" s="93"/>
      <c r="AF403" s="93"/>
      <c r="AG403" s="93"/>
      <c r="AH403" s="93"/>
      <c r="AI403" s="93"/>
      <c r="AJ403" s="165" t="s">
        <v>2147</v>
      </c>
      <c r="AK403" s="1"/>
      <c r="AL403" s="1"/>
      <c r="AM403" s="1"/>
    </row>
    <row r="404" spans="1:39" ht="12.75" hidden="1" customHeight="1">
      <c r="A404" s="63">
        <v>4</v>
      </c>
      <c r="B404" s="134" t="s">
        <v>30</v>
      </c>
      <c r="C404" s="135" t="s">
        <v>2148</v>
      </c>
      <c r="D404" s="21" t="s">
        <v>2149</v>
      </c>
      <c r="E404" s="136"/>
      <c r="F404" s="136"/>
      <c r="G404" s="136"/>
      <c r="H404" s="136"/>
      <c r="I404" s="136"/>
      <c r="J404" s="136"/>
      <c r="K404" s="136"/>
      <c r="L404" s="136"/>
      <c r="M404" s="136"/>
      <c r="N404" s="136"/>
      <c r="O404" s="136"/>
      <c r="P404" s="136"/>
      <c r="Q404" s="136"/>
      <c r="R404" s="136"/>
      <c r="S404" s="136"/>
      <c r="T404" s="136"/>
      <c r="U404" s="77"/>
      <c r="V404" s="77"/>
      <c r="W404" s="77"/>
      <c r="X404" s="42"/>
      <c r="Y404" s="42"/>
      <c r="Z404" s="43"/>
      <c r="AA404" s="153"/>
      <c r="AB404" s="151"/>
      <c r="AC404" s="136"/>
      <c r="AD404" s="154">
        <v>1248500000</v>
      </c>
      <c r="AE404" s="136"/>
      <c r="AF404" s="136"/>
      <c r="AG404" s="136"/>
      <c r="AH404" s="136"/>
      <c r="AI404" s="136"/>
      <c r="AJ404" s="166" t="s">
        <v>2150</v>
      </c>
      <c r="AK404" s="1"/>
      <c r="AL404" s="1"/>
      <c r="AM404" s="1"/>
    </row>
    <row r="405" spans="1:39" ht="12.75" hidden="1" customHeight="1">
      <c r="A405" s="63">
        <v>5</v>
      </c>
      <c r="B405" s="134" t="s">
        <v>1517</v>
      </c>
      <c r="C405" s="135" t="s">
        <v>2151</v>
      </c>
      <c r="D405" s="21" t="s">
        <v>2152</v>
      </c>
      <c r="E405" s="136"/>
      <c r="F405" s="136"/>
      <c r="G405" s="136"/>
      <c r="H405" s="136"/>
      <c r="I405" s="136"/>
      <c r="J405" s="136"/>
      <c r="K405" s="136"/>
      <c r="L405" s="136"/>
      <c r="M405" s="136"/>
      <c r="N405" s="136"/>
      <c r="O405" s="136"/>
      <c r="P405" s="136"/>
      <c r="Q405" s="136"/>
      <c r="R405" s="136"/>
      <c r="S405" s="136"/>
      <c r="T405" s="136"/>
      <c r="U405" s="77"/>
      <c r="V405" s="77"/>
      <c r="W405" s="77"/>
      <c r="X405" s="42"/>
      <c r="Y405" s="42">
        <v>14894000</v>
      </c>
      <c r="Z405" s="43"/>
      <c r="AA405" s="151"/>
      <c r="AB405" s="151"/>
      <c r="AC405" s="136"/>
      <c r="AD405" s="136"/>
      <c r="AE405" s="136"/>
      <c r="AF405" s="136"/>
      <c r="AG405" s="136"/>
      <c r="AH405" s="136"/>
      <c r="AI405" s="136"/>
      <c r="AJ405" s="166" t="s">
        <v>2153</v>
      </c>
      <c r="AK405" s="1"/>
      <c r="AL405" s="1"/>
      <c r="AM405" s="1"/>
    </row>
    <row r="406" spans="1:39" ht="12.75" hidden="1" customHeight="1">
      <c r="A406" s="63">
        <v>6</v>
      </c>
      <c r="B406" s="134" t="s">
        <v>40</v>
      </c>
      <c r="C406" s="135" t="s">
        <v>2154</v>
      </c>
      <c r="D406" s="21" t="s">
        <v>2155</v>
      </c>
      <c r="E406" s="136"/>
      <c r="F406" s="136"/>
      <c r="G406" s="136"/>
      <c r="H406" s="136"/>
      <c r="I406" s="136"/>
      <c r="J406" s="136"/>
      <c r="K406" s="136"/>
      <c r="L406" s="136"/>
      <c r="M406" s="136"/>
      <c r="N406" s="136"/>
      <c r="O406" s="136"/>
      <c r="P406" s="136"/>
      <c r="Q406" s="136"/>
      <c r="R406" s="136"/>
      <c r="S406" s="136"/>
      <c r="T406" s="136"/>
      <c r="U406" s="77"/>
      <c r="V406" s="77"/>
      <c r="W406" s="77"/>
      <c r="X406" s="42">
        <v>97840000</v>
      </c>
      <c r="Y406" s="42"/>
      <c r="Z406" s="43"/>
      <c r="AA406" s="151"/>
      <c r="AB406" s="151"/>
      <c r="AC406" s="136"/>
      <c r="AD406" s="136"/>
      <c r="AE406" s="136"/>
      <c r="AF406" s="136"/>
      <c r="AG406" s="136"/>
      <c r="AH406" s="136"/>
      <c r="AI406" s="136"/>
      <c r="AJ406" s="166" t="s">
        <v>2156</v>
      </c>
      <c r="AK406" s="1"/>
      <c r="AL406" s="1"/>
      <c r="AM406" s="1"/>
    </row>
    <row r="407" spans="1:39" ht="12.75" customHeight="1">
      <c r="A407" s="63">
        <v>7</v>
      </c>
      <c r="B407" s="134" t="s">
        <v>27</v>
      </c>
      <c r="C407" s="135" t="s">
        <v>2157</v>
      </c>
      <c r="D407" s="21" t="s">
        <v>2158</v>
      </c>
      <c r="E407" s="136"/>
      <c r="F407" s="136"/>
      <c r="G407" s="136"/>
      <c r="H407" s="136"/>
      <c r="I407" s="136"/>
      <c r="J407" s="136"/>
      <c r="K407" s="136"/>
      <c r="L407" s="136"/>
      <c r="M407" s="136"/>
      <c r="N407" s="136"/>
      <c r="O407" s="136"/>
      <c r="P407" s="136"/>
      <c r="Q407" s="136"/>
      <c r="R407" s="136"/>
      <c r="S407" s="136"/>
      <c r="T407" s="136"/>
      <c r="U407" s="77"/>
      <c r="V407" s="77"/>
      <c r="W407" s="77"/>
      <c r="X407" s="42"/>
      <c r="Y407" s="42"/>
      <c r="Z407" s="42"/>
      <c r="AA407" s="151"/>
      <c r="AB407" s="151">
        <v>5112000</v>
      </c>
      <c r="AC407" s="136"/>
      <c r="AD407" s="136"/>
      <c r="AE407" s="136"/>
      <c r="AF407" s="136"/>
      <c r="AG407" s="136"/>
      <c r="AH407" s="136"/>
      <c r="AI407" s="136"/>
      <c r="AJ407" s="166" t="s">
        <v>1745</v>
      </c>
      <c r="AK407" s="1"/>
      <c r="AL407" s="1"/>
      <c r="AM407" s="1"/>
    </row>
    <row r="408" spans="1:39" ht="12.75" hidden="1" customHeight="1">
      <c r="A408" s="63">
        <v>8</v>
      </c>
      <c r="B408" s="134" t="s">
        <v>40</v>
      </c>
      <c r="C408" s="137" t="s">
        <v>2159</v>
      </c>
      <c r="D408" s="88" t="s">
        <v>2160</v>
      </c>
      <c r="E408" s="136"/>
      <c r="F408" s="136"/>
      <c r="G408" s="136"/>
      <c r="H408" s="136"/>
      <c r="I408" s="136"/>
      <c r="J408" s="136"/>
      <c r="K408" s="136"/>
      <c r="L408" s="136"/>
      <c r="M408" s="136"/>
      <c r="N408" s="136"/>
      <c r="O408" s="136"/>
      <c r="P408" s="136"/>
      <c r="Q408" s="136"/>
      <c r="R408" s="136"/>
      <c r="S408" s="136"/>
      <c r="T408" s="136"/>
      <c r="U408" s="77"/>
      <c r="V408" s="77"/>
      <c r="W408" s="77"/>
      <c r="X408" s="42">
        <v>319424000</v>
      </c>
      <c r="Y408" s="43"/>
      <c r="Z408" s="43"/>
      <c r="AA408" s="151"/>
      <c r="AB408" s="151"/>
      <c r="AC408" s="136"/>
      <c r="AD408" s="136"/>
      <c r="AE408" s="136"/>
      <c r="AF408" s="136"/>
      <c r="AG408" s="136"/>
      <c r="AH408" s="136"/>
      <c r="AI408" s="136"/>
      <c r="AJ408" s="166" t="s">
        <v>1599</v>
      </c>
      <c r="AK408" s="1"/>
      <c r="AL408" s="1"/>
      <c r="AM408" s="1"/>
    </row>
    <row r="409" spans="1:39" ht="12.75" hidden="1" customHeight="1">
      <c r="A409" s="63">
        <v>9</v>
      </c>
      <c r="B409" s="134" t="s">
        <v>1517</v>
      </c>
      <c r="C409" s="137" t="s">
        <v>2161</v>
      </c>
      <c r="D409" s="88" t="s">
        <v>2162</v>
      </c>
      <c r="E409" s="136"/>
      <c r="F409" s="136"/>
      <c r="G409" s="136"/>
      <c r="H409" s="136"/>
      <c r="I409" s="136"/>
      <c r="J409" s="136"/>
      <c r="K409" s="136"/>
      <c r="L409" s="136"/>
      <c r="M409" s="136"/>
      <c r="N409" s="136"/>
      <c r="O409" s="136"/>
      <c r="P409" s="136"/>
      <c r="Q409" s="136"/>
      <c r="R409" s="136"/>
      <c r="S409" s="136"/>
      <c r="T409" s="136"/>
      <c r="U409" s="77"/>
      <c r="V409" s="77"/>
      <c r="W409" s="77"/>
      <c r="X409" s="42">
        <v>5500000</v>
      </c>
      <c r="Y409" s="43"/>
      <c r="Z409" s="43"/>
      <c r="AA409" s="151"/>
      <c r="AB409" s="151"/>
      <c r="AC409" s="136"/>
      <c r="AD409" s="136"/>
      <c r="AE409" s="136"/>
      <c r="AF409" s="136"/>
      <c r="AG409" s="136"/>
      <c r="AH409" s="136"/>
      <c r="AI409" s="136"/>
      <c r="AJ409" s="166" t="s">
        <v>2163</v>
      </c>
      <c r="AK409" s="1"/>
      <c r="AL409" s="1"/>
      <c r="AM409" s="1"/>
    </row>
    <row r="410" spans="1:39" ht="12.75" hidden="1" customHeight="1">
      <c r="A410" s="63">
        <v>10</v>
      </c>
      <c r="B410" s="134" t="s">
        <v>44</v>
      </c>
      <c r="C410" s="137" t="s">
        <v>2164</v>
      </c>
      <c r="D410" s="88" t="s">
        <v>2165</v>
      </c>
      <c r="E410" s="136"/>
      <c r="F410" s="136"/>
      <c r="G410" s="136"/>
      <c r="H410" s="136"/>
      <c r="I410" s="136"/>
      <c r="J410" s="136"/>
      <c r="K410" s="136"/>
      <c r="L410" s="136"/>
      <c r="M410" s="136"/>
      <c r="N410" s="136"/>
      <c r="O410" s="136"/>
      <c r="P410" s="136"/>
      <c r="Q410" s="136"/>
      <c r="R410" s="136"/>
      <c r="S410" s="136"/>
      <c r="T410" s="136"/>
      <c r="U410" s="77"/>
      <c r="V410" s="77"/>
      <c r="W410" s="77"/>
      <c r="X410" s="42"/>
      <c r="Y410" s="43"/>
      <c r="Z410" s="143">
        <v>20200000</v>
      </c>
      <c r="AA410" s="151"/>
      <c r="AB410" s="151"/>
      <c r="AC410" s="136"/>
      <c r="AD410" s="136"/>
      <c r="AE410" s="136"/>
      <c r="AF410" s="136"/>
      <c r="AG410" s="136"/>
      <c r="AH410" s="136"/>
      <c r="AI410" s="136"/>
      <c r="AJ410" s="166" t="s">
        <v>1599</v>
      </c>
      <c r="AK410" s="1"/>
      <c r="AL410" s="1"/>
      <c r="AM410" s="1"/>
    </row>
    <row r="411" spans="1:39" ht="12.75" customHeight="1">
      <c r="A411" s="63">
        <v>11</v>
      </c>
      <c r="B411" s="138" t="s">
        <v>27</v>
      </c>
      <c r="C411" s="88" t="s">
        <v>2166</v>
      </c>
      <c r="D411" s="88" t="s">
        <v>2167</v>
      </c>
      <c r="E411" s="136"/>
      <c r="F411" s="136"/>
      <c r="G411" s="136"/>
      <c r="H411" s="136"/>
      <c r="I411" s="136"/>
      <c r="J411" s="136"/>
      <c r="K411" s="136"/>
      <c r="L411" s="136"/>
      <c r="M411" s="136"/>
      <c r="N411" s="136"/>
      <c r="O411" s="136"/>
      <c r="P411" s="136"/>
      <c r="Q411" s="136"/>
      <c r="R411" s="136"/>
      <c r="S411" s="136"/>
      <c r="T411" s="136"/>
      <c r="U411" s="77"/>
      <c r="V411" s="77"/>
      <c r="W411" s="77"/>
      <c r="X411" s="42"/>
      <c r="Y411" s="143"/>
      <c r="Z411" s="143">
        <v>45000000</v>
      </c>
      <c r="AA411" s="151"/>
      <c r="AB411" s="151"/>
      <c r="AC411" s="136"/>
      <c r="AD411" s="136"/>
      <c r="AE411" s="136"/>
      <c r="AF411" s="136"/>
      <c r="AG411" s="136"/>
      <c r="AH411" s="136"/>
      <c r="AI411" s="136"/>
      <c r="AJ411" s="166" t="s">
        <v>2156</v>
      </c>
      <c r="AK411" s="1"/>
      <c r="AL411" s="1"/>
      <c r="AM411" s="1"/>
    </row>
    <row r="412" spans="1:39" ht="12.75" hidden="1" customHeight="1">
      <c r="A412" s="63">
        <v>12</v>
      </c>
      <c r="B412" s="139" t="s">
        <v>44</v>
      </c>
      <c r="C412" s="137" t="s">
        <v>2164</v>
      </c>
      <c r="D412" s="88" t="s">
        <v>2168</v>
      </c>
      <c r="E412" s="136"/>
      <c r="F412" s="136"/>
      <c r="G412" s="136"/>
      <c r="H412" s="136"/>
      <c r="I412" s="136"/>
      <c r="J412" s="136"/>
      <c r="K412" s="136"/>
      <c r="L412" s="136"/>
      <c r="M412" s="136"/>
      <c r="N412" s="136"/>
      <c r="O412" s="136"/>
      <c r="P412" s="136"/>
      <c r="Q412" s="136"/>
      <c r="R412" s="136"/>
      <c r="S412" s="136"/>
      <c r="T412" s="136"/>
      <c r="U412" s="136"/>
      <c r="V412" s="136"/>
      <c r="W412" s="136"/>
      <c r="X412" s="143"/>
      <c r="Y412" s="143"/>
      <c r="Z412" s="143">
        <v>33000000</v>
      </c>
      <c r="AA412" s="150"/>
      <c r="AB412" s="150"/>
      <c r="AC412" s="134"/>
      <c r="AD412" s="134"/>
      <c r="AE412" s="134"/>
      <c r="AF412" s="134"/>
      <c r="AG412" s="134"/>
      <c r="AH412" s="134"/>
      <c r="AI412" s="134"/>
      <c r="AJ412" s="166" t="s">
        <v>1599</v>
      </c>
      <c r="AK412" s="1"/>
      <c r="AL412" s="1"/>
      <c r="AM412" s="1"/>
    </row>
    <row r="413" spans="1:39" ht="12.75" customHeight="1">
      <c r="A413" s="63">
        <v>13</v>
      </c>
      <c r="B413" s="134" t="s">
        <v>27</v>
      </c>
      <c r="C413" s="137" t="s">
        <v>2169</v>
      </c>
      <c r="D413" s="88" t="s">
        <v>2170</v>
      </c>
      <c r="E413" s="140"/>
      <c r="F413" s="140"/>
      <c r="G413" s="140"/>
      <c r="H413" s="140"/>
      <c r="I413" s="140"/>
      <c r="J413" s="140"/>
      <c r="K413" s="140"/>
      <c r="L413" s="140"/>
      <c r="M413" s="140"/>
      <c r="N413" s="140"/>
      <c r="O413" s="140"/>
      <c r="P413" s="140"/>
      <c r="Q413" s="140"/>
      <c r="R413" s="140"/>
      <c r="S413" s="140"/>
      <c r="T413" s="140"/>
      <c r="U413" s="144"/>
      <c r="V413" s="144"/>
      <c r="W413" s="144"/>
      <c r="X413" s="19"/>
      <c r="Y413" s="155"/>
      <c r="Z413" s="155"/>
      <c r="AA413" s="151"/>
      <c r="AB413" s="151"/>
      <c r="AC413" s="156"/>
      <c r="AD413" s="156"/>
      <c r="AE413" s="156"/>
      <c r="AF413" s="156"/>
      <c r="AG413" s="156"/>
      <c r="AH413" s="156"/>
      <c r="AI413" s="156"/>
      <c r="AJ413" s="167" t="s">
        <v>2163</v>
      </c>
      <c r="AK413" s="1"/>
      <c r="AL413" s="1"/>
      <c r="AM413" s="1"/>
    </row>
    <row r="414" spans="1:39" ht="12.75" customHeight="1">
      <c r="A414" s="63">
        <v>14</v>
      </c>
      <c r="B414" s="141" t="s">
        <v>27</v>
      </c>
      <c r="C414" s="137" t="s">
        <v>2171</v>
      </c>
      <c r="D414" s="88" t="s">
        <v>2172</v>
      </c>
      <c r="E414" s="136"/>
      <c r="F414" s="136"/>
      <c r="G414" s="136"/>
      <c r="H414" s="136"/>
      <c r="I414" s="136"/>
      <c r="J414" s="136"/>
      <c r="K414" s="136"/>
      <c r="L414" s="136"/>
      <c r="M414" s="136"/>
      <c r="N414" s="136"/>
      <c r="O414" s="136"/>
      <c r="P414" s="136"/>
      <c r="Q414" s="136"/>
      <c r="R414" s="136"/>
      <c r="S414" s="136"/>
      <c r="T414" s="136"/>
      <c r="U414" s="77"/>
      <c r="V414" s="77"/>
      <c r="W414" s="77"/>
      <c r="X414" s="42"/>
      <c r="Y414" s="143"/>
      <c r="Z414" s="143"/>
      <c r="AA414" s="151"/>
      <c r="AB414" s="151"/>
      <c r="AC414" s="136"/>
      <c r="AD414" s="136"/>
      <c r="AE414" s="136"/>
      <c r="AF414" s="154" t="s">
        <v>2173</v>
      </c>
      <c r="AG414" s="154"/>
      <c r="AH414" s="154"/>
      <c r="AI414" s="154"/>
      <c r="AJ414" s="166" t="s">
        <v>2174</v>
      </c>
      <c r="AK414" s="1"/>
      <c r="AL414" s="1"/>
      <c r="AM414" s="1"/>
    </row>
    <row r="415" spans="1:39" ht="12.75" hidden="1" customHeight="1">
      <c r="A415" s="63">
        <v>15</v>
      </c>
      <c r="B415" s="138" t="s">
        <v>1517</v>
      </c>
      <c r="C415" s="88" t="s">
        <v>2175</v>
      </c>
      <c r="D415" s="88" t="s">
        <v>2176</v>
      </c>
      <c r="E415" s="136"/>
      <c r="F415" s="136"/>
      <c r="G415" s="136"/>
      <c r="H415" s="136"/>
      <c r="I415" s="136"/>
      <c r="J415" s="136"/>
      <c r="K415" s="136"/>
      <c r="L415" s="136"/>
      <c r="M415" s="136"/>
      <c r="N415" s="136"/>
      <c r="O415" s="136"/>
      <c r="P415" s="136"/>
      <c r="Q415" s="136"/>
      <c r="R415" s="136"/>
      <c r="S415" s="136"/>
      <c r="T415" s="136"/>
      <c r="U415" s="145"/>
      <c r="V415" s="145"/>
      <c r="W415" s="145"/>
      <c r="X415" s="143"/>
      <c r="Y415" s="143"/>
      <c r="Z415" s="143"/>
      <c r="AA415" s="151">
        <v>7840000</v>
      </c>
      <c r="AB415" s="151"/>
      <c r="AC415" s="136"/>
      <c r="AD415" s="136"/>
      <c r="AE415" s="136"/>
      <c r="AF415" s="136"/>
      <c r="AG415" s="136"/>
      <c r="AH415" s="136"/>
      <c r="AI415" s="136"/>
      <c r="AJ415" s="166" t="s">
        <v>2177</v>
      </c>
      <c r="AK415" s="1"/>
      <c r="AL415" s="1"/>
      <c r="AM415" s="1"/>
    </row>
    <row r="416" spans="1:39" ht="12.75" hidden="1" customHeight="1">
      <c r="A416" s="63">
        <v>16</v>
      </c>
      <c r="B416" s="139" t="s">
        <v>1517</v>
      </c>
      <c r="C416" s="137" t="s">
        <v>2175</v>
      </c>
      <c r="D416" s="88" t="s">
        <v>2178</v>
      </c>
      <c r="E416" s="136"/>
      <c r="F416" s="136"/>
      <c r="G416" s="136"/>
      <c r="H416" s="136"/>
      <c r="I416" s="136"/>
      <c r="J416" s="136"/>
      <c r="K416" s="136"/>
      <c r="L416" s="136"/>
      <c r="M416" s="136"/>
      <c r="N416" s="136"/>
      <c r="O416" s="136"/>
      <c r="P416" s="136"/>
      <c r="Q416" s="136"/>
      <c r="R416" s="136"/>
      <c r="S416" s="136"/>
      <c r="T416" s="136"/>
      <c r="U416" s="136"/>
      <c r="V416" s="136"/>
      <c r="W416" s="136"/>
      <c r="X416" s="143"/>
      <c r="Y416" s="143"/>
      <c r="Z416" s="143"/>
      <c r="AA416" s="150">
        <v>10138750</v>
      </c>
      <c r="AB416" s="150"/>
      <c r="AC416" s="134"/>
      <c r="AD416" s="134"/>
      <c r="AE416" s="134"/>
      <c r="AF416" s="134"/>
      <c r="AG416" s="134"/>
      <c r="AH416" s="134"/>
      <c r="AI416" s="134"/>
      <c r="AJ416" s="166" t="s">
        <v>2177</v>
      </c>
      <c r="AK416" s="1"/>
      <c r="AL416" s="1"/>
      <c r="AM416" s="1"/>
    </row>
    <row r="417" spans="1:39" ht="12.75" hidden="1" customHeight="1">
      <c r="A417" s="63">
        <v>17</v>
      </c>
      <c r="B417" s="134" t="s">
        <v>30</v>
      </c>
      <c r="C417" s="137" t="s">
        <v>2179</v>
      </c>
      <c r="D417" s="88" t="s">
        <v>2180</v>
      </c>
      <c r="E417" s="140"/>
      <c r="F417" s="140"/>
      <c r="G417" s="140"/>
      <c r="H417" s="140"/>
      <c r="I417" s="140"/>
      <c r="J417" s="140"/>
      <c r="K417" s="140"/>
      <c r="L417" s="140"/>
      <c r="M417" s="140"/>
      <c r="N417" s="140"/>
      <c r="O417" s="140"/>
      <c r="P417" s="140"/>
      <c r="Q417" s="140"/>
      <c r="R417" s="140"/>
      <c r="S417" s="140"/>
      <c r="T417" s="140"/>
      <c r="U417" s="144"/>
      <c r="V417" s="144"/>
      <c r="W417" s="144"/>
      <c r="X417" s="19"/>
      <c r="Y417" s="155"/>
      <c r="Z417" s="155"/>
      <c r="AA417" s="151"/>
      <c r="AB417" s="151">
        <v>5520000</v>
      </c>
      <c r="AC417" s="156"/>
      <c r="AD417" s="156"/>
      <c r="AE417" s="156"/>
      <c r="AF417" s="156"/>
      <c r="AG417" s="156"/>
      <c r="AH417" s="156"/>
      <c r="AI417" s="156"/>
      <c r="AJ417" s="166" t="s">
        <v>2181</v>
      </c>
      <c r="AK417" s="1"/>
      <c r="AL417" s="1"/>
      <c r="AM417" s="1"/>
    </row>
    <row r="418" spans="1:39" ht="12.75" customHeight="1">
      <c r="A418" s="63">
        <v>18</v>
      </c>
      <c r="B418" s="134" t="s">
        <v>27</v>
      </c>
      <c r="C418" s="137" t="s">
        <v>2169</v>
      </c>
      <c r="D418" s="88" t="s">
        <v>2182</v>
      </c>
      <c r="E418" s="136"/>
      <c r="F418" s="136"/>
      <c r="G418" s="136"/>
      <c r="H418" s="136"/>
      <c r="I418" s="136"/>
      <c r="J418" s="136"/>
      <c r="K418" s="136"/>
      <c r="L418" s="136"/>
      <c r="M418" s="136"/>
      <c r="N418" s="136"/>
      <c r="O418" s="136"/>
      <c r="P418" s="136"/>
      <c r="Q418" s="136"/>
      <c r="R418" s="136"/>
      <c r="S418" s="136"/>
      <c r="T418" s="136"/>
      <c r="U418" s="77"/>
      <c r="V418" s="77"/>
      <c r="W418" s="77"/>
      <c r="X418" s="42"/>
      <c r="Y418" s="43"/>
      <c r="Z418" s="143"/>
      <c r="AA418" s="151">
        <v>16556000</v>
      </c>
      <c r="AB418" s="151"/>
      <c r="AC418" s="136"/>
      <c r="AD418" s="136"/>
      <c r="AE418" s="136"/>
      <c r="AF418" s="136"/>
      <c r="AG418" s="136"/>
      <c r="AH418" s="136"/>
      <c r="AI418" s="136"/>
      <c r="AJ418" s="166" t="s">
        <v>2177</v>
      </c>
      <c r="AK418" s="1"/>
      <c r="AL418" s="1"/>
      <c r="AM418" s="1"/>
    </row>
    <row r="419" spans="1:39" ht="12.75" customHeight="1">
      <c r="A419" s="63">
        <v>19</v>
      </c>
      <c r="B419" s="141" t="s">
        <v>27</v>
      </c>
      <c r="C419" s="137" t="s">
        <v>2183</v>
      </c>
      <c r="D419" s="88" t="s">
        <v>2184</v>
      </c>
      <c r="E419" s="136"/>
      <c r="F419" s="136"/>
      <c r="G419" s="136"/>
      <c r="H419" s="136"/>
      <c r="I419" s="136"/>
      <c r="J419" s="136"/>
      <c r="K419" s="136"/>
      <c r="L419" s="136"/>
      <c r="M419" s="136"/>
      <c r="N419" s="136"/>
      <c r="O419" s="136"/>
      <c r="P419" s="136"/>
      <c r="Q419" s="136"/>
      <c r="R419" s="136"/>
      <c r="S419" s="136"/>
      <c r="T419" s="136"/>
      <c r="U419" s="77"/>
      <c r="V419" s="77"/>
      <c r="W419" s="77"/>
      <c r="X419" s="42"/>
      <c r="Y419" s="143"/>
      <c r="Z419" s="143"/>
      <c r="AA419" s="151">
        <v>2430000</v>
      </c>
      <c r="AB419" s="151"/>
      <c r="AC419" s="136"/>
      <c r="AD419" s="136"/>
      <c r="AE419" s="136"/>
      <c r="AF419" s="136"/>
      <c r="AG419" s="136"/>
      <c r="AH419" s="136"/>
      <c r="AI419" s="136"/>
      <c r="AJ419" s="166" t="s">
        <v>1745</v>
      </c>
      <c r="AK419" s="1"/>
      <c r="AL419" s="1"/>
      <c r="AM419" s="1"/>
    </row>
    <row r="420" spans="1:39" ht="12.75" customHeight="1">
      <c r="A420" s="63">
        <v>20</v>
      </c>
      <c r="B420" s="138" t="s">
        <v>27</v>
      </c>
      <c r="C420" s="88" t="s">
        <v>2183</v>
      </c>
      <c r="D420" s="88" t="s">
        <v>2185</v>
      </c>
      <c r="E420" s="136"/>
      <c r="F420" s="136"/>
      <c r="G420" s="136"/>
      <c r="H420" s="136"/>
      <c r="I420" s="136"/>
      <c r="J420" s="136"/>
      <c r="K420" s="136"/>
      <c r="L420" s="136"/>
      <c r="M420" s="136"/>
      <c r="N420" s="136"/>
      <c r="O420" s="136"/>
      <c r="P420" s="136"/>
      <c r="Q420" s="136"/>
      <c r="R420" s="136"/>
      <c r="S420" s="136"/>
      <c r="T420" s="136"/>
      <c r="U420" s="145"/>
      <c r="V420" s="145"/>
      <c r="W420" s="145"/>
      <c r="X420" s="143"/>
      <c r="Y420" s="143"/>
      <c r="Z420" s="143"/>
      <c r="AA420" s="151">
        <v>19204500</v>
      </c>
      <c r="AB420" s="151"/>
      <c r="AC420" s="136"/>
      <c r="AD420" s="136"/>
      <c r="AE420" s="136"/>
      <c r="AF420" s="136"/>
      <c r="AG420" s="136"/>
      <c r="AH420" s="136"/>
      <c r="AI420" s="136"/>
      <c r="AJ420" s="166" t="s">
        <v>1745</v>
      </c>
      <c r="AK420" s="1"/>
      <c r="AL420" s="1"/>
      <c r="AM420" s="1"/>
    </row>
    <row r="421" spans="1:39" ht="12.75" customHeight="1">
      <c r="A421" s="63">
        <v>21</v>
      </c>
      <c r="B421" s="139" t="s">
        <v>27</v>
      </c>
      <c r="C421" s="137" t="s">
        <v>2186</v>
      </c>
      <c r="D421" s="88" t="s">
        <v>2187</v>
      </c>
      <c r="E421" s="136"/>
      <c r="F421" s="136"/>
      <c r="G421" s="136"/>
      <c r="H421" s="136"/>
      <c r="I421" s="136"/>
      <c r="J421" s="136"/>
      <c r="K421" s="136"/>
      <c r="L421" s="136"/>
      <c r="M421" s="136"/>
      <c r="N421" s="136"/>
      <c r="O421" s="136"/>
      <c r="P421" s="136"/>
      <c r="Q421" s="136"/>
      <c r="R421" s="136"/>
      <c r="S421" s="136"/>
      <c r="T421" s="136"/>
      <c r="U421" s="136"/>
      <c r="V421" s="136"/>
      <c r="W421" s="136"/>
      <c r="X421" s="143"/>
      <c r="Y421" s="143"/>
      <c r="Z421" s="143"/>
      <c r="AA421" s="150">
        <v>7534000</v>
      </c>
      <c r="AB421" s="150"/>
      <c r="AC421" s="20"/>
      <c r="AD421" s="20">
        <v>115000000</v>
      </c>
      <c r="AE421" s="20"/>
      <c r="AF421" s="20"/>
      <c r="AG421" s="20"/>
      <c r="AH421" s="20"/>
      <c r="AI421" s="20"/>
      <c r="AJ421" s="166" t="s">
        <v>2188</v>
      </c>
      <c r="AK421" s="1"/>
      <c r="AL421" s="1"/>
      <c r="AM421" s="1"/>
    </row>
    <row r="422" spans="1:39" ht="12.75" customHeight="1">
      <c r="A422" s="63">
        <v>22</v>
      </c>
      <c r="B422" s="134" t="s">
        <v>27</v>
      </c>
      <c r="C422" s="137" t="s">
        <v>2189</v>
      </c>
      <c r="D422" s="88" t="s">
        <v>2190</v>
      </c>
      <c r="E422" s="140"/>
      <c r="F422" s="140"/>
      <c r="G422" s="140"/>
      <c r="H422" s="140"/>
      <c r="I422" s="140"/>
      <c r="J422" s="140"/>
      <c r="K422" s="140"/>
      <c r="L422" s="140"/>
      <c r="M422" s="140"/>
      <c r="N422" s="140"/>
      <c r="O422" s="140"/>
      <c r="P422" s="140"/>
      <c r="Q422" s="140"/>
      <c r="R422" s="140"/>
      <c r="S422" s="140"/>
      <c r="T422" s="140"/>
      <c r="U422" s="144"/>
      <c r="V422" s="144"/>
      <c r="W422" s="144"/>
      <c r="X422" s="19"/>
      <c r="Y422" s="155"/>
      <c r="Z422" s="155"/>
      <c r="AA422" s="151">
        <v>20657000</v>
      </c>
      <c r="AB422" s="151"/>
      <c r="AC422" s="157"/>
      <c r="AD422" s="157"/>
      <c r="AE422" s="157"/>
      <c r="AF422" s="157"/>
      <c r="AG422" s="157"/>
      <c r="AH422" s="157"/>
      <c r="AI422" s="157"/>
      <c r="AJ422" s="167" t="s">
        <v>2188</v>
      </c>
      <c r="AK422" s="1"/>
      <c r="AL422" s="1"/>
      <c r="AM422" s="1"/>
    </row>
    <row r="423" spans="1:39" ht="12.75" customHeight="1">
      <c r="A423" s="63">
        <v>23</v>
      </c>
      <c r="B423" s="141" t="s">
        <v>27</v>
      </c>
      <c r="C423" s="137" t="s">
        <v>2191</v>
      </c>
      <c r="D423" s="88" t="s">
        <v>2192</v>
      </c>
      <c r="E423" s="136"/>
      <c r="F423" s="136"/>
      <c r="G423" s="136"/>
      <c r="H423" s="136"/>
      <c r="I423" s="136"/>
      <c r="J423" s="136"/>
      <c r="K423" s="136"/>
      <c r="L423" s="136"/>
      <c r="M423" s="136"/>
      <c r="N423" s="136"/>
      <c r="O423" s="136"/>
      <c r="P423" s="136"/>
      <c r="Q423" s="136"/>
      <c r="R423" s="136"/>
      <c r="S423" s="136"/>
      <c r="T423" s="136"/>
      <c r="U423" s="77"/>
      <c r="V423" s="77"/>
      <c r="W423" s="77"/>
      <c r="X423" s="42"/>
      <c r="Y423" s="143"/>
      <c r="Z423" s="143"/>
      <c r="AA423" s="151">
        <v>33122000</v>
      </c>
      <c r="AB423" s="151"/>
      <c r="AC423" s="77">
        <v>33000000</v>
      </c>
      <c r="AD423" s="77"/>
      <c r="AE423" s="77"/>
      <c r="AF423" s="77"/>
      <c r="AG423" s="77"/>
      <c r="AH423" s="77"/>
      <c r="AI423" s="77"/>
      <c r="AJ423" s="166" t="s">
        <v>2193</v>
      </c>
      <c r="AK423" s="1"/>
      <c r="AL423" s="1"/>
      <c r="AM423" s="1"/>
    </row>
    <row r="424" spans="1:39" ht="12.75" customHeight="1">
      <c r="A424" s="63">
        <v>24</v>
      </c>
      <c r="B424" s="138" t="s">
        <v>27</v>
      </c>
      <c r="C424" s="88" t="s">
        <v>2194</v>
      </c>
      <c r="D424" s="88" t="s">
        <v>2195</v>
      </c>
      <c r="E424" s="136"/>
      <c r="F424" s="136"/>
      <c r="G424" s="136"/>
      <c r="H424" s="136"/>
      <c r="I424" s="136"/>
      <c r="J424" s="136"/>
      <c r="K424" s="136"/>
      <c r="L424" s="136"/>
      <c r="M424" s="136"/>
      <c r="N424" s="136"/>
      <c r="O424" s="136"/>
      <c r="P424" s="136"/>
      <c r="Q424" s="136"/>
      <c r="R424" s="136"/>
      <c r="S424" s="136"/>
      <c r="T424" s="136"/>
      <c r="U424" s="145"/>
      <c r="V424" s="145"/>
      <c r="W424" s="145"/>
      <c r="X424" s="143"/>
      <c r="Y424" s="143"/>
      <c r="Z424" s="143"/>
      <c r="AA424" s="151">
        <v>5500000</v>
      </c>
      <c r="AB424" s="151"/>
      <c r="AC424" s="77"/>
      <c r="AD424" s="77"/>
      <c r="AE424" s="77"/>
      <c r="AF424" s="77"/>
      <c r="AG424" s="77"/>
      <c r="AH424" s="77"/>
      <c r="AI424" s="77"/>
      <c r="AJ424" s="166" t="s">
        <v>2196</v>
      </c>
      <c r="AK424" s="1"/>
      <c r="AL424" s="1"/>
      <c r="AM424" s="1"/>
    </row>
    <row r="425" spans="1:39" ht="12.75" customHeight="1">
      <c r="A425" s="63">
        <v>25</v>
      </c>
      <c r="B425" s="139" t="s">
        <v>27</v>
      </c>
      <c r="C425" s="137" t="s">
        <v>2197</v>
      </c>
      <c r="D425" s="88" t="s">
        <v>2198</v>
      </c>
      <c r="E425" s="136"/>
      <c r="F425" s="136"/>
      <c r="G425" s="136"/>
      <c r="H425" s="136"/>
      <c r="I425" s="136"/>
      <c r="J425" s="136"/>
      <c r="K425" s="136"/>
      <c r="L425" s="136"/>
      <c r="M425" s="136"/>
      <c r="N425" s="136"/>
      <c r="O425" s="136"/>
      <c r="P425" s="136"/>
      <c r="Q425" s="136"/>
      <c r="R425" s="136"/>
      <c r="S425" s="136"/>
      <c r="T425" s="136"/>
      <c r="U425" s="136"/>
      <c r="V425" s="136"/>
      <c r="W425" s="136"/>
      <c r="X425" s="143"/>
      <c r="Y425" s="143"/>
      <c r="Z425" s="143"/>
      <c r="AA425" s="150">
        <v>56432000</v>
      </c>
      <c r="AB425" s="150"/>
      <c r="AC425" s="77"/>
      <c r="AD425" s="77"/>
      <c r="AE425" s="77"/>
      <c r="AF425" s="77"/>
      <c r="AG425" s="77"/>
      <c r="AH425" s="77"/>
      <c r="AI425" s="77"/>
      <c r="AJ425" s="166" t="s">
        <v>1745</v>
      </c>
      <c r="AK425" s="1"/>
      <c r="AL425" s="1"/>
      <c r="AM425" s="1"/>
    </row>
    <row r="426" spans="1:39" ht="12.75" customHeight="1">
      <c r="A426" s="63">
        <v>26</v>
      </c>
      <c r="B426" s="134" t="s">
        <v>27</v>
      </c>
      <c r="C426" s="137" t="s">
        <v>2199</v>
      </c>
      <c r="D426" s="88" t="s">
        <v>2200</v>
      </c>
      <c r="E426" s="140"/>
      <c r="F426" s="140"/>
      <c r="G426" s="140"/>
      <c r="H426" s="140"/>
      <c r="I426" s="140"/>
      <c r="J426" s="140"/>
      <c r="K426" s="140"/>
      <c r="L426" s="140"/>
      <c r="M426" s="140"/>
      <c r="N426" s="140"/>
      <c r="O426" s="140"/>
      <c r="P426" s="140"/>
      <c r="Q426" s="140"/>
      <c r="R426" s="140"/>
      <c r="S426" s="140"/>
      <c r="T426" s="140"/>
      <c r="U426" s="140"/>
      <c r="V426" s="140"/>
      <c r="W426" s="140"/>
      <c r="X426" s="146"/>
      <c r="Y426" s="146"/>
      <c r="Z426" s="146"/>
      <c r="AA426" s="158">
        <v>10164000</v>
      </c>
      <c r="AB426" s="151"/>
      <c r="AC426" s="157"/>
      <c r="AD426" s="157"/>
      <c r="AE426" s="157"/>
      <c r="AF426" s="157"/>
      <c r="AG426" s="157"/>
      <c r="AH426" s="157"/>
      <c r="AI426" s="157"/>
      <c r="AJ426" s="167" t="s">
        <v>2201</v>
      </c>
      <c r="AK426" s="1"/>
      <c r="AL426" s="1"/>
      <c r="AM426" s="1"/>
    </row>
    <row r="427" spans="1:39" ht="12.75" customHeight="1">
      <c r="A427" s="63">
        <v>27</v>
      </c>
      <c r="B427" s="134" t="s">
        <v>27</v>
      </c>
      <c r="C427" s="21" t="s">
        <v>2161</v>
      </c>
      <c r="D427" s="21" t="s">
        <v>2202</v>
      </c>
      <c r="E427" s="140"/>
      <c r="F427" s="140"/>
      <c r="G427" s="140"/>
      <c r="H427" s="140"/>
      <c r="I427" s="140"/>
      <c r="J427" s="140"/>
      <c r="K427" s="140"/>
      <c r="L427" s="140"/>
      <c r="M427" s="140"/>
      <c r="N427" s="140"/>
      <c r="O427" s="140"/>
      <c r="P427" s="140"/>
      <c r="Q427" s="140"/>
      <c r="R427" s="140"/>
      <c r="S427" s="140"/>
      <c r="T427" s="140"/>
      <c r="U427" s="140"/>
      <c r="V427" s="140"/>
      <c r="W427" s="140"/>
      <c r="X427" s="147"/>
      <c r="Y427" s="147"/>
      <c r="Z427" s="147"/>
      <c r="AA427" s="82"/>
      <c r="AB427" s="159"/>
      <c r="AC427" s="157"/>
      <c r="AD427" s="157"/>
      <c r="AE427" s="157">
        <v>150000000</v>
      </c>
      <c r="AF427" s="157"/>
      <c r="AG427" s="157"/>
      <c r="AH427" s="157"/>
      <c r="AI427" s="157"/>
      <c r="AJ427" s="166" t="s">
        <v>2201</v>
      </c>
      <c r="AK427" s="1"/>
      <c r="AL427" s="1"/>
      <c r="AM427" s="1"/>
    </row>
    <row r="428" spans="1:39" ht="12.75" customHeight="1">
      <c r="A428" s="63">
        <v>28</v>
      </c>
      <c r="B428" s="134" t="s">
        <v>27</v>
      </c>
      <c r="C428" s="137" t="s">
        <v>2203</v>
      </c>
      <c r="D428" s="88" t="s">
        <v>2204</v>
      </c>
      <c r="E428" s="140"/>
      <c r="F428" s="140"/>
      <c r="G428" s="140"/>
      <c r="H428" s="140"/>
      <c r="I428" s="140"/>
      <c r="J428" s="140"/>
      <c r="K428" s="140"/>
      <c r="L428" s="140"/>
      <c r="M428" s="140"/>
      <c r="N428" s="140"/>
      <c r="O428" s="140"/>
      <c r="P428" s="140"/>
      <c r="Q428" s="140"/>
      <c r="R428" s="140"/>
      <c r="S428" s="140"/>
      <c r="T428" s="140"/>
      <c r="U428" s="140"/>
      <c r="V428" s="140"/>
      <c r="W428" s="140"/>
      <c r="X428" s="147"/>
      <c r="Y428" s="147"/>
      <c r="Z428" s="147"/>
      <c r="AA428" s="151"/>
      <c r="AB428" s="160"/>
      <c r="AC428" s="157"/>
      <c r="AD428" s="157">
        <v>5000000</v>
      </c>
      <c r="AE428" s="157"/>
      <c r="AF428" s="157"/>
      <c r="AG428" s="157"/>
      <c r="AH428" s="157"/>
      <c r="AI428" s="157"/>
      <c r="AJ428" s="166" t="s">
        <v>1765</v>
      </c>
      <c r="AK428" s="1"/>
      <c r="AL428" s="1"/>
      <c r="AM428" s="1"/>
    </row>
    <row r="429" spans="1:39" ht="12.75" hidden="1" customHeight="1">
      <c r="A429" s="63">
        <v>29</v>
      </c>
      <c r="B429" s="134" t="s">
        <v>40</v>
      </c>
      <c r="C429" s="137" t="s">
        <v>2205</v>
      </c>
      <c r="D429" s="88" t="s">
        <v>2206</v>
      </c>
      <c r="E429" s="140"/>
      <c r="F429" s="140"/>
      <c r="G429" s="140"/>
      <c r="H429" s="140"/>
      <c r="I429" s="140"/>
      <c r="J429" s="140"/>
      <c r="K429" s="140"/>
      <c r="L429" s="140"/>
      <c r="M429" s="140"/>
      <c r="N429" s="140"/>
      <c r="O429" s="140"/>
      <c r="P429" s="140"/>
      <c r="Q429" s="140"/>
      <c r="R429" s="140"/>
      <c r="S429" s="140"/>
      <c r="T429" s="140"/>
      <c r="U429" s="140"/>
      <c r="V429" s="140"/>
      <c r="W429" s="140"/>
      <c r="X429" s="147"/>
      <c r="Y429" s="147"/>
      <c r="Z429" s="147"/>
      <c r="AA429" s="158"/>
      <c r="AB429" s="160"/>
      <c r="AC429" s="157">
        <v>115000000</v>
      </c>
      <c r="AD429" s="157"/>
      <c r="AE429" s="157"/>
      <c r="AF429" s="157"/>
      <c r="AG429" s="157"/>
      <c r="AH429" s="157"/>
      <c r="AI429" s="157"/>
      <c r="AJ429" s="166" t="s">
        <v>2207</v>
      </c>
      <c r="AK429" s="1"/>
      <c r="AL429" s="1"/>
      <c r="AM429" s="1"/>
    </row>
    <row r="430" spans="1:39" ht="12.75" customHeight="1">
      <c r="A430" s="63">
        <v>30</v>
      </c>
      <c r="B430" s="134" t="s">
        <v>27</v>
      </c>
      <c r="C430" s="21" t="s">
        <v>2208</v>
      </c>
      <c r="D430" s="21" t="s">
        <v>2209</v>
      </c>
      <c r="E430" s="140"/>
      <c r="F430" s="140"/>
      <c r="G430" s="140"/>
      <c r="H430" s="140"/>
      <c r="I430" s="140"/>
      <c r="J430" s="140"/>
      <c r="K430" s="140"/>
      <c r="L430" s="140"/>
      <c r="M430" s="140"/>
      <c r="N430" s="140"/>
      <c r="O430" s="140"/>
      <c r="P430" s="140"/>
      <c r="Q430" s="140"/>
      <c r="R430" s="140"/>
      <c r="S430" s="140"/>
      <c r="T430" s="140"/>
      <c r="U430" s="140"/>
      <c r="V430" s="140"/>
      <c r="W430" s="140"/>
      <c r="X430" s="147"/>
      <c r="Y430" s="147"/>
      <c r="Z430" s="147"/>
      <c r="AA430" s="82"/>
      <c r="AB430" s="159"/>
      <c r="AC430" s="157"/>
      <c r="AD430" s="157"/>
      <c r="AE430" s="157">
        <v>130000000</v>
      </c>
      <c r="AF430" s="157"/>
      <c r="AG430" s="157"/>
      <c r="AH430" s="157"/>
      <c r="AI430" s="157"/>
      <c r="AJ430" s="166" t="s">
        <v>2210</v>
      </c>
      <c r="AK430" s="1"/>
      <c r="AL430" s="1"/>
      <c r="AM430" s="1"/>
    </row>
    <row r="431" spans="1:39" ht="12.75" hidden="1" customHeight="1">
      <c r="A431" s="63">
        <v>31</v>
      </c>
      <c r="B431" s="134" t="s">
        <v>1517</v>
      </c>
      <c r="C431" s="137" t="s">
        <v>2211</v>
      </c>
      <c r="D431" s="88" t="s">
        <v>2212</v>
      </c>
      <c r="E431" s="140"/>
      <c r="F431" s="140"/>
      <c r="G431" s="140"/>
      <c r="H431" s="140"/>
      <c r="I431" s="140"/>
      <c r="J431" s="140"/>
      <c r="K431" s="140"/>
      <c r="L431" s="140"/>
      <c r="M431" s="140"/>
      <c r="N431" s="140"/>
      <c r="O431" s="140"/>
      <c r="P431" s="140"/>
      <c r="Q431" s="140"/>
      <c r="R431" s="140"/>
      <c r="S431" s="140"/>
      <c r="T431" s="140"/>
      <c r="U431" s="140"/>
      <c r="V431" s="140"/>
      <c r="W431" s="140"/>
      <c r="X431" s="147"/>
      <c r="Y431" s="147"/>
      <c r="Z431" s="147"/>
      <c r="AA431" s="151"/>
      <c r="AB431" s="160"/>
      <c r="AC431" s="157"/>
      <c r="AD431" s="157"/>
      <c r="AE431" s="157"/>
      <c r="AF431" s="157"/>
      <c r="AG431" s="157"/>
      <c r="AH431" s="157"/>
      <c r="AI431" s="157"/>
      <c r="AJ431" s="167" t="s">
        <v>2213</v>
      </c>
      <c r="AK431" s="1"/>
      <c r="AL431" s="1"/>
      <c r="AM431" s="1"/>
    </row>
    <row r="432" spans="1:39" ht="12.75" customHeight="1">
      <c r="A432" s="63">
        <v>32</v>
      </c>
      <c r="B432" s="134" t="s">
        <v>27</v>
      </c>
      <c r="C432" s="137" t="s">
        <v>1454</v>
      </c>
      <c r="D432" s="88" t="s">
        <v>2214</v>
      </c>
      <c r="E432" s="140"/>
      <c r="F432" s="140"/>
      <c r="G432" s="140"/>
      <c r="H432" s="140"/>
      <c r="I432" s="140"/>
      <c r="J432" s="140"/>
      <c r="K432" s="140"/>
      <c r="L432" s="140"/>
      <c r="M432" s="140"/>
      <c r="N432" s="140"/>
      <c r="O432" s="140"/>
      <c r="P432" s="140"/>
      <c r="Q432" s="140"/>
      <c r="R432" s="140"/>
      <c r="S432" s="140"/>
      <c r="T432" s="140"/>
      <c r="U432" s="140"/>
      <c r="V432" s="140"/>
      <c r="W432" s="140"/>
      <c r="X432" s="147"/>
      <c r="Y432" s="147"/>
      <c r="Z432" s="147"/>
      <c r="AA432" s="151"/>
      <c r="AB432" s="160"/>
      <c r="AC432" s="157"/>
      <c r="AD432" s="157"/>
      <c r="AE432" s="157"/>
      <c r="AF432" s="157">
        <v>44000000</v>
      </c>
      <c r="AG432" s="157"/>
      <c r="AH432" s="157"/>
      <c r="AI432" s="157"/>
      <c r="AJ432" s="166" t="s">
        <v>2215</v>
      </c>
      <c r="AK432" s="1"/>
      <c r="AL432" s="1"/>
      <c r="AM432" s="1"/>
    </row>
    <row r="433" spans="1:39" ht="12.75" hidden="1" customHeight="1">
      <c r="A433" s="63">
        <v>35</v>
      </c>
      <c r="B433" s="134" t="s">
        <v>1517</v>
      </c>
      <c r="C433" s="137" t="s">
        <v>2216</v>
      </c>
      <c r="D433" s="88" t="s">
        <v>2217</v>
      </c>
      <c r="E433" s="140"/>
      <c r="F433" s="140"/>
      <c r="G433" s="140"/>
      <c r="H433" s="140"/>
      <c r="I433" s="140"/>
      <c r="J433" s="140"/>
      <c r="K433" s="140"/>
      <c r="L433" s="140"/>
      <c r="M433" s="140"/>
      <c r="N433" s="140"/>
      <c r="O433" s="140"/>
      <c r="P433" s="140"/>
      <c r="Q433" s="140"/>
      <c r="R433" s="140"/>
      <c r="S433" s="140"/>
      <c r="T433" s="140"/>
      <c r="U433" s="140"/>
      <c r="V433" s="140"/>
      <c r="W433" s="140"/>
      <c r="X433" s="147"/>
      <c r="Y433" s="147"/>
      <c r="Z433" s="147"/>
      <c r="AA433" s="151"/>
      <c r="AB433" s="160"/>
      <c r="AC433" s="157"/>
      <c r="AD433" s="157">
        <v>3740000</v>
      </c>
      <c r="AE433" s="157"/>
      <c r="AF433" s="157"/>
      <c r="AG433" s="157"/>
      <c r="AH433" s="157"/>
      <c r="AI433" s="157"/>
      <c r="AJ433" s="167" t="s">
        <v>1765</v>
      </c>
      <c r="AK433" s="1"/>
      <c r="AL433" s="1"/>
      <c r="AM433" s="1"/>
    </row>
    <row r="434" spans="1:39" ht="12.75" hidden="1" customHeight="1">
      <c r="A434" s="63">
        <v>36</v>
      </c>
      <c r="B434" s="134" t="s">
        <v>1517</v>
      </c>
      <c r="C434" s="21" t="s">
        <v>2205</v>
      </c>
      <c r="D434" s="21" t="s">
        <v>2218</v>
      </c>
      <c r="E434" s="140"/>
      <c r="F434" s="140"/>
      <c r="G434" s="140"/>
      <c r="H434" s="140"/>
      <c r="I434" s="140"/>
      <c r="J434" s="140"/>
      <c r="K434" s="140"/>
      <c r="L434" s="140"/>
      <c r="M434" s="140"/>
      <c r="N434" s="140"/>
      <c r="O434" s="140"/>
      <c r="P434" s="140"/>
      <c r="Q434" s="140"/>
      <c r="R434" s="140"/>
      <c r="S434" s="140"/>
      <c r="T434" s="140"/>
      <c r="U434" s="140"/>
      <c r="V434" s="140"/>
      <c r="W434" s="140"/>
      <c r="X434" s="147"/>
      <c r="Y434" s="147"/>
      <c r="Z434" s="147"/>
      <c r="AA434" s="161"/>
      <c r="AB434" s="159"/>
      <c r="AC434" s="157"/>
      <c r="AD434" s="157">
        <v>2756160</v>
      </c>
      <c r="AE434" s="157"/>
      <c r="AF434" s="157"/>
      <c r="AG434" s="157"/>
      <c r="AH434" s="157"/>
      <c r="AI434" s="157"/>
      <c r="AJ434" s="166" t="s">
        <v>2219</v>
      </c>
      <c r="AK434" s="1"/>
      <c r="AL434" s="1"/>
      <c r="AM434" s="1"/>
    </row>
    <row r="435" spans="1:39" ht="12.75" customHeight="1">
      <c r="A435" s="63">
        <v>37</v>
      </c>
      <c r="B435" s="134" t="s">
        <v>27</v>
      </c>
      <c r="C435" s="137" t="s">
        <v>2220</v>
      </c>
      <c r="D435" s="88" t="s">
        <v>2221</v>
      </c>
      <c r="E435" s="140"/>
      <c r="F435" s="140"/>
      <c r="G435" s="140"/>
      <c r="H435" s="140"/>
      <c r="I435" s="140"/>
      <c r="J435" s="140"/>
      <c r="K435" s="140"/>
      <c r="L435" s="140"/>
      <c r="M435" s="140"/>
      <c r="N435" s="140"/>
      <c r="O435" s="140"/>
      <c r="P435" s="140"/>
      <c r="Q435" s="140"/>
      <c r="R435" s="140"/>
      <c r="S435" s="140"/>
      <c r="T435" s="140"/>
      <c r="U435" s="140"/>
      <c r="V435" s="140"/>
      <c r="W435" s="140"/>
      <c r="X435" s="147"/>
      <c r="Y435" s="147"/>
      <c r="Z435" s="147"/>
      <c r="AA435" s="162"/>
      <c r="AB435" s="163"/>
      <c r="AC435" s="157"/>
      <c r="AD435" s="157"/>
      <c r="AE435" s="157"/>
      <c r="AF435" s="157">
        <v>75000000</v>
      </c>
      <c r="AG435" s="157"/>
      <c r="AH435" s="157"/>
      <c r="AI435" s="157"/>
      <c r="AJ435" s="166" t="s">
        <v>34</v>
      </c>
      <c r="AK435" s="1"/>
      <c r="AL435" s="1"/>
      <c r="AM435" s="1"/>
    </row>
    <row r="436" spans="1:39" ht="12.75" customHeight="1">
      <c r="A436" s="63">
        <v>38</v>
      </c>
      <c r="B436" s="134" t="s">
        <v>27</v>
      </c>
      <c r="C436" s="137" t="s">
        <v>2222</v>
      </c>
      <c r="D436" s="88" t="s">
        <v>2223</v>
      </c>
      <c r="E436" s="140"/>
      <c r="F436" s="140"/>
      <c r="G436" s="140"/>
      <c r="H436" s="140"/>
      <c r="I436" s="140"/>
      <c r="J436" s="140"/>
      <c r="K436" s="140"/>
      <c r="L436" s="140"/>
      <c r="M436" s="140"/>
      <c r="N436" s="140"/>
      <c r="O436" s="140"/>
      <c r="P436" s="140"/>
      <c r="Q436" s="140"/>
      <c r="R436" s="140"/>
      <c r="S436" s="140"/>
      <c r="T436" s="140"/>
      <c r="U436" s="140"/>
      <c r="V436" s="140"/>
      <c r="W436" s="140"/>
      <c r="X436" s="147"/>
      <c r="Y436" s="147"/>
      <c r="Z436" s="147"/>
      <c r="AA436" s="151"/>
      <c r="AB436" s="160"/>
      <c r="AC436" s="157"/>
      <c r="AD436" s="157"/>
      <c r="AE436" s="157"/>
      <c r="AF436" s="157">
        <v>30000000</v>
      </c>
      <c r="AG436" s="157"/>
      <c r="AH436" s="157"/>
      <c r="AI436" s="157"/>
      <c r="AJ436" s="166" t="s">
        <v>34</v>
      </c>
      <c r="AK436" s="1"/>
      <c r="AL436" s="1"/>
      <c r="AM436" s="1"/>
    </row>
    <row r="437" spans="1:39" ht="12.75" customHeight="1">
      <c r="A437" s="63">
        <v>39</v>
      </c>
      <c r="B437" s="134" t="s">
        <v>27</v>
      </c>
      <c r="C437" s="137" t="s">
        <v>2224</v>
      </c>
      <c r="D437" s="88" t="s">
        <v>2225</v>
      </c>
      <c r="E437" s="140"/>
      <c r="F437" s="140"/>
      <c r="G437" s="140"/>
      <c r="H437" s="140"/>
      <c r="I437" s="140"/>
      <c r="J437" s="140"/>
      <c r="K437" s="140"/>
      <c r="L437" s="140"/>
      <c r="M437" s="140"/>
      <c r="N437" s="140"/>
      <c r="O437" s="140"/>
      <c r="P437" s="140"/>
      <c r="Q437" s="140"/>
      <c r="R437" s="140"/>
      <c r="S437" s="140"/>
      <c r="T437" s="140"/>
      <c r="U437" s="140"/>
      <c r="V437" s="140"/>
      <c r="W437" s="140"/>
      <c r="X437" s="147"/>
      <c r="Y437" s="147"/>
      <c r="Z437" s="147"/>
      <c r="AA437" s="151"/>
      <c r="AB437" s="160"/>
      <c r="AC437" s="157"/>
      <c r="AD437" s="157"/>
      <c r="AE437" s="157"/>
      <c r="AF437" s="157">
        <v>40000000</v>
      </c>
      <c r="AG437" s="157"/>
      <c r="AH437" s="157"/>
      <c r="AI437" s="157"/>
      <c r="AJ437" s="166" t="s">
        <v>34</v>
      </c>
      <c r="AK437" s="1"/>
      <c r="AL437" s="1"/>
      <c r="AM437" s="1"/>
    </row>
    <row r="438" spans="1:39" ht="12.75" customHeight="1">
      <c r="A438" s="63">
        <v>40</v>
      </c>
      <c r="B438" s="134" t="s">
        <v>27</v>
      </c>
      <c r="C438" s="137" t="s">
        <v>2226</v>
      </c>
      <c r="D438" s="21" t="s">
        <v>2227</v>
      </c>
      <c r="E438" s="140"/>
      <c r="F438" s="140"/>
      <c r="G438" s="140"/>
      <c r="H438" s="140"/>
      <c r="I438" s="140"/>
      <c r="J438" s="140"/>
      <c r="K438" s="140"/>
      <c r="L438" s="140"/>
      <c r="M438" s="140"/>
      <c r="N438" s="140"/>
      <c r="O438" s="140"/>
      <c r="P438" s="140"/>
      <c r="Q438" s="140"/>
      <c r="R438" s="140"/>
      <c r="S438" s="140"/>
      <c r="T438" s="140"/>
      <c r="U438" s="140"/>
      <c r="V438" s="140"/>
      <c r="W438" s="140"/>
      <c r="X438" s="147"/>
      <c r="Y438" s="147"/>
      <c r="Z438" s="147"/>
      <c r="AA438" s="151"/>
      <c r="AB438" s="160"/>
      <c r="AC438" s="157"/>
      <c r="AD438" s="157"/>
      <c r="AE438" s="157"/>
      <c r="AF438" s="157">
        <v>30000000</v>
      </c>
      <c r="AG438" s="157"/>
      <c r="AH438" s="157"/>
      <c r="AI438" s="157"/>
      <c r="AJ438" s="166" t="s">
        <v>34</v>
      </c>
      <c r="AK438" s="1"/>
      <c r="AL438" s="1"/>
      <c r="AM438" s="1"/>
    </row>
    <row r="439" spans="1:39" ht="12.75" hidden="1" customHeight="1">
      <c r="A439" s="63">
        <v>41</v>
      </c>
      <c r="B439" s="134" t="s">
        <v>40</v>
      </c>
      <c r="C439" s="137" t="s">
        <v>2161</v>
      </c>
      <c r="D439" s="21" t="s">
        <v>2228</v>
      </c>
      <c r="E439" s="140"/>
      <c r="F439" s="140"/>
      <c r="G439" s="140"/>
      <c r="H439" s="140"/>
      <c r="I439" s="140"/>
      <c r="J439" s="140"/>
      <c r="K439" s="140"/>
      <c r="L439" s="140"/>
      <c r="M439" s="140"/>
      <c r="N439" s="140"/>
      <c r="O439" s="140"/>
      <c r="P439" s="140"/>
      <c r="Q439" s="140"/>
      <c r="R439" s="140"/>
      <c r="S439" s="140"/>
      <c r="T439" s="140"/>
      <c r="U439" s="140"/>
      <c r="V439" s="140"/>
      <c r="W439" s="140"/>
      <c r="X439" s="147"/>
      <c r="Y439" s="147"/>
      <c r="Z439" s="147"/>
      <c r="AA439" s="151"/>
      <c r="AB439" s="160"/>
      <c r="AC439" s="157"/>
      <c r="AD439" s="157"/>
      <c r="AE439" s="157">
        <v>49302000</v>
      </c>
      <c r="AF439" s="157"/>
      <c r="AG439" s="157"/>
      <c r="AH439" s="157"/>
      <c r="AI439" s="157"/>
      <c r="AJ439" s="166" t="s">
        <v>1765</v>
      </c>
      <c r="AK439" s="1"/>
      <c r="AL439" s="1"/>
      <c r="AM439" s="1"/>
    </row>
    <row r="440" spans="1:39" ht="12.75" hidden="1" customHeight="1">
      <c r="A440" s="63">
        <v>42</v>
      </c>
      <c r="B440" s="134" t="s">
        <v>40</v>
      </c>
      <c r="C440" s="137" t="s">
        <v>2161</v>
      </c>
      <c r="D440" s="21" t="s">
        <v>2229</v>
      </c>
      <c r="E440" s="140"/>
      <c r="F440" s="140"/>
      <c r="G440" s="140"/>
      <c r="H440" s="140"/>
      <c r="I440" s="140"/>
      <c r="J440" s="140"/>
      <c r="K440" s="140"/>
      <c r="L440" s="140"/>
      <c r="M440" s="140"/>
      <c r="N440" s="140"/>
      <c r="O440" s="140"/>
      <c r="P440" s="140"/>
      <c r="Q440" s="140"/>
      <c r="R440" s="140"/>
      <c r="S440" s="140"/>
      <c r="T440" s="140"/>
      <c r="U440" s="140"/>
      <c r="V440" s="140"/>
      <c r="W440" s="140"/>
      <c r="X440" s="147"/>
      <c r="Y440" s="147"/>
      <c r="Z440" s="147"/>
      <c r="AA440" s="151"/>
      <c r="AB440" s="160"/>
      <c r="AC440" s="157"/>
      <c r="AD440" s="157"/>
      <c r="AE440" s="157">
        <v>54565000</v>
      </c>
      <c r="AF440" s="157"/>
      <c r="AG440" s="157"/>
      <c r="AH440" s="157"/>
      <c r="AI440" s="157"/>
      <c r="AJ440" s="166" t="s">
        <v>1765</v>
      </c>
      <c r="AK440" s="1"/>
      <c r="AL440" s="1"/>
      <c r="AM440" s="1"/>
    </row>
    <row r="441" spans="1:39" ht="12.75" hidden="1" customHeight="1">
      <c r="A441" s="63">
        <v>43</v>
      </c>
      <c r="B441" s="134" t="s">
        <v>72</v>
      </c>
      <c r="C441" s="137" t="s">
        <v>2230</v>
      </c>
      <c r="D441" s="21" t="s">
        <v>2231</v>
      </c>
      <c r="E441" s="140"/>
      <c r="F441" s="140"/>
      <c r="G441" s="140"/>
      <c r="H441" s="140"/>
      <c r="I441" s="140"/>
      <c r="J441" s="140"/>
      <c r="K441" s="140"/>
      <c r="L441" s="140"/>
      <c r="M441" s="140"/>
      <c r="N441" s="140"/>
      <c r="O441" s="140"/>
      <c r="P441" s="140"/>
      <c r="Q441" s="140"/>
      <c r="R441" s="140"/>
      <c r="S441" s="140"/>
      <c r="T441" s="140"/>
      <c r="U441" s="140"/>
      <c r="V441" s="140"/>
      <c r="W441" s="140"/>
      <c r="X441" s="147"/>
      <c r="Y441" s="147"/>
      <c r="Z441" s="147"/>
      <c r="AA441" s="151"/>
      <c r="AB441" s="160"/>
      <c r="AC441" s="157"/>
      <c r="AD441" s="157"/>
      <c r="AE441" s="157"/>
      <c r="AF441" s="157">
        <v>65000000</v>
      </c>
      <c r="AG441" s="157"/>
      <c r="AH441" s="157"/>
      <c r="AI441" s="157"/>
      <c r="AJ441" s="166" t="s">
        <v>2232</v>
      </c>
      <c r="AK441" s="1"/>
      <c r="AL441" s="1"/>
      <c r="AM441" s="1"/>
    </row>
    <row r="442" spans="1:39" ht="12.75" hidden="1" customHeight="1">
      <c r="A442" s="63">
        <v>44</v>
      </c>
      <c r="B442" s="134" t="s">
        <v>40</v>
      </c>
      <c r="C442" s="137" t="s">
        <v>2233</v>
      </c>
      <c r="D442" s="21" t="s">
        <v>2234</v>
      </c>
      <c r="E442" s="140"/>
      <c r="F442" s="140"/>
      <c r="G442" s="140"/>
      <c r="H442" s="140"/>
      <c r="I442" s="140"/>
      <c r="J442" s="140"/>
      <c r="K442" s="140"/>
      <c r="L442" s="140"/>
      <c r="M442" s="140"/>
      <c r="N442" s="140"/>
      <c r="O442" s="140"/>
      <c r="P442" s="140"/>
      <c r="Q442" s="140"/>
      <c r="R442" s="140"/>
      <c r="S442" s="140"/>
      <c r="T442" s="140"/>
      <c r="U442" s="140"/>
      <c r="V442" s="140"/>
      <c r="W442" s="140"/>
      <c r="X442" s="147"/>
      <c r="Y442" s="147"/>
      <c r="Z442" s="147"/>
      <c r="AA442" s="151"/>
      <c r="AB442" s="160"/>
      <c r="AC442" s="157"/>
      <c r="AD442" s="157"/>
      <c r="AE442" s="157">
        <v>11000000</v>
      </c>
      <c r="AF442" s="157"/>
      <c r="AG442" s="157"/>
      <c r="AH442" s="157"/>
      <c r="AI442" s="157"/>
      <c r="AJ442" s="166" t="s">
        <v>1765</v>
      </c>
      <c r="AK442" s="1"/>
      <c r="AL442" s="1"/>
      <c r="AM442" s="1"/>
    </row>
    <row r="443" spans="1:39" ht="12.75" hidden="1" customHeight="1">
      <c r="A443" s="63">
        <v>45</v>
      </c>
      <c r="B443" s="134" t="s">
        <v>40</v>
      </c>
      <c r="C443" s="137" t="s">
        <v>2235</v>
      </c>
      <c r="D443" s="21" t="s">
        <v>2236</v>
      </c>
      <c r="E443" s="140"/>
      <c r="F443" s="140"/>
      <c r="G443" s="140"/>
      <c r="H443" s="140"/>
      <c r="I443" s="140"/>
      <c r="J443" s="140"/>
      <c r="K443" s="140"/>
      <c r="L443" s="140"/>
      <c r="M443" s="140"/>
      <c r="N443" s="140"/>
      <c r="O443" s="140"/>
      <c r="P443" s="140"/>
      <c r="Q443" s="140"/>
      <c r="R443" s="140"/>
      <c r="S443" s="140"/>
      <c r="T443" s="140"/>
      <c r="U443" s="140"/>
      <c r="V443" s="140"/>
      <c r="W443" s="140"/>
      <c r="X443" s="147"/>
      <c r="Y443" s="147"/>
      <c r="Z443" s="147"/>
      <c r="AA443" s="151"/>
      <c r="AB443" s="160"/>
      <c r="AC443" s="157"/>
      <c r="AD443" s="157"/>
      <c r="AE443" s="157">
        <v>14700000</v>
      </c>
      <c r="AF443" s="157"/>
      <c r="AG443" s="157"/>
      <c r="AH443" s="157"/>
      <c r="AI443" s="157"/>
      <c r="AJ443" s="166" t="s">
        <v>1765</v>
      </c>
      <c r="AK443" s="1"/>
      <c r="AL443" s="1"/>
      <c r="AM443" s="1"/>
    </row>
    <row r="444" spans="1:39" ht="12.75" customHeight="1">
      <c r="A444" s="63">
        <v>46</v>
      </c>
      <c r="B444" s="134" t="s">
        <v>27</v>
      </c>
      <c r="C444" s="137" t="s">
        <v>2237</v>
      </c>
      <c r="D444" s="88" t="s">
        <v>2238</v>
      </c>
      <c r="E444" s="140"/>
      <c r="F444" s="140"/>
      <c r="G444" s="140"/>
      <c r="H444" s="140"/>
      <c r="I444" s="140"/>
      <c r="J444" s="140"/>
      <c r="K444" s="140"/>
      <c r="L444" s="140"/>
      <c r="M444" s="140"/>
      <c r="N444" s="140"/>
      <c r="O444" s="140"/>
      <c r="P444" s="140"/>
      <c r="Q444" s="140"/>
      <c r="R444" s="140"/>
      <c r="S444" s="140"/>
      <c r="T444" s="140"/>
      <c r="U444" s="140"/>
      <c r="V444" s="140"/>
      <c r="W444" s="140"/>
      <c r="X444" s="147"/>
      <c r="Y444" s="147"/>
      <c r="Z444" s="147"/>
      <c r="AA444" s="151"/>
      <c r="AB444" s="160"/>
      <c r="AC444" s="157"/>
      <c r="AD444" s="157"/>
      <c r="AE444" s="157"/>
      <c r="AF444" s="157"/>
      <c r="AG444" s="157">
        <v>250000000</v>
      </c>
      <c r="AH444" s="157"/>
      <c r="AI444" s="157"/>
      <c r="AJ444" s="166" t="s">
        <v>2201</v>
      </c>
      <c r="AK444" s="1"/>
      <c r="AL444" s="1"/>
      <c r="AM444" s="1"/>
    </row>
    <row r="445" spans="1:39" ht="12.75" customHeight="1">
      <c r="A445" s="63">
        <v>47</v>
      </c>
      <c r="B445" s="134" t="s">
        <v>27</v>
      </c>
      <c r="C445" s="137" t="s">
        <v>2239</v>
      </c>
      <c r="D445" s="21" t="s">
        <v>2240</v>
      </c>
      <c r="E445" s="140"/>
      <c r="F445" s="140"/>
      <c r="G445" s="140"/>
      <c r="H445" s="140"/>
      <c r="I445" s="140"/>
      <c r="J445" s="140"/>
      <c r="K445" s="140"/>
      <c r="L445" s="140"/>
      <c r="M445" s="140"/>
      <c r="N445" s="140"/>
      <c r="O445" s="140"/>
      <c r="P445" s="140"/>
      <c r="Q445" s="140"/>
      <c r="R445" s="140"/>
      <c r="S445" s="140"/>
      <c r="T445" s="140"/>
      <c r="U445" s="140"/>
      <c r="V445" s="140"/>
      <c r="W445" s="140"/>
      <c r="X445" s="147"/>
      <c r="Y445" s="147"/>
      <c r="Z445" s="147"/>
      <c r="AA445" s="151"/>
      <c r="AB445" s="160"/>
      <c r="AC445" s="157"/>
      <c r="AD445" s="157"/>
      <c r="AE445" s="157"/>
      <c r="AF445" s="157"/>
      <c r="AG445" s="157">
        <v>40000000</v>
      </c>
      <c r="AH445" s="157"/>
      <c r="AI445" s="157"/>
      <c r="AJ445" s="166" t="s">
        <v>2201</v>
      </c>
      <c r="AK445" s="1"/>
      <c r="AL445" s="1"/>
      <c r="AM445" s="1"/>
    </row>
    <row r="446" spans="1:39" ht="12.75" customHeight="1">
      <c r="A446" s="63">
        <v>48</v>
      </c>
      <c r="B446" s="134" t="s">
        <v>27</v>
      </c>
      <c r="C446" s="137" t="s">
        <v>2241</v>
      </c>
      <c r="D446" s="21" t="s">
        <v>2242</v>
      </c>
      <c r="E446" s="140"/>
      <c r="F446" s="140"/>
      <c r="G446" s="140"/>
      <c r="H446" s="140"/>
      <c r="I446" s="140"/>
      <c r="J446" s="140"/>
      <c r="K446" s="140"/>
      <c r="L446" s="140"/>
      <c r="M446" s="140"/>
      <c r="N446" s="140"/>
      <c r="O446" s="140"/>
      <c r="P446" s="140"/>
      <c r="Q446" s="140"/>
      <c r="R446" s="140"/>
      <c r="S446" s="140"/>
      <c r="T446" s="140"/>
      <c r="U446" s="140"/>
      <c r="V446" s="140"/>
      <c r="W446" s="140"/>
      <c r="X446" s="147"/>
      <c r="Y446" s="147"/>
      <c r="Z446" s="147"/>
      <c r="AA446" s="151"/>
      <c r="AB446" s="160"/>
      <c r="AC446" s="157"/>
      <c r="AD446" s="157"/>
      <c r="AE446" s="157"/>
      <c r="AF446" s="157"/>
      <c r="AG446" s="157"/>
      <c r="AH446" s="157">
        <v>24000000</v>
      </c>
      <c r="AI446" s="157"/>
      <c r="AJ446" s="166" t="s">
        <v>2201</v>
      </c>
      <c r="AK446" s="1"/>
      <c r="AL446" s="1"/>
      <c r="AM446" s="1"/>
    </row>
    <row r="447" spans="1:39" ht="12.75" customHeight="1">
      <c r="A447" s="63">
        <v>49</v>
      </c>
      <c r="B447" s="134" t="s">
        <v>27</v>
      </c>
      <c r="C447" s="137" t="s">
        <v>2243</v>
      </c>
      <c r="D447" s="21" t="s">
        <v>2244</v>
      </c>
      <c r="E447" s="140"/>
      <c r="F447" s="140"/>
      <c r="G447" s="140"/>
      <c r="H447" s="140"/>
      <c r="I447" s="140"/>
      <c r="J447" s="140"/>
      <c r="K447" s="140"/>
      <c r="L447" s="140"/>
      <c r="M447" s="140"/>
      <c r="N447" s="140"/>
      <c r="O447" s="140"/>
      <c r="P447" s="140"/>
      <c r="Q447" s="140"/>
      <c r="R447" s="140"/>
      <c r="S447" s="140"/>
      <c r="T447" s="140"/>
      <c r="U447" s="140"/>
      <c r="V447" s="140"/>
      <c r="W447" s="140"/>
      <c r="X447" s="147"/>
      <c r="Y447" s="147"/>
      <c r="Z447" s="147"/>
      <c r="AA447" s="151"/>
      <c r="AB447" s="160"/>
      <c r="AC447" s="157"/>
      <c r="AD447" s="157"/>
      <c r="AE447" s="157"/>
      <c r="AF447" s="157"/>
      <c r="AG447" s="157"/>
      <c r="AH447" s="157">
        <v>13000000</v>
      </c>
      <c r="AI447" s="157"/>
      <c r="AJ447" s="166" t="s">
        <v>2201</v>
      </c>
      <c r="AK447" s="1"/>
      <c r="AL447" s="1"/>
      <c r="AM447" s="1"/>
    </row>
    <row r="448" spans="1:39" ht="12.75" customHeight="1">
      <c r="A448" s="63">
        <v>50</v>
      </c>
      <c r="B448" s="134" t="s">
        <v>27</v>
      </c>
      <c r="C448" s="137" t="s">
        <v>2245</v>
      </c>
      <c r="D448" s="88" t="s">
        <v>2246</v>
      </c>
      <c r="E448" s="140"/>
      <c r="F448" s="140"/>
      <c r="G448" s="140"/>
      <c r="H448" s="140"/>
      <c r="I448" s="140"/>
      <c r="J448" s="140"/>
      <c r="K448" s="140"/>
      <c r="L448" s="140"/>
      <c r="M448" s="140"/>
      <c r="N448" s="140"/>
      <c r="O448" s="140"/>
      <c r="P448" s="140"/>
      <c r="Q448" s="140"/>
      <c r="R448" s="140"/>
      <c r="S448" s="140"/>
      <c r="T448" s="140"/>
      <c r="U448" s="140"/>
      <c r="V448" s="140"/>
      <c r="W448" s="140"/>
      <c r="X448" s="147"/>
      <c r="Y448" s="147"/>
      <c r="Z448" s="147"/>
      <c r="AA448" s="151"/>
      <c r="AB448" s="160"/>
      <c r="AC448" s="157"/>
      <c r="AD448" s="157"/>
      <c r="AE448" s="157"/>
      <c r="AF448" s="157"/>
      <c r="AG448" s="157"/>
      <c r="AH448" s="157">
        <v>60000000</v>
      </c>
      <c r="AI448" s="157"/>
      <c r="AJ448" s="166" t="s">
        <v>2201</v>
      </c>
      <c r="AK448" s="1"/>
      <c r="AL448" s="1"/>
      <c r="AM448" s="1"/>
    </row>
    <row r="449" spans="1:39" ht="12.75" customHeight="1">
      <c r="A449" s="63">
        <v>51</v>
      </c>
      <c r="B449" s="134" t="s">
        <v>27</v>
      </c>
      <c r="C449" s="137" t="s">
        <v>2247</v>
      </c>
      <c r="D449" s="88" t="s">
        <v>2248</v>
      </c>
      <c r="E449" s="140"/>
      <c r="F449" s="140"/>
      <c r="G449" s="140"/>
      <c r="H449" s="140"/>
      <c r="I449" s="140"/>
      <c r="J449" s="140"/>
      <c r="K449" s="140"/>
      <c r="L449" s="140"/>
      <c r="M449" s="140"/>
      <c r="N449" s="140"/>
      <c r="O449" s="140"/>
      <c r="P449" s="140"/>
      <c r="Q449" s="140"/>
      <c r="R449" s="140"/>
      <c r="S449" s="140"/>
      <c r="T449" s="140"/>
      <c r="U449" s="140"/>
      <c r="V449" s="140"/>
      <c r="W449" s="140"/>
      <c r="X449" s="147"/>
      <c r="Y449" s="147"/>
      <c r="Z449" s="147"/>
      <c r="AA449" s="151"/>
      <c r="AB449" s="160"/>
      <c r="AC449" s="157"/>
      <c r="AD449" s="157"/>
      <c r="AE449" s="157"/>
      <c r="AF449" s="157"/>
      <c r="AG449" s="157"/>
      <c r="AH449" s="157">
        <v>21900000</v>
      </c>
      <c r="AI449" s="157"/>
      <c r="AJ449" s="166" t="s">
        <v>2201</v>
      </c>
      <c r="AK449" s="1"/>
      <c r="AL449" s="1"/>
      <c r="AM449" s="1"/>
    </row>
    <row r="450" spans="1:39" ht="12.75" customHeight="1">
      <c r="A450" s="63">
        <v>52</v>
      </c>
      <c r="B450" s="134" t="s">
        <v>27</v>
      </c>
      <c r="C450" s="137" t="s">
        <v>2220</v>
      </c>
      <c r="D450" s="88" t="s">
        <v>2249</v>
      </c>
      <c r="E450" s="140"/>
      <c r="F450" s="140"/>
      <c r="G450" s="140"/>
      <c r="H450" s="140"/>
      <c r="I450" s="140"/>
      <c r="J450" s="140"/>
      <c r="K450" s="140"/>
      <c r="L450" s="140"/>
      <c r="M450" s="140"/>
      <c r="N450" s="140"/>
      <c r="O450" s="140"/>
      <c r="P450" s="140"/>
      <c r="Q450" s="140"/>
      <c r="R450" s="140"/>
      <c r="S450" s="140"/>
      <c r="T450" s="140"/>
      <c r="U450" s="140"/>
      <c r="V450" s="140"/>
      <c r="W450" s="140"/>
      <c r="X450" s="147"/>
      <c r="Y450" s="147"/>
      <c r="Z450" s="147"/>
      <c r="AA450" s="151"/>
      <c r="AB450" s="160"/>
      <c r="AC450" s="157"/>
      <c r="AD450" s="157"/>
      <c r="AE450" s="157"/>
      <c r="AF450" s="157"/>
      <c r="AG450" s="157"/>
      <c r="AH450" s="157">
        <v>50000000</v>
      </c>
      <c r="AI450" s="157"/>
      <c r="AJ450" s="166" t="s">
        <v>2201</v>
      </c>
      <c r="AK450" s="1"/>
      <c r="AL450" s="1"/>
      <c r="AM450" s="1"/>
    </row>
    <row r="451" spans="1:39" ht="12.75" customHeight="1">
      <c r="A451" s="63">
        <v>53</v>
      </c>
      <c r="B451" s="134" t="s">
        <v>27</v>
      </c>
      <c r="C451" s="137" t="s">
        <v>2208</v>
      </c>
      <c r="D451" s="88" t="s">
        <v>2250</v>
      </c>
      <c r="E451" s="140"/>
      <c r="F451" s="140"/>
      <c r="G451" s="140"/>
      <c r="H451" s="140"/>
      <c r="I451" s="140"/>
      <c r="J451" s="140"/>
      <c r="K451" s="140"/>
      <c r="L451" s="140"/>
      <c r="M451" s="140"/>
      <c r="N451" s="140"/>
      <c r="O451" s="140"/>
      <c r="P451" s="140"/>
      <c r="Q451" s="140"/>
      <c r="R451" s="140"/>
      <c r="S451" s="140"/>
      <c r="T451" s="140"/>
      <c r="U451" s="140"/>
      <c r="V451" s="140"/>
      <c r="W451" s="140"/>
      <c r="X451" s="147"/>
      <c r="Y451" s="147"/>
      <c r="Z451" s="147"/>
      <c r="AA451" s="151"/>
      <c r="AB451" s="160"/>
      <c r="AC451" s="157"/>
      <c r="AD451" s="157"/>
      <c r="AE451" s="157"/>
      <c r="AF451" s="157"/>
      <c r="AG451" s="157"/>
      <c r="AH451" s="157">
        <v>50000000</v>
      </c>
      <c r="AI451" s="157"/>
      <c r="AJ451" s="166" t="s">
        <v>2201</v>
      </c>
      <c r="AK451" s="1"/>
      <c r="AL451" s="1"/>
      <c r="AM451" s="1"/>
    </row>
    <row r="452" spans="1:39" ht="12.75" hidden="1" customHeight="1">
      <c r="A452" s="63">
        <v>1</v>
      </c>
      <c r="B452" s="36" t="s">
        <v>1990</v>
      </c>
      <c r="C452" s="18" t="s">
        <v>2251</v>
      </c>
      <c r="D452" s="168" t="s">
        <v>2252</v>
      </c>
      <c r="E452" s="105"/>
      <c r="F452" s="105"/>
      <c r="G452" s="105"/>
      <c r="H452" s="66"/>
      <c r="I452" s="178"/>
      <c r="J452" s="178"/>
      <c r="K452" s="178"/>
      <c r="L452" s="178"/>
      <c r="M452" s="178"/>
      <c r="N452" s="178"/>
      <c r="O452" s="178"/>
      <c r="P452" s="178"/>
      <c r="Q452" s="178"/>
      <c r="R452" s="178"/>
      <c r="S452" s="178"/>
      <c r="T452" s="182"/>
      <c r="U452" s="183"/>
      <c r="V452" s="184"/>
      <c r="W452" s="183"/>
      <c r="X452" s="184"/>
      <c r="Y452" s="77"/>
      <c r="Z452" s="191"/>
      <c r="AA452" s="76"/>
      <c r="AB452" s="192"/>
      <c r="AC452" s="192"/>
      <c r="AD452" s="192">
        <v>150000000</v>
      </c>
      <c r="AE452" s="192"/>
      <c r="AF452" s="192"/>
      <c r="AG452" s="192"/>
      <c r="AH452" s="192"/>
      <c r="AI452" s="192"/>
      <c r="AJ452" s="86" t="s">
        <v>2253</v>
      </c>
      <c r="AK452" s="1"/>
      <c r="AL452" s="1"/>
      <c r="AM452" s="1"/>
    </row>
    <row r="453" spans="1:39" ht="12.75" customHeight="1">
      <c r="A453" s="63">
        <v>2</v>
      </c>
      <c r="B453" s="169" t="s">
        <v>1967</v>
      </c>
      <c r="C453" s="18" t="s">
        <v>2254</v>
      </c>
      <c r="D453" s="168" t="s">
        <v>2255</v>
      </c>
      <c r="E453" s="105"/>
      <c r="F453" s="105"/>
      <c r="G453" s="105"/>
      <c r="H453" s="66"/>
      <c r="I453" s="178"/>
      <c r="J453" s="178"/>
      <c r="K453" s="178"/>
      <c r="L453" s="178"/>
      <c r="M453" s="178"/>
      <c r="N453" s="178"/>
      <c r="O453" s="178"/>
      <c r="P453" s="178"/>
      <c r="Q453" s="178"/>
      <c r="R453" s="178"/>
      <c r="S453" s="178"/>
      <c r="T453" s="182"/>
      <c r="U453" s="183"/>
      <c r="V453" s="184"/>
      <c r="W453" s="183"/>
      <c r="X453" s="184"/>
      <c r="Y453" s="77">
        <v>28000000</v>
      </c>
      <c r="Z453" s="191"/>
      <c r="AA453" s="77"/>
      <c r="AB453" s="77"/>
      <c r="AC453" s="77"/>
      <c r="AD453" s="77"/>
      <c r="AE453" s="77"/>
      <c r="AF453" s="77"/>
      <c r="AG453" s="77"/>
      <c r="AH453" s="77"/>
      <c r="AI453" s="77"/>
      <c r="AJ453" s="86" t="s">
        <v>1556</v>
      </c>
      <c r="AK453" s="1"/>
      <c r="AL453" s="1"/>
      <c r="AM453" s="1"/>
    </row>
    <row r="454" spans="1:39" ht="12.75" hidden="1" customHeight="1">
      <c r="A454" s="63">
        <v>3</v>
      </c>
      <c r="B454" s="169" t="s">
        <v>1957</v>
      </c>
      <c r="C454" s="21" t="s">
        <v>2256</v>
      </c>
      <c r="D454" s="170" t="s">
        <v>2257</v>
      </c>
      <c r="E454" s="105"/>
      <c r="F454" s="105"/>
      <c r="G454" s="105"/>
      <c r="H454" s="66"/>
      <c r="I454" s="178"/>
      <c r="J454" s="178"/>
      <c r="K454" s="178"/>
      <c r="L454" s="178"/>
      <c r="M454" s="178"/>
      <c r="N454" s="178"/>
      <c r="O454" s="178"/>
      <c r="P454" s="178"/>
      <c r="Q454" s="178"/>
      <c r="R454" s="178"/>
      <c r="S454" s="178"/>
      <c r="T454" s="182"/>
      <c r="U454" s="183"/>
      <c r="V454" s="184">
        <v>7000000</v>
      </c>
      <c r="W454" s="183"/>
      <c r="X454" s="184"/>
      <c r="Y454" s="77"/>
      <c r="Z454" s="191"/>
      <c r="AA454" s="77"/>
      <c r="AB454" s="77"/>
      <c r="AC454" s="77"/>
      <c r="AD454" s="77"/>
      <c r="AE454" s="77"/>
      <c r="AF454" s="77"/>
      <c r="AG454" s="77"/>
      <c r="AH454" s="77"/>
      <c r="AI454" s="77"/>
      <c r="AJ454" s="86" t="s">
        <v>2258</v>
      </c>
      <c r="AK454" s="1"/>
      <c r="AL454" s="1"/>
      <c r="AM454" s="1"/>
    </row>
    <row r="455" spans="1:39" ht="12.75" hidden="1" customHeight="1">
      <c r="A455" s="63">
        <v>4</v>
      </c>
      <c r="B455" s="169" t="s">
        <v>1990</v>
      </c>
      <c r="C455" s="21" t="s">
        <v>2251</v>
      </c>
      <c r="D455" s="170" t="s">
        <v>2259</v>
      </c>
      <c r="E455" s="105"/>
      <c r="F455" s="105"/>
      <c r="G455" s="105"/>
      <c r="H455" s="66"/>
      <c r="I455" s="178"/>
      <c r="J455" s="178"/>
      <c r="K455" s="178"/>
      <c r="L455" s="178"/>
      <c r="M455" s="178"/>
      <c r="N455" s="178"/>
      <c r="O455" s="178"/>
      <c r="P455" s="178"/>
      <c r="Q455" s="178"/>
      <c r="R455" s="178"/>
      <c r="S455" s="178"/>
      <c r="T455" s="182"/>
      <c r="U455" s="183"/>
      <c r="V455" s="184"/>
      <c r="W455" s="183"/>
      <c r="X455" s="184"/>
      <c r="Y455" s="77"/>
      <c r="Z455" s="191"/>
      <c r="AA455" s="77"/>
      <c r="AB455" s="77"/>
      <c r="AC455" s="77"/>
      <c r="AD455" s="77">
        <v>250000000</v>
      </c>
      <c r="AE455" s="77"/>
      <c r="AF455" s="77"/>
      <c r="AG455" s="77"/>
      <c r="AH455" s="77"/>
      <c r="AI455" s="77"/>
      <c r="AJ455" s="86" t="s">
        <v>2253</v>
      </c>
      <c r="AK455" s="1"/>
      <c r="AL455" s="1"/>
      <c r="AM455" s="1"/>
    </row>
    <row r="456" spans="1:39" ht="12.75" hidden="1" customHeight="1">
      <c r="A456" s="63">
        <v>5</v>
      </c>
      <c r="B456" s="169" t="s">
        <v>1957</v>
      </c>
      <c r="C456" s="21" t="s">
        <v>2260</v>
      </c>
      <c r="D456" s="170" t="s">
        <v>2261</v>
      </c>
      <c r="E456" s="105"/>
      <c r="F456" s="105"/>
      <c r="G456" s="105"/>
      <c r="H456" s="66"/>
      <c r="I456" s="178"/>
      <c r="J456" s="178"/>
      <c r="K456" s="178"/>
      <c r="L456" s="178"/>
      <c r="M456" s="178"/>
      <c r="N456" s="178"/>
      <c r="O456" s="178"/>
      <c r="P456" s="178"/>
      <c r="Q456" s="178"/>
      <c r="R456" s="178"/>
      <c r="S456" s="178"/>
      <c r="T456" s="182"/>
      <c r="U456" s="183">
        <v>27850000</v>
      </c>
      <c r="V456" s="184"/>
      <c r="W456" s="183"/>
      <c r="X456" s="184"/>
      <c r="Y456" s="77"/>
      <c r="Z456" s="191"/>
      <c r="AA456" s="77"/>
      <c r="AB456" s="77"/>
      <c r="AC456" s="77"/>
      <c r="AD456" s="77"/>
      <c r="AE456" s="77"/>
      <c r="AF456" s="77"/>
      <c r="AG456" s="77"/>
      <c r="AH456" s="77"/>
      <c r="AI456" s="77"/>
      <c r="AJ456" s="86" t="s">
        <v>1556</v>
      </c>
      <c r="AK456" s="1"/>
      <c r="AL456" s="1"/>
      <c r="AM456" s="1"/>
    </row>
    <row r="457" spans="1:39" ht="12.75" hidden="1" customHeight="1">
      <c r="A457" s="63">
        <v>6</v>
      </c>
      <c r="B457" s="169" t="s">
        <v>2262</v>
      </c>
      <c r="C457" s="21" t="s">
        <v>2260</v>
      </c>
      <c r="D457" s="170" t="s">
        <v>2263</v>
      </c>
      <c r="E457" s="105"/>
      <c r="F457" s="105"/>
      <c r="G457" s="105"/>
      <c r="H457" s="66"/>
      <c r="I457" s="178"/>
      <c r="J457" s="178"/>
      <c r="K457" s="178"/>
      <c r="L457" s="178"/>
      <c r="M457" s="178"/>
      <c r="N457" s="178"/>
      <c r="O457" s="178"/>
      <c r="P457" s="178"/>
      <c r="Q457" s="178"/>
      <c r="R457" s="178"/>
      <c r="S457" s="178"/>
      <c r="T457" s="182"/>
      <c r="U457" s="183"/>
      <c r="V457" s="184">
        <v>60000000</v>
      </c>
      <c r="W457" s="183"/>
      <c r="X457" s="184"/>
      <c r="Y457" s="77"/>
      <c r="Z457" s="191"/>
      <c r="AA457" s="77"/>
      <c r="AB457" s="77"/>
      <c r="AC457" s="77"/>
      <c r="AD457" s="77"/>
      <c r="AE457" s="77"/>
      <c r="AF457" s="77"/>
      <c r="AG457" s="77"/>
      <c r="AH457" s="77"/>
      <c r="AI457" s="77"/>
      <c r="AJ457" s="86" t="s">
        <v>1556</v>
      </c>
      <c r="AK457" s="1"/>
      <c r="AL457" s="1"/>
      <c r="AM457" s="1"/>
    </row>
    <row r="458" spans="1:39" ht="12.75" customHeight="1">
      <c r="A458" s="63">
        <v>7</v>
      </c>
      <c r="B458" s="169" t="s">
        <v>1967</v>
      </c>
      <c r="C458" s="21" t="s">
        <v>2264</v>
      </c>
      <c r="D458" s="170" t="s">
        <v>2265</v>
      </c>
      <c r="E458" s="105"/>
      <c r="F458" s="105"/>
      <c r="G458" s="105"/>
      <c r="H458" s="66"/>
      <c r="I458" s="178"/>
      <c r="J458" s="178"/>
      <c r="K458" s="178"/>
      <c r="L458" s="178"/>
      <c r="M458" s="178"/>
      <c r="N458" s="178"/>
      <c r="O458" s="178"/>
      <c r="P458" s="178"/>
      <c r="Q458" s="178"/>
      <c r="R458" s="178"/>
      <c r="S458" s="178"/>
      <c r="T458" s="182"/>
      <c r="U458" s="183"/>
      <c r="V458" s="184"/>
      <c r="W458" s="183"/>
      <c r="X458" s="184"/>
      <c r="Y458" s="77"/>
      <c r="Z458" s="1"/>
      <c r="AA458" s="77"/>
      <c r="AB458" s="191">
        <v>9690000</v>
      </c>
      <c r="AC458" s="77"/>
      <c r="AD458" s="77"/>
      <c r="AE458" s="77"/>
      <c r="AF458" s="77"/>
      <c r="AG458" s="77"/>
      <c r="AH458" s="77"/>
      <c r="AI458" s="77"/>
      <c r="AJ458" s="86" t="s">
        <v>2210</v>
      </c>
      <c r="AK458" s="1"/>
      <c r="AL458" s="1"/>
      <c r="AM458" s="1"/>
    </row>
    <row r="459" spans="1:39" ht="12.75" customHeight="1">
      <c r="A459" s="63">
        <v>8</v>
      </c>
      <c r="B459" s="169" t="s">
        <v>1967</v>
      </c>
      <c r="C459" s="21" t="s">
        <v>2266</v>
      </c>
      <c r="D459" s="170" t="s">
        <v>2267</v>
      </c>
      <c r="E459" s="105"/>
      <c r="F459" s="105"/>
      <c r="G459" s="105"/>
      <c r="H459" s="66"/>
      <c r="I459" s="178"/>
      <c r="J459" s="178"/>
      <c r="K459" s="178"/>
      <c r="L459" s="178"/>
      <c r="M459" s="178"/>
      <c r="N459" s="178"/>
      <c r="O459" s="178"/>
      <c r="P459" s="178"/>
      <c r="Q459" s="178"/>
      <c r="R459" s="178"/>
      <c r="S459" s="178"/>
      <c r="T459" s="182"/>
      <c r="U459" s="183"/>
      <c r="V459" s="184"/>
      <c r="W459" s="183"/>
      <c r="X459" s="184"/>
      <c r="Y459" s="77"/>
      <c r="Z459" s="191"/>
      <c r="AA459" s="77">
        <v>90000000</v>
      </c>
      <c r="AB459" s="77"/>
      <c r="AC459" s="77"/>
      <c r="AD459" s="77"/>
      <c r="AE459" s="77"/>
      <c r="AF459" s="77"/>
      <c r="AG459" s="77"/>
      <c r="AH459" s="77"/>
      <c r="AI459" s="77"/>
      <c r="AJ459" s="86" t="s">
        <v>2258</v>
      </c>
      <c r="AK459" s="1"/>
      <c r="AL459" s="1"/>
      <c r="AM459" s="1"/>
    </row>
    <row r="460" spans="1:39" ht="12.75" hidden="1" customHeight="1">
      <c r="A460" s="63">
        <v>9</v>
      </c>
      <c r="B460" s="169" t="s">
        <v>2268</v>
      </c>
      <c r="C460" s="21" t="s">
        <v>2269</v>
      </c>
      <c r="D460" s="170" t="s">
        <v>2270</v>
      </c>
      <c r="E460" s="105"/>
      <c r="F460" s="105"/>
      <c r="G460" s="105"/>
      <c r="H460" s="66"/>
      <c r="I460" s="178"/>
      <c r="J460" s="178"/>
      <c r="K460" s="178"/>
      <c r="L460" s="178"/>
      <c r="M460" s="178"/>
      <c r="N460" s="178"/>
      <c r="O460" s="178"/>
      <c r="P460" s="178"/>
      <c r="Q460" s="178"/>
      <c r="R460" s="178"/>
      <c r="S460" s="178"/>
      <c r="T460" s="182"/>
      <c r="U460" s="18"/>
      <c r="V460" s="184"/>
      <c r="W460" s="183"/>
      <c r="X460" s="184">
        <v>350000000</v>
      </c>
      <c r="Y460" s="77"/>
      <c r="Z460" s="191"/>
      <c r="AA460" s="77"/>
      <c r="AB460" s="77"/>
      <c r="AC460" s="77"/>
      <c r="AD460" s="77"/>
      <c r="AE460" s="77"/>
      <c r="AF460" s="77"/>
      <c r="AG460" s="77"/>
      <c r="AH460" s="77"/>
      <c r="AI460" s="77"/>
      <c r="AJ460" s="86" t="s">
        <v>2271</v>
      </c>
      <c r="AK460" s="1"/>
      <c r="AL460" s="1"/>
      <c r="AM460" s="1"/>
    </row>
    <row r="461" spans="1:39" ht="12.75" customHeight="1">
      <c r="A461" s="63">
        <v>10</v>
      </c>
      <c r="B461" s="169" t="s">
        <v>1967</v>
      </c>
      <c r="C461" s="21" t="s">
        <v>2272</v>
      </c>
      <c r="D461" s="170" t="s">
        <v>2273</v>
      </c>
      <c r="E461" s="105"/>
      <c r="F461" s="105"/>
      <c r="G461" s="105"/>
      <c r="H461" s="66"/>
      <c r="I461" s="178"/>
      <c r="J461" s="178"/>
      <c r="K461" s="178"/>
      <c r="L461" s="178"/>
      <c r="M461" s="178"/>
      <c r="N461" s="178"/>
      <c r="O461" s="178"/>
      <c r="P461" s="178"/>
      <c r="Q461" s="178"/>
      <c r="R461" s="178"/>
      <c r="S461" s="178"/>
      <c r="T461" s="182"/>
      <c r="U461" s="18"/>
      <c r="V461" s="184"/>
      <c r="W461" s="183"/>
      <c r="X461" s="184"/>
      <c r="Y461" s="77"/>
      <c r="Z461" s="191"/>
      <c r="AA461" s="77"/>
      <c r="AB461" s="77">
        <v>30000000</v>
      </c>
      <c r="AC461" s="77"/>
      <c r="AD461" s="77"/>
      <c r="AE461" s="77"/>
      <c r="AF461" s="77"/>
      <c r="AG461" s="77"/>
      <c r="AH461" s="77"/>
      <c r="AI461" s="77"/>
      <c r="AJ461" s="86" t="s">
        <v>2258</v>
      </c>
      <c r="AK461" s="1"/>
      <c r="AL461" s="1"/>
      <c r="AM461" s="1"/>
    </row>
    <row r="462" spans="1:39" ht="12.75" customHeight="1">
      <c r="A462" s="63">
        <v>11</v>
      </c>
      <c r="B462" s="171" t="s">
        <v>1967</v>
      </c>
      <c r="C462" s="21" t="s">
        <v>2274</v>
      </c>
      <c r="D462" s="170" t="s">
        <v>2275</v>
      </c>
      <c r="E462" s="172"/>
      <c r="F462" s="172"/>
      <c r="G462" s="172"/>
      <c r="H462" s="62"/>
      <c r="I462" s="179"/>
      <c r="J462" s="179"/>
      <c r="K462" s="179"/>
      <c r="L462" s="179"/>
      <c r="M462" s="179"/>
      <c r="N462" s="179"/>
      <c r="O462" s="179"/>
      <c r="P462" s="179"/>
      <c r="Q462" s="179"/>
      <c r="R462" s="179"/>
      <c r="S462" s="179"/>
      <c r="T462" s="185"/>
      <c r="U462" s="21"/>
      <c r="V462" s="17"/>
      <c r="W462" s="186"/>
      <c r="X462" s="17"/>
      <c r="Y462" s="79"/>
      <c r="Z462" s="193"/>
      <c r="AA462" s="79"/>
      <c r="AB462" s="79">
        <v>20000000</v>
      </c>
      <c r="AC462" s="79"/>
      <c r="AD462" s="79"/>
      <c r="AE462" s="79"/>
      <c r="AF462" s="79"/>
      <c r="AG462" s="79"/>
      <c r="AH462" s="79"/>
      <c r="AI462" s="79"/>
      <c r="AJ462" s="86" t="s">
        <v>2258</v>
      </c>
      <c r="AK462" s="85"/>
      <c r="AL462" s="85"/>
      <c r="AM462" s="85"/>
    </row>
    <row r="463" spans="1:39" ht="12.75" customHeight="1">
      <c r="A463" s="63">
        <v>12</v>
      </c>
      <c r="B463" s="171" t="s">
        <v>1967</v>
      </c>
      <c r="C463" s="21" t="s">
        <v>2276</v>
      </c>
      <c r="D463" s="170" t="s">
        <v>2277</v>
      </c>
      <c r="E463" s="173"/>
      <c r="F463" s="173"/>
      <c r="G463" s="173"/>
      <c r="H463" s="62"/>
      <c r="I463" s="179"/>
      <c r="J463" s="179"/>
      <c r="K463" s="179"/>
      <c r="L463" s="179"/>
      <c r="M463" s="179"/>
      <c r="N463" s="179"/>
      <c r="O463" s="179"/>
      <c r="P463" s="179"/>
      <c r="Q463" s="179"/>
      <c r="R463" s="179"/>
      <c r="S463" s="179"/>
      <c r="T463" s="185"/>
      <c r="U463" s="117"/>
      <c r="V463" s="187"/>
      <c r="W463" s="117"/>
      <c r="X463" s="187"/>
      <c r="Y463" s="79">
        <v>60000000</v>
      </c>
      <c r="Z463" s="193"/>
      <c r="AA463" s="79"/>
      <c r="AB463" s="79"/>
      <c r="AC463" s="79"/>
      <c r="AD463" s="79"/>
      <c r="AE463" s="79"/>
      <c r="AF463" s="79"/>
      <c r="AG463" s="79"/>
      <c r="AH463" s="79"/>
      <c r="AI463" s="79"/>
      <c r="AJ463" s="86" t="s">
        <v>2258</v>
      </c>
      <c r="AK463" s="85"/>
      <c r="AL463" s="85"/>
      <c r="AM463" s="85"/>
    </row>
    <row r="464" spans="1:39" ht="12.75" customHeight="1">
      <c r="A464" s="63">
        <v>13</v>
      </c>
      <c r="B464" s="171" t="s">
        <v>1967</v>
      </c>
      <c r="C464" s="21" t="s">
        <v>2278</v>
      </c>
      <c r="D464" s="170" t="s">
        <v>2279</v>
      </c>
      <c r="E464" s="173"/>
      <c r="F464" s="173"/>
      <c r="G464" s="173"/>
      <c r="H464" s="62"/>
      <c r="I464" s="179"/>
      <c r="J464" s="179"/>
      <c r="K464" s="179"/>
      <c r="L464" s="179"/>
      <c r="M464" s="179"/>
      <c r="N464" s="179"/>
      <c r="O464" s="179"/>
      <c r="P464" s="179"/>
      <c r="Q464" s="179"/>
      <c r="R464" s="179"/>
      <c r="S464" s="179"/>
      <c r="T464" s="185"/>
      <c r="U464" s="117"/>
      <c r="V464" s="187"/>
      <c r="W464" s="117"/>
      <c r="X464" s="187"/>
      <c r="Y464" s="79"/>
      <c r="Z464" s="193"/>
      <c r="AA464" s="79">
        <v>60000000</v>
      </c>
      <c r="AB464" s="79"/>
      <c r="AC464" s="79"/>
      <c r="AD464" s="79"/>
      <c r="AE464" s="79"/>
      <c r="AF464" s="79"/>
      <c r="AG464" s="79"/>
      <c r="AH464" s="79"/>
      <c r="AI464" s="79"/>
      <c r="AJ464" s="86" t="s">
        <v>2210</v>
      </c>
      <c r="AK464" s="85"/>
      <c r="AL464" s="85"/>
      <c r="AM464" s="85"/>
    </row>
    <row r="465" spans="1:39" ht="12.75" customHeight="1">
      <c r="A465" s="63">
        <v>14</v>
      </c>
      <c r="B465" s="171" t="s">
        <v>1967</v>
      </c>
      <c r="C465" s="21" t="s">
        <v>2280</v>
      </c>
      <c r="D465" s="170" t="s">
        <v>2281</v>
      </c>
      <c r="E465" s="173"/>
      <c r="F465" s="173"/>
      <c r="G465" s="173"/>
      <c r="H465" s="62"/>
      <c r="I465" s="179"/>
      <c r="J465" s="179"/>
      <c r="K465" s="179"/>
      <c r="L465" s="179"/>
      <c r="M465" s="179"/>
      <c r="N465" s="179"/>
      <c r="O465" s="179"/>
      <c r="P465" s="179"/>
      <c r="Q465" s="179"/>
      <c r="R465" s="179"/>
      <c r="S465" s="179"/>
      <c r="T465" s="185"/>
      <c r="U465" s="117"/>
      <c r="V465" s="187"/>
      <c r="W465" s="117"/>
      <c r="X465" s="187"/>
      <c r="Y465" s="79"/>
      <c r="Z465" s="193"/>
      <c r="AA465" s="79"/>
      <c r="AB465" s="79">
        <v>40000000</v>
      </c>
      <c r="AC465" s="79"/>
      <c r="AD465" s="79"/>
      <c r="AE465" s="79"/>
      <c r="AF465" s="79"/>
      <c r="AG465" s="79"/>
      <c r="AH465" s="79"/>
      <c r="AI465" s="79"/>
      <c r="AJ465" s="86" t="s">
        <v>2258</v>
      </c>
      <c r="AK465" s="85"/>
      <c r="AL465" s="85"/>
      <c r="AM465" s="85"/>
    </row>
    <row r="466" spans="1:39" ht="12.75" customHeight="1">
      <c r="A466" s="63">
        <v>15</v>
      </c>
      <c r="B466" s="171" t="s">
        <v>1967</v>
      </c>
      <c r="C466" s="21" t="s">
        <v>2282</v>
      </c>
      <c r="D466" s="170" t="s">
        <v>2283</v>
      </c>
      <c r="E466" s="173"/>
      <c r="F466" s="173"/>
      <c r="G466" s="173"/>
      <c r="H466" s="62"/>
      <c r="I466" s="179"/>
      <c r="J466" s="179"/>
      <c r="K466" s="179"/>
      <c r="L466" s="179"/>
      <c r="M466" s="179"/>
      <c r="N466" s="179"/>
      <c r="O466" s="179"/>
      <c r="P466" s="179"/>
      <c r="Q466" s="179"/>
      <c r="R466" s="179"/>
      <c r="S466" s="179"/>
      <c r="T466" s="185"/>
      <c r="U466" s="117"/>
      <c r="V466" s="187"/>
      <c r="W466" s="117"/>
      <c r="X466" s="187"/>
      <c r="Y466" s="79"/>
      <c r="Z466" s="85"/>
      <c r="AA466" s="79">
        <v>130000000</v>
      </c>
      <c r="AB466" s="79"/>
      <c r="AC466" s="79"/>
      <c r="AD466" s="79"/>
      <c r="AE466" s="79"/>
      <c r="AF466" s="79"/>
      <c r="AG466" s="79"/>
      <c r="AH466" s="79"/>
      <c r="AI466" s="79"/>
      <c r="AJ466" s="86" t="s">
        <v>2210</v>
      </c>
      <c r="AK466" s="85"/>
      <c r="AL466" s="85"/>
      <c r="AM466" s="85"/>
    </row>
    <row r="467" spans="1:39" ht="12.75" customHeight="1">
      <c r="A467" s="63">
        <v>16</v>
      </c>
      <c r="B467" s="171" t="s">
        <v>1967</v>
      </c>
      <c r="C467" s="21" t="s">
        <v>2284</v>
      </c>
      <c r="D467" s="170" t="s">
        <v>2285</v>
      </c>
      <c r="E467" s="173"/>
      <c r="F467" s="173"/>
      <c r="G467" s="173"/>
      <c r="H467" s="62"/>
      <c r="I467" s="179"/>
      <c r="J467" s="179"/>
      <c r="K467" s="179"/>
      <c r="L467" s="179"/>
      <c r="M467" s="179"/>
      <c r="N467" s="179"/>
      <c r="O467" s="179"/>
      <c r="P467" s="179"/>
      <c r="Q467" s="179"/>
      <c r="R467" s="179"/>
      <c r="S467" s="179"/>
      <c r="T467" s="185"/>
      <c r="U467" s="117"/>
      <c r="V467" s="187"/>
      <c r="W467" s="117"/>
      <c r="X467" s="187">
        <v>195000000</v>
      </c>
      <c r="Y467" s="79"/>
      <c r="Z467" s="193"/>
      <c r="AA467" s="79"/>
      <c r="AB467" s="79"/>
      <c r="AC467" s="79"/>
      <c r="AD467" s="79"/>
      <c r="AE467" s="79"/>
      <c r="AF467" s="79"/>
      <c r="AG467" s="79"/>
      <c r="AH467" s="79"/>
      <c r="AI467" s="79"/>
      <c r="AJ467" s="86" t="s">
        <v>2258</v>
      </c>
      <c r="AK467" s="85"/>
      <c r="AL467" s="85"/>
      <c r="AM467" s="85"/>
    </row>
    <row r="468" spans="1:39" ht="12.75" hidden="1" customHeight="1">
      <c r="A468" s="63">
        <v>17</v>
      </c>
      <c r="B468" s="16" t="s">
        <v>72</v>
      </c>
      <c r="C468" s="21" t="s">
        <v>117</v>
      </c>
      <c r="D468" s="170" t="s">
        <v>2286</v>
      </c>
      <c r="E468" s="173"/>
      <c r="F468" s="173"/>
      <c r="G468" s="173"/>
      <c r="H468" s="62"/>
      <c r="I468" s="173"/>
      <c r="J468" s="173"/>
      <c r="K468" s="173"/>
      <c r="L468" s="62"/>
      <c r="M468" s="62"/>
      <c r="N468" s="173"/>
      <c r="O468" s="62"/>
      <c r="P468" s="180"/>
      <c r="Q468" s="180"/>
      <c r="R468" s="179"/>
      <c r="S468" s="188"/>
      <c r="T468" s="189"/>
      <c r="U468" s="117">
        <v>2800000</v>
      </c>
      <c r="V468" s="187"/>
      <c r="W468" s="117"/>
      <c r="X468" s="187"/>
      <c r="Y468" s="79"/>
      <c r="Z468" s="193"/>
      <c r="AA468" s="79"/>
      <c r="AB468" s="79"/>
      <c r="AC468" s="79"/>
      <c r="AD468" s="79"/>
      <c r="AE468" s="79"/>
      <c r="AF468" s="79"/>
      <c r="AG468" s="79"/>
      <c r="AH468" s="79"/>
      <c r="AI468" s="79"/>
      <c r="AJ468" s="86" t="s">
        <v>1556</v>
      </c>
      <c r="AK468" s="85"/>
      <c r="AL468" s="85"/>
      <c r="AM468" s="85"/>
    </row>
    <row r="469" spans="1:39" ht="12.75" customHeight="1">
      <c r="A469" s="63">
        <v>18</v>
      </c>
      <c r="B469" s="16" t="s">
        <v>27</v>
      </c>
      <c r="C469" s="21" t="s">
        <v>2287</v>
      </c>
      <c r="D469" s="170" t="s">
        <v>2288</v>
      </c>
      <c r="E469" s="173"/>
      <c r="F469" s="173"/>
      <c r="G469" s="173"/>
      <c r="H469" s="62"/>
      <c r="I469" s="173"/>
      <c r="J469" s="173"/>
      <c r="K469" s="173"/>
      <c r="L469" s="62"/>
      <c r="M469" s="173"/>
      <c r="N469" s="173"/>
      <c r="O469" s="62"/>
      <c r="P469" s="180"/>
      <c r="Q469" s="180"/>
      <c r="R469" s="188"/>
      <c r="S469" s="188"/>
      <c r="T469" s="189"/>
      <c r="U469" s="117"/>
      <c r="V469" s="187"/>
      <c r="W469" s="117"/>
      <c r="X469" s="187"/>
      <c r="Y469" s="79"/>
      <c r="Z469" s="193"/>
      <c r="AA469" s="79"/>
      <c r="AB469" s="79"/>
      <c r="AC469" s="79">
        <v>391000000</v>
      </c>
      <c r="AD469" s="79"/>
      <c r="AE469" s="79"/>
      <c r="AF469" s="79"/>
      <c r="AG469" s="79"/>
      <c r="AH469" s="79"/>
      <c r="AI469" s="79"/>
      <c r="AJ469" s="86" t="s">
        <v>2210</v>
      </c>
      <c r="AK469" s="85"/>
      <c r="AL469" s="85"/>
      <c r="AM469" s="85"/>
    </row>
    <row r="470" spans="1:39" ht="12.75" hidden="1" customHeight="1">
      <c r="A470" s="63">
        <v>19</v>
      </c>
      <c r="B470" s="16" t="s">
        <v>72</v>
      </c>
      <c r="C470" s="21" t="s">
        <v>2289</v>
      </c>
      <c r="D470" s="170" t="s">
        <v>2286</v>
      </c>
      <c r="E470" s="173"/>
      <c r="F470" s="173"/>
      <c r="G470" s="173"/>
      <c r="H470" s="62"/>
      <c r="I470" s="173"/>
      <c r="J470" s="173"/>
      <c r="K470" s="173"/>
      <c r="L470" s="62"/>
      <c r="M470" s="173"/>
      <c r="N470" s="173"/>
      <c r="O470" s="62"/>
      <c r="P470" s="180"/>
      <c r="Q470" s="180"/>
      <c r="R470" s="188"/>
      <c r="S470" s="188"/>
      <c r="T470" s="189"/>
      <c r="U470" s="117">
        <v>2250000</v>
      </c>
      <c r="V470" s="187"/>
      <c r="W470" s="117"/>
      <c r="X470" s="187"/>
      <c r="Y470" s="79"/>
      <c r="Z470" s="193"/>
      <c r="AA470" s="79"/>
      <c r="AB470" s="79"/>
      <c r="AC470" s="79"/>
      <c r="AD470" s="79"/>
      <c r="AE470" s="79"/>
      <c r="AF470" s="79"/>
      <c r="AG470" s="79"/>
      <c r="AH470" s="79"/>
      <c r="AI470" s="79"/>
      <c r="AJ470" s="86" t="s">
        <v>2290</v>
      </c>
      <c r="AK470" s="85"/>
      <c r="AL470" s="85"/>
      <c r="AM470" s="85"/>
    </row>
    <row r="471" spans="1:39" ht="12.75" hidden="1" customHeight="1">
      <c r="A471" s="63">
        <v>20</v>
      </c>
      <c r="B471" s="16" t="s">
        <v>40</v>
      </c>
      <c r="C471" s="21" t="s">
        <v>2291</v>
      </c>
      <c r="D471" s="170" t="s">
        <v>2292</v>
      </c>
      <c r="E471" s="173"/>
      <c r="F471" s="173"/>
      <c r="G471" s="173"/>
      <c r="H471" s="62"/>
      <c r="I471" s="173"/>
      <c r="J471" s="173"/>
      <c r="K471" s="173"/>
      <c r="L471" s="62"/>
      <c r="M471" s="173"/>
      <c r="N471" s="173"/>
      <c r="O471" s="62"/>
      <c r="P471" s="180"/>
      <c r="Q471" s="180"/>
      <c r="R471" s="188"/>
      <c r="S471" s="188"/>
      <c r="T471" s="189"/>
      <c r="U471" s="117">
        <v>1800000</v>
      </c>
      <c r="V471" s="187"/>
      <c r="W471" s="117"/>
      <c r="X471" s="187"/>
      <c r="Y471" s="79"/>
      <c r="Z471" s="193"/>
      <c r="AA471" s="79"/>
      <c r="AB471" s="79"/>
      <c r="AC471" s="79"/>
      <c r="AD471" s="79"/>
      <c r="AE471" s="79"/>
      <c r="AF471" s="79"/>
      <c r="AG471" s="79"/>
      <c r="AH471" s="79"/>
      <c r="AI471" s="79"/>
      <c r="AJ471" s="86" t="s">
        <v>1556</v>
      </c>
      <c r="AK471" s="85"/>
      <c r="AL471" s="85"/>
      <c r="AM471" s="85"/>
    </row>
    <row r="472" spans="1:39" ht="12.75" hidden="1" customHeight="1">
      <c r="A472" s="63">
        <v>21</v>
      </c>
      <c r="B472" s="16" t="s">
        <v>1517</v>
      </c>
      <c r="C472" s="21" t="s">
        <v>2293</v>
      </c>
      <c r="D472" s="170" t="s">
        <v>2294</v>
      </c>
      <c r="E472" s="173"/>
      <c r="F472" s="173"/>
      <c r="G472" s="173"/>
      <c r="H472" s="62"/>
      <c r="I472" s="173"/>
      <c r="J472" s="173"/>
      <c r="K472" s="173"/>
      <c r="L472" s="62"/>
      <c r="M472" s="173"/>
      <c r="N472" s="173"/>
      <c r="O472" s="62"/>
      <c r="P472" s="180"/>
      <c r="Q472" s="180"/>
      <c r="R472" s="188"/>
      <c r="S472" s="188"/>
      <c r="T472" s="189"/>
      <c r="U472" s="117"/>
      <c r="V472" s="187"/>
      <c r="W472" s="117">
        <v>81000000</v>
      </c>
      <c r="X472" s="187"/>
      <c r="Y472" s="79"/>
      <c r="Z472" s="193"/>
      <c r="AA472" s="79"/>
      <c r="AB472" s="79"/>
      <c r="AC472" s="79"/>
      <c r="AD472" s="79"/>
      <c r="AE472" s="79"/>
      <c r="AF472" s="79"/>
      <c r="AG472" s="79"/>
      <c r="AH472" s="79"/>
      <c r="AI472" s="79"/>
      <c r="AJ472" s="86" t="s">
        <v>1556</v>
      </c>
      <c r="AK472" s="85"/>
      <c r="AL472" s="85"/>
      <c r="AM472" s="85"/>
    </row>
    <row r="473" spans="1:39" ht="12.75" hidden="1" customHeight="1">
      <c r="A473" s="63">
        <v>22</v>
      </c>
      <c r="B473" s="171" t="s">
        <v>2295</v>
      </c>
      <c r="C473" s="21" t="s">
        <v>2296</v>
      </c>
      <c r="D473" s="170" t="s">
        <v>2297</v>
      </c>
      <c r="E473" s="173"/>
      <c r="F473" s="173"/>
      <c r="G473" s="173"/>
      <c r="H473" s="62"/>
      <c r="I473" s="173"/>
      <c r="J473" s="173"/>
      <c r="K473" s="173"/>
      <c r="L473" s="62"/>
      <c r="M473" s="173"/>
      <c r="N473" s="173"/>
      <c r="O473" s="62"/>
      <c r="P473" s="179"/>
      <c r="Q473" s="179"/>
      <c r="R473" s="179"/>
      <c r="S473" s="179"/>
      <c r="T473" s="185"/>
      <c r="U473" s="117">
        <v>5700000</v>
      </c>
      <c r="V473" s="187"/>
      <c r="W473" s="117"/>
      <c r="X473" s="187"/>
      <c r="Y473" s="79"/>
      <c r="Z473" s="193"/>
      <c r="AA473" s="79"/>
      <c r="AB473" s="79"/>
      <c r="AC473" s="79"/>
      <c r="AD473" s="79"/>
      <c r="AE473" s="79"/>
      <c r="AF473" s="79"/>
      <c r="AG473" s="79"/>
      <c r="AH473" s="79"/>
      <c r="AI473" s="79"/>
      <c r="AJ473" s="86" t="s">
        <v>1556</v>
      </c>
      <c r="AK473" s="85"/>
      <c r="AL473" s="85"/>
      <c r="AM473" s="85"/>
    </row>
    <row r="474" spans="1:39" ht="12.75" hidden="1" customHeight="1">
      <c r="A474" s="63">
        <v>23</v>
      </c>
      <c r="B474" s="171" t="s">
        <v>2298</v>
      </c>
      <c r="C474" s="21" t="s">
        <v>2299</v>
      </c>
      <c r="D474" s="170" t="s">
        <v>2300</v>
      </c>
      <c r="E474" s="173"/>
      <c r="F474" s="173"/>
      <c r="G474" s="173"/>
      <c r="H474" s="62"/>
      <c r="I474" s="173"/>
      <c r="J474" s="173"/>
      <c r="K474" s="173"/>
      <c r="L474" s="62"/>
      <c r="M474" s="173"/>
      <c r="N474" s="173"/>
      <c r="O474" s="62"/>
      <c r="P474" s="179"/>
      <c r="Q474" s="179"/>
      <c r="R474" s="179"/>
      <c r="S474" s="179"/>
      <c r="T474" s="185"/>
      <c r="U474" s="117">
        <v>150888919</v>
      </c>
      <c r="V474" s="187"/>
      <c r="W474" s="117"/>
      <c r="X474" s="187"/>
      <c r="Y474" s="79"/>
      <c r="Z474" s="193"/>
      <c r="AA474" s="79"/>
      <c r="AB474" s="79"/>
      <c r="AC474" s="79"/>
      <c r="AD474" s="79"/>
      <c r="AE474" s="79"/>
      <c r="AF474" s="79"/>
      <c r="AG474" s="79"/>
      <c r="AH474" s="79"/>
      <c r="AI474" s="79"/>
      <c r="AJ474" s="86" t="s">
        <v>1556</v>
      </c>
      <c r="AK474" s="85"/>
      <c r="AL474" s="85"/>
      <c r="AM474" s="85"/>
    </row>
    <row r="475" spans="1:39" ht="12.75" customHeight="1">
      <c r="A475" s="63">
        <v>24</v>
      </c>
      <c r="B475" s="171" t="s">
        <v>1967</v>
      </c>
      <c r="C475" s="21" t="s">
        <v>2301</v>
      </c>
      <c r="D475" s="170" t="s">
        <v>2302</v>
      </c>
      <c r="E475" s="173"/>
      <c r="F475" s="173"/>
      <c r="G475" s="173"/>
      <c r="H475" s="62"/>
      <c r="I475" s="173"/>
      <c r="J475" s="173"/>
      <c r="K475" s="173"/>
      <c r="L475" s="62"/>
      <c r="M475" s="173"/>
      <c r="N475" s="173"/>
      <c r="O475" s="62"/>
      <c r="P475" s="179"/>
      <c r="Q475" s="179"/>
      <c r="R475" s="179"/>
      <c r="S475" s="179"/>
      <c r="T475" s="185"/>
      <c r="U475" s="117"/>
      <c r="V475" s="187"/>
      <c r="W475" s="117"/>
      <c r="X475" s="187"/>
      <c r="Y475" s="79"/>
      <c r="Z475" s="193"/>
      <c r="AA475" s="79"/>
      <c r="AB475" s="79">
        <v>74000000</v>
      </c>
      <c r="AC475" s="79"/>
      <c r="AD475" s="79"/>
      <c r="AE475" s="79"/>
      <c r="AF475" s="79"/>
      <c r="AG475" s="79"/>
      <c r="AH475" s="79"/>
      <c r="AI475" s="79"/>
      <c r="AJ475" s="86" t="s">
        <v>2210</v>
      </c>
      <c r="AK475" s="85"/>
      <c r="AL475" s="85"/>
      <c r="AM475" s="85"/>
    </row>
    <row r="476" spans="1:39" ht="12.75" hidden="1" customHeight="1">
      <c r="A476" s="63">
        <v>25</v>
      </c>
      <c r="B476" s="171" t="s">
        <v>2268</v>
      </c>
      <c r="C476" s="21" t="s">
        <v>2303</v>
      </c>
      <c r="D476" s="170" t="s">
        <v>2304</v>
      </c>
      <c r="E476" s="173"/>
      <c r="F476" s="173"/>
      <c r="G476" s="173"/>
      <c r="H476" s="62"/>
      <c r="I476" s="173"/>
      <c r="J476" s="173"/>
      <c r="K476" s="173"/>
      <c r="L476" s="62"/>
      <c r="M476" s="173"/>
      <c r="N476" s="173"/>
      <c r="O476" s="62"/>
      <c r="P476" s="179"/>
      <c r="Q476" s="179"/>
      <c r="R476" s="179"/>
      <c r="S476" s="179"/>
      <c r="T476" s="185"/>
      <c r="U476" s="117"/>
      <c r="V476" s="187"/>
      <c r="W476" s="117">
        <v>48000000</v>
      </c>
      <c r="X476" s="187"/>
      <c r="Y476" s="79"/>
      <c r="Z476" s="193"/>
      <c r="AA476" s="79"/>
      <c r="AB476" s="79"/>
      <c r="AC476" s="79"/>
      <c r="AD476" s="79"/>
      <c r="AE476" s="79"/>
      <c r="AF476" s="79"/>
      <c r="AG476" s="79"/>
      <c r="AH476" s="79"/>
      <c r="AI476" s="79"/>
      <c r="AJ476" s="86" t="s">
        <v>2271</v>
      </c>
      <c r="AK476" s="85"/>
      <c r="AL476" s="85"/>
      <c r="AM476" s="85"/>
    </row>
    <row r="477" spans="1:39" ht="12.75" customHeight="1">
      <c r="A477" s="63">
        <v>26</v>
      </c>
      <c r="B477" s="171" t="s">
        <v>1967</v>
      </c>
      <c r="C477" s="21" t="s">
        <v>2305</v>
      </c>
      <c r="D477" s="170" t="s">
        <v>2306</v>
      </c>
      <c r="E477" s="173"/>
      <c r="F477" s="173"/>
      <c r="G477" s="173"/>
      <c r="H477" s="62"/>
      <c r="I477" s="173"/>
      <c r="J477" s="173"/>
      <c r="K477" s="173"/>
      <c r="L477" s="62"/>
      <c r="M477" s="173"/>
      <c r="N477" s="173"/>
      <c r="O477" s="62"/>
      <c r="P477" s="179"/>
      <c r="Q477" s="179"/>
      <c r="R477" s="179"/>
      <c r="S477" s="179"/>
      <c r="T477" s="185"/>
      <c r="U477" s="117"/>
      <c r="V477" s="187"/>
      <c r="W477" s="117">
        <v>4000000</v>
      </c>
      <c r="X477" s="187"/>
      <c r="Y477" s="79"/>
      <c r="Z477" s="193"/>
      <c r="AA477" s="79"/>
      <c r="AB477" s="79"/>
      <c r="AC477" s="79"/>
      <c r="AD477" s="79"/>
      <c r="AE477" s="79"/>
      <c r="AF477" s="79"/>
      <c r="AG477" s="79"/>
      <c r="AH477" s="79"/>
      <c r="AI477" s="79"/>
      <c r="AJ477" s="86" t="s">
        <v>2258</v>
      </c>
      <c r="AK477" s="85"/>
      <c r="AL477" s="85"/>
      <c r="AM477" s="85"/>
    </row>
    <row r="478" spans="1:39" ht="12.75" customHeight="1">
      <c r="A478" s="63">
        <v>27</v>
      </c>
      <c r="B478" s="16" t="s">
        <v>27</v>
      </c>
      <c r="C478" s="21" t="s">
        <v>2307</v>
      </c>
      <c r="D478" s="170" t="s">
        <v>2308</v>
      </c>
      <c r="E478" s="173"/>
      <c r="F478" s="173"/>
      <c r="G478" s="173"/>
      <c r="H478" s="62"/>
      <c r="I478" s="173"/>
      <c r="J478" s="173"/>
      <c r="K478" s="173"/>
      <c r="L478" s="62"/>
      <c r="M478" s="173"/>
      <c r="N478" s="173"/>
      <c r="O478" s="62"/>
      <c r="P478" s="179"/>
      <c r="Q478" s="179"/>
      <c r="R478" s="179"/>
      <c r="S478" s="188"/>
      <c r="T478" s="189"/>
      <c r="U478" s="117">
        <v>12000000</v>
      </c>
      <c r="V478" s="187"/>
      <c r="W478" s="117"/>
      <c r="X478" s="187"/>
      <c r="Y478" s="79"/>
      <c r="Z478" s="193"/>
      <c r="AA478" s="79"/>
      <c r="AB478" s="79"/>
      <c r="AC478" s="79"/>
      <c r="AD478" s="79"/>
      <c r="AE478" s="79"/>
      <c r="AF478" s="79"/>
      <c r="AG478" s="79"/>
      <c r="AH478" s="79"/>
      <c r="AI478" s="79"/>
      <c r="AJ478" s="86" t="s">
        <v>2309</v>
      </c>
      <c r="AK478" s="85"/>
      <c r="AL478" s="85"/>
      <c r="AM478" s="85"/>
    </row>
    <row r="479" spans="1:39" ht="12.75" customHeight="1">
      <c r="A479" s="63">
        <v>28</v>
      </c>
      <c r="B479" s="16" t="s">
        <v>27</v>
      </c>
      <c r="C479" s="21" t="s">
        <v>2310</v>
      </c>
      <c r="D479" s="170" t="s">
        <v>2311</v>
      </c>
      <c r="E479" s="173"/>
      <c r="F479" s="173"/>
      <c r="G479" s="173"/>
      <c r="H479" s="62"/>
      <c r="I479" s="173"/>
      <c r="J479" s="173"/>
      <c r="K479" s="173"/>
      <c r="L479" s="62"/>
      <c r="M479" s="173"/>
      <c r="N479" s="173"/>
      <c r="O479" s="62"/>
      <c r="P479" s="179"/>
      <c r="Q479" s="179"/>
      <c r="R479" s="179"/>
      <c r="S479" s="188"/>
      <c r="T479" s="189"/>
      <c r="U479" s="117"/>
      <c r="V479" s="187"/>
      <c r="W479" s="117"/>
      <c r="X479" s="187"/>
      <c r="Y479" s="79">
        <v>15703500</v>
      </c>
      <c r="Z479" s="193"/>
      <c r="AA479" s="79"/>
      <c r="AB479" s="79"/>
      <c r="AC479" s="79"/>
      <c r="AD479" s="79"/>
      <c r="AE479" s="79"/>
      <c r="AF479" s="79"/>
      <c r="AG479" s="79"/>
      <c r="AH479" s="79"/>
      <c r="AI479" s="79"/>
      <c r="AJ479" s="86" t="s">
        <v>1765</v>
      </c>
      <c r="AK479" s="85"/>
      <c r="AL479" s="85"/>
      <c r="AM479" s="85"/>
    </row>
    <row r="480" spans="1:39" ht="12.75" hidden="1" customHeight="1">
      <c r="A480" s="63">
        <v>29</v>
      </c>
      <c r="B480" s="16" t="s">
        <v>40</v>
      </c>
      <c r="C480" s="21" t="s">
        <v>2312</v>
      </c>
      <c r="D480" s="170" t="s">
        <v>2313</v>
      </c>
      <c r="E480" s="173"/>
      <c r="F480" s="173"/>
      <c r="G480" s="173"/>
      <c r="H480" s="62"/>
      <c r="I480" s="173"/>
      <c r="J480" s="173"/>
      <c r="K480" s="173"/>
      <c r="L480" s="62"/>
      <c r="M480" s="173"/>
      <c r="N480" s="173"/>
      <c r="O480" s="62"/>
      <c r="P480" s="179"/>
      <c r="Q480" s="179"/>
      <c r="R480" s="179"/>
      <c r="S480" s="188"/>
      <c r="T480" s="189"/>
      <c r="U480" s="117">
        <v>2610000</v>
      </c>
      <c r="V480" s="187"/>
      <c r="W480" s="117"/>
      <c r="X480" s="187"/>
      <c r="Y480" s="79"/>
      <c r="Z480" s="193"/>
      <c r="AA480" s="79"/>
      <c r="AB480" s="79"/>
      <c r="AC480" s="79"/>
      <c r="AD480" s="79"/>
      <c r="AE480" s="79"/>
      <c r="AF480" s="79"/>
      <c r="AG480" s="79"/>
      <c r="AH480" s="79"/>
      <c r="AI480" s="79"/>
      <c r="AJ480" s="86" t="s">
        <v>1556</v>
      </c>
      <c r="AK480" s="85"/>
      <c r="AL480" s="85"/>
      <c r="AM480" s="85"/>
    </row>
    <row r="481" spans="1:39" ht="12.75" customHeight="1">
      <c r="A481" s="63">
        <v>30</v>
      </c>
      <c r="B481" s="16" t="s">
        <v>27</v>
      </c>
      <c r="C481" s="21" t="s">
        <v>2314</v>
      </c>
      <c r="D481" s="170" t="s">
        <v>2315</v>
      </c>
      <c r="E481" s="173"/>
      <c r="F481" s="173"/>
      <c r="G481" s="173"/>
      <c r="H481" s="62"/>
      <c r="I481" s="173"/>
      <c r="J481" s="173"/>
      <c r="K481" s="173"/>
      <c r="L481" s="62"/>
      <c r="M481" s="173"/>
      <c r="N481" s="173"/>
      <c r="O481" s="62"/>
      <c r="P481" s="179"/>
      <c r="Q481" s="179"/>
      <c r="R481" s="179"/>
      <c r="S481" s="188"/>
      <c r="T481" s="189"/>
      <c r="U481" s="117"/>
      <c r="V481" s="187"/>
      <c r="W481" s="117"/>
      <c r="X481" s="187"/>
      <c r="Y481" s="79"/>
      <c r="Z481" s="193">
        <v>43000000</v>
      </c>
      <c r="AA481" s="79"/>
      <c r="AB481" s="79"/>
      <c r="AC481" s="79"/>
      <c r="AD481" s="79"/>
      <c r="AE481" s="79"/>
      <c r="AF481" s="79"/>
      <c r="AG481" s="79"/>
      <c r="AH481" s="79"/>
      <c r="AI481" s="79"/>
      <c r="AJ481" s="86" t="s">
        <v>2258</v>
      </c>
      <c r="AK481" s="85"/>
      <c r="AL481" s="85"/>
      <c r="AM481" s="85"/>
    </row>
    <row r="482" spans="1:39" ht="12.75" customHeight="1">
      <c r="A482" s="63">
        <v>31</v>
      </c>
      <c r="B482" s="16" t="s">
        <v>27</v>
      </c>
      <c r="C482" s="21" t="s">
        <v>2316</v>
      </c>
      <c r="D482" s="170" t="s">
        <v>2317</v>
      </c>
      <c r="E482" s="173"/>
      <c r="F482" s="173"/>
      <c r="G482" s="173"/>
      <c r="H482" s="62"/>
      <c r="I482" s="173"/>
      <c r="J482" s="173"/>
      <c r="K482" s="173"/>
      <c r="L482" s="62"/>
      <c r="M482" s="173"/>
      <c r="N482" s="173"/>
      <c r="O482" s="62"/>
      <c r="P482" s="179"/>
      <c r="Q482" s="179"/>
      <c r="R482" s="179"/>
      <c r="S482" s="188"/>
      <c r="T482" s="189"/>
      <c r="U482" s="117"/>
      <c r="V482" s="187"/>
      <c r="W482" s="117"/>
      <c r="X482" s="187">
        <v>12000000</v>
      </c>
      <c r="Y482" s="79"/>
      <c r="Z482" s="193"/>
      <c r="AA482" s="79"/>
      <c r="AB482" s="79"/>
      <c r="AC482" s="79"/>
      <c r="AD482" s="79"/>
      <c r="AE482" s="79"/>
      <c r="AF482" s="79"/>
      <c r="AG482" s="79"/>
      <c r="AH482" s="79"/>
      <c r="AI482" s="79"/>
      <c r="AJ482" s="86" t="s">
        <v>2309</v>
      </c>
      <c r="AK482" s="85"/>
      <c r="AL482" s="85"/>
      <c r="AM482" s="85"/>
    </row>
    <row r="483" spans="1:39" ht="12.75" customHeight="1">
      <c r="A483" s="63">
        <v>32</v>
      </c>
      <c r="B483" s="16" t="s">
        <v>27</v>
      </c>
      <c r="C483" s="21" t="s">
        <v>2318</v>
      </c>
      <c r="D483" s="170" t="s">
        <v>2319</v>
      </c>
      <c r="E483" s="173"/>
      <c r="F483" s="173"/>
      <c r="G483" s="173"/>
      <c r="H483" s="62"/>
      <c r="I483" s="173"/>
      <c r="J483" s="173"/>
      <c r="K483" s="173"/>
      <c r="L483" s="62"/>
      <c r="M483" s="173"/>
      <c r="N483" s="173"/>
      <c r="O483" s="62"/>
      <c r="P483" s="179"/>
      <c r="Q483" s="179"/>
      <c r="R483" s="179"/>
      <c r="S483" s="188"/>
      <c r="T483" s="189"/>
      <c r="U483" s="117"/>
      <c r="V483" s="187"/>
      <c r="W483" s="117"/>
      <c r="X483" s="187"/>
      <c r="Y483" s="79"/>
      <c r="Z483" s="193"/>
      <c r="AA483" s="79"/>
      <c r="AB483" s="79">
        <v>17000000</v>
      </c>
      <c r="AC483" s="79"/>
      <c r="AD483" s="79"/>
      <c r="AE483" s="79"/>
      <c r="AF483" s="79"/>
      <c r="AG483" s="79"/>
      <c r="AH483" s="79"/>
      <c r="AI483" s="79"/>
      <c r="AJ483" s="86" t="s">
        <v>2258</v>
      </c>
      <c r="AK483" s="85"/>
      <c r="AL483" s="85"/>
      <c r="AM483" s="85"/>
    </row>
    <row r="484" spans="1:39" ht="12.75" hidden="1" customHeight="1">
      <c r="A484" s="63">
        <v>33</v>
      </c>
      <c r="B484" s="16" t="s">
        <v>40</v>
      </c>
      <c r="C484" s="21" t="s">
        <v>2320</v>
      </c>
      <c r="D484" s="170" t="s">
        <v>2321</v>
      </c>
      <c r="E484" s="173"/>
      <c r="F484" s="173"/>
      <c r="G484" s="173"/>
      <c r="H484" s="62"/>
      <c r="I484" s="173"/>
      <c r="J484" s="173"/>
      <c r="K484" s="173"/>
      <c r="L484" s="62"/>
      <c r="M484" s="173"/>
      <c r="N484" s="173"/>
      <c r="O484" s="62"/>
      <c r="P484" s="179"/>
      <c r="Q484" s="179"/>
      <c r="R484" s="179"/>
      <c r="S484" s="188"/>
      <c r="T484" s="189"/>
      <c r="U484" s="117">
        <v>1350000</v>
      </c>
      <c r="V484" s="187"/>
      <c r="W484" s="117"/>
      <c r="X484" s="187"/>
      <c r="Y484" s="79"/>
      <c r="Z484" s="193"/>
      <c r="AA484" s="79"/>
      <c r="AB484" s="79"/>
      <c r="AC484" s="79"/>
      <c r="AD484" s="79"/>
      <c r="AE484" s="79"/>
      <c r="AF484" s="79"/>
      <c r="AG484" s="79"/>
      <c r="AH484" s="79"/>
      <c r="AI484" s="79"/>
      <c r="AJ484" s="86" t="s">
        <v>1556</v>
      </c>
      <c r="AK484" s="85"/>
      <c r="AL484" s="85"/>
      <c r="AM484" s="85"/>
    </row>
    <row r="485" spans="1:39" ht="12.75" hidden="1" customHeight="1">
      <c r="A485" s="63">
        <v>34</v>
      </c>
      <c r="B485" s="16" t="s">
        <v>40</v>
      </c>
      <c r="C485" s="21" t="s">
        <v>2322</v>
      </c>
      <c r="D485" s="170" t="s">
        <v>2323</v>
      </c>
      <c r="E485" s="173"/>
      <c r="F485" s="173"/>
      <c r="G485" s="173"/>
      <c r="H485" s="62"/>
      <c r="I485" s="173"/>
      <c r="J485" s="173"/>
      <c r="K485" s="173"/>
      <c r="L485" s="62"/>
      <c r="M485" s="173"/>
      <c r="N485" s="173"/>
      <c r="O485" s="62"/>
      <c r="P485" s="179"/>
      <c r="Q485" s="179"/>
      <c r="R485" s="179"/>
      <c r="S485" s="188"/>
      <c r="T485" s="189"/>
      <c r="U485" s="117">
        <v>4401000</v>
      </c>
      <c r="V485" s="187"/>
      <c r="W485" s="117"/>
      <c r="X485" s="187"/>
      <c r="Y485" s="79"/>
      <c r="Z485" s="193"/>
      <c r="AA485" s="79"/>
      <c r="AB485" s="79"/>
      <c r="AC485" s="79"/>
      <c r="AD485" s="79"/>
      <c r="AE485" s="79"/>
      <c r="AF485" s="79"/>
      <c r="AG485" s="79"/>
      <c r="AH485" s="79"/>
      <c r="AI485" s="79"/>
      <c r="AJ485" s="86" t="s">
        <v>1556</v>
      </c>
      <c r="AK485" s="85"/>
      <c r="AL485" s="85"/>
      <c r="AM485" s="85"/>
    </row>
    <row r="486" spans="1:39" ht="12.75" customHeight="1">
      <c r="A486" s="63">
        <v>35</v>
      </c>
      <c r="B486" s="16" t="s">
        <v>27</v>
      </c>
      <c r="C486" s="21" t="s">
        <v>2324</v>
      </c>
      <c r="D486" s="170" t="s">
        <v>2325</v>
      </c>
      <c r="E486" s="173"/>
      <c r="F486" s="173"/>
      <c r="G486" s="173"/>
      <c r="H486" s="62"/>
      <c r="I486" s="173"/>
      <c r="J486" s="173"/>
      <c r="K486" s="173"/>
      <c r="L486" s="62"/>
      <c r="M486" s="173"/>
      <c r="N486" s="173"/>
      <c r="O486" s="62"/>
      <c r="P486" s="179"/>
      <c r="Q486" s="179"/>
      <c r="R486" s="179"/>
      <c r="S486" s="188"/>
      <c r="T486" s="189"/>
      <c r="U486" s="117"/>
      <c r="V486" s="187"/>
      <c r="W486" s="117"/>
      <c r="X486" s="187"/>
      <c r="Y486" s="79"/>
      <c r="Z486" s="193"/>
      <c r="AA486" s="79">
        <v>24500000</v>
      </c>
      <c r="AB486" s="79"/>
      <c r="AC486" s="79"/>
      <c r="AD486" s="79"/>
      <c r="AE486" s="79"/>
      <c r="AF486" s="79"/>
      <c r="AG486" s="79"/>
      <c r="AH486" s="79"/>
      <c r="AI486" s="79"/>
      <c r="AJ486" s="86" t="s">
        <v>2210</v>
      </c>
      <c r="AK486" s="85"/>
      <c r="AL486" s="85"/>
      <c r="AM486" s="85"/>
    </row>
    <row r="487" spans="1:39" ht="12.75" customHeight="1">
      <c r="A487" s="63">
        <v>36</v>
      </c>
      <c r="B487" s="16" t="s">
        <v>27</v>
      </c>
      <c r="C487" s="21" t="s">
        <v>2326</v>
      </c>
      <c r="D487" s="170" t="s">
        <v>2327</v>
      </c>
      <c r="E487" s="173"/>
      <c r="F487" s="173"/>
      <c r="G487" s="173"/>
      <c r="H487" s="62"/>
      <c r="I487" s="173"/>
      <c r="J487" s="173"/>
      <c r="K487" s="173"/>
      <c r="L487" s="62"/>
      <c r="M487" s="173"/>
      <c r="N487" s="173"/>
      <c r="O487" s="62"/>
      <c r="P487" s="179"/>
      <c r="Q487" s="179"/>
      <c r="R487" s="179"/>
      <c r="S487" s="188"/>
      <c r="T487" s="189"/>
      <c r="U487" s="117"/>
      <c r="V487" s="187"/>
      <c r="W487" s="117"/>
      <c r="X487" s="187">
        <v>4500000</v>
      </c>
      <c r="Y487" s="79"/>
      <c r="Z487" s="193"/>
      <c r="AA487" s="79"/>
      <c r="AB487" s="79"/>
      <c r="AC487" s="79"/>
      <c r="AD487" s="79"/>
      <c r="AE487" s="79"/>
      <c r="AF487" s="79"/>
      <c r="AG487" s="79"/>
      <c r="AH487" s="79"/>
      <c r="AI487" s="79"/>
      <c r="AJ487" s="86" t="s">
        <v>2258</v>
      </c>
      <c r="AK487" s="85"/>
      <c r="AL487" s="85"/>
      <c r="AM487" s="85"/>
    </row>
    <row r="488" spans="1:39" ht="12.75" hidden="1" customHeight="1">
      <c r="A488" s="63">
        <v>37</v>
      </c>
      <c r="B488" s="16" t="s">
        <v>40</v>
      </c>
      <c r="C488" s="21" t="s">
        <v>2328</v>
      </c>
      <c r="D488" s="170" t="s">
        <v>2329</v>
      </c>
      <c r="E488" s="173"/>
      <c r="F488" s="173"/>
      <c r="G488" s="173"/>
      <c r="H488" s="62"/>
      <c r="I488" s="173"/>
      <c r="J488" s="173"/>
      <c r="K488" s="173"/>
      <c r="L488" s="62"/>
      <c r="M488" s="173"/>
      <c r="N488" s="173"/>
      <c r="O488" s="62"/>
      <c r="P488" s="179"/>
      <c r="Q488" s="179"/>
      <c r="R488" s="179"/>
      <c r="S488" s="188"/>
      <c r="T488" s="189"/>
      <c r="U488" s="117">
        <v>14000000</v>
      </c>
      <c r="V488" s="187"/>
      <c r="W488" s="117"/>
      <c r="X488" s="187"/>
      <c r="Y488" s="79"/>
      <c r="Z488" s="193"/>
      <c r="AA488" s="79"/>
      <c r="AB488" s="79"/>
      <c r="AC488" s="79"/>
      <c r="AD488" s="79"/>
      <c r="AE488" s="79"/>
      <c r="AF488" s="79"/>
      <c r="AG488" s="79"/>
      <c r="AH488" s="79"/>
      <c r="AI488" s="79"/>
      <c r="AJ488" s="86" t="s">
        <v>1556</v>
      </c>
      <c r="AK488" s="85"/>
      <c r="AL488" s="85"/>
      <c r="AM488" s="85"/>
    </row>
    <row r="489" spans="1:39" ht="12.75" hidden="1" customHeight="1">
      <c r="A489" s="63">
        <v>38</v>
      </c>
      <c r="B489" s="171" t="s">
        <v>1957</v>
      </c>
      <c r="C489" s="21" t="s">
        <v>2330</v>
      </c>
      <c r="D489" s="170" t="s">
        <v>2331</v>
      </c>
      <c r="E489" s="173"/>
      <c r="F489" s="173"/>
      <c r="G489" s="173"/>
      <c r="H489" s="62"/>
      <c r="I489" s="173"/>
      <c r="J489" s="173"/>
      <c r="K489" s="173"/>
      <c r="L489" s="62"/>
      <c r="M489" s="173"/>
      <c r="N489" s="173"/>
      <c r="O489" s="62"/>
      <c r="P489" s="179"/>
      <c r="Q489" s="179"/>
      <c r="R489" s="179"/>
      <c r="S489" s="188"/>
      <c r="T489" s="189"/>
      <c r="U489" s="117">
        <v>4600000</v>
      </c>
      <c r="V489" s="187"/>
      <c r="W489" s="117"/>
      <c r="X489" s="187"/>
      <c r="Y489" s="79"/>
      <c r="Z489" s="193"/>
      <c r="AA489" s="79"/>
      <c r="AB489" s="79"/>
      <c r="AC489" s="79"/>
      <c r="AD489" s="79"/>
      <c r="AE489" s="79"/>
      <c r="AF489" s="79"/>
      <c r="AG489" s="79"/>
      <c r="AH489" s="79"/>
      <c r="AI489" s="79"/>
      <c r="AJ489" s="86" t="s">
        <v>1556</v>
      </c>
      <c r="AK489" s="85"/>
      <c r="AL489" s="85"/>
      <c r="AM489" s="85"/>
    </row>
    <row r="490" spans="1:39" ht="12.75" customHeight="1">
      <c r="A490" s="63">
        <v>39</v>
      </c>
      <c r="B490" s="171" t="s">
        <v>1967</v>
      </c>
      <c r="C490" s="21" t="s">
        <v>2330</v>
      </c>
      <c r="D490" s="170" t="s">
        <v>2332</v>
      </c>
      <c r="E490" s="173"/>
      <c r="F490" s="173"/>
      <c r="G490" s="173"/>
      <c r="H490" s="62"/>
      <c r="I490" s="173"/>
      <c r="J490" s="173"/>
      <c r="K490" s="173"/>
      <c r="L490" s="62"/>
      <c r="M490" s="173"/>
      <c r="N490" s="173"/>
      <c r="O490" s="62"/>
      <c r="P490" s="179"/>
      <c r="Q490" s="179"/>
      <c r="R490" s="179"/>
      <c r="S490" s="188"/>
      <c r="T490" s="189"/>
      <c r="U490" s="117"/>
      <c r="V490" s="187"/>
      <c r="W490" s="117"/>
      <c r="X490" s="187"/>
      <c r="Y490" s="79"/>
      <c r="Z490" s="193">
        <v>22000000</v>
      </c>
      <c r="AA490" s="79"/>
      <c r="AB490" s="79"/>
      <c r="AC490" s="79"/>
      <c r="AD490" s="79"/>
      <c r="AE490" s="79"/>
      <c r="AF490" s="79"/>
      <c r="AG490" s="79"/>
      <c r="AH490" s="79"/>
      <c r="AI490" s="79"/>
      <c r="AJ490" s="86" t="s">
        <v>2258</v>
      </c>
      <c r="AK490" s="85"/>
      <c r="AL490" s="85"/>
      <c r="AM490" s="85"/>
    </row>
    <row r="491" spans="1:39" ht="12.75" customHeight="1">
      <c r="A491" s="63">
        <v>40</v>
      </c>
      <c r="B491" s="171" t="s">
        <v>1967</v>
      </c>
      <c r="C491" s="21" t="s">
        <v>2333</v>
      </c>
      <c r="D491" s="170" t="s">
        <v>2334</v>
      </c>
      <c r="E491" s="173"/>
      <c r="F491" s="173"/>
      <c r="G491" s="173"/>
      <c r="H491" s="62"/>
      <c r="I491" s="173"/>
      <c r="J491" s="173"/>
      <c r="K491" s="173"/>
      <c r="L491" s="62"/>
      <c r="M491" s="173"/>
      <c r="N491" s="173"/>
      <c r="O491" s="62"/>
      <c r="P491" s="179"/>
      <c r="Q491" s="179"/>
      <c r="R491" s="179"/>
      <c r="S491" s="188"/>
      <c r="T491" s="189"/>
      <c r="U491" s="117"/>
      <c r="V491" s="187"/>
      <c r="W491" s="117"/>
      <c r="X491" s="187"/>
      <c r="Y491" s="79"/>
      <c r="Z491" s="193"/>
      <c r="AA491" s="79">
        <v>185496050</v>
      </c>
      <c r="AB491" s="79"/>
      <c r="AC491" s="79"/>
      <c r="AD491" s="79"/>
      <c r="AE491" s="79"/>
      <c r="AF491" s="79"/>
      <c r="AG491" s="79"/>
      <c r="AH491" s="79"/>
      <c r="AI491" s="79"/>
      <c r="AJ491" s="86" t="s">
        <v>2335</v>
      </c>
      <c r="AK491" s="85"/>
      <c r="AL491" s="85"/>
      <c r="AM491" s="85"/>
    </row>
    <row r="492" spans="1:39" ht="12.75" hidden="1" customHeight="1">
      <c r="A492" s="63">
        <v>41</v>
      </c>
      <c r="B492" s="174" t="s">
        <v>1957</v>
      </c>
      <c r="C492" s="49" t="s">
        <v>2336</v>
      </c>
      <c r="D492" s="175" t="s">
        <v>2337</v>
      </c>
      <c r="E492" s="176"/>
      <c r="F492" s="176"/>
      <c r="G492" s="176"/>
      <c r="H492" s="177"/>
      <c r="I492" s="176"/>
      <c r="J492" s="176"/>
      <c r="K492" s="176"/>
      <c r="L492" s="177"/>
      <c r="M492" s="176"/>
      <c r="N492" s="176"/>
      <c r="O492" s="177"/>
      <c r="P492" s="181"/>
      <c r="Q492" s="181"/>
      <c r="R492" s="181"/>
      <c r="S492" s="175"/>
      <c r="T492" s="175"/>
      <c r="U492" s="190"/>
      <c r="V492" s="181">
        <v>11622000</v>
      </c>
      <c r="W492" s="190"/>
      <c r="X492" s="181"/>
      <c r="Y492" s="194"/>
      <c r="Z492" s="195"/>
      <c r="AA492" s="194"/>
      <c r="AB492" s="194"/>
      <c r="AC492" s="194"/>
      <c r="AD492" s="194"/>
      <c r="AE492" s="194"/>
      <c r="AF492" s="194"/>
      <c r="AG492" s="194"/>
      <c r="AH492" s="194"/>
      <c r="AI492" s="194"/>
      <c r="AJ492" s="196" t="s">
        <v>1556</v>
      </c>
      <c r="AK492" s="85"/>
      <c r="AL492" s="85"/>
      <c r="AM492" s="85"/>
    </row>
    <row r="493" spans="1:39" ht="12.75" hidden="1" customHeight="1">
      <c r="A493" s="63">
        <v>42</v>
      </c>
      <c r="B493" s="174" t="s">
        <v>2338</v>
      </c>
      <c r="C493" s="49" t="s">
        <v>2339</v>
      </c>
      <c r="D493" s="175" t="s">
        <v>2340</v>
      </c>
      <c r="E493" s="176"/>
      <c r="F493" s="176"/>
      <c r="G493" s="176"/>
      <c r="H493" s="177"/>
      <c r="I493" s="176"/>
      <c r="J493" s="176"/>
      <c r="K493" s="176"/>
      <c r="L493" s="177"/>
      <c r="M493" s="176"/>
      <c r="N493" s="176"/>
      <c r="O493" s="177"/>
      <c r="P493" s="181"/>
      <c r="Q493" s="181"/>
      <c r="R493" s="181"/>
      <c r="S493" s="175"/>
      <c r="T493" s="175"/>
      <c r="U493" s="190"/>
      <c r="V493" s="181"/>
      <c r="W493" s="190"/>
      <c r="X493" s="181"/>
      <c r="Y493" s="194"/>
      <c r="Z493" s="195"/>
      <c r="AA493" s="194"/>
      <c r="AB493" s="194"/>
      <c r="AC493" s="194"/>
      <c r="AD493" s="194"/>
      <c r="AE493" s="194"/>
      <c r="AF493" s="194"/>
      <c r="AG493" s="194"/>
      <c r="AH493" s="194"/>
      <c r="AI493" s="194"/>
      <c r="AJ493" s="196" t="s">
        <v>2341</v>
      </c>
      <c r="AK493" s="85"/>
      <c r="AL493" s="85"/>
      <c r="AM493" s="85"/>
    </row>
    <row r="494" spans="1:39" ht="12.75" hidden="1" customHeight="1">
      <c r="A494" s="63">
        <v>43</v>
      </c>
      <c r="B494" s="174" t="s">
        <v>1957</v>
      </c>
      <c r="C494" s="49" t="s">
        <v>2312</v>
      </c>
      <c r="D494" s="175" t="s">
        <v>2342</v>
      </c>
      <c r="E494" s="176"/>
      <c r="F494" s="176"/>
      <c r="G494" s="176"/>
      <c r="H494" s="177"/>
      <c r="I494" s="176"/>
      <c r="J494" s="176"/>
      <c r="K494" s="176"/>
      <c r="L494" s="177"/>
      <c r="M494" s="176"/>
      <c r="N494" s="176"/>
      <c r="O494" s="177"/>
      <c r="P494" s="181"/>
      <c r="Q494" s="181"/>
      <c r="R494" s="181"/>
      <c r="S494" s="175"/>
      <c r="T494" s="175"/>
      <c r="U494" s="190"/>
      <c r="V494" s="181">
        <v>415000</v>
      </c>
      <c r="W494" s="190"/>
      <c r="X494" s="181"/>
      <c r="Y494" s="194"/>
      <c r="Z494" s="195"/>
      <c r="AA494" s="194"/>
      <c r="AB494" s="194"/>
      <c r="AC494" s="194"/>
      <c r="AD494" s="194"/>
      <c r="AE494" s="194"/>
      <c r="AF494" s="194"/>
      <c r="AG494" s="194"/>
      <c r="AH494" s="194"/>
      <c r="AI494" s="194"/>
      <c r="AJ494" s="196" t="s">
        <v>1556</v>
      </c>
      <c r="AK494" s="85"/>
      <c r="AL494" s="85"/>
      <c r="AM494" s="85"/>
    </row>
    <row r="495" spans="1:39" ht="12.75" customHeight="1">
      <c r="A495" s="63">
        <v>44</v>
      </c>
      <c r="B495" s="174" t="s">
        <v>1967</v>
      </c>
      <c r="C495" s="49" t="s">
        <v>2343</v>
      </c>
      <c r="D495" s="175" t="s">
        <v>2344</v>
      </c>
      <c r="E495" s="176"/>
      <c r="F495" s="176"/>
      <c r="G495" s="176"/>
      <c r="H495" s="177"/>
      <c r="I495" s="176"/>
      <c r="J495" s="176"/>
      <c r="K495" s="176"/>
      <c r="L495" s="177"/>
      <c r="M495" s="176"/>
      <c r="N495" s="176"/>
      <c r="O495" s="177"/>
      <c r="P495" s="181"/>
      <c r="Q495" s="181"/>
      <c r="R495" s="181"/>
      <c r="S495" s="175"/>
      <c r="T495" s="175"/>
      <c r="U495" s="190"/>
      <c r="V495" s="181"/>
      <c r="W495" s="190"/>
      <c r="X495" s="181"/>
      <c r="Y495" s="194">
        <v>30162500</v>
      </c>
      <c r="Z495" s="195"/>
      <c r="AA495" s="194"/>
      <c r="AB495" s="194"/>
      <c r="AC495" s="194"/>
      <c r="AD495" s="194"/>
      <c r="AE495" s="194"/>
      <c r="AF495" s="194"/>
      <c r="AG495" s="194"/>
      <c r="AH495" s="194"/>
      <c r="AI495" s="194"/>
      <c r="AJ495" s="196" t="s">
        <v>1556</v>
      </c>
      <c r="AK495" s="85"/>
      <c r="AL495" s="85"/>
      <c r="AM495" s="85"/>
    </row>
    <row r="496" spans="1:39" ht="12.75" customHeight="1">
      <c r="A496" s="63">
        <v>45</v>
      </c>
      <c r="B496" s="174" t="s">
        <v>1967</v>
      </c>
      <c r="C496" s="49" t="s">
        <v>2345</v>
      </c>
      <c r="D496" s="175" t="s">
        <v>2346</v>
      </c>
      <c r="E496" s="176"/>
      <c r="F496" s="176"/>
      <c r="G496" s="176"/>
      <c r="H496" s="177"/>
      <c r="I496" s="176"/>
      <c r="J496" s="176"/>
      <c r="K496" s="176"/>
      <c r="L496" s="177"/>
      <c r="M496" s="176"/>
      <c r="N496" s="176"/>
      <c r="O496" s="177"/>
      <c r="P496" s="181"/>
      <c r="Q496" s="181"/>
      <c r="R496" s="181"/>
      <c r="S496" s="175"/>
      <c r="T496" s="175"/>
      <c r="U496" s="190"/>
      <c r="V496" s="181"/>
      <c r="W496" s="190"/>
      <c r="X496" s="181"/>
      <c r="Y496" s="194"/>
      <c r="Z496" s="195">
        <v>11876000</v>
      </c>
      <c r="AA496" s="194"/>
      <c r="AB496" s="194"/>
      <c r="AC496" s="194"/>
      <c r="AD496" s="194"/>
      <c r="AE496" s="194"/>
      <c r="AF496" s="194"/>
      <c r="AG496" s="194"/>
      <c r="AH496" s="194"/>
      <c r="AI496" s="194"/>
      <c r="AJ496" s="196" t="s">
        <v>1556</v>
      </c>
      <c r="AK496" s="85"/>
      <c r="AL496" s="85"/>
      <c r="AM496" s="85"/>
    </row>
    <row r="497" spans="1:39" ht="12.75" hidden="1" customHeight="1">
      <c r="A497" s="63">
        <v>46</v>
      </c>
      <c r="B497" s="174" t="s">
        <v>1957</v>
      </c>
      <c r="C497" s="49" t="s">
        <v>2322</v>
      </c>
      <c r="D497" s="175" t="s">
        <v>2342</v>
      </c>
      <c r="E497" s="176"/>
      <c r="F497" s="176"/>
      <c r="G497" s="176"/>
      <c r="H497" s="177"/>
      <c r="I497" s="176"/>
      <c r="J497" s="176"/>
      <c r="K497" s="176"/>
      <c r="L497" s="177"/>
      <c r="M497" s="176"/>
      <c r="N497" s="176"/>
      <c r="O497" s="177"/>
      <c r="P497" s="181"/>
      <c r="Q497" s="181"/>
      <c r="R497" s="181"/>
      <c r="S497" s="175"/>
      <c r="T497" s="175"/>
      <c r="U497" s="190"/>
      <c r="V497" s="181">
        <v>1060000</v>
      </c>
      <c r="W497" s="190"/>
      <c r="X497" s="181"/>
      <c r="Y497" s="194"/>
      <c r="Z497" s="195"/>
      <c r="AA497" s="194"/>
      <c r="AB497" s="194"/>
      <c r="AC497" s="194"/>
      <c r="AD497" s="194"/>
      <c r="AE497" s="194"/>
      <c r="AF497" s="194"/>
      <c r="AG497" s="194"/>
      <c r="AH497" s="194"/>
      <c r="AI497" s="194"/>
      <c r="AJ497" s="196" t="s">
        <v>1556</v>
      </c>
      <c r="AK497" s="85"/>
      <c r="AL497" s="85"/>
      <c r="AM497" s="85"/>
    </row>
    <row r="498" spans="1:39" ht="12.75" customHeight="1">
      <c r="A498" s="63">
        <v>47</v>
      </c>
      <c r="B498" s="174" t="s">
        <v>1967</v>
      </c>
      <c r="C498" s="49" t="s">
        <v>2347</v>
      </c>
      <c r="D498" s="175" t="s">
        <v>2348</v>
      </c>
      <c r="E498" s="176"/>
      <c r="F498" s="176"/>
      <c r="G498" s="176"/>
      <c r="H498" s="177"/>
      <c r="I498" s="176"/>
      <c r="J498" s="176"/>
      <c r="K498" s="176"/>
      <c r="L498" s="177"/>
      <c r="M498" s="176"/>
      <c r="N498" s="176"/>
      <c r="O498" s="177"/>
      <c r="P498" s="181"/>
      <c r="Q498" s="181"/>
      <c r="R498" s="181"/>
      <c r="S498" s="175"/>
      <c r="T498" s="175"/>
      <c r="U498" s="190"/>
      <c r="V498" s="181"/>
      <c r="W498" s="190"/>
      <c r="X498" s="181"/>
      <c r="Y498" s="194"/>
      <c r="Z498" s="195"/>
      <c r="AA498" s="194"/>
      <c r="AB498" s="194">
        <v>1500000</v>
      </c>
      <c r="AC498" s="194"/>
      <c r="AD498" s="194"/>
      <c r="AE498" s="194"/>
      <c r="AF498" s="194"/>
      <c r="AG498" s="194"/>
      <c r="AH498" s="194"/>
      <c r="AI498" s="194"/>
      <c r="AJ498" s="196" t="s">
        <v>2349</v>
      </c>
      <c r="AK498" s="85"/>
      <c r="AL498" s="85"/>
      <c r="AM498" s="85"/>
    </row>
    <row r="499" spans="1:39" ht="12.75" customHeight="1">
      <c r="A499" s="63">
        <v>48</v>
      </c>
      <c r="B499" s="174" t="s">
        <v>1967</v>
      </c>
      <c r="C499" s="49" t="s">
        <v>2350</v>
      </c>
      <c r="D499" s="175" t="s">
        <v>2351</v>
      </c>
      <c r="E499" s="176"/>
      <c r="F499" s="176"/>
      <c r="G499" s="176"/>
      <c r="H499" s="177"/>
      <c r="I499" s="176"/>
      <c r="J499" s="176"/>
      <c r="K499" s="176"/>
      <c r="L499" s="177"/>
      <c r="M499" s="176"/>
      <c r="N499" s="176"/>
      <c r="O499" s="177"/>
      <c r="P499" s="181"/>
      <c r="Q499" s="181"/>
      <c r="R499" s="181"/>
      <c r="S499" s="175"/>
      <c r="T499" s="175"/>
      <c r="U499" s="190"/>
      <c r="V499" s="181"/>
      <c r="W499" s="190"/>
      <c r="X499" s="181"/>
      <c r="Y499" s="194">
        <v>24000000</v>
      </c>
      <c r="Z499" s="195"/>
      <c r="AA499" s="194"/>
      <c r="AB499" s="194"/>
      <c r="AC499" s="194"/>
      <c r="AD499" s="194"/>
      <c r="AE499" s="194"/>
      <c r="AF499" s="194"/>
      <c r="AG499" s="194"/>
      <c r="AH499" s="194"/>
      <c r="AI499" s="194"/>
      <c r="AJ499" s="196" t="s">
        <v>2258</v>
      </c>
      <c r="AK499" s="85"/>
      <c r="AL499" s="85"/>
      <c r="AM499" s="85"/>
    </row>
    <row r="500" spans="1:39" ht="12.75" customHeight="1">
      <c r="A500" s="63">
        <v>49</v>
      </c>
      <c r="B500" s="174" t="s">
        <v>1967</v>
      </c>
      <c r="C500" s="49" t="s">
        <v>2352</v>
      </c>
      <c r="D500" s="175" t="s">
        <v>2353</v>
      </c>
      <c r="E500" s="176"/>
      <c r="F500" s="176"/>
      <c r="G500" s="176"/>
      <c r="H500" s="177"/>
      <c r="I500" s="176"/>
      <c r="J500" s="176"/>
      <c r="K500" s="176"/>
      <c r="L500" s="177"/>
      <c r="M500" s="176"/>
      <c r="N500" s="176"/>
      <c r="O500" s="177"/>
      <c r="P500" s="181"/>
      <c r="Q500" s="181"/>
      <c r="R500" s="181"/>
      <c r="S500" s="175"/>
      <c r="T500" s="175"/>
      <c r="U500" s="190"/>
      <c r="V500" s="181"/>
      <c r="W500" s="190"/>
      <c r="X500" s="181"/>
      <c r="Y500" s="194"/>
      <c r="Z500" s="195"/>
      <c r="AA500" s="194"/>
      <c r="AB500" s="194"/>
      <c r="AC500" s="194">
        <v>183000000</v>
      </c>
      <c r="AD500" s="194"/>
      <c r="AE500" s="194"/>
      <c r="AF500" s="194"/>
      <c r="AG500" s="194"/>
      <c r="AH500" s="194"/>
      <c r="AI500" s="194"/>
      <c r="AJ500" s="196" t="s">
        <v>2210</v>
      </c>
      <c r="AK500" s="85"/>
      <c r="AL500" s="85"/>
      <c r="AM500" s="85"/>
    </row>
    <row r="501" spans="1:39" ht="12.75" hidden="1" customHeight="1">
      <c r="A501" s="63">
        <v>50</v>
      </c>
      <c r="B501" s="174" t="s">
        <v>1957</v>
      </c>
      <c r="C501" s="49" t="s">
        <v>2354</v>
      </c>
      <c r="D501" s="175" t="s">
        <v>2355</v>
      </c>
      <c r="E501" s="176"/>
      <c r="F501" s="176"/>
      <c r="G501" s="176"/>
      <c r="H501" s="177"/>
      <c r="I501" s="176"/>
      <c r="J501" s="176"/>
      <c r="K501" s="176"/>
      <c r="L501" s="177"/>
      <c r="M501" s="176"/>
      <c r="N501" s="176"/>
      <c r="O501" s="177"/>
      <c r="P501" s="181"/>
      <c r="Q501" s="181"/>
      <c r="R501" s="181"/>
      <c r="S501" s="175"/>
      <c r="T501" s="175"/>
      <c r="U501" s="190"/>
      <c r="V501" s="181">
        <v>25409000</v>
      </c>
      <c r="W501" s="190"/>
      <c r="X501" s="181"/>
      <c r="Y501" s="194"/>
      <c r="Z501" s="195"/>
      <c r="AA501" s="194"/>
      <c r="AB501" s="194"/>
      <c r="AC501" s="194"/>
      <c r="AD501" s="194"/>
      <c r="AE501" s="194"/>
      <c r="AF501" s="194"/>
      <c r="AG501" s="194"/>
      <c r="AH501" s="194"/>
      <c r="AI501" s="194"/>
      <c r="AJ501" s="196" t="s">
        <v>2356</v>
      </c>
      <c r="AK501" s="85"/>
      <c r="AL501" s="85"/>
      <c r="AM501" s="85"/>
    </row>
    <row r="502" spans="1:39" ht="12.75" hidden="1" customHeight="1">
      <c r="A502" s="63">
        <v>51</v>
      </c>
      <c r="B502" s="174" t="s">
        <v>1957</v>
      </c>
      <c r="C502" s="49" t="s">
        <v>2256</v>
      </c>
      <c r="D502" s="175" t="s">
        <v>2357</v>
      </c>
      <c r="E502" s="176"/>
      <c r="F502" s="176"/>
      <c r="G502" s="176"/>
      <c r="H502" s="177"/>
      <c r="I502" s="176"/>
      <c r="J502" s="176"/>
      <c r="K502" s="176"/>
      <c r="L502" s="177"/>
      <c r="M502" s="176"/>
      <c r="N502" s="176"/>
      <c r="O502" s="177"/>
      <c r="P502" s="181"/>
      <c r="Q502" s="181"/>
      <c r="R502" s="181"/>
      <c r="S502" s="175"/>
      <c r="T502" s="175"/>
      <c r="U502" s="190"/>
      <c r="V502" s="181"/>
      <c r="W502" s="190">
        <v>5255000</v>
      </c>
      <c r="X502" s="181"/>
      <c r="Y502" s="194"/>
      <c r="Z502" s="195"/>
      <c r="AA502" s="79"/>
      <c r="AB502" s="194"/>
      <c r="AC502" s="194"/>
      <c r="AD502" s="194"/>
      <c r="AE502" s="194"/>
      <c r="AF502" s="194"/>
      <c r="AG502" s="194"/>
      <c r="AH502" s="194"/>
      <c r="AI502" s="194"/>
      <c r="AJ502" s="196" t="s">
        <v>1556</v>
      </c>
      <c r="AK502" s="85"/>
      <c r="AL502" s="85"/>
      <c r="AM502" s="85"/>
    </row>
    <row r="503" spans="1:39" ht="12.75" hidden="1" customHeight="1">
      <c r="A503" s="63">
        <v>52</v>
      </c>
      <c r="B503" s="174" t="s">
        <v>1957</v>
      </c>
      <c r="C503" s="49" t="s">
        <v>2256</v>
      </c>
      <c r="D503" s="175" t="s">
        <v>2358</v>
      </c>
      <c r="E503" s="176"/>
      <c r="F503" s="176"/>
      <c r="G503" s="176"/>
      <c r="H503" s="177"/>
      <c r="I503" s="176"/>
      <c r="J503" s="176"/>
      <c r="K503" s="176"/>
      <c r="L503" s="177"/>
      <c r="M503" s="176"/>
      <c r="N503" s="176"/>
      <c r="O503" s="177"/>
      <c r="P503" s="181"/>
      <c r="Q503" s="181"/>
      <c r="R503" s="181"/>
      <c r="S503" s="175"/>
      <c r="T503" s="175"/>
      <c r="U503" s="190"/>
      <c r="V503" s="181"/>
      <c r="W503" s="190"/>
      <c r="X503" s="181">
        <v>2750000</v>
      </c>
      <c r="Y503" s="194"/>
      <c r="Z503" s="195"/>
      <c r="AA503" s="79"/>
      <c r="AB503" s="194"/>
      <c r="AC503" s="194"/>
      <c r="AD503" s="194"/>
      <c r="AE503" s="194"/>
      <c r="AF503" s="194"/>
      <c r="AG503" s="194"/>
      <c r="AH503" s="194"/>
      <c r="AI503" s="194"/>
      <c r="AJ503" s="196" t="s">
        <v>1556</v>
      </c>
      <c r="AK503" s="85"/>
      <c r="AL503" s="85"/>
      <c r="AM503" s="85"/>
    </row>
    <row r="504" spans="1:39" ht="12.75" hidden="1" customHeight="1">
      <c r="A504" s="63">
        <v>53</v>
      </c>
      <c r="B504" s="174" t="s">
        <v>1957</v>
      </c>
      <c r="C504" s="49" t="s">
        <v>2350</v>
      </c>
      <c r="D504" s="175" t="s">
        <v>2359</v>
      </c>
      <c r="E504" s="176"/>
      <c r="F504" s="176"/>
      <c r="G504" s="176"/>
      <c r="H504" s="177"/>
      <c r="I504" s="176"/>
      <c r="J504" s="176"/>
      <c r="K504" s="176"/>
      <c r="L504" s="177"/>
      <c r="M504" s="176"/>
      <c r="N504" s="176"/>
      <c r="O504" s="177"/>
      <c r="P504" s="181"/>
      <c r="Q504" s="181"/>
      <c r="R504" s="181"/>
      <c r="S504" s="175"/>
      <c r="T504" s="175"/>
      <c r="U504" s="190"/>
      <c r="V504" s="181"/>
      <c r="W504" s="190">
        <v>4872563</v>
      </c>
      <c r="X504" s="181"/>
      <c r="Y504" s="194"/>
      <c r="Z504" s="195"/>
      <c r="AA504" s="79"/>
      <c r="AB504" s="194"/>
      <c r="AC504" s="194"/>
      <c r="AD504" s="194"/>
      <c r="AE504" s="194"/>
      <c r="AF504" s="194"/>
      <c r="AG504" s="194"/>
      <c r="AH504" s="194"/>
      <c r="AI504" s="194"/>
      <c r="AJ504" s="196" t="s">
        <v>1556</v>
      </c>
      <c r="AK504" s="85"/>
      <c r="AL504" s="85"/>
      <c r="AM504" s="85"/>
    </row>
    <row r="505" spans="1:39" ht="12.75" hidden="1" customHeight="1">
      <c r="A505" s="63">
        <v>54</v>
      </c>
      <c r="B505" s="174" t="s">
        <v>1957</v>
      </c>
      <c r="C505" s="49" t="s">
        <v>2276</v>
      </c>
      <c r="D505" s="175" t="s">
        <v>2360</v>
      </c>
      <c r="E505" s="176"/>
      <c r="F505" s="176"/>
      <c r="G505" s="176"/>
      <c r="H505" s="177"/>
      <c r="I505" s="176"/>
      <c r="J505" s="176"/>
      <c r="K505" s="176"/>
      <c r="L505" s="177"/>
      <c r="M505" s="176"/>
      <c r="N505" s="176"/>
      <c r="O505" s="177"/>
      <c r="P505" s="181"/>
      <c r="Q505" s="181"/>
      <c r="R505" s="181"/>
      <c r="S505" s="175"/>
      <c r="T505" s="175"/>
      <c r="U505" s="190"/>
      <c r="V505" s="181"/>
      <c r="W505" s="190">
        <v>7250000</v>
      </c>
      <c r="X505" s="181"/>
      <c r="Y505" s="194"/>
      <c r="Z505" s="195"/>
      <c r="AA505" s="79"/>
      <c r="AB505" s="194"/>
      <c r="AC505" s="194"/>
      <c r="AD505" s="194"/>
      <c r="AE505" s="194"/>
      <c r="AF505" s="194"/>
      <c r="AG505" s="194"/>
      <c r="AH505" s="194"/>
      <c r="AI505" s="194"/>
      <c r="AJ505" s="196" t="s">
        <v>1556</v>
      </c>
      <c r="AK505" s="85"/>
      <c r="AL505" s="85"/>
      <c r="AM505" s="85"/>
    </row>
    <row r="506" spans="1:39" ht="12.75" hidden="1" customHeight="1">
      <c r="A506" s="63">
        <v>55</v>
      </c>
      <c r="B506" s="174" t="s">
        <v>1957</v>
      </c>
      <c r="C506" s="49" t="s">
        <v>2326</v>
      </c>
      <c r="D506" s="175" t="s">
        <v>2361</v>
      </c>
      <c r="E506" s="176"/>
      <c r="F506" s="176"/>
      <c r="G506" s="176"/>
      <c r="H506" s="177"/>
      <c r="I506" s="176"/>
      <c r="J506" s="176"/>
      <c r="K506" s="176"/>
      <c r="L506" s="177"/>
      <c r="M506" s="176"/>
      <c r="N506" s="176"/>
      <c r="O506" s="177"/>
      <c r="P506" s="181"/>
      <c r="Q506" s="181"/>
      <c r="R506" s="181"/>
      <c r="S506" s="175"/>
      <c r="T506" s="175"/>
      <c r="U506" s="190"/>
      <c r="V506" s="181"/>
      <c r="W506" s="190">
        <v>3685000</v>
      </c>
      <c r="X506" s="181"/>
      <c r="Y506" s="194"/>
      <c r="Z506" s="195"/>
      <c r="AA506" s="79"/>
      <c r="AB506" s="194"/>
      <c r="AC506" s="194"/>
      <c r="AD506" s="194"/>
      <c r="AE506" s="194"/>
      <c r="AF506" s="194"/>
      <c r="AG506" s="194"/>
      <c r="AH506" s="194"/>
      <c r="AI506" s="194"/>
      <c r="AJ506" s="196" t="s">
        <v>1556</v>
      </c>
      <c r="AK506" s="85"/>
      <c r="AL506" s="85"/>
      <c r="AM506" s="85"/>
    </row>
    <row r="507" spans="1:39" ht="12.75" hidden="1" customHeight="1">
      <c r="A507" s="63">
        <v>56</v>
      </c>
      <c r="B507" s="174" t="s">
        <v>1957</v>
      </c>
      <c r="C507" s="49" t="s">
        <v>2336</v>
      </c>
      <c r="D507" s="175" t="s">
        <v>2362</v>
      </c>
      <c r="E507" s="176"/>
      <c r="F507" s="176"/>
      <c r="G507" s="176"/>
      <c r="H507" s="177"/>
      <c r="I507" s="176"/>
      <c r="J507" s="176"/>
      <c r="K507" s="176"/>
      <c r="L507" s="177"/>
      <c r="M507" s="176"/>
      <c r="N507" s="176"/>
      <c r="O507" s="177"/>
      <c r="P507" s="181"/>
      <c r="Q507" s="181"/>
      <c r="R507" s="181"/>
      <c r="S507" s="175"/>
      <c r="T507" s="175"/>
      <c r="U507" s="190"/>
      <c r="V507" s="181"/>
      <c r="W507" s="190">
        <v>76139124</v>
      </c>
      <c r="X507" s="181"/>
      <c r="Y507" s="194"/>
      <c r="Z507" s="195"/>
      <c r="AA507" s="79"/>
      <c r="AB507" s="194"/>
      <c r="AC507" s="194"/>
      <c r="AD507" s="194"/>
      <c r="AE507" s="194"/>
      <c r="AF507" s="194"/>
      <c r="AG507" s="194"/>
      <c r="AH507" s="194"/>
      <c r="AI507" s="194"/>
      <c r="AJ507" s="196" t="s">
        <v>1556</v>
      </c>
      <c r="AK507" s="85"/>
      <c r="AL507" s="85"/>
      <c r="AM507" s="85"/>
    </row>
    <row r="508" spans="1:39" ht="12.75" hidden="1" customHeight="1">
      <c r="A508" s="63">
        <v>57</v>
      </c>
      <c r="B508" s="174" t="s">
        <v>1957</v>
      </c>
      <c r="C508" s="49" t="s">
        <v>2363</v>
      </c>
      <c r="D508" s="175" t="s">
        <v>2364</v>
      </c>
      <c r="E508" s="176"/>
      <c r="F508" s="176"/>
      <c r="G508" s="176"/>
      <c r="H508" s="177"/>
      <c r="I508" s="176"/>
      <c r="J508" s="176"/>
      <c r="K508" s="176"/>
      <c r="L508" s="177"/>
      <c r="M508" s="176"/>
      <c r="N508" s="176"/>
      <c r="O508" s="177"/>
      <c r="P508" s="181"/>
      <c r="Q508" s="181"/>
      <c r="R508" s="181"/>
      <c r="S508" s="175"/>
      <c r="T508" s="175"/>
      <c r="U508" s="190"/>
      <c r="V508" s="181"/>
      <c r="W508" s="190">
        <v>3565000</v>
      </c>
      <c r="X508" s="181"/>
      <c r="Y508" s="194"/>
      <c r="Z508" s="195"/>
      <c r="AA508" s="79"/>
      <c r="AB508" s="194"/>
      <c r="AC508" s="194"/>
      <c r="AD508" s="194"/>
      <c r="AE508" s="194"/>
      <c r="AF508" s="194"/>
      <c r="AG508" s="194"/>
      <c r="AH508" s="194"/>
      <c r="AI508" s="194"/>
      <c r="AJ508" s="196" t="s">
        <v>2365</v>
      </c>
      <c r="AK508" s="85"/>
      <c r="AL508" s="85"/>
      <c r="AM508" s="85"/>
    </row>
    <row r="509" spans="1:39" ht="12.75" hidden="1" customHeight="1">
      <c r="A509" s="63">
        <v>58</v>
      </c>
      <c r="B509" s="174" t="s">
        <v>1957</v>
      </c>
      <c r="C509" s="49" t="s">
        <v>2366</v>
      </c>
      <c r="D509" s="175" t="s">
        <v>2367</v>
      </c>
      <c r="E509" s="176"/>
      <c r="F509" s="176"/>
      <c r="G509" s="176"/>
      <c r="H509" s="177"/>
      <c r="I509" s="176"/>
      <c r="J509" s="176"/>
      <c r="K509" s="176"/>
      <c r="L509" s="177"/>
      <c r="M509" s="176"/>
      <c r="N509" s="176"/>
      <c r="O509" s="177"/>
      <c r="P509" s="181"/>
      <c r="Q509" s="181"/>
      <c r="R509" s="181"/>
      <c r="S509" s="175"/>
      <c r="T509" s="175"/>
      <c r="U509" s="190"/>
      <c r="V509" s="181"/>
      <c r="W509" s="190"/>
      <c r="X509" s="181">
        <v>19855000</v>
      </c>
      <c r="Y509" s="194"/>
      <c r="Z509" s="195"/>
      <c r="AA509" s="79"/>
      <c r="AB509" s="194"/>
      <c r="AC509" s="194"/>
      <c r="AD509" s="194"/>
      <c r="AE509" s="194"/>
      <c r="AF509" s="194"/>
      <c r="AG509" s="194"/>
      <c r="AH509" s="194"/>
      <c r="AI509" s="194"/>
      <c r="AJ509" s="196" t="s">
        <v>1556</v>
      </c>
      <c r="AK509" s="85"/>
      <c r="AL509" s="85"/>
      <c r="AM509" s="85"/>
    </row>
    <row r="510" spans="1:39" ht="12.75" hidden="1" customHeight="1">
      <c r="A510" s="63">
        <v>59</v>
      </c>
      <c r="B510" s="174" t="s">
        <v>1957</v>
      </c>
      <c r="C510" s="49" t="s">
        <v>2366</v>
      </c>
      <c r="D510" s="175" t="s">
        <v>2368</v>
      </c>
      <c r="E510" s="176"/>
      <c r="F510" s="176"/>
      <c r="G510" s="176"/>
      <c r="H510" s="177"/>
      <c r="I510" s="176"/>
      <c r="J510" s="176"/>
      <c r="K510" s="176"/>
      <c r="L510" s="177"/>
      <c r="M510" s="176"/>
      <c r="N510" s="176"/>
      <c r="O510" s="177"/>
      <c r="P510" s="181"/>
      <c r="Q510" s="181"/>
      <c r="R510" s="181"/>
      <c r="S510" s="175"/>
      <c r="T510" s="175"/>
      <c r="U510" s="190"/>
      <c r="V510" s="181"/>
      <c r="W510" s="190"/>
      <c r="X510" s="181">
        <v>18000000</v>
      </c>
      <c r="Y510" s="194"/>
      <c r="Z510" s="195"/>
      <c r="AA510" s="79"/>
      <c r="AB510" s="194"/>
      <c r="AC510" s="194"/>
      <c r="AD510" s="194"/>
      <c r="AE510" s="194"/>
      <c r="AF510" s="194"/>
      <c r="AG510" s="194"/>
      <c r="AH510" s="194"/>
      <c r="AI510" s="194"/>
      <c r="AJ510" s="196" t="s">
        <v>1556</v>
      </c>
      <c r="AK510" s="85"/>
      <c r="AL510" s="85"/>
      <c r="AM510" s="85"/>
    </row>
    <row r="511" spans="1:39" ht="12.75" customHeight="1">
      <c r="A511" s="63">
        <v>60</v>
      </c>
      <c r="B511" s="174" t="s">
        <v>1967</v>
      </c>
      <c r="C511" s="49" t="s">
        <v>2369</v>
      </c>
      <c r="D511" s="175" t="s">
        <v>2370</v>
      </c>
      <c r="E511" s="176"/>
      <c r="F511" s="176"/>
      <c r="G511" s="176"/>
      <c r="H511" s="177"/>
      <c r="I511" s="176"/>
      <c r="J511" s="176"/>
      <c r="K511" s="176"/>
      <c r="L511" s="177"/>
      <c r="M511" s="176"/>
      <c r="N511" s="176"/>
      <c r="O511" s="177"/>
      <c r="P511" s="181"/>
      <c r="Q511" s="181"/>
      <c r="R511" s="181"/>
      <c r="S511" s="175"/>
      <c r="T511" s="175"/>
      <c r="U511" s="190"/>
      <c r="V511" s="181"/>
      <c r="W511" s="190"/>
      <c r="X511" s="181"/>
      <c r="Y511" s="194"/>
      <c r="Z511" s="195"/>
      <c r="AA511" s="79"/>
      <c r="AB511" s="194"/>
      <c r="AC511" s="194">
        <v>65000000</v>
      </c>
      <c r="AD511" s="194"/>
      <c r="AE511" s="194"/>
      <c r="AF511" s="194"/>
      <c r="AG511" s="194"/>
      <c r="AH511" s="194"/>
      <c r="AI511" s="194"/>
      <c r="AJ511" s="196" t="s">
        <v>2210</v>
      </c>
      <c r="AK511" s="85"/>
      <c r="AL511" s="85"/>
      <c r="AM511" s="85"/>
    </row>
    <row r="512" spans="1:39" ht="12.75" hidden="1" customHeight="1">
      <c r="A512" s="63">
        <v>61</v>
      </c>
      <c r="B512" s="174" t="s">
        <v>1957</v>
      </c>
      <c r="C512" s="49" t="s">
        <v>2322</v>
      </c>
      <c r="D512" s="175" t="s">
        <v>2371</v>
      </c>
      <c r="E512" s="176"/>
      <c r="F512" s="176"/>
      <c r="G512" s="176"/>
      <c r="H512" s="177"/>
      <c r="I512" s="176"/>
      <c r="J512" s="176"/>
      <c r="K512" s="176"/>
      <c r="L512" s="177"/>
      <c r="M512" s="176"/>
      <c r="N512" s="176"/>
      <c r="O512" s="177"/>
      <c r="P512" s="181"/>
      <c r="Q512" s="181"/>
      <c r="R512" s="181"/>
      <c r="S512" s="175"/>
      <c r="T512" s="175"/>
      <c r="U512" s="190"/>
      <c r="V512" s="181"/>
      <c r="W512" s="190">
        <v>7560000</v>
      </c>
      <c r="X512" s="181"/>
      <c r="Y512" s="194"/>
      <c r="Z512" s="195"/>
      <c r="AA512" s="79"/>
      <c r="AB512" s="194"/>
      <c r="AC512" s="194"/>
      <c r="AD512" s="194"/>
      <c r="AE512" s="194"/>
      <c r="AF512" s="194"/>
      <c r="AG512" s="194"/>
      <c r="AH512" s="194"/>
      <c r="AI512" s="194"/>
      <c r="AJ512" s="196" t="s">
        <v>1556</v>
      </c>
      <c r="AK512" s="85"/>
      <c r="AL512" s="85"/>
      <c r="AM512" s="85"/>
    </row>
    <row r="513" spans="1:39" ht="12.75" customHeight="1">
      <c r="A513" s="63">
        <v>62</v>
      </c>
      <c r="B513" s="174" t="s">
        <v>1967</v>
      </c>
      <c r="C513" s="49" t="s">
        <v>2372</v>
      </c>
      <c r="D513" s="175" t="s">
        <v>2373</v>
      </c>
      <c r="E513" s="176"/>
      <c r="F513" s="176"/>
      <c r="G513" s="176"/>
      <c r="H513" s="177"/>
      <c r="I513" s="176"/>
      <c r="J513" s="176"/>
      <c r="K513" s="176"/>
      <c r="L513" s="177"/>
      <c r="M513" s="176"/>
      <c r="N513" s="176"/>
      <c r="O513" s="177"/>
      <c r="P513" s="181"/>
      <c r="Q513" s="181"/>
      <c r="R513" s="181"/>
      <c r="S513" s="175"/>
      <c r="T513" s="175"/>
      <c r="U513" s="190"/>
      <c r="V513" s="181"/>
      <c r="W513" s="190"/>
      <c r="X513" s="181"/>
      <c r="Y513" s="194">
        <v>2000000</v>
      </c>
      <c r="Z513" s="195"/>
      <c r="AA513" s="194"/>
      <c r="AB513" s="194"/>
      <c r="AC513" s="194"/>
      <c r="AD513" s="194"/>
      <c r="AE513" s="194"/>
      <c r="AF513" s="194"/>
      <c r="AG513" s="194"/>
      <c r="AH513" s="194"/>
      <c r="AI513" s="194"/>
      <c r="AJ513" s="196" t="s">
        <v>2258</v>
      </c>
      <c r="AK513" s="85"/>
      <c r="AL513" s="85"/>
      <c r="AM513" s="85"/>
    </row>
    <row r="514" spans="1:39" ht="12.75" hidden="1" customHeight="1">
      <c r="A514" s="63">
        <v>63</v>
      </c>
      <c r="B514" s="174" t="s">
        <v>1957</v>
      </c>
      <c r="C514" s="49" t="s">
        <v>2374</v>
      </c>
      <c r="D514" s="175" t="s">
        <v>2375</v>
      </c>
      <c r="E514" s="176"/>
      <c r="F514" s="176"/>
      <c r="G514" s="176"/>
      <c r="H514" s="177"/>
      <c r="I514" s="176"/>
      <c r="J514" s="176"/>
      <c r="K514" s="176"/>
      <c r="L514" s="177"/>
      <c r="M514" s="176"/>
      <c r="N514" s="176"/>
      <c r="O514" s="177"/>
      <c r="P514" s="181"/>
      <c r="Q514" s="181"/>
      <c r="R514" s="181"/>
      <c r="S514" s="175"/>
      <c r="T514" s="175"/>
      <c r="U514" s="190"/>
      <c r="V514" s="181"/>
      <c r="W514" s="190"/>
      <c r="X514" s="181">
        <v>20392000</v>
      </c>
      <c r="Y514" s="194"/>
      <c r="Z514" s="195"/>
      <c r="AA514" s="194"/>
      <c r="AB514" s="194"/>
      <c r="AC514" s="194"/>
      <c r="AD514" s="194"/>
      <c r="AE514" s="194"/>
      <c r="AF514" s="194"/>
      <c r="AG514" s="194"/>
      <c r="AH514" s="194"/>
      <c r="AI514" s="194"/>
      <c r="AJ514" s="196" t="s">
        <v>1556</v>
      </c>
      <c r="AK514" s="85"/>
      <c r="AL514" s="85"/>
      <c r="AM514" s="85"/>
    </row>
    <row r="515" spans="1:39" ht="12.75" hidden="1" customHeight="1">
      <c r="A515" s="63">
        <v>64</v>
      </c>
      <c r="B515" s="174" t="s">
        <v>1957</v>
      </c>
      <c r="C515" s="49" t="s">
        <v>2376</v>
      </c>
      <c r="D515" s="175" t="s">
        <v>2377</v>
      </c>
      <c r="E515" s="176"/>
      <c r="F515" s="176"/>
      <c r="G515" s="176"/>
      <c r="H515" s="177"/>
      <c r="I515" s="176"/>
      <c r="J515" s="176"/>
      <c r="K515" s="176"/>
      <c r="L515" s="177"/>
      <c r="M515" s="176"/>
      <c r="N515" s="176"/>
      <c r="O515" s="177"/>
      <c r="P515" s="181"/>
      <c r="Q515" s="181"/>
      <c r="R515" s="181"/>
      <c r="S515" s="175"/>
      <c r="T515" s="175"/>
      <c r="U515" s="190"/>
      <c r="V515" s="181"/>
      <c r="W515" s="190"/>
      <c r="X515" s="181">
        <v>10000000</v>
      </c>
      <c r="Y515" s="194"/>
      <c r="Z515" s="195"/>
      <c r="AA515" s="194"/>
      <c r="AB515" s="194"/>
      <c r="AC515" s="194"/>
      <c r="AD515" s="194"/>
      <c r="AE515" s="194"/>
      <c r="AF515" s="194"/>
      <c r="AG515" s="194"/>
      <c r="AH515" s="194"/>
      <c r="AI515" s="194"/>
      <c r="AJ515" s="196" t="s">
        <v>1556</v>
      </c>
      <c r="AK515" s="85"/>
      <c r="AL515" s="85"/>
      <c r="AM515" s="85"/>
    </row>
    <row r="516" spans="1:39" ht="12.75" hidden="1" customHeight="1">
      <c r="A516" s="63">
        <v>65</v>
      </c>
      <c r="B516" s="174" t="s">
        <v>1957</v>
      </c>
      <c r="C516" s="49" t="s">
        <v>2378</v>
      </c>
      <c r="D516" s="175" t="s">
        <v>2379</v>
      </c>
      <c r="E516" s="176"/>
      <c r="F516" s="176"/>
      <c r="G516" s="176"/>
      <c r="H516" s="177"/>
      <c r="I516" s="176"/>
      <c r="J516" s="176"/>
      <c r="K516" s="176"/>
      <c r="L516" s="177"/>
      <c r="M516" s="176"/>
      <c r="N516" s="176"/>
      <c r="O516" s="177"/>
      <c r="P516" s="181"/>
      <c r="Q516" s="181"/>
      <c r="R516" s="181"/>
      <c r="S516" s="175"/>
      <c r="T516" s="175"/>
      <c r="U516" s="190"/>
      <c r="V516" s="181"/>
      <c r="W516" s="190"/>
      <c r="X516" s="181"/>
      <c r="Y516" s="194"/>
      <c r="Z516" s="195"/>
      <c r="AA516" s="194">
        <v>31000000</v>
      </c>
      <c r="AB516" s="194"/>
      <c r="AC516" s="194"/>
      <c r="AD516" s="194"/>
      <c r="AE516" s="194"/>
      <c r="AF516" s="194"/>
      <c r="AG516" s="194"/>
      <c r="AH516" s="194"/>
      <c r="AI516" s="194"/>
      <c r="AJ516" s="196" t="s">
        <v>2258</v>
      </c>
      <c r="AK516" s="85"/>
      <c r="AL516" s="85"/>
      <c r="AM516" s="85"/>
    </row>
    <row r="517" spans="1:39" ht="12.75" hidden="1" customHeight="1">
      <c r="A517" s="63">
        <v>66</v>
      </c>
      <c r="B517" s="174" t="s">
        <v>1957</v>
      </c>
      <c r="C517" s="49" t="s">
        <v>2380</v>
      </c>
      <c r="D517" s="175" t="s">
        <v>2381</v>
      </c>
      <c r="E517" s="176"/>
      <c r="F517" s="176"/>
      <c r="G517" s="176"/>
      <c r="H517" s="177"/>
      <c r="I517" s="176"/>
      <c r="J517" s="176"/>
      <c r="K517" s="176"/>
      <c r="L517" s="177"/>
      <c r="M517" s="176"/>
      <c r="N517" s="176"/>
      <c r="O517" s="177"/>
      <c r="P517" s="181"/>
      <c r="Q517" s="181"/>
      <c r="R517" s="181"/>
      <c r="S517" s="175"/>
      <c r="T517" s="175"/>
      <c r="U517" s="190"/>
      <c r="V517" s="181"/>
      <c r="W517" s="190"/>
      <c r="X517" s="181"/>
      <c r="Y517" s="194"/>
      <c r="Z517" s="195"/>
      <c r="AA517" s="194">
        <v>40000000</v>
      </c>
      <c r="AB517" s="194"/>
      <c r="AC517" s="194"/>
      <c r="AD517" s="194"/>
      <c r="AE517" s="194"/>
      <c r="AF517" s="194"/>
      <c r="AG517" s="194"/>
      <c r="AH517" s="194"/>
      <c r="AI517" s="194"/>
      <c r="AJ517" s="196" t="s">
        <v>2258</v>
      </c>
      <c r="AK517" s="85"/>
      <c r="AL517" s="85"/>
      <c r="AM517" s="85"/>
    </row>
    <row r="518" spans="1:39" ht="12.75" hidden="1" customHeight="1">
      <c r="A518" s="63">
        <v>67</v>
      </c>
      <c r="B518" s="174" t="s">
        <v>1957</v>
      </c>
      <c r="C518" s="49" t="s">
        <v>2382</v>
      </c>
      <c r="D518" s="175" t="s">
        <v>2383</v>
      </c>
      <c r="E518" s="176"/>
      <c r="F518" s="176"/>
      <c r="G518" s="176"/>
      <c r="H518" s="177"/>
      <c r="I518" s="176"/>
      <c r="J518" s="176"/>
      <c r="K518" s="176"/>
      <c r="L518" s="177"/>
      <c r="M518" s="176"/>
      <c r="N518" s="176"/>
      <c r="O518" s="177"/>
      <c r="P518" s="181"/>
      <c r="Q518" s="181"/>
      <c r="R518" s="181"/>
      <c r="S518" s="175"/>
      <c r="T518" s="175"/>
      <c r="U518" s="190"/>
      <c r="V518" s="181"/>
      <c r="W518" s="190"/>
      <c r="X518" s="181"/>
      <c r="Y518" s="194">
        <v>590000</v>
      </c>
      <c r="Z518" s="195"/>
      <c r="AA518" s="79"/>
      <c r="AB518" s="194"/>
      <c r="AC518" s="194"/>
      <c r="AD518" s="194"/>
      <c r="AE518" s="194"/>
      <c r="AF518" s="194"/>
      <c r="AG518" s="194"/>
      <c r="AH518" s="194"/>
      <c r="AI518" s="194"/>
      <c r="AJ518" s="196" t="s">
        <v>1556</v>
      </c>
      <c r="AK518" s="85"/>
      <c r="AL518" s="85"/>
      <c r="AM518" s="85"/>
    </row>
    <row r="519" spans="1:39" ht="12.75" hidden="1" customHeight="1">
      <c r="A519" s="63">
        <v>68</v>
      </c>
      <c r="B519" s="174" t="s">
        <v>1957</v>
      </c>
      <c r="C519" s="49" t="s">
        <v>2384</v>
      </c>
      <c r="D519" s="175" t="s">
        <v>2385</v>
      </c>
      <c r="E519" s="176"/>
      <c r="F519" s="176"/>
      <c r="G519" s="176"/>
      <c r="H519" s="177"/>
      <c r="I519" s="176"/>
      <c r="J519" s="176"/>
      <c r="K519" s="176"/>
      <c r="L519" s="177"/>
      <c r="M519" s="176"/>
      <c r="N519" s="176"/>
      <c r="O519" s="177"/>
      <c r="P519" s="181"/>
      <c r="Q519" s="181"/>
      <c r="R519" s="181"/>
      <c r="S519" s="175"/>
      <c r="T519" s="175"/>
      <c r="U519" s="190"/>
      <c r="V519" s="181"/>
      <c r="W519" s="190"/>
      <c r="X519" s="181"/>
      <c r="Y519" s="194"/>
      <c r="Z519" s="195"/>
      <c r="AA519" s="79">
        <v>53900000</v>
      </c>
      <c r="AB519" s="194"/>
      <c r="AC519" s="194"/>
      <c r="AD519" s="194"/>
      <c r="AE519" s="194"/>
      <c r="AF519" s="194"/>
      <c r="AG519" s="194"/>
      <c r="AH519" s="194"/>
      <c r="AI519" s="194"/>
      <c r="AJ519" s="196" t="s">
        <v>1556</v>
      </c>
      <c r="AK519" s="85"/>
      <c r="AL519" s="85"/>
      <c r="AM519" s="85"/>
    </row>
    <row r="520" spans="1:39" ht="12.75" hidden="1" customHeight="1">
      <c r="A520" s="63">
        <v>69</v>
      </c>
      <c r="B520" s="174" t="s">
        <v>1957</v>
      </c>
      <c r="C520" s="49" t="s">
        <v>2386</v>
      </c>
      <c r="D520" s="175" t="s">
        <v>2387</v>
      </c>
      <c r="E520" s="176"/>
      <c r="F520" s="176"/>
      <c r="G520" s="176"/>
      <c r="H520" s="177"/>
      <c r="I520" s="176"/>
      <c r="J520" s="176"/>
      <c r="K520" s="176"/>
      <c r="L520" s="177"/>
      <c r="M520" s="176"/>
      <c r="N520" s="176"/>
      <c r="O520" s="177"/>
      <c r="P520" s="181"/>
      <c r="Q520" s="181"/>
      <c r="R520" s="181"/>
      <c r="S520" s="175"/>
      <c r="T520" s="175"/>
      <c r="U520" s="190"/>
      <c r="V520" s="181"/>
      <c r="W520" s="190"/>
      <c r="X520" s="181"/>
      <c r="Y520" s="194">
        <v>6000000</v>
      </c>
      <c r="Z520" s="195"/>
      <c r="AA520" s="79"/>
      <c r="AB520" s="194"/>
      <c r="AC520" s="194"/>
      <c r="AD520" s="194"/>
      <c r="AE520" s="194"/>
      <c r="AF520" s="194"/>
      <c r="AG520" s="194"/>
      <c r="AH520" s="194"/>
      <c r="AI520" s="194"/>
      <c r="AJ520" s="196" t="s">
        <v>1556</v>
      </c>
      <c r="AK520" s="85"/>
      <c r="AL520" s="85"/>
      <c r="AM520" s="85"/>
    </row>
    <row r="521" spans="1:39" ht="12.75" hidden="1" customHeight="1">
      <c r="A521" s="63">
        <v>70</v>
      </c>
      <c r="B521" s="174" t="s">
        <v>1957</v>
      </c>
      <c r="C521" s="49" t="s">
        <v>2352</v>
      </c>
      <c r="D521" s="175" t="s">
        <v>2388</v>
      </c>
      <c r="E521" s="176"/>
      <c r="F521" s="176"/>
      <c r="G521" s="176"/>
      <c r="H521" s="177"/>
      <c r="I521" s="176"/>
      <c r="J521" s="176"/>
      <c r="K521" s="176"/>
      <c r="L521" s="177"/>
      <c r="M521" s="176"/>
      <c r="N521" s="176"/>
      <c r="O521" s="177"/>
      <c r="P521" s="181"/>
      <c r="Q521" s="181"/>
      <c r="R521" s="181"/>
      <c r="S521" s="175"/>
      <c r="T521" s="175"/>
      <c r="U521" s="190"/>
      <c r="V521" s="181"/>
      <c r="W521" s="190"/>
      <c r="X521" s="181"/>
      <c r="Y521" s="194"/>
      <c r="Z521" s="195">
        <v>2565000</v>
      </c>
      <c r="AA521" s="194"/>
      <c r="AB521" s="194"/>
      <c r="AC521" s="194"/>
      <c r="AD521" s="194"/>
      <c r="AE521" s="194"/>
      <c r="AF521" s="194"/>
      <c r="AG521" s="194"/>
      <c r="AH521" s="194"/>
      <c r="AI521" s="194"/>
      <c r="AJ521" s="196" t="s">
        <v>1556</v>
      </c>
      <c r="AK521" s="85"/>
      <c r="AL521" s="85"/>
      <c r="AM521" s="85"/>
    </row>
    <row r="522" spans="1:39" ht="12.75" hidden="1" customHeight="1">
      <c r="A522" s="63">
        <v>71</v>
      </c>
      <c r="B522" s="174" t="s">
        <v>30</v>
      </c>
      <c r="C522" s="49" t="s">
        <v>2389</v>
      </c>
      <c r="D522" s="175" t="s">
        <v>2390</v>
      </c>
      <c r="E522" s="176"/>
      <c r="F522" s="176"/>
      <c r="G522" s="176"/>
      <c r="H522" s="177"/>
      <c r="I522" s="176"/>
      <c r="J522" s="176"/>
      <c r="K522" s="176"/>
      <c r="L522" s="177"/>
      <c r="M522" s="176"/>
      <c r="N522" s="176"/>
      <c r="O522" s="177"/>
      <c r="P522" s="181"/>
      <c r="Q522" s="181"/>
      <c r="R522" s="181"/>
      <c r="S522" s="175"/>
      <c r="T522" s="175"/>
      <c r="U522" s="190"/>
      <c r="V522" s="181"/>
      <c r="W522" s="190"/>
      <c r="X522" s="181"/>
      <c r="Y522" s="194"/>
      <c r="Z522" s="195"/>
      <c r="AA522" s="194"/>
      <c r="AB522" s="194"/>
      <c r="AC522" s="194"/>
      <c r="AD522" s="194"/>
      <c r="AE522" s="194">
        <v>140000000</v>
      </c>
      <c r="AF522" s="194"/>
      <c r="AG522" s="194"/>
      <c r="AH522" s="194"/>
      <c r="AI522" s="194"/>
      <c r="AJ522" s="196" t="s">
        <v>2210</v>
      </c>
      <c r="AK522" s="85"/>
      <c r="AL522" s="85"/>
      <c r="AM522" s="85"/>
    </row>
    <row r="523" spans="1:39" ht="12.75" hidden="1" customHeight="1">
      <c r="A523" s="63">
        <v>72</v>
      </c>
      <c r="B523" s="174" t="s">
        <v>30</v>
      </c>
      <c r="C523" s="49" t="s">
        <v>2391</v>
      </c>
      <c r="D523" s="175" t="s">
        <v>2392</v>
      </c>
      <c r="E523" s="176"/>
      <c r="F523" s="176"/>
      <c r="G523" s="176"/>
      <c r="H523" s="177"/>
      <c r="I523" s="176"/>
      <c r="J523" s="176"/>
      <c r="K523" s="176"/>
      <c r="L523" s="177"/>
      <c r="M523" s="176"/>
      <c r="N523" s="176"/>
      <c r="O523" s="177"/>
      <c r="P523" s="181"/>
      <c r="Q523" s="181"/>
      <c r="R523" s="181"/>
      <c r="S523" s="175"/>
      <c r="T523" s="175"/>
      <c r="U523" s="190"/>
      <c r="V523" s="181"/>
      <c r="W523" s="190"/>
      <c r="X523" s="181"/>
      <c r="Y523" s="194"/>
      <c r="Z523" s="195"/>
      <c r="AA523" s="194"/>
      <c r="AB523" s="194"/>
      <c r="AC523" s="194"/>
      <c r="AD523" s="194">
        <v>158000000</v>
      </c>
      <c r="AE523" s="194"/>
      <c r="AF523" s="194"/>
      <c r="AG523" s="194"/>
      <c r="AH523" s="194"/>
      <c r="AI523" s="194"/>
      <c r="AJ523" s="196" t="s">
        <v>2210</v>
      </c>
      <c r="AK523" s="85"/>
      <c r="AL523" s="85"/>
      <c r="AM523" s="85"/>
    </row>
    <row r="524" spans="1:39" ht="12.75" hidden="1" customHeight="1">
      <c r="A524" s="63">
        <v>73</v>
      </c>
      <c r="B524" s="174" t="s">
        <v>1957</v>
      </c>
      <c r="C524" s="49" t="s">
        <v>2393</v>
      </c>
      <c r="D524" s="175" t="s">
        <v>2394</v>
      </c>
      <c r="E524" s="176"/>
      <c r="F524" s="176"/>
      <c r="G524" s="176"/>
      <c r="H524" s="177"/>
      <c r="I524" s="176"/>
      <c r="J524" s="176"/>
      <c r="K524" s="176"/>
      <c r="L524" s="177"/>
      <c r="M524" s="176"/>
      <c r="N524" s="176"/>
      <c r="O524" s="177"/>
      <c r="P524" s="181"/>
      <c r="Q524" s="181"/>
      <c r="R524" s="181"/>
      <c r="S524" s="175"/>
      <c r="T524" s="175"/>
      <c r="U524" s="190"/>
      <c r="V524" s="181"/>
      <c r="W524" s="190"/>
      <c r="X524" s="181"/>
      <c r="Y524" s="194"/>
      <c r="Z524" s="195"/>
      <c r="AA524" s="194"/>
      <c r="AB524" s="194">
        <v>38000000</v>
      </c>
      <c r="AC524" s="194"/>
      <c r="AD524" s="194"/>
      <c r="AE524" s="194"/>
      <c r="AF524" s="194"/>
      <c r="AG524" s="194"/>
      <c r="AH524" s="194"/>
      <c r="AI524" s="194"/>
      <c r="AJ524" s="196" t="s">
        <v>2258</v>
      </c>
      <c r="AK524" s="85"/>
      <c r="AL524" s="85"/>
      <c r="AM524" s="85"/>
    </row>
    <row r="525" spans="1:39" ht="12.75" hidden="1" customHeight="1">
      <c r="A525" s="63">
        <v>74</v>
      </c>
      <c r="B525" s="174" t="s">
        <v>1957</v>
      </c>
      <c r="C525" s="49" t="s">
        <v>2395</v>
      </c>
      <c r="D525" s="175" t="s">
        <v>2396</v>
      </c>
      <c r="E525" s="176"/>
      <c r="F525" s="176"/>
      <c r="G525" s="176"/>
      <c r="H525" s="177"/>
      <c r="I525" s="176"/>
      <c r="J525" s="176"/>
      <c r="K525" s="176"/>
      <c r="L525" s="177"/>
      <c r="M525" s="176"/>
      <c r="N525" s="176"/>
      <c r="O525" s="177"/>
      <c r="P525" s="181"/>
      <c r="Q525" s="181"/>
      <c r="R525" s="181"/>
      <c r="S525" s="175"/>
      <c r="T525" s="175"/>
      <c r="U525" s="190"/>
      <c r="V525" s="181"/>
      <c r="W525" s="190"/>
      <c r="X525" s="181"/>
      <c r="Y525" s="194"/>
      <c r="Z525" s="195">
        <v>2500000</v>
      </c>
      <c r="AA525" s="194"/>
      <c r="AB525" s="194"/>
      <c r="AC525" s="194"/>
      <c r="AD525" s="194"/>
      <c r="AE525" s="194"/>
      <c r="AF525" s="194"/>
      <c r="AG525" s="194"/>
      <c r="AH525" s="194"/>
      <c r="AI525" s="194"/>
      <c r="AJ525" s="196" t="s">
        <v>1556</v>
      </c>
      <c r="AK525" s="85"/>
      <c r="AL525" s="85"/>
      <c r="AM525" s="85"/>
    </row>
    <row r="526" spans="1:39" ht="12.75" hidden="1" customHeight="1">
      <c r="A526" s="63">
        <v>75</v>
      </c>
      <c r="B526" s="174" t="s">
        <v>1957</v>
      </c>
      <c r="C526" s="49" t="s">
        <v>2260</v>
      </c>
      <c r="D526" s="175" t="s">
        <v>2397</v>
      </c>
      <c r="E526" s="176"/>
      <c r="F526" s="176"/>
      <c r="G526" s="176"/>
      <c r="H526" s="177"/>
      <c r="I526" s="176"/>
      <c r="J526" s="176"/>
      <c r="K526" s="176"/>
      <c r="L526" s="177"/>
      <c r="M526" s="176"/>
      <c r="N526" s="176"/>
      <c r="O526" s="177"/>
      <c r="P526" s="181"/>
      <c r="Q526" s="181"/>
      <c r="R526" s="181"/>
      <c r="S526" s="175"/>
      <c r="T526" s="175"/>
      <c r="U526" s="190"/>
      <c r="V526" s="181"/>
      <c r="W526" s="190"/>
      <c r="X526" s="181"/>
      <c r="Y526" s="194"/>
      <c r="Z526" s="195"/>
      <c r="AA526" s="194"/>
      <c r="AB526" s="194"/>
      <c r="AC526" s="194">
        <v>30000000</v>
      </c>
      <c r="AD526" s="194"/>
      <c r="AE526" s="194"/>
      <c r="AF526" s="194"/>
      <c r="AG526" s="194"/>
      <c r="AH526" s="194"/>
      <c r="AI526" s="194"/>
      <c r="AJ526" s="196" t="s">
        <v>2210</v>
      </c>
      <c r="AK526" s="85"/>
      <c r="AL526" s="85"/>
      <c r="AM526" s="85"/>
    </row>
    <row r="527" spans="1:39" ht="12.75" customHeight="1">
      <c r="A527" s="63">
        <v>76</v>
      </c>
      <c r="B527" s="174" t="s">
        <v>27</v>
      </c>
      <c r="C527" s="49" t="s">
        <v>2398</v>
      </c>
      <c r="D527" s="175" t="s">
        <v>2399</v>
      </c>
      <c r="E527" s="176"/>
      <c r="F527" s="176"/>
      <c r="G527" s="176"/>
      <c r="H527" s="177"/>
      <c r="I527" s="176"/>
      <c r="J527" s="176"/>
      <c r="K527" s="176"/>
      <c r="L527" s="177"/>
      <c r="M527" s="176"/>
      <c r="N527" s="176"/>
      <c r="O527" s="177"/>
      <c r="P527" s="181"/>
      <c r="Q527" s="181"/>
      <c r="R527" s="181"/>
      <c r="S527" s="175"/>
      <c r="T527" s="175"/>
      <c r="U527" s="190"/>
      <c r="V527" s="181"/>
      <c r="W527" s="190"/>
      <c r="X527" s="181"/>
      <c r="Y527" s="194"/>
      <c r="Z527" s="195"/>
      <c r="AA527" s="194"/>
      <c r="AB527" s="194"/>
      <c r="AC527" s="194">
        <v>15000000</v>
      </c>
      <c r="AD527" s="194"/>
      <c r="AE527" s="194"/>
      <c r="AF527" s="194"/>
      <c r="AG527" s="194"/>
      <c r="AH527" s="194"/>
      <c r="AI527" s="194"/>
      <c r="AJ527" s="196" t="s">
        <v>2210</v>
      </c>
      <c r="AK527" s="85"/>
      <c r="AL527" s="85"/>
      <c r="AM527" s="85"/>
    </row>
    <row r="528" spans="1:39" ht="12.75" hidden="1" customHeight="1">
      <c r="A528" s="63">
        <v>77</v>
      </c>
      <c r="B528" s="174" t="s">
        <v>40</v>
      </c>
      <c r="C528" s="49" t="s">
        <v>2400</v>
      </c>
      <c r="D528" s="175" t="s">
        <v>2401</v>
      </c>
      <c r="E528" s="176"/>
      <c r="F528" s="176"/>
      <c r="G528" s="176"/>
      <c r="H528" s="177"/>
      <c r="I528" s="176"/>
      <c r="J528" s="176"/>
      <c r="K528" s="176"/>
      <c r="L528" s="177"/>
      <c r="M528" s="176"/>
      <c r="N528" s="176"/>
      <c r="O528" s="177"/>
      <c r="P528" s="181"/>
      <c r="Q528" s="181"/>
      <c r="R528" s="181"/>
      <c r="S528" s="175"/>
      <c r="T528" s="175"/>
      <c r="U528" s="190"/>
      <c r="V528" s="181"/>
      <c r="W528" s="190"/>
      <c r="X528" s="181"/>
      <c r="Y528" s="194">
        <v>3325000</v>
      </c>
      <c r="Z528" s="195"/>
      <c r="AA528" s="194"/>
      <c r="AB528" s="194"/>
      <c r="AC528" s="194"/>
      <c r="AD528" s="194"/>
      <c r="AE528" s="194"/>
      <c r="AF528" s="194"/>
      <c r="AG528" s="194"/>
      <c r="AH528" s="194"/>
      <c r="AI528" s="194"/>
      <c r="AJ528" s="196" t="s">
        <v>1556</v>
      </c>
      <c r="AK528" s="85"/>
      <c r="AL528" s="85"/>
      <c r="AM528" s="85"/>
    </row>
    <row r="529" spans="1:39" ht="12.75" customHeight="1">
      <c r="A529" s="63">
        <v>78</v>
      </c>
      <c r="B529" s="174" t="s">
        <v>27</v>
      </c>
      <c r="C529" s="49" t="s">
        <v>2322</v>
      </c>
      <c r="D529" s="175" t="s">
        <v>2402</v>
      </c>
      <c r="E529" s="176"/>
      <c r="F529" s="176"/>
      <c r="G529" s="176"/>
      <c r="H529" s="177"/>
      <c r="I529" s="176"/>
      <c r="J529" s="176"/>
      <c r="K529" s="176"/>
      <c r="L529" s="177"/>
      <c r="M529" s="176"/>
      <c r="N529" s="176"/>
      <c r="O529" s="177"/>
      <c r="P529" s="181"/>
      <c r="Q529" s="181"/>
      <c r="R529" s="181"/>
      <c r="S529" s="175"/>
      <c r="T529" s="175"/>
      <c r="U529" s="190"/>
      <c r="V529" s="181"/>
      <c r="W529" s="190"/>
      <c r="X529" s="181"/>
      <c r="Y529" s="194"/>
      <c r="Z529" s="195">
        <v>11100000</v>
      </c>
      <c r="AA529" s="194"/>
      <c r="AB529" s="194"/>
      <c r="AC529" s="194"/>
      <c r="AD529" s="194"/>
      <c r="AE529" s="194"/>
      <c r="AF529" s="194"/>
      <c r="AG529" s="194"/>
      <c r="AH529" s="194"/>
      <c r="AI529" s="194"/>
      <c r="AJ529" s="196" t="s">
        <v>1556</v>
      </c>
      <c r="AK529" s="85"/>
      <c r="AL529" s="85"/>
      <c r="AM529" s="85"/>
    </row>
    <row r="530" spans="1:39" ht="12.75" customHeight="1">
      <c r="A530" s="63">
        <v>79</v>
      </c>
      <c r="B530" s="174" t="s">
        <v>27</v>
      </c>
      <c r="C530" s="49" t="s">
        <v>2403</v>
      </c>
      <c r="D530" s="175" t="s">
        <v>2404</v>
      </c>
      <c r="E530" s="176"/>
      <c r="F530" s="176"/>
      <c r="G530" s="176"/>
      <c r="H530" s="177"/>
      <c r="I530" s="176"/>
      <c r="J530" s="176"/>
      <c r="K530" s="176"/>
      <c r="L530" s="177"/>
      <c r="M530" s="176"/>
      <c r="N530" s="176"/>
      <c r="O530" s="177"/>
      <c r="P530" s="181"/>
      <c r="Q530" s="181"/>
      <c r="R530" s="181"/>
      <c r="S530" s="175"/>
      <c r="T530" s="175"/>
      <c r="U530" s="190"/>
      <c r="V530" s="181"/>
      <c r="W530" s="190"/>
      <c r="X530" s="181"/>
      <c r="Y530" s="194"/>
      <c r="Z530" s="195"/>
      <c r="AA530" s="194">
        <v>9030000</v>
      </c>
      <c r="AB530" s="194"/>
      <c r="AC530" s="194"/>
      <c r="AD530" s="194"/>
      <c r="AE530" s="194"/>
      <c r="AF530" s="194"/>
      <c r="AG530" s="194"/>
      <c r="AH530" s="194"/>
      <c r="AI530" s="194"/>
      <c r="AJ530" s="196" t="s">
        <v>2258</v>
      </c>
      <c r="AK530" s="85"/>
      <c r="AL530" s="85"/>
      <c r="AM530" s="85"/>
    </row>
    <row r="531" spans="1:39" ht="12.75" hidden="1" customHeight="1">
      <c r="A531" s="63">
        <v>80</v>
      </c>
      <c r="B531" s="174" t="s">
        <v>40</v>
      </c>
      <c r="C531" s="49" t="s">
        <v>2405</v>
      </c>
      <c r="D531" s="175" t="s">
        <v>2406</v>
      </c>
      <c r="E531" s="176"/>
      <c r="F531" s="176"/>
      <c r="G531" s="176"/>
      <c r="H531" s="177"/>
      <c r="I531" s="176"/>
      <c r="J531" s="176"/>
      <c r="K531" s="176"/>
      <c r="L531" s="177"/>
      <c r="M531" s="176"/>
      <c r="N531" s="176"/>
      <c r="O531" s="177"/>
      <c r="P531" s="181"/>
      <c r="Q531" s="181"/>
      <c r="R531" s="181"/>
      <c r="S531" s="175"/>
      <c r="T531" s="175"/>
      <c r="U531" s="190"/>
      <c r="V531" s="181"/>
      <c r="W531" s="190"/>
      <c r="X531" s="181"/>
      <c r="Y531" s="194"/>
      <c r="Z531" s="195">
        <v>168000000</v>
      </c>
      <c r="AA531" s="194"/>
      <c r="AB531" s="194"/>
      <c r="AC531" s="194"/>
      <c r="AD531" s="194"/>
      <c r="AE531" s="194"/>
      <c r="AF531" s="194"/>
      <c r="AG531" s="194"/>
      <c r="AH531" s="194"/>
      <c r="AI531" s="194"/>
      <c r="AJ531" s="196" t="s">
        <v>1556</v>
      </c>
      <c r="AK531" s="85"/>
      <c r="AL531" s="85"/>
      <c r="AM531" s="85"/>
    </row>
    <row r="532" spans="1:39" ht="12.75" customHeight="1">
      <c r="A532" s="63">
        <v>81</v>
      </c>
      <c r="B532" s="174" t="s">
        <v>27</v>
      </c>
      <c r="C532" s="49" t="s">
        <v>2407</v>
      </c>
      <c r="D532" s="175" t="s">
        <v>2408</v>
      </c>
      <c r="E532" s="176"/>
      <c r="F532" s="176"/>
      <c r="G532" s="176"/>
      <c r="H532" s="177"/>
      <c r="I532" s="176"/>
      <c r="J532" s="176"/>
      <c r="K532" s="176"/>
      <c r="L532" s="177"/>
      <c r="M532" s="176"/>
      <c r="N532" s="176"/>
      <c r="O532" s="177"/>
      <c r="P532" s="181"/>
      <c r="Q532" s="181"/>
      <c r="R532" s="181"/>
      <c r="S532" s="175"/>
      <c r="T532" s="175"/>
      <c r="U532" s="190"/>
      <c r="V532" s="181"/>
      <c r="W532" s="190"/>
      <c r="X532" s="181"/>
      <c r="Y532" s="194"/>
      <c r="Z532" s="195"/>
      <c r="AA532" s="194"/>
      <c r="AB532" s="194">
        <v>220000000</v>
      </c>
      <c r="AC532" s="194"/>
      <c r="AD532" s="194"/>
      <c r="AE532" s="194"/>
      <c r="AF532" s="194"/>
      <c r="AG532" s="194"/>
      <c r="AH532" s="194"/>
      <c r="AI532" s="194"/>
      <c r="AJ532" s="196" t="s">
        <v>2210</v>
      </c>
      <c r="AK532" s="85"/>
      <c r="AL532" s="85"/>
      <c r="AM532" s="85"/>
    </row>
    <row r="533" spans="1:39" ht="12.75" hidden="1" customHeight="1">
      <c r="A533" s="63">
        <v>82</v>
      </c>
      <c r="B533" s="174" t="s">
        <v>40</v>
      </c>
      <c r="C533" s="49" t="s">
        <v>2336</v>
      </c>
      <c r="D533" s="175" t="s">
        <v>2409</v>
      </c>
      <c r="E533" s="176"/>
      <c r="F533" s="176"/>
      <c r="G533" s="176"/>
      <c r="H533" s="177"/>
      <c r="I533" s="176"/>
      <c r="J533" s="176"/>
      <c r="K533" s="176"/>
      <c r="L533" s="177"/>
      <c r="M533" s="176"/>
      <c r="N533" s="176"/>
      <c r="O533" s="177"/>
      <c r="P533" s="181"/>
      <c r="Q533" s="181"/>
      <c r="R533" s="181"/>
      <c r="S533" s="175"/>
      <c r="T533" s="175"/>
      <c r="U533" s="190"/>
      <c r="V533" s="181"/>
      <c r="W533" s="190"/>
      <c r="X533" s="181"/>
      <c r="Y533" s="194"/>
      <c r="Z533" s="195"/>
      <c r="AA533" s="194">
        <v>42385320</v>
      </c>
      <c r="AB533" s="194"/>
      <c r="AC533" s="194"/>
      <c r="AD533" s="194"/>
      <c r="AE533" s="194"/>
      <c r="AF533" s="194"/>
      <c r="AG533" s="194"/>
      <c r="AH533" s="194"/>
      <c r="AI533" s="194"/>
      <c r="AJ533" s="196" t="s">
        <v>1556</v>
      </c>
      <c r="AK533" s="85"/>
      <c r="AL533" s="85"/>
      <c r="AM533" s="85"/>
    </row>
    <row r="534" spans="1:39" ht="12.75" hidden="1" customHeight="1">
      <c r="A534" s="63">
        <v>83</v>
      </c>
      <c r="B534" s="174" t="s">
        <v>40</v>
      </c>
      <c r="C534" s="49" t="s">
        <v>2312</v>
      </c>
      <c r="D534" s="175" t="s">
        <v>2410</v>
      </c>
      <c r="E534" s="176"/>
      <c r="F534" s="176"/>
      <c r="G534" s="176"/>
      <c r="H534" s="177"/>
      <c r="I534" s="176"/>
      <c r="J534" s="176"/>
      <c r="K534" s="176"/>
      <c r="L534" s="177"/>
      <c r="M534" s="176"/>
      <c r="N534" s="176"/>
      <c r="O534" s="177"/>
      <c r="P534" s="181"/>
      <c r="Q534" s="181"/>
      <c r="R534" s="181"/>
      <c r="S534" s="175"/>
      <c r="T534" s="175"/>
      <c r="U534" s="190"/>
      <c r="V534" s="181"/>
      <c r="W534" s="190"/>
      <c r="X534" s="181"/>
      <c r="Y534" s="194"/>
      <c r="Z534" s="195"/>
      <c r="AA534" s="194">
        <v>1753600</v>
      </c>
      <c r="AB534" s="194"/>
      <c r="AC534" s="194"/>
      <c r="AD534" s="194"/>
      <c r="AE534" s="194"/>
      <c r="AF534" s="194"/>
      <c r="AG534" s="194"/>
      <c r="AH534" s="194"/>
      <c r="AI534" s="194"/>
      <c r="AJ534" s="196" t="s">
        <v>1556</v>
      </c>
      <c r="AK534" s="85"/>
      <c r="AL534" s="85"/>
      <c r="AM534" s="85"/>
    </row>
    <row r="535" spans="1:39" ht="12.75" hidden="1" customHeight="1">
      <c r="A535" s="63">
        <v>84</v>
      </c>
      <c r="B535" s="174" t="s">
        <v>40</v>
      </c>
      <c r="C535" s="49" t="s">
        <v>2343</v>
      </c>
      <c r="D535" s="175" t="s">
        <v>2411</v>
      </c>
      <c r="E535" s="176"/>
      <c r="F535" s="176"/>
      <c r="G535" s="176"/>
      <c r="H535" s="177"/>
      <c r="I535" s="176"/>
      <c r="J535" s="176"/>
      <c r="K535" s="176"/>
      <c r="L535" s="177"/>
      <c r="M535" s="176"/>
      <c r="N535" s="176"/>
      <c r="O535" s="177"/>
      <c r="P535" s="181"/>
      <c r="Q535" s="181"/>
      <c r="R535" s="181"/>
      <c r="S535" s="175"/>
      <c r="T535" s="175"/>
      <c r="U535" s="190"/>
      <c r="V535" s="181"/>
      <c r="W535" s="190"/>
      <c r="X535" s="181"/>
      <c r="Y535" s="194"/>
      <c r="Z535" s="195"/>
      <c r="AA535" s="194"/>
      <c r="AB535" s="194">
        <v>270222680</v>
      </c>
      <c r="AC535" s="194"/>
      <c r="AD535" s="194"/>
      <c r="AE535" s="194"/>
      <c r="AF535" s="194"/>
      <c r="AG535" s="194"/>
      <c r="AH535" s="194"/>
      <c r="AI535" s="194"/>
      <c r="AJ535" s="196" t="s">
        <v>1556</v>
      </c>
      <c r="AK535" s="85"/>
      <c r="AL535" s="85"/>
      <c r="AM535" s="85"/>
    </row>
    <row r="536" spans="1:39" ht="12.75" customHeight="1">
      <c r="A536" s="63">
        <v>85</v>
      </c>
      <c r="B536" s="174" t="s">
        <v>27</v>
      </c>
      <c r="C536" s="49" t="s">
        <v>2412</v>
      </c>
      <c r="D536" s="175" t="s">
        <v>2413</v>
      </c>
      <c r="E536" s="176"/>
      <c r="F536" s="176"/>
      <c r="G536" s="176"/>
      <c r="H536" s="177"/>
      <c r="I536" s="176"/>
      <c r="J536" s="176"/>
      <c r="K536" s="176"/>
      <c r="L536" s="177"/>
      <c r="M536" s="176"/>
      <c r="N536" s="176"/>
      <c r="O536" s="177"/>
      <c r="P536" s="181"/>
      <c r="Q536" s="181"/>
      <c r="R536" s="181"/>
      <c r="S536" s="175"/>
      <c r="T536" s="175"/>
      <c r="U536" s="190"/>
      <c r="V536" s="181"/>
      <c r="W536" s="190"/>
      <c r="X536" s="181"/>
      <c r="Y536" s="194"/>
      <c r="Z536" s="195"/>
      <c r="AA536" s="194"/>
      <c r="AB536" s="194"/>
      <c r="AC536" s="194">
        <v>48000000</v>
      </c>
      <c r="AD536" s="194"/>
      <c r="AE536" s="194"/>
      <c r="AF536" s="194"/>
      <c r="AG536" s="194"/>
      <c r="AH536" s="194"/>
      <c r="AI536" s="194"/>
      <c r="AJ536" s="196" t="s">
        <v>2210</v>
      </c>
      <c r="AK536" s="85"/>
      <c r="AL536" s="85"/>
      <c r="AM536" s="85"/>
    </row>
    <row r="537" spans="1:39" ht="12.75" hidden="1" customHeight="1">
      <c r="A537" s="63">
        <v>86</v>
      </c>
      <c r="B537" s="174" t="s">
        <v>40</v>
      </c>
      <c r="C537" s="49" t="s">
        <v>2414</v>
      </c>
      <c r="D537" s="175" t="s">
        <v>2415</v>
      </c>
      <c r="E537" s="176"/>
      <c r="F537" s="176"/>
      <c r="G537" s="176"/>
      <c r="H537" s="177"/>
      <c r="I537" s="176"/>
      <c r="J537" s="176"/>
      <c r="K537" s="176"/>
      <c r="L537" s="177"/>
      <c r="M537" s="176"/>
      <c r="N537" s="176"/>
      <c r="O537" s="177"/>
      <c r="P537" s="181"/>
      <c r="Q537" s="181"/>
      <c r="R537" s="181"/>
      <c r="S537" s="175"/>
      <c r="T537" s="175"/>
      <c r="U537" s="190"/>
      <c r="V537" s="181"/>
      <c r="W537" s="190"/>
      <c r="X537" s="181"/>
      <c r="Y537" s="194"/>
      <c r="Z537" s="195">
        <v>36765000</v>
      </c>
      <c r="AA537" s="194"/>
      <c r="AB537" s="194"/>
      <c r="AC537" s="194"/>
      <c r="AD537" s="194"/>
      <c r="AE537" s="194"/>
      <c r="AF537" s="194"/>
      <c r="AG537" s="194"/>
      <c r="AH537" s="194"/>
      <c r="AI537" s="194"/>
      <c r="AJ537" s="196" t="s">
        <v>1556</v>
      </c>
      <c r="AK537" s="85"/>
      <c r="AL537" s="85"/>
      <c r="AM537" s="85"/>
    </row>
    <row r="538" spans="1:39" ht="12.75" customHeight="1">
      <c r="A538" s="63">
        <v>87</v>
      </c>
      <c r="B538" s="174" t="s">
        <v>27</v>
      </c>
      <c r="C538" s="49" t="s">
        <v>2382</v>
      </c>
      <c r="D538" s="175" t="s">
        <v>2416</v>
      </c>
      <c r="E538" s="176"/>
      <c r="F538" s="176"/>
      <c r="G538" s="176"/>
      <c r="H538" s="177"/>
      <c r="I538" s="176"/>
      <c r="J538" s="176"/>
      <c r="K538" s="176"/>
      <c r="L538" s="177"/>
      <c r="M538" s="176"/>
      <c r="N538" s="176"/>
      <c r="O538" s="177"/>
      <c r="P538" s="181"/>
      <c r="Q538" s="181"/>
      <c r="R538" s="181"/>
      <c r="S538" s="175"/>
      <c r="T538" s="175"/>
      <c r="U538" s="190"/>
      <c r="V538" s="181"/>
      <c r="W538" s="190"/>
      <c r="X538" s="181"/>
      <c r="Y538" s="194"/>
      <c r="Z538" s="195"/>
      <c r="AA538" s="194">
        <v>590000</v>
      </c>
      <c r="AB538" s="194"/>
      <c r="AC538" s="194"/>
      <c r="AD538" s="194"/>
      <c r="AE538" s="194"/>
      <c r="AF538" s="194"/>
      <c r="AG538" s="194"/>
      <c r="AH538" s="194"/>
      <c r="AI538" s="194"/>
      <c r="AJ538" s="196" t="s">
        <v>2258</v>
      </c>
      <c r="AK538" s="85"/>
      <c r="AL538" s="85"/>
      <c r="AM538" s="85"/>
    </row>
    <row r="539" spans="1:39" ht="12.75" hidden="1" customHeight="1">
      <c r="A539" s="63">
        <v>88</v>
      </c>
      <c r="B539" s="174" t="s">
        <v>40</v>
      </c>
      <c r="C539" s="49" t="s">
        <v>2417</v>
      </c>
      <c r="D539" s="175" t="s">
        <v>2418</v>
      </c>
      <c r="E539" s="176"/>
      <c r="F539" s="176"/>
      <c r="G539" s="176"/>
      <c r="H539" s="177"/>
      <c r="I539" s="176"/>
      <c r="J539" s="176"/>
      <c r="K539" s="176"/>
      <c r="L539" s="177"/>
      <c r="M539" s="176"/>
      <c r="N539" s="176"/>
      <c r="O539" s="177"/>
      <c r="P539" s="181"/>
      <c r="Q539" s="181"/>
      <c r="R539" s="181"/>
      <c r="S539" s="175"/>
      <c r="T539" s="175"/>
      <c r="U539" s="190"/>
      <c r="V539" s="181"/>
      <c r="W539" s="190"/>
      <c r="X539" s="181"/>
      <c r="Y539" s="194"/>
      <c r="Z539" s="195">
        <v>10925000</v>
      </c>
      <c r="AA539" s="194"/>
      <c r="AB539" s="194"/>
      <c r="AC539" s="194"/>
      <c r="AD539" s="194"/>
      <c r="AE539" s="194"/>
      <c r="AF539" s="194"/>
      <c r="AG539" s="194"/>
      <c r="AH539" s="194"/>
      <c r="AI539" s="194"/>
      <c r="AJ539" s="196" t="s">
        <v>1765</v>
      </c>
      <c r="AK539" s="85"/>
      <c r="AL539" s="85"/>
      <c r="AM539" s="85"/>
    </row>
    <row r="540" spans="1:39" ht="12.75" hidden="1" customHeight="1">
      <c r="A540" s="63">
        <v>89</v>
      </c>
      <c r="B540" s="174" t="s">
        <v>40</v>
      </c>
      <c r="C540" s="49" t="s">
        <v>2419</v>
      </c>
      <c r="D540" s="175" t="s">
        <v>2420</v>
      </c>
      <c r="E540" s="176"/>
      <c r="F540" s="176"/>
      <c r="G540" s="176"/>
      <c r="H540" s="177"/>
      <c r="I540" s="176"/>
      <c r="J540" s="176"/>
      <c r="K540" s="176"/>
      <c r="L540" s="177"/>
      <c r="M540" s="176"/>
      <c r="N540" s="176"/>
      <c r="O540" s="177"/>
      <c r="P540" s="181"/>
      <c r="Q540" s="181"/>
      <c r="R540" s="181"/>
      <c r="S540" s="175"/>
      <c r="T540" s="175"/>
      <c r="U540" s="190"/>
      <c r="V540" s="181"/>
      <c r="W540" s="190"/>
      <c r="X540" s="181"/>
      <c r="Y540" s="194"/>
      <c r="Z540" s="195">
        <v>14941125</v>
      </c>
      <c r="AA540" s="194"/>
      <c r="AB540" s="194"/>
      <c r="AC540" s="194"/>
      <c r="AD540" s="194"/>
      <c r="AE540" s="194"/>
      <c r="AF540" s="194"/>
      <c r="AG540" s="194"/>
      <c r="AH540" s="194"/>
      <c r="AI540" s="194"/>
      <c r="AJ540" s="196" t="s">
        <v>1765</v>
      </c>
      <c r="AK540" s="85"/>
      <c r="AL540" s="85"/>
      <c r="AM540" s="85"/>
    </row>
    <row r="541" spans="1:39" ht="12.75" hidden="1" customHeight="1">
      <c r="A541" s="63">
        <v>90</v>
      </c>
      <c r="B541" s="174" t="s">
        <v>40</v>
      </c>
      <c r="C541" s="49" t="s">
        <v>2421</v>
      </c>
      <c r="D541" s="175" t="s">
        <v>2422</v>
      </c>
      <c r="E541" s="176"/>
      <c r="F541" s="176"/>
      <c r="G541" s="176"/>
      <c r="H541" s="177"/>
      <c r="I541" s="176"/>
      <c r="J541" s="176"/>
      <c r="K541" s="176"/>
      <c r="L541" s="177"/>
      <c r="M541" s="176"/>
      <c r="N541" s="176"/>
      <c r="O541" s="177"/>
      <c r="P541" s="181"/>
      <c r="Q541" s="181"/>
      <c r="R541" s="181"/>
      <c r="S541" s="175"/>
      <c r="T541" s="175"/>
      <c r="U541" s="190"/>
      <c r="V541" s="181"/>
      <c r="W541" s="190"/>
      <c r="X541" s="181"/>
      <c r="Y541" s="194"/>
      <c r="Z541" s="195">
        <v>40112000</v>
      </c>
      <c r="AA541" s="194"/>
      <c r="AB541" s="194"/>
      <c r="AC541" s="194"/>
      <c r="AD541" s="194"/>
      <c r="AE541" s="194"/>
      <c r="AF541" s="194"/>
      <c r="AG541" s="194"/>
      <c r="AH541" s="194"/>
      <c r="AI541" s="194"/>
      <c r="AJ541" s="196" t="s">
        <v>1765</v>
      </c>
      <c r="AK541" s="85"/>
      <c r="AL541" s="85"/>
      <c r="AM541" s="85"/>
    </row>
    <row r="542" spans="1:39" ht="12.75" hidden="1" customHeight="1">
      <c r="A542" s="63">
        <v>91</v>
      </c>
      <c r="B542" s="174" t="s">
        <v>40</v>
      </c>
      <c r="C542" s="49" t="s">
        <v>2322</v>
      </c>
      <c r="D542" s="175" t="s">
        <v>2423</v>
      </c>
      <c r="E542" s="176"/>
      <c r="F542" s="176"/>
      <c r="G542" s="176"/>
      <c r="H542" s="177"/>
      <c r="I542" s="176"/>
      <c r="J542" s="176"/>
      <c r="K542" s="176"/>
      <c r="L542" s="177"/>
      <c r="M542" s="176"/>
      <c r="N542" s="176"/>
      <c r="O542" s="177"/>
      <c r="P542" s="181"/>
      <c r="Q542" s="181"/>
      <c r="R542" s="181"/>
      <c r="S542" s="175"/>
      <c r="T542" s="175"/>
      <c r="U542" s="190"/>
      <c r="V542" s="181"/>
      <c r="W542" s="190"/>
      <c r="X542" s="181"/>
      <c r="Y542" s="194"/>
      <c r="Z542" s="195">
        <v>82266248</v>
      </c>
      <c r="AA542" s="194"/>
      <c r="AB542" s="194"/>
      <c r="AC542" s="194"/>
      <c r="AD542" s="194"/>
      <c r="AE542" s="194"/>
      <c r="AF542" s="194"/>
      <c r="AG542" s="194"/>
      <c r="AH542" s="194"/>
      <c r="AI542" s="194"/>
      <c r="AJ542" s="196" t="s">
        <v>1765</v>
      </c>
      <c r="AK542" s="85"/>
      <c r="AL542" s="85"/>
      <c r="AM542" s="85"/>
    </row>
    <row r="543" spans="1:39" ht="12.75" hidden="1" customHeight="1">
      <c r="A543" s="63">
        <v>92</v>
      </c>
      <c r="B543" s="174" t="s">
        <v>40</v>
      </c>
      <c r="C543" s="49" t="s">
        <v>2424</v>
      </c>
      <c r="D543" s="175" t="s">
        <v>2425</v>
      </c>
      <c r="E543" s="176"/>
      <c r="F543" s="176"/>
      <c r="G543" s="176"/>
      <c r="H543" s="177"/>
      <c r="I543" s="176"/>
      <c r="J543" s="176"/>
      <c r="K543" s="176"/>
      <c r="L543" s="177"/>
      <c r="M543" s="176"/>
      <c r="N543" s="176"/>
      <c r="O543" s="177"/>
      <c r="P543" s="181"/>
      <c r="Q543" s="181"/>
      <c r="R543" s="181"/>
      <c r="S543" s="175"/>
      <c r="T543" s="175"/>
      <c r="U543" s="190"/>
      <c r="V543" s="181"/>
      <c r="W543" s="190"/>
      <c r="X543" s="181"/>
      <c r="Y543" s="194"/>
      <c r="Z543" s="195">
        <v>11200000</v>
      </c>
      <c r="AA543" s="194"/>
      <c r="AB543" s="194"/>
      <c r="AC543" s="194"/>
      <c r="AD543" s="194"/>
      <c r="AE543" s="194"/>
      <c r="AF543" s="194"/>
      <c r="AG543" s="194"/>
      <c r="AH543" s="194"/>
      <c r="AI543" s="194"/>
      <c r="AJ543" s="196" t="s">
        <v>1765</v>
      </c>
      <c r="AK543" s="85"/>
      <c r="AL543" s="85"/>
      <c r="AM543" s="85"/>
    </row>
    <row r="544" spans="1:39" ht="12.75" hidden="1" customHeight="1">
      <c r="A544" s="63">
        <v>93</v>
      </c>
      <c r="B544" s="174" t="s">
        <v>40</v>
      </c>
      <c r="C544" s="49" t="s">
        <v>2426</v>
      </c>
      <c r="D544" s="175" t="s">
        <v>2427</v>
      </c>
      <c r="E544" s="176"/>
      <c r="F544" s="176"/>
      <c r="G544" s="176"/>
      <c r="H544" s="177"/>
      <c r="I544" s="176"/>
      <c r="J544" s="176"/>
      <c r="K544" s="176"/>
      <c r="L544" s="177"/>
      <c r="M544" s="176"/>
      <c r="N544" s="176"/>
      <c r="O544" s="177"/>
      <c r="P544" s="181"/>
      <c r="Q544" s="181"/>
      <c r="R544" s="181"/>
      <c r="S544" s="175"/>
      <c r="T544" s="175"/>
      <c r="U544" s="190"/>
      <c r="V544" s="181"/>
      <c r="W544" s="190"/>
      <c r="X544" s="181"/>
      <c r="Y544" s="194"/>
      <c r="Z544" s="195">
        <v>3325000</v>
      </c>
      <c r="AA544" s="194"/>
      <c r="AB544" s="194"/>
      <c r="AC544" s="194"/>
      <c r="AD544" s="194"/>
      <c r="AE544" s="194"/>
      <c r="AF544" s="194"/>
      <c r="AG544" s="194"/>
      <c r="AH544" s="194"/>
      <c r="AI544" s="194"/>
      <c r="AJ544" s="196" t="s">
        <v>1765</v>
      </c>
      <c r="AK544" s="85"/>
      <c r="AL544" s="85"/>
      <c r="AM544" s="85"/>
    </row>
    <row r="545" spans="1:39" ht="12.75" hidden="1" customHeight="1">
      <c r="A545" s="63">
        <v>94</v>
      </c>
      <c r="B545" s="174" t="s">
        <v>40</v>
      </c>
      <c r="C545" s="49" t="s">
        <v>2421</v>
      </c>
      <c r="D545" s="175" t="s">
        <v>2428</v>
      </c>
      <c r="E545" s="176"/>
      <c r="F545" s="176"/>
      <c r="G545" s="176"/>
      <c r="H545" s="177"/>
      <c r="I545" s="176"/>
      <c r="J545" s="176"/>
      <c r="K545" s="176"/>
      <c r="L545" s="177"/>
      <c r="M545" s="176"/>
      <c r="N545" s="176"/>
      <c r="O545" s="177"/>
      <c r="P545" s="181"/>
      <c r="Q545" s="181"/>
      <c r="R545" s="181"/>
      <c r="S545" s="175"/>
      <c r="T545" s="175"/>
      <c r="U545" s="190"/>
      <c r="V545" s="181"/>
      <c r="W545" s="190"/>
      <c r="X545" s="181"/>
      <c r="Y545" s="194"/>
      <c r="Z545" s="195">
        <v>12870000</v>
      </c>
      <c r="AA545" s="194"/>
      <c r="AB545" s="194"/>
      <c r="AC545" s="194"/>
      <c r="AD545" s="194"/>
      <c r="AE545" s="194"/>
      <c r="AF545" s="194"/>
      <c r="AG545" s="194"/>
      <c r="AH545" s="194"/>
      <c r="AI545" s="194"/>
      <c r="AJ545" s="196" t="s">
        <v>1765</v>
      </c>
      <c r="AK545" s="85"/>
      <c r="AL545" s="85"/>
      <c r="AM545" s="85"/>
    </row>
    <row r="546" spans="1:39" ht="12.75" hidden="1" customHeight="1">
      <c r="A546" s="63">
        <v>95</v>
      </c>
      <c r="B546" s="174" t="s">
        <v>40</v>
      </c>
      <c r="C546" s="49" t="s">
        <v>2429</v>
      </c>
      <c r="D546" s="175" t="s">
        <v>2430</v>
      </c>
      <c r="E546" s="176"/>
      <c r="F546" s="176"/>
      <c r="G546" s="176"/>
      <c r="H546" s="177"/>
      <c r="I546" s="176"/>
      <c r="J546" s="176"/>
      <c r="K546" s="176"/>
      <c r="L546" s="177"/>
      <c r="M546" s="176"/>
      <c r="N546" s="176"/>
      <c r="O546" s="177"/>
      <c r="P546" s="181"/>
      <c r="Q546" s="181"/>
      <c r="R546" s="181"/>
      <c r="S546" s="175"/>
      <c r="T546" s="175"/>
      <c r="U546" s="190"/>
      <c r="V546" s="181"/>
      <c r="W546" s="190"/>
      <c r="X546" s="181"/>
      <c r="Y546" s="194"/>
      <c r="Z546" s="195"/>
      <c r="AA546" s="194"/>
      <c r="AB546" s="194">
        <v>23105940</v>
      </c>
      <c r="AC546" s="194"/>
      <c r="AD546" s="194"/>
      <c r="AE546" s="194"/>
      <c r="AF546" s="194"/>
      <c r="AG546" s="194"/>
      <c r="AH546" s="194"/>
      <c r="AI546" s="194"/>
      <c r="AJ546" s="196" t="s">
        <v>2335</v>
      </c>
      <c r="AK546" s="85"/>
      <c r="AL546" s="85"/>
      <c r="AM546" s="85"/>
    </row>
    <row r="547" spans="1:39" ht="12.75" customHeight="1">
      <c r="A547" s="63">
        <v>96</v>
      </c>
      <c r="B547" s="174" t="s">
        <v>27</v>
      </c>
      <c r="C547" s="49" t="s">
        <v>2260</v>
      </c>
      <c r="D547" s="175" t="s">
        <v>2431</v>
      </c>
      <c r="E547" s="176"/>
      <c r="F547" s="176"/>
      <c r="G547" s="176"/>
      <c r="H547" s="177"/>
      <c r="I547" s="176"/>
      <c r="J547" s="176"/>
      <c r="K547" s="176"/>
      <c r="L547" s="177"/>
      <c r="M547" s="176"/>
      <c r="N547" s="176"/>
      <c r="O547" s="177"/>
      <c r="P547" s="181"/>
      <c r="Q547" s="181"/>
      <c r="R547" s="181"/>
      <c r="S547" s="175"/>
      <c r="T547" s="175"/>
      <c r="U547" s="190"/>
      <c r="V547" s="181"/>
      <c r="W547" s="190"/>
      <c r="X547" s="181"/>
      <c r="Y547" s="194"/>
      <c r="Z547" s="195"/>
      <c r="AA547" s="194"/>
      <c r="AB547" s="194"/>
      <c r="AC547" s="194">
        <v>65000000</v>
      </c>
      <c r="AD547" s="194"/>
      <c r="AE547" s="194"/>
      <c r="AF547" s="194"/>
      <c r="AG547" s="194"/>
      <c r="AH547" s="194"/>
      <c r="AI547" s="194"/>
      <c r="AJ547" s="196" t="s">
        <v>2210</v>
      </c>
      <c r="AK547" s="85"/>
      <c r="AL547" s="85"/>
      <c r="AM547" s="85"/>
    </row>
    <row r="548" spans="1:39" ht="12.75" customHeight="1">
      <c r="A548" s="63">
        <v>97</v>
      </c>
      <c r="B548" s="174" t="s">
        <v>27</v>
      </c>
      <c r="C548" s="49" t="s">
        <v>2322</v>
      </c>
      <c r="D548" s="175" t="s">
        <v>2432</v>
      </c>
      <c r="E548" s="176"/>
      <c r="F548" s="176"/>
      <c r="G548" s="176"/>
      <c r="H548" s="177"/>
      <c r="I548" s="176"/>
      <c r="J548" s="176"/>
      <c r="K548" s="176"/>
      <c r="L548" s="177"/>
      <c r="M548" s="176"/>
      <c r="N548" s="176"/>
      <c r="O548" s="177"/>
      <c r="P548" s="181"/>
      <c r="Q548" s="181"/>
      <c r="R548" s="181"/>
      <c r="S548" s="175"/>
      <c r="T548" s="175"/>
      <c r="U548" s="190"/>
      <c r="V548" s="181"/>
      <c r="W548" s="190"/>
      <c r="X548" s="181"/>
      <c r="Y548" s="194"/>
      <c r="Z548" s="195"/>
      <c r="AA548" s="194">
        <v>5408700</v>
      </c>
      <c r="AB548" s="194"/>
      <c r="AC548" s="194"/>
      <c r="AD548" s="194"/>
      <c r="AE548" s="196"/>
      <c r="AF548" s="196"/>
      <c r="AG548" s="196"/>
      <c r="AH548" s="196"/>
      <c r="AI548" s="196"/>
      <c r="AJ548" s="196" t="s">
        <v>2335</v>
      </c>
      <c r="AK548" s="85"/>
      <c r="AL548" s="85"/>
      <c r="AM548" s="85"/>
    </row>
    <row r="549" spans="1:39" ht="12.75" customHeight="1">
      <c r="A549" s="63">
        <v>98</v>
      </c>
      <c r="B549" s="174" t="s">
        <v>27</v>
      </c>
      <c r="C549" s="49" t="s">
        <v>2433</v>
      </c>
      <c r="D549" s="175" t="s">
        <v>2434</v>
      </c>
      <c r="E549" s="176"/>
      <c r="F549" s="176"/>
      <c r="G549" s="176"/>
      <c r="H549" s="177"/>
      <c r="I549" s="176"/>
      <c r="J549" s="176"/>
      <c r="K549" s="176"/>
      <c r="L549" s="177"/>
      <c r="M549" s="176"/>
      <c r="N549" s="176"/>
      <c r="O549" s="177"/>
      <c r="P549" s="181"/>
      <c r="Q549" s="181"/>
      <c r="R549" s="181"/>
      <c r="S549" s="175"/>
      <c r="T549" s="175"/>
      <c r="U549" s="190"/>
      <c r="V549" s="181"/>
      <c r="W549" s="190"/>
      <c r="X549" s="181"/>
      <c r="Y549" s="194"/>
      <c r="Z549" s="195"/>
      <c r="AA549" s="194"/>
      <c r="AB549" s="194"/>
      <c r="AC549" s="194">
        <v>5256400</v>
      </c>
      <c r="AD549" s="194"/>
      <c r="AE549" s="196"/>
      <c r="AF549" s="196"/>
      <c r="AG549" s="196"/>
      <c r="AH549" s="196"/>
      <c r="AI549" s="196"/>
      <c r="AJ549" s="196" t="s">
        <v>2210</v>
      </c>
      <c r="AK549" s="85"/>
      <c r="AL549" s="85"/>
      <c r="AM549" s="85"/>
    </row>
    <row r="550" spans="1:39" ht="12.75" customHeight="1">
      <c r="A550" s="63">
        <v>99</v>
      </c>
      <c r="B550" s="174" t="s">
        <v>27</v>
      </c>
      <c r="C550" s="49" t="s">
        <v>2435</v>
      </c>
      <c r="D550" s="175" t="s">
        <v>2436</v>
      </c>
      <c r="E550" s="176"/>
      <c r="F550" s="176"/>
      <c r="G550" s="176"/>
      <c r="H550" s="177"/>
      <c r="I550" s="176"/>
      <c r="J550" s="176"/>
      <c r="K550" s="176"/>
      <c r="L550" s="177"/>
      <c r="M550" s="176"/>
      <c r="N550" s="176"/>
      <c r="O550" s="177"/>
      <c r="P550" s="181"/>
      <c r="Q550" s="181"/>
      <c r="R550" s="181"/>
      <c r="S550" s="175"/>
      <c r="T550" s="175"/>
      <c r="U550" s="190"/>
      <c r="V550" s="181"/>
      <c r="W550" s="190"/>
      <c r="X550" s="181"/>
      <c r="Y550" s="194"/>
      <c r="Z550" s="195"/>
      <c r="AA550" s="194"/>
      <c r="AB550" s="194">
        <v>74524815</v>
      </c>
      <c r="AC550" s="194"/>
      <c r="AD550" s="194"/>
      <c r="AE550" s="196"/>
      <c r="AF550" s="196"/>
      <c r="AG550" s="196"/>
      <c r="AH550" s="196"/>
      <c r="AI550" s="196"/>
      <c r="AJ550" s="196" t="s">
        <v>2210</v>
      </c>
      <c r="AK550" s="85"/>
      <c r="AL550" s="85"/>
      <c r="AM550" s="85"/>
    </row>
    <row r="551" spans="1:39" ht="12.75" customHeight="1">
      <c r="A551" s="63">
        <v>100</v>
      </c>
      <c r="B551" s="174" t="s">
        <v>27</v>
      </c>
      <c r="C551" s="49" t="s">
        <v>2314</v>
      </c>
      <c r="D551" s="175" t="s">
        <v>2437</v>
      </c>
      <c r="E551" s="176"/>
      <c r="F551" s="176"/>
      <c r="G551" s="176"/>
      <c r="H551" s="177"/>
      <c r="I551" s="176"/>
      <c r="J551" s="176"/>
      <c r="K551" s="176"/>
      <c r="L551" s="177"/>
      <c r="M551" s="176"/>
      <c r="N551" s="176"/>
      <c r="O551" s="177"/>
      <c r="P551" s="181"/>
      <c r="Q551" s="181"/>
      <c r="R551" s="181"/>
      <c r="S551" s="175"/>
      <c r="T551" s="175"/>
      <c r="U551" s="190"/>
      <c r="V551" s="181"/>
      <c r="W551" s="190"/>
      <c r="X551" s="181"/>
      <c r="Y551" s="194"/>
      <c r="Z551" s="195"/>
      <c r="AA551" s="194"/>
      <c r="AB551" s="194"/>
      <c r="AC551" s="194">
        <v>1755500</v>
      </c>
      <c r="AD551" s="194"/>
      <c r="AE551" s="196"/>
      <c r="AF551" s="196"/>
      <c r="AG551" s="196"/>
      <c r="AH551" s="196"/>
      <c r="AI551" s="196"/>
      <c r="AJ551" s="196" t="s">
        <v>2210</v>
      </c>
      <c r="AK551" s="85"/>
      <c r="AL551" s="85"/>
      <c r="AM551" s="85"/>
    </row>
    <row r="552" spans="1:39" ht="12.75" hidden="1" customHeight="1">
      <c r="A552" s="63">
        <v>101</v>
      </c>
      <c r="B552" s="174" t="s">
        <v>40</v>
      </c>
      <c r="C552" s="49" t="s">
        <v>2438</v>
      </c>
      <c r="D552" s="175" t="s">
        <v>2439</v>
      </c>
      <c r="E552" s="176"/>
      <c r="F552" s="176"/>
      <c r="G552" s="176"/>
      <c r="H552" s="177"/>
      <c r="I552" s="176"/>
      <c r="J552" s="176"/>
      <c r="K552" s="176"/>
      <c r="L552" s="177"/>
      <c r="M552" s="176"/>
      <c r="N552" s="176"/>
      <c r="O552" s="177"/>
      <c r="P552" s="181"/>
      <c r="Q552" s="181"/>
      <c r="R552" s="181"/>
      <c r="S552" s="175"/>
      <c r="T552" s="175"/>
      <c r="U552" s="190"/>
      <c r="V552" s="181"/>
      <c r="W552" s="190"/>
      <c r="X552" s="181"/>
      <c r="Y552" s="194"/>
      <c r="Z552" s="195"/>
      <c r="AA552" s="194">
        <v>1492640</v>
      </c>
      <c r="AB552" s="194"/>
      <c r="AC552" s="194"/>
      <c r="AD552" s="194"/>
      <c r="AE552" s="196"/>
      <c r="AF552" s="196"/>
      <c r="AG552" s="196"/>
      <c r="AH552" s="196"/>
      <c r="AI552" s="196"/>
      <c r="AJ552" s="196" t="s">
        <v>2335</v>
      </c>
      <c r="AK552" s="85"/>
      <c r="AL552" s="85"/>
      <c r="AM552" s="85"/>
    </row>
    <row r="553" spans="1:39" ht="12.75" customHeight="1">
      <c r="A553" s="63">
        <v>102</v>
      </c>
      <c r="B553" s="174" t="s">
        <v>27</v>
      </c>
      <c r="C553" s="49" t="s">
        <v>2440</v>
      </c>
      <c r="D553" s="175" t="s">
        <v>2441</v>
      </c>
      <c r="E553" s="176"/>
      <c r="F553" s="176"/>
      <c r="G553" s="176"/>
      <c r="H553" s="177"/>
      <c r="I553" s="176"/>
      <c r="J553" s="176"/>
      <c r="K553" s="176"/>
      <c r="L553" s="177"/>
      <c r="M553" s="176"/>
      <c r="N553" s="176"/>
      <c r="O553" s="177"/>
      <c r="P553" s="181"/>
      <c r="Q553" s="181"/>
      <c r="R553" s="181"/>
      <c r="S553" s="175"/>
      <c r="T553" s="175"/>
      <c r="U553" s="190"/>
      <c r="V553" s="181"/>
      <c r="W553" s="190"/>
      <c r="X553" s="181"/>
      <c r="Y553" s="194"/>
      <c r="Z553" s="195"/>
      <c r="AA553" s="194"/>
      <c r="AB553" s="194"/>
      <c r="AC553" s="194">
        <v>57130000</v>
      </c>
      <c r="AD553" s="194"/>
      <c r="AE553" s="196"/>
      <c r="AF553" s="196"/>
      <c r="AG553" s="196"/>
      <c r="AH553" s="196"/>
      <c r="AI553" s="196"/>
      <c r="AJ553" s="196" t="s">
        <v>2210</v>
      </c>
      <c r="AK553" s="85"/>
      <c r="AL553" s="85"/>
      <c r="AM553" s="85"/>
    </row>
    <row r="554" spans="1:39" ht="12.75" hidden="1" customHeight="1">
      <c r="A554" s="63">
        <v>103</v>
      </c>
      <c r="B554" s="174" t="s">
        <v>40</v>
      </c>
      <c r="C554" s="49" t="s">
        <v>2312</v>
      </c>
      <c r="D554" s="175" t="s">
        <v>2442</v>
      </c>
      <c r="E554" s="176"/>
      <c r="F554" s="176"/>
      <c r="G554" s="176"/>
      <c r="H554" s="177"/>
      <c r="I554" s="176"/>
      <c r="J554" s="176"/>
      <c r="K554" s="176"/>
      <c r="L554" s="177"/>
      <c r="M554" s="176"/>
      <c r="N554" s="176"/>
      <c r="O554" s="177"/>
      <c r="P554" s="181"/>
      <c r="Q554" s="181"/>
      <c r="R554" s="181"/>
      <c r="S554" s="175"/>
      <c r="T554" s="175"/>
      <c r="U554" s="190"/>
      <c r="V554" s="181"/>
      <c r="W554" s="190"/>
      <c r="X554" s="181"/>
      <c r="Y554" s="194"/>
      <c r="Z554" s="195"/>
      <c r="AA554" s="194">
        <v>41133124</v>
      </c>
      <c r="AB554" s="194"/>
      <c r="AC554" s="194"/>
      <c r="AD554" s="194"/>
      <c r="AE554" s="196"/>
      <c r="AF554" s="196"/>
      <c r="AG554" s="196"/>
      <c r="AH554" s="196"/>
      <c r="AI554" s="196"/>
      <c r="AJ554" s="196" t="s">
        <v>2335</v>
      </c>
      <c r="AK554" s="85"/>
      <c r="AL554" s="85"/>
      <c r="AM554" s="85"/>
    </row>
    <row r="555" spans="1:39" ht="12.75" customHeight="1">
      <c r="A555" s="63">
        <v>104</v>
      </c>
      <c r="B555" s="174" t="s">
        <v>27</v>
      </c>
      <c r="C555" s="49" t="s">
        <v>2443</v>
      </c>
      <c r="D555" s="175" t="s">
        <v>2444</v>
      </c>
      <c r="E555" s="176"/>
      <c r="F555" s="176"/>
      <c r="G555" s="176"/>
      <c r="H555" s="177"/>
      <c r="I555" s="176"/>
      <c r="J555" s="176"/>
      <c r="K555" s="176"/>
      <c r="L555" s="177"/>
      <c r="M555" s="176"/>
      <c r="N555" s="176"/>
      <c r="O555" s="177"/>
      <c r="P555" s="181"/>
      <c r="Q555" s="181"/>
      <c r="R555" s="181"/>
      <c r="S555" s="175"/>
      <c r="T555" s="175"/>
      <c r="U555" s="190"/>
      <c r="V555" s="181"/>
      <c r="W555" s="190"/>
      <c r="X555" s="181"/>
      <c r="Y555" s="194"/>
      <c r="Z555" s="195"/>
      <c r="AA555" s="194"/>
      <c r="AB555" s="194"/>
      <c r="AC555" s="194">
        <v>56000000</v>
      </c>
      <c r="AD555" s="194"/>
      <c r="AE555" s="196"/>
      <c r="AF555" s="196"/>
      <c r="AG555" s="196"/>
      <c r="AH555" s="196"/>
      <c r="AI555" s="196"/>
      <c r="AJ555" s="196" t="s">
        <v>2210</v>
      </c>
      <c r="AK555" s="85"/>
      <c r="AL555" s="85"/>
      <c r="AM555" s="85"/>
    </row>
    <row r="556" spans="1:39" ht="12.75" hidden="1" customHeight="1">
      <c r="A556" s="63">
        <v>105</v>
      </c>
      <c r="B556" s="174" t="s">
        <v>40</v>
      </c>
      <c r="C556" s="49" t="s">
        <v>2445</v>
      </c>
      <c r="D556" s="175" t="s">
        <v>2446</v>
      </c>
      <c r="E556" s="176"/>
      <c r="F556" s="176"/>
      <c r="G556" s="176"/>
      <c r="H556" s="177"/>
      <c r="I556" s="176"/>
      <c r="J556" s="176"/>
      <c r="K556" s="176"/>
      <c r="L556" s="177"/>
      <c r="M556" s="176"/>
      <c r="N556" s="176"/>
      <c r="O556" s="177"/>
      <c r="P556" s="181"/>
      <c r="Q556" s="181"/>
      <c r="R556" s="181"/>
      <c r="S556" s="175"/>
      <c r="T556" s="175"/>
      <c r="U556" s="190"/>
      <c r="V556" s="181"/>
      <c r="W556" s="190"/>
      <c r="X556" s="181"/>
      <c r="Y556" s="194"/>
      <c r="Z556" s="195"/>
      <c r="AA556" s="194">
        <v>1950000</v>
      </c>
      <c r="AB556" s="194"/>
      <c r="AC556" s="194"/>
      <c r="AD556" s="194"/>
      <c r="AE556" s="196"/>
      <c r="AF556" s="196"/>
      <c r="AG556" s="196"/>
      <c r="AH556" s="196"/>
      <c r="AI556" s="196"/>
      <c r="AJ556" s="196" t="s">
        <v>2335</v>
      </c>
      <c r="AK556" s="85"/>
      <c r="AL556" s="85"/>
      <c r="AM556" s="85"/>
    </row>
    <row r="557" spans="1:39" ht="12.75" hidden="1" customHeight="1">
      <c r="A557" s="63">
        <v>106</v>
      </c>
      <c r="B557" s="174" t="s">
        <v>40</v>
      </c>
      <c r="C557" s="49" t="s">
        <v>2421</v>
      </c>
      <c r="D557" s="175" t="s">
        <v>2375</v>
      </c>
      <c r="E557" s="176"/>
      <c r="F557" s="176"/>
      <c r="G557" s="176"/>
      <c r="H557" s="177"/>
      <c r="I557" s="176"/>
      <c r="J557" s="176"/>
      <c r="K557" s="176"/>
      <c r="L557" s="177"/>
      <c r="M557" s="176"/>
      <c r="N557" s="176"/>
      <c r="O557" s="177"/>
      <c r="P557" s="181"/>
      <c r="Q557" s="181"/>
      <c r="R557" s="181"/>
      <c r="S557" s="175"/>
      <c r="T557" s="175"/>
      <c r="U557" s="190"/>
      <c r="V557" s="181"/>
      <c r="W557" s="190"/>
      <c r="X557" s="181"/>
      <c r="Y557" s="194"/>
      <c r="Z557" s="195"/>
      <c r="AA557" s="194">
        <v>12170000</v>
      </c>
      <c r="AB557" s="194"/>
      <c r="AC557" s="194"/>
      <c r="AD557" s="194"/>
      <c r="AE557" s="196"/>
      <c r="AF557" s="196"/>
      <c r="AG557" s="196"/>
      <c r="AH557" s="196"/>
      <c r="AI557" s="196"/>
      <c r="AJ557" s="196" t="s">
        <v>2335</v>
      </c>
      <c r="AK557" s="85"/>
      <c r="AL557" s="85"/>
      <c r="AM557" s="85"/>
    </row>
    <row r="558" spans="1:39" ht="12.75" customHeight="1">
      <c r="A558" s="63">
        <v>107</v>
      </c>
      <c r="B558" s="174" t="s">
        <v>27</v>
      </c>
      <c r="C558" s="49" t="s">
        <v>2276</v>
      </c>
      <c r="D558" s="175" t="s">
        <v>2447</v>
      </c>
      <c r="E558" s="176"/>
      <c r="F558" s="176"/>
      <c r="G558" s="176"/>
      <c r="H558" s="177"/>
      <c r="I558" s="176"/>
      <c r="J558" s="176"/>
      <c r="K558" s="176"/>
      <c r="L558" s="177"/>
      <c r="M558" s="176"/>
      <c r="N558" s="176"/>
      <c r="O558" s="177"/>
      <c r="P558" s="181"/>
      <c r="Q558" s="181"/>
      <c r="R558" s="181"/>
      <c r="S558" s="175"/>
      <c r="T558" s="175"/>
      <c r="U558" s="190"/>
      <c r="V558" s="181"/>
      <c r="W558" s="190"/>
      <c r="X558" s="181"/>
      <c r="Y558" s="194"/>
      <c r="Z558" s="195"/>
      <c r="AA558" s="194"/>
      <c r="AB558" s="194"/>
      <c r="AC558" s="194"/>
      <c r="AD558" s="194">
        <v>31000000</v>
      </c>
      <c r="AE558" s="196"/>
      <c r="AF558" s="196"/>
      <c r="AG558" s="196"/>
      <c r="AH558" s="196"/>
      <c r="AI558" s="196"/>
      <c r="AJ558" s="196" t="s">
        <v>2210</v>
      </c>
      <c r="AK558" s="85"/>
      <c r="AL558" s="85"/>
      <c r="AM558" s="85"/>
    </row>
    <row r="559" spans="1:39" ht="12.75" customHeight="1">
      <c r="A559" s="63">
        <v>108</v>
      </c>
      <c r="B559" s="174" t="s">
        <v>27</v>
      </c>
      <c r="C559" s="49" t="s">
        <v>2448</v>
      </c>
      <c r="D559" s="175" t="s">
        <v>2449</v>
      </c>
      <c r="E559" s="176"/>
      <c r="F559" s="176"/>
      <c r="G559" s="176"/>
      <c r="H559" s="177"/>
      <c r="I559" s="176"/>
      <c r="J559" s="176"/>
      <c r="K559" s="176"/>
      <c r="L559" s="177"/>
      <c r="M559" s="176"/>
      <c r="N559" s="176"/>
      <c r="O559" s="177"/>
      <c r="P559" s="181"/>
      <c r="Q559" s="181"/>
      <c r="R559" s="181"/>
      <c r="S559" s="175"/>
      <c r="T559" s="175"/>
      <c r="U559" s="190"/>
      <c r="V559" s="181"/>
      <c r="W559" s="190"/>
      <c r="X559" s="181"/>
      <c r="Y559" s="194"/>
      <c r="Z559" s="195"/>
      <c r="AA559" s="194"/>
      <c r="AB559" s="194"/>
      <c r="AC559" s="194"/>
      <c r="AD559" s="194">
        <v>50548000</v>
      </c>
      <c r="AE559" s="196"/>
      <c r="AF559" s="196"/>
      <c r="AG559" s="196"/>
      <c r="AH559" s="196"/>
      <c r="AI559" s="196"/>
      <c r="AJ559" s="196" t="s">
        <v>2450</v>
      </c>
      <c r="AK559" s="85"/>
      <c r="AL559" s="85"/>
      <c r="AM559" s="85"/>
    </row>
    <row r="560" spans="1:39" ht="12.75" customHeight="1">
      <c r="A560" s="63">
        <v>109</v>
      </c>
      <c r="B560" s="174" t="s">
        <v>27</v>
      </c>
      <c r="C560" s="49" t="s">
        <v>2451</v>
      </c>
      <c r="D560" s="175" t="s">
        <v>2452</v>
      </c>
      <c r="E560" s="176"/>
      <c r="F560" s="176"/>
      <c r="G560" s="176"/>
      <c r="H560" s="177"/>
      <c r="I560" s="176"/>
      <c r="J560" s="176"/>
      <c r="K560" s="176"/>
      <c r="L560" s="177"/>
      <c r="M560" s="176"/>
      <c r="N560" s="176"/>
      <c r="O560" s="177"/>
      <c r="P560" s="181"/>
      <c r="Q560" s="181"/>
      <c r="R560" s="181"/>
      <c r="S560" s="175"/>
      <c r="T560" s="175"/>
      <c r="U560" s="190"/>
      <c r="V560" s="181"/>
      <c r="W560" s="190"/>
      <c r="X560" s="181"/>
      <c r="Y560" s="194"/>
      <c r="Z560" s="195"/>
      <c r="AA560" s="194"/>
      <c r="AB560" s="194"/>
      <c r="AC560" s="194"/>
      <c r="AD560" s="194">
        <v>10597000</v>
      </c>
      <c r="AE560" s="196"/>
      <c r="AF560" s="196"/>
      <c r="AG560" s="196"/>
      <c r="AH560" s="196"/>
      <c r="AI560" s="196"/>
      <c r="AJ560" s="196" t="s">
        <v>2453</v>
      </c>
      <c r="AK560" s="85"/>
      <c r="AL560" s="85"/>
      <c r="AM560" s="85"/>
    </row>
    <row r="561" spans="1:39" ht="12.75" customHeight="1">
      <c r="A561" s="63">
        <v>110</v>
      </c>
      <c r="B561" s="174" t="s">
        <v>27</v>
      </c>
      <c r="C561" s="49" t="s">
        <v>2454</v>
      </c>
      <c r="D561" s="175" t="s">
        <v>2455</v>
      </c>
      <c r="E561" s="176"/>
      <c r="F561" s="176"/>
      <c r="G561" s="176"/>
      <c r="H561" s="177"/>
      <c r="I561" s="176"/>
      <c r="J561" s="176"/>
      <c r="K561" s="176"/>
      <c r="L561" s="177"/>
      <c r="M561" s="176"/>
      <c r="N561" s="176"/>
      <c r="O561" s="177"/>
      <c r="P561" s="181"/>
      <c r="Q561" s="181"/>
      <c r="R561" s="181"/>
      <c r="S561" s="175"/>
      <c r="T561" s="175"/>
      <c r="U561" s="190"/>
      <c r="V561" s="181"/>
      <c r="W561" s="190"/>
      <c r="X561" s="181"/>
      <c r="Y561" s="194"/>
      <c r="Z561" s="195"/>
      <c r="AA561" s="194"/>
      <c r="AB561" s="194"/>
      <c r="AC561" s="194"/>
      <c r="AD561" s="194"/>
      <c r="AE561" s="194">
        <v>79000000</v>
      </c>
      <c r="AF561" s="196"/>
      <c r="AG561" s="196"/>
      <c r="AH561" s="196"/>
      <c r="AI561" s="196"/>
      <c r="AJ561" s="196" t="s">
        <v>2453</v>
      </c>
      <c r="AK561" s="85"/>
      <c r="AL561" s="85"/>
      <c r="AM561" s="85"/>
    </row>
    <row r="562" spans="1:39" ht="12.75" hidden="1" customHeight="1">
      <c r="A562" s="63">
        <v>111</v>
      </c>
      <c r="B562" s="174" t="s">
        <v>40</v>
      </c>
      <c r="C562" s="49" t="s">
        <v>2456</v>
      </c>
      <c r="D562" s="175" t="s">
        <v>2457</v>
      </c>
      <c r="E562" s="176"/>
      <c r="F562" s="176"/>
      <c r="G562" s="176"/>
      <c r="H562" s="177"/>
      <c r="I562" s="176"/>
      <c r="J562" s="176"/>
      <c r="K562" s="176"/>
      <c r="L562" s="177"/>
      <c r="M562" s="176"/>
      <c r="N562" s="176"/>
      <c r="O562" s="177"/>
      <c r="P562" s="181"/>
      <c r="Q562" s="181"/>
      <c r="R562" s="181"/>
      <c r="S562" s="175"/>
      <c r="T562" s="175"/>
      <c r="U562" s="190"/>
      <c r="V562" s="181"/>
      <c r="W562" s="190"/>
      <c r="X562" s="181"/>
      <c r="Y562" s="194"/>
      <c r="Z562" s="195"/>
      <c r="AA562" s="194"/>
      <c r="AB562" s="194">
        <v>22625000</v>
      </c>
      <c r="AC562" s="194"/>
      <c r="AD562" s="194"/>
      <c r="AE562" s="196"/>
      <c r="AF562" s="196"/>
      <c r="AG562" s="196"/>
      <c r="AH562" s="196"/>
      <c r="AI562" s="196"/>
      <c r="AJ562" s="196" t="s">
        <v>2335</v>
      </c>
      <c r="AK562" s="85"/>
      <c r="AL562" s="85"/>
      <c r="AM562" s="85"/>
    </row>
    <row r="563" spans="1:39" ht="12.75" customHeight="1">
      <c r="A563" s="63">
        <v>112</v>
      </c>
      <c r="B563" s="174" t="s">
        <v>27</v>
      </c>
      <c r="C563" s="49" t="s">
        <v>2458</v>
      </c>
      <c r="D563" s="175" t="s">
        <v>2459</v>
      </c>
      <c r="E563" s="176"/>
      <c r="F563" s="176"/>
      <c r="G563" s="176"/>
      <c r="H563" s="177"/>
      <c r="I563" s="176"/>
      <c r="J563" s="176"/>
      <c r="K563" s="176"/>
      <c r="L563" s="177"/>
      <c r="M563" s="176"/>
      <c r="N563" s="176"/>
      <c r="O563" s="177"/>
      <c r="P563" s="181"/>
      <c r="Q563" s="181"/>
      <c r="R563" s="181"/>
      <c r="S563" s="175"/>
      <c r="T563" s="175"/>
      <c r="U563" s="190"/>
      <c r="V563" s="181"/>
      <c r="W563" s="190"/>
      <c r="X563" s="181"/>
      <c r="Y563" s="194"/>
      <c r="Z563" s="195"/>
      <c r="AA563" s="194"/>
      <c r="AB563" s="194"/>
      <c r="AC563" s="194"/>
      <c r="AD563" s="194">
        <v>1150000</v>
      </c>
      <c r="AE563" s="196"/>
      <c r="AF563" s="196"/>
      <c r="AG563" s="196"/>
      <c r="AH563" s="196"/>
      <c r="AI563" s="196"/>
      <c r="AJ563" s="196" t="s">
        <v>2460</v>
      </c>
      <c r="AK563" s="85"/>
      <c r="AL563" s="85"/>
      <c r="AM563" s="85"/>
    </row>
    <row r="564" spans="1:39" ht="12.75" customHeight="1">
      <c r="A564" s="63">
        <v>113</v>
      </c>
      <c r="B564" s="174" t="s">
        <v>27</v>
      </c>
      <c r="C564" s="49" t="s">
        <v>2461</v>
      </c>
      <c r="D564" s="175" t="s">
        <v>2462</v>
      </c>
      <c r="E564" s="176"/>
      <c r="F564" s="176"/>
      <c r="G564" s="176"/>
      <c r="H564" s="177"/>
      <c r="I564" s="176"/>
      <c r="J564" s="176"/>
      <c r="K564" s="176"/>
      <c r="L564" s="177"/>
      <c r="M564" s="176"/>
      <c r="N564" s="176"/>
      <c r="O564" s="177"/>
      <c r="P564" s="181"/>
      <c r="Q564" s="181"/>
      <c r="R564" s="181"/>
      <c r="S564" s="175"/>
      <c r="T564" s="175"/>
      <c r="U564" s="190"/>
      <c r="V564" s="181"/>
      <c r="W564" s="190"/>
      <c r="X564" s="181"/>
      <c r="Y564" s="194"/>
      <c r="Z564" s="195"/>
      <c r="AA564" s="194"/>
      <c r="AB564" s="194"/>
      <c r="AC564" s="194"/>
      <c r="AD564" s="194">
        <v>120000000</v>
      </c>
      <c r="AE564" s="196"/>
      <c r="AF564" s="196"/>
      <c r="AG564" s="196"/>
      <c r="AH564" s="196"/>
      <c r="AI564" s="196"/>
      <c r="AJ564" s="196" t="s">
        <v>2258</v>
      </c>
      <c r="AK564" s="85"/>
      <c r="AL564" s="85"/>
      <c r="AM564" s="85"/>
    </row>
    <row r="565" spans="1:39" ht="12.75" hidden="1" customHeight="1">
      <c r="A565" s="63">
        <v>114</v>
      </c>
      <c r="B565" s="174" t="s">
        <v>40</v>
      </c>
      <c r="C565" s="49" t="s">
        <v>2463</v>
      </c>
      <c r="D565" s="175" t="s">
        <v>2464</v>
      </c>
      <c r="E565" s="176"/>
      <c r="F565" s="176"/>
      <c r="G565" s="176"/>
      <c r="H565" s="177"/>
      <c r="I565" s="176"/>
      <c r="J565" s="176"/>
      <c r="K565" s="176"/>
      <c r="L565" s="177"/>
      <c r="M565" s="176"/>
      <c r="N565" s="176"/>
      <c r="O565" s="177"/>
      <c r="P565" s="181"/>
      <c r="Q565" s="181"/>
      <c r="R565" s="181"/>
      <c r="S565" s="175"/>
      <c r="T565" s="175"/>
      <c r="U565" s="190"/>
      <c r="V565" s="181"/>
      <c r="W565" s="190"/>
      <c r="X565" s="181"/>
      <c r="Y565" s="194"/>
      <c r="Z565" s="195"/>
      <c r="AA565" s="194">
        <v>104956500</v>
      </c>
      <c r="AB565" s="194"/>
      <c r="AC565" s="194"/>
      <c r="AD565" s="194"/>
      <c r="AE565" s="57"/>
      <c r="AF565" s="201"/>
      <c r="AG565" s="201"/>
      <c r="AH565" s="201"/>
      <c r="AI565" s="201"/>
      <c r="AJ565" s="196" t="s">
        <v>2335</v>
      </c>
      <c r="AK565" s="1"/>
      <c r="AL565" s="1"/>
      <c r="AM565" s="1"/>
    </row>
    <row r="566" spans="1:39" ht="12.75" hidden="1" customHeight="1">
      <c r="A566" s="63">
        <v>115</v>
      </c>
      <c r="B566" s="134" t="s">
        <v>40</v>
      </c>
      <c r="C566" s="18" t="s">
        <v>2328</v>
      </c>
      <c r="D566" s="197" t="s">
        <v>2465</v>
      </c>
      <c r="E566" s="198"/>
      <c r="F566" s="198"/>
      <c r="G566" s="198"/>
      <c r="H566" s="70"/>
      <c r="I566" s="198"/>
      <c r="J566" s="198"/>
      <c r="K566" s="198"/>
      <c r="L566" s="70"/>
      <c r="M566" s="198"/>
      <c r="N566" s="198"/>
      <c r="O566" s="70"/>
      <c r="P566" s="198"/>
      <c r="Q566" s="198"/>
      <c r="R566" s="198"/>
      <c r="S566" s="198"/>
      <c r="T566" s="199"/>
      <c r="U566" s="198"/>
      <c r="V566" s="200"/>
      <c r="W566" s="198"/>
      <c r="X566" s="200"/>
      <c r="Y566" s="77"/>
      <c r="Z566" s="191"/>
      <c r="AA566" s="77">
        <v>18620000</v>
      </c>
      <c r="AB566" s="77"/>
      <c r="AC566" s="77"/>
      <c r="AD566" s="77"/>
      <c r="AE566" s="57"/>
      <c r="AF566" s="201"/>
      <c r="AG566" s="57"/>
      <c r="AH566" s="57"/>
      <c r="AI566" s="57"/>
      <c r="AJ566" s="57" t="s">
        <v>2335</v>
      </c>
      <c r="AK566" s="1"/>
      <c r="AL566" s="1"/>
      <c r="AM566" s="1"/>
    </row>
    <row r="567" spans="1:39" ht="12.75" customHeight="1">
      <c r="A567" s="63">
        <f t="shared" ref="A567:A587" si="1">A566+1</f>
        <v>116</v>
      </c>
      <c r="B567" s="174" t="s">
        <v>27</v>
      </c>
      <c r="C567" s="49" t="s">
        <v>2466</v>
      </c>
      <c r="D567" s="175" t="s">
        <v>2467</v>
      </c>
      <c r="E567" s="176"/>
      <c r="F567" s="176"/>
      <c r="G567" s="176"/>
      <c r="H567" s="177"/>
      <c r="I567" s="176"/>
      <c r="J567" s="176"/>
      <c r="K567" s="176"/>
      <c r="L567" s="177"/>
      <c r="M567" s="176"/>
      <c r="N567" s="176"/>
      <c r="O567" s="177"/>
      <c r="P567" s="181"/>
      <c r="Q567" s="181"/>
      <c r="R567" s="181"/>
      <c r="S567" s="175"/>
      <c r="T567" s="175"/>
      <c r="U567" s="190"/>
      <c r="V567" s="181"/>
      <c r="W567" s="190"/>
      <c r="X567" s="181"/>
      <c r="Y567" s="194"/>
      <c r="Z567" s="195"/>
      <c r="AA567" s="194"/>
      <c r="AB567" s="194"/>
      <c r="AC567" s="194"/>
      <c r="AD567" s="202"/>
      <c r="AE567" s="57"/>
      <c r="AF567" s="203">
        <v>10000000</v>
      </c>
      <c r="AG567" s="204"/>
      <c r="AH567" s="204"/>
      <c r="AI567" s="204"/>
      <c r="AJ567" s="205" t="s">
        <v>2210</v>
      </c>
      <c r="AK567" s="1"/>
      <c r="AL567" s="1"/>
      <c r="AM567" s="1"/>
    </row>
    <row r="568" spans="1:39" ht="12.75" customHeight="1">
      <c r="A568" s="63">
        <f t="shared" si="1"/>
        <v>117</v>
      </c>
      <c r="B568" s="174" t="s">
        <v>27</v>
      </c>
      <c r="C568" s="49" t="s">
        <v>2468</v>
      </c>
      <c r="D568" s="175" t="s">
        <v>2469</v>
      </c>
      <c r="E568" s="176"/>
      <c r="F568" s="176"/>
      <c r="G568" s="176"/>
      <c r="H568" s="177"/>
      <c r="I568" s="176"/>
      <c r="J568" s="176"/>
      <c r="K568" s="176"/>
      <c r="L568" s="177"/>
      <c r="M568" s="176"/>
      <c r="N568" s="176"/>
      <c r="O568" s="177"/>
      <c r="P568" s="181"/>
      <c r="Q568" s="181"/>
      <c r="R568" s="181"/>
      <c r="S568" s="175"/>
      <c r="T568" s="175"/>
      <c r="U568" s="190"/>
      <c r="V568" s="181"/>
      <c r="W568" s="190"/>
      <c r="X568" s="181"/>
      <c r="Y568" s="194"/>
      <c r="Z568" s="195"/>
      <c r="AA568" s="194"/>
      <c r="AB568" s="194"/>
      <c r="AC568" s="194"/>
      <c r="AD568" s="194"/>
      <c r="AE568" s="165"/>
      <c r="AF568" s="203">
        <v>33527000</v>
      </c>
      <c r="AG568" s="203"/>
      <c r="AH568" s="203"/>
      <c r="AI568" s="203"/>
      <c r="AJ568" s="196" t="s">
        <v>2210</v>
      </c>
      <c r="AK568" s="1"/>
      <c r="AL568" s="1"/>
      <c r="AM568" s="1"/>
    </row>
    <row r="569" spans="1:39" ht="12.75" hidden="1" customHeight="1">
      <c r="A569" s="63">
        <f t="shared" si="1"/>
        <v>118</v>
      </c>
      <c r="B569" s="174" t="s">
        <v>40</v>
      </c>
      <c r="C569" s="49" t="s">
        <v>2470</v>
      </c>
      <c r="D569" s="175" t="s">
        <v>2471</v>
      </c>
      <c r="E569" s="176"/>
      <c r="F569" s="176"/>
      <c r="G569" s="176"/>
      <c r="H569" s="177"/>
      <c r="I569" s="176"/>
      <c r="J569" s="176"/>
      <c r="K569" s="176"/>
      <c r="L569" s="177"/>
      <c r="M569" s="176"/>
      <c r="N569" s="176"/>
      <c r="O569" s="177"/>
      <c r="P569" s="181"/>
      <c r="Q569" s="181"/>
      <c r="R569" s="181"/>
      <c r="S569" s="175"/>
      <c r="T569" s="175"/>
      <c r="U569" s="190"/>
      <c r="V569" s="181"/>
      <c r="W569" s="190"/>
      <c r="X569" s="181"/>
      <c r="Y569" s="194"/>
      <c r="Z569" s="195"/>
      <c r="AA569" s="194"/>
      <c r="AB569" s="194"/>
      <c r="AC569" s="194">
        <v>2500000</v>
      </c>
      <c r="AD569" s="194"/>
      <c r="AE569" s="57"/>
      <c r="AF569" s="201"/>
      <c r="AG569" s="201"/>
      <c r="AH569" s="201"/>
      <c r="AI569" s="201"/>
      <c r="AJ569" s="196" t="s">
        <v>2335</v>
      </c>
      <c r="AK569" s="1"/>
      <c r="AL569" s="1"/>
      <c r="AM569" s="1"/>
    </row>
    <row r="570" spans="1:39" ht="12.75" customHeight="1">
      <c r="A570" s="63">
        <f t="shared" si="1"/>
        <v>119</v>
      </c>
      <c r="B570" s="174" t="s">
        <v>27</v>
      </c>
      <c r="C570" s="49" t="s">
        <v>2472</v>
      </c>
      <c r="D570" s="175" t="s">
        <v>2473</v>
      </c>
      <c r="E570" s="176"/>
      <c r="F570" s="176"/>
      <c r="G570" s="176"/>
      <c r="H570" s="177"/>
      <c r="I570" s="176"/>
      <c r="J570" s="176"/>
      <c r="K570" s="176"/>
      <c r="L570" s="177"/>
      <c r="M570" s="176"/>
      <c r="N570" s="176"/>
      <c r="O570" s="177"/>
      <c r="P570" s="181"/>
      <c r="Q570" s="181"/>
      <c r="R570" s="181"/>
      <c r="S570" s="175"/>
      <c r="T570" s="175"/>
      <c r="U570" s="190"/>
      <c r="V570" s="181"/>
      <c r="W570" s="190"/>
      <c r="X570" s="181"/>
      <c r="Y570" s="194"/>
      <c r="Z570" s="195"/>
      <c r="AA570" s="194"/>
      <c r="AB570" s="194"/>
      <c r="AC570" s="194"/>
      <c r="AD570" s="194"/>
      <c r="AE570" s="57"/>
      <c r="AF570" s="203">
        <v>33000000</v>
      </c>
      <c r="AG570" s="203"/>
      <c r="AH570" s="203"/>
      <c r="AI570" s="203"/>
      <c r="AJ570" s="196" t="s">
        <v>2210</v>
      </c>
      <c r="AK570" s="1"/>
      <c r="AL570" s="1"/>
      <c r="AM570" s="1"/>
    </row>
    <row r="571" spans="1:39" ht="12.75" customHeight="1">
      <c r="A571" s="63">
        <f t="shared" si="1"/>
        <v>120</v>
      </c>
      <c r="B571" s="174" t="s">
        <v>27</v>
      </c>
      <c r="C571" s="49" t="s">
        <v>2269</v>
      </c>
      <c r="D571" s="175" t="s">
        <v>2474</v>
      </c>
      <c r="E571" s="176"/>
      <c r="F571" s="176"/>
      <c r="G571" s="176"/>
      <c r="H571" s="177"/>
      <c r="I571" s="176"/>
      <c r="J571" s="176"/>
      <c r="K571" s="176"/>
      <c r="L571" s="177"/>
      <c r="M571" s="176"/>
      <c r="N571" s="176"/>
      <c r="O571" s="177"/>
      <c r="P571" s="181"/>
      <c r="Q571" s="181"/>
      <c r="R571" s="181"/>
      <c r="S571" s="175"/>
      <c r="T571" s="175"/>
      <c r="U571" s="190"/>
      <c r="V571" s="181"/>
      <c r="W571" s="190"/>
      <c r="X571" s="181"/>
      <c r="Y571" s="194"/>
      <c r="Z571" s="195"/>
      <c r="AA571" s="194"/>
      <c r="AB571" s="194"/>
      <c r="AC571" s="194"/>
      <c r="AD571" s="194"/>
      <c r="AE571" s="57"/>
      <c r="AF571" s="203">
        <v>30000000</v>
      </c>
      <c r="AG571" s="203"/>
      <c r="AH571" s="203"/>
      <c r="AI571" s="203"/>
      <c r="AJ571" s="196" t="s">
        <v>2210</v>
      </c>
      <c r="AK571" s="1"/>
      <c r="AL571" s="1"/>
      <c r="AM571" s="1"/>
    </row>
    <row r="572" spans="1:39" ht="12.75" hidden="1" customHeight="1">
      <c r="A572" s="63">
        <f t="shared" si="1"/>
        <v>121</v>
      </c>
      <c r="B572" s="174" t="s">
        <v>40</v>
      </c>
      <c r="C572" s="49" t="s">
        <v>2276</v>
      </c>
      <c r="D572" s="175" t="s">
        <v>2475</v>
      </c>
      <c r="E572" s="176"/>
      <c r="F572" s="176"/>
      <c r="G572" s="176"/>
      <c r="H572" s="177"/>
      <c r="I572" s="176"/>
      <c r="J572" s="176"/>
      <c r="K572" s="176"/>
      <c r="L572" s="177"/>
      <c r="M572" s="176"/>
      <c r="N572" s="176"/>
      <c r="O572" s="177"/>
      <c r="P572" s="181"/>
      <c r="Q572" s="181"/>
      <c r="R572" s="181"/>
      <c r="S572" s="175"/>
      <c r="T572" s="175"/>
      <c r="U572" s="190"/>
      <c r="V572" s="181"/>
      <c r="W572" s="190"/>
      <c r="X572" s="181"/>
      <c r="Y572" s="194"/>
      <c r="Z572" s="195"/>
      <c r="AA572" s="194"/>
      <c r="AB572" s="194"/>
      <c r="AC572" s="194">
        <v>7250000</v>
      </c>
      <c r="AD572" s="194"/>
      <c r="AE572" s="57"/>
      <c r="AF572" s="203"/>
      <c r="AG572" s="203"/>
      <c r="AH572" s="203"/>
      <c r="AI572" s="203"/>
      <c r="AJ572" s="196" t="s">
        <v>2335</v>
      </c>
      <c r="AK572" s="1"/>
      <c r="AL572" s="1"/>
      <c r="AM572" s="1"/>
    </row>
    <row r="573" spans="1:39" ht="12.75" customHeight="1">
      <c r="A573" s="63">
        <f t="shared" si="1"/>
        <v>122</v>
      </c>
      <c r="B573" s="174" t="s">
        <v>27</v>
      </c>
      <c r="C573" s="49" t="s">
        <v>2476</v>
      </c>
      <c r="D573" s="175" t="s">
        <v>2477</v>
      </c>
      <c r="E573" s="176"/>
      <c r="F573" s="176"/>
      <c r="G573" s="176"/>
      <c r="H573" s="177"/>
      <c r="I573" s="176"/>
      <c r="J573" s="176"/>
      <c r="K573" s="176"/>
      <c r="L573" s="177"/>
      <c r="M573" s="176"/>
      <c r="N573" s="176"/>
      <c r="O573" s="177"/>
      <c r="P573" s="181"/>
      <c r="Q573" s="181"/>
      <c r="R573" s="181"/>
      <c r="S573" s="175"/>
      <c r="T573" s="175"/>
      <c r="U573" s="190"/>
      <c r="V573" s="181"/>
      <c r="W573" s="190"/>
      <c r="X573" s="181"/>
      <c r="Y573" s="194"/>
      <c r="Z573" s="195"/>
      <c r="AA573" s="194"/>
      <c r="AB573" s="194"/>
      <c r="AC573" s="194"/>
      <c r="AD573" s="194"/>
      <c r="AE573" s="165">
        <v>10461000</v>
      </c>
      <c r="AF573" s="203"/>
      <c r="AG573" s="203"/>
      <c r="AH573" s="203"/>
      <c r="AI573" s="203"/>
      <c r="AJ573" s="196" t="s">
        <v>2258</v>
      </c>
      <c r="AK573" s="1"/>
      <c r="AL573" s="1"/>
      <c r="AM573" s="1"/>
    </row>
    <row r="574" spans="1:39" ht="12.75" hidden="1" customHeight="1">
      <c r="A574" s="63">
        <f t="shared" si="1"/>
        <v>123</v>
      </c>
      <c r="B574" s="174" t="s">
        <v>40</v>
      </c>
      <c r="C574" s="49" t="s">
        <v>2478</v>
      </c>
      <c r="D574" s="175" t="s">
        <v>2479</v>
      </c>
      <c r="E574" s="176"/>
      <c r="F574" s="176"/>
      <c r="G574" s="176"/>
      <c r="H574" s="177"/>
      <c r="I574" s="176"/>
      <c r="J574" s="176"/>
      <c r="K574" s="176"/>
      <c r="L574" s="177"/>
      <c r="M574" s="176"/>
      <c r="N574" s="176"/>
      <c r="O574" s="177"/>
      <c r="P574" s="181"/>
      <c r="Q574" s="181"/>
      <c r="R574" s="181"/>
      <c r="S574" s="175"/>
      <c r="T574" s="175"/>
      <c r="U574" s="190"/>
      <c r="V574" s="181"/>
      <c r="W574" s="190"/>
      <c r="X574" s="181"/>
      <c r="Y574" s="194"/>
      <c r="Z574" s="195"/>
      <c r="AA574" s="194"/>
      <c r="AB574" s="194"/>
      <c r="AC574" s="194">
        <v>2500000</v>
      </c>
      <c r="AD574" s="194"/>
      <c r="AE574" s="165"/>
      <c r="AF574" s="203"/>
      <c r="AG574" s="203"/>
      <c r="AH574" s="203"/>
      <c r="AI574" s="203"/>
      <c r="AJ574" s="196" t="s">
        <v>2290</v>
      </c>
      <c r="AK574" s="1"/>
      <c r="AL574" s="1"/>
      <c r="AM574" s="1"/>
    </row>
    <row r="575" spans="1:39" ht="12.75" customHeight="1">
      <c r="A575" s="63">
        <f t="shared" si="1"/>
        <v>124</v>
      </c>
      <c r="B575" s="174" t="s">
        <v>27</v>
      </c>
      <c r="C575" s="49" t="s">
        <v>2480</v>
      </c>
      <c r="D575" s="175" t="s">
        <v>2481</v>
      </c>
      <c r="E575" s="176"/>
      <c r="F575" s="176"/>
      <c r="G575" s="176"/>
      <c r="H575" s="177"/>
      <c r="I575" s="176"/>
      <c r="J575" s="176"/>
      <c r="K575" s="176"/>
      <c r="L575" s="177"/>
      <c r="M575" s="176"/>
      <c r="N575" s="176"/>
      <c r="O575" s="177"/>
      <c r="P575" s="181"/>
      <c r="Q575" s="181"/>
      <c r="R575" s="181"/>
      <c r="S575" s="175"/>
      <c r="T575" s="175"/>
      <c r="U575" s="190"/>
      <c r="V575" s="181"/>
      <c r="W575" s="190"/>
      <c r="X575" s="181"/>
      <c r="Y575" s="194"/>
      <c r="Z575" s="195"/>
      <c r="AA575" s="194"/>
      <c r="AB575" s="194"/>
      <c r="AC575" s="194"/>
      <c r="AD575" s="194"/>
      <c r="AE575" s="165"/>
      <c r="AF575" s="203">
        <v>97000000</v>
      </c>
      <c r="AG575" s="203"/>
      <c r="AH575" s="203"/>
      <c r="AI575" s="203"/>
      <c r="AJ575" s="196" t="s">
        <v>2258</v>
      </c>
      <c r="AK575" s="1"/>
      <c r="AL575" s="1"/>
      <c r="AM575" s="1"/>
    </row>
    <row r="576" spans="1:39" ht="12.75" hidden="1" customHeight="1">
      <c r="A576" s="63">
        <f t="shared" si="1"/>
        <v>125</v>
      </c>
      <c r="B576" s="174" t="s">
        <v>40</v>
      </c>
      <c r="C576" s="49" t="s">
        <v>2482</v>
      </c>
      <c r="D576" s="175" t="s">
        <v>2483</v>
      </c>
      <c r="E576" s="176"/>
      <c r="F576" s="176"/>
      <c r="G576" s="176"/>
      <c r="H576" s="177"/>
      <c r="I576" s="176"/>
      <c r="J576" s="176"/>
      <c r="K576" s="176"/>
      <c r="L576" s="177"/>
      <c r="M576" s="176"/>
      <c r="N576" s="176"/>
      <c r="O576" s="177"/>
      <c r="P576" s="181"/>
      <c r="Q576" s="181"/>
      <c r="R576" s="181"/>
      <c r="S576" s="175"/>
      <c r="T576" s="175"/>
      <c r="U576" s="190"/>
      <c r="V576" s="181"/>
      <c r="W576" s="190"/>
      <c r="X576" s="181"/>
      <c r="Y576" s="194"/>
      <c r="Z576" s="195"/>
      <c r="AA576" s="194"/>
      <c r="AB576" s="194"/>
      <c r="AC576" s="194">
        <v>35589945</v>
      </c>
      <c r="AD576" s="194"/>
      <c r="AE576" s="57"/>
      <c r="AF576" s="201"/>
      <c r="AG576" s="201"/>
      <c r="AH576" s="201"/>
      <c r="AI576" s="201"/>
      <c r="AJ576" s="196" t="s">
        <v>2335</v>
      </c>
      <c r="AK576" s="1"/>
      <c r="AL576" s="1"/>
      <c r="AM576" s="1"/>
    </row>
    <row r="577" spans="1:39" ht="12.75" hidden="1" customHeight="1">
      <c r="A577" s="63">
        <f t="shared" si="1"/>
        <v>126</v>
      </c>
      <c r="B577" s="174" t="s">
        <v>40</v>
      </c>
      <c r="C577" s="49" t="s">
        <v>2478</v>
      </c>
      <c r="D577" s="175" t="s">
        <v>2484</v>
      </c>
      <c r="E577" s="176"/>
      <c r="F577" s="176"/>
      <c r="G577" s="176"/>
      <c r="H577" s="177"/>
      <c r="I577" s="176"/>
      <c r="J577" s="176"/>
      <c r="K577" s="176"/>
      <c r="L577" s="177"/>
      <c r="M577" s="176"/>
      <c r="N577" s="176"/>
      <c r="O577" s="177"/>
      <c r="P577" s="181"/>
      <c r="Q577" s="181"/>
      <c r="R577" s="181"/>
      <c r="S577" s="175"/>
      <c r="T577" s="175"/>
      <c r="U577" s="190"/>
      <c r="V577" s="181"/>
      <c r="W577" s="190"/>
      <c r="X577" s="181"/>
      <c r="Y577" s="194"/>
      <c r="Z577" s="195"/>
      <c r="AA577" s="194"/>
      <c r="AB577" s="194"/>
      <c r="AC577" s="194">
        <v>2250000</v>
      </c>
      <c r="AD577" s="194"/>
      <c r="AE577" s="57"/>
      <c r="AF577" s="201"/>
      <c r="AG577" s="201"/>
      <c r="AH577" s="201"/>
      <c r="AI577" s="201"/>
      <c r="AJ577" s="196" t="s">
        <v>1556</v>
      </c>
      <c r="AK577" s="1"/>
      <c r="AL577" s="1"/>
      <c r="AM577" s="1"/>
    </row>
    <row r="578" spans="1:39" ht="12.75" customHeight="1">
      <c r="A578" s="63">
        <f t="shared" si="1"/>
        <v>127</v>
      </c>
      <c r="B578" s="174" t="s">
        <v>27</v>
      </c>
      <c r="C578" s="49" t="s">
        <v>2485</v>
      </c>
      <c r="D578" s="175" t="s">
        <v>2486</v>
      </c>
      <c r="E578" s="176"/>
      <c r="F578" s="176"/>
      <c r="G578" s="176"/>
      <c r="H578" s="177"/>
      <c r="I578" s="176"/>
      <c r="J578" s="176"/>
      <c r="K578" s="176"/>
      <c r="L578" s="177"/>
      <c r="M578" s="176"/>
      <c r="N578" s="176"/>
      <c r="O578" s="177"/>
      <c r="P578" s="181"/>
      <c r="Q578" s="181"/>
      <c r="R578" s="181"/>
      <c r="S578" s="175"/>
      <c r="T578" s="175"/>
      <c r="U578" s="190"/>
      <c r="V578" s="181"/>
      <c r="W578" s="190"/>
      <c r="X578" s="181"/>
      <c r="Y578" s="194"/>
      <c r="Z578" s="195"/>
      <c r="AA578" s="194"/>
      <c r="AB578" s="194"/>
      <c r="AC578" s="194"/>
      <c r="AD578" s="194"/>
      <c r="AE578" s="165">
        <v>32500000</v>
      </c>
      <c r="AF578" s="225"/>
      <c r="AG578" s="225"/>
      <c r="AH578" s="225"/>
      <c r="AI578" s="225"/>
      <c r="AJ578" s="196" t="s">
        <v>1765</v>
      </c>
      <c r="AK578" s="1"/>
      <c r="AL578" s="1"/>
      <c r="AM578" s="1"/>
    </row>
    <row r="579" spans="1:39" ht="12.75" hidden="1" customHeight="1">
      <c r="A579" s="63">
        <f t="shared" si="1"/>
        <v>128</v>
      </c>
      <c r="B579" s="174" t="s">
        <v>40</v>
      </c>
      <c r="C579" s="49" t="s">
        <v>2487</v>
      </c>
      <c r="D579" s="175" t="s">
        <v>2488</v>
      </c>
      <c r="E579" s="176"/>
      <c r="F579" s="176"/>
      <c r="G579" s="176"/>
      <c r="H579" s="177"/>
      <c r="I579" s="176"/>
      <c r="J579" s="176"/>
      <c r="K579" s="176"/>
      <c r="L579" s="177"/>
      <c r="M579" s="176"/>
      <c r="N579" s="176"/>
      <c r="O579" s="177"/>
      <c r="P579" s="181"/>
      <c r="Q579" s="181"/>
      <c r="R579" s="181"/>
      <c r="S579" s="175"/>
      <c r="T579" s="175"/>
      <c r="U579" s="190"/>
      <c r="V579" s="181"/>
      <c r="W579" s="190"/>
      <c r="X579" s="181"/>
      <c r="Y579" s="194"/>
      <c r="Z579" s="195"/>
      <c r="AA579" s="194"/>
      <c r="AB579" s="194"/>
      <c r="AC579" s="194">
        <v>1750000</v>
      </c>
      <c r="AD579" s="194"/>
      <c r="AE579" s="165"/>
      <c r="AF579" s="201"/>
      <c r="AG579" s="201"/>
      <c r="AH579" s="201"/>
      <c r="AI579" s="201"/>
      <c r="AJ579" s="196" t="s">
        <v>2335</v>
      </c>
      <c r="AK579" s="1"/>
      <c r="AL579" s="1"/>
      <c r="AM579" s="1"/>
    </row>
    <row r="580" spans="1:39" ht="12.75" customHeight="1">
      <c r="A580" s="63">
        <f t="shared" si="1"/>
        <v>129</v>
      </c>
      <c r="B580" s="174" t="s">
        <v>27</v>
      </c>
      <c r="C580" s="49" t="s">
        <v>2489</v>
      </c>
      <c r="D580" s="175" t="s">
        <v>2490</v>
      </c>
      <c r="E580" s="176"/>
      <c r="F580" s="176"/>
      <c r="G580" s="176"/>
      <c r="H580" s="177"/>
      <c r="I580" s="176"/>
      <c r="J580" s="176"/>
      <c r="K580" s="176"/>
      <c r="L580" s="177"/>
      <c r="M580" s="176"/>
      <c r="N580" s="176"/>
      <c r="O580" s="177"/>
      <c r="P580" s="181"/>
      <c r="Q580" s="181"/>
      <c r="R580" s="181"/>
      <c r="S580" s="175"/>
      <c r="T580" s="175"/>
      <c r="U580" s="190"/>
      <c r="V580" s="181"/>
      <c r="W580" s="190"/>
      <c r="X580" s="181"/>
      <c r="Y580" s="194"/>
      <c r="Z580" s="195"/>
      <c r="AA580" s="194"/>
      <c r="AB580" s="194"/>
      <c r="AC580" s="194"/>
      <c r="AD580" s="194"/>
      <c r="AE580" s="165">
        <v>6500000</v>
      </c>
      <c r="AF580" s="201"/>
      <c r="AG580" s="201"/>
      <c r="AH580" s="201"/>
      <c r="AI580" s="201"/>
      <c r="AJ580" s="196" t="s">
        <v>1556</v>
      </c>
      <c r="AK580" s="1"/>
      <c r="AL580" s="1"/>
      <c r="AM580" s="1"/>
    </row>
    <row r="581" spans="1:39" ht="12.75" hidden="1" customHeight="1">
      <c r="A581" s="63">
        <f t="shared" si="1"/>
        <v>130</v>
      </c>
      <c r="B581" s="174" t="s">
        <v>40</v>
      </c>
      <c r="C581" s="49" t="s">
        <v>2491</v>
      </c>
      <c r="D581" s="175" t="s">
        <v>2492</v>
      </c>
      <c r="E581" s="176"/>
      <c r="F581" s="176"/>
      <c r="G581" s="176"/>
      <c r="H581" s="177"/>
      <c r="I581" s="176"/>
      <c r="J581" s="176"/>
      <c r="K581" s="176"/>
      <c r="L581" s="177"/>
      <c r="M581" s="176"/>
      <c r="N581" s="176"/>
      <c r="O581" s="177"/>
      <c r="P581" s="181"/>
      <c r="Q581" s="181"/>
      <c r="R581" s="181"/>
      <c r="S581" s="175"/>
      <c r="T581" s="175"/>
      <c r="U581" s="190"/>
      <c r="V581" s="181"/>
      <c r="W581" s="190"/>
      <c r="X581" s="181"/>
      <c r="Y581" s="194"/>
      <c r="Z581" s="195"/>
      <c r="AA581" s="194"/>
      <c r="AB581" s="194"/>
      <c r="AC581" s="194">
        <v>2367000</v>
      </c>
      <c r="AD581" s="194"/>
      <c r="AE581" s="165"/>
      <c r="AF581" s="201"/>
      <c r="AG581" s="201"/>
      <c r="AH581" s="201"/>
      <c r="AI581" s="201"/>
      <c r="AJ581" s="196" t="s">
        <v>2335</v>
      </c>
      <c r="AK581" s="1"/>
      <c r="AL581" s="1"/>
      <c r="AM581" s="1"/>
    </row>
    <row r="582" spans="1:39" ht="12.75" hidden="1" customHeight="1">
      <c r="A582" s="63">
        <f t="shared" si="1"/>
        <v>131</v>
      </c>
      <c r="B582" s="174" t="s">
        <v>40</v>
      </c>
      <c r="C582" s="49" t="s">
        <v>2322</v>
      </c>
      <c r="D582" s="175" t="s">
        <v>2493</v>
      </c>
      <c r="E582" s="176"/>
      <c r="F582" s="176"/>
      <c r="G582" s="176"/>
      <c r="H582" s="177"/>
      <c r="I582" s="176"/>
      <c r="J582" s="176"/>
      <c r="K582" s="176"/>
      <c r="L582" s="177"/>
      <c r="M582" s="176"/>
      <c r="N582" s="176"/>
      <c r="O582" s="177"/>
      <c r="P582" s="181"/>
      <c r="Q582" s="181"/>
      <c r="R582" s="181"/>
      <c r="S582" s="175"/>
      <c r="T582" s="175"/>
      <c r="U582" s="190"/>
      <c r="V582" s="181"/>
      <c r="W582" s="190"/>
      <c r="X582" s="181"/>
      <c r="Y582" s="194"/>
      <c r="Z582" s="195"/>
      <c r="AA582" s="194"/>
      <c r="AB582" s="194"/>
      <c r="AC582" s="194">
        <v>7388196</v>
      </c>
      <c r="AD582" s="194"/>
      <c r="AE582" s="57"/>
      <c r="AF582" s="201"/>
      <c r="AG582" s="201"/>
      <c r="AH582" s="201"/>
      <c r="AI582" s="201"/>
      <c r="AJ582" s="196" t="s">
        <v>2335</v>
      </c>
      <c r="AK582" s="1"/>
      <c r="AL582" s="1"/>
      <c r="AM582" s="1"/>
    </row>
    <row r="583" spans="1:39" ht="12.75" hidden="1" customHeight="1">
      <c r="A583" s="63">
        <f t="shared" si="1"/>
        <v>132</v>
      </c>
      <c r="B583" s="174" t="s">
        <v>40</v>
      </c>
      <c r="C583" s="49" t="s">
        <v>2322</v>
      </c>
      <c r="D583" s="175" t="s">
        <v>2494</v>
      </c>
      <c r="E583" s="176"/>
      <c r="F583" s="176"/>
      <c r="G583" s="176"/>
      <c r="H583" s="177"/>
      <c r="I583" s="176"/>
      <c r="J583" s="176"/>
      <c r="K583" s="176"/>
      <c r="L583" s="177"/>
      <c r="M583" s="176"/>
      <c r="N583" s="176"/>
      <c r="O583" s="177"/>
      <c r="P583" s="181"/>
      <c r="Q583" s="181"/>
      <c r="R583" s="181"/>
      <c r="S583" s="175"/>
      <c r="T583" s="175"/>
      <c r="U583" s="190"/>
      <c r="V583" s="181"/>
      <c r="W583" s="190"/>
      <c r="X583" s="181"/>
      <c r="Y583" s="194"/>
      <c r="Z583" s="195"/>
      <c r="AA583" s="194"/>
      <c r="AB583" s="194"/>
      <c r="AC583" s="194">
        <v>1060000</v>
      </c>
      <c r="AD583" s="194"/>
      <c r="AE583" s="57"/>
      <c r="AF583" s="201"/>
      <c r="AG583" s="201"/>
      <c r="AH583" s="201"/>
      <c r="AI583" s="201"/>
      <c r="AJ583" s="196" t="s">
        <v>2335</v>
      </c>
      <c r="AK583" s="1"/>
      <c r="AL583" s="1"/>
      <c r="AM583" s="1"/>
    </row>
    <row r="584" spans="1:39" ht="12.75" hidden="1" customHeight="1">
      <c r="A584" s="63">
        <f t="shared" si="1"/>
        <v>133</v>
      </c>
      <c r="B584" s="174" t="s">
        <v>44</v>
      </c>
      <c r="C584" s="49" t="s">
        <v>2451</v>
      </c>
      <c r="D584" s="175" t="s">
        <v>2495</v>
      </c>
      <c r="E584" s="176"/>
      <c r="F584" s="176"/>
      <c r="G584" s="176"/>
      <c r="H584" s="177"/>
      <c r="I584" s="176"/>
      <c r="J584" s="176"/>
      <c r="K584" s="176"/>
      <c r="L584" s="177"/>
      <c r="M584" s="176"/>
      <c r="N584" s="176"/>
      <c r="O584" s="177"/>
      <c r="P584" s="181"/>
      <c r="Q584" s="181"/>
      <c r="R584" s="181"/>
      <c r="S584" s="175"/>
      <c r="T584" s="175"/>
      <c r="U584" s="190"/>
      <c r="V584" s="181"/>
      <c r="W584" s="190"/>
      <c r="X584" s="181"/>
      <c r="Y584" s="194"/>
      <c r="Z584" s="195"/>
      <c r="AA584" s="194"/>
      <c r="AB584" s="194"/>
      <c r="AC584" s="194"/>
      <c r="AD584" s="194">
        <v>42800000</v>
      </c>
      <c r="AE584" s="57"/>
      <c r="AF584" s="201"/>
      <c r="AG584" s="201"/>
      <c r="AH584" s="201"/>
      <c r="AI584" s="201"/>
      <c r="AJ584" s="196" t="s">
        <v>1765</v>
      </c>
      <c r="AK584" s="1"/>
      <c r="AL584" s="1"/>
      <c r="AM584" s="1"/>
    </row>
    <row r="585" spans="1:39" ht="12.75" customHeight="1">
      <c r="A585" s="63">
        <f t="shared" si="1"/>
        <v>134</v>
      </c>
      <c r="B585" s="174" t="s">
        <v>27</v>
      </c>
      <c r="C585" s="49" t="s">
        <v>2496</v>
      </c>
      <c r="D585" s="175" t="s">
        <v>2497</v>
      </c>
      <c r="E585" s="176"/>
      <c r="F585" s="176"/>
      <c r="G585" s="176"/>
      <c r="H585" s="177"/>
      <c r="I585" s="176"/>
      <c r="J585" s="176"/>
      <c r="K585" s="176"/>
      <c r="L585" s="177"/>
      <c r="M585" s="176"/>
      <c r="N585" s="176"/>
      <c r="O585" s="177"/>
      <c r="P585" s="181"/>
      <c r="Q585" s="181"/>
      <c r="R585" s="181"/>
      <c r="S585" s="175"/>
      <c r="T585" s="175"/>
      <c r="U585" s="190"/>
      <c r="V585" s="181"/>
      <c r="W585" s="190"/>
      <c r="X585" s="181"/>
      <c r="Y585" s="194"/>
      <c r="Z585" s="195"/>
      <c r="AA585" s="194"/>
      <c r="AB585" s="194"/>
      <c r="AC585" s="194"/>
      <c r="AD585" s="194"/>
      <c r="AE585" s="165">
        <v>13000000</v>
      </c>
      <c r="AF585" s="201"/>
      <c r="AG585" s="201"/>
      <c r="AH585" s="201"/>
      <c r="AI585" s="201"/>
      <c r="AJ585" s="196" t="s">
        <v>2258</v>
      </c>
      <c r="AK585" s="1"/>
      <c r="AL585" s="1"/>
      <c r="AM585" s="1"/>
    </row>
    <row r="586" spans="1:39" ht="12.75" customHeight="1">
      <c r="A586" s="63">
        <f t="shared" si="1"/>
        <v>135</v>
      </c>
      <c r="B586" s="174" t="s">
        <v>27</v>
      </c>
      <c r="C586" s="49" t="s">
        <v>2498</v>
      </c>
      <c r="D586" s="175" t="s">
        <v>2499</v>
      </c>
      <c r="E586" s="176"/>
      <c r="F586" s="176"/>
      <c r="G586" s="176"/>
      <c r="H586" s="177"/>
      <c r="I586" s="176"/>
      <c r="J586" s="176"/>
      <c r="K586" s="176"/>
      <c r="L586" s="177"/>
      <c r="M586" s="176"/>
      <c r="N586" s="176"/>
      <c r="O586" s="177"/>
      <c r="P586" s="181"/>
      <c r="Q586" s="181"/>
      <c r="R586" s="181"/>
      <c r="S586" s="175"/>
      <c r="T586" s="175"/>
      <c r="U586" s="190"/>
      <c r="V586" s="181"/>
      <c r="W586" s="190"/>
      <c r="X586" s="181"/>
      <c r="Y586" s="194"/>
      <c r="Z586" s="195"/>
      <c r="AA586" s="194"/>
      <c r="AB586" s="194"/>
      <c r="AC586" s="194"/>
      <c r="AD586" s="194">
        <v>17076000</v>
      </c>
      <c r="AE586" s="57"/>
      <c r="AF586" s="201"/>
      <c r="AG586" s="201"/>
      <c r="AH586" s="201"/>
      <c r="AI586" s="201"/>
      <c r="AJ586" s="196" t="s">
        <v>1556</v>
      </c>
      <c r="AK586" s="1"/>
      <c r="AL586" s="1"/>
      <c r="AM586" s="1"/>
    </row>
    <row r="587" spans="1:39" ht="12.75" customHeight="1">
      <c r="A587" s="63">
        <f t="shared" si="1"/>
        <v>136</v>
      </c>
      <c r="B587" s="134" t="s">
        <v>27</v>
      </c>
      <c r="C587" s="18" t="s">
        <v>2500</v>
      </c>
      <c r="D587" s="197" t="s">
        <v>2501</v>
      </c>
      <c r="E587" s="198"/>
      <c r="F587" s="198"/>
      <c r="G587" s="198"/>
      <c r="H587" s="70"/>
      <c r="I587" s="198"/>
      <c r="J587" s="198"/>
      <c r="K587" s="198"/>
      <c r="L587" s="70"/>
      <c r="M587" s="198"/>
      <c r="N587" s="198"/>
      <c r="O587" s="70"/>
      <c r="P587" s="198"/>
      <c r="Q587" s="198"/>
      <c r="R587" s="198"/>
      <c r="S587" s="198"/>
      <c r="T587" s="199"/>
      <c r="U587" s="198"/>
      <c r="V587" s="200"/>
      <c r="W587" s="198"/>
      <c r="X587" s="200"/>
      <c r="Y587" s="77"/>
      <c r="Z587" s="191"/>
      <c r="AA587" s="77"/>
      <c r="AB587" s="77"/>
      <c r="AC587" s="77"/>
      <c r="AD587" s="77"/>
      <c r="AE587" s="165">
        <v>435000000</v>
      </c>
      <c r="AF587" s="57"/>
      <c r="AG587" s="57"/>
      <c r="AH587" s="57"/>
      <c r="AI587" s="57"/>
      <c r="AJ587" s="57" t="s">
        <v>1556</v>
      </c>
      <c r="AK587" s="1"/>
      <c r="AL587" s="1"/>
      <c r="AM587" s="1"/>
    </row>
    <row r="588" spans="1:39" ht="12.75" hidden="1" customHeight="1">
      <c r="A588" s="63">
        <v>137</v>
      </c>
      <c r="B588" s="174" t="s">
        <v>72</v>
      </c>
      <c r="C588" s="49" t="s">
        <v>2502</v>
      </c>
      <c r="D588" s="175" t="s">
        <v>2503</v>
      </c>
      <c r="E588" s="176"/>
      <c r="F588" s="176"/>
      <c r="G588" s="176"/>
      <c r="H588" s="177"/>
      <c r="I588" s="176"/>
      <c r="J588" s="176"/>
      <c r="K588" s="176"/>
      <c r="L588" s="177"/>
      <c r="M588" s="176"/>
      <c r="N588" s="176"/>
      <c r="O588" s="177"/>
      <c r="P588" s="181"/>
      <c r="Q588" s="181"/>
      <c r="R588" s="181"/>
      <c r="S588" s="175"/>
      <c r="T588" s="175"/>
      <c r="U588" s="190"/>
      <c r="V588" s="181"/>
      <c r="W588" s="190"/>
      <c r="X588" s="181"/>
      <c r="Y588" s="194"/>
      <c r="Z588" s="195"/>
      <c r="AA588" s="194"/>
      <c r="AB588" s="194"/>
      <c r="AC588" s="194"/>
      <c r="AD588" s="194">
        <v>2750000</v>
      </c>
      <c r="AE588" s="57"/>
      <c r="AF588" s="201"/>
      <c r="AG588" s="201"/>
      <c r="AH588" s="201"/>
      <c r="AI588" s="201"/>
      <c r="AJ588" s="196" t="s">
        <v>1556</v>
      </c>
      <c r="AK588" s="1"/>
      <c r="AL588" s="1"/>
      <c r="AM588" s="1"/>
    </row>
    <row r="589" spans="1:39" ht="12.75" hidden="1" customHeight="1">
      <c r="A589" s="63">
        <v>138</v>
      </c>
      <c r="B589" s="174" t="s">
        <v>40</v>
      </c>
      <c r="C589" s="49" t="s">
        <v>2312</v>
      </c>
      <c r="D589" s="175" t="s">
        <v>2504</v>
      </c>
      <c r="E589" s="176"/>
      <c r="F589" s="176"/>
      <c r="G589" s="176"/>
      <c r="H589" s="177"/>
      <c r="I589" s="176"/>
      <c r="J589" s="176"/>
      <c r="K589" s="176"/>
      <c r="L589" s="177"/>
      <c r="M589" s="176"/>
      <c r="N589" s="176"/>
      <c r="O589" s="177"/>
      <c r="P589" s="181"/>
      <c r="Q589" s="181"/>
      <c r="R589" s="181"/>
      <c r="S589" s="175"/>
      <c r="T589" s="175"/>
      <c r="U589" s="190"/>
      <c r="V589" s="181"/>
      <c r="W589" s="190"/>
      <c r="X589" s="181"/>
      <c r="Y589" s="194"/>
      <c r="Z589" s="195"/>
      <c r="AA589" s="194"/>
      <c r="AB589" s="194"/>
      <c r="AC589" s="194"/>
      <c r="AD589" s="194">
        <v>19642000</v>
      </c>
      <c r="AE589" s="57"/>
      <c r="AF589" s="201"/>
      <c r="AG589" s="201"/>
      <c r="AH589" s="201"/>
      <c r="AI589" s="201"/>
      <c r="AJ589" s="196" t="s">
        <v>2335</v>
      </c>
      <c r="AK589" s="1"/>
      <c r="AL589" s="1"/>
      <c r="AM589" s="1"/>
    </row>
    <row r="590" spans="1:39" ht="12.75" hidden="1" customHeight="1">
      <c r="A590" s="63">
        <v>139</v>
      </c>
      <c r="B590" s="174" t="s">
        <v>40</v>
      </c>
      <c r="C590" s="49" t="s">
        <v>2505</v>
      </c>
      <c r="D590" s="175" t="s">
        <v>2506</v>
      </c>
      <c r="E590" s="176"/>
      <c r="F590" s="176"/>
      <c r="G590" s="176"/>
      <c r="H590" s="177"/>
      <c r="I590" s="176"/>
      <c r="J590" s="176"/>
      <c r="K590" s="176"/>
      <c r="L590" s="177"/>
      <c r="M590" s="176"/>
      <c r="N590" s="176"/>
      <c r="O590" s="177"/>
      <c r="P590" s="181"/>
      <c r="Q590" s="181"/>
      <c r="R590" s="181"/>
      <c r="S590" s="175"/>
      <c r="T590" s="175"/>
      <c r="U590" s="190"/>
      <c r="V590" s="181"/>
      <c r="W590" s="190"/>
      <c r="X590" s="181"/>
      <c r="Y590" s="194"/>
      <c r="Z590" s="195"/>
      <c r="AA590" s="194"/>
      <c r="AB590" s="194"/>
      <c r="AC590" s="194"/>
      <c r="AD590" s="194">
        <v>51500000</v>
      </c>
      <c r="AE590" s="57"/>
      <c r="AF590" s="201"/>
      <c r="AG590" s="201"/>
      <c r="AH590" s="201"/>
      <c r="AI590" s="201"/>
      <c r="AJ590" s="196" t="s">
        <v>2335</v>
      </c>
      <c r="AK590" s="1"/>
      <c r="AL590" s="1"/>
      <c r="AM590" s="1"/>
    </row>
    <row r="591" spans="1:39" ht="12.75" customHeight="1">
      <c r="A591" s="63">
        <v>140</v>
      </c>
      <c r="B591" s="174" t="s">
        <v>27</v>
      </c>
      <c r="C591" s="49" t="s">
        <v>2374</v>
      </c>
      <c r="D591" s="175" t="s">
        <v>2375</v>
      </c>
      <c r="E591" s="176"/>
      <c r="F591" s="176"/>
      <c r="G591" s="176"/>
      <c r="H591" s="177"/>
      <c r="I591" s="176"/>
      <c r="J591" s="176"/>
      <c r="K591" s="176"/>
      <c r="L591" s="177"/>
      <c r="M591" s="176"/>
      <c r="N591" s="176"/>
      <c r="O591" s="177"/>
      <c r="P591" s="181"/>
      <c r="Q591" s="181"/>
      <c r="R591" s="181"/>
      <c r="S591" s="175"/>
      <c r="T591" s="175"/>
      <c r="U591" s="190"/>
      <c r="V591" s="181"/>
      <c r="W591" s="190"/>
      <c r="X591" s="181"/>
      <c r="Y591" s="194"/>
      <c r="Z591" s="195"/>
      <c r="AA591" s="194"/>
      <c r="AB591" s="194"/>
      <c r="AC591" s="194"/>
      <c r="AD591" s="194"/>
      <c r="AE591" s="57"/>
      <c r="AF591" s="203">
        <v>38000000</v>
      </c>
      <c r="AG591" s="203"/>
      <c r="AH591" s="203"/>
      <c r="AI591" s="203"/>
      <c r="AJ591" s="196" t="s">
        <v>2210</v>
      </c>
      <c r="AK591" s="1"/>
      <c r="AL591" s="1"/>
      <c r="AM591" s="1"/>
    </row>
    <row r="592" spans="1:39" ht="12.75" hidden="1" customHeight="1">
      <c r="A592" s="63">
        <v>141</v>
      </c>
      <c r="B592" s="174" t="s">
        <v>40</v>
      </c>
      <c r="C592" s="49" t="s">
        <v>2407</v>
      </c>
      <c r="D592" s="175" t="s">
        <v>2507</v>
      </c>
      <c r="E592" s="176"/>
      <c r="F592" s="176"/>
      <c r="G592" s="176"/>
      <c r="H592" s="177"/>
      <c r="I592" s="176"/>
      <c r="J592" s="176"/>
      <c r="K592" s="176"/>
      <c r="L592" s="177"/>
      <c r="M592" s="176"/>
      <c r="N592" s="176"/>
      <c r="O592" s="177"/>
      <c r="P592" s="181"/>
      <c r="Q592" s="181"/>
      <c r="R592" s="181"/>
      <c r="S592" s="175"/>
      <c r="T592" s="175"/>
      <c r="U592" s="190"/>
      <c r="V592" s="181"/>
      <c r="W592" s="190"/>
      <c r="X592" s="181"/>
      <c r="Y592" s="194"/>
      <c r="Z592" s="195"/>
      <c r="AA592" s="194"/>
      <c r="AB592" s="194"/>
      <c r="AC592" s="194"/>
      <c r="AD592" s="194">
        <v>537139800</v>
      </c>
      <c r="AE592" s="57"/>
      <c r="AF592" s="203"/>
      <c r="AG592" s="203"/>
      <c r="AH592" s="203"/>
      <c r="AI592" s="203"/>
      <c r="AJ592" s="196" t="s">
        <v>2335</v>
      </c>
      <c r="AK592" s="1"/>
      <c r="AL592" s="1"/>
      <c r="AM592" s="1"/>
    </row>
    <row r="593" spans="1:39" ht="12.75" customHeight="1">
      <c r="A593" s="63">
        <v>142</v>
      </c>
      <c r="B593" s="174" t="s">
        <v>27</v>
      </c>
      <c r="C593" s="49" t="s">
        <v>2303</v>
      </c>
      <c r="D593" s="175" t="s">
        <v>2508</v>
      </c>
      <c r="E593" s="176"/>
      <c r="F593" s="176"/>
      <c r="G593" s="176"/>
      <c r="H593" s="177"/>
      <c r="I593" s="176"/>
      <c r="J593" s="176"/>
      <c r="K593" s="176"/>
      <c r="L593" s="177"/>
      <c r="M593" s="176"/>
      <c r="N593" s="176"/>
      <c r="O593" s="177"/>
      <c r="P593" s="181"/>
      <c r="Q593" s="181"/>
      <c r="R593" s="181"/>
      <c r="S593" s="175"/>
      <c r="T593" s="175"/>
      <c r="U593" s="190"/>
      <c r="V593" s="181"/>
      <c r="W593" s="190"/>
      <c r="X593" s="181"/>
      <c r="Y593" s="194"/>
      <c r="Z593" s="195"/>
      <c r="AA593" s="194"/>
      <c r="AB593" s="194"/>
      <c r="AC593" s="194"/>
      <c r="AD593" s="194"/>
      <c r="AE593" s="57"/>
      <c r="AF593" s="203">
        <v>30440000</v>
      </c>
      <c r="AG593" s="203"/>
      <c r="AH593" s="203"/>
      <c r="AI593" s="203"/>
      <c r="AJ593" s="196" t="s">
        <v>2210</v>
      </c>
      <c r="AK593" s="1"/>
      <c r="AL593" s="1"/>
      <c r="AM593" s="1"/>
    </row>
    <row r="594" spans="1:39" ht="12.75" customHeight="1">
      <c r="A594" s="63">
        <v>143</v>
      </c>
      <c r="B594" s="174" t="s">
        <v>27</v>
      </c>
      <c r="C594" s="49" t="s">
        <v>2429</v>
      </c>
      <c r="D594" s="175" t="s">
        <v>2509</v>
      </c>
      <c r="E594" s="176"/>
      <c r="F594" s="176"/>
      <c r="G594" s="176"/>
      <c r="H594" s="177"/>
      <c r="I594" s="176"/>
      <c r="J594" s="176"/>
      <c r="K594" s="176"/>
      <c r="L594" s="177"/>
      <c r="M594" s="176"/>
      <c r="N594" s="176"/>
      <c r="O594" s="177"/>
      <c r="P594" s="181"/>
      <c r="Q594" s="181"/>
      <c r="R594" s="181"/>
      <c r="S594" s="175"/>
      <c r="T594" s="175"/>
      <c r="U594" s="190"/>
      <c r="V594" s="181"/>
      <c r="W594" s="190"/>
      <c r="X594" s="181"/>
      <c r="Y594" s="194"/>
      <c r="Z594" s="195"/>
      <c r="AA594" s="194"/>
      <c r="AB594" s="194"/>
      <c r="AC594" s="194"/>
      <c r="AD594" s="194"/>
      <c r="AE594" s="165">
        <v>148942789</v>
      </c>
      <c r="AF594" s="203"/>
      <c r="AG594" s="203"/>
      <c r="AH594" s="203"/>
      <c r="AI594" s="203"/>
      <c r="AJ594" s="196" t="s">
        <v>1556</v>
      </c>
      <c r="AK594" s="1"/>
      <c r="AL594" s="1"/>
      <c r="AM594" s="1"/>
    </row>
    <row r="595" spans="1:39" ht="12.75" hidden="1" customHeight="1">
      <c r="A595" s="63">
        <v>144</v>
      </c>
      <c r="B595" s="174" t="s">
        <v>40</v>
      </c>
      <c r="C595" s="49" t="s">
        <v>2312</v>
      </c>
      <c r="D595" s="175" t="s">
        <v>2510</v>
      </c>
      <c r="E595" s="176"/>
      <c r="F595" s="176"/>
      <c r="G595" s="176"/>
      <c r="H595" s="177"/>
      <c r="I595" s="176"/>
      <c r="J595" s="176"/>
      <c r="K595" s="176"/>
      <c r="L595" s="177"/>
      <c r="M595" s="176"/>
      <c r="N595" s="176"/>
      <c r="O595" s="177"/>
      <c r="P595" s="181"/>
      <c r="Q595" s="181"/>
      <c r="R595" s="181"/>
      <c r="S595" s="175"/>
      <c r="T595" s="175"/>
      <c r="U595" s="190"/>
      <c r="V595" s="181"/>
      <c r="W595" s="190"/>
      <c r="X595" s="181"/>
      <c r="Y595" s="194"/>
      <c r="Z595" s="195"/>
      <c r="AA595" s="194"/>
      <c r="AB595" s="194"/>
      <c r="AC595" s="194"/>
      <c r="AD595" s="194">
        <v>41133124</v>
      </c>
      <c r="AE595" s="57"/>
      <c r="AF595" s="203"/>
      <c r="AG595" s="203"/>
      <c r="AH595" s="203"/>
      <c r="AI595" s="203"/>
      <c r="AJ595" s="196" t="s">
        <v>2335</v>
      </c>
      <c r="AK595" s="1"/>
      <c r="AL595" s="1"/>
      <c r="AM595" s="1"/>
    </row>
    <row r="596" spans="1:39" ht="12.75" hidden="1" customHeight="1">
      <c r="A596" s="63">
        <v>145</v>
      </c>
      <c r="B596" s="174" t="s">
        <v>40</v>
      </c>
      <c r="C596" s="49" t="s">
        <v>2511</v>
      </c>
      <c r="D596" s="175" t="s">
        <v>2512</v>
      </c>
      <c r="E596" s="176"/>
      <c r="F596" s="176"/>
      <c r="G596" s="176"/>
      <c r="H596" s="177"/>
      <c r="I596" s="176"/>
      <c r="J596" s="176"/>
      <c r="K596" s="176"/>
      <c r="L596" s="177"/>
      <c r="M596" s="176"/>
      <c r="N596" s="176"/>
      <c r="O596" s="177"/>
      <c r="P596" s="181"/>
      <c r="Q596" s="181"/>
      <c r="R596" s="181"/>
      <c r="S596" s="175"/>
      <c r="T596" s="175"/>
      <c r="U596" s="190"/>
      <c r="V596" s="181"/>
      <c r="W596" s="190"/>
      <c r="X596" s="181"/>
      <c r="Y596" s="194"/>
      <c r="Z596" s="195"/>
      <c r="AA596" s="194"/>
      <c r="AB596" s="194"/>
      <c r="AC596" s="194"/>
      <c r="AD596" s="194"/>
      <c r="AE596" s="57"/>
      <c r="AF596" s="203">
        <v>81000000</v>
      </c>
      <c r="AG596" s="203"/>
      <c r="AH596" s="203"/>
      <c r="AI596" s="203"/>
      <c r="AJ596" s="196" t="s">
        <v>2335</v>
      </c>
      <c r="AK596" s="1"/>
      <c r="AL596" s="1"/>
      <c r="AM596" s="1"/>
    </row>
    <row r="597" spans="1:39" ht="12.75" customHeight="1">
      <c r="A597" s="63">
        <v>146</v>
      </c>
      <c r="B597" s="174" t="s">
        <v>27</v>
      </c>
      <c r="C597" s="49" t="s">
        <v>2513</v>
      </c>
      <c r="D597" s="175" t="s">
        <v>2514</v>
      </c>
      <c r="E597" s="176"/>
      <c r="F597" s="176"/>
      <c r="G597" s="176"/>
      <c r="H597" s="177"/>
      <c r="I597" s="176"/>
      <c r="J597" s="176"/>
      <c r="K597" s="176"/>
      <c r="L597" s="177"/>
      <c r="M597" s="176"/>
      <c r="N597" s="176"/>
      <c r="O597" s="177"/>
      <c r="P597" s="181"/>
      <c r="Q597" s="181"/>
      <c r="R597" s="181"/>
      <c r="S597" s="175"/>
      <c r="T597" s="175"/>
      <c r="U597" s="190"/>
      <c r="V597" s="181"/>
      <c r="W597" s="190"/>
      <c r="X597" s="181"/>
      <c r="Y597" s="194"/>
      <c r="Z597" s="195"/>
      <c r="AA597" s="194"/>
      <c r="AB597" s="194"/>
      <c r="AC597" s="194"/>
      <c r="AD597" s="194"/>
      <c r="AE597" s="226">
        <v>4250000</v>
      </c>
      <c r="AF597" s="203"/>
      <c r="AG597" s="203"/>
      <c r="AH597" s="203"/>
      <c r="AI597" s="203"/>
      <c r="AJ597" s="196" t="s">
        <v>2258</v>
      </c>
      <c r="AK597" s="1"/>
      <c r="AL597" s="1"/>
      <c r="AM597" s="1"/>
    </row>
    <row r="598" spans="1:39" ht="12.75" hidden="1" customHeight="1">
      <c r="A598" s="63">
        <v>147</v>
      </c>
      <c r="B598" s="174" t="s">
        <v>40</v>
      </c>
      <c r="C598" s="49" t="s">
        <v>2312</v>
      </c>
      <c r="D598" s="175" t="s">
        <v>2515</v>
      </c>
      <c r="E598" s="176"/>
      <c r="F598" s="176"/>
      <c r="G598" s="176"/>
      <c r="H598" s="177"/>
      <c r="I598" s="176"/>
      <c r="J598" s="176"/>
      <c r="K598" s="176"/>
      <c r="L598" s="177"/>
      <c r="M598" s="176"/>
      <c r="N598" s="176"/>
      <c r="O598" s="177"/>
      <c r="P598" s="181"/>
      <c r="Q598" s="181"/>
      <c r="R598" s="181"/>
      <c r="S598" s="175"/>
      <c r="T598" s="175"/>
      <c r="U598" s="190"/>
      <c r="V598" s="181"/>
      <c r="W598" s="190"/>
      <c r="X598" s="181"/>
      <c r="Y598" s="194"/>
      <c r="Z598" s="195"/>
      <c r="AA598" s="194"/>
      <c r="AB598" s="194"/>
      <c r="AC598" s="194"/>
      <c r="AD598" s="194">
        <v>1488000</v>
      </c>
      <c r="AE598" s="57"/>
      <c r="AF598" s="203"/>
      <c r="AG598" s="203"/>
      <c r="AH598" s="203"/>
      <c r="AI598" s="203"/>
      <c r="AJ598" s="196" t="s">
        <v>2335</v>
      </c>
      <c r="AK598" s="1"/>
      <c r="AL598" s="1"/>
      <c r="AM598" s="1"/>
    </row>
    <row r="599" spans="1:39" ht="12.75" customHeight="1">
      <c r="A599" s="63">
        <v>148</v>
      </c>
      <c r="B599" s="174" t="s">
        <v>27</v>
      </c>
      <c r="C599" s="49" t="s">
        <v>2451</v>
      </c>
      <c r="D599" s="175" t="s">
        <v>2516</v>
      </c>
      <c r="E599" s="176"/>
      <c r="F599" s="176"/>
      <c r="G599" s="176"/>
      <c r="H599" s="177"/>
      <c r="I599" s="176"/>
      <c r="J599" s="176"/>
      <c r="K599" s="176"/>
      <c r="L599" s="177"/>
      <c r="M599" s="176"/>
      <c r="N599" s="176"/>
      <c r="O599" s="177"/>
      <c r="P599" s="181"/>
      <c r="Q599" s="181"/>
      <c r="R599" s="181"/>
      <c r="S599" s="175"/>
      <c r="T599" s="175"/>
      <c r="U599" s="190"/>
      <c r="V599" s="181"/>
      <c r="W599" s="190"/>
      <c r="X599" s="181"/>
      <c r="Y599" s="194"/>
      <c r="Z599" s="195"/>
      <c r="AA599" s="194"/>
      <c r="AB599" s="194"/>
      <c r="AC599" s="194"/>
      <c r="AD599" s="194"/>
      <c r="AE599" s="57"/>
      <c r="AF599" s="203">
        <v>95000000</v>
      </c>
      <c r="AG599" s="203"/>
      <c r="AH599" s="203"/>
      <c r="AI599" s="203"/>
      <c r="AJ599" s="196" t="s">
        <v>2453</v>
      </c>
      <c r="AK599" s="1"/>
      <c r="AL599" s="1"/>
      <c r="AM599" s="1"/>
    </row>
    <row r="600" spans="1:39" ht="12.75" customHeight="1">
      <c r="A600" s="63">
        <v>149</v>
      </c>
      <c r="B600" s="174" t="s">
        <v>27</v>
      </c>
      <c r="C600" s="49" t="s">
        <v>2517</v>
      </c>
      <c r="D600" s="175" t="s">
        <v>2518</v>
      </c>
      <c r="E600" s="176"/>
      <c r="F600" s="176"/>
      <c r="G600" s="176"/>
      <c r="H600" s="177"/>
      <c r="I600" s="176"/>
      <c r="J600" s="176"/>
      <c r="K600" s="176"/>
      <c r="L600" s="177"/>
      <c r="M600" s="176"/>
      <c r="N600" s="176"/>
      <c r="O600" s="177"/>
      <c r="P600" s="181"/>
      <c r="Q600" s="181"/>
      <c r="R600" s="181"/>
      <c r="S600" s="175"/>
      <c r="T600" s="175"/>
      <c r="U600" s="190"/>
      <c r="V600" s="181"/>
      <c r="W600" s="190"/>
      <c r="X600" s="181"/>
      <c r="Y600" s="194"/>
      <c r="Z600" s="195"/>
      <c r="AA600" s="194"/>
      <c r="AB600" s="194"/>
      <c r="AC600" s="194"/>
      <c r="AD600" s="194">
        <v>45231000</v>
      </c>
      <c r="AE600" s="57"/>
      <c r="AF600" s="203"/>
      <c r="AG600" s="203"/>
      <c r="AH600" s="203"/>
      <c r="AI600" s="203"/>
      <c r="AJ600" s="196" t="s">
        <v>1556</v>
      </c>
      <c r="AK600" s="1"/>
      <c r="AL600" s="1"/>
      <c r="AM600" s="1"/>
    </row>
    <row r="601" spans="1:39" ht="12.75" customHeight="1">
      <c r="A601" s="63">
        <v>150</v>
      </c>
      <c r="B601" s="134" t="s">
        <v>27</v>
      </c>
      <c r="C601" s="18" t="s">
        <v>2519</v>
      </c>
      <c r="D601" s="197" t="s">
        <v>2520</v>
      </c>
      <c r="E601" s="198"/>
      <c r="F601" s="198"/>
      <c r="G601" s="198"/>
      <c r="H601" s="70"/>
      <c r="I601" s="198"/>
      <c r="J601" s="198"/>
      <c r="K601" s="198"/>
      <c r="L601" s="70"/>
      <c r="M601" s="198"/>
      <c r="N601" s="198"/>
      <c r="O601" s="70"/>
      <c r="P601" s="198"/>
      <c r="Q601" s="198"/>
      <c r="R601" s="198"/>
      <c r="S601" s="198"/>
      <c r="T601" s="199"/>
      <c r="U601" s="198"/>
      <c r="V601" s="200"/>
      <c r="W601" s="198"/>
      <c r="X601" s="200"/>
      <c r="Y601" s="77"/>
      <c r="Z601" s="191"/>
      <c r="AA601" s="77"/>
      <c r="AB601" s="77"/>
      <c r="AC601" s="77"/>
      <c r="AD601" s="77"/>
      <c r="AE601" s="165">
        <v>52384995</v>
      </c>
      <c r="AF601" s="57"/>
      <c r="AG601" s="57"/>
      <c r="AH601" s="57"/>
      <c r="AI601" s="57"/>
      <c r="AJ601" s="57" t="s">
        <v>1556</v>
      </c>
      <c r="AK601" s="1"/>
      <c r="AL601" s="1"/>
      <c r="AM601" s="1"/>
    </row>
    <row r="602" spans="1:39" ht="12.75" hidden="1" customHeight="1">
      <c r="A602" s="63">
        <v>151</v>
      </c>
      <c r="B602" s="174" t="s">
        <v>40</v>
      </c>
      <c r="C602" s="49" t="s">
        <v>2336</v>
      </c>
      <c r="D602" s="175" t="s">
        <v>2521</v>
      </c>
      <c r="E602" s="176"/>
      <c r="F602" s="176"/>
      <c r="G602" s="176"/>
      <c r="H602" s="177"/>
      <c r="I602" s="176"/>
      <c r="J602" s="176"/>
      <c r="K602" s="176"/>
      <c r="L602" s="177"/>
      <c r="M602" s="176"/>
      <c r="N602" s="176"/>
      <c r="O602" s="177"/>
      <c r="P602" s="181"/>
      <c r="Q602" s="181"/>
      <c r="R602" s="181"/>
      <c r="S602" s="175"/>
      <c r="T602" s="175"/>
      <c r="U602" s="190"/>
      <c r="V602" s="181"/>
      <c r="W602" s="190"/>
      <c r="X602" s="181"/>
      <c r="Y602" s="194"/>
      <c r="Z602" s="195"/>
      <c r="AA602" s="194"/>
      <c r="AB602" s="194"/>
      <c r="AC602" s="194"/>
      <c r="AD602" s="194"/>
      <c r="AE602" s="165">
        <v>40783790</v>
      </c>
      <c r="AF602" s="203"/>
      <c r="AG602" s="203"/>
      <c r="AH602" s="203"/>
      <c r="AI602" s="203"/>
      <c r="AJ602" s="196" t="s">
        <v>1556</v>
      </c>
      <c r="AK602" s="1"/>
      <c r="AL602" s="1"/>
      <c r="AM602" s="1"/>
    </row>
    <row r="603" spans="1:39" ht="12.75" hidden="1" customHeight="1">
      <c r="A603" s="63">
        <v>152</v>
      </c>
      <c r="B603" s="174" t="s">
        <v>40</v>
      </c>
      <c r="C603" s="49" t="s">
        <v>2296</v>
      </c>
      <c r="D603" s="175" t="s">
        <v>2522</v>
      </c>
      <c r="E603" s="176"/>
      <c r="F603" s="176"/>
      <c r="G603" s="176"/>
      <c r="H603" s="177"/>
      <c r="I603" s="176"/>
      <c r="J603" s="176"/>
      <c r="K603" s="176"/>
      <c r="L603" s="177"/>
      <c r="M603" s="176"/>
      <c r="N603" s="176"/>
      <c r="O603" s="177"/>
      <c r="P603" s="181"/>
      <c r="Q603" s="181"/>
      <c r="R603" s="181"/>
      <c r="S603" s="175"/>
      <c r="T603" s="175"/>
      <c r="U603" s="190"/>
      <c r="V603" s="181"/>
      <c r="W603" s="190"/>
      <c r="X603" s="181"/>
      <c r="Y603" s="194"/>
      <c r="Z603" s="195"/>
      <c r="AA603" s="194"/>
      <c r="AB603" s="194"/>
      <c r="AC603" s="194"/>
      <c r="AD603" s="194"/>
      <c r="AE603" s="165">
        <v>9075000</v>
      </c>
      <c r="AF603" s="203"/>
      <c r="AG603" s="203"/>
      <c r="AH603" s="203"/>
      <c r="AI603" s="203"/>
      <c r="AJ603" s="196" t="s">
        <v>1556</v>
      </c>
      <c r="AK603" s="1"/>
      <c r="AL603" s="1"/>
      <c r="AM603" s="1"/>
    </row>
    <row r="604" spans="1:39" ht="12.75" customHeight="1">
      <c r="A604" s="63">
        <v>153</v>
      </c>
      <c r="B604" s="174" t="s">
        <v>27</v>
      </c>
      <c r="C604" s="49" t="s">
        <v>2517</v>
      </c>
      <c r="D604" s="175" t="s">
        <v>2523</v>
      </c>
      <c r="E604" s="176"/>
      <c r="F604" s="176"/>
      <c r="G604" s="176"/>
      <c r="H604" s="177"/>
      <c r="I604" s="176"/>
      <c r="J604" s="176"/>
      <c r="K604" s="176"/>
      <c r="L604" s="177"/>
      <c r="M604" s="176"/>
      <c r="N604" s="176"/>
      <c r="O604" s="177"/>
      <c r="P604" s="181"/>
      <c r="Q604" s="181"/>
      <c r="R604" s="181"/>
      <c r="S604" s="175"/>
      <c r="T604" s="175"/>
      <c r="U604" s="190"/>
      <c r="V604" s="181"/>
      <c r="W604" s="190"/>
      <c r="X604" s="181"/>
      <c r="Y604" s="194"/>
      <c r="Z604" s="195"/>
      <c r="AA604" s="194"/>
      <c r="AB604" s="194"/>
      <c r="AC604" s="194"/>
      <c r="AD604" s="194"/>
      <c r="AE604" s="57"/>
      <c r="AF604" s="203">
        <v>26961000</v>
      </c>
      <c r="AG604" s="203"/>
      <c r="AH604" s="203"/>
      <c r="AI604" s="203"/>
      <c r="AJ604" s="196" t="s">
        <v>2210</v>
      </c>
      <c r="AK604" s="1"/>
      <c r="AL604" s="1"/>
      <c r="AM604" s="1"/>
    </row>
    <row r="605" spans="1:39" ht="12.75" hidden="1" customHeight="1">
      <c r="A605" s="63">
        <v>154</v>
      </c>
      <c r="B605" s="174" t="s">
        <v>40</v>
      </c>
      <c r="C605" s="49" t="s">
        <v>2400</v>
      </c>
      <c r="D605" s="175" t="s">
        <v>2524</v>
      </c>
      <c r="E605" s="176"/>
      <c r="F605" s="176"/>
      <c r="G605" s="176"/>
      <c r="H605" s="177"/>
      <c r="I605" s="176"/>
      <c r="J605" s="176"/>
      <c r="K605" s="176"/>
      <c r="L605" s="177"/>
      <c r="M605" s="176"/>
      <c r="N605" s="176"/>
      <c r="O605" s="177"/>
      <c r="P605" s="181"/>
      <c r="Q605" s="181"/>
      <c r="R605" s="181"/>
      <c r="S605" s="175"/>
      <c r="T605" s="175"/>
      <c r="U605" s="190"/>
      <c r="V605" s="181"/>
      <c r="W605" s="190"/>
      <c r="X605" s="181"/>
      <c r="Y605" s="194"/>
      <c r="Z605" s="195"/>
      <c r="AA605" s="194"/>
      <c r="AB605" s="194"/>
      <c r="AC605" s="194"/>
      <c r="AD605" s="194"/>
      <c r="AE605" s="165">
        <v>2996015</v>
      </c>
      <c r="AF605" s="203"/>
      <c r="AG605" s="203"/>
      <c r="AH605" s="203"/>
      <c r="AI605" s="203"/>
      <c r="AJ605" s="196" t="s">
        <v>2335</v>
      </c>
      <c r="AK605" s="1"/>
      <c r="AL605" s="1"/>
      <c r="AM605" s="1"/>
    </row>
    <row r="606" spans="1:39" ht="12.75" customHeight="1">
      <c r="A606" s="63">
        <v>155</v>
      </c>
      <c r="B606" s="174" t="s">
        <v>27</v>
      </c>
      <c r="C606" s="49" t="s">
        <v>2525</v>
      </c>
      <c r="D606" s="175" t="s">
        <v>2526</v>
      </c>
      <c r="E606" s="176"/>
      <c r="F606" s="176"/>
      <c r="G606" s="176"/>
      <c r="H606" s="177"/>
      <c r="I606" s="176"/>
      <c r="J606" s="176"/>
      <c r="K606" s="176"/>
      <c r="L606" s="177"/>
      <c r="M606" s="176"/>
      <c r="N606" s="176"/>
      <c r="O606" s="177"/>
      <c r="P606" s="181"/>
      <c r="Q606" s="181"/>
      <c r="R606" s="181"/>
      <c r="S606" s="175"/>
      <c r="T606" s="175"/>
      <c r="U606" s="190"/>
      <c r="V606" s="181"/>
      <c r="W606" s="190"/>
      <c r="X606" s="181"/>
      <c r="Y606" s="194"/>
      <c r="Z606" s="195"/>
      <c r="AA606" s="194"/>
      <c r="AB606" s="194"/>
      <c r="AC606" s="194"/>
      <c r="AD606" s="194"/>
      <c r="AE606" s="57"/>
      <c r="AF606" s="203">
        <v>28000000</v>
      </c>
      <c r="AG606" s="203"/>
      <c r="AH606" s="203"/>
      <c r="AI606" s="203"/>
      <c r="AJ606" s="196" t="s">
        <v>2210</v>
      </c>
      <c r="AK606" s="1"/>
      <c r="AL606" s="1"/>
      <c r="AM606" s="1"/>
    </row>
    <row r="607" spans="1:39" ht="12.75" hidden="1" customHeight="1">
      <c r="A607" s="63">
        <v>156</v>
      </c>
      <c r="B607" s="171" t="s">
        <v>40</v>
      </c>
      <c r="C607" s="21" t="s">
        <v>2527</v>
      </c>
      <c r="D607" s="17" t="s">
        <v>2528</v>
      </c>
      <c r="E607" s="206"/>
      <c r="F607" s="206"/>
      <c r="G607" s="206"/>
      <c r="H607" s="207"/>
      <c r="I607" s="206"/>
      <c r="J607" s="206"/>
      <c r="K607" s="206"/>
      <c r="L607" s="207"/>
      <c r="M607" s="206"/>
      <c r="N607" s="206"/>
      <c r="O607" s="207"/>
      <c r="P607" s="187"/>
      <c r="Q607" s="187"/>
      <c r="R607" s="187"/>
      <c r="S607" s="17"/>
      <c r="T607" s="17"/>
      <c r="U607" s="117"/>
      <c r="V607" s="187"/>
      <c r="W607" s="117"/>
      <c r="X607" s="187"/>
      <c r="Y607" s="79"/>
      <c r="Z607" s="193"/>
      <c r="AA607" s="79"/>
      <c r="AB607" s="79"/>
      <c r="AC607" s="79"/>
      <c r="AD607" s="79"/>
      <c r="AE607" s="165">
        <v>31514000</v>
      </c>
      <c r="AF607" s="165"/>
      <c r="AG607" s="165"/>
      <c r="AH607" s="165"/>
      <c r="AI607" s="165"/>
      <c r="AJ607" s="86" t="s">
        <v>2335</v>
      </c>
      <c r="AK607" s="1"/>
      <c r="AL607" s="1"/>
      <c r="AM607" s="1"/>
    </row>
    <row r="608" spans="1:39" ht="12.75" customHeight="1">
      <c r="A608" s="63">
        <v>157</v>
      </c>
      <c r="B608" s="208" t="s">
        <v>27</v>
      </c>
      <c r="C608" s="88" t="s">
        <v>2529</v>
      </c>
      <c r="D608" s="26" t="s">
        <v>2530</v>
      </c>
      <c r="E608" s="209"/>
      <c r="F608" s="209"/>
      <c r="G608" s="209"/>
      <c r="H608" s="210"/>
      <c r="I608" s="209"/>
      <c r="J608" s="209"/>
      <c r="K608" s="209"/>
      <c r="L608" s="210"/>
      <c r="M608" s="209"/>
      <c r="N608" s="209"/>
      <c r="O608" s="210"/>
      <c r="P608" s="215"/>
      <c r="Q608" s="215"/>
      <c r="R608" s="215"/>
      <c r="S608" s="85"/>
      <c r="T608" s="85"/>
      <c r="U608" s="218"/>
      <c r="V608" s="215"/>
      <c r="W608" s="218"/>
      <c r="X608" s="215"/>
      <c r="Y608" s="227"/>
      <c r="Z608" s="228"/>
      <c r="AA608" s="227"/>
      <c r="AB608" s="227"/>
      <c r="AC608" s="227"/>
      <c r="AD608" s="227"/>
      <c r="AE608" s="164"/>
      <c r="AF608" s="204"/>
      <c r="AG608" s="164">
        <v>495000000</v>
      </c>
      <c r="AH608" s="164"/>
      <c r="AI608" s="164"/>
      <c r="AJ608" s="232" t="s">
        <v>2210</v>
      </c>
      <c r="AK608" s="1"/>
      <c r="AL608" s="1"/>
      <c r="AM608" s="1"/>
    </row>
    <row r="609" spans="1:39" ht="12.75" customHeight="1">
      <c r="A609" s="63">
        <v>158</v>
      </c>
      <c r="B609" s="208" t="s">
        <v>27</v>
      </c>
      <c r="C609" s="88" t="s">
        <v>1018</v>
      </c>
      <c r="D609" s="26" t="s">
        <v>2531</v>
      </c>
      <c r="E609" s="176"/>
      <c r="F609" s="176"/>
      <c r="G609" s="176"/>
      <c r="H609" s="177"/>
      <c r="I609" s="176"/>
      <c r="J609" s="176"/>
      <c r="K609" s="176"/>
      <c r="L609" s="177"/>
      <c r="M609" s="176"/>
      <c r="N609" s="176"/>
      <c r="O609" s="177"/>
      <c r="P609" s="181"/>
      <c r="Q609" s="181"/>
      <c r="R609" s="181"/>
      <c r="S609" s="175"/>
      <c r="T609" s="175"/>
      <c r="U609" s="190"/>
      <c r="V609" s="181"/>
      <c r="W609" s="190"/>
      <c r="X609" s="181"/>
      <c r="Y609" s="194"/>
      <c r="Z609" s="195"/>
      <c r="AA609" s="194"/>
      <c r="AB609" s="194"/>
      <c r="AC609" s="194"/>
      <c r="AD609" s="194"/>
      <c r="AE609" s="57"/>
      <c r="AF609" s="203"/>
      <c r="AG609" s="164">
        <v>60000000</v>
      </c>
      <c r="AH609" s="164"/>
      <c r="AI609" s="164"/>
      <c r="AJ609" s="232" t="s">
        <v>2210</v>
      </c>
      <c r="AK609" s="1"/>
      <c r="AL609" s="1"/>
      <c r="AM609" s="1"/>
    </row>
    <row r="610" spans="1:39" ht="12.75" customHeight="1">
      <c r="A610" s="63">
        <v>159</v>
      </c>
      <c r="B610" s="174" t="s">
        <v>27</v>
      </c>
      <c r="C610" s="49" t="s">
        <v>2274</v>
      </c>
      <c r="D610" s="175" t="s">
        <v>2532</v>
      </c>
      <c r="E610" s="176"/>
      <c r="F610" s="176"/>
      <c r="G610" s="176"/>
      <c r="H610" s="177"/>
      <c r="I610" s="176"/>
      <c r="J610" s="176"/>
      <c r="K610" s="176"/>
      <c r="L610" s="177"/>
      <c r="M610" s="176"/>
      <c r="N610" s="176"/>
      <c r="O610" s="177"/>
      <c r="P610" s="181"/>
      <c r="Q610" s="181"/>
      <c r="R610" s="181"/>
      <c r="S610" s="175"/>
      <c r="T610" s="175"/>
      <c r="U610" s="190"/>
      <c r="V610" s="181"/>
      <c r="W610" s="190"/>
      <c r="X610" s="181"/>
      <c r="Y610" s="194"/>
      <c r="Z610" s="195"/>
      <c r="AA610" s="194"/>
      <c r="AB610" s="194"/>
      <c r="AC610" s="194"/>
      <c r="AD610" s="194"/>
      <c r="AE610" s="165"/>
      <c r="AF610" s="203"/>
      <c r="AG610" s="165"/>
      <c r="AH610" s="203">
        <v>160000000</v>
      </c>
      <c r="AI610" s="165"/>
      <c r="AJ610" s="86" t="s">
        <v>2533</v>
      </c>
      <c r="AK610" s="1"/>
      <c r="AL610" s="1"/>
      <c r="AM610" s="1"/>
    </row>
    <row r="611" spans="1:39" ht="12.75" customHeight="1">
      <c r="A611" s="63">
        <v>160</v>
      </c>
      <c r="B611" s="174" t="s">
        <v>27</v>
      </c>
      <c r="C611" s="49" t="s">
        <v>2296</v>
      </c>
      <c r="D611" s="175" t="s">
        <v>2459</v>
      </c>
      <c r="E611" s="176"/>
      <c r="F611" s="176"/>
      <c r="G611" s="176"/>
      <c r="H611" s="177"/>
      <c r="I611" s="176"/>
      <c r="J611" s="176"/>
      <c r="K611" s="176"/>
      <c r="L611" s="177"/>
      <c r="M611" s="176"/>
      <c r="N611" s="176"/>
      <c r="O611" s="177"/>
      <c r="P611" s="181"/>
      <c r="Q611" s="181"/>
      <c r="R611" s="181"/>
      <c r="S611" s="175"/>
      <c r="T611" s="175"/>
      <c r="U611" s="190"/>
      <c r="V611" s="181"/>
      <c r="W611" s="190"/>
      <c r="X611" s="181"/>
      <c r="Y611" s="194"/>
      <c r="Z611" s="195"/>
      <c r="AA611" s="194"/>
      <c r="AB611" s="194"/>
      <c r="AC611" s="194"/>
      <c r="AD611" s="194"/>
      <c r="AE611" s="57"/>
      <c r="AF611" s="203"/>
      <c r="AG611" s="203">
        <v>7450000</v>
      </c>
      <c r="AH611" s="165"/>
      <c r="AI611" s="165"/>
      <c r="AJ611" s="86" t="s">
        <v>2210</v>
      </c>
      <c r="AK611" s="1"/>
      <c r="AL611" s="1"/>
      <c r="AM611" s="1"/>
    </row>
    <row r="612" spans="1:39" ht="12.75" customHeight="1">
      <c r="A612" s="63">
        <v>161</v>
      </c>
      <c r="B612" s="171" t="s">
        <v>27</v>
      </c>
      <c r="C612" s="21" t="s">
        <v>2534</v>
      </c>
      <c r="D612" s="135" t="s">
        <v>2535</v>
      </c>
      <c r="E612" s="206"/>
      <c r="F612" s="206"/>
      <c r="G612" s="206"/>
      <c r="H612" s="207"/>
      <c r="I612" s="206"/>
      <c r="J612" s="206"/>
      <c r="K612" s="206"/>
      <c r="L612" s="207"/>
      <c r="M612" s="206"/>
      <c r="N612" s="206"/>
      <c r="O612" s="207"/>
      <c r="P612" s="187"/>
      <c r="Q612" s="187"/>
      <c r="R612" s="187"/>
      <c r="S612" s="17"/>
      <c r="T612" s="17"/>
      <c r="U612" s="117"/>
      <c r="V612" s="187"/>
      <c r="W612" s="117"/>
      <c r="X612" s="187"/>
      <c r="Y612" s="79"/>
      <c r="Z612" s="193"/>
      <c r="AA612" s="79"/>
      <c r="AB612" s="79"/>
      <c r="AC612" s="79"/>
      <c r="AD612" s="79"/>
      <c r="AE612" s="165"/>
      <c r="AF612" s="165"/>
      <c r="AG612" s="165"/>
      <c r="AH612" s="165"/>
      <c r="AI612" s="165">
        <v>93000000</v>
      </c>
      <c r="AJ612" s="86" t="s">
        <v>2210</v>
      </c>
      <c r="AK612" s="1"/>
      <c r="AL612" s="1"/>
      <c r="AM612" s="1"/>
    </row>
    <row r="613" spans="1:39" ht="12.75" customHeight="1">
      <c r="A613" s="63">
        <v>1</v>
      </c>
      <c r="B613" s="63" t="s">
        <v>27</v>
      </c>
      <c r="C613" s="41" t="s">
        <v>2536</v>
      </c>
      <c r="D613" s="18" t="s">
        <v>2537</v>
      </c>
      <c r="E613" s="211"/>
      <c r="F613" s="211"/>
      <c r="G613" s="211"/>
      <c r="H613" s="212"/>
      <c r="I613" s="211"/>
      <c r="J613" s="211"/>
      <c r="K613" s="211"/>
      <c r="L613" s="212"/>
      <c r="M613" s="18"/>
      <c r="N613" s="18"/>
      <c r="O613" s="18"/>
      <c r="P613" s="18"/>
      <c r="Q613" s="18"/>
      <c r="R613" s="18"/>
      <c r="S613" s="18"/>
      <c r="T613" s="18"/>
      <c r="U613" s="43"/>
      <c r="V613" s="43"/>
      <c r="W613" s="43"/>
      <c r="X613" s="219"/>
      <c r="Y613" s="43"/>
      <c r="Z613" s="70">
        <v>180000000</v>
      </c>
      <c r="AA613" s="42"/>
      <c r="AB613" s="42"/>
      <c r="AC613" s="229"/>
      <c r="AD613" s="199"/>
      <c r="AE613" s="73"/>
      <c r="AF613" s="73"/>
      <c r="AG613" s="46"/>
      <c r="AH613" s="46"/>
      <c r="AI613" s="46"/>
      <c r="AJ613" s="54" t="s">
        <v>2538</v>
      </c>
      <c r="AK613" s="1"/>
      <c r="AL613" s="1"/>
      <c r="AM613" s="1"/>
    </row>
    <row r="614" spans="1:39" ht="12.75" hidden="1" customHeight="1">
      <c r="A614" s="63">
        <v>2</v>
      </c>
      <c r="B614" s="63" t="s">
        <v>40</v>
      </c>
      <c r="C614" s="21" t="s">
        <v>2539</v>
      </c>
      <c r="D614" s="21" t="s">
        <v>2540</v>
      </c>
      <c r="E614" s="211"/>
      <c r="F614" s="211"/>
      <c r="G614" s="211"/>
      <c r="H614" s="212"/>
      <c r="I614" s="211"/>
      <c r="J614" s="211"/>
      <c r="K614" s="211"/>
      <c r="L614" s="212"/>
      <c r="M614" s="21"/>
      <c r="N614" s="21"/>
      <c r="O614" s="21"/>
      <c r="P614" s="18"/>
      <c r="Q614" s="18"/>
      <c r="R614" s="18"/>
      <c r="S614" s="18"/>
      <c r="T614" s="18"/>
      <c r="U614" s="70"/>
      <c r="V614" s="70"/>
      <c r="W614" s="1"/>
      <c r="X614" s="70"/>
      <c r="Y614" s="70"/>
      <c r="Z614" s="70"/>
      <c r="AA614" s="70"/>
      <c r="AB614" s="70">
        <v>62155100</v>
      </c>
      <c r="AC614" s="199"/>
      <c r="AD614" s="199"/>
      <c r="AE614" s="70"/>
      <c r="AF614" s="70"/>
      <c r="AG614" s="42"/>
      <c r="AH614" s="42"/>
      <c r="AI614" s="42"/>
      <c r="AJ614" s="54" t="s">
        <v>1556</v>
      </c>
      <c r="AK614" s="1"/>
      <c r="AL614" s="1"/>
      <c r="AM614" s="1"/>
    </row>
    <row r="615" spans="1:39" ht="12.75" hidden="1" customHeight="1">
      <c r="A615" s="63">
        <v>3</v>
      </c>
      <c r="B615" s="63" t="s">
        <v>40</v>
      </c>
      <c r="C615" s="21" t="s">
        <v>2541</v>
      </c>
      <c r="D615" s="21" t="s">
        <v>2542</v>
      </c>
      <c r="E615" s="211"/>
      <c r="F615" s="211"/>
      <c r="G615" s="211"/>
      <c r="H615" s="212"/>
      <c r="I615" s="211"/>
      <c r="J615" s="211"/>
      <c r="K615" s="211"/>
      <c r="L615" s="212"/>
      <c r="M615" s="21"/>
      <c r="N615" s="21"/>
      <c r="O615" s="21"/>
      <c r="P615" s="216"/>
      <c r="Q615" s="220"/>
      <c r="R615" s="197"/>
      <c r="S615" s="18"/>
      <c r="T615" s="18"/>
      <c r="U615" s="70"/>
      <c r="V615" s="70"/>
      <c r="W615" s="70"/>
      <c r="X615" s="70"/>
      <c r="Y615" s="70"/>
      <c r="Z615" s="66"/>
      <c r="AA615" s="230"/>
      <c r="AB615" s="229">
        <v>276805800</v>
      </c>
      <c r="AC615" s="199"/>
      <c r="AD615" s="199"/>
      <c r="AE615" s="70"/>
      <c r="AF615" s="70"/>
      <c r="AG615" s="42"/>
      <c r="AH615" s="42"/>
      <c r="AI615" s="42"/>
      <c r="AJ615" s="54" t="s">
        <v>2543</v>
      </c>
      <c r="AK615" s="1"/>
      <c r="AL615" s="1"/>
      <c r="AM615" s="1"/>
    </row>
    <row r="616" spans="1:39" ht="12.75" hidden="1" customHeight="1">
      <c r="A616" s="63">
        <v>4</v>
      </c>
      <c r="B616" s="63" t="s">
        <v>1517</v>
      </c>
      <c r="C616" s="21" t="s">
        <v>2544</v>
      </c>
      <c r="D616" s="21" t="s">
        <v>2545</v>
      </c>
      <c r="E616" s="211"/>
      <c r="F616" s="211"/>
      <c r="G616" s="211"/>
      <c r="H616" s="212"/>
      <c r="I616" s="211"/>
      <c r="J616" s="211"/>
      <c r="K616" s="211"/>
      <c r="L616" s="212"/>
      <c r="M616" s="21"/>
      <c r="N616" s="21"/>
      <c r="O616" s="21"/>
      <c r="P616" s="18"/>
      <c r="Q616" s="27"/>
      <c r="R616" s="18"/>
      <c r="S616" s="18"/>
      <c r="T616" s="18"/>
      <c r="U616" s="70">
        <v>8316000</v>
      </c>
      <c r="V616" s="70"/>
      <c r="W616" s="70"/>
      <c r="X616" s="70"/>
      <c r="Y616" s="70"/>
      <c r="Z616" s="70"/>
      <c r="AA616" s="70"/>
      <c r="AB616" s="70"/>
      <c r="AC616" s="199"/>
      <c r="AD616" s="199"/>
      <c r="AE616" s="70"/>
      <c r="AF616" s="70"/>
      <c r="AG616" s="42"/>
      <c r="AH616" s="42"/>
      <c r="AI616" s="42"/>
      <c r="AJ616" s="54" t="s">
        <v>1556</v>
      </c>
      <c r="AK616" s="1"/>
      <c r="AL616" s="1"/>
      <c r="AM616" s="1"/>
    </row>
    <row r="617" spans="1:39" ht="12.75" customHeight="1">
      <c r="A617" s="63">
        <v>5</v>
      </c>
      <c r="B617" s="63" t="s">
        <v>27</v>
      </c>
      <c r="C617" s="21" t="s">
        <v>2546</v>
      </c>
      <c r="D617" s="21" t="s">
        <v>2547</v>
      </c>
      <c r="E617" s="211"/>
      <c r="F617" s="211"/>
      <c r="G617" s="211"/>
      <c r="H617" s="212"/>
      <c r="I617" s="211"/>
      <c r="J617" s="211"/>
      <c r="K617" s="211"/>
      <c r="L617" s="212"/>
      <c r="M617" s="21"/>
      <c r="N617" s="21"/>
      <c r="O617" s="21"/>
      <c r="P617" s="18"/>
      <c r="Q617" s="18"/>
      <c r="R617" s="18"/>
      <c r="S617" s="18"/>
      <c r="T617" s="18"/>
      <c r="U617" s="70"/>
      <c r="V617" s="70"/>
      <c r="W617" s="70"/>
      <c r="X617" s="70"/>
      <c r="Y617" s="70">
        <v>50000000</v>
      </c>
      <c r="Z617" s="70"/>
      <c r="AA617" s="70"/>
      <c r="AB617" s="70"/>
      <c r="AC617" s="199"/>
      <c r="AD617" s="199"/>
      <c r="AE617" s="70"/>
      <c r="AF617" s="70"/>
      <c r="AG617" s="42"/>
      <c r="AH617" s="42"/>
      <c r="AI617" s="42"/>
      <c r="AJ617" s="54" t="s">
        <v>2215</v>
      </c>
      <c r="AK617" s="233"/>
      <c r="AL617" s="233"/>
      <c r="AM617" s="233"/>
    </row>
    <row r="618" spans="1:39" ht="12.75" hidden="1" customHeight="1">
      <c r="A618" s="63">
        <v>6</v>
      </c>
      <c r="B618" s="63" t="s">
        <v>40</v>
      </c>
      <c r="C618" s="21" t="s">
        <v>2548</v>
      </c>
      <c r="D618" s="21" t="s">
        <v>2549</v>
      </c>
      <c r="E618" s="211"/>
      <c r="F618" s="211"/>
      <c r="G618" s="211"/>
      <c r="H618" s="212"/>
      <c r="I618" s="211"/>
      <c r="J618" s="211"/>
      <c r="K618" s="211"/>
      <c r="L618" s="212"/>
      <c r="M618" s="21"/>
      <c r="N618" s="21"/>
      <c r="O618" s="21"/>
      <c r="P618" s="18"/>
      <c r="Q618" s="18"/>
      <c r="R618" s="18"/>
      <c r="S618" s="18"/>
      <c r="T618" s="18"/>
      <c r="U618" s="70"/>
      <c r="V618" s="70"/>
      <c r="W618" s="70"/>
      <c r="X618" s="70"/>
      <c r="Y618" s="70"/>
      <c r="Z618" s="70"/>
      <c r="AA618" s="70"/>
      <c r="AB618" s="70">
        <v>48000000</v>
      </c>
      <c r="AC618" s="199"/>
      <c r="AD618" s="199"/>
      <c r="AE618" s="70"/>
      <c r="AF618" s="70"/>
      <c r="AG618" s="42"/>
      <c r="AH618" s="42"/>
      <c r="AI618" s="42"/>
      <c r="AJ618" s="54" t="s">
        <v>1765</v>
      </c>
      <c r="AK618" s="233"/>
      <c r="AL618" s="233"/>
      <c r="AM618" s="233"/>
    </row>
    <row r="619" spans="1:39" ht="12.75" hidden="1" customHeight="1">
      <c r="A619" s="63">
        <v>7</v>
      </c>
      <c r="B619" s="63" t="s">
        <v>1517</v>
      </c>
      <c r="C619" s="21" t="s">
        <v>2550</v>
      </c>
      <c r="D619" s="21" t="s">
        <v>2551</v>
      </c>
      <c r="E619" s="211"/>
      <c r="F619" s="211"/>
      <c r="G619" s="211"/>
      <c r="H619" s="212"/>
      <c r="I619" s="211"/>
      <c r="J619" s="211"/>
      <c r="K619" s="211"/>
      <c r="L619" s="212"/>
      <c r="M619" s="21"/>
      <c r="N619" s="21"/>
      <c r="O619" s="21"/>
      <c r="P619" s="18"/>
      <c r="Q619" s="18"/>
      <c r="R619" s="18"/>
      <c r="S619" s="18"/>
      <c r="T619" s="18"/>
      <c r="U619" s="70">
        <v>204000000</v>
      </c>
      <c r="V619" s="70"/>
      <c r="W619" s="70"/>
      <c r="X619" s="70"/>
      <c r="Y619" s="70"/>
      <c r="Z619" s="70"/>
      <c r="AA619" s="70"/>
      <c r="AB619" s="70"/>
      <c r="AC619" s="199"/>
      <c r="AD619" s="199"/>
      <c r="AE619" s="70"/>
      <c r="AF619" s="70"/>
      <c r="AG619" s="42"/>
      <c r="AH619" s="42"/>
      <c r="AI619" s="42"/>
      <c r="AJ619" s="54" t="s">
        <v>1556</v>
      </c>
      <c r="AK619" s="233"/>
      <c r="AL619" s="233"/>
      <c r="AM619" s="233"/>
    </row>
    <row r="620" spans="1:39" ht="12.75" hidden="1" customHeight="1">
      <c r="A620" s="63">
        <v>8</v>
      </c>
      <c r="B620" s="63" t="s">
        <v>1517</v>
      </c>
      <c r="C620" s="21" t="s">
        <v>2552</v>
      </c>
      <c r="D620" s="21" t="s">
        <v>2553</v>
      </c>
      <c r="E620" s="211"/>
      <c r="F620" s="211"/>
      <c r="G620" s="211"/>
      <c r="H620" s="212"/>
      <c r="I620" s="211"/>
      <c r="J620" s="211"/>
      <c r="K620" s="211"/>
      <c r="L620" s="212"/>
      <c r="M620" s="21"/>
      <c r="N620" s="21"/>
      <c r="O620" s="21"/>
      <c r="P620" s="216"/>
      <c r="Q620" s="220"/>
      <c r="R620" s="197"/>
      <c r="S620" s="18"/>
      <c r="T620" s="18"/>
      <c r="U620" s="70"/>
      <c r="V620" s="70"/>
      <c r="W620" s="70"/>
      <c r="X620" s="70">
        <v>50000000</v>
      </c>
      <c r="Y620" s="70"/>
      <c r="Z620" s="70"/>
      <c r="AA620" s="70"/>
      <c r="AB620" s="70"/>
      <c r="AC620" s="199"/>
      <c r="AD620" s="199"/>
      <c r="AE620" s="70"/>
      <c r="AF620" s="70"/>
      <c r="AG620" s="42"/>
      <c r="AH620" s="42"/>
      <c r="AI620" s="42"/>
      <c r="AJ620" s="234" t="s">
        <v>1556</v>
      </c>
      <c r="AK620" s="1"/>
      <c r="AL620" s="1"/>
      <c r="AM620" s="1"/>
    </row>
    <row r="621" spans="1:39" ht="12.75" hidden="1" customHeight="1">
      <c r="A621" s="63">
        <v>9</v>
      </c>
      <c r="B621" s="63" t="s">
        <v>40</v>
      </c>
      <c r="C621" s="21" t="s">
        <v>2554</v>
      </c>
      <c r="D621" s="21" t="s">
        <v>2555</v>
      </c>
      <c r="E621" s="211"/>
      <c r="F621" s="211"/>
      <c r="G621" s="211"/>
      <c r="H621" s="212"/>
      <c r="I621" s="211"/>
      <c r="J621" s="211"/>
      <c r="K621" s="211"/>
      <c r="L621" s="212"/>
      <c r="M621" s="21"/>
      <c r="N621" s="21"/>
      <c r="O621" s="21"/>
      <c r="P621" s="18"/>
      <c r="Q621" s="27"/>
      <c r="R621" s="18"/>
      <c r="S621" s="18"/>
      <c r="T621" s="18"/>
      <c r="U621" s="70"/>
      <c r="V621" s="70"/>
      <c r="W621" s="70"/>
      <c r="X621" s="70"/>
      <c r="Y621" s="70"/>
      <c r="Z621" s="70"/>
      <c r="AA621" s="70">
        <v>75000000</v>
      </c>
      <c r="AB621" s="70"/>
      <c r="AC621" s="199"/>
      <c r="AD621" s="199"/>
      <c r="AE621" s="70"/>
      <c r="AF621" s="70"/>
      <c r="AG621" s="42"/>
      <c r="AH621" s="42"/>
      <c r="AI621" s="42"/>
      <c r="AJ621" s="54" t="s">
        <v>1556</v>
      </c>
      <c r="AK621" s="1"/>
      <c r="AL621" s="1"/>
      <c r="AM621" s="1"/>
    </row>
    <row r="622" spans="1:39" ht="12.75" hidden="1" customHeight="1">
      <c r="A622" s="63">
        <v>10</v>
      </c>
      <c r="B622" s="63" t="s">
        <v>1517</v>
      </c>
      <c r="C622" s="21" t="s">
        <v>2556</v>
      </c>
      <c r="D622" s="21" t="s">
        <v>2557</v>
      </c>
      <c r="E622" s="211"/>
      <c r="F622" s="211"/>
      <c r="G622" s="211"/>
      <c r="H622" s="212"/>
      <c r="I622" s="211"/>
      <c r="J622" s="211"/>
      <c r="K622" s="211"/>
      <c r="L622" s="212"/>
      <c r="M622" s="21"/>
      <c r="N622" s="21"/>
      <c r="O622" s="21"/>
      <c r="P622" s="18"/>
      <c r="Q622" s="18"/>
      <c r="R622" s="18"/>
      <c r="S622" s="18"/>
      <c r="T622" s="18"/>
      <c r="U622" s="70">
        <v>56700000</v>
      </c>
      <c r="V622" s="70"/>
      <c r="W622" s="70"/>
      <c r="X622" s="70"/>
      <c r="Y622" s="70"/>
      <c r="Z622" s="70"/>
      <c r="AA622" s="70"/>
      <c r="AB622" s="70"/>
      <c r="AC622" s="199"/>
      <c r="AD622" s="199"/>
      <c r="AE622" s="70"/>
      <c r="AF622" s="70"/>
      <c r="AG622" s="42"/>
      <c r="AH622" s="42"/>
      <c r="AI622" s="42"/>
      <c r="AJ622" s="54" t="s">
        <v>1556</v>
      </c>
      <c r="AK622" s="233"/>
      <c r="AL622" s="233"/>
      <c r="AM622" s="233"/>
    </row>
    <row r="623" spans="1:39" ht="12.75" hidden="1" customHeight="1">
      <c r="A623" s="63">
        <v>11</v>
      </c>
      <c r="B623" s="63" t="s">
        <v>1697</v>
      </c>
      <c r="C623" s="21" t="s">
        <v>2558</v>
      </c>
      <c r="D623" s="21" t="s">
        <v>2559</v>
      </c>
      <c r="E623" s="211"/>
      <c r="F623" s="211"/>
      <c r="G623" s="211"/>
      <c r="H623" s="212"/>
      <c r="I623" s="211"/>
      <c r="J623" s="211"/>
      <c r="K623" s="211"/>
      <c r="L623" s="212"/>
      <c r="M623" s="21"/>
      <c r="N623" s="21"/>
      <c r="O623" s="21"/>
      <c r="P623" s="18"/>
      <c r="Q623" s="18"/>
      <c r="R623" s="18"/>
      <c r="S623" s="18"/>
      <c r="T623" s="18"/>
      <c r="U623" s="70"/>
      <c r="V623" s="70"/>
      <c r="W623" s="70">
        <v>15000000</v>
      </c>
      <c r="X623" s="70"/>
      <c r="Y623" s="70"/>
      <c r="Z623" s="70"/>
      <c r="AA623" s="70"/>
      <c r="AB623" s="70"/>
      <c r="AC623" s="199"/>
      <c r="AD623" s="199"/>
      <c r="AE623" s="70"/>
      <c r="AF623" s="70"/>
      <c r="AG623" s="42"/>
      <c r="AH623" s="42"/>
      <c r="AI623" s="42"/>
      <c r="AJ623" s="54" t="s">
        <v>1556</v>
      </c>
      <c r="AK623" s="233"/>
      <c r="AL623" s="233"/>
      <c r="AM623" s="233"/>
    </row>
    <row r="624" spans="1:39" ht="12.75" hidden="1" customHeight="1">
      <c r="A624" s="63">
        <v>12</v>
      </c>
      <c r="B624" s="63" t="s">
        <v>1517</v>
      </c>
      <c r="C624" s="21" t="s">
        <v>2560</v>
      </c>
      <c r="D624" s="21" t="s">
        <v>2561</v>
      </c>
      <c r="E624" s="211"/>
      <c r="F624" s="211"/>
      <c r="G624" s="211"/>
      <c r="H624" s="212"/>
      <c r="I624" s="211"/>
      <c r="J624" s="211"/>
      <c r="K624" s="211"/>
      <c r="L624" s="212"/>
      <c r="M624" s="21"/>
      <c r="N624" s="21"/>
      <c r="O624" s="21"/>
      <c r="P624" s="18"/>
      <c r="Q624" s="18"/>
      <c r="R624" s="18"/>
      <c r="S624" s="18"/>
      <c r="T624" s="18"/>
      <c r="U624" s="70"/>
      <c r="V624" s="70">
        <v>20000000</v>
      </c>
      <c r="W624" s="70"/>
      <c r="X624" s="70"/>
      <c r="Y624" s="70"/>
      <c r="Z624" s="70"/>
      <c r="AA624" s="70"/>
      <c r="AB624" s="70"/>
      <c r="AC624" s="199"/>
      <c r="AD624" s="199"/>
      <c r="AE624" s="70"/>
      <c r="AF624" s="70"/>
      <c r="AG624" s="42"/>
      <c r="AH624" s="42"/>
      <c r="AI624" s="42"/>
      <c r="AJ624" s="54" t="s">
        <v>1556</v>
      </c>
      <c r="AK624" s="233"/>
      <c r="AL624" s="233"/>
      <c r="AM624" s="233"/>
    </row>
    <row r="625" spans="1:39" ht="12.75" hidden="1" customHeight="1">
      <c r="A625" s="63">
        <v>13</v>
      </c>
      <c r="B625" s="63" t="s">
        <v>1517</v>
      </c>
      <c r="C625" s="21" t="s">
        <v>2544</v>
      </c>
      <c r="D625" s="21" t="s">
        <v>2562</v>
      </c>
      <c r="E625" s="211"/>
      <c r="F625" s="211"/>
      <c r="G625" s="211"/>
      <c r="H625" s="212"/>
      <c r="I625" s="211"/>
      <c r="J625" s="211"/>
      <c r="K625" s="211"/>
      <c r="L625" s="212"/>
      <c r="M625" s="21"/>
      <c r="N625" s="21"/>
      <c r="O625" s="21"/>
      <c r="P625" s="18"/>
      <c r="Q625" s="18"/>
      <c r="R625" s="18"/>
      <c r="S625" s="18"/>
      <c r="T625" s="18"/>
      <c r="U625" s="70">
        <v>48000000</v>
      </c>
      <c r="V625" s="70"/>
      <c r="W625" s="70"/>
      <c r="X625" s="70"/>
      <c r="Y625" s="70"/>
      <c r="Z625" s="70"/>
      <c r="AA625" s="70"/>
      <c r="AB625" s="70"/>
      <c r="AC625" s="199"/>
      <c r="AD625" s="199"/>
      <c r="AE625" s="70"/>
      <c r="AF625" s="70"/>
      <c r="AG625" s="42"/>
      <c r="AH625" s="42"/>
      <c r="AI625" s="42"/>
      <c r="AJ625" s="54" t="s">
        <v>1556</v>
      </c>
      <c r="AK625" s="1"/>
      <c r="AL625" s="1"/>
      <c r="AM625" s="1"/>
    </row>
    <row r="626" spans="1:39" ht="12.75" hidden="1" customHeight="1">
      <c r="A626" s="63">
        <v>14</v>
      </c>
      <c r="B626" s="63" t="s">
        <v>1517</v>
      </c>
      <c r="C626" s="21" t="s">
        <v>2554</v>
      </c>
      <c r="D626" s="21" t="s">
        <v>2563</v>
      </c>
      <c r="E626" s="211"/>
      <c r="F626" s="211"/>
      <c r="G626" s="211"/>
      <c r="H626" s="212"/>
      <c r="I626" s="211"/>
      <c r="J626" s="211"/>
      <c r="K626" s="211"/>
      <c r="L626" s="212"/>
      <c r="M626" s="21"/>
      <c r="N626" s="21"/>
      <c r="O626" s="21"/>
      <c r="P626" s="18"/>
      <c r="Q626" s="18"/>
      <c r="R626" s="18"/>
      <c r="S626" s="18"/>
      <c r="T626" s="18"/>
      <c r="U626" s="70">
        <v>46746000</v>
      </c>
      <c r="V626" s="70"/>
      <c r="W626" s="70"/>
      <c r="X626" s="70"/>
      <c r="Y626" s="70"/>
      <c r="Z626" s="70"/>
      <c r="AA626" s="70"/>
      <c r="AB626" s="70"/>
      <c r="AC626" s="199"/>
      <c r="AD626" s="199"/>
      <c r="AE626" s="70"/>
      <c r="AF626" s="70"/>
      <c r="AG626" s="42"/>
      <c r="AH626" s="42"/>
      <c r="AI626" s="42"/>
      <c r="AJ626" s="54" t="s">
        <v>1556</v>
      </c>
      <c r="AK626" s="1"/>
      <c r="AL626" s="1"/>
      <c r="AM626" s="1"/>
    </row>
    <row r="627" spans="1:39" ht="12.75" hidden="1" customHeight="1">
      <c r="A627" s="63">
        <v>15</v>
      </c>
      <c r="B627" s="63" t="s">
        <v>1517</v>
      </c>
      <c r="C627" s="21" t="s">
        <v>2544</v>
      </c>
      <c r="D627" s="21" t="s">
        <v>2564</v>
      </c>
      <c r="E627" s="211"/>
      <c r="F627" s="211"/>
      <c r="G627" s="211"/>
      <c r="H627" s="212"/>
      <c r="I627" s="211"/>
      <c r="J627" s="211"/>
      <c r="K627" s="211"/>
      <c r="L627" s="212"/>
      <c r="M627" s="21"/>
      <c r="N627" s="21"/>
      <c r="O627" s="21"/>
      <c r="P627" s="216"/>
      <c r="Q627" s="220"/>
      <c r="R627" s="197"/>
      <c r="S627" s="18"/>
      <c r="T627" s="18"/>
      <c r="U627" s="70">
        <v>14580000</v>
      </c>
      <c r="V627" s="70"/>
      <c r="W627" s="70"/>
      <c r="X627" s="70"/>
      <c r="Y627" s="70"/>
      <c r="Z627" s="70"/>
      <c r="AA627" s="70"/>
      <c r="AB627" s="70"/>
      <c r="AC627" s="199"/>
      <c r="AD627" s="199"/>
      <c r="AE627" s="70"/>
      <c r="AF627" s="70"/>
      <c r="AG627" s="42"/>
      <c r="AH627" s="42"/>
      <c r="AI627" s="42"/>
      <c r="AJ627" s="54" t="s">
        <v>1556</v>
      </c>
      <c r="AK627" s="1"/>
      <c r="AL627" s="1"/>
      <c r="AM627" s="1"/>
    </row>
    <row r="628" spans="1:39" ht="12.75" hidden="1" customHeight="1">
      <c r="A628" s="63">
        <v>16</v>
      </c>
      <c r="B628" s="63" t="s">
        <v>1517</v>
      </c>
      <c r="C628" s="21" t="s">
        <v>2565</v>
      </c>
      <c r="D628" s="21" t="s">
        <v>2566</v>
      </c>
      <c r="E628" s="211"/>
      <c r="F628" s="211"/>
      <c r="G628" s="211"/>
      <c r="H628" s="212"/>
      <c r="I628" s="211"/>
      <c r="J628" s="211"/>
      <c r="K628" s="211"/>
      <c r="L628" s="212"/>
      <c r="M628" s="21"/>
      <c r="N628" s="21"/>
      <c r="O628" s="21"/>
      <c r="P628" s="18"/>
      <c r="Q628" s="27"/>
      <c r="R628" s="18"/>
      <c r="S628" s="18"/>
      <c r="T628" s="18"/>
      <c r="U628" s="70">
        <v>12500000</v>
      </c>
      <c r="V628" s="70"/>
      <c r="W628" s="70"/>
      <c r="X628" s="70"/>
      <c r="Y628" s="70"/>
      <c r="Z628" s="70"/>
      <c r="AA628" s="70"/>
      <c r="AB628" s="70"/>
      <c r="AC628" s="199"/>
      <c r="AD628" s="199"/>
      <c r="AE628" s="70"/>
      <c r="AF628" s="70"/>
      <c r="AG628" s="42"/>
      <c r="AH628" s="42"/>
      <c r="AI628" s="42"/>
      <c r="AJ628" s="54" t="s">
        <v>1556</v>
      </c>
      <c r="AK628" s="1"/>
      <c r="AL628" s="1"/>
      <c r="AM628" s="1"/>
    </row>
    <row r="629" spans="1:39" ht="12.75" hidden="1" customHeight="1">
      <c r="A629" s="63">
        <v>17</v>
      </c>
      <c r="B629" s="63" t="s">
        <v>1517</v>
      </c>
      <c r="C629" s="21" t="s">
        <v>2567</v>
      </c>
      <c r="D629" s="21" t="s">
        <v>2568</v>
      </c>
      <c r="E629" s="211"/>
      <c r="F629" s="211"/>
      <c r="G629" s="211"/>
      <c r="H629" s="212"/>
      <c r="I629" s="211"/>
      <c r="J629" s="211"/>
      <c r="K629" s="211"/>
      <c r="L629" s="212"/>
      <c r="M629" s="21"/>
      <c r="N629" s="21"/>
      <c r="O629" s="21"/>
      <c r="P629" s="18"/>
      <c r="Q629" s="18"/>
      <c r="R629" s="18"/>
      <c r="S629" s="18"/>
      <c r="T629" s="18"/>
      <c r="U629" s="70">
        <v>4335800</v>
      </c>
      <c r="V629" s="70"/>
      <c r="W629" s="70"/>
      <c r="X629" s="70"/>
      <c r="Y629" s="70"/>
      <c r="Z629" s="70"/>
      <c r="AA629" s="70"/>
      <c r="AB629" s="70"/>
      <c r="AC629" s="199"/>
      <c r="AD629" s="199"/>
      <c r="AE629" s="70"/>
      <c r="AF629" s="70"/>
      <c r="AG629" s="42"/>
      <c r="AH629" s="42"/>
      <c r="AI629" s="42"/>
      <c r="AJ629" s="54" t="s">
        <v>1556</v>
      </c>
      <c r="AK629" s="233"/>
      <c r="AL629" s="233"/>
      <c r="AM629" s="233"/>
    </row>
    <row r="630" spans="1:39" ht="12.75" hidden="1" customHeight="1">
      <c r="A630" s="63">
        <v>18</v>
      </c>
      <c r="B630" s="63" t="s">
        <v>1517</v>
      </c>
      <c r="C630" s="21" t="s">
        <v>2569</v>
      </c>
      <c r="D630" s="21" t="s">
        <v>2570</v>
      </c>
      <c r="E630" s="211"/>
      <c r="F630" s="211"/>
      <c r="G630" s="211"/>
      <c r="H630" s="212"/>
      <c r="I630" s="211"/>
      <c r="J630" s="211"/>
      <c r="K630" s="211"/>
      <c r="L630" s="212"/>
      <c r="M630" s="21"/>
      <c r="N630" s="21"/>
      <c r="O630" s="21"/>
      <c r="P630" s="18"/>
      <c r="Q630" s="18"/>
      <c r="R630" s="18"/>
      <c r="S630" s="18"/>
      <c r="T630" s="18"/>
      <c r="U630" s="70"/>
      <c r="V630" s="70"/>
      <c r="W630" s="70">
        <v>51250000</v>
      </c>
      <c r="X630" s="70"/>
      <c r="Y630" s="70"/>
      <c r="Z630" s="70"/>
      <c r="AA630" s="70"/>
      <c r="AB630" s="70"/>
      <c r="AC630" s="199"/>
      <c r="AD630" s="199"/>
      <c r="AE630" s="70"/>
      <c r="AF630" s="70"/>
      <c r="AG630" s="42"/>
      <c r="AH630" s="42"/>
      <c r="AI630" s="42"/>
      <c r="AJ630" s="54" t="s">
        <v>1556</v>
      </c>
      <c r="AK630" s="233"/>
      <c r="AL630" s="233"/>
      <c r="AM630" s="233"/>
    </row>
    <row r="631" spans="1:39" ht="12.75" hidden="1" customHeight="1">
      <c r="A631" s="63">
        <v>19</v>
      </c>
      <c r="B631" s="63" t="s">
        <v>1697</v>
      </c>
      <c r="C631" s="21" t="s">
        <v>2571</v>
      </c>
      <c r="D631" s="21" t="s">
        <v>2572</v>
      </c>
      <c r="E631" s="211"/>
      <c r="F631" s="211"/>
      <c r="G631" s="211"/>
      <c r="H631" s="212"/>
      <c r="I631" s="211"/>
      <c r="J631" s="211"/>
      <c r="K631" s="211"/>
      <c r="L631" s="212"/>
      <c r="M631" s="21"/>
      <c r="N631" s="21"/>
      <c r="O631" s="21"/>
      <c r="P631" s="18"/>
      <c r="Q631" s="18"/>
      <c r="R631" s="18"/>
      <c r="S631" s="18"/>
      <c r="T631" s="18"/>
      <c r="U631" s="70"/>
      <c r="V631" s="70"/>
      <c r="W631" s="70"/>
      <c r="X631" s="70">
        <v>50000000</v>
      </c>
      <c r="Y631" s="70"/>
      <c r="Z631" s="70"/>
      <c r="AA631" s="70"/>
      <c r="AB631" s="70"/>
      <c r="AC631" s="199"/>
      <c r="AD631" s="199"/>
      <c r="AE631" s="70"/>
      <c r="AF631" s="70"/>
      <c r="AG631" s="42"/>
      <c r="AH631" s="42"/>
      <c r="AI631" s="42"/>
      <c r="AJ631" s="54" t="s">
        <v>1556</v>
      </c>
      <c r="AK631" s="233"/>
      <c r="AL631" s="233"/>
      <c r="AM631" s="233"/>
    </row>
    <row r="632" spans="1:39" ht="12.75" customHeight="1">
      <c r="A632" s="63">
        <v>20</v>
      </c>
      <c r="B632" s="63" t="s">
        <v>27</v>
      </c>
      <c r="C632" s="21" t="s">
        <v>2573</v>
      </c>
      <c r="D632" s="21" t="s">
        <v>2574</v>
      </c>
      <c r="E632" s="211"/>
      <c r="F632" s="211"/>
      <c r="G632" s="211"/>
      <c r="H632" s="212"/>
      <c r="I632" s="211"/>
      <c r="J632" s="211"/>
      <c r="K632" s="211"/>
      <c r="L632" s="212"/>
      <c r="M632" s="21"/>
      <c r="N632" s="21"/>
      <c r="O632" s="21"/>
      <c r="P632" s="216"/>
      <c r="Q632" s="220"/>
      <c r="R632" s="197"/>
      <c r="S632" s="18"/>
      <c r="T632" s="18"/>
      <c r="U632" s="70"/>
      <c r="V632" s="70"/>
      <c r="W632" s="70"/>
      <c r="X632" s="70"/>
      <c r="Y632" s="70"/>
      <c r="Z632" s="70"/>
      <c r="AA632" s="70"/>
      <c r="AB632" s="70"/>
      <c r="AC632" s="199">
        <v>318000000</v>
      </c>
      <c r="AD632" s="199"/>
      <c r="AE632" s="70"/>
      <c r="AF632" s="70"/>
      <c r="AG632" s="42"/>
      <c r="AH632" s="42"/>
      <c r="AI632" s="42"/>
      <c r="AJ632" s="54" t="s">
        <v>2575</v>
      </c>
      <c r="AK632" s="1"/>
      <c r="AL632" s="1"/>
      <c r="AM632" s="1"/>
    </row>
    <row r="633" spans="1:39" ht="12.75" hidden="1" customHeight="1">
      <c r="A633" s="63">
        <v>21</v>
      </c>
      <c r="B633" s="63" t="s">
        <v>1517</v>
      </c>
      <c r="C633" s="21" t="s">
        <v>2576</v>
      </c>
      <c r="D633" s="21" t="s">
        <v>2577</v>
      </c>
      <c r="E633" s="211"/>
      <c r="F633" s="211"/>
      <c r="G633" s="211"/>
      <c r="H633" s="212"/>
      <c r="I633" s="211"/>
      <c r="J633" s="211"/>
      <c r="K633" s="211"/>
      <c r="L633" s="212"/>
      <c r="M633" s="21"/>
      <c r="N633" s="21"/>
      <c r="O633" s="21"/>
      <c r="P633" s="18"/>
      <c r="Q633" s="27"/>
      <c r="R633" s="18"/>
      <c r="S633" s="18"/>
      <c r="T633" s="18"/>
      <c r="U633" s="70"/>
      <c r="V633" s="70">
        <v>61000000</v>
      </c>
      <c r="W633" s="70"/>
      <c r="X633" s="221"/>
      <c r="Y633" s="221"/>
      <c r="Z633" s="70"/>
      <c r="AA633" s="221"/>
      <c r="AB633" s="221"/>
      <c r="AC633" s="223"/>
      <c r="AD633" s="199"/>
      <c r="AE633" s="70"/>
      <c r="AF633" s="70"/>
      <c r="AG633" s="50"/>
      <c r="AH633" s="50"/>
      <c r="AI633" s="50"/>
      <c r="AJ633" s="59" t="s">
        <v>1556</v>
      </c>
      <c r="AK633" s="1"/>
      <c r="AL633" s="1"/>
      <c r="AM633" s="1"/>
    </row>
    <row r="634" spans="1:39" ht="12.75" customHeight="1">
      <c r="A634" s="63">
        <v>22</v>
      </c>
      <c r="B634" s="63" t="s">
        <v>27</v>
      </c>
      <c r="C634" s="21" t="s">
        <v>2544</v>
      </c>
      <c r="D634" s="21" t="s">
        <v>2578</v>
      </c>
      <c r="E634" s="213"/>
      <c r="F634" s="213"/>
      <c r="G634" s="213"/>
      <c r="H634" s="214"/>
      <c r="I634" s="213"/>
      <c r="J634" s="213"/>
      <c r="K634" s="213"/>
      <c r="L634" s="214"/>
      <c r="M634" s="49"/>
      <c r="N634" s="49"/>
      <c r="O634" s="49"/>
      <c r="P634" s="217"/>
      <c r="Q634" s="222"/>
      <c r="R634" s="217"/>
      <c r="S634" s="217"/>
      <c r="T634" s="217"/>
      <c r="U634" s="221"/>
      <c r="V634" s="221"/>
      <c r="W634" s="221"/>
      <c r="X634" s="50"/>
      <c r="Y634" s="231"/>
      <c r="Z634" s="221"/>
      <c r="AA634" s="223">
        <v>16650000</v>
      </c>
      <c r="AB634" s="223"/>
      <c r="AC634" s="223"/>
      <c r="AD634" s="199"/>
      <c r="AE634" s="70"/>
      <c r="AF634" s="70"/>
      <c r="AG634" s="42"/>
      <c r="AH634" s="42"/>
      <c r="AI634" s="42"/>
      <c r="AJ634" s="54" t="s">
        <v>2579</v>
      </c>
      <c r="AK634" s="1"/>
      <c r="AL634" s="1"/>
      <c r="AM634" s="1"/>
    </row>
    <row r="635" spans="1:39" ht="12.75" hidden="1" customHeight="1">
      <c r="A635" s="63">
        <v>23</v>
      </c>
      <c r="B635" s="63" t="s">
        <v>1517</v>
      </c>
      <c r="C635" s="21" t="s">
        <v>2580</v>
      </c>
      <c r="D635" s="21" t="s">
        <v>2581</v>
      </c>
      <c r="E635" s="213"/>
      <c r="F635" s="213"/>
      <c r="G635" s="213"/>
      <c r="H635" s="214"/>
      <c r="I635" s="213"/>
      <c r="J635" s="213"/>
      <c r="K635" s="213"/>
      <c r="L635" s="214"/>
      <c r="M635" s="49"/>
      <c r="N635" s="49"/>
      <c r="O635" s="49"/>
      <c r="P635" s="217"/>
      <c r="Q635" s="222"/>
      <c r="R635" s="217"/>
      <c r="S635" s="217"/>
      <c r="T635" s="217"/>
      <c r="U635" s="221"/>
      <c r="V635" s="221">
        <v>35000000</v>
      </c>
      <c r="W635" s="221"/>
      <c r="X635" s="50"/>
      <c r="Y635" s="231"/>
      <c r="Z635" s="221"/>
      <c r="AA635" s="221"/>
      <c r="AB635" s="223"/>
      <c r="AC635" s="223"/>
      <c r="AD635" s="199"/>
      <c r="AE635" s="70"/>
      <c r="AF635" s="70"/>
      <c r="AG635" s="42"/>
      <c r="AH635" s="42"/>
      <c r="AI635" s="42"/>
      <c r="AJ635" s="54" t="s">
        <v>1556</v>
      </c>
      <c r="AK635" s="1"/>
      <c r="AL635" s="1"/>
      <c r="AM635" s="1"/>
    </row>
    <row r="636" spans="1:39" ht="12.75" hidden="1" customHeight="1">
      <c r="A636" s="63">
        <v>24</v>
      </c>
      <c r="B636" s="63" t="s">
        <v>1697</v>
      </c>
      <c r="C636" s="21" t="s">
        <v>2544</v>
      </c>
      <c r="D636" s="21" t="s">
        <v>2582</v>
      </c>
      <c r="E636" s="213"/>
      <c r="F636" s="213"/>
      <c r="G636" s="213"/>
      <c r="H636" s="214"/>
      <c r="I636" s="213"/>
      <c r="J636" s="213"/>
      <c r="K636" s="213"/>
      <c r="L636" s="214"/>
      <c r="M636" s="49"/>
      <c r="N636" s="49"/>
      <c r="O636" s="49"/>
      <c r="P636" s="217"/>
      <c r="Q636" s="222"/>
      <c r="R636" s="217"/>
      <c r="S636" s="217"/>
      <c r="T636" s="217"/>
      <c r="U636" s="221"/>
      <c r="V636" s="221">
        <v>4570000</v>
      </c>
      <c r="W636" s="221"/>
      <c r="X636" s="50"/>
      <c r="Y636" s="231"/>
      <c r="Z636" s="221"/>
      <c r="AA636" s="221"/>
      <c r="AB636" s="223"/>
      <c r="AC636" s="223"/>
      <c r="AD636" s="199"/>
      <c r="AE636" s="70"/>
      <c r="AF636" s="70"/>
      <c r="AG636" s="42"/>
      <c r="AH636" s="42"/>
      <c r="AI636" s="42"/>
      <c r="AJ636" s="54" t="s">
        <v>1556</v>
      </c>
      <c r="AK636" s="1"/>
      <c r="AL636" s="1"/>
      <c r="AM636" s="1"/>
    </row>
    <row r="637" spans="1:39" ht="12.75" hidden="1" customHeight="1">
      <c r="A637" s="63">
        <v>25</v>
      </c>
      <c r="B637" s="63" t="s">
        <v>1697</v>
      </c>
      <c r="C637" s="21" t="s">
        <v>2560</v>
      </c>
      <c r="D637" s="21" t="s">
        <v>2583</v>
      </c>
      <c r="E637" s="213"/>
      <c r="F637" s="213"/>
      <c r="G637" s="213"/>
      <c r="H637" s="214"/>
      <c r="I637" s="213"/>
      <c r="J637" s="213"/>
      <c r="K637" s="213"/>
      <c r="L637" s="214"/>
      <c r="M637" s="49"/>
      <c r="N637" s="49"/>
      <c r="O637" s="49"/>
      <c r="P637" s="217"/>
      <c r="Q637" s="222"/>
      <c r="R637" s="217"/>
      <c r="S637" s="217"/>
      <c r="T637" s="217"/>
      <c r="U637" s="221"/>
      <c r="V637" s="221">
        <v>17500000</v>
      </c>
      <c r="W637" s="221"/>
      <c r="X637" s="50"/>
      <c r="Y637" s="231"/>
      <c r="Z637" s="221"/>
      <c r="AA637" s="221"/>
      <c r="AB637" s="223"/>
      <c r="AC637" s="223"/>
      <c r="AD637" s="199"/>
      <c r="AE637" s="70"/>
      <c r="AF637" s="70"/>
      <c r="AG637" s="42"/>
      <c r="AH637" s="42"/>
      <c r="AI637" s="42"/>
      <c r="AJ637" s="54" t="s">
        <v>1556</v>
      </c>
      <c r="AK637" s="233"/>
      <c r="AL637" s="233"/>
      <c r="AM637" s="233"/>
    </row>
    <row r="638" spans="1:39" ht="12.75" hidden="1" customHeight="1">
      <c r="A638" s="63">
        <v>26</v>
      </c>
      <c r="B638" s="63" t="s">
        <v>1517</v>
      </c>
      <c r="C638" s="21" t="s">
        <v>2560</v>
      </c>
      <c r="D638" s="21" t="s">
        <v>2584</v>
      </c>
      <c r="E638" s="213"/>
      <c r="F638" s="213"/>
      <c r="G638" s="213"/>
      <c r="H638" s="214"/>
      <c r="I638" s="213"/>
      <c r="J638" s="213"/>
      <c r="K638" s="213"/>
      <c r="L638" s="214"/>
      <c r="M638" s="49"/>
      <c r="N638" s="49"/>
      <c r="O638" s="49"/>
      <c r="P638" s="217"/>
      <c r="Q638" s="222"/>
      <c r="R638" s="217"/>
      <c r="S638" s="217"/>
      <c r="T638" s="217"/>
      <c r="U638" s="221"/>
      <c r="V638" s="221">
        <v>21000000</v>
      </c>
      <c r="W638" s="221"/>
      <c r="X638" s="50"/>
      <c r="Y638" s="231"/>
      <c r="Z638" s="221"/>
      <c r="AA638" s="221"/>
      <c r="AB638" s="223"/>
      <c r="AC638" s="223"/>
      <c r="AD638" s="199"/>
      <c r="AE638" s="70"/>
      <c r="AF638" s="70"/>
      <c r="AG638" s="42"/>
      <c r="AH638" s="42"/>
      <c r="AI638" s="42"/>
      <c r="AJ638" s="54" t="s">
        <v>1556</v>
      </c>
      <c r="AK638" s="233"/>
      <c r="AL638" s="233"/>
      <c r="AM638" s="233"/>
    </row>
    <row r="639" spans="1:39" ht="12.75" hidden="1" customHeight="1">
      <c r="A639" s="63">
        <v>27</v>
      </c>
      <c r="B639" s="63" t="s">
        <v>1517</v>
      </c>
      <c r="C639" s="21" t="s">
        <v>2585</v>
      </c>
      <c r="D639" s="21" t="s">
        <v>2586</v>
      </c>
      <c r="E639" s="213"/>
      <c r="F639" s="213"/>
      <c r="G639" s="213"/>
      <c r="H639" s="214"/>
      <c r="I639" s="213"/>
      <c r="J639" s="213"/>
      <c r="K639" s="213"/>
      <c r="L639" s="214"/>
      <c r="M639" s="49"/>
      <c r="N639" s="49"/>
      <c r="O639" s="49"/>
      <c r="P639" s="217"/>
      <c r="Q639" s="222"/>
      <c r="R639" s="217"/>
      <c r="S639" s="217"/>
      <c r="T639" s="217"/>
      <c r="U639" s="221"/>
      <c r="V639" s="223"/>
      <c r="W639" s="66"/>
      <c r="X639" s="50"/>
      <c r="Y639" s="231"/>
      <c r="Z639" s="221"/>
      <c r="AA639" s="221"/>
      <c r="AB639" s="223"/>
      <c r="AC639" s="223"/>
      <c r="AD639" s="199"/>
      <c r="AE639" s="70"/>
      <c r="AF639" s="70"/>
      <c r="AG639" s="42"/>
      <c r="AH639" s="42"/>
      <c r="AI639" s="42"/>
      <c r="AJ639" s="54" t="s">
        <v>1556</v>
      </c>
      <c r="AK639" s="233"/>
      <c r="AL639" s="233"/>
      <c r="AM639" s="233"/>
    </row>
    <row r="640" spans="1:39" ht="12.75" hidden="1" customHeight="1">
      <c r="A640" s="63">
        <v>28</v>
      </c>
      <c r="B640" s="63" t="s">
        <v>40</v>
      </c>
      <c r="C640" s="21" t="s">
        <v>2587</v>
      </c>
      <c r="D640" s="21" t="s">
        <v>2588</v>
      </c>
      <c r="E640" s="213"/>
      <c r="F640" s="213"/>
      <c r="G640" s="213"/>
      <c r="H640" s="214"/>
      <c r="I640" s="213"/>
      <c r="J640" s="213"/>
      <c r="K640" s="213"/>
      <c r="L640" s="214"/>
      <c r="M640" s="49"/>
      <c r="N640" s="49"/>
      <c r="O640" s="49"/>
      <c r="P640" s="217"/>
      <c r="Q640" s="222"/>
      <c r="R640" s="217"/>
      <c r="S640" s="217"/>
      <c r="T640" s="217"/>
      <c r="U640" s="221"/>
      <c r="V640" s="223"/>
      <c r="W640" s="224"/>
      <c r="X640" s="50"/>
      <c r="Y640" s="221">
        <v>1600000000</v>
      </c>
      <c r="Z640" s="221"/>
      <c r="AA640" s="221"/>
      <c r="AB640" s="223"/>
      <c r="AC640" s="223"/>
      <c r="AD640" s="199"/>
      <c r="AE640" s="70"/>
      <c r="AF640" s="70"/>
      <c r="AG640" s="42"/>
      <c r="AH640" s="42"/>
      <c r="AI640" s="42"/>
      <c r="AJ640" s="54" t="s">
        <v>2589</v>
      </c>
      <c r="AK640" s="1"/>
      <c r="AL640" s="1"/>
      <c r="AM640" s="1"/>
    </row>
    <row r="641" spans="1:39" ht="12.75" hidden="1" customHeight="1">
      <c r="A641" s="63">
        <v>29</v>
      </c>
      <c r="B641" s="63" t="s">
        <v>40</v>
      </c>
      <c r="C641" s="21" t="s">
        <v>2587</v>
      </c>
      <c r="D641" s="21" t="s">
        <v>2590</v>
      </c>
      <c r="E641" s="213"/>
      <c r="F641" s="213"/>
      <c r="G641" s="213"/>
      <c r="H641" s="214"/>
      <c r="I641" s="213"/>
      <c r="J641" s="213"/>
      <c r="K641" s="213"/>
      <c r="L641" s="214"/>
      <c r="M641" s="49"/>
      <c r="N641" s="49"/>
      <c r="O641" s="49"/>
      <c r="P641" s="217"/>
      <c r="Q641" s="222"/>
      <c r="R641" s="217"/>
      <c r="S641" s="217"/>
      <c r="T641" s="217"/>
      <c r="U641" s="70"/>
      <c r="V641" s="199"/>
      <c r="W641" s="224"/>
      <c r="X641" s="42"/>
      <c r="Y641" s="70">
        <v>266000000</v>
      </c>
      <c r="Z641" s="221"/>
      <c r="AA641" s="221"/>
      <c r="AB641" s="223"/>
      <c r="AC641" s="223"/>
      <c r="AD641" s="199"/>
      <c r="AE641" s="70"/>
      <c r="AF641" s="70"/>
      <c r="AG641" s="42"/>
      <c r="AH641" s="42"/>
      <c r="AI641" s="42"/>
      <c r="AJ641" s="54" t="s">
        <v>2589</v>
      </c>
      <c r="AK641" s="1"/>
      <c r="AL641" s="1"/>
      <c r="AM641" s="1"/>
    </row>
    <row r="642" spans="1:39" ht="12.75" hidden="1" customHeight="1">
      <c r="A642" s="63">
        <v>30</v>
      </c>
      <c r="B642" s="235" t="s">
        <v>40</v>
      </c>
      <c r="C642" s="49" t="s">
        <v>2587</v>
      </c>
      <c r="D642" s="49" t="s">
        <v>2591</v>
      </c>
      <c r="E642" s="213"/>
      <c r="F642" s="213"/>
      <c r="G642" s="213"/>
      <c r="H642" s="214"/>
      <c r="I642" s="213"/>
      <c r="J642" s="213"/>
      <c r="K642" s="213"/>
      <c r="L642" s="214"/>
      <c r="M642" s="49"/>
      <c r="N642" s="49"/>
      <c r="O642" s="49"/>
      <c r="P642" s="217"/>
      <c r="Q642" s="222"/>
      <c r="R642" s="217"/>
      <c r="S642" s="217"/>
      <c r="T642" s="217"/>
      <c r="U642" s="221"/>
      <c r="V642" s="223"/>
      <c r="W642" s="224"/>
      <c r="X642" s="50"/>
      <c r="Y642" s="221">
        <v>100000000</v>
      </c>
      <c r="Z642" s="221"/>
      <c r="AA642" s="221"/>
      <c r="AB642" s="223"/>
      <c r="AC642" s="223"/>
      <c r="AD642" s="199"/>
      <c r="AE642" s="70"/>
      <c r="AF642" s="70"/>
      <c r="AG642" s="50"/>
      <c r="AH642" s="50"/>
      <c r="AI642" s="50"/>
      <c r="AJ642" s="59" t="s">
        <v>2589</v>
      </c>
      <c r="AK642" s="1"/>
      <c r="AL642" s="1"/>
      <c r="AM642" s="1"/>
    </row>
    <row r="643" spans="1:39" ht="12.75" hidden="1" customHeight="1">
      <c r="A643" s="63">
        <v>31</v>
      </c>
      <c r="B643" s="63" t="s">
        <v>1697</v>
      </c>
      <c r="C643" s="21" t="s">
        <v>2592</v>
      </c>
      <c r="D643" s="170" t="s">
        <v>2593</v>
      </c>
      <c r="E643" s="236"/>
      <c r="F643" s="236"/>
      <c r="G643" s="236"/>
      <c r="H643" s="237"/>
      <c r="I643" s="236"/>
      <c r="J643" s="236"/>
      <c r="K643" s="236"/>
      <c r="L643" s="237"/>
      <c r="M643" s="188"/>
      <c r="N643" s="188"/>
      <c r="O643" s="188"/>
      <c r="P643" s="224"/>
      <c r="Q643" s="224"/>
      <c r="R643" s="224"/>
      <c r="S643" s="224"/>
      <c r="T643" s="245"/>
      <c r="U643" s="70"/>
      <c r="V643" s="70">
        <v>116220000</v>
      </c>
      <c r="W643" s="70"/>
      <c r="X643" s="70"/>
      <c r="Y643" s="70"/>
      <c r="Z643" s="70"/>
      <c r="AA643" s="223"/>
      <c r="AB643" s="223"/>
      <c r="AC643" s="223"/>
      <c r="AD643" s="199"/>
      <c r="AE643" s="70"/>
      <c r="AF643" s="70"/>
      <c r="AG643" s="42"/>
      <c r="AH643" s="42"/>
      <c r="AI643" s="42"/>
      <c r="AJ643" s="54" t="s">
        <v>1556</v>
      </c>
      <c r="AK643" s="1"/>
      <c r="AL643" s="1"/>
      <c r="AM643" s="1"/>
    </row>
    <row r="644" spans="1:39" ht="12.75" hidden="1" customHeight="1">
      <c r="A644" s="63">
        <v>32</v>
      </c>
      <c r="B644" s="63" t="s">
        <v>1697</v>
      </c>
      <c r="C644" s="21" t="s">
        <v>2594</v>
      </c>
      <c r="D644" s="170" t="s">
        <v>2595</v>
      </c>
      <c r="E644" s="236"/>
      <c r="F644" s="236"/>
      <c r="G644" s="236"/>
      <c r="H644" s="237"/>
      <c r="I644" s="236"/>
      <c r="J644" s="236"/>
      <c r="K644" s="236"/>
      <c r="L644" s="237"/>
      <c r="M644" s="188"/>
      <c r="N644" s="188"/>
      <c r="O644" s="188"/>
      <c r="P644" s="224"/>
      <c r="Q644" s="224"/>
      <c r="R644" s="224"/>
      <c r="S644" s="224"/>
      <c r="T644" s="245"/>
      <c r="U644" s="70"/>
      <c r="V644" s="70"/>
      <c r="W644" s="70">
        <v>36500000</v>
      </c>
      <c r="X644" s="70"/>
      <c r="Y644" s="70"/>
      <c r="Z644" s="70"/>
      <c r="AA644" s="221"/>
      <c r="AB644" s="223"/>
      <c r="AC644" s="223"/>
      <c r="AD644" s="199"/>
      <c r="AE644" s="70"/>
      <c r="AF644" s="70"/>
      <c r="AG644" s="42"/>
      <c r="AH644" s="42"/>
      <c r="AI644" s="42"/>
      <c r="AJ644" s="54" t="s">
        <v>1556</v>
      </c>
      <c r="AK644" s="1"/>
      <c r="AL644" s="1"/>
      <c r="AM644" s="1"/>
    </row>
    <row r="645" spans="1:39" ht="12.75" hidden="1" customHeight="1">
      <c r="A645" s="63">
        <v>33</v>
      </c>
      <c r="B645" s="63" t="s">
        <v>1697</v>
      </c>
      <c r="C645" s="21" t="s">
        <v>2596</v>
      </c>
      <c r="D645" s="170" t="s">
        <v>2597</v>
      </c>
      <c r="E645" s="236"/>
      <c r="F645" s="236"/>
      <c r="G645" s="236"/>
      <c r="H645" s="237"/>
      <c r="I645" s="236"/>
      <c r="J645" s="236"/>
      <c r="K645" s="236"/>
      <c r="L645" s="237"/>
      <c r="M645" s="188"/>
      <c r="N645" s="188"/>
      <c r="O645" s="188"/>
      <c r="P645" s="224"/>
      <c r="Q645" s="224"/>
      <c r="R645" s="224"/>
      <c r="S645" s="224"/>
      <c r="T645" s="245"/>
      <c r="U645" s="70"/>
      <c r="V645" s="70"/>
      <c r="W645" s="70">
        <v>23000000</v>
      </c>
      <c r="X645" s="70"/>
      <c r="Y645" s="70"/>
      <c r="Z645" s="70"/>
      <c r="AA645" s="221"/>
      <c r="AB645" s="223"/>
      <c r="AC645" s="223"/>
      <c r="AD645" s="199"/>
      <c r="AE645" s="70"/>
      <c r="AF645" s="70"/>
      <c r="AG645" s="42"/>
      <c r="AH645" s="42"/>
      <c r="AI645" s="42"/>
      <c r="AJ645" s="54" t="s">
        <v>1556</v>
      </c>
      <c r="AK645" s="1"/>
      <c r="AL645" s="1"/>
      <c r="AM645" s="1"/>
    </row>
    <row r="646" spans="1:39" ht="12.75" hidden="1" customHeight="1">
      <c r="A646" s="63">
        <v>34</v>
      </c>
      <c r="B646" s="63" t="s">
        <v>40</v>
      </c>
      <c r="C646" s="21" t="s">
        <v>2596</v>
      </c>
      <c r="D646" s="170" t="s">
        <v>2597</v>
      </c>
      <c r="E646" s="236"/>
      <c r="F646" s="236"/>
      <c r="G646" s="236"/>
      <c r="H646" s="237"/>
      <c r="I646" s="236"/>
      <c r="J646" s="236"/>
      <c r="K646" s="236"/>
      <c r="L646" s="237"/>
      <c r="M646" s="188"/>
      <c r="N646" s="188"/>
      <c r="O646" s="188"/>
      <c r="P646" s="224"/>
      <c r="Q646" s="224"/>
      <c r="R646" s="224"/>
      <c r="S646" s="224"/>
      <c r="T646" s="245"/>
      <c r="U646" s="70"/>
      <c r="V646" s="70"/>
      <c r="W646" s="70">
        <v>20000000</v>
      </c>
      <c r="X646" s="70"/>
      <c r="Y646" s="70"/>
      <c r="Z646" s="70"/>
      <c r="AA646" s="221"/>
      <c r="AB646" s="223"/>
      <c r="AC646" s="223"/>
      <c r="AD646" s="199"/>
      <c r="AE646" s="70"/>
      <c r="AF646" s="70"/>
      <c r="AG646" s="42"/>
      <c r="AH646" s="42"/>
      <c r="AI646" s="42"/>
      <c r="AJ646" s="54" t="s">
        <v>2598</v>
      </c>
      <c r="AK646" s="233"/>
      <c r="AL646" s="233"/>
      <c r="AM646" s="233"/>
    </row>
    <row r="647" spans="1:39" ht="12.75" hidden="1" customHeight="1">
      <c r="A647" s="63">
        <v>35</v>
      </c>
      <c r="B647" s="63" t="s">
        <v>1697</v>
      </c>
      <c r="C647" s="21" t="s">
        <v>2592</v>
      </c>
      <c r="D647" s="170" t="s">
        <v>2599</v>
      </c>
      <c r="E647" s="236"/>
      <c r="F647" s="236"/>
      <c r="G647" s="236"/>
      <c r="H647" s="237"/>
      <c r="I647" s="236"/>
      <c r="J647" s="236"/>
      <c r="K647" s="236"/>
      <c r="L647" s="237"/>
      <c r="M647" s="188"/>
      <c r="N647" s="188"/>
      <c r="O647" s="188"/>
      <c r="P647" s="224"/>
      <c r="Q647" s="224"/>
      <c r="R647" s="224"/>
      <c r="S647" s="224"/>
      <c r="T647" s="245"/>
      <c r="U647" s="70"/>
      <c r="V647" s="70"/>
      <c r="W647" s="70">
        <v>121552500</v>
      </c>
      <c r="X647" s="70"/>
      <c r="Y647" s="70"/>
      <c r="Z647" s="70"/>
      <c r="AA647" s="221"/>
      <c r="AB647" s="223"/>
      <c r="AC647" s="223"/>
      <c r="AD647" s="199"/>
      <c r="AE647" s="70"/>
      <c r="AF647" s="70"/>
      <c r="AG647" s="42"/>
      <c r="AH647" s="42"/>
      <c r="AI647" s="42"/>
      <c r="AJ647" s="54" t="s">
        <v>1556</v>
      </c>
      <c r="AK647" s="233"/>
      <c r="AL647" s="233"/>
      <c r="AM647" s="233"/>
    </row>
    <row r="648" spans="1:39" ht="12.75" hidden="1" customHeight="1">
      <c r="A648" s="63">
        <v>36</v>
      </c>
      <c r="B648" s="63" t="s">
        <v>40</v>
      </c>
      <c r="C648" s="21" t="s">
        <v>2585</v>
      </c>
      <c r="D648" s="170" t="s">
        <v>2600</v>
      </c>
      <c r="E648" s="236"/>
      <c r="F648" s="236"/>
      <c r="G648" s="236"/>
      <c r="H648" s="237"/>
      <c r="I648" s="236"/>
      <c r="J648" s="236"/>
      <c r="K648" s="236"/>
      <c r="L648" s="237"/>
      <c r="M648" s="188"/>
      <c r="N648" s="188"/>
      <c r="O648" s="188"/>
      <c r="P648" s="224"/>
      <c r="Q648" s="224"/>
      <c r="R648" s="224"/>
      <c r="S648" s="224"/>
      <c r="T648" s="245"/>
      <c r="U648" s="70"/>
      <c r="V648" s="70"/>
      <c r="W648" s="70"/>
      <c r="X648" s="70">
        <v>8000000</v>
      </c>
      <c r="Y648" s="70"/>
      <c r="Z648" s="70"/>
      <c r="AA648" s="221"/>
      <c r="AB648" s="223"/>
      <c r="AC648" s="223">
        <v>14000000</v>
      </c>
      <c r="AD648" s="199"/>
      <c r="AE648" s="70"/>
      <c r="AF648" s="70"/>
      <c r="AG648" s="42"/>
      <c r="AH648" s="42"/>
      <c r="AI648" s="42"/>
      <c r="AJ648" s="54" t="s">
        <v>1556</v>
      </c>
      <c r="AK648" s="233"/>
      <c r="AL648" s="233"/>
      <c r="AM648" s="233"/>
    </row>
    <row r="649" spans="1:39" ht="12.75" hidden="1" customHeight="1">
      <c r="A649" s="63">
        <v>37</v>
      </c>
      <c r="B649" s="63" t="s">
        <v>1697</v>
      </c>
      <c r="C649" s="21" t="s">
        <v>2601</v>
      </c>
      <c r="D649" s="170" t="s">
        <v>2602</v>
      </c>
      <c r="E649" s="236"/>
      <c r="F649" s="236"/>
      <c r="G649" s="236"/>
      <c r="H649" s="237"/>
      <c r="I649" s="236"/>
      <c r="J649" s="236"/>
      <c r="K649" s="236"/>
      <c r="L649" s="237"/>
      <c r="M649" s="188"/>
      <c r="N649" s="188"/>
      <c r="O649" s="188"/>
      <c r="P649" s="224"/>
      <c r="Q649" s="224"/>
      <c r="R649" s="224"/>
      <c r="S649" s="224"/>
      <c r="T649" s="245"/>
      <c r="U649" s="70"/>
      <c r="V649" s="70"/>
      <c r="W649" s="70">
        <v>10212000</v>
      </c>
      <c r="X649" s="70"/>
      <c r="Y649" s="70"/>
      <c r="Z649" s="70"/>
      <c r="AA649" s="221"/>
      <c r="AB649" s="199"/>
      <c r="AC649" s="223"/>
      <c r="AD649" s="199"/>
      <c r="AE649" s="70"/>
      <c r="AF649" s="70"/>
      <c r="AG649" s="42"/>
      <c r="AH649" s="42"/>
      <c r="AI649" s="42"/>
      <c r="AJ649" s="54" t="s">
        <v>1556</v>
      </c>
      <c r="AK649" s="1"/>
      <c r="AL649" s="1"/>
      <c r="AM649" s="1"/>
    </row>
    <row r="650" spans="1:39" ht="12.75" hidden="1" customHeight="1">
      <c r="A650" s="63">
        <v>38</v>
      </c>
      <c r="B650" s="238" t="s">
        <v>1697</v>
      </c>
      <c r="C650" s="21" t="s">
        <v>2603</v>
      </c>
      <c r="D650" s="49" t="s">
        <v>2604</v>
      </c>
      <c r="E650" s="239"/>
      <c r="F650" s="239"/>
      <c r="G650" s="239"/>
      <c r="H650" s="240"/>
      <c r="I650" s="239"/>
      <c r="J650" s="239"/>
      <c r="K650" s="239"/>
      <c r="L650" s="240"/>
      <c r="M650" s="242"/>
      <c r="N650" s="240"/>
      <c r="O650" s="242"/>
      <c r="P650" s="243"/>
      <c r="Q650" s="243"/>
      <c r="R650" s="243"/>
      <c r="S650" s="243"/>
      <c r="T650" s="243"/>
      <c r="U650" s="221"/>
      <c r="V650" s="50"/>
      <c r="W650" s="221"/>
      <c r="X650" s="221">
        <v>100000000</v>
      </c>
      <c r="Y650" s="221"/>
      <c r="Z650" s="221"/>
      <c r="AA650" s="70"/>
      <c r="AB650" s="199"/>
      <c r="AC650" s="199"/>
      <c r="AD650" s="199"/>
      <c r="AE650" s="70"/>
      <c r="AF650" s="70"/>
      <c r="AG650" s="42"/>
      <c r="AH650" s="42"/>
      <c r="AI650" s="42"/>
      <c r="AJ650" s="54" t="s">
        <v>1556</v>
      </c>
      <c r="AK650" s="1"/>
      <c r="AL650" s="1"/>
      <c r="AM650" s="1"/>
    </row>
    <row r="651" spans="1:39" ht="12.75" hidden="1" customHeight="1">
      <c r="A651" s="63">
        <v>39</v>
      </c>
      <c r="B651" s="238" t="s">
        <v>40</v>
      </c>
      <c r="C651" s="49" t="s">
        <v>2605</v>
      </c>
      <c r="D651" s="49" t="s">
        <v>2606</v>
      </c>
      <c r="E651" s="239"/>
      <c r="F651" s="239"/>
      <c r="G651" s="239"/>
      <c r="H651" s="240"/>
      <c r="I651" s="239"/>
      <c r="J651" s="239"/>
      <c r="K651" s="239"/>
      <c r="L651" s="240"/>
      <c r="M651" s="242"/>
      <c r="N651" s="240"/>
      <c r="O651" s="242"/>
      <c r="P651" s="243"/>
      <c r="Q651" s="243"/>
      <c r="R651" s="243"/>
      <c r="S651" s="243"/>
      <c r="T651" s="243"/>
      <c r="U651" s="221"/>
      <c r="V651" s="50"/>
      <c r="W651" s="221"/>
      <c r="X651" s="221"/>
      <c r="Y651" s="221">
        <v>170133300</v>
      </c>
      <c r="Z651" s="221"/>
      <c r="AA651" s="70"/>
      <c r="AB651" s="70"/>
      <c r="AC651" s="223"/>
      <c r="AD651" s="199"/>
      <c r="AE651" s="70"/>
      <c r="AF651" s="70"/>
      <c r="AG651" s="50"/>
      <c r="AH651" s="50"/>
      <c r="AI651" s="50"/>
      <c r="AJ651" s="59" t="s">
        <v>1765</v>
      </c>
      <c r="AK651" s="1"/>
      <c r="AL651" s="1"/>
      <c r="AM651" s="1"/>
    </row>
    <row r="652" spans="1:39" ht="12.75" hidden="1" customHeight="1">
      <c r="A652" s="63">
        <v>40</v>
      </c>
      <c r="B652" s="238" t="s">
        <v>40</v>
      </c>
      <c r="C652" s="49" t="s">
        <v>2576</v>
      </c>
      <c r="D652" s="49" t="s">
        <v>2607</v>
      </c>
      <c r="E652" s="239"/>
      <c r="F652" s="239"/>
      <c r="G652" s="239"/>
      <c r="H652" s="240"/>
      <c r="I652" s="239"/>
      <c r="J652" s="239"/>
      <c r="K652" s="239"/>
      <c r="L652" s="240"/>
      <c r="M652" s="242"/>
      <c r="N652" s="240"/>
      <c r="O652" s="242"/>
      <c r="P652" s="243"/>
      <c r="Q652" s="243"/>
      <c r="R652" s="243"/>
      <c r="S652" s="243"/>
      <c r="T652" s="243"/>
      <c r="U652" s="221"/>
      <c r="V652" s="50"/>
      <c r="W652" s="221"/>
      <c r="X652" s="221"/>
      <c r="Y652" s="221">
        <v>309000000</v>
      </c>
      <c r="Z652" s="221"/>
      <c r="AA652" s="70"/>
      <c r="AB652" s="70"/>
      <c r="AC652" s="223"/>
      <c r="AD652" s="199"/>
      <c r="AE652" s="70"/>
      <c r="AF652" s="70"/>
      <c r="AG652" s="50"/>
      <c r="AH652" s="50"/>
      <c r="AI652" s="50"/>
      <c r="AJ652" s="59" t="s">
        <v>1765</v>
      </c>
      <c r="AK652" s="1"/>
      <c r="AL652" s="1"/>
      <c r="AM652" s="1"/>
    </row>
    <row r="653" spans="1:39" ht="12.75" hidden="1" customHeight="1">
      <c r="A653" s="63">
        <v>41</v>
      </c>
      <c r="B653" s="238" t="s">
        <v>1697</v>
      </c>
      <c r="C653" s="49" t="s">
        <v>2608</v>
      </c>
      <c r="D653" s="49" t="s">
        <v>2609</v>
      </c>
      <c r="E653" s="239"/>
      <c r="F653" s="239"/>
      <c r="G653" s="239"/>
      <c r="H653" s="240"/>
      <c r="I653" s="239"/>
      <c r="J653" s="239"/>
      <c r="K653" s="239"/>
      <c r="L653" s="240"/>
      <c r="M653" s="242"/>
      <c r="N653" s="240"/>
      <c r="O653" s="242"/>
      <c r="P653" s="243"/>
      <c r="Q653" s="243"/>
      <c r="R653" s="243"/>
      <c r="S653" s="243"/>
      <c r="T653" s="243"/>
      <c r="U653" s="221"/>
      <c r="V653" s="50"/>
      <c r="W653" s="221"/>
      <c r="X653" s="221"/>
      <c r="Y653" s="221">
        <v>10500000</v>
      </c>
      <c r="Z653" s="221"/>
      <c r="AA653" s="70"/>
      <c r="AB653" s="70"/>
      <c r="AC653" s="223"/>
      <c r="AD653" s="199"/>
      <c r="AE653" s="70"/>
      <c r="AF653" s="70"/>
      <c r="AG653" s="50"/>
      <c r="AH653" s="50"/>
      <c r="AI653" s="50"/>
      <c r="AJ653" s="59" t="s">
        <v>1765</v>
      </c>
      <c r="AK653" s="1"/>
      <c r="AL653" s="1"/>
      <c r="AM653" s="1"/>
    </row>
    <row r="654" spans="1:39" ht="12.75" hidden="1" customHeight="1">
      <c r="A654" s="63">
        <v>42</v>
      </c>
      <c r="B654" s="238" t="s">
        <v>1697</v>
      </c>
      <c r="C654" s="49" t="s">
        <v>2610</v>
      </c>
      <c r="D654" s="49" t="s">
        <v>2611</v>
      </c>
      <c r="E654" s="239"/>
      <c r="F654" s="239"/>
      <c r="G654" s="239"/>
      <c r="H654" s="240"/>
      <c r="I654" s="239"/>
      <c r="J654" s="239"/>
      <c r="K654" s="239"/>
      <c r="L654" s="240"/>
      <c r="M654" s="242"/>
      <c r="N654" s="240"/>
      <c r="O654" s="242"/>
      <c r="P654" s="243"/>
      <c r="Q654" s="243"/>
      <c r="R654" s="243"/>
      <c r="S654" s="243"/>
      <c r="T654" s="243"/>
      <c r="U654" s="221"/>
      <c r="V654" s="50"/>
      <c r="W654" s="221"/>
      <c r="X654" s="221"/>
      <c r="Y654" s="221">
        <v>18000000</v>
      </c>
      <c r="Z654" s="221"/>
      <c r="AA654" s="70"/>
      <c r="AB654" s="70"/>
      <c r="AC654" s="223"/>
      <c r="AD654" s="199"/>
      <c r="AE654" s="70"/>
      <c r="AF654" s="70"/>
      <c r="AG654" s="50"/>
      <c r="AH654" s="50"/>
      <c r="AI654" s="50"/>
      <c r="AJ654" s="59" t="s">
        <v>1765</v>
      </c>
      <c r="AK654" s="1"/>
      <c r="AL654" s="1"/>
      <c r="AM654" s="1"/>
    </row>
    <row r="655" spans="1:39" ht="12.75" hidden="1" customHeight="1">
      <c r="A655" s="63">
        <v>43</v>
      </c>
      <c r="B655" s="238" t="s">
        <v>1697</v>
      </c>
      <c r="C655" s="49" t="s">
        <v>2612</v>
      </c>
      <c r="D655" s="49" t="s">
        <v>2613</v>
      </c>
      <c r="E655" s="239"/>
      <c r="F655" s="239"/>
      <c r="G655" s="239"/>
      <c r="H655" s="240"/>
      <c r="I655" s="239"/>
      <c r="J655" s="239"/>
      <c r="K655" s="239"/>
      <c r="L655" s="240"/>
      <c r="M655" s="242"/>
      <c r="N655" s="240"/>
      <c r="O655" s="242"/>
      <c r="P655" s="243"/>
      <c r="Q655" s="243"/>
      <c r="R655" s="243"/>
      <c r="S655" s="243"/>
      <c r="T655" s="243"/>
      <c r="U655" s="221"/>
      <c r="V655" s="50"/>
      <c r="W655" s="221"/>
      <c r="X655" s="221"/>
      <c r="Y655" s="221">
        <v>5637000</v>
      </c>
      <c r="Z655" s="221"/>
      <c r="AA655" s="70"/>
      <c r="AB655" s="70"/>
      <c r="AC655" s="223"/>
      <c r="AD655" s="199"/>
      <c r="AE655" s="70"/>
      <c r="AF655" s="70"/>
      <c r="AG655" s="50"/>
      <c r="AH655" s="50"/>
      <c r="AI655" s="50"/>
      <c r="AJ655" s="59" t="s">
        <v>1765</v>
      </c>
      <c r="AK655" s="1"/>
      <c r="AL655" s="1"/>
      <c r="AM655" s="1"/>
    </row>
    <row r="656" spans="1:39" ht="12.75" hidden="1" customHeight="1">
      <c r="A656" s="63">
        <v>44</v>
      </c>
      <c r="B656" s="238" t="s">
        <v>1697</v>
      </c>
      <c r="C656" s="49" t="s">
        <v>2614</v>
      </c>
      <c r="D656" s="49" t="s">
        <v>2615</v>
      </c>
      <c r="E656" s="239"/>
      <c r="F656" s="239"/>
      <c r="G656" s="239"/>
      <c r="H656" s="240"/>
      <c r="I656" s="239"/>
      <c r="J656" s="239"/>
      <c r="K656" s="239"/>
      <c r="L656" s="240"/>
      <c r="M656" s="242"/>
      <c r="N656" s="240"/>
      <c r="O656" s="242"/>
      <c r="P656" s="243"/>
      <c r="Q656" s="243"/>
      <c r="R656" s="243"/>
      <c r="S656" s="243"/>
      <c r="T656" s="243"/>
      <c r="U656" s="221"/>
      <c r="V656" s="50"/>
      <c r="W656" s="221"/>
      <c r="X656" s="221"/>
      <c r="Y656" s="221">
        <v>11941200</v>
      </c>
      <c r="Z656" s="221"/>
      <c r="AA656" s="70"/>
      <c r="AB656" s="70"/>
      <c r="AC656" s="223"/>
      <c r="AD656" s="199"/>
      <c r="AE656" s="70"/>
      <c r="AF656" s="70"/>
      <c r="AG656" s="50"/>
      <c r="AH656" s="50"/>
      <c r="AI656" s="50"/>
      <c r="AJ656" s="59" t="s">
        <v>1765</v>
      </c>
      <c r="AK656" s="1"/>
      <c r="AL656" s="1"/>
      <c r="AM656" s="1"/>
    </row>
    <row r="657" spans="1:39" ht="12.75" hidden="1" customHeight="1">
      <c r="A657" s="63">
        <v>45</v>
      </c>
      <c r="B657" s="238" t="s">
        <v>1697</v>
      </c>
      <c r="C657" s="49" t="s">
        <v>2605</v>
      </c>
      <c r="D657" s="49" t="s">
        <v>2616</v>
      </c>
      <c r="E657" s="239"/>
      <c r="F657" s="239"/>
      <c r="G657" s="239"/>
      <c r="H657" s="240"/>
      <c r="I657" s="239"/>
      <c r="J657" s="239"/>
      <c r="K657" s="239"/>
      <c r="L657" s="240"/>
      <c r="M657" s="242"/>
      <c r="N657" s="240"/>
      <c r="O657" s="242"/>
      <c r="P657" s="243"/>
      <c r="Q657" s="243"/>
      <c r="R657" s="243"/>
      <c r="S657" s="243"/>
      <c r="T657" s="243"/>
      <c r="U657" s="221"/>
      <c r="V657" s="50"/>
      <c r="W657" s="221"/>
      <c r="X657" s="221"/>
      <c r="Y657" s="221">
        <v>14904000</v>
      </c>
      <c r="Z657" s="221"/>
      <c r="AA657" s="70"/>
      <c r="AB657" s="70"/>
      <c r="AC657" s="223"/>
      <c r="AD657" s="199"/>
      <c r="AE657" s="70"/>
      <c r="AF657" s="70"/>
      <c r="AG657" s="50"/>
      <c r="AH657" s="50"/>
      <c r="AI657" s="50"/>
      <c r="AJ657" s="59" t="s">
        <v>1765</v>
      </c>
      <c r="AK657" s="1"/>
      <c r="AL657" s="1"/>
      <c r="AM657" s="1"/>
    </row>
    <row r="658" spans="1:39" ht="12.75" hidden="1" customHeight="1">
      <c r="A658" s="63">
        <v>46</v>
      </c>
      <c r="B658" s="238" t="s">
        <v>1517</v>
      </c>
      <c r="C658" s="49" t="s">
        <v>2617</v>
      </c>
      <c r="D658" s="49" t="s">
        <v>2618</v>
      </c>
      <c r="E658" s="239"/>
      <c r="F658" s="239"/>
      <c r="G658" s="239"/>
      <c r="H658" s="240"/>
      <c r="I658" s="239"/>
      <c r="J658" s="239"/>
      <c r="K658" s="239"/>
      <c r="L658" s="240"/>
      <c r="M658" s="242"/>
      <c r="N658" s="240"/>
      <c r="O658" s="242"/>
      <c r="P658" s="243"/>
      <c r="Q658" s="243"/>
      <c r="R658" s="243"/>
      <c r="S658" s="243"/>
      <c r="T658" s="243"/>
      <c r="U658" s="221"/>
      <c r="V658" s="50"/>
      <c r="W658" s="221"/>
      <c r="X658" s="221"/>
      <c r="Y658" s="221"/>
      <c r="Z658" s="221">
        <v>15000000</v>
      </c>
      <c r="AA658" s="70"/>
      <c r="AB658" s="70"/>
      <c r="AC658" s="223"/>
      <c r="AD658" s="199"/>
      <c r="AE658" s="70"/>
      <c r="AF658" s="70"/>
      <c r="AG658" s="50"/>
      <c r="AH658" s="50"/>
      <c r="AI658" s="50"/>
      <c r="AJ658" s="59" t="s">
        <v>1765</v>
      </c>
      <c r="AK658" s="1"/>
      <c r="AL658" s="1"/>
      <c r="AM658" s="1"/>
    </row>
    <row r="659" spans="1:39" ht="12.75" hidden="1" customHeight="1">
      <c r="A659" s="63">
        <v>47</v>
      </c>
      <c r="B659" s="238" t="s">
        <v>1697</v>
      </c>
      <c r="C659" s="49" t="s">
        <v>2601</v>
      </c>
      <c r="D659" s="49" t="s">
        <v>2619</v>
      </c>
      <c r="E659" s="239"/>
      <c r="F659" s="239"/>
      <c r="G659" s="239"/>
      <c r="H659" s="240"/>
      <c r="I659" s="239"/>
      <c r="J659" s="239"/>
      <c r="K659" s="239"/>
      <c r="L659" s="240"/>
      <c r="M659" s="242"/>
      <c r="N659" s="240"/>
      <c r="O659" s="242"/>
      <c r="P659" s="243"/>
      <c r="Q659" s="243"/>
      <c r="R659" s="243"/>
      <c r="S659" s="243"/>
      <c r="T659" s="243"/>
      <c r="U659" s="221"/>
      <c r="V659" s="50"/>
      <c r="W659" s="221"/>
      <c r="X659" s="221"/>
      <c r="Y659" s="221">
        <v>23000000</v>
      </c>
      <c r="Z659" s="221"/>
      <c r="AA659" s="70"/>
      <c r="AB659" s="70"/>
      <c r="AC659" s="221"/>
      <c r="AD659" s="223"/>
      <c r="AE659" s="70"/>
      <c r="AF659" s="70"/>
      <c r="AG659" s="50"/>
      <c r="AH659" s="50"/>
      <c r="AI659" s="50"/>
      <c r="AJ659" s="59" t="s">
        <v>1556</v>
      </c>
      <c r="AK659" s="1"/>
      <c r="AL659" s="1"/>
      <c r="AM659" s="1"/>
    </row>
    <row r="660" spans="1:39" ht="12.75" hidden="1" customHeight="1">
      <c r="A660" s="63">
        <v>48</v>
      </c>
      <c r="B660" s="238" t="s">
        <v>40</v>
      </c>
      <c r="C660" s="49" t="s">
        <v>2560</v>
      </c>
      <c r="D660" s="49" t="s">
        <v>2620</v>
      </c>
      <c r="E660" s="239"/>
      <c r="F660" s="239"/>
      <c r="G660" s="239"/>
      <c r="H660" s="240"/>
      <c r="I660" s="239"/>
      <c r="J660" s="239"/>
      <c r="K660" s="239"/>
      <c r="L660" s="240"/>
      <c r="M660" s="242"/>
      <c r="N660" s="240"/>
      <c r="O660" s="242"/>
      <c r="P660" s="243"/>
      <c r="Q660" s="243"/>
      <c r="R660" s="243"/>
      <c r="S660" s="243"/>
      <c r="T660" s="243"/>
      <c r="U660" s="221"/>
      <c r="V660" s="50"/>
      <c r="W660" s="221"/>
      <c r="X660" s="221"/>
      <c r="Y660" s="221"/>
      <c r="Z660" s="221">
        <v>17500000</v>
      </c>
      <c r="AA660" s="70"/>
      <c r="AB660" s="70"/>
      <c r="AC660" s="223"/>
      <c r="AD660" s="199"/>
      <c r="AE660" s="70"/>
      <c r="AF660" s="70"/>
      <c r="AG660" s="50"/>
      <c r="AH660" s="50"/>
      <c r="AI660" s="50"/>
      <c r="AJ660" s="59" t="s">
        <v>1556</v>
      </c>
      <c r="AK660" s="1"/>
      <c r="AL660" s="1"/>
      <c r="AM660" s="1"/>
    </row>
    <row r="661" spans="1:39" ht="12.75" hidden="1" customHeight="1">
      <c r="A661" s="63">
        <v>49</v>
      </c>
      <c r="B661" s="238" t="s">
        <v>40</v>
      </c>
      <c r="C661" s="49" t="s">
        <v>2592</v>
      </c>
      <c r="D661" s="49" t="s">
        <v>2621</v>
      </c>
      <c r="E661" s="239"/>
      <c r="F661" s="239"/>
      <c r="G661" s="239"/>
      <c r="H661" s="240"/>
      <c r="I661" s="239"/>
      <c r="J661" s="239"/>
      <c r="K661" s="239"/>
      <c r="L661" s="240"/>
      <c r="M661" s="242"/>
      <c r="N661" s="240"/>
      <c r="O661" s="242"/>
      <c r="P661" s="243"/>
      <c r="Q661" s="243"/>
      <c r="R661" s="243"/>
      <c r="S661" s="243"/>
      <c r="T661" s="243"/>
      <c r="U661" s="221"/>
      <c r="V661" s="50"/>
      <c r="W661" s="221"/>
      <c r="X661" s="221"/>
      <c r="Y661" s="221"/>
      <c r="Z661" s="221">
        <v>136610000</v>
      </c>
      <c r="AA661" s="70"/>
      <c r="AB661" s="70"/>
      <c r="AC661" s="223"/>
      <c r="AD661" s="199"/>
      <c r="AE661" s="221"/>
      <c r="AF661" s="221"/>
      <c r="AG661" s="50"/>
      <c r="AH661" s="50"/>
      <c r="AI661" s="50"/>
      <c r="AJ661" s="59" t="s">
        <v>1556</v>
      </c>
      <c r="AK661" s="1"/>
      <c r="AL661" s="1"/>
      <c r="AM661" s="1"/>
    </row>
    <row r="662" spans="1:39" ht="12.75" hidden="1" customHeight="1">
      <c r="A662" s="63">
        <v>50</v>
      </c>
      <c r="B662" s="238" t="s">
        <v>40</v>
      </c>
      <c r="C662" s="49" t="s">
        <v>2592</v>
      </c>
      <c r="D662" s="49" t="s">
        <v>2622</v>
      </c>
      <c r="E662" s="239"/>
      <c r="F662" s="239"/>
      <c r="G662" s="239"/>
      <c r="H662" s="240"/>
      <c r="I662" s="239"/>
      <c r="J662" s="239"/>
      <c r="K662" s="239"/>
      <c r="L662" s="240"/>
      <c r="M662" s="242"/>
      <c r="N662" s="240"/>
      <c r="O662" s="242"/>
      <c r="P662" s="243"/>
      <c r="Q662" s="243"/>
      <c r="R662" s="243"/>
      <c r="S662" s="243"/>
      <c r="T662" s="243"/>
      <c r="U662" s="221"/>
      <c r="V662" s="50"/>
      <c r="W662" s="221"/>
      <c r="X662" s="221"/>
      <c r="Y662" s="221"/>
      <c r="Z662" s="221">
        <v>120420000</v>
      </c>
      <c r="AA662" s="70"/>
      <c r="AB662" s="70"/>
      <c r="AC662" s="223"/>
      <c r="AD662" s="199"/>
      <c r="AE662" s="221"/>
      <c r="AF662" s="221"/>
      <c r="AG662" s="50"/>
      <c r="AH662" s="50"/>
      <c r="AI662" s="50"/>
      <c r="AJ662" s="59" t="s">
        <v>1556</v>
      </c>
      <c r="AK662" s="1"/>
      <c r="AL662" s="1"/>
      <c r="AM662" s="1"/>
    </row>
    <row r="663" spans="1:39" ht="12.75" hidden="1" customHeight="1">
      <c r="A663" s="63">
        <v>51</v>
      </c>
      <c r="B663" s="238" t="s">
        <v>1697</v>
      </c>
      <c r="C663" s="49" t="s">
        <v>2623</v>
      </c>
      <c r="D663" s="49" t="s">
        <v>2624</v>
      </c>
      <c r="E663" s="239"/>
      <c r="F663" s="239"/>
      <c r="G663" s="239"/>
      <c r="H663" s="240"/>
      <c r="I663" s="239"/>
      <c r="J663" s="239"/>
      <c r="K663" s="239"/>
      <c r="L663" s="240"/>
      <c r="M663" s="242"/>
      <c r="N663" s="240"/>
      <c r="O663" s="242"/>
      <c r="P663" s="243"/>
      <c r="Q663" s="243"/>
      <c r="R663" s="243"/>
      <c r="S663" s="243"/>
      <c r="T663" s="243"/>
      <c r="U663" s="221"/>
      <c r="V663" s="50"/>
      <c r="W663" s="221"/>
      <c r="X663" s="221"/>
      <c r="Y663" s="221"/>
      <c r="Z663" s="221">
        <v>26267500</v>
      </c>
      <c r="AA663" s="70"/>
      <c r="AB663" s="70"/>
      <c r="AC663" s="223"/>
      <c r="AD663" s="199"/>
      <c r="AE663" s="221"/>
      <c r="AF663" s="221"/>
      <c r="AG663" s="50"/>
      <c r="AH663" s="50"/>
      <c r="AI663" s="50"/>
      <c r="AJ663" s="59" t="s">
        <v>1556</v>
      </c>
      <c r="AK663" s="1"/>
      <c r="AL663" s="1"/>
      <c r="AM663" s="1"/>
    </row>
    <row r="664" spans="1:39" ht="12.75" hidden="1" customHeight="1">
      <c r="A664" s="63">
        <v>52</v>
      </c>
      <c r="B664" s="238" t="s">
        <v>1697</v>
      </c>
      <c r="C664" s="49" t="s">
        <v>2625</v>
      </c>
      <c r="D664" s="49" t="s">
        <v>2626</v>
      </c>
      <c r="E664" s="239"/>
      <c r="F664" s="239"/>
      <c r="G664" s="239"/>
      <c r="H664" s="240"/>
      <c r="I664" s="239"/>
      <c r="J664" s="239"/>
      <c r="K664" s="239"/>
      <c r="L664" s="240"/>
      <c r="M664" s="242"/>
      <c r="N664" s="240"/>
      <c r="O664" s="242"/>
      <c r="P664" s="243"/>
      <c r="Q664" s="243"/>
      <c r="R664" s="243"/>
      <c r="S664" s="243"/>
      <c r="T664" s="243"/>
      <c r="U664" s="221"/>
      <c r="V664" s="50"/>
      <c r="W664" s="221"/>
      <c r="X664" s="221"/>
      <c r="Y664" s="221"/>
      <c r="Z664" s="221">
        <v>39500000</v>
      </c>
      <c r="AA664" s="70"/>
      <c r="AB664" s="70"/>
      <c r="AC664" s="223"/>
      <c r="AD664" s="199"/>
      <c r="AE664" s="221"/>
      <c r="AF664" s="221"/>
      <c r="AG664" s="50"/>
      <c r="AH664" s="50"/>
      <c r="AI664" s="50"/>
      <c r="AJ664" s="59" t="s">
        <v>1556</v>
      </c>
      <c r="AK664" s="1"/>
      <c r="AL664" s="1"/>
      <c r="AM664" s="1"/>
    </row>
    <row r="665" spans="1:39" ht="12.75" hidden="1" customHeight="1">
      <c r="A665" s="63">
        <v>53</v>
      </c>
      <c r="B665" s="238" t="s">
        <v>2627</v>
      </c>
      <c r="C665" s="49" t="s">
        <v>2628</v>
      </c>
      <c r="D665" s="49" t="s">
        <v>2629</v>
      </c>
      <c r="E665" s="239"/>
      <c r="F665" s="239"/>
      <c r="G665" s="239"/>
      <c r="H665" s="240"/>
      <c r="I665" s="239"/>
      <c r="J665" s="239"/>
      <c r="K665" s="239"/>
      <c r="L665" s="240"/>
      <c r="M665" s="242"/>
      <c r="N665" s="240"/>
      <c r="O665" s="242"/>
      <c r="P665" s="243"/>
      <c r="Q665" s="243"/>
      <c r="R665" s="243"/>
      <c r="S665" s="243"/>
      <c r="T665" s="243"/>
      <c r="U665" s="221"/>
      <c r="V665" s="50"/>
      <c r="W665" s="221"/>
      <c r="X665" s="221"/>
      <c r="Y665" s="221"/>
      <c r="Z665" s="221">
        <v>29000000</v>
      </c>
      <c r="AA665" s="70"/>
      <c r="AB665" s="70"/>
      <c r="AC665" s="221"/>
      <c r="AD665" s="223"/>
      <c r="AE665" s="221"/>
      <c r="AF665" s="221"/>
      <c r="AG665" s="50"/>
      <c r="AH665" s="50"/>
      <c r="AI665" s="50"/>
      <c r="AJ665" s="59" t="s">
        <v>1556</v>
      </c>
      <c r="AK665" s="1"/>
      <c r="AL665" s="1"/>
      <c r="AM665" s="1"/>
    </row>
    <row r="666" spans="1:39" ht="12.75" hidden="1" customHeight="1">
      <c r="A666" s="63">
        <v>54</v>
      </c>
      <c r="B666" s="238" t="s">
        <v>1697</v>
      </c>
      <c r="C666" s="49" t="s">
        <v>2630</v>
      </c>
      <c r="D666" s="49" t="s">
        <v>2631</v>
      </c>
      <c r="E666" s="241"/>
      <c r="F666" s="241"/>
      <c r="G666" s="241"/>
      <c r="H666" s="240"/>
      <c r="I666" s="241"/>
      <c r="J666" s="241"/>
      <c r="K666" s="241"/>
      <c r="L666" s="240"/>
      <c r="M666" s="244"/>
      <c r="N666" s="240"/>
      <c r="O666" s="244"/>
      <c r="P666" s="243"/>
      <c r="Q666" s="243"/>
      <c r="R666" s="243"/>
      <c r="S666" s="243"/>
      <c r="T666" s="243"/>
      <c r="U666" s="221"/>
      <c r="V666" s="50"/>
      <c r="W666" s="221"/>
      <c r="X666" s="221"/>
      <c r="Y666" s="221"/>
      <c r="Z666" s="221"/>
      <c r="AA666" s="221">
        <v>24400000</v>
      </c>
      <c r="AB666" s="221"/>
      <c r="AC666" s="221"/>
      <c r="AD666" s="223"/>
      <c r="AE666" s="221"/>
      <c r="AF666" s="221"/>
      <c r="AG666" s="50"/>
      <c r="AH666" s="50"/>
      <c r="AI666" s="50"/>
      <c r="AJ666" s="59" t="s">
        <v>1556</v>
      </c>
      <c r="AK666" s="1"/>
      <c r="AL666" s="1"/>
      <c r="AM666" s="1"/>
    </row>
    <row r="667" spans="1:39" ht="12.75" hidden="1" customHeight="1">
      <c r="A667" s="63">
        <v>55</v>
      </c>
      <c r="B667" s="238" t="s">
        <v>1697</v>
      </c>
      <c r="C667" s="49" t="s">
        <v>2632</v>
      </c>
      <c r="D667" s="49" t="s">
        <v>2633</v>
      </c>
      <c r="E667" s="241"/>
      <c r="F667" s="241"/>
      <c r="G667" s="241"/>
      <c r="H667" s="240"/>
      <c r="I667" s="241"/>
      <c r="J667" s="241"/>
      <c r="K667" s="241"/>
      <c r="L667" s="240"/>
      <c r="M667" s="244"/>
      <c r="N667" s="240"/>
      <c r="O667" s="244"/>
      <c r="P667" s="243"/>
      <c r="Q667" s="243"/>
      <c r="R667" s="243"/>
      <c r="S667" s="243"/>
      <c r="T667" s="243"/>
      <c r="U667" s="221"/>
      <c r="V667" s="50"/>
      <c r="W667" s="221"/>
      <c r="X667" s="221"/>
      <c r="Y667" s="221"/>
      <c r="Z667" s="221"/>
      <c r="AA667" s="221">
        <v>9500000</v>
      </c>
      <c r="AB667" s="221"/>
      <c r="AC667" s="221"/>
      <c r="AD667" s="223"/>
      <c r="AE667" s="221"/>
      <c r="AF667" s="221"/>
      <c r="AG667" s="50"/>
      <c r="AH667" s="50"/>
      <c r="AI667" s="50"/>
      <c r="AJ667" s="59" t="s">
        <v>1556</v>
      </c>
      <c r="AK667" s="1"/>
      <c r="AL667" s="1"/>
      <c r="AM667" s="1"/>
    </row>
    <row r="668" spans="1:39" ht="12.75" hidden="1" customHeight="1">
      <c r="A668" s="63">
        <v>56</v>
      </c>
      <c r="B668" s="238" t="s">
        <v>40</v>
      </c>
      <c r="C668" s="49" t="s">
        <v>2632</v>
      </c>
      <c r="D668" s="49" t="s">
        <v>2633</v>
      </c>
      <c r="E668" s="241"/>
      <c r="F668" s="241"/>
      <c r="G668" s="241"/>
      <c r="H668" s="240"/>
      <c r="I668" s="241"/>
      <c r="J668" s="241"/>
      <c r="K668" s="241"/>
      <c r="L668" s="240"/>
      <c r="M668" s="244"/>
      <c r="N668" s="240"/>
      <c r="O668" s="244"/>
      <c r="P668" s="243"/>
      <c r="Q668" s="243"/>
      <c r="R668" s="243"/>
      <c r="S668" s="243"/>
      <c r="T668" s="243"/>
      <c r="U668" s="221"/>
      <c r="V668" s="50"/>
      <c r="W668" s="221"/>
      <c r="X668" s="221"/>
      <c r="Y668" s="221"/>
      <c r="Z668" s="221"/>
      <c r="AA668" s="221"/>
      <c r="AB668" s="221">
        <v>14017350</v>
      </c>
      <c r="AC668" s="221"/>
      <c r="AD668" s="223"/>
      <c r="AE668" s="221"/>
      <c r="AF668" s="221"/>
      <c r="AG668" s="50"/>
      <c r="AH668" s="50"/>
      <c r="AI668" s="50"/>
      <c r="AJ668" s="59" t="s">
        <v>1765</v>
      </c>
      <c r="AK668" s="1"/>
      <c r="AL668" s="1"/>
      <c r="AM668" s="1"/>
    </row>
    <row r="669" spans="1:39" ht="12.75" customHeight="1">
      <c r="A669" s="63">
        <v>57</v>
      </c>
      <c r="B669" s="238" t="s">
        <v>27</v>
      </c>
      <c r="C669" s="49" t="s">
        <v>2614</v>
      </c>
      <c r="D669" s="49" t="s">
        <v>2634</v>
      </c>
      <c r="E669" s="241"/>
      <c r="F669" s="241"/>
      <c r="G669" s="241"/>
      <c r="H669" s="240"/>
      <c r="I669" s="241"/>
      <c r="J669" s="241"/>
      <c r="K669" s="241"/>
      <c r="L669" s="240"/>
      <c r="M669" s="244"/>
      <c r="N669" s="240"/>
      <c r="O669" s="244"/>
      <c r="P669" s="243"/>
      <c r="Q669" s="243"/>
      <c r="R669" s="243"/>
      <c r="S669" s="243"/>
      <c r="T669" s="243"/>
      <c r="U669" s="221"/>
      <c r="V669" s="50"/>
      <c r="W669" s="221"/>
      <c r="X669" s="221"/>
      <c r="Y669" s="221"/>
      <c r="Z669" s="221"/>
      <c r="AA669" s="221"/>
      <c r="AB669" s="221"/>
      <c r="AC669" s="221">
        <v>28000000</v>
      </c>
      <c r="AD669" s="223"/>
      <c r="AE669" s="221"/>
      <c r="AF669" s="221"/>
      <c r="AG669" s="50"/>
      <c r="AH669" s="50"/>
      <c r="AI669" s="50"/>
      <c r="AJ669" s="59" t="s">
        <v>1765</v>
      </c>
      <c r="AK669" s="1"/>
      <c r="AL669" s="1"/>
      <c r="AM669" s="1"/>
    </row>
    <row r="670" spans="1:39" ht="12.75" hidden="1" customHeight="1">
      <c r="A670" s="63">
        <v>58</v>
      </c>
      <c r="B670" s="238" t="s">
        <v>40</v>
      </c>
      <c r="C670" s="49" t="s">
        <v>2635</v>
      </c>
      <c r="D670" s="49" t="s">
        <v>2636</v>
      </c>
      <c r="E670" s="241"/>
      <c r="F670" s="241"/>
      <c r="G670" s="241"/>
      <c r="H670" s="240"/>
      <c r="I670" s="241"/>
      <c r="J670" s="241"/>
      <c r="K670" s="241"/>
      <c r="L670" s="240"/>
      <c r="M670" s="244"/>
      <c r="N670" s="240"/>
      <c r="O670" s="244"/>
      <c r="P670" s="243"/>
      <c r="Q670" s="243"/>
      <c r="R670" s="243"/>
      <c r="S670" s="243"/>
      <c r="T670" s="243"/>
      <c r="U670" s="221"/>
      <c r="V670" s="50"/>
      <c r="W670" s="221"/>
      <c r="X670" s="221"/>
      <c r="Y670" s="221"/>
      <c r="Z670" s="221"/>
      <c r="AA670" s="221">
        <v>18000000</v>
      </c>
      <c r="AB670" s="221"/>
      <c r="AC670" s="221"/>
      <c r="AD670" s="223"/>
      <c r="AE670" s="221"/>
      <c r="AF670" s="221"/>
      <c r="AG670" s="50"/>
      <c r="AH670" s="50"/>
      <c r="AI670" s="50"/>
      <c r="AJ670" s="59" t="s">
        <v>1556</v>
      </c>
      <c r="AK670" s="1"/>
      <c r="AL670" s="1"/>
      <c r="AM670" s="1"/>
    </row>
    <row r="671" spans="1:39" ht="12.75" customHeight="1">
      <c r="A671" s="63">
        <v>59</v>
      </c>
      <c r="B671" s="238" t="s">
        <v>27</v>
      </c>
      <c r="C671" s="49" t="s">
        <v>2565</v>
      </c>
      <c r="D671" s="49" t="s">
        <v>2637</v>
      </c>
      <c r="E671" s="241"/>
      <c r="F671" s="241"/>
      <c r="G671" s="241"/>
      <c r="H671" s="240"/>
      <c r="I671" s="241"/>
      <c r="J671" s="241"/>
      <c r="K671" s="241"/>
      <c r="L671" s="240"/>
      <c r="M671" s="244"/>
      <c r="N671" s="240"/>
      <c r="O671" s="244"/>
      <c r="P671" s="243"/>
      <c r="Q671" s="243"/>
      <c r="R671" s="243"/>
      <c r="S671" s="243"/>
      <c r="T671" s="243"/>
      <c r="U671" s="221"/>
      <c r="V671" s="50"/>
      <c r="W671" s="221"/>
      <c r="X671" s="221"/>
      <c r="Y671" s="221"/>
      <c r="Z671" s="221"/>
      <c r="AA671" s="221"/>
      <c r="AB671" s="221"/>
      <c r="AC671" s="221"/>
      <c r="AD671" s="223"/>
      <c r="AE671" s="221"/>
      <c r="AF671" s="221">
        <v>140000000</v>
      </c>
      <c r="AG671" s="50"/>
      <c r="AH671" s="50"/>
      <c r="AI671" s="50"/>
      <c r="AJ671" s="59" t="s">
        <v>2215</v>
      </c>
      <c r="AK671" s="1"/>
      <c r="AL671" s="1"/>
      <c r="AM671" s="1"/>
    </row>
    <row r="672" spans="1:39" ht="12.75" hidden="1" customHeight="1">
      <c r="A672" s="63">
        <v>60</v>
      </c>
      <c r="B672" s="238" t="s">
        <v>40</v>
      </c>
      <c r="C672" s="49" t="s">
        <v>2601</v>
      </c>
      <c r="D672" s="49" t="s">
        <v>2602</v>
      </c>
      <c r="E672" s="241"/>
      <c r="F672" s="241"/>
      <c r="G672" s="241"/>
      <c r="H672" s="240"/>
      <c r="I672" s="241"/>
      <c r="J672" s="241"/>
      <c r="K672" s="241"/>
      <c r="L672" s="240"/>
      <c r="M672" s="244"/>
      <c r="N672" s="240"/>
      <c r="O672" s="244"/>
      <c r="P672" s="243"/>
      <c r="Q672" s="243"/>
      <c r="R672" s="243"/>
      <c r="S672" s="243"/>
      <c r="T672" s="243"/>
      <c r="U672" s="221"/>
      <c r="V672" s="50"/>
      <c r="W672" s="221"/>
      <c r="X672" s="221"/>
      <c r="Y672" s="221"/>
      <c r="Z672" s="221"/>
      <c r="AA672" s="221">
        <v>10000000</v>
      </c>
      <c r="AB672" s="221"/>
      <c r="AC672" s="221"/>
      <c r="AD672" s="223"/>
      <c r="AE672" s="221"/>
      <c r="AF672" s="221"/>
      <c r="AG672" s="50"/>
      <c r="AH672" s="50"/>
      <c r="AI672" s="50"/>
      <c r="AJ672" s="59" t="s">
        <v>1556</v>
      </c>
      <c r="AK672" s="1"/>
      <c r="AL672" s="1"/>
      <c r="AM672" s="1"/>
    </row>
    <row r="673" spans="1:39" ht="12.75" hidden="1" customHeight="1">
      <c r="A673" s="63">
        <v>61</v>
      </c>
      <c r="B673" s="238" t="s">
        <v>40</v>
      </c>
      <c r="C673" s="49" t="s">
        <v>2638</v>
      </c>
      <c r="D673" s="49" t="s">
        <v>2639</v>
      </c>
      <c r="E673" s="241"/>
      <c r="F673" s="241"/>
      <c r="G673" s="241"/>
      <c r="H673" s="240"/>
      <c r="I673" s="241"/>
      <c r="J673" s="241"/>
      <c r="K673" s="241"/>
      <c r="L673" s="240"/>
      <c r="M673" s="244"/>
      <c r="N673" s="240"/>
      <c r="O673" s="244"/>
      <c r="P673" s="243"/>
      <c r="Q673" s="243"/>
      <c r="R673" s="243"/>
      <c r="S673" s="243"/>
      <c r="T673" s="243"/>
      <c r="U673" s="221"/>
      <c r="V673" s="50"/>
      <c r="W673" s="221"/>
      <c r="X673" s="221"/>
      <c r="Y673" s="221"/>
      <c r="Z673" s="221"/>
      <c r="AA673" s="221"/>
      <c r="AB673" s="221">
        <v>18742500</v>
      </c>
      <c r="AC673" s="221"/>
      <c r="AD673" s="223"/>
      <c r="AE673" s="221"/>
      <c r="AF673" s="221"/>
      <c r="AG673" s="50"/>
      <c r="AH673" s="50"/>
      <c r="AI673" s="50"/>
      <c r="AJ673" s="59" t="s">
        <v>1556</v>
      </c>
      <c r="AK673" s="1"/>
      <c r="AL673" s="1"/>
      <c r="AM673" s="1"/>
    </row>
    <row r="674" spans="1:39" ht="12.75" hidden="1" customHeight="1">
      <c r="A674" s="63">
        <v>62</v>
      </c>
      <c r="B674" s="238" t="s">
        <v>40</v>
      </c>
      <c r="C674" s="49" t="s">
        <v>2640</v>
      </c>
      <c r="D674" s="49" t="s">
        <v>2641</v>
      </c>
      <c r="E674" s="241"/>
      <c r="F674" s="241"/>
      <c r="G674" s="241"/>
      <c r="H674" s="240"/>
      <c r="I674" s="241"/>
      <c r="J674" s="241"/>
      <c r="K674" s="241"/>
      <c r="L674" s="240"/>
      <c r="M674" s="244"/>
      <c r="N674" s="240"/>
      <c r="O674" s="244"/>
      <c r="P674" s="243"/>
      <c r="Q674" s="243"/>
      <c r="R674" s="243"/>
      <c r="S674" s="243"/>
      <c r="T674" s="243"/>
      <c r="U674" s="221"/>
      <c r="V674" s="50"/>
      <c r="W674" s="221"/>
      <c r="X674" s="221"/>
      <c r="Y674" s="221"/>
      <c r="Z674" s="221"/>
      <c r="AA674" s="221"/>
      <c r="AB674" s="221">
        <v>7344450</v>
      </c>
      <c r="AC674" s="221"/>
      <c r="AD674" s="223"/>
      <c r="AE674" s="221"/>
      <c r="AF674" s="221"/>
      <c r="AG674" s="50"/>
      <c r="AH674" s="50"/>
      <c r="AI674" s="50"/>
      <c r="AJ674" s="59" t="s">
        <v>1556</v>
      </c>
      <c r="AK674" s="1"/>
      <c r="AL674" s="1"/>
      <c r="AM674" s="1"/>
    </row>
    <row r="675" spans="1:39" ht="12.75" hidden="1" customHeight="1">
      <c r="A675" s="63">
        <v>63</v>
      </c>
      <c r="B675" s="238" t="s">
        <v>40</v>
      </c>
      <c r="C675" s="49" t="s">
        <v>2642</v>
      </c>
      <c r="D675" s="49" t="s">
        <v>2643</v>
      </c>
      <c r="E675" s="241"/>
      <c r="F675" s="241"/>
      <c r="G675" s="241"/>
      <c r="H675" s="240"/>
      <c r="I675" s="241"/>
      <c r="J675" s="241"/>
      <c r="K675" s="241"/>
      <c r="L675" s="240"/>
      <c r="M675" s="244"/>
      <c r="N675" s="240"/>
      <c r="O675" s="244"/>
      <c r="P675" s="243"/>
      <c r="Q675" s="243"/>
      <c r="R675" s="243"/>
      <c r="S675" s="243"/>
      <c r="T675" s="243"/>
      <c r="U675" s="221"/>
      <c r="V675" s="50"/>
      <c r="W675" s="221"/>
      <c r="X675" s="221"/>
      <c r="Y675" s="221"/>
      <c r="Z675" s="221"/>
      <c r="AA675" s="221"/>
      <c r="AB675" s="221"/>
      <c r="AC675" s="221"/>
      <c r="AD675" s="223">
        <v>225450000</v>
      </c>
      <c r="AE675" s="221"/>
      <c r="AF675" s="221"/>
      <c r="AG675" s="50"/>
      <c r="AH675" s="50"/>
      <c r="AI675" s="50"/>
      <c r="AJ675" s="59" t="s">
        <v>1556</v>
      </c>
      <c r="AK675" s="1"/>
      <c r="AL675" s="1"/>
      <c r="AM675" s="1"/>
    </row>
    <row r="676" spans="1:39" ht="12.75" hidden="1" customHeight="1">
      <c r="A676" s="63">
        <v>64</v>
      </c>
      <c r="B676" s="238" t="s">
        <v>40</v>
      </c>
      <c r="C676" s="49" t="s">
        <v>2560</v>
      </c>
      <c r="D676" s="49" t="s">
        <v>2644</v>
      </c>
      <c r="E676" s="241"/>
      <c r="F676" s="241"/>
      <c r="G676" s="241"/>
      <c r="H676" s="240"/>
      <c r="I676" s="241"/>
      <c r="J676" s="241"/>
      <c r="K676" s="241"/>
      <c r="L676" s="240"/>
      <c r="M676" s="244"/>
      <c r="N676" s="240"/>
      <c r="O676" s="244"/>
      <c r="P676" s="243"/>
      <c r="Q676" s="243"/>
      <c r="R676" s="243"/>
      <c r="S676" s="243"/>
      <c r="T676" s="243"/>
      <c r="U676" s="221"/>
      <c r="V676" s="50"/>
      <c r="W676" s="221"/>
      <c r="X676" s="221"/>
      <c r="Y676" s="221"/>
      <c r="Z676" s="221"/>
      <c r="AA676" s="221"/>
      <c r="AB676" s="221">
        <v>20000000</v>
      </c>
      <c r="AC676" s="221"/>
      <c r="AD676" s="223"/>
      <c r="AE676" s="221"/>
      <c r="AF676" s="221"/>
      <c r="AG676" s="50"/>
      <c r="AH676" s="50"/>
      <c r="AI676" s="50"/>
      <c r="AJ676" s="59" t="s">
        <v>1556</v>
      </c>
      <c r="AK676" s="1"/>
      <c r="AL676" s="1"/>
      <c r="AM676" s="1"/>
    </row>
    <row r="677" spans="1:39" ht="12.75" hidden="1" customHeight="1">
      <c r="A677" s="63">
        <v>65</v>
      </c>
      <c r="B677" s="238" t="s">
        <v>40</v>
      </c>
      <c r="C677" s="49" t="s">
        <v>2645</v>
      </c>
      <c r="D677" s="49" t="s">
        <v>2646</v>
      </c>
      <c r="E677" s="241"/>
      <c r="F677" s="241"/>
      <c r="G677" s="241"/>
      <c r="H677" s="240"/>
      <c r="I677" s="241"/>
      <c r="J677" s="241"/>
      <c r="K677" s="241"/>
      <c r="L677" s="240"/>
      <c r="M677" s="244"/>
      <c r="N677" s="240"/>
      <c r="O677" s="244"/>
      <c r="P677" s="243"/>
      <c r="Q677" s="243"/>
      <c r="R677" s="243"/>
      <c r="S677" s="243"/>
      <c r="T677" s="243"/>
      <c r="U677" s="221"/>
      <c r="V677" s="50"/>
      <c r="W677" s="221"/>
      <c r="X677" s="221"/>
      <c r="Y677" s="221"/>
      <c r="Z677" s="221"/>
      <c r="AA677" s="221"/>
      <c r="AB677" s="221">
        <v>9959450</v>
      </c>
      <c r="AC677" s="221"/>
      <c r="AD677" s="223"/>
      <c r="AE677" s="221"/>
      <c r="AF677" s="221"/>
      <c r="AG677" s="50"/>
      <c r="AH677" s="50"/>
      <c r="AI677" s="50"/>
      <c r="AJ677" s="59" t="s">
        <v>1556</v>
      </c>
      <c r="AK677" s="1"/>
      <c r="AL677" s="1"/>
      <c r="AM677" s="1"/>
    </row>
    <row r="678" spans="1:39" ht="12.75" hidden="1" customHeight="1">
      <c r="A678" s="63">
        <v>66</v>
      </c>
      <c r="B678" s="238" t="s">
        <v>40</v>
      </c>
      <c r="C678" s="49" t="s">
        <v>2647</v>
      </c>
      <c r="D678" s="49" t="s">
        <v>2648</v>
      </c>
      <c r="E678" s="241"/>
      <c r="F678" s="241"/>
      <c r="G678" s="241"/>
      <c r="H678" s="240"/>
      <c r="I678" s="241"/>
      <c r="J678" s="241"/>
      <c r="K678" s="241"/>
      <c r="L678" s="240"/>
      <c r="M678" s="244"/>
      <c r="N678" s="240"/>
      <c r="O678" s="244"/>
      <c r="P678" s="243"/>
      <c r="Q678" s="243"/>
      <c r="R678" s="243"/>
      <c r="S678" s="243"/>
      <c r="T678" s="243"/>
      <c r="U678" s="221"/>
      <c r="V678" s="50"/>
      <c r="W678" s="221"/>
      <c r="X678" s="221"/>
      <c r="Y678" s="221"/>
      <c r="Z678" s="221"/>
      <c r="AA678" s="221"/>
      <c r="AB678" s="221">
        <v>16275000</v>
      </c>
      <c r="AC678" s="221"/>
      <c r="AD678" s="223"/>
      <c r="AE678" s="221"/>
      <c r="AF678" s="221"/>
      <c r="AG678" s="50"/>
      <c r="AH678" s="50"/>
      <c r="AI678" s="50"/>
      <c r="AJ678" s="59" t="s">
        <v>1556</v>
      </c>
      <c r="AK678" s="1"/>
      <c r="AL678" s="1"/>
      <c r="AM678" s="1"/>
    </row>
    <row r="679" spans="1:39" ht="12.75" hidden="1" customHeight="1">
      <c r="A679" s="63">
        <v>67</v>
      </c>
      <c r="B679" s="238" t="s">
        <v>40</v>
      </c>
      <c r="C679" s="49" t="s">
        <v>2649</v>
      </c>
      <c r="D679" s="49" t="s">
        <v>2650</v>
      </c>
      <c r="E679" s="241"/>
      <c r="F679" s="241"/>
      <c r="G679" s="241"/>
      <c r="H679" s="240"/>
      <c r="I679" s="241"/>
      <c r="J679" s="241"/>
      <c r="K679" s="241"/>
      <c r="L679" s="240"/>
      <c r="M679" s="244"/>
      <c r="N679" s="240"/>
      <c r="O679" s="244"/>
      <c r="P679" s="243"/>
      <c r="Q679" s="243"/>
      <c r="R679" s="243"/>
      <c r="S679" s="243"/>
      <c r="T679" s="243"/>
      <c r="U679" s="221"/>
      <c r="V679" s="50"/>
      <c r="W679" s="221"/>
      <c r="X679" s="221"/>
      <c r="Y679" s="221"/>
      <c r="Z679" s="221"/>
      <c r="AA679" s="221"/>
      <c r="AB679" s="221">
        <v>18539100</v>
      </c>
      <c r="AC679" s="221"/>
      <c r="AD679" s="223"/>
      <c r="AE679" s="221"/>
      <c r="AF679" s="221"/>
      <c r="AG679" s="50"/>
      <c r="AH679" s="50"/>
      <c r="AI679" s="50"/>
      <c r="AJ679" s="59" t="s">
        <v>1556</v>
      </c>
      <c r="AK679" s="1"/>
      <c r="AL679" s="1"/>
      <c r="AM679" s="1"/>
    </row>
    <row r="680" spans="1:39" ht="12.75" hidden="1" customHeight="1">
      <c r="A680" s="63">
        <v>68</v>
      </c>
      <c r="B680" s="238" t="s">
        <v>40</v>
      </c>
      <c r="C680" s="49" t="s">
        <v>2651</v>
      </c>
      <c r="D680" s="49" t="s">
        <v>2652</v>
      </c>
      <c r="E680" s="241"/>
      <c r="F680" s="241"/>
      <c r="G680" s="241"/>
      <c r="H680" s="240"/>
      <c r="I680" s="241"/>
      <c r="J680" s="241"/>
      <c r="K680" s="241"/>
      <c r="L680" s="240"/>
      <c r="M680" s="244"/>
      <c r="N680" s="240"/>
      <c r="O680" s="244"/>
      <c r="P680" s="243"/>
      <c r="Q680" s="243"/>
      <c r="R680" s="243"/>
      <c r="S680" s="243"/>
      <c r="T680" s="243"/>
      <c r="U680" s="221"/>
      <c r="V680" s="50"/>
      <c r="W680" s="221"/>
      <c r="X680" s="221"/>
      <c r="Y680" s="221"/>
      <c r="Z680" s="221"/>
      <c r="AA680" s="221"/>
      <c r="AB680" s="221">
        <v>72797550</v>
      </c>
      <c r="AC680" s="221"/>
      <c r="AD680" s="223"/>
      <c r="AE680" s="221"/>
      <c r="AF680" s="221"/>
      <c r="AG680" s="50"/>
      <c r="AH680" s="50"/>
      <c r="AI680" s="50"/>
      <c r="AJ680" s="59" t="s">
        <v>1556</v>
      </c>
      <c r="AK680" s="1"/>
      <c r="AL680" s="1"/>
      <c r="AM680" s="1"/>
    </row>
    <row r="681" spans="1:39" ht="12.75" customHeight="1">
      <c r="A681" s="63">
        <v>69</v>
      </c>
      <c r="B681" s="238" t="s">
        <v>27</v>
      </c>
      <c r="C681" s="49" t="s">
        <v>2653</v>
      </c>
      <c r="D681" s="49" t="s">
        <v>2654</v>
      </c>
      <c r="E681" s="241"/>
      <c r="F681" s="241"/>
      <c r="G681" s="241"/>
      <c r="H681" s="240"/>
      <c r="I681" s="241"/>
      <c r="J681" s="241"/>
      <c r="K681" s="241"/>
      <c r="L681" s="240"/>
      <c r="M681" s="244"/>
      <c r="N681" s="240"/>
      <c r="O681" s="244"/>
      <c r="P681" s="243"/>
      <c r="Q681" s="243"/>
      <c r="R681" s="243"/>
      <c r="S681" s="243"/>
      <c r="T681" s="243"/>
      <c r="U681" s="221"/>
      <c r="V681" s="50"/>
      <c r="W681" s="221"/>
      <c r="X681" s="221"/>
      <c r="Y681" s="221"/>
      <c r="Z681" s="221"/>
      <c r="AA681" s="221"/>
      <c r="AB681" s="221"/>
      <c r="AC681" s="221"/>
      <c r="AD681" s="223"/>
      <c r="AE681" s="221"/>
      <c r="AF681" s="221">
        <v>178000000</v>
      </c>
      <c r="AG681" s="50"/>
      <c r="AH681" s="50"/>
      <c r="AI681" s="50"/>
      <c r="AJ681" s="59" t="s">
        <v>2215</v>
      </c>
      <c r="AK681" s="1"/>
      <c r="AL681" s="1"/>
      <c r="AM681" s="1"/>
    </row>
    <row r="682" spans="1:39" ht="12.75" customHeight="1">
      <c r="A682" s="63">
        <v>70</v>
      </c>
      <c r="B682" s="238" t="s">
        <v>27</v>
      </c>
      <c r="C682" s="49" t="s">
        <v>2571</v>
      </c>
      <c r="D682" s="49" t="s">
        <v>2655</v>
      </c>
      <c r="E682" s="241"/>
      <c r="F682" s="241"/>
      <c r="G682" s="241"/>
      <c r="H682" s="240"/>
      <c r="I682" s="241"/>
      <c r="J682" s="241"/>
      <c r="K682" s="241"/>
      <c r="L682" s="240"/>
      <c r="M682" s="244"/>
      <c r="N682" s="240"/>
      <c r="O682" s="244"/>
      <c r="P682" s="243"/>
      <c r="Q682" s="243"/>
      <c r="R682" s="243"/>
      <c r="S682" s="243"/>
      <c r="T682" s="243"/>
      <c r="U682" s="221"/>
      <c r="V682" s="50"/>
      <c r="W682" s="221"/>
      <c r="X682" s="221"/>
      <c r="Y682" s="221"/>
      <c r="Z682" s="221"/>
      <c r="AA682" s="221"/>
      <c r="AB682" s="221"/>
      <c r="AC682" s="221"/>
      <c r="AD682" s="223"/>
      <c r="AE682" s="221"/>
      <c r="AF682" s="223">
        <v>15000000</v>
      </c>
      <c r="AG682" s="231"/>
      <c r="AH682" s="231"/>
      <c r="AI682" s="231"/>
      <c r="AJ682" s="247" t="s">
        <v>2215</v>
      </c>
      <c r="AK682" s="1"/>
      <c r="AL682" s="1"/>
      <c r="AM682" s="1"/>
    </row>
    <row r="683" spans="1:39" ht="12.75" hidden="1" customHeight="1">
      <c r="A683" s="63">
        <v>71</v>
      </c>
      <c r="B683" s="238" t="s">
        <v>40</v>
      </c>
      <c r="C683" s="49" t="s">
        <v>2656</v>
      </c>
      <c r="D683" s="49" t="s">
        <v>2657</v>
      </c>
      <c r="E683" s="241"/>
      <c r="F683" s="241"/>
      <c r="G683" s="241"/>
      <c r="H683" s="240"/>
      <c r="I683" s="241"/>
      <c r="J683" s="241"/>
      <c r="K683" s="241"/>
      <c r="L683" s="240"/>
      <c r="M683" s="244"/>
      <c r="N683" s="240"/>
      <c r="O683" s="244"/>
      <c r="P683" s="243"/>
      <c r="Q683" s="243"/>
      <c r="R683" s="243"/>
      <c r="S683" s="243"/>
      <c r="T683" s="243"/>
      <c r="U683" s="221"/>
      <c r="V683" s="50"/>
      <c r="W683" s="221"/>
      <c r="X683" s="221"/>
      <c r="Y683" s="221"/>
      <c r="Z683" s="221"/>
      <c r="AA683" s="221"/>
      <c r="AB683" s="221"/>
      <c r="AC683" s="221"/>
      <c r="AD683" s="223">
        <v>124000000</v>
      </c>
      <c r="AE683" s="221"/>
      <c r="AF683" s="221"/>
      <c r="AG683" s="50"/>
      <c r="AH683" s="50"/>
      <c r="AI683" s="50"/>
      <c r="AJ683" s="59" t="s">
        <v>1556</v>
      </c>
      <c r="AK683" s="1"/>
      <c r="AL683" s="1"/>
      <c r="AM683" s="1"/>
    </row>
    <row r="684" spans="1:39" ht="12.75" customHeight="1">
      <c r="A684" s="63">
        <v>72</v>
      </c>
      <c r="B684" s="238" t="s">
        <v>27</v>
      </c>
      <c r="C684" s="49" t="s">
        <v>2658</v>
      </c>
      <c r="D684" s="49" t="s">
        <v>2659</v>
      </c>
      <c r="E684" s="241"/>
      <c r="F684" s="241"/>
      <c r="G684" s="241"/>
      <c r="H684" s="240"/>
      <c r="I684" s="241"/>
      <c r="J684" s="241"/>
      <c r="K684" s="241"/>
      <c r="L684" s="240"/>
      <c r="M684" s="244"/>
      <c r="N684" s="240"/>
      <c r="O684" s="244"/>
      <c r="P684" s="243"/>
      <c r="Q684" s="243"/>
      <c r="R684" s="243"/>
      <c r="S684" s="243"/>
      <c r="T684" s="243"/>
      <c r="U684" s="221"/>
      <c r="V684" s="50"/>
      <c r="W684" s="221"/>
      <c r="X684" s="221"/>
      <c r="Y684" s="221"/>
      <c r="Z684" s="221"/>
      <c r="AA684" s="221"/>
      <c r="AB684" s="221"/>
      <c r="AC684" s="221">
        <v>20000000</v>
      </c>
      <c r="AD684" s="223"/>
      <c r="AE684" s="221"/>
      <c r="AF684" s="221"/>
      <c r="AG684" s="50"/>
      <c r="AH684" s="50"/>
      <c r="AI684" s="50"/>
      <c r="AJ684" s="59" t="s">
        <v>2215</v>
      </c>
      <c r="AK684" s="1"/>
      <c r="AL684" s="1"/>
      <c r="AM684" s="1"/>
    </row>
    <row r="685" spans="1:39" ht="12.75" hidden="1" customHeight="1">
      <c r="A685" s="63">
        <v>73</v>
      </c>
      <c r="B685" s="238" t="s">
        <v>40</v>
      </c>
      <c r="C685" s="49" t="s">
        <v>2576</v>
      </c>
      <c r="D685" s="49" t="s">
        <v>2660</v>
      </c>
      <c r="E685" s="241"/>
      <c r="F685" s="241"/>
      <c r="G685" s="241"/>
      <c r="H685" s="240"/>
      <c r="I685" s="241"/>
      <c r="J685" s="241"/>
      <c r="K685" s="241"/>
      <c r="L685" s="240"/>
      <c r="M685" s="244"/>
      <c r="N685" s="240"/>
      <c r="O685" s="244"/>
      <c r="P685" s="243"/>
      <c r="Q685" s="243"/>
      <c r="R685" s="243"/>
      <c r="S685" s="243"/>
      <c r="T685" s="243"/>
      <c r="U685" s="221"/>
      <c r="V685" s="50"/>
      <c r="W685" s="221"/>
      <c r="X685" s="221"/>
      <c r="Y685" s="221"/>
      <c r="Z685" s="221"/>
      <c r="AA685" s="221"/>
      <c r="AB685" s="221"/>
      <c r="AC685" s="221">
        <v>18900000</v>
      </c>
      <c r="AD685" s="223"/>
      <c r="AE685" s="221"/>
      <c r="AF685" s="221"/>
      <c r="AG685" s="50"/>
      <c r="AH685" s="50"/>
      <c r="AI685" s="50"/>
      <c r="AJ685" s="59" t="s">
        <v>1556</v>
      </c>
      <c r="AK685" s="1"/>
      <c r="AL685" s="1"/>
      <c r="AM685" s="1"/>
    </row>
    <row r="686" spans="1:39" ht="12.75" customHeight="1">
      <c r="A686" s="63">
        <v>74</v>
      </c>
      <c r="B686" s="238" t="s">
        <v>27</v>
      </c>
      <c r="C686" s="49" t="s">
        <v>2560</v>
      </c>
      <c r="D686" s="49" t="s">
        <v>2661</v>
      </c>
      <c r="E686" s="241"/>
      <c r="F686" s="241"/>
      <c r="G686" s="241"/>
      <c r="H686" s="240"/>
      <c r="I686" s="241"/>
      <c r="J686" s="241"/>
      <c r="K686" s="241"/>
      <c r="L686" s="240"/>
      <c r="M686" s="244"/>
      <c r="N686" s="240"/>
      <c r="O686" s="244"/>
      <c r="P686" s="243"/>
      <c r="Q686" s="243"/>
      <c r="R686" s="243"/>
      <c r="S686" s="243"/>
      <c r="T686" s="243"/>
      <c r="U686" s="221"/>
      <c r="V686" s="50"/>
      <c r="W686" s="221"/>
      <c r="X686" s="221"/>
      <c r="Y686" s="221"/>
      <c r="Z686" s="221"/>
      <c r="AA686" s="221"/>
      <c r="AB686" s="221"/>
      <c r="AC686" s="221">
        <v>20000000</v>
      </c>
      <c r="AD686" s="223"/>
      <c r="AE686" s="221"/>
      <c r="AF686" s="221"/>
      <c r="AG686" s="50"/>
      <c r="AH686" s="50"/>
      <c r="AI686" s="50"/>
      <c r="AJ686" s="59" t="s">
        <v>1765</v>
      </c>
      <c r="AK686" s="1"/>
      <c r="AL686" s="1"/>
      <c r="AM686" s="1"/>
    </row>
    <row r="687" spans="1:39" ht="12.75" hidden="1" customHeight="1">
      <c r="A687" s="63">
        <v>75</v>
      </c>
      <c r="B687" s="238" t="s">
        <v>40</v>
      </c>
      <c r="C687" s="49" t="s">
        <v>2625</v>
      </c>
      <c r="D687" s="49" t="s">
        <v>2648</v>
      </c>
      <c r="E687" s="241"/>
      <c r="F687" s="241"/>
      <c r="G687" s="241"/>
      <c r="H687" s="240"/>
      <c r="I687" s="241"/>
      <c r="J687" s="241"/>
      <c r="K687" s="241"/>
      <c r="L687" s="240"/>
      <c r="M687" s="244"/>
      <c r="N687" s="240"/>
      <c r="O687" s="244"/>
      <c r="P687" s="243"/>
      <c r="Q687" s="243"/>
      <c r="R687" s="243"/>
      <c r="S687" s="243"/>
      <c r="T687" s="243"/>
      <c r="U687" s="221"/>
      <c r="V687" s="50"/>
      <c r="W687" s="221"/>
      <c r="X687" s="221"/>
      <c r="Y687" s="221"/>
      <c r="Z687" s="221"/>
      <c r="AA687" s="221"/>
      <c r="AB687" s="221"/>
      <c r="AC687" s="221"/>
      <c r="AD687" s="223">
        <v>25000000</v>
      </c>
      <c r="AE687" s="221"/>
      <c r="AF687" s="221"/>
      <c r="AG687" s="50"/>
      <c r="AH687" s="50"/>
      <c r="AI687" s="50"/>
      <c r="AJ687" s="59" t="s">
        <v>1765</v>
      </c>
      <c r="AK687" s="1"/>
      <c r="AL687" s="1"/>
      <c r="AM687" s="1"/>
    </row>
    <row r="688" spans="1:39" ht="12.75" hidden="1" customHeight="1">
      <c r="A688" s="63">
        <v>76</v>
      </c>
      <c r="B688" s="238" t="s">
        <v>40</v>
      </c>
      <c r="C688" s="49" t="s">
        <v>2592</v>
      </c>
      <c r="D688" s="49" t="s">
        <v>2662</v>
      </c>
      <c r="E688" s="241"/>
      <c r="F688" s="241"/>
      <c r="G688" s="241"/>
      <c r="H688" s="240"/>
      <c r="I688" s="241"/>
      <c r="J688" s="241"/>
      <c r="K688" s="241"/>
      <c r="L688" s="240"/>
      <c r="M688" s="244"/>
      <c r="N688" s="240"/>
      <c r="O688" s="244"/>
      <c r="P688" s="243"/>
      <c r="Q688" s="243"/>
      <c r="R688" s="243"/>
      <c r="S688" s="243"/>
      <c r="T688" s="243"/>
      <c r="U688" s="221"/>
      <c r="V688" s="50"/>
      <c r="W688" s="221"/>
      <c r="X688" s="221"/>
      <c r="Y688" s="221"/>
      <c r="Z688" s="221"/>
      <c r="AA688" s="221"/>
      <c r="AB688" s="221"/>
      <c r="AC688" s="70"/>
      <c r="AD688" s="223">
        <v>1000000000</v>
      </c>
      <c r="AE688" s="221"/>
      <c r="AF688" s="221"/>
      <c r="AG688" s="50"/>
      <c r="AH688" s="50"/>
      <c r="AI688" s="50"/>
      <c r="AJ688" s="59" t="s">
        <v>1556</v>
      </c>
      <c r="AK688" s="1"/>
      <c r="AL688" s="1"/>
      <c r="AM688" s="1"/>
    </row>
    <row r="689" spans="1:39" ht="12.75" hidden="1" customHeight="1">
      <c r="A689" s="63">
        <v>77</v>
      </c>
      <c r="B689" s="238" t="s">
        <v>40</v>
      </c>
      <c r="C689" s="49" t="s">
        <v>2601</v>
      </c>
      <c r="D689" s="49" t="s">
        <v>2663</v>
      </c>
      <c r="E689" s="241"/>
      <c r="F689" s="241"/>
      <c r="G689" s="241"/>
      <c r="H689" s="240"/>
      <c r="I689" s="241"/>
      <c r="J689" s="241"/>
      <c r="K689" s="241"/>
      <c r="L689" s="240"/>
      <c r="M689" s="244"/>
      <c r="N689" s="240"/>
      <c r="O689" s="244"/>
      <c r="P689" s="243"/>
      <c r="Q689" s="243"/>
      <c r="R689" s="243"/>
      <c r="S689" s="243"/>
      <c r="T689" s="243"/>
      <c r="U689" s="221"/>
      <c r="V689" s="50"/>
      <c r="W689" s="221"/>
      <c r="X689" s="221"/>
      <c r="Y689" s="221"/>
      <c r="Z689" s="221"/>
      <c r="AA689" s="221"/>
      <c r="AB689" s="221"/>
      <c r="AC689" s="246">
        <v>14208300</v>
      </c>
      <c r="AD689" s="223"/>
      <c r="AE689" s="221"/>
      <c r="AF689" s="221"/>
      <c r="AG689" s="50"/>
      <c r="AH689" s="50"/>
      <c r="AI689" s="50"/>
      <c r="AJ689" s="59" t="s">
        <v>1765</v>
      </c>
      <c r="AK689" s="1"/>
      <c r="AL689" s="1"/>
      <c r="AM689" s="1"/>
    </row>
    <row r="690" spans="1:39" ht="12.75" hidden="1" customHeight="1">
      <c r="A690" s="63">
        <v>78</v>
      </c>
      <c r="B690" s="238" t="s">
        <v>40</v>
      </c>
      <c r="C690" s="49" t="s">
        <v>2601</v>
      </c>
      <c r="D690" s="49" t="s">
        <v>2664</v>
      </c>
      <c r="E690" s="241"/>
      <c r="F690" s="241"/>
      <c r="G690" s="241"/>
      <c r="H690" s="240"/>
      <c r="I690" s="241"/>
      <c r="J690" s="241"/>
      <c r="K690" s="241"/>
      <c r="L690" s="240"/>
      <c r="M690" s="244"/>
      <c r="N690" s="240"/>
      <c r="O690" s="244"/>
      <c r="P690" s="243"/>
      <c r="Q690" s="243"/>
      <c r="R690" s="243"/>
      <c r="S690" s="243"/>
      <c r="T690" s="243"/>
      <c r="U690" s="221"/>
      <c r="V690" s="50"/>
      <c r="W690" s="221"/>
      <c r="X690" s="221"/>
      <c r="Y690" s="221"/>
      <c r="Z690" s="221"/>
      <c r="AA690" s="221"/>
      <c r="AB690" s="221"/>
      <c r="AC690" s="221">
        <v>32000000</v>
      </c>
      <c r="AD690" s="223"/>
      <c r="AE690" s="221"/>
      <c r="AF690" s="221"/>
      <c r="AG690" s="50"/>
      <c r="AH690" s="50"/>
      <c r="AI690" s="50"/>
      <c r="AJ690" s="59" t="s">
        <v>1556</v>
      </c>
      <c r="AK690" s="1"/>
      <c r="AL690" s="1"/>
      <c r="AM690" s="1"/>
    </row>
    <row r="691" spans="1:39" ht="12.75" hidden="1" customHeight="1">
      <c r="A691" s="63">
        <v>79</v>
      </c>
      <c r="B691" s="238" t="s">
        <v>40</v>
      </c>
      <c r="C691" s="49" t="s">
        <v>2638</v>
      </c>
      <c r="D691" s="49" t="s">
        <v>2665</v>
      </c>
      <c r="E691" s="241"/>
      <c r="F691" s="241"/>
      <c r="G691" s="241"/>
      <c r="H691" s="240"/>
      <c r="I691" s="241"/>
      <c r="J691" s="241"/>
      <c r="K691" s="241"/>
      <c r="L691" s="240"/>
      <c r="M691" s="244"/>
      <c r="N691" s="240"/>
      <c r="O691" s="244"/>
      <c r="P691" s="243"/>
      <c r="Q691" s="243"/>
      <c r="R691" s="243"/>
      <c r="S691" s="243"/>
      <c r="T691" s="243"/>
      <c r="U691" s="221"/>
      <c r="V691" s="50"/>
      <c r="W691" s="221"/>
      <c r="X691" s="221"/>
      <c r="Y691" s="221"/>
      <c r="Z691" s="221"/>
      <c r="AA691" s="221"/>
      <c r="AB691" s="221"/>
      <c r="AC691" s="221">
        <v>16000000</v>
      </c>
      <c r="AD691" s="223"/>
      <c r="AE691" s="221"/>
      <c r="AF691" s="221"/>
      <c r="AG691" s="50"/>
      <c r="AH691" s="50"/>
      <c r="AI691" s="50"/>
      <c r="AJ691" s="59" t="s">
        <v>1556</v>
      </c>
      <c r="AK691" s="1"/>
      <c r="AL691" s="1"/>
      <c r="AM691" s="1"/>
    </row>
    <row r="692" spans="1:39" ht="12.75" hidden="1" customHeight="1">
      <c r="A692" s="63">
        <v>80</v>
      </c>
      <c r="B692" s="238" t="s">
        <v>40</v>
      </c>
      <c r="C692" s="49" t="s">
        <v>2666</v>
      </c>
      <c r="D692" s="49" t="s">
        <v>2667</v>
      </c>
      <c r="E692" s="241"/>
      <c r="F692" s="241"/>
      <c r="G692" s="241"/>
      <c r="H692" s="240"/>
      <c r="I692" s="241"/>
      <c r="J692" s="241"/>
      <c r="K692" s="241"/>
      <c r="L692" s="240"/>
      <c r="M692" s="244"/>
      <c r="N692" s="240"/>
      <c r="O692" s="244"/>
      <c r="P692" s="243"/>
      <c r="Q692" s="243"/>
      <c r="R692" s="243"/>
      <c r="S692" s="243"/>
      <c r="T692" s="243"/>
      <c r="U692" s="221"/>
      <c r="V692" s="50"/>
      <c r="W692" s="221"/>
      <c r="X692" s="221"/>
      <c r="Y692" s="221"/>
      <c r="Z692" s="221"/>
      <c r="AA692" s="221"/>
      <c r="AB692" s="221"/>
      <c r="AC692" s="221">
        <v>10000000</v>
      </c>
      <c r="AD692" s="223"/>
      <c r="AE692" s="221"/>
      <c r="AF692" s="221"/>
      <c r="AG692" s="50"/>
      <c r="AH692" s="50"/>
      <c r="AI692" s="50"/>
      <c r="AJ692" s="59" t="s">
        <v>1765</v>
      </c>
      <c r="AK692" s="1"/>
      <c r="AL692" s="1"/>
      <c r="AM692" s="1"/>
    </row>
    <row r="693" spans="1:39" ht="12.75" hidden="1" customHeight="1">
      <c r="A693" s="63">
        <v>81</v>
      </c>
      <c r="B693" s="238" t="s">
        <v>40</v>
      </c>
      <c r="C693" s="49" t="s">
        <v>2668</v>
      </c>
      <c r="D693" s="49" t="s">
        <v>2669</v>
      </c>
      <c r="E693" s="241"/>
      <c r="F693" s="241"/>
      <c r="G693" s="241"/>
      <c r="H693" s="240"/>
      <c r="I693" s="241"/>
      <c r="J693" s="241"/>
      <c r="K693" s="241"/>
      <c r="L693" s="240"/>
      <c r="M693" s="244"/>
      <c r="N693" s="240"/>
      <c r="O693" s="244"/>
      <c r="P693" s="243"/>
      <c r="Q693" s="243"/>
      <c r="R693" s="243"/>
      <c r="S693" s="243"/>
      <c r="T693" s="243"/>
      <c r="U693" s="221"/>
      <c r="V693" s="50"/>
      <c r="W693" s="221"/>
      <c r="X693" s="221"/>
      <c r="Y693" s="221"/>
      <c r="Z693" s="221"/>
      <c r="AA693" s="221"/>
      <c r="AB693" s="221"/>
      <c r="AC693" s="221"/>
      <c r="AD693" s="223">
        <v>6290000</v>
      </c>
      <c r="AE693" s="221"/>
      <c r="AF693" s="221"/>
      <c r="AG693" s="50"/>
      <c r="AH693" s="50"/>
      <c r="AI693" s="50"/>
      <c r="AJ693" s="59" t="s">
        <v>1765</v>
      </c>
      <c r="AK693" s="1"/>
      <c r="AL693" s="1"/>
      <c r="AM693" s="1"/>
    </row>
    <row r="694" spans="1:39" ht="12.75" hidden="1" customHeight="1">
      <c r="A694" s="63">
        <v>82</v>
      </c>
      <c r="B694" s="238" t="s">
        <v>40</v>
      </c>
      <c r="C694" s="49" t="s">
        <v>2546</v>
      </c>
      <c r="D694" s="49" t="s">
        <v>2670</v>
      </c>
      <c r="E694" s="241"/>
      <c r="F694" s="241"/>
      <c r="G694" s="241"/>
      <c r="H694" s="240"/>
      <c r="I694" s="241"/>
      <c r="J694" s="241"/>
      <c r="K694" s="241"/>
      <c r="L694" s="240"/>
      <c r="M694" s="244"/>
      <c r="N694" s="240"/>
      <c r="O694" s="244"/>
      <c r="P694" s="243"/>
      <c r="Q694" s="243"/>
      <c r="R694" s="243"/>
      <c r="S694" s="243"/>
      <c r="T694" s="243"/>
      <c r="U694" s="221"/>
      <c r="V694" s="50"/>
      <c r="W694" s="221"/>
      <c r="X694" s="221"/>
      <c r="Y694" s="221"/>
      <c r="Z694" s="221"/>
      <c r="AA694" s="221"/>
      <c r="AB694" s="221"/>
      <c r="AC694" s="221"/>
      <c r="AD694" s="223">
        <v>4537500</v>
      </c>
      <c r="AE694" s="221"/>
      <c r="AF694" s="221"/>
      <c r="AG694" s="50"/>
      <c r="AH694" s="50"/>
      <c r="AI694" s="50"/>
      <c r="AJ694" s="59" t="s">
        <v>1765</v>
      </c>
      <c r="AK694" s="1"/>
      <c r="AL694" s="1"/>
      <c r="AM694" s="1"/>
    </row>
    <row r="695" spans="1:39" ht="12.75" hidden="1" customHeight="1">
      <c r="A695" s="63">
        <v>83</v>
      </c>
      <c r="B695" s="238" t="s">
        <v>40</v>
      </c>
      <c r="C695" s="49" t="s">
        <v>2671</v>
      </c>
      <c r="D695" s="49" t="s">
        <v>2672</v>
      </c>
      <c r="E695" s="241"/>
      <c r="F695" s="241"/>
      <c r="G695" s="241"/>
      <c r="H695" s="240"/>
      <c r="I695" s="241"/>
      <c r="J695" s="241"/>
      <c r="K695" s="241"/>
      <c r="L695" s="240"/>
      <c r="M695" s="244"/>
      <c r="N695" s="240"/>
      <c r="O695" s="244"/>
      <c r="P695" s="243"/>
      <c r="Q695" s="243"/>
      <c r="R695" s="243"/>
      <c r="S695" s="243"/>
      <c r="T695" s="243"/>
      <c r="U695" s="221"/>
      <c r="V695" s="50"/>
      <c r="W695" s="221"/>
      <c r="X695" s="221"/>
      <c r="Y695" s="221"/>
      <c r="Z695" s="221"/>
      <c r="AA695" s="221"/>
      <c r="AB695" s="221"/>
      <c r="AC695" s="221"/>
      <c r="AD695" s="223">
        <v>500000000</v>
      </c>
      <c r="AE695" s="221"/>
      <c r="AF695" s="221"/>
      <c r="AG695" s="50"/>
      <c r="AH695" s="50"/>
      <c r="AI695" s="50"/>
      <c r="AJ695" s="59" t="s">
        <v>1556</v>
      </c>
      <c r="AK695" s="1"/>
      <c r="AL695" s="1"/>
      <c r="AM695" s="1"/>
    </row>
    <row r="696" spans="1:39" ht="12.75" hidden="1" customHeight="1">
      <c r="A696" s="63">
        <v>84</v>
      </c>
      <c r="B696" s="238" t="s">
        <v>40</v>
      </c>
      <c r="C696" s="49" t="s">
        <v>2560</v>
      </c>
      <c r="D696" s="49" t="s">
        <v>2673</v>
      </c>
      <c r="E696" s="241"/>
      <c r="F696" s="241"/>
      <c r="G696" s="241"/>
      <c r="H696" s="240"/>
      <c r="I696" s="241"/>
      <c r="J696" s="241"/>
      <c r="K696" s="241"/>
      <c r="L696" s="240"/>
      <c r="M696" s="244"/>
      <c r="N696" s="240"/>
      <c r="O696" s="244"/>
      <c r="P696" s="243"/>
      <c r="Q696" s="243"/>
      <c r="R696" s="243"/>
      <c r="S696" s="243"/>
      <c r="T696" s="243"/>
      <c r="U696" s="221"/>
      <c r="V696" s="50"/>
      <c r="W696" s="221"/>
      <c r="X696" s="221"/>
      <c r="Y696" s="221"/>
      <c r="Z696" s="221"/>
      <c r="AA696" s="221"/>
      <c r="AB696" s="221"/>
      <c r="AC696" s="221"/>
      <c r="AD696" s="223">
        <v>40680000</v>
      </c>
      <c r="AE696" s="221"/>
      <c r="AF696" s="221"/>
      <c r="AG696" s="50"/>
      <c r="AH696" s="50"/>
      <c r="AI696" s="50"/>
      <c r="AJ696" s="59" t="s">
        <v>1765</v>
      </c>
      <c r="AK696" s="1"/>
      <c r="AL696" s="1"/>
      <c r="AM696" s="1"/>
    </row>
    <row r="697" spans="1:39" ht="12.75" hidden="1" customHeight="1">
      <c r="A697" s="63">
        <v>85</v>
      </c>
      <c r="B697" s="238" t="s">
        <v>40</v>
      </c>
      <c r="C697" s="49" t="s">
        <v>2674</v>
      </c>
      <c r="D697" s="49" t="s">
        <v>2675</v>
      </c>
      <c r="E697" s="241"/>
      <c r="F697" s="241"/>
      <c r="G697" s="241"/>
      <c r="H697" s="240"/>
      <c r="I697" s="241"/>
      <c r="J697" s="241"/>
      <c r="K697" s="241"/>
      <c r="L697" s="240"/>
      <c r="M697" s="244"/>
      <c r="N697" s="240"/>
      <c r="O697" s="244"/>
      <c r="P697" s="243"/>
      <c r="Q697" s="243"/>
      <c r="R697" s="243"/>
      <c r="S697" s="243"/>
      <c r="T697" s="243"/>
      <c r="U697" s="221"/>
      <c r="V697" s="50"/>
      <c r="W697" s="221"/>
      <c r="X697" s="221"/>
      <c r="Y697" s="221"/>
      <c r="Z697" s="221"/>
      <c r="AA697" s="221"/>
      <c r="AB697" s="221"/>
      <c r="AC697" s="221"/>
      <c r="AD697" s="223">
        <v>117000000</v>
      </c>
      <c r="AE697" s="221"/>
      <c r="AF697" s="221"/>
      <c r="AG697" s="50"/>
      <c r="AH697" s="50"/>
      <c r="AI697" s="50"/>
      <c r="AJ697" s="59" t="s">
        <v>1556</v>
      </c>
      <c r="AK697" s="1"/>
      <c r="AL697" s="1"/>
      <c r="AM697" s="1"/>
    </row>
    <row r="698" spans="1:39" ht="12.75" customHeight="1">
      <c r="A698" s="63">
        <v>86</v>
      </c>
      <c r="B698" s="238" t="s">
        <v>27</v>
      </c>
      <c r="C698" s="49" t="s">
        <v>2676</v>
      </c>
      <c r="D698" s="49" t="s">
        <v>2677</v>
      </c>
      <c r="E698" s="241"/>
      <c r="F698" s="241"/>
      <c r="G698" s="241"/>
      <c r="H698" s="240"/>
      <c r="I698" s="241"/>
      <c r="J698" s="241"/>
      <c r="K698" s="241"/>
      <c r="L698" s="240"/>
      <c r="M698" s="244"/>
      <c r="N698" s="240"/>
      <c r="O698" s="244"/>
      <c r="P698" s="243"/>
      <c r="Q698" s="243"/>
      <c r="R698" s="243"/>
      <c r="S698" s="243"/>
      <c r="T698" s="243"/>
      <c r="U698" s="221"/>
      <c r="V698" s="50"/>
      <c r="W698" s="221"/>
      <c r="X698" s="221"/>
      <c r="Y698" s="221"/>
      <c r="Z698" s="221"/>
      <c r="AA698" s="221"/>
      <c r="AB698" s="221"/>
      <c r="AC698" s="221"/>
      <c r="AD698" s="223"/>
      <c r="AE698" s="221"/>
      <c r="AF698" s="221">
        <v>140000000</v>
      </c>
      <c r="AG698" s="50"/>
      <c r="AH698" s="50"/>
      <c r="AI698" s="50"/>
      <c r="AJ698" s="59" t="s">
        <v>34</v>
      </c>
      <c r="AK698" s="1"/>
      <c r="AL698" s="1"/>
      <c r="AM698" s="1"/>
    </row>
    <row r="699" spans="1:39" ht="12.75" customHeight="1">
      <c r="A699" s="63">
        <v>87</v>
      </c>
      <c r="B699" s="238" t="s">
        <v>27</v>
      </c>
      <c r="C699" s="49" t="s">
        <v>2678</v>
      </c>
      <c r="D699" s="49" t="s">
        <v>2679</v>
      </c>
      <c r="E699" s="241"/>
      <c r="F699" s="241"/>
      <c r="G699" s="241"/>
      <c r="H699" s="240"/>
      <c r="I699" s="241"/>
      <c r="J699" s="241"/>
      <c r="K699" s="241"/>
      <c r="L699" s="240"/>
      <c r="M699" s="244"/>
      <c r="N699" s="240"/>
      <c r="O699" s="244"/>
      <c r="P699" s="243"/>
      <c r="Q699" s="243"/>
      <c r="R699" s="243"/>
      <c r="S699" s="243"/>
      <c r="T699" s="243"/>
      <c r="U699" s="221"/>
      <c r="V699" s="50"/>
      <c r="W699" s="221"/>
      <c r="X699" s="221"/>
      <c r="Y699" s="221"/>
      <c r="Z699" s="221"/>
      <c r="AA699" s="221"/>
      <c r="AB699" s="221"/>
      <c r="AC699" s="221"/>
      <c r="AD699" s="223"/>
      <c r="AE699" s="221"/>
      <c r="AF699" s="221">
        <v>200000000</v>
      </c>
      <c r="AG699" s="50"/>
      <c r="AH699" s="50"/>
      <c r="AI699" s="50"/>
      <c r="AJ699" s="59" t="s">
        <v>34</v>
      </c>
      <c r="AK699" s="1"/>
      <c r="AL699" s="1"/>
      <c r="AM699" s="1"/>
    </row>
    <row r="700" spans="1:39" ht="12.75" hidden="1" customHeight="1">
      <c r="A700" s="63">
        <v>88</v>
      </c>
      <c r="B700" s="238" t="s">
        <v>40</v>
      </c>
      <c r="C700" s="49" t="s">
        <v>2580</v>
      </c>
      <c r="D700" s="49" t="s">
        <v>2680</v>
      </c>
      <c r="E700" s="241"/>
      <c r="F700" s="241"/>
      <c r="G700" s="241"/>
      <c r="H700" s="240"/>
      <c r="I700" s="241"/>
      <c r="J700" s="241"/>
      <c r="K700" s="241"/>
      <c r="L700" s="240"/>
      <c r="M700" s="244"/>
      <c r="N700" s="240"/>
      <c r="O700" s="244"/>
      <c r="P700" s="243"/>
      <c r="Q700" s="243"/>
      <c r="R700" s="243"/>
      <c r="S700" s="243"/>
      <c r="T700" s="243"/>
      <c r="U700" s="221"/>
      <c r="V700" s="50"/>
      <c r="W700" s="221"/>
      <c r="X700" s="221"/>
      <c r="Y700" s="221"/>
      <c r="Z700" s="221"/>
      <c r="AA700" s="221"/>
      <c r="AB700" s="221"/>
      <c r="AC700" s="221"/>
      <c r="AD700" s="223"/>
      <c r="AE700" s="221">
        <v>30000000</v>
      </c>
      <c r="AF700" s="221"/>
      <c r="AG700" s="50"/>
      <c r="AH700" s="50"/>
      <c r="AI700" s="50"/>
      <c r="AJ700" s="59" t="s">
        <v>1556</v>
      </c>
      <c r="AK700" s="1"/>
      <c r="AL700" s="1"/>
      <c r="AM700" s="1"/>
    </row>
    <row r="701" spans="1:39" ht="12.75" hidden="1" customHeight="1">
      <c r="A701" s="63">
        <v>89</v>
      </c>
      <c r="B701" s="238" t="s">
        <v>40</v>
      </c>
      <c r="C701" s="49" t="s">
        <v>2681</v>
      </c>
      <c r="D701" s="49" t="s">
        <v>2682</v>
      </c>
      <c r="E701" s="241"/>
      <c r="F701" s="241"/>
      <c r="G701" s="241"/>
      <c r="H701" s="240"/>
      <c r="I701" s="241"/>
      <c r="J701" s="241"/>
      <c r="K701" s="241"/>
      <c r="L701" s="240"/>
      <c r="M701" s="244"/>
      <c r="N701" s="240"/>
      <c r="O701" s="244"/>
      <c r="P701" s="243"/>
      <c r="Q701" s="243"/>
      <c r="R701" s="243"/>
      <c r="S701" s="243"/>
      <c r="T701" s="243"/>
      <c r="U701" s="221"/>
      <c r="V701" s="50"/>
      <c r="W701" s="221"/>
      <c r="X701" s="221"/>
      <c r="Y701" s="221"/>
      <c r="Z701" s="221"/>
      <c r="AA701" s="221"/>
      <c r="AB701" s="221"/>
      <c r="AC701" s="221"/>
      <c r="AD701" s="223"/>
      <c r="AE701" s="221">
        <v>31500000</v>
      </c>
      <c r="AF701" s="221"/>
      <c r="AG701" s="50"/>
      <c r="AH701" s="50"/>
      <c r="AI701" s="50"/>
      <c r="AJ701" s="59" t="s">
        <v>1556</v>
      </c>
      <c r="AK701" s="1"/>
      <c r="AL701" s="1"/>
      <c r="AM701" s="1"/>
    </row>
    <row r="702" spans="1:39" ht="12.75" customHeight="1">
      <c r="A702" s="63">
        <v>90</v>
      </c>
      <c r="B702" s="238" t="s">
        <v>27</v>
      </c>
      <c r="C702" s="49" t="s">
        <v>2623</v>
      </c>
      <c r="D702" s="49" t="s">
        <v>2683</v>
      </c>
      <c r="E702" s="241"/>
      <c r="F702" s="241"/>
      <c r="G702" s="241"/>
      <c r="H702" s="240"/>
      <c r="I702" s="241"/>
      <c r="J702" s="241"/>
      <c r="K702" s="241"/>
      <c r="L702" s="240"/>
      <c r="M702" s="244"/>
      <c r="N702" s="240"/>
      <c r="O702" s="244"/>
      <c r="P702" s="243"/>
      <c r="Q702" s="243"/>
      <c r="R702" s="243"/>
      <c r="S702" s="243"/>
      <c r="T702" s="243"/>
      <c r="U702" s="221"/>
      <c r="V702" s="50"/>
      <c r="W702" s="221"/>
      <c r="X702" s="221"/>
      <c r="Y702" s="221"/>
      <c r="Z702" s="221"/>
      <c r="AA702" s="221"/>
      <c r="AB702" s="221"/>
      <c r="AC702" s="221"/>
      <c r="AD702" s="223"/>
      <c r="AE702" s="221">
        <v>20000000</v>
      </c>
      <c r="AF702" s="221"/>
      <c r="AG702" s="50"/>
      <c r="AH702" s="50"/>
      <c r="AI702" s="50"/>
      <c r="AJ702" s="59" t="s">
        <v>1556</v>
      </c>
      <c r="AK702" s="1"/>
      <c r="AL702" s="1"/>
      <c r="AM702" s="1"/>
    </row>
    <row r="703" spans="1:39" ht="12.75" customHeight="1">
      <c r="A703" s="63">
        <v>91</v>
      </c>
      <c r="B703" s="238" t="s">
        <v>27</v>
      </c>
      <c r="C703" s="49" t="s">
        <v>2614</v>
      </c>
      <c r="D703" s="49" t="s">
        <v>2684</v>
      </c>
      <c r="E703" s="241"/>
      <c r="F703" s="241"/>
      <c r="G703" s="241"/>
      <c r="H703" s="240"/>
      <c r="I703" s="241"/>
      <c r="J703" s="241"/>
      <c r="K703" s="241"/>
      <c r="L703" s="240"/>
      <c r="M703" s="244"/>
      <c r="N703" s="240"/>
      <c r="O703" s="244"/>
      <c r="P703" s="243"/>
      <c r="Q703" s="243"/>
      <c r="R703" s="243"/>
      <c r="S703" s="243"/>
      <c r="T703" s="243"/>
      <c r="U703" s="221"/>
      <c r="V703" s="50"/>
      <c r="W703" s="221"/>
      <c r="X703" s="221"/>
      <c r="Y703" s="221"/>
      <c r="Z703" s="221"/>
      <c r="AA703" s="221"/>
      <c r="AB703" s="221"/>
      <c r="AC703" s="221"/>
      <c r="AD703" s="223"/>
      <c r="AE703" s="221"/>
      <c r="AF703" s="221">
        <v>150000000</v>
      </c>
      <c r="AG703" s="50"/>
      <c r="AH703" s="50"/>
      <c r="AI703" s="50"/>
      <c r="AJ703" s="59" t="s">
        <v>34</v>
      </c>
      <c r="AK703" s="1"/>
      <c r="AL703" s="1"/>
      <c r="AM703" s="1"/>
    </row>
    <row r="704" spans="1:39" ht="12.75" customHeight="1">
      <c r="A704" s="63">
        <v>92</v>
      </c>
      <c r="B704" s="238" t="s">
        <v>27</v>
      </c>
      <c r="C704" s="49" t="s">
        <v>2544</v>
      </c>
      <c r="D704" s="49" t="s">
        <v>2582</v>
      </c>
      <c r="E704" s="241"/>
      <c r="F704" s="241"/>
      <c r="G704" s="241"/>
      <c r="H704" s="240"/>
      <c r="I704" s="241"/>
      <c r="J704" s="241"/>
      <c r="K704" s="241"/>
      <c r="L704" s="240"/>
      <c r="M704" s="244"/>
      <c r="N704" s="240"/>
      <c r="O704" s="244"/>
      <c r="P704" s="243"/>
      <c r="Q704" s="243"/>
      <c r="R704" s="243"/>
      <c r="S704" s="243"/>
      <c r="T704" s="243"/>
      <c r="U704" s="221"/>
      <c r="V704" s="50"/>
      <c r="W704" s="221"/>
      <c r="X704" s="221"/>
      <c r="Y704" s="221"/>
      <c r="Z704" s="221"/>
      <c r="AA704" s="221"/>
      <c r="AB704" s="221"/>
      <c r="AC704" s="221"/>
      <c r="AD704" s="223"/>
      <c r="AE704" s="221"/>
      <c r="AF704" s="221">
        <v>11000000</v>
      </c>
      <c r="AG704" s="50"/>
      <c r="AH704" s="50"/>
      <c r="AI704" s="50"/>
      <c r="AJ704" s="59" t="s">
        <v>2210</v>
      </c>
      <c r="AK704" s="1"/>
      <c r="AL704" s="1"/>
      <c r="AM704" s="1"/>
    </row>
    <row r="705" spans="1:39" ht="12.75" customHeight="1">
      <c r="A705" s="63">
        <v>89</v>
      </c>
      <c r="B705" s="238" t="s">
        <v>27</v>
      </c>
      <c r="C705" s="49" t="s">
        <v>2580</v>
      </c>
      <c r="D705" s="49" t="s">
        <v>2685</v>
      </c>
      <c r="E705" s="241"/>
      <c r="F705" s="241"/>
      <c r="G705" s="241"/>
      <c r="H705" s="240"/>
      <c r="I705" s="241"/>
      <c r="J705" s="241"/>
      <c r="K705" s="241"/>
      <c r="L705" s="240"/>
      <c r="M705" s="244"/>
      <c r="N705" s="240"/>
      <c r="O705" s="244"/>
      <c r="P705" s="243"/>
      <c r="Q705" s="243"/>
      <c r="R705" s="243"/>
      <c r="S705" s="243"/>
      <c r="T705" s="243"/>
      <c r="U705" s="221"/>
      <c r="V705" s="50"/>
      <c r="W705" s="221"/>
      <c r="X705" s="221"/>
      <c r="Y705" s="221"/>
      <c r="Z705" s="221"/>
      <c r="AA705" s="221"/>
      <c r="AB705" s="221"/>
      <c r="AC705" s="221"/>
      <c r="AD705" s="223"/>
      <c r="AE705" s="221"/>
      <c r="AF705" s="221">
        <v>33000000</v>
      </c>
      <c r="AG705" s="50"/>
      <c r="AH705" s="50"/>
      <c r="AI705" s="50"/>
      <c r="AJ705" s="59" t="s">
        <v>2210</v>
      </c>
      <c r="AK705" s="1"/>
      <c r="AL705" s="1"/>
      <c r="AM705" s="1"/>
    </row>
    <row r="706" spans="1:39" ht="12.75" hidden="1" customHeight="1">
      <c r="A706" s="63">
        <v>90</v>
      </c>
      <c r="B706" s="238" t="s">
        <v>40</v>
      </c>
      <c r="C706" s="49" t="s">
        <v>2686</v>
      </c>
      <c r="D706" s="49" t="s">
        <v>2687</v>
      </c>
      <c r="E706" s="241"/>
      <c r="F706" s="241"/>
      <c r="G706" s="241"/>
      <c r="H706" s="240"/>
      <c r="I706" s="241"/>
      <c r="J706" s="241"/>
      <c r="K706" s="241"/>
      <c r="L706" s="240"/>
      <c r="M706" s="244"/>
      <c r="N706" s="240"/>
      <c r="O706" s="244"/>
      <c r="P706" s="243"/>
      <c r="Q706" s="243"/>
      <c r="R706" s="243"/>
      <c r="S706" s="243"/>
      <c r="T706" s="243"/>
      <c r="U706" s="221"/>
      <c r="V706" s="50"/>
      <c r="W706" s="221"/>
      <c r="X706" s="221"/>
      <c r="Y706" s="221"/>
      <c r="Z706" s="221"/>
      <c r="AA706" s="221"/>
      <c r="AB706" s="221"/>
      <c r="AC706" s="221"/>
      <c r="AD706" s="223"/>
      <c r="AE706" s="221">
        <v>58000000</v>
      </c>
      <c r="AF706" s="221"/>
      <c r="AG706" s="50"/>
      <c r="AH706" s="50"/>
      <c r="AI706" s="50"/>
      <c r="AJ706" s="59" t="s">
        <v>1556</v>
      </c>
      <c r="AK706" s="1"/>
      <c r="AL706" s="1"/>
      <c r="AM706" s="1"/>
    </row>
    <row r="707" spans="1:39" ht="12.75" customHeight="1">
      <c r="A707" s="63">
        <v>91</v>
      </c>
      <c r="B707" s="238" t="s">
        <v>27</v>
      </c>
      <c r="C707" s="49" t="s">
        <v>2601</v>
      </c>
      <c r="D707" s="49" t="s">
        <v>2688</v>
      </c>
      <c r="E707" s="241"/>
      <c r="F707" s="241"/>
      <c r="G707" s="241"/>
      <c r="H707" s="240"/>
      <c r="I707" s="241"/>
      <c r="J707" s="241"/>
      <c r="K707" s="241"/>
      <c r="L707" s="240"/>
      <c r="M707" s="244"/>
      <c r="N707" s="240"/>
      <c r="O707" s="244"/>
      <c r="P707" s="243"/>
      <c r="Q707" s="243"/>
      <c r="R707" s="243"/>
      <c r="S707" s="243"/>
      <c r="T707" s="243"/>
      <c r="U707" s="221"/>
      <c r="V707" s="50"/>
      <c r="W707" s="221"/>
      <c r="X707" s="221"/>
      <c r="Y707" s="221"/>
      <c r="Z707" s="221"/>
      <c r="AA707" s="221"/>
      <c r="AB707" s="221"/>
      <c r="AC707" s="221"/>
      <c r="AD707" s="223"/>
      <c r="AE707" s="221"/>
      <c r="AF707" s="221">
        <v>33000000</v>
      </c>
      <c r="AG707" s="50"/>
      <c r="AH707" s="50"/>
      <c r="AI707" s="50"/>
      <c r="AJ707" s="59" t="s">
        <v>2210</v>
      </c>
      <c r="AK707" s="1"/>
      <c r="AL707" s="1"/>
      <c r="AM707" s="1"/>
    </row>
    <row r="708" spans="1:39" ht="12.75" customHeight="1">
      <c r="A708" s="63">
        <v>92</v>
      </c>
      <c r="B708" s="238" t="s">
        <v>27</v>
      </c>
      <c r="C708" s="49" t="s">
        <v>2565</v>
      </c>
      <c r="D708" s="49" t="s">
        <v>2637</v>
      </c>
      <c r="E708" s="241"/>
      <c r="F708" s="241"/>
      <c r="G708" s="241"/>
      <c r="H708" s="240"/>
      <c r="I708" s="241"/>
      <c r="J708" s="241"/>
      <c r="K708" s="241"/>
      <c r="L708" s="240"/>
      <c r="M708" s="244"/>
      <c r="N708" s="240"/>
      <c r="O708" s="244"/>
      <c r="P708" s="243"/>
      <c r="Q708" s="243"/>
      <c r="R708" s="243"/>
      <c r="S708" s="243"/>
      <c r="T708" s="243"/>
      <c r="U708" s="221"/>
      <c r="V708" s="50"/>
      <c r="W708" s="221"/>
      <c r="X708" s="221"/>
      <c r="Y708" s="221"/>
      <c r="Z708" s="221"/>
      <c r="AA708" s="221"/>
      <c r="AB708" s="221"/>
      <c r="AC708" s="221"/>
      <c r="AD708" s="223"/>
      <c r="AE708" s="221"/>
      <c r="AF708" s="221"/>
      <c r="AG708" s="221">
        <v>140000000</v>
      </c>
      <c r="AH708" s="50"/>
      <c r="AI708" s="50"/>
      <c r="AJ708" s="59" t="s">
        <v>2210</v>
      </c>
      <c r="AK708" s="1"/>
      <c r="AL708" s="1"/>
      <c r="AM708" s="1"/>
    </row>
    <row r="709" spans="1:39" ht="12.75" customHeight="1">
      <c r="A709" s="63">
        <v>93</v>
      </c>
      <c r="B709" s="20" t="s">
        <v>27</v>
      </c>
      <c r="C709" s="21" t="s">
        <v>2653</v>
      </c>
      <c r="D709" s="21" t="s">
        <v>2654</v>
      </c>
      <c r="E709" s="241"/>
      <c r="F709" s="241"/>
      <c r="G709" s="241"/>
      <c r="H709" s="240"/>
      <c r="I709" s="241"/>
      <c r="J709" s="241"/>
      <c r="K709" s="241"/>
      <c r="L709" s="240"/>
      <c r="M709" s="244"/>
      <c r="N709" s="240"/>
      <c r="O709" s="244"/>
      <c r="P709" s="243"/>
      <c r="Q709" s="243"/>
      <c r="R709" s="243"/>
      <c r="S709" s="243"/>
      <c r="T709" s="243"/>
      <c r="U709" s="221"/>
      <c r="V709" s="50"/>
      <c r="W709" s="221"/>
      <c r="X709" s="221"/>
      <c r="Y709" s="221"/>
      <c r="Z709" s="221"/>
      <c r="AA709" s="221"/>
      <c r="AB709" s="221"/>
      <c r="AC709" s="221"/>
      <c r="AD709" s="223"/>
      <c r="AE709" s="221"/>
      <c r="AF709" s="221"/>
      <c r="AG709" s="70">
        <v>178000000</v>
      </c>
      <c r="AH709" s="42"/>
      <c r="AI709" s="42"/>
      <c r="AJ709" s="54" t="s">
        <v>2215</v>
      </c>
      <c r="AK709" s="1"/>
      <c r="AL709" s="1"/>
      <c r="AM709" s="1"/>
    </row>
    <row r="710" spans="1:39" ht="12.75" customHeight="1">
      <c r="A710" s="63">
        <v>94</v>
      </c>
      <c r="B710" s="238" t="s">
        <v>27</v>
      </c>
      <c r="C710" s="49" t="s">
        <v>2689</v>
      </c>
      <c r="D710" s="49" t="s">
        <v>2690</v>
      </c>
      <c r="E710" s="241"/>
      <c r="F710" s="241"/>
      <c r="G710" s="241"/>
      <c r="H710" s="240"/>
      <c r="I710" s="241"/>
      <c r="J710" s="241"/>
      <c r="K710" s="241"/>
      <c r="L710" s="240"/>
      <c r="M710" s="244"/>
      <c r="N710" s="240"/>
      <c r="O710" s="244"/>
      <c r="P710" s="243"/>
      <c r="Q710" s="243"/>
      <c r="R710" s="243"/>
      <c r="S710" s="243"/>
      <c r="T710" s="243"/>
      <c r="U710" s="221"/>
      <c r="V710" s="50"/>
      <c r="W710" s="221"/>
      <c r="X710" s="221"/>
      <c r="Y710" s="221"/>
      <c r="Z710" s="221"/>
      <c r="AA710" s="221"/>
      <c r="AB710" s="221"/>
      <c r="AC710" s="221"/>
      <c r="AD710" s="223"/>
      <c r="AE710" s="221"/>
      <c r="AF710" s="221"/>
      <c r="AG710" s="50">
        <v>150000000</v>
      </c>
      <c r="AH710" s="42"/>
      <c r="AI710" s="42"/>
      <c r="AJ710" s="54" t="s">
        <v>2215</v>
      </c>
      <c r="AK710" s="1"/>
      <c r="AL710" s="1"/>
      <c r="AM710" s="1"/>
    </row>
    <row r="711" spans="1:39" ht="12.75" customHeight="1">
      <c r="A711" s="63">
        <v>95</v>
      </c>
      <c r="B711" s="238" t="s">
        <v>27</v>
      </c>
      <c r="C711" s="49" t="s">
        <v>2691</v>
      </c>
      <c r="D711" s="49" t="s">
        <v>2692</v>
      </c>
      <c r="E711" s="241"/>
      <c r="F711" s="241"/>
      <c r="G711" s="241"/>
      <c r="H711" s="240"/>
      <c r="I711" s="241"/>
      <c r="J711" s="241"/>
      <c r="K711" s="241"/>
      <c r="L711" s="240"/>
      <c r="M711" s="244"/>
      <c r="N711" s="240"/>
      <c r="O711" s="244"/>
      <c r="P711" s="243"/>
      <c r="Q711" s="243"/>
      <c r="R711" s="243"/>
      <c r="S711" s="243"/>
      <c r="T711" s="243"/>
      <c r="U711" s="221"/>
      <c r="V711" s="50"/>
      <c r="W711" s="221"/>
      <c r="X711" s="221"/>
      <c r="Y711" s="221"/>
      <c r="Z711" s="221"/>
      <c r="AA711" s="221"/>
      <c r="AB711" s="221"/>
      <c r="AC711" s="221"/>
      <c r="AD711" s="223"/>
      <c r="AE711" s="221"/>
      <c r="AF711" s="221"/>
      <c r="AG711" s="50">
        <v>500000000</v>
      </c>
      <c r="AH711" s="42"/>
      <c r="AI711" s="42"/>
      <c r="AJ711" s="54" t="s">
        <v>2215</v>
      </c>
      <c r="AK711" s="1"/>
      <c r="AL711" s="1"/>
      <c r="AM711" s="1"/>
    </row>
    <row r="712" spans="1:39" ht="12.75" customHeight="1">
      <c r="A712" s="63">
        <v>96</v>
      </c>
      <c r="B712" s="238" t="s">
        <v>27</v>
      </c>
      <c r="C712" s="49" t="s">
        <v>2693</v>
      </c>
      <c r="D712" s="49" t="s">
        <v>2694</v>
      </c>
      <c r="E712" s="241"/>
      <c r="F712" s="241"/>
      <c r="G712" s="241"/>
      <c r="H712" s="240"/>
      <c r="I712" s="241"/>
      <c r="J712" s="241"/>
      <c r="K712" s="241"/>
      <c r="L712" s="240"/>
      <c r="M712" s="244"/>
      <c r="N712" s="240"/>
      <c r="O712" s="244"/>
      <c r="P712" s="243"/>
      <c r="Q712" s="243"/>
      <c r="R712" s="243"/>
      <c r="S712" s="243"/>
      <c r="T712" s="243"/>
      <c r="U712" s="221"/>
      <c r="V712" s="50"/>
      <c r="W712" s="221"/>
      <c r="X712" s="221"/>
      <c r="Y712" s="221"/>
      <c r="Z712" s="221"/>
      <c r="AA712" s="221"/>
      <c r="AB712" s="221"/>
      <c r="AC712" s="221"/>
      <c r="AD712" s="223"/>
      <c r="AE712" s="221"/>
      <c r="AF712" s="221"/>
      <c r="AG712" s="221">
        <v>200000000</v>
      </c>
      <c r="AH712" s="42"/>
      <c r="AI712" s="42"/>
      <c r="AJ712" s="54" t="s">
        <v>2215</v>
      </c>
      <c r="AK712" s="1"/>
      <c r="AL712" s="1"/>
      <c r="AM712" s="1"/>
    </row>
    <row r="713" spans="1:39" ht="12.75" customHeight="1">
      <c r="A713" s="63">
        <v>97</v>
      </c>
      <c r="B713" s="238" t="s">
        <v>27</v>
      </c>
      <c r="C713" s="49" t="s">
        <v>2695</v>
      </c>
      <c r="D713" s="49" t="s">
        <v>2696</v>
      </c>
      <c r="E713" s="241"/>
      <c r="F713" s="241"/>
      <c r="G713" s="241"/>
      <c r="H713" s="240"/>
      <c r="I713" s="241"/>
      <c r="J713" s="241"/>
      <c r="K713" s="241"/>
      <c r="L713" s="240"/>
      <c r="M713" s="244"/>
      <c r="N713" s="240"/>
      <c r="O713" s="244"/>
      <c r="P713" s="243"/>
      <c r="Q713" s="243"/>
      <c r="R713" s="243"/>
      <c r="S713" s="243"/>
      <c r="T713" s="243"/>
      <c r="U713" s="221"/>
      <c r="V713" s="50"/>
      <c r="W713" s="221"/>
      <c r="X713" s="221"/>
      <c r="Y713" s="221"/>
      <c r="Z713" s="221"/>
      <c r="AA713" s="221"/>
      <c r="AB713" s="221"/>
      <c r="AC713" s="221"/>
      <c r="AD713" s="223"/>
      <c r="AE713" s="221"/>
      <c r="AF713" s="221"/>
      <c r="AG713" s="50">
        <v>155000000</v>
      </c>
      <c r="AH713" s="42"/>
      <c r="AI713" s="42"/>
      <c r="AJ713" s="54" t="s">
        <v>2215</v>
      </c>
      <c r="AK713" s="1"/>
      <c r="AL713" s="1"/>
      <c r="AM713" s="1"/>
    </row>
    <row r="714" spans="1:39" ht="12.75" customHeight="1">
      <c r="A714" s="63">
        <v>98</v>
      </c>
      <c r="B714" s="238" t="s">
        <v>27</v>
      </c>
      <c r="C714" s="49" t="s">
        <v>2674</v>
      </c>
      <c r="D714" s="49" t="s">
        <v>2697</v>
      </c>
      <c r="E714" s="241"/>
      <c r="F714" s="241"/>
      <c r="G714" s="241"/>
      <c r="H714" s="240"/>
      <c r="I714" s="241"/>
      <c r="J714" s="241"/>
      <c r="K714" s="241"/>
      <c r="L714" s="240"/>
      <c r="M714" s="244"/>
      <c r="N714" s="240"/>
      <c r="O714" s="244"/>
      <c r="P714" s="243"/>
      <c r="Q714" s="243"/>
      <c r="R714" s="243"/>
      <c r="S714" s="243"/>
      <c r="T714" s="243"/>
      <c r="U714" s="221"/>
      <c r="V714" s="50"/>
      <c r="W714" s="221"/>
      <c r="X714" s="221"/>
      <c r="Y714" s="221"/>
      <c r="Z714" s="221"/>
      <c r="AA714" s="221"/>
      <c r="AB714" s="221"/>
      <c r="AC714" s="221"/>
      <c r="AD714" s="223"/>
      <c r="AE714" s="221"/>
      <c r="AF714" s="221"/>
      <c r="AG714" s="50"/>
      <c r="AH714" s="42"/>
      <c r="AI714" s="50">
        <v>380000000</v>
      </c>
      <c r="AJ714" s="54" t="s">
        <v>2215</v>
      </c>
      <c r="AK714" s="1"/>
      <c r="AL714" s="1"/>
      <c r="AM714" s="1"/>
    </row>
    <row r="715" spans="1:39" ht="12.75" customHeight="1">
      <c r="A715" s="63">
        <v>99</v>
      </c>
      <c r="B715" s="238" t="s">
        <v>27</v>
      </c>
      <c r="C715" s="49" t="s">
        <v>2614</v>
      </c>
      <c r="D715" s="49" t="s">
        <v>2684</v>
      </c>
      <c r="E715" s="241"/>
      <c r="F715" s="241"/>
      <c r="G715" s="241"/>
      <c r="H715" s="240"/>
      <c r="I715" s="241"/>
      <c r="J715" s="241"/>
      <c r="K715" s="241"/>
      <c r="L715" s="240"/>
      <c r="M715" s="244"/>
      <c r="N715" s="240"/>
      <c r="O715" s="244"/>
      <c r="P715" s="243"/>
      <c r="Q715" s="243"/>
      <c r="R715" s="243"/>
      <c r="S715" s="243"/>
      <c r="T715" s="243"/>
      <c r="U715" s="221"/>
      <c r="V715" s="50"/>
      <c r="W715" s="221"/>
      <c r="X715" s="221"/>
      <c r="Y715" s="221"/>
      <c r="Z715" s="221"/>
      <c r="AA715" s="221"/>
      <c r="AB715" s="221"/>
      <c r="AC715" s="221"/>
      <c r="AD715" s="223"/>
      <c r="AE715" s="221"/>
      <c r="AF715" s="221"/>
      <c r="AG715" s="50"/>
      <c r="AH715" s="50">
        <v>150000000</v>
      </c>
      <c r="AI715" s="42"/>
      <c r="AJ715" s="54" t="s">
        <v>2210</v>
      </c>
      <c r="AK715" s="1"/>
      <c r="AL715" s="1"/>
      <c r="AM715" s="1"/>
    </row>
    <row r="716" spans="1:39" ht="12.75" customHeight="1">
      <c r="A716" s="63">
        <v>100</v>
      </c>
      <c r="B716" s="238" t="s">
        <v>27</v>
      </c>
      <c r="C716" s="49" t="s">
        <v>2544</v>
      </c>
      <c r="D716" s="49" t="s">
        <v>2582</v>
      </c>
      <c r="E716" s="241"/>
      <c r="F716" s="241"/>
      <c r="G716" s="241"/>
      <c r="H716" s="240"/>
      <c r="I716" s="241"/>
      <c r="J716" s="241"/>
      <c r="K716" s="241"/>
      <c r="L716" s="240"/>
      <c r="M716" s="244"/>
      <c r="N716" s="240"/>
      <c r="O716" s="244"/>
      <c r="P716" s="243"/>
      <c r="Q716" s="243"/>
      <c r="R716" s="243"/>
      <c r="S716" s="243"/>
      <c r="T716" s="243"/>
      <c r="U716" s="221"/>
      <c r="V716" s="50"/>
      <c r="W716" s="221"/>
      <c r="X716" s="221"/>
      <c r="Y716" s="221"/>
      <c r="Z716" s="221"/>
      <c r="AA716" s="221"/>
      <c r="AB716" s="221"/>
      <c r="AC716" s="221"/>
      <c r="AD716" s="223"/>
      <c r="AE716" s="221"/>
      <c r="AF716" s="221"/>
      <c r="AG716" s="50"/>
      <c r="AH716" s="50">
        <v>11000000</v>
      </c>
      <c r="AI716" s="42"/>
      <c r="AJ716" s="54" t="s">
        <v>2210</v>
      </c>
      <c r="AK716" s="1"/>
      <c r="AL716" s="1"/>
      <c r="AM716" s="1"/>
    </row>
    <row r="717" spans="1:39" ht="12.75" customHeight="1">
      <c r="A717" s="63">
        <v>101</v>
      </c>
      <c r="B717" s="238" t="s">
        <v>27</v>
      </c>
      <c r="C717" s="49" t="s">
        <v>2536</v>
      </c>
      <c r="D717" s="49" t="s">
        <v>2698</v>
      </c>
      <c r="E717" s="241"/>
      <c r="F717" s="241"/>
      <c r="G717" s="241"/>
      <c r="H717" s="240"/>
      <c r="I717" s="241"/>
      <c r="J717" s="241"/>
      <c r="K717" s="241"/>
      <c r="L717" s="240"/>
      <c r="M717" s="244"/>
      <c r="N717" s="240"/>
      <c r="O717" s="244"/>
      <c r="P717" s="243"/>
      <c r="Q717" s="243"/>
      <c r="R717" s="243"/>
      <c r="S717" s="243"/>
      <c r="T717" s="243"/>
      <c r="U717" s="221"/>
      <c r="V717" s="50"/>
      <c r="W717" s="221"/>
      <c r="X717" s="221"/>
      <c r="Y717" s="221"/>
      <c r="Z717" s="221"/>
      <c r="AA717" s="221"/>
      <c r="AB717" s="221"/>
      <c r="AC717" s="221"/>
      <c r="AD717" s="223"/>
      <c r="AE717" s="221"/>
      <c r="AF717" s="221"/>
      <c r="AG717" s="221"/>
      <c r="AH717" s="50">
        <v>23000000</v>
      </c>
      <c r="AI717" s="42"/>
      <c r="AJ717" s="54" t="s">
        <v>2210</v>
      </c>
      <c r="AK717" s="1"/>
      <c r="AL717" s="1"/>
      <c r="AM717" s="1"/>
    </row>
    <row r="718" spans="1:39" ht="12.75" customHeight="1">
      <c r="A718" s="63">
        <v>102</v>
      </c>
      <c r="B718" s="238" t="s">
        <v>27</v>
      </c>
      <c r="C718" s="49" t="s">
        <v>2699</v>
      </c>
      <c r="D718" s="49" t="s">
        <v>2700</v>
      </c>
      <c r="E718" s="241"/>
      <c r="F718" s="241"/>
      <c r="G718" s="241"/>
      <c r="H718" s="240"/>
      <c r="I718" s="241"/>
      <c r="J718" s="241"/>
      <c r="K718" s="241"/>
      <c r="L718" s="240"/>
      <c r="M718" s="244"/>
      <c r="N718" s="240"/>
      <c r="O718" s="244"/>
      <c r="P718" s="243"/>
      <c r="Q718" s="243"/>
      <c r="R718" s="243"/>
      <c r="S718" s="243"/>
      <c r="T718" s="243"/>
      <c r="U718" s="221"/>
      <c r="V718" s="50"/>
      <c r="W718" s="221"/>
      <c r="X718" s="221"/>
      <c r="Y718" s="221"/>
      <c r="Z718" s="221"/>
      <c r="AA718" s="221"/>
      <c r="AB718" s="221"/>
      <c r="AC718" s="221"/>
      <c r="AD718" s="223"/>
      <c r="AE718" s="221"/>
      <c r="AF718" s="221"/>
      <c r="AG718" s="50"/>
      <c r="AH718" s="50"/>
      <c r="AI718" s="50">
        <v>190000000</v>
      </c>
      <c r="AJ718" s="54" t="s">
        <v>2210</v>
      </c>
      <c r="AK718" s="1"/>
      <c r="AL718" s="1"/>
      <c r="AM718" s="1"/>
    </row>
    <row r="719" spans="1:39" ht="12.75" customHeight="1">
      <c r="A719" s="63">
        <v>103</v>
      </c>
      <c r="B719" s="238" t="s">
        <v>27</v>
      </c>
      <c r="C719" s="49" t="s">
        <v>2676</v>
      </c>
      <c r="D719" s="49" t="s">
        <v>2685</v>
      </c>
      <c r="E719" s="241"/>
      <c r="F719" s="241"/>
      <c r="G719" s="241"/>
      <c r="H719" s="240"/>
      <c r="I719" s="241"/>
      <c r="J719" s="241"/>
      <c r="K719" s="241"/>
      <c r="L719" s="240"/>
      <c r="M719" s="244"/>
      <c r="N719" s="240"/>
      <c r="O719" s="244"/>
      <c r="P719" s="243"/>
      <c r="Q719" s="243"/>
      <c r="R719" s="243"/>
      <c r="S719" s="243"/>
      <c r="T719" s="243"/>
      <c r="U719" s="221"/>
      <c r="V719" s="50"/>
      <c r="W719" s="221"/>
      <c r="X719" s="221"/>
      <c r="Y719" s="221"/>
      <c r="Z719" s="221"/>
      <c r="AA719" s="221"/>
      <c r="AB719" s="221"/>
      <c r="AC719" s="221"/>
      <c r="AD719" s="223"/>
      <c r="AE719" s="221"/>
      <c r="AF719" s="221"/>
      <c r="AG719" s="50"/>
      <c r="AH719" s="50"/>
      <c r="AI719" s="50">
        <v>285000000</v>
      </c>
      <c r="AJ719" s="59" t="s">
        <v>2210</v>
      </c>
      <c r="AK719" s="1"/>
      <c r="AL719" s="1"/>
      <c r="AM719" s="1"/>
    </row>
    <row r="720" spans="1:39" ht="12.75" customHeight="1">
      <c r="A720" s="63">
        <v>104</v>
      </c>
      <c r="B720" s="238" t="s">
        <v>27</v>
      </c>
      <c r="C720" s="49" t="s">
        <v>2701</v>
      </c>
      <c r="D720" s="49" t="s">
        <v>2702</v>
      </c>
      <c r="E720" s="241"/>
      <c r="F720" s="241"/>
      <c r="G720" s="241"/>
      <c r="H720" s="240"/>
      <c r="I720" s="241"/>
      <c r="J720" s="241"/>
      <c r="K720" s="241"/>
      <c r="L720" s="240"/>
      <c r="M720" s="244"/>
      <c r="N720" s="240"/>
      <c r="O720" s="244"/>
      <c r="P720" s="243"/>
      <c r="Q720" s="243"/>
      <c r="R720" s="243"/>
      <c r="S720" s="243"/>
      <c r="T720" s="243"/>
      <c r="U720" s="221"/>
      <c r="V720" s="50"/>
      <c r="W720" s="221"/>
      <c r="X720" s="221"/>
      <c r="Y720" s="221"/>
      <c r="Z720" s="221"/>
      <c r="AA720" s="221"/>
      <c r="AB720" s="221"/>
      <c r="AC720" s="221"/>
      <c r="AD720" s="223"/>
      <c r="AE720" s="221"/>
      <c r="AF720" s="221"/>
      <c r="AG720" s="50"/>
      <c r="AH720" s="50"/>
      <c r="AI720" s="50">
        <v>136000000</v>
      </c>
      <c r="AJ720" s="59" t="s">
        <v>2210</v>
      </c>
      <c r="AK720" s="1"/>
      <c r="AL720" s="1"/>
      <c r="AM720" s="1"/>
    </row>
    <row r="721" spans="1:39" ht="12.75" customHeight="1">
      <c r="A721" s="63">
        <v>105</v>
      </c>
      <c r="B721" s="238" t="s">
        <v>27</v>
      </c>
      <c r="C721" s="49" t="s">
        <v>2576</v>
      </c>
      <c r="D721" s="49" t="s">
        <v>2703</v>
      </c>
      <c r="E721" s="241"/>
      <c r="F721" s="241"/>
      <c r="G721" s="241"/>
      <c r="H721" s="240"/>
      <c r="I721" s="241"/>
      <c r="J721" s="241"/>
      <c r="K721" s="241"/>
      <c r="L721" s="240"/>
      <c r="M721" s="244"/>
      <c r="N721" s="240"/>
      <c r="O721" s="244"/>
      <c r="P721" s="243"/>
      <c r="Q721" s="243"/>
      <c r="R721" s="243"/>
      <c r="S721" s="243"/>
      <c r="T721" s="243"/>
      <c r="U721" s="221"/>
      <c r="V721" s="50"/>
      <c r="W721" s="221"/>
      <c r="X721" s="221"/>
      <c r="Y721" s="221"/>
      <c r="Z721" s="221"/>
      <c r="AA721" s="221"/>
      <c r="AB721" s="221"/>
      <c r="AC721" s="221"/>
      <c r="AD721" s="223"/>
      <c r="AE721" s="221"/>
      <c r="AF721" s="221"/>
      <c r="AG721" s="50"/>
      <c r="AH721" s="50">
        <v>280000000</v>
      </c>
      <c r="AI721" s="50"/>
      <c r="AJ721" s="59" t="s">
        <v>2210</v>
      </c>
      <c r="AK721" s="1"/>
      <c r="AL721" s="1"/>
      <c r="AM721" s="1"/>
    </row>
    <row r="722" spans="1:39" ht="12.75" hidden="1" customHeight="1">
      <c r="A722" s="63">
        <v>1</v>
      </c>
      <c r="B722" s="132" t="s">
        <v>1549</v>
      </c>
      <c r="C722" s="133" t="s">
        <v>2704</v>
      </c>
      <c r="D722" s="21" t="s">
        <v>2705</v>
      </c>
      <c r="E722" s="248"/>
      <c r="F722" s="248"/>
      <c r="G722" s="248"/>
      <c r="H722" s="148"/>
      <c r="I722" s="248"/>
      <c r="J722" s="248"/>
      <c r="K722" s="248"/>
      <c r="L722" s="148"/>
      <c r="M722" s="148"/>
      <c r="N722" s="148"/>
      <c r="O722" s="148"/>
      <c r="P722" s="148"/>
      <c r="Q722" s="148"/>
      <c r="R722" s="148"/>
      <c r="S722" s="148"/>
      <c r="T722" s="148"/>
      <c r="U722" s="148"/>
      <c r="V722" s="142"/>
      <c r="W722" s="142"/>
      <c r="X722" s="142"/>
      <c r="Y722" s="142"/>
      <c r="Z722" s="142">
        <v>100000000</v>
      </c>
      <c r="AA722" s="148"/>
      <c r="AB722" s="148"/>
      <c r="AC722" s="148"/>
      <c r="AD722" s="148"/>
      <c r="AE722" s="148"/>
      <c r="AF722" s="148"/>
      <c r="AG722" s="148"/>
      <c r="AH722" s="148"/>
      <c r="AI722" s="148"/>
      <c r="AJ722" s="254" t="s">
        <v>2706</v>
      </c>
      <c r="AK722" s="1"/>
      <c r="AL722" s="1"/>
      <c r="AM722" s="1"/>
    </row>
    <row r="723" spans="1:39" ht="12.75" hidden="1" customHeight="1">
      <c r="A723" s="63">
        <v>2</v>
      </c>
      <c r="B723" s="134" t="s">
        <v>94</v>
      </c>
      <c r="C723" s="135" t="s">
        <v>2707</v>
      </c>
      <c r="D723" s="21" t="s">
        <v>2708</v>
      </c>
      <c r="E723" s="143"/>
      <c r="F723" s="143"/>
      <c r="G723" s="143"/>
      <c r="H723" s="43"/>
      <c r="I723" s="143"/>
      <c r="J723" s="143"/>
      <c r="K723" s="143"/>
      <c r="L723" s="43"/>
      <c r="M723" s="43"/>
      <c r="N723" s="43"/>
      <c r="O723" s="43"/>
      <c r="P723" s="43"/>
      <c r="Q723" s="43"/>
      <c r="R723" s="43"/>
      <c r="S723" s="43"/>
      <c r="T723" s="43"/>
      <c r="U723" s="43"/>
      <c r="V723" s="42"/>
      <c r="W723" s="42">
        <v>50000000</v>
      </c>
      <c r="X723" s="42"/>
      <c r="Y723" s="42"/>
      <c r="Z723" s="42"/>
      <c r="AA723" s="43"/>
      <c r="AB723" s="43"/>
      <c r="AC723" s="43"/>
      <c r="AD723" s="43"/>
      <c r="AE723" s="43"/>
      <c r="AF723" s="43"/>
      <c r="AG723" s="43"/>
      <c r="AH723" s="43"/>
      <c r="AI723" s="43"/>
      <c r="AJ723" s="54" t="s">
        <v>2147</v>
      </c>
      <c r="AK723" s="1"/>
      <c r="AL723" s="1"/>
      <c r="AM723" s="1"/>
    </row>
    <row r="724" spans="1:39" ht="12.75" customHeight="1">
      <c r="A724" s="63">
        <v>3</v>
      </c>
      <c r="B724" s="134" t="s">
        <v>27</v>
      </c>
      <c r="C724" s="135" t="s">
        <v>2709</v>
      </c>
      <c r="D724" s="21" t="s">
        <v>2710</v>
      </c>
      <c r="E724" s="42"/>
      <c r="F724" s="42"/>
      <c r="G724" s="42"/>
      <c r="H724" s="43"/>
      <c r="I724" s="42"/>
      <c r="J724" s="42"/>
      <c r="K724" s="42"/>
      <c r="L724" s="43"/>
      <c r="M724" s="43"/>
      <c r="N724" s="43"/>
      <c r="O724" s="43"/>
      <c r="P724" s="43"/>
      <c r="Q724" s="43"/>
      <c r="R724" s="43"/>
      <c r="S724" s="43"/>
      <c r="T724" s="43"/>
      <c r="U724" s="43"/>
      <c r="V724" s="42"/>
      <c r="W724" s="42"/>
      <c r="X724" s="42"/>
      <c r="Y724" s="42">
        <v>2500000</v>
      </c>
      <c r="Z724" s="42"/>
      <c r="AA724" s="43"/>
      <c r="AB724" s="43"/>
      <c r="AC724" s="43"/>
      <c r="AD724" s="43"/>
      <c r="AE724" s="43"/>
      <c r="AF724" s="43"/>
      <c r="AG724" s="43"/>
      <c r="AH724" s="43"/>
      <c r="AI724" s="43"/>
      <c r="AJ724" s="54" t="s">
        <v>2215</v>
      </c>
      <c r="AK724" s="1"/>
      <c r="AL724" s="1"/>
      <c r="AM724" s="1"/>
    </row>
    <row r="725" spans="1:39" ht="12.75" hidden="1" customHeight="1">
      <c r="A725" s="63">
        <v>4</v>
      </c>
      <c r="B725" s="134" t="s">
        <v>30</v>
      </c>
      <c r="C725" s="135" t="s">
        <v>2711</v>
      </c>
      <c r="D725" s="21" t="s">
        <v>2712</v>
      </c>
      <c r="E725" s="143"/>
      <c r="F725" s="143"/>
      <c r="G725" s="143"/>
      <c r="H725" s="43"/>
      <c r="I725" s="143"/>
      <c r="J725" s="143"/>
      <c r="K725" s="143"/>
      <c r="L725" s="43"/>
      <c r="M725" s="43"/>
      <c r="N725" s="43"/>
      <c r="O725" s="43"/>
      <c r="P725" s="43"/>
      <c r="Q725" s="43"/>
      <c r="R725" s="43"/>
      <c r="S725" s="43"/>
      <c r="T725" s="43"/>
      <c r="U725" s="43"/>
      <c r="V725" s="42"/>
      <c r="W725" s="42"/>
      <c r="X725" s="42"/>
      <c r="Y725" s="42">
        <v>75000000</v>
      </c>
      <c r="Z725" s="42"/>
      <c r="AA725" s="43"/>
      <c r="AB725" s="43"/>
      <c r="AC725" s="43"/>
      <c r="AD725" s="43"/>
      <c r="AE725" s="43"/>
      <c r="AF725" s="43"/>
      <c r="AG725" s="43"/>
      <c r="AH725" s="43"/>
      <c r="AI725" s="43"/>
      <c r="AJ725" s="54" t="s">
        <v>2713</v>
      </c>
      <c r="AK725" s="1"/>
      <c r="AL725" s="1"/>
      <c r="AM725" s="1"/>
    </row>
    <row r="726" spans="1:39" ht="12.75" hidden="1" customHeight="1">
      <c r="A726" s="63">
        <v>5</v>
      </c>
      <c r="B726" s="134" t="s">
        <v>30</v>
      </c>
      <c r="C726" s="135" t="s">
        <v>2714</v>
      </c>
      <c r="D726" s="21" t="s">
        <v>2712</v>
      </c>
      <c r="E726" s="143"/>
      <c r="F726" s="143"/>
      <c r="G726" s="143"/>
      <c r="H726" s="43"/>
      <c r="I726" s="143"/>
      <c r="J726" s="143"/>
      <c r="K726" s="143"/>
      <c r="L726" s="43"/>
      <c r="M726" s="43"/>
      <c r="N726" s="43"/>
      <c r="O726" s="43"/>
      <c r="P726" s="43"/>
      <c r="Q726" s="43"/>
      <c r="R726" s="43"/>
      <c r="S726" s="43"/>
      <c r="T726" s="43"/>
      <c r="U726" s="43"/>
      <c r="V726" s="42"/>
      <c r="W726" s="42"/>
      <c r="X726" s="42"/>
      <c r="Y726" s="42">
        <v>55000000</v>
      </c>
      <c r="Z726" s="42"/>
      <c r="AA726" s="43"/>
      <c r="AB726" s="43"/>
      <c r="AC726" s="43"/>
      <c r="AD726" s="43"/>
      <c r="AE726" s="43"/>
      <c r="AF726" s="43"/>
      <c r="AG726" s="43"/>
      <c r="AH726" s="43"/>
      <c r="AI726" s="43"/>
      <c r="AJ726" s="54" t="s">
        <v>2713</v>
      </c>
      <c r="AK726" s="1"/>
      <c r="AL726" s="1"/>
      <c r="AM726" s="1"/>
    </row>
    <row r="727" spans="1:39" ht="12.75" hidden="1" customHeight="1">
      <c r="A727" s="63">
        <v>6</v>
      </c>
      <c r="B727" s="134" t="s">
        <v>30</v>
      </c>
      <c r="C727" s="135" t="s">
        <v>2715</v>
      </c>
      <c r="D727" s="21" t="s">
        <v>2716</v>
      </c>
      <c r="E727" s="143"/>
      <c r="F727" s="143"/>
      <c r="G727" s="143"/>
      <c r="H727" s="43"/>
      <c r="I727" s="143"/>
      <c r="J727" s="143"/>
      <c r="K727" s="143"/>
      <c r="L727" s="43"/>
      <c r="M727" s="43"/>
      <c r="N727" s="43"/>
      <c r="O727" s="43"/>
      <c r="P727" s="43"/>
      <c r="Q727" s="43"/>
      <c r="R727" s="43"/>
      <c r="S727" s="43"/>
      <c r="T727" s="43"/>
      <c r="U727" s="43"/>
      <c r="V727" s="42"/>
      <c r="W727" s="42"/>
      <c r="X727" s="42"/>
      <c r="Y727" s="42">
        <v>50000000</v>
      </c>
      <c r="Z727" s="42"/>
      <c r="AA727" s="43"/>
      <c r="AB727" s="43"/>
      <c r="AC727" s="43"/>
      <c r="AD727" s="43"/>
      <c r="AE727" s="43"/>
      <c r="AF727" s="43"/>
      <c r="AG727" s="43"/>
      <c r="AH727" s="43"/>
      <c r="AI727" s="43"/>
      <c r="AJ727" s="54" t="s">
        <v>2713</v>
      </c>
      <c r="AK727" s="1"/>
      <c r="AL727" s="1"/>
      <c r="AM727" s="1"/>
    </row>
    <row r="728" spans="1:39" ht="12.75" hidden="1" customHeight="1">
      <c r="A728" s="63">
        <v>7</v>
      </c>
      <c r="B728" s="134" t="s">
        <v>44</v>
      </c>
      <c r="C728" s="135" t="s">
        <v>2717</v>
      </c>
      <c r="D728" s="21" t="s">
        <v>2718</v>
      </c>
      <c r="E728" s="143"/>
      <c r="F728" s="143"/>
      <c r="G728" s="143"/>
      <c r="H728" s="43"/>
      <c r="I728" s="143"/>
      <c r="J728" s="143"/>
      <c r="K728" s="143"/>
      <c r="L728" s="43"/>
      <c r="M728" s="43"/>
      <c r="N728" s="43"/>
      <c r="O728" s="43"/>
      <c r="P728" s="43"/>
      <c r="Q728" s="43"/>
      <c r="R728" s="43"/>
      <c r="S728" s="43"/>
      <c r="T728" s="43"/>
      <c r="U728" s="43"/>
      <c r="V728" s="42"/>
      <c r="W728" s="42"/>
      <c r="X728" s="42"/>
      <c r="Y728" s="42">
        <v>120000000</v>
      </c>
      <c r="Z728" s="42"/>
      <c r="AA728" s="43"/>
      <c r="AB728" s="43"/>
      <c r="AC728" s="43"/>
      <c r="AD728" s="43"/>
      <c r="AE728" s="43"/>
      <c r="AF728" s="43"/>
      <c r="AG728" s="43"/>
      <c r="AH728" s="43"/>
      <c r="AI728" s="43"/>
      <c r="AJ728" s="54" t="s">
        <v>2706</v>
      </c>
      <c r="AK728" s="1"/>
      <c r="AL728" s="1"/>
      <c r="AM728" s="1"/>
    </row>
    <row r="729" spans="1:39" ht="12.75" hidden="1" customHeight="1">
      <c r="A729" s="63">
        <v>8</v>
      </c>
      <c r="B729" s="134" t="s">
        <v>30</v>
      </c>
      <c r="C729" s="137" t="s">
        <v>2719</v>
      </c>
      <c r="D729" s="88" t="s">
        <v>2720</v>
      </c>
      <c r="E729" s="143"/>
      <c r="F729" s="143"/>
      <c r="G729" s="143"/>
      <c r="H729" s="43"/>
      <c r="I729" s="143"/>
      <c r="J729" s="143"/>
      <c r="K729" s="143"/>
      <c r="L729" s="43"/>
      <c r="M729" s="43"/>
      <c r="N729" s="43"/>
      <c r="O729" s="43"/>
      <c r="P729" s="43"/>
      <c r="Q729" s="43"/>
      <c r="R729" s="43"/>
      <c r="S729" s="43"/>
      <c r="T729" s="43"/>
      <c r="U729" s="43"/>
      <c r="V729" s="42"/>
      <c r="W729" s="42"/>
      <c r="X729" s="42"/>
      <c r="Y729" s="42"/>
      <c r="Z729" s="42">
        <v>50000000</v>
      </c>
      <c r="AA729" s="43"/>
      <c r="AB729" s="43"/>
      <c r="AC729" s="43"/>
      <c r="AD729" s="43"/>
      <c r="AE729" s="43"/>
      <c r="AF729" s="43"/>
      <c r="AG729" s="43"/>
      <c r="AH729" s="43"/>
      <c r="AI729" s="43"/>
      <c r="AJ729" s="54" t="s">
        <v>2713</v>
      </c>
      <c r="AK729" s="1"/>
      <c r="AL729" s="1"/>
      <c r="AM729" s="1"/>
    </row>
    <row r="730" spans="1:39" ht="12.75" customHeight="1">
      <c r="A730" s="63">
        <v>9</v>
      </c>
      <c r="B730" s="134" t="s">
        <v>27</v>
      </c>
      <c r="C730" s="137" t="s">
        <v>2721</v>
      </c>
      <c r="D730" s="88" t="s">
        <v>2722</v>
      </c>
      <c r="E730" s="143"/>
      <c r="F730" s="143"/>
      <c r="G730" s="143"/>
      <c r="H730" s="43"/>
      <c r="I730" s="143"/>
      <c r="J730" s="143"/>
      <c r="K730" s="143"/>
      <c r="L730" s="43"/>
      <c r="M730" s="43"/>
      <c r="N730" s="43"/>
      <c r="O730" s="43"/>
      <c r="P730" s="43"/>
      <c r="Q730" s="43"/>
      <c r="R730" s="43"/>
      <c r="S730" s="43"/>
      <c r="T730" s="43"/>
      <c r="U730" s="43"/>
      <c r="V730" s="42"/>
      <c r="W730" s="42"/>
      <c r="X730" s="42">
        <v>3000000</v>
      </c>
      <c r="Y730" s="42"/>
      <c r="Z730" s="42"/>
      <c r="AA730" s="43"/>
      <c r="AB730" s="43"/>
      <c r="AC730" s="43"/>
      <c r="AD730" s="43"/>
      <c r="AE730" s="43"/>
      <c r="AF730" s="43"/>
      <c r="AG730" s="43"/>
      <c r="AH730" s="43"/>
      <c r="AI730" s="43"/>
      <c r="AJ730" s="54" t="s">
        <v>2215</v>
      </c>
      <c r="AK730" s="1"/>
      <c r="AL730" s="1"/>
      <c r="AM730" s="1"/>
    </row>
    <row r="731" spans="1:39" ht="12.75" customHeight="1">
      <c r="A731" s="63">
        <v>10</v>
      </c>
      <c r="B731" s="134" t="s">
        <v>27</v>
      </c>
      <c r="C731" s="137" t="s">
        <v>2723</v>
      </c>
      <c r="D731" s="88" t="s">
        <v>2724</v>
      </c>
      <c r="E731" s="249"/>
      <c r="F731" s="143"/>
      <c r="G731" s="250"/>
      <c r="H731" s="251"/>
      <c r="I731" s="249"/>
      <c r="J731" s="143"/>
      <c r="K731" s="250"/>
      <c r="L731" s="251"/>
      <c r="M731" s="251"/>
      <c r="N731" s="251"/>
      <c r="O731" s="251"/>
      <c r="P731" s="251"/>
      <c r="Q731" s="251"/>
      <c r="R731" s="251"/>
      <c r="S731" s="251"/>
      <c r="T731" s="251"/>
      <c r="U731" s="43"/>
      <c r="V731" s="42"/>
      <c r="W731" s="42">
        <v>40000000</v>
      </c>
      <c r="X731" s="42"/>
      <c r="Y731" s="43"/>
      <c r="Z731" s="251"/>
      <c r="AA731" s="251"/>
      <c r="AB731" s="251"/>
      <c r="AC731" s="251"/>
      <c r="AD731" s="251"/>
      <c r="AE731" s="251"/>
      <c r="AF731" s="251"/>
      <c r="AG731" s="251"/>
      <c r="AH731" s="251"/>
      <c r="AI731" s="251"/>
      <c r="AJ731" s="54" t="s">
        <v>2215</v>
      </c>
      <c r="AK731" s="1"/>
      <c r="AL731" s="1"/>
      <c r="AM731" s="1"/>
    </row>
    <row r="732" spans="1:39" ht="12.75" hidden="1" customHeight="1">
      <c r="A732" s="63">
        <v>11</v>
      </c>
      <c r="B732" s="141" t="s">
        <v>67</v>
      </c>
      <c r="C732" s="137" t="s">
        <v>2725</v>
      </c>
      <c r="D732" s="88" t="s">
        <v>2726</v>
      </c>
      <c r="E732" s="249"/>
      <c r="F732" s="143"/>
      <c r="G732" s="143"/>
      <c r="H732" s="143"/>
      <c r="I732" s="249"/>
      <c r="J732" s="143"/>
      <c r="K732" s="143"/>
      <c r="L732" s="143"/>
      <c r="M732" s="143"/>
      <c r="N732" s="143"/>
      <c r="O732" s="143"/>
      <c r="P732" s="143"/>
      <c r="Q732" s="143"/>
      <c r="R732" s="143"/>
      <c r="S732" s="143"/>
      <c r="T732" s="143"/>
      <c r="U732" s="143">
        <v>25000000</v>
      </c>
      <c r="V732" s="42"/>
      <c r="W732" s="42"/>
      <c r="X732" s="42"/>
      <c r="Y732" s="143"/>
      <c r="Z732" s="143"/>
      <c r="AA732" s="143"/>
      <c r="AB732" s="143"/>
      <c r="AC732" s="143"/>
      <c r="AD732" s="143"/>
      <c r="AE732" s="143"/>
      <c r="AF732" s="143"/>
      <c r="AG732" s="143"/>
      <c r="AH732" s="143"/>
      <c r="AI732" s="143"/>
      <c r="AJ732" s="54" t="s">
        <v>2727</v>
      </c>
      <c r="AK732" s="1"/>
      <c r="AL732" s="1"/>
      <c r="AM732" s="1"/>
    </row>
    <row r="733" spans="1:39" ht="12.75" hidden="1" customHeight="1">
      <c r="A733" s="63">
        <v>12</v>
      </c>
      <c r="B733" s="141" t="s">
        <v>30</v>
      </c>
      <c r="C733" s="137" t="s">
        <v>89</v>
      </c>
      <c r="D733" s="88" t="s">
        <v>2728</v>
      </c>
      <c r="E733" s="249"/>
      <c r="F733" s="143"/>
      <c r="G733" s="143"/>
      <c r="H733" s="143"/>
      <c r="I733" s="249"/>
      <c r="J733" s="143"/>
      <c r="K733" s="143"/>
      <c r="L733" s="143"/>
      <c r="M733" s="143"/>
      <c r="N733" s="143"/>
      <c r="O733" s="143"/>
      <c r="P733" s="143"/>
      <c r="Q733" s="143"/>
      <c r="R733" s="143"/>
      <c r="S733" s="143"/>
      <c r="T733" s="143"/>
      <c r="U733" s="143"/>
      <c r="V733" s="143"/>
      <c r="W733" s="143">
        <v>100000000</v>
      </c>
      <c r="X733" s="143"/>
      <c r="Y733" s="143"/>
      <c r="Z733" s="143"/>
      <c r="AA733" s="143"/>
      <c r="AB733" s="143"/>
      <c r="AC733" s="143"/>
      <c r="AD733" s="143"/>
      <c r="AE733" s="143"/>
      <c r="AF733" s="143"/>
      <c r="AG733" s="143"/>
      <c r="AH733" s="143"/>
      <c r="AI733" s="143"/>
      <c r="AJ733" s="54" t="s">
        <v>2215</v>
      </c>
      <c r="AK733" s="1"/>
      <c r="AL733" s="1"/>
      <c r="AM733" s="1"/>
    </row>
    <row r="734" spans="1:39" ht="12.75" hidden="1" customHeight="1">
      <c r="A734" s="63">
        <v>13</v>
      </c>
      <c r="B734" s="141" t="s">
        <v>40</v>
      </c>
      <c r="C734" s="137" t="s">
        <v>2729</v>
      </c>
      <c r="D734" s="88" t="s">
        <v>2730</v>
      </c>
      <c r="E734" s="249"/>
      <c r="F734" s="143"/>
      <c r="G734" s="143"/>
      <c r="H734" s="143"/>
      <c r="I734" s="249"/>
      <c r="J734" s="143"/>
      <c r="K734" s="143"/>
      <c r="L734" s="143"/>
      <c r="M734" s="143"/>
      <c r="N734" s="143"/>
      <c r="O734" s="143"/>
      <c r="P734" s="143"/>
      <c r="Q734" s="143"/>
      <c r="R734" s="143"/>
      <c r="S734" s="143"/>
      <c r="T734" s="143"/>
      <c r="U734" s="143"/>
      <c r="V734" s="143"/>
      <c r="W734" s="143"/>
      <c r="X734" s="143"/>
      <c r="Y734" s="143">
        <v>22000000</v>
      </c>
      <c r="Z734" s="143"/>
      <c r="AA734" s="143"/>
      <c r="AB734" s="143"/>
      <c r="AC734" s="143"/>
      <c r="AD734" s="143"/>
      <c r="AE734" s="143"/>
      <c r="AF734" s="143"/>
      <c r="AG734" s="143"/>
      <c r="AH734" s="143"/>
      <c r="AI734" s="143"/>
      <c r="AJ734" s="54" t="s">
        <v>1556</v>
      </c>
      <c r="AK734" s="85"/>
      <c r="AL734" s="85"/>
      <c r="AM734" s="85"/>
    </row>
    <row r="735" spans="1:39" ht="12.75" customHeight="1">
      <c r="A735" s="63">
        <v>14</v>
      </c>
      <c r="B735" s="252" t="s">
        <v>27</v>
      </c>
      <c r="C735" s="137" t="s">
        <v>2731</v>
      </c>
      <c r="D735" s="88" t="s">
        <v>2732</v>
      </c>
      <c r="E735" s="253"/>
      <c r="F735" s="211"/>
      <c r="G735" s="211"/>
      <c r="H735" s="211"/>
      <c r="I735" s="253"/>
      <c r="J735" s="211"/>
      <c r="K735" s="211"/>
      <c r="L735" s="211"/>
      <c r="M735" s="211"/>
      <c r="N735" s="211"/>
      <c r="O735" s="211"/>
      <c r="P735" s="211"/>
      <c r="Q735" s="211"/>
      <c r="R735" s="146"/>
      <c r="S735" s="146"/>
      <c r="T735" s="146"/>
      <c r="U735" s="146"/>
      <c r="V735" s="146"/>
      <c r="W735" s="146"/>
      <c r="X735" s="146"/>
      <c r="Y735" s="146"/>
      <c r="Z735" s="146">
        <v>10000000</v>
      </c>
      <c r="AA735" s="146"/>
      <c r="AB735" s="146"/>
      <c r="AC735" s="146"/>
      <c r="AD735" s="146"/>
      <c r="AE735" s="146"/>
      <c r="AF735" s="146"/>
      <c r="AG735" s="146"/>
      <c r="AH735" s="146"/>
      <c r="AI735" s="146"/>
      <c r="AJ735" s="54" t="s">
        <v>2215</v>
      </c>
      <c r="AK735" s="85"/>
      <c r="AL735" s="85"/>
      <c r="AM735" s="85"/>
    </row>
    <row r="736" spans="1:39" ht="12.75" hidden="1" customHeight="1">
      <c r="A736" s="63">
        <v>15</v>
      </c>
      <c r="B736" s="252" t="s">
        <v>30</v>
      </c>
      <c r="C736" s="135" t="s">
        <v>2733</v>
      </c>
      <c r="D736" s="21" t="s">
        <v>2734</v>
      </c>
      <c r="E736" s="253"/>
      <c r="F736" s="211"/>
      <c r="G736" s="211"/>
      <c r="H736" s="211"/>
      <c r="I736" s="253"/>
      <c r="J736" s="211"/>
      <c r="K736" s="211"/>
      <c r="L736" s="211"/>
      <c r="M736" s="211"/>
      <c r="N736" s="211"/>
      <c r="O736" s="211"/>
      <c r="P736" s="211"/>
      <c r="Q736" s="211"/>
      <c r="R736" s="146"/>
      <c r="S736" s="146"/>
      <c r="T736" s="146"/>
      <c r="U736" s="146"/>
      <c r="V736" s="146"/>
      <c r="W736" s="146"/>
      <c r="X736" s="146"/>
      <c r="Y736" s="146"/>
      <c r="Z736" s="146">
        <v>62500000</v>
      </c>
      <c r="AA736" s="146"/>
      <c r="AB736" s="146"/>
      <c r="AC736" s="146"/>
      <c r="AD736" s="146"/>
      <c r="AE736" s="146"/>
      <c r="AF736" s="146"/>
      <c r="AG736" s="146"/>
      <c r="AH736" s="146"/>
      <c r="AI736" s="146"/>
      <c r="AJ736" s="54" t="s">
        <v>2215</v>
      </c>
      <c r="AK736" s="85"/>
      <c r="AL736" s="85"/>
      <c r="AM736" s="85"/>
    </row>
    <row r="737" spans="1:39" ht="12.75" hidden="1" customHeight="1">
      <c r="A737" s="63">
        <v>16</v>
      </c>
      <c r="B737" s="252" t="s">
        <v>40</v>
      </c>
      <c r="C737" s="135" t="s">
        <v>2723</v>
      </c>
      <c r="D737" s="21" t="s">
        <v>2735</v>
      </c>
      <c r="E737" s="253"/>
      <c r="F737" s="211"/>
      <c r="G737" s="211"/>
      <c r="H737" s="211"/>
      <c r="I737" s="253"/>
      <c r="J737" s="211"/>
      <c r="K737" s="211"/>
      <c r="L737" s="211"/>
      <c r="M737" s="211"/>
      <c r="N737" s="211"/>
      <c r="O737" s="211"/>
      <c r="P737" s="211"/>
      <c r="Q737" s="211"/>
      <c r="R737" s="146"/>
      <c r="S737" s="146"/>
      <c r="T737" s="146"/>
      <c r="U737" s="146"/>
      <c r="V737" s="146"/>
      <c r="W737" s="146"/>
      <c r="X737" s="146">
        <v>20000000</v>
      </c>
      <c r="Y737" s="146"/>
      <c r="Z737" s="146"/>
      <c r="AA737" s="146"/>
      <c r="AB737" s="146"/>
      <c r="AC737" s="146"/>
      <c r="AD737" s="146"/>
      <c r="AE737" s="146"/>
      <c r="AF737" s="146"/>
      <c r="AG737" s="146"/>
      <c r="AH737" s="146"/>
      <c r="AI737" s="146"/>
      <c r="AJ737" s="54" t="s">
        <v>1556</v>
      </c>
      <c r="AK737" s="85"/>
      <c r="AL737" s="85"/>
      <c r="AM737" s="85"/>
    </row>
    <row r="738" spans="1:39" ht="12.75" customHeight="1">
      <c r="A738" s="63">
        <v>17</v>
      </c>
      <c r="B738" s="252" t="s">
        <v>27</v>
      </c>
      <c r="C738" s="135" t="s">
        <v>2736</v>
      </c>
      <c r="D738" s="21" t="s">
        <v>2722</v>
      </c>
      <c r="E738" s="253"/>
      <c r="F738" s="211"/>
      <c r="G738" s="211"/>
      <c r="H738" s="211"/>
      <c r="I738" s="253"/>
      <c r="J738" s="211"/>
      <c r="K738" s="211"/>
      <c r="L738" s="211"/>
      <c r="M738" s="211"/>
      <c r="N738" s="211"/>
      <c r="O738" s="211"/>
      <c r="P738" s="211"/>
      <c r="Q738" s="211"/>
      <c r="R738" s="146"/>
      <c r="S738" s="146"/>
      <c r="T738" s="146"/>
      <c r="U738" s="146"/>
      <c r="V738" s="146"/>
      <c r="W738" s="146"/>
      <c r="X738" s="146"/>
      <c r="Y738" s="146"/>
      <c r="Z738" s="146"/>
      <c r="AA738" s="146"/>
      <c r="AB738" s="146"/>
      <c r="AC738" s="146">
        <v>35000000</v>
      </c>
      <c r="AD738" s="146"/>
      <c r="AE738" s="146"/>
      <c r="AF738" s="146"/>
      <c r="AG738" s="146"/>
      <c r="AH738" s="146"/>
      <c r="AI738" s="146"/>
      <c r="AJ738" s="54" t="s">
        <v>2737</v>
      </c>
      <c r="AK738" s="85"/>
      <c r="AL738" s="85"/>
      <c r="AM738" s="85"/>
    </row>
    <row r="739" spans="1:39" ht="12.75" hidden="1" customHeight="1">
      <c r="A739" s="63">
        <v>18</v>
      </c>
      <c r="B739" s="252" t="s">
        <v>67</v>
      </c>
      <c r="C739" s="135" t="s">
        <v>2725</v>
      </c>
      <c r="D739" s="21" t="s">
        <v>2738</v>
      </c>
      <c r="E739" s="253"/>
      <c r="F739" s="211"/>
      <c r="G739" s="211"/>
      <c r="H739" s="211"/>
      <c r="I739" s="253"/>
      <c r="J739" s="211"/>
      <c r="K739" s="211"/>
      <c r="L739" s="211"/>
      <c r="M739" s="211"/>
      <c r="N739" s="211"/>
      <c r="O739" s="211"/>
      <c r="P739" s="211"/>
      <c r="Q739" s="211"/>
      <c r="R739" s="146"/>
      <c r="S739" s="146"/>
      <c r="T739" s="146"/>
      <c r="U739" s="146"/>
      <c r="V739" s="146">
        <v>20000000</v>
      </c>
      <c r="W739" s="146"/>
      <c r="X739" s="146"/>
      <c r="Y739" s="146"/>
      <c r="Z739" s="146"/>
      <c r="AA739" s="146"/>
      <c r="AB739" s="146"/>
      <c r="AC739" s="146"/>
      <c r="AD739" s="146"/>
      <c r="AE739" s="146"/>
      <c r="AF739" s="146"/>
      <c r="AG739" s="146"/>
      <c r="AH739" s="146"/>
      <c r="AI739" s="146"/>
      <c r="AJ739" s="54" t="s">
        <v>2739</v>
      </c>
      <c r="AK739" s="85"/>
      <c r="AL739" s="85"/>
      <c r="AM739" s="85"/>
    </row>
    <row r="740" spans="1:39" ht="12.75" hidden="1" customHeight="1">
      <c r="A740" s="63">
        <v>19</v>
      </c>
      <c r="B740" s="252" t="s">
        <v>67</v>
      </c>
      <c r="C740" s="135" t="s">
        <v>2740</v>
      </c>
      <c r="D740" s="21" t="s">
        <v>2741</v>
      </c>
      <c r="E740" s="253"/>
      <c r="F740" s="211"/>
      <c r="G740" s="211"/>
      <c r="H740" s="211"/>
      <c r="I740" s="253"/>
      <c r="J740" s="211"/>
      <c r="K740" s="211"/>
      <c r="L740" s="211"/>
      <c r="M740" s="211"/>
      <c r="N740" s="211"/>
      <c r="O740" s="211"/>
      <c r="P740" s="211"/>
      <c r="Q740" s="211"/>
      <c r="R740" s="146"/>
      <c r="S740" s="146"/>
      <c r="T740" s="146"/>
      <c r="U740" s="146">
        <v>25000000</v>
      </c>
      <c r="V740" s="146"/>
      <c r="W740" s="146"/>
      <c r="X740" s="146"/>
      <c r="Y740" s="146"/>
      <c r="Z740" s="146"/>
      <c r="AA740" s="146"/>
      <c r="AB740" s="146"/>
      <c r="AC740" s="146"/>
      <c r="AD740" s="146"/>
      <c r="AE740" s="146"/>
      <c r="AF740" s="146"/>
      <c r="AG740" s="146"/>
      <c r="AH740" s="146"/>
      <c r="AI740" s="146"/>
      <c r="AJ740" s="54" t="s">
        <v>2742</v>
      </c>
      <c r="AK740" s="85"/>
      <c r="AL740" s="85"/>
      <c r="AM740" s="85"/>
    </row>
    <row r="741" spans="1:39" ht="12.75" customHeight="1">
      <c r="A741" s="63">
        <v>20</v>
      </c>
      <c r="B741" s="252" t="s">
        <v>27</v>
      </c>
      <c r="C741" s="135" t="s">
        <v>2743</v>
      </c>
      <c r="D741" s="21" t="s">
        <v>2744</v>
      </c>
      <c r="E741" s="253"/>
      <c r="F741" s="211"/>
      <c r="G741" s="211"/>
      <c r="H741" s="211"/>
      <c r="I741" s="253"/>
      <c r="J741" s="211"/>
      <c r="K741" s="211"/>
      <c r="L741" s="211"/>
      <c r="M741" s="211"/>
      <c r="N741" s="211"/>
      <c r="O741" s="211"/>
      <c r="P741" s="211"/>
      <c r="Q741" s="211"/>
      <c r="R741" s="146"/>
      <c r="S741" s="146"/>
      <c r="T741" s="146"/>
      <c r="U741" s="146"/>
      <c r="V741" s="146"/>
      <c r="W741" s="146"/>
      <c r="X741" s="146"/>
      <c r="Y741" s="146"/>
      <c r="Z741" s="146">
        <v>10000000</v>
      </c>
      <c r="AA741" s="146"/>
      <c r="AB741" s="146"/>
      <c r="AC741" s="146"/>
      <c r="AD741" s="146"/>
      <c r="AE741" s="146"/>
      <c r="AF741" s="146"/>
      <c r="AG741" s="146"/>
      <c r="AH741" s="146"/>
      <c r="AI741" s="146"/>
      <c r="AJ741" s="54" t="s">
        <v>2215</v>
      </c>
      <c r="AK741" s="85"/>
      <c r="AL741" s="85"/>
      <c r="AM741" s="85"/>
    </row>
    <row r="742" spans="1:39" ht="12.75" hidden="1" customHeight="1">
      <c r="A742" s="63">
        <v>21</v>
      </c>
      <c r="B742" s="252" t="s">
        <v>44</v>
      </c>
      <c r="C742" s="135" t="s">
        <v>2745</v>
      </c>
      <c r="D742" s="21" t="s">
        <v>2746</v>
      </c>
      <c r="E742" s="253"/>
      <c r="F742" s="211"/>
      <c r="G742" s="211"/>
      <c r="H742" s="211"/>
      <c r="I742" s="253"/>
      <c r="J742" s="211"/>
      <c r="K742" s="211"/>
      <c r="L742" s="211"/>
      <c r="M742" s="211"/>
      <c r="N742" s="211"/>
      <c r="O742" s="211"/>
      <c r="P742" s="211"/>
      <c r="Q742" s="211"/>
      <c r="R742" s="146"/>
      <c r="S742" s="146"/>
      <c r="T742" s="146"/>
      <c r="U742" s="146"/>
      <c r="V742" s="146">
        <v>20000000</v>
      </c>
      <c r="W742" s="146"/>
      <c r="X742" s="146"/>
      <c r="Y742" s="146"/>
      <c r="Z742" s="146"/>
      <c r="AA742" s="146"/>
      <c r="AB742" s="146"/>
      <c r="AC742" s="146"/>
      <c r="AD742" s="146"/>
      <c r="AE742" s="146"/>
      <c r="AF742" s="146"/>
      <c r="AG742" s="146"/>
      <c r="AH742" s="146"/>
      <c r="AI742" s="146"/>
      <c r="AJ742" s="54" t="s">
        <v>1556</v>
      </c>
      <c r="AK742" s="85"/>
      <c r="AL742" s="85"/>
      <c r="AM742" s="85"/>
    </row>
    <row r="743" spans="1:39" ht="12.75" customHeight="1">
      <c r="A743" s="63">
        <v>22</v>
      </c>
      <c r="B743" s="252" t="s">
        <v>27</v>
      </c>
      <c r="C743" s="135" t="s">
        <v>2747</v>
      </c>
      <c r="D743" s="21" t="s">
        <v>2748</v>
      </c>
      <c r="E743" s="253"/>
      <c r="F743" s="211"/>
      <c r="G743" s="211"/>
      <c r="H743" s="211"/>
      <c r="I743" s="253"/>
      <c r="J743" s="211"/>
      <c r="K743" s="211"/>
      <c r="L743" s="211"/>
      <c r="M743" s="211"/>
      <c r="N743" s="211"/>
      <c r="O743" s="211"/>
      <c r="P743" s="211"/>
      <c r="Q743" s="211"/>
      <c r="R743" s="146"/>
      <c r="S743" s="146"/>
      <c r="T743" s="146"/>
      <c r="U743" s="146"/>
      <c r="V743" s="146"/>
      <c r="W743" s="146"/>
      <c r="X743" s="146"/>
      <c r="Y743" s="146"/>
      <c r="Z743" s="146">
        <v>5000000</v>
      </c>
      <c r="AA743" s="146"/>
      <c r="AB743" s="146"/>
      <c r="AC743" s="146"/>
      <c r="AD743" s="146"/>
      <c r="AE743" s="146"/>
      <c r="AF743" s="146"/>
      <c r="AG743" s="146"/>
      <c r="AH743" s="146"/>
      <c r="AI743" s="146"/>
      <c r="AJ743" s="54" t="s">
        <v>2215</v>
      </c>
      <c r="AK743" s="85"/>
      <c r="AL743" s="85"/>
      <c r="AM743" s="85"/>
    </row>
    <row r="744" spans="1:39" ht="12.75" hidden="1" customHeight="1">
      <c r="A744" s="63">
        <v>23</v>
      </c>
      <c r="B744" s="252" t="s">
        <v>40</v>
      </c>
      <c r="C744" s="135" t="s">
        <v>2749</v>
      </c>
      <c r="D744" s="21" t="s">
        <v>2750</v>
      </c>
      <c r="E744" s="253"/>
      <c r="F744" s="211"/>
      <c r="G744" s="211"/>
      <c r="H744" s="211"/>
      <c r="I744" s="253"/>
      <c r="J744" s="211"/>
      <c r="K744" s="211"/>
      <c r="L744" s="211"/>
      <c r="M744" s="211">
        <v>40000000</v>
      </c>
      <c r="N744" s="211"/>
      <c r="O744" s="211"/>
      <c r="P744" s="211"/>
      <c r="Q744" s="211"/>
      <c r="R744" s="146"/>
      <c r="S744" s="146"/>
      <c r="T744" s="146"/>
      <c r="U744" s="146">
        <v>650000</v>
      </c>
      <c r="V744" s="146"/>
      <c r="W744" s="146"/>
      <c r="X744" s="146"/>
      <c r="Y744" s="146"/>
      <c r="Z744" s="146"/>
      <c r="AA744" s="146"/>
      <c r="AB744" s="146"/>
      <c r="AC744" s="146"/>
      <c r="AD744" s="146"/>
      <c r="AE744" s="146"/>
      <c r="AF744" s="146"/>
      <c r="AG744" s="146"/>
      <c r="AH744" s="146"/>
      <c r="AI744" s="146"/>
      <c r="AJ744" s="54" t="s">
        <v>1556</v>
      </c>
      <c r="AK744" s="85"/>
      <c r="AL744" s="85"/>
      <c r="AM744" s="85"/>
    </row>
    <row r="745" spans="1:39" ht="12.75" hidden="1" customHeight="1">
      <c r="A745" s="63">
        <v>24</v>
      </c>
      <c r="B745" s="252" t="s">
        <v>40</v>
      </c>
      <c r="C745" s="135" t="s">
        <v>2723</v>
      </c>
      <c r="D745" s="21" t="s">
        <v>2751</v>
      </c>
      <c r="E745" s="253"/>
      <c r="F745" s="211"/>
      <c r="G745" s="211"/>
      <c r="H745" s="211"/>
      <c r="I745" s="253"/>
      <c r="J745" s="211"/>
      <c r="K745" s="211"/>
      <c r="L745" s="211"/>
      <c r="M745" s="211">
        <v>60000000</v>
      </c>
      <c r="N745" s="211"/>
      <c r="O745" s="211"/>
      <c r="P745" s="211"/>
      <c r="Q745" s="211"/>
      <c r="R745" s="146"/>
      <c r="S745" s="146"/>
      <c r="T745" s="146"/>
      <c r="U745" s="146">
        <v>19600000</v>
      </c>
      <c r="V745" s="146"/>
      <c r="W745" s="146"/>
      <c r="X745" s="146"/>
      <c r="Y745" s="146"/>
      <c r="Z745" s="146"/>
      <c r="AA745" s="146"/>
      <c r="AB745" s="146"/>
      <c r="AC745" s="146"/>
      <c r="AD745" s="146"/>
      <c r="AE745" s="146"/>
      <c r="AF745" s="146"/>
      <c r="AG745" s="146"/>
      <c r="AH745" s="146"/>
      <c r="AI745" s="146"/>
      <c r="AJ745" s="54" t="s">
        <v>1556</v>
      </c>
      <c r="AK745" s="85"/>
      <c r="AL745" s="85"/>
      <c r="AM745" s="85"/>
    </row>
    <row r="746" spans="1:39" ht="12.75" hidden="1" customHeight="1">
      <c r="A746" s="63">
        <v>25</v>
      </c>
      <c r="B746" s="252" t="s">
        <v>40</v>
      </c>
      <c r="C746" s="135" t="s">
        <v>89</v>
      </c>
      <c r="D746" s="21" t="s">
        <v>2752</v>
      </c>
      <c r="E746" s="253"/>
      <c r="F746" s="211"/>
      <c r="G746" s="211"/>
      <c r="H746" s="211"/>
      <c r="I746" s="253"/>
      <c r="J746" s="211"/>
      <c r="K746" s="211"/>
      <c r="L746" s="211"/>
      <c r="M746" s="211">
        <v>50000000</v>
      </c>
      <c r="N746" s="211"/>
      <c r="O746" s="211"/>
      <c r="P746" s="211"/>
      <c r="Q746" s="211"/>
      <c r="R746" s="146"/>
      <c r="S746" s="146"/>
      <c r="T746" s="146"/>
      <c r="U746" s="146">
        <v>43440000</v>
      </c>
      <c r="V746" s="146"/>
      <c r="W746" s="146"/>
      <c r="X746" s="146"/>
      <c r="Y746" s="146"/>
      <c r="Z746" s="146"/>
      <c r="AA746" s="146"/>
      <c r="AB746" s="146"/>
      <c r="AC746" s="146"/>
      <c r="AD746" s="146"/>
      <c r="AE746" s="146"/>
      <c r="AF746" s="146"/>
      <c r="AG746" s="146"/>
      <c r="AH746" s="146"/>
      <c r="AI746" s="146"/>
      <c r="AJ746" s="54" t="s">
        <v>1556</v>
      </c>
      <c r="AK746" s="85"/>
      <c r="AL746" s="85"/>
      <c r="AM746" s="85"/>
    </row>
    <row r="747" spans="1:39" ht="12.75" customHeight="1">
      <c r="A747" s="63">
        <v>26</v>
      </c>
      <c r="B747" s="252" t="s">
        <v>27</v>
      </c>
      <c r="C747" s="135" t="s">
        <v>2753</v>
      </c>
      <c r="D747" s="21" t="s">
        <v>2754</v>
      </c>
      <c r="E747" s="253"/>
      <c r="F747" s="211"/>
      <c r="G747" s="211"/>
      <c r="H747" s="211"/>
      <c r="I747" s="253"/>
      <c r="J747" s="211"/>
      <c r="K747" s="211"/>
      <c r="L747" s="211"/>
      <c r="M747" s="211">
        <v>60000000</v>
      </c>
      <c r="N747" s="211"/>
      <c r="O747" s="211"/>
      <c r="P747" s="211"/>
      <c r="Q747" s="211"/>
      <c r="R747" s="146"/>
      <c r="S747" s="146"/>
      <c r="T747" s="146"/>
      <c r="U747" s="146"/>
      <c r="V747" s="146"/>
      <c r="W747" s="146"/>
      <c r="X747" s="146">
        <v>35000000</v>
      </c>
      <c r="Y747" s="146"/>
      <c r="Z747" s="146"/>
      <c r="AA747" s="146"/>
      <c r="AB747" s="146"/>
      <c r="AC747" s="146"/>
      <c r="AD747" s="146"/>
      <c r="AE747" s="146"/>
      <c r="AF747" s="146"/>
      <c r="AG747" s="146"/>
      <c r="AH747" s="146"/>
      <c r="AI747" s="146"/>
      <c r="AJ747" s="54" t="s">
        <v>2215</v>
      </c>
      <c r="AK747" s="85"/>
      <c r="AL747" s="85"/>
      <c r="AM747" s="85"/>
    </row>
    <row r="748" spans="1:39" ht="12.75" customHeight="1">
      <c r="A748" s="63">
        <v>27</v>
      </c>
      <c r="B748" s="252" t="s">
        <v>27</v>
      </c>
      <c r="C748" s="135" t="s">
        <v>2755</v>
      </c>
      <c r="D748" s="21" t="s">
        <v>2756</v>
      </c>
      <c r="E748" s="253"/>
      <c r="F748" s="211"/>
      <c r="G748" s="211"/>
      <c r="H748" s="211"/>
      <c r="I748" s="253"/>
      <c r="J748" s="211"/>
      <c r="K748" s="211"/>
      <c r="L748" s="211"/>
      <c r="M748" s="211">
        <v>160000000</v>
      </c>
      <c r="N748" s="211"/>
      <c r="O748" s="211"/>
      <c r="P748" s="211"/>
      <c r="Q748" s="211"/>
      <c r="R748" s="146"/>
      <c r="S748" s="146"/>
      <c r="T748" s="146"/>
      <c r="U748" s="146"/>
      <c r="V748" s="146"/>
      <c r="W748" s="146"/>
      <c r="X748" s="146">
        <v>60000000</v>
      </c>
      <c r="Y748" s="146"/>
      <c r="Z748" s="146"/>
      <c r="AA748" s="146"/>
      <c r="AB748" s="146"/>
      <c r="AC748" s="146"/>
      <c r="AD748" s="146"/>
      <c r="AE748" s="146"/>
      <c r="AF748" s="146"/>
      <c r="AG748" s="146"/>
      <c r="AH748" s="146"/>
      <c r="AI748" s="146"/>
      <c r="AJ748" s="54" t="s">
        <v>2757</v>
      </c>
      <c r="AK748" s="85"/>
      <c r="AL748" s="85"/>
      <c r="AM748" s="85"/>
    </row>
    <row r="749" spans="1:39" ht="12.75" hidden="1" customHeight="1">
      <c r="A749" s="63">
        <v>28</v>
      </c>
      <c r="B749" s="252" t="s">
        <v>1549</v>
      </c>
      <c r="C749" s="135" t="s">
        <v>2758</v>
      </c>
      <c r="D749" s="21" t="s">
        <v>2722</v>
      </c>
      <c r="E749" s="253"/>
      <c r="F749" s="211"/>
      <c r="G749" s="211"/>
      <c r="H749" s="211"/>
      <c r="I749" s="253"/>
      <c r="J749" s="211"/>
      <c r="K749" s="211"/>
      <c r="L749" s="211"/>
      <c r="M749" s="211">
        <v>60000000</v>
      </c>
      <c r="N749" s="211"/>
      <c r="O749" s="211"/>
      <c r="P749" s="211"/>
      <c r="Q749" s="211"/>
      <c r="R749" s="146"/>
      <c r="S749" s="146"/>
      <c r="T749" s="146"/>
      <c r="U749" s="146">
        <v>25000000</v>
      </c>
      <c r="V749" s="146"/>
      <c r="W749" s="146"/>
      <c r="X749" s="146"/>
      <c r="Y749" s="146"/>
      <c r="Z749" s="146"/>
      <c r="AA749" s="146"/>
      <c r="AB749" s="146"/>
      <c r="AC749" s="146"/>
      <c r="AD749" s="146"/>
      <c r="AE749" s="146"/>
      <c r="AF749" s="146"/>
      <c r="AG749" s="146"/>
      <c r="AH749" s="146"/>
      <c r="AI749" s="146"/>
      <c r="AJ749" s="54" t="s">
        <v>2759</v>
      </c>
      <c r="AK749" s="85"/>
      <c r="AL749" s="85"/>
      <c r="AM749" s="85"/>
    </row>
    <row r="750" spans="1:39" ht="12.75" hidden="1" customHeight="1">
      <c r="A750" s="63">
        <v>29</v>
      </c>
      <c r="B750" s="252" t="s">
        <v>40</v>
      </c>
      <c r="C750" s="17" t="s">
        <v>2760</v>
      </c>
      <c r="D750" s="21" t="s">
        <v>2761</v>
      </c>
      <c r="E750" s="253"/>
      <c r="F750" s="211"/>
      <c r="G750" s="211"/>
      <c r="H750" s="211"/>
      <c r="I750" s="253"/>
      <c r="J750" s="211"/>
      <c r="K750" s="211"/>
      <c r="L750" s="211"/>
      <c r="M750" s="211"/>
      <c r="N750" s="211"/>
      <c r="O750" s="211"/>
      <c r="P750" s="211"/>
      <c r="Q750" s="211"/>
      <c r="R750" s="146"/>
      <c r="S750" s="146"/>
      <c r="T750" s="146"/>
      <c r="U750" s="146"/>
      <c r="V750" s="146">
        <v>11500000</v>
      </c>
      <c r="W750" s="146"/>
      <c r="X750" s="146"/>
      <c r="Y750" s="146"/>
      <c r="Z750" s="146"/>
      <c r="AA750" s="146"/>
      <c r="AB750" s="146"/>
      <c r="AC750" s="146"/>
      <c r="AD750" s="146"/>
      <c r="AE750" s="146"/>
      <c r="AF750" s="146"/>
      <c r="AG750" s="146"/>
      <c r="AH750" s="146"/>
      <c r="AI750" s="146"/>
      <c r="AJ750" s="54" t="s">
        <v>1556</v>
      </c>
      <c r="AK750" s="85"/>
      <c r="AL750" s="85"/>
      <c r="AM750" s="85"/>
    </row>
    <row r="751" spans="1:39" ht="12.75" hidden="1" customHeight="1">
      <c r="A751" s="63">
        <v>30</v>
      </c>
      <c r="B751" s="252" t="s">
        <v>40</v>
      </c>
      <c r="C751" s="17" t="s">
        <v>2743</v>
      </c>
      <c r="D751" s="21" t="s">
        <v>2762</v>
      </c>
      <c r="E751" s="253"/>
      <c r="F751" s="211"/>
      <c r="G751" s="211"/>
      <c r="H751" s="211"/>
      <c r="I751" s="253"/>
      <c r="J751" s="211"/>
      <c r="K751" s="211"/>
      <c r="L751" s="211"/>
      <c r="M751" s="211"/>
      <c r="N751" s="211"/>
      <c r="O751" s="211"/>
      <c r="P751" s="211"/>
      <c r="Q751" s="211"/>
      <c r="R751" s="146"/>
      <c r="S751" s="146"/>
      <c r="T751" s="146"/>
      <c r="U751" s="146"/>
      <c r="V751" s="146">
        <v>1400000</v>
      </c>
      <c r="W751" s="146"/>
      <c r="X751" s="146"/>
      <c r="Y751" s="146"/>
      <c r="Z751" s="146"/>
      <c r="AA751" s="146"/>
      <c r="AB751" s="146"/>
      <c r="AC751" s="146"/>
      <c r="AD751" s="146"/>
      <c r="AE751" s="146"/>
      <c r="AF751" s="146"/>
      <c r="AG751" s="146"/>
      <c r="AH751" s="146"/>
      <c r="AI751" s="146"/>
      <c r="AJ751" s="54" t="s">
        <v>1556</v>
      </c>
      <c r="AK751" s="85"/>
      <c r="AL751" s="85"/>
      <c r="AM751" s="85"/>
    </row>
    <row r="752" spans="1:39" ht="12.75" hidden="1" customHeight="1">
      <c r="A752" s="63">
        <v>31</v>
      </c>
      <c r="B752" s="252" t="s">
        <v>40</v>
      </c>
      <c r="C752" s="17" t="s">
        <v>2760</v>
      </c>
      <c r="D752" s="21" t="s">
        <v>2763</v>
      </c>
      <c r="E752" s="253"/>
      <c r="F752" s="211"/>
      <c r="G752" s="211"/>
      <c r="H752" s="211"/>
      <c r="I752" s="253"/>
      <c r="J752" s="211"/>
      <c r="K752" s="211"/>
      <c r="L752" s="211"/>
      <c r="M752" s="211"/>
      <c r="N752" s="211"/>
      <c r="O752" s="211"/>
      <c r="P752" s="211"/>
      <c r="Q752" s="211"/>
      <c r="R752" s="146"/>
      <c r="S752" s="146"/>
      <c r="T752" s="146"/>
      <c r="U752" s="146"/>
      <c r="V752" s="146">
        <v>22000000</v>
      </c>
      <c r="W752" s="146"/>
      <c r="X752" s="146"/>
      <c r="Y752" s="146"/>
      <c r="Z752" s="146"/>
      <c r="AA752" s="146"/>
      <c r="AB752" s="146"/>
      <c r="AC752" s="146"/>
      <c r="AD752" s="146"/>
      <c r="AE752" s="146"/>
      <c r="AF752" s="146"/>
      <c r="AG752" s="146"/>
      <c r="AH752" s="146"/>
      <c r="AI752" s="146"/>
      <c r="AJ752" s="54" t="s">
        <v>1556</v>
      </c>
      <c r="AK752" s="85"/>
      <c r="AL752" s="85"/>
      <c r="AM752" s="85"/>
    </row>
    <row r="753" spans="1:39" ht="12.75" hidden="1" customHeight="1">
      <c r="A753" s="63">
        <v>32</v>
      </c>
      <c r="B753" s="252" t="s">
        <v>44</v>
      </c>
      <c r="C753" s="17" t="s">
        <v>2764</v>
      </c>
      <c r="D753" s="21" t="s">
        <v>2765</v>
      </c>
      <c r="E753" s="253"/>
      <c r="F753" s="211"/>
      <c r="G753" s="211"/>
      <c r="H753" s="211"/>
      <c r="I753" s="253"/>
      <c r="J753" s="211"/>
      <c r="K753" s="211"/>
      <c r="L753" s="211"/>
      <c r="M753" s="211"/>
      <c r="N753" s="211"/>
      <c r="O753" s="211"/>
      <c r="P753" s="211"/>
      <c r="Q753" s="211"/>
      <c r="R753" s="146"/>
      <c r="S753" s="146"/>
      <c r="T753" s="146"/>
      <c r="U753" s="146"/>
      <c r="V753" s="146"/>
      <c r="W753" s="146"/>
      <c r="X753" s="146">
        <v>9342000</v>
      </c>
      <c r="Y753" s="146"/>
      <c r="Z753" s="146"/>
      <c r="AA753" s="146"/>
      <c r="AB753" s="146"/>
      <c r="AC753" s="146"/>
      <c r="AD753" s="146"/>
      <c r="AE753" s="146"/>
      <c r="AF753" s="146"/>
      <c r="AG753" s="146"/>
      <c r="AH753" s="146"/>
      <c r="AI753" s="146"/>
      <c r="AJ753" s="54" t="s">
        <v>1556</v>
      </c>
      <c r="AK753" s="85"/>
      <c r="AL753" s="85"/>
      <c r="AM753" s="85"/>
    </row>
    <row r="754" spans="1:39" ht="12.75" hidden="1" customHeight="1">
      <c r="A754" s="63">
        <v>33</v>
      </c>
      <c r="B754" s="252" t="s">
        <v>44</v>
      </c>
      <c r="C754" s="17" t="s">
        <v>2766</v>
      </c>
      <c r="D754" s="21" t="s">
        <v>2767</v>
      </c>
      <c r="E754" s="253"/>
      <c r="F754" s="211"/>
      <c r="G754" s="211"/>
      <c r="H754" s="211"/>
      <c r="I754" s="253"/>
      <c r="J754" s="211"/>
      <c r="K754" s="211"/>
      <c r="L754" s="211"/>
      <c r="M754" s="211"/>
      <c r="N754" s="211"/>
      <c r="O754" s="211"/>
      <c r="P754" s="211"/>
      <c r="Q754" s="211"/>
      <c r="R754" s="146"/>
      <c r="S754" s="146"/>
      <c r="T754" s="146"/>
      <c r="U754" s="146"/>
      <c r="V754" s="146"/>
      <c r="W754" s="146">
        <v>1500000</v>
      </c>
      <c r="X754" s="146"/>
      <c r="Y754" s="146"/>
      <c r="Z754" s="146"/>
      <c r="AA754" s="146"/>
      <c r="AB754" s="146"/>
      <c r="AC754" s="146"/>
      <c r="AD754" s="146"/>
      <c r="AE754" s="146"/>
      <c r="AF754" s="146"/>
      <c r="AG754" s="146"/>
      <c r="AH754" s="146"/>
      <c r="AI754" s="146"/>
      <c r="AJ754" s="54" t="s">
        <v>2768</v>
      </c>
      <c r="AK754" s="85"/>
      <c r="AL754" s="85"/>
      <c r="AM754" s="85"/>
    </row>
    <row r="755" spans="1:39" ht="12.75" hidden="1" customHeight="1">
      <c r="A755" s="63">
        <v>34</v>
      </c>
      <c r="B755" s="252" t="s">
        <v>40</v>
      </c>
      <c r="C755" s="17" t="s">
        <v>2769</v>
      </c>
      <c r="D755" s="21" t="s">
        <v>2770</v>
      </c>
      <c r="E755" s="253"/>
      <c r="F755" s="211"/>
      <c r="G755" s="211"/>
      <c r="H755" s="211"/>
      <c r="I755" s="253"/>
      <c r="J755" s="211"/>
      <c r="K755" s="211"/>
      <c r="L755" s="211"/>
      <c r="M755" s="211"/>
      <c r="N755" s="211"/>
      <c r="O755" s="211"/>
      <c r="P755" s="211"/>
      <c r="Q755" s="211"/>
      <c r="R755" s="146"/>
      <c r="S755" s="146"/>
      <c r="T755" s="146"/>
      <c r="U755" s="146"/>
      <c r="V755" s="146">
        <v>2500000</v>
      </c>
      <c r="W755" s="146"/>
      <c r="X755" s="146"/>
      <c r="Y755" s="146"/>
      <c r="Z755" s="146"/>
      <c r="AA755" s="146"/>
      <c r="AB755" s="146"/>
      <c r="AC755" s="146"/>
      <c r="AD755" s="146"/>
      <c r="AE755" s="146"/>
      <c r="AF755" s="146"/>
      <c r="AG755" s="146"/>
      <c r="AH755" s="146"/>
      <c r="AI755" s="146"/>
      <c r="AJ755" s="54" t="s">
        <v>1765</v>
      </c>
      <c r="AK755" s="85"/>
      <c r="AL755" s="85"/>
      <c r="AM755" s="85"/>
    </row>
    <row r="756" spans="1:39" ht="12.75" hidden="1" customHeight="1">
      <c r="A756" s="63">
        <v>35</v>
      </c>
      <c r="B756" s="252" t="s">
        <v>44</v>
      </c>
      <c r="C756" s="17" t="s">
        <v>2729</v>
      </c>
      <c r="D756" s="21" t="s">
        <v>2771</v>
      </c>
      <c r="E756" s="253"/>
      <c r="F756" s="211"/>
      <c r="G756" s="211"/>
      <c r="H756" s="211"/>
      <c r="I756" s="253"/>
      <c r="J756" s="211"/>
      <c r="K756" s="211"/>
      <c r="L756" s="211"/>
      <c r="M756" s="211"/>
      <c r="N756" s="211"/>
      <c r="O756" s="211"/>
      <c r="P756" s="211"/>
      <c r="Q756" s="211"/>
      <c r="R756" s="146"/>
      <c r="S756" s="146"/>
      <c r="T756" s="146"/>
      <c r="U756" s="146"/>
      <c r="V756" s="146"/>
      <c r="W756" s="146">
        <v>40600000</v>
      </c>
      <c r="X756" s="146"/>
      <c r="Y756" s="146"/>
      <c r="Z756" s="146"/>
      <c r="AA756" s="146"/>
      <c r="AB756" s="146"/>
      <c r="AC756" s="146"/>
      <c r="AD756" s="146"/>
      <c r="AE756" s="146"/>
      <c r="AF756" s="146"/>
      <c r="AG756" s="146"/>
      <c r="AH756" s="146"/>
      <c r="AI756" s="146"/>
      <c r="AJ756" s="54" t="s">
        <v>2772</v>
      </c>
      <c r="AK756" s="85"/>
      <c r="AL756" s="85"/>
      <c r="AM756" s="85"/>
    </row>
    <row r="757" spans="1:39" ht="12.75" customHeight="1">
      <c r="A757" s="63">
        <v>36</v>
      </c>
      <c r="B757" s="252" t="s">
        <v>27</v>
      </c>
      <c r="C757" s="17" t="s">
        <v>2773</v>
      </c>
      <c r="D757" s="21" t="s">
        <v>2774</v>
      </c>
      <c r="E757" s="253"/>
      <c r="F757" s="211"/>
      <c r="G757" s="211"/>
      <c r="H757" s="211"/>
      <c r="I757" s="253"/>
      <c r="J757" s="211"/>
      <c r="K757" s="211"/>
      <c r="L757" s="211"/>
      <c r="M757" s="211"/>
      <c r="N757" s="211"/>
      <c r="O757" s="211"/>
      <c r="P757" s="211"/>
      <c r="Q757" s="211"/>
      <c r="R757" s="146"/>
      <c r="S757" s="146"/>
      <c r="T757" s="146"/>
      <c r="U757" s="146"/>
      <c r="V757" s="146">
        <v>95000000</v>
      </c>
      <c r="W757" s="146"/>
      <c r="X757" s="146"/>
      <c r="Y757" s="146"/>
      <c r="Z757" s="146"/>
      <c r="AA757" s="146"/>
      <c r="AB757" s="146"/>
      <c r="AC757" s="146"/>
      <c r="AD757" s="146"/>
      <c r="AE757" s="146"/>
      <c r="AF757" s="146"/>
      <c r="AG757" s="146"/>
      <c r="AH757" s="146"/>
      <c r="AI757" s="146"/>
      <c r="AJ757" s="54" t="s">
        <v>2215</v>
      </c>
      <c r="AK757" s="85"/>
      <c r="AL757" s="85"/>
      <c r="AM757" s="85"/>
    </row>
    <row r="758" spans="1:39" ht="12.75" customHeight="1">
      <c r="A758" s="63">
        <v>37</v>
      </c>
      <c r="B758" s="252" t="s">
        <v>27</v>
      </c>
      <c r="C758" s="17" t="s">
        <v>2775</v>
      </c>
      <c r="D758" s="21" t="s">
        <v>2776</v>
      </c>
      <c r="E758" s="253"/>
      <c r="F758" s="211"/>
      <c r="G758" s="211"/>
      <c r="H758" s="211"/>
      <c r="I758" s="253"/>
      <c r="J758" s="211"/>
      <c r="K758" s="211"/>
      <c r="L758" s="211"/>
      <c r="M758" s="211"/>
      <c r="N758" s="211"/>
      <c r="O758" s="211"/>
      <c r="P758" s="211"/>
      <c r="Q758" s="211"/>
      <c r="R758" s="146"/>
      <c r="S758" s="146"/>
      <c r="T758" s="146"/>
      <c r="U758" s="146"/>
      <c r="V758" s="146">
        <v>35000000</v>
      </c>
      <c r="W758" s="146"/>
      <c r="X758" s="146"/>
      <c r="Y758" s="146"/>
      <c r="Z758" s="146"/>
      <c r="AA758" s="146"/>
      <c r="AB758" s="146"/>
      <c r="AC758" s="146"/>
      <c r="AD758" s="146"/>
      <c r="AE758" s="146"/>
      <c r="AF758" s="146"/>
      <c r="AG758" s="146"/>
      <c r="AH758" s="146"/>
      <c r="AI758" s="146"/>
      <c r="AJ758" s="54" t="s">
        <v>2215</v>
      </c>
      <c r="AK758" s="85"/>
      <c r="AL758" s="85"/>
      <c r="AM758" s="85"/>
    </row>
    <row r="759" spans="1:39" ht="12.75" customHeight="1">
      <c r="A759" s="63">
        <v>38</v>
      </c>
      <c r="B759" s="252" t="s">
        <v>27</v>
      </c>
      <c r="C759" s="17" t="s">
        <v>2777</v>
      </c>
      <c r="D759" s="21" t="s">
        <v>2778</v>
      </c>
      <c r="E759" s="253"/>
      <c r="F759" s="211"/>
      <c r="G759" s="211"/>
      <c r="H759" s="211"/>
      <c r="I759" s="253"/>
      <c r="J759" s="211"/>
      <c r="K759" s="211"/>
      <c r="L759" s="211"/>
      <c r="M759" s="211"/>
      <c r="N759" s="211"/>
      <c r="O759" s="211"/>
      <c r="P759" s="211"/>
      <c r="Q759" s="211"/>
      <c r="R759" s="146"/>
      <c r="S759" s="146"/>
      <c r="T759" s="146"/>
      <c r="U759" s="146"/>
      <c r="V759" s="146"/>
      <c r="W759" s="146"/>
      <c r="X759" s="146"/>
      <c r="Y759" s="146"/>
      <c r="Z759" s="146"/>
      <c r="AA759" s="146"/>
      <c r="AB759" s="146"/>
      <c r="AC759" s="146"/>
      <c r="AD759" s="146">
        <v>120000000</v>
      </c>
      <c r="AE759" s="146"/>
      <c r="AF759" s="146"/>
      <c r="AG759" s="146"/>
      <c r="AH759" s="146"/>
      <c r="AI759" s="146"/>
      <c r="AJ759" s="54" t="s">
        <v>2779</v>
      </c>
      <c r="AK759" s="85"/>
      <c r="AL759" s="85"/>
      <c r="AM759" s="85"/>
    </row>
    <row r="760" spans="1:39" ht="12.75" hidden="1" customHeight="1">
      <c r="A760" s="63">
        <v>39</v>
      </c>
      <c r="B760" s="252" t="s">
        <v>40</v>
      </c>
      <c r="C760" s="17" t="s">
        <v>2780</v>
      </c>
      <c r="D760" s="21" t="s">
        <v>2781</v>
      </c>
      <c r="E760" s="253"/>
      <c r="F760" s="211"/>
      <c r="G760" s="211"/>
      <c r="H760" s="211"/>
      <c r="I760" s="253"/>
      <c r="J760" s="211"/>
      <c r="K760" s="211"/>
      <c r="L760" s="211"/>
      <c r="M760" s="211"/>
      <c r="N760" s="211"/>
      <c r="O760" s="211"/>
      <c r="P760" s="211"/>
      <c r="Q760" s="211"/>
      <c r="R760" s="146"/>
      <c r="S760" s="146"/>
      <c r="T760" s="146"/>
      <c r="U760" s="146"/>
      <c r="V760" s="146"/>
      <c r="W760" s="146">
        <v>58000000</v>
      </c>
      <c r="X760" s="146"/>
      <c r="Y760" s="146"/>
      <c r="Z760" s="146"/>
      <c r="AA760" s="146"/>
      <c r="AB760" s="146"/>
      <c r="AC760" s="146"/>
      <c r="AD760" s="146"/>
      <c r="AE760" s="146"/>
      <c r="AF760" s="146"/>
      <c r="AG760" s="146"/>
      <c r="AH760" s="146"/>
      <c r="AI760" s="146"/>
      <c r="AJ760" s="54" t="s">
        <v>1556</v>
      </c>
      <c r="AK760" s="85"/>
      <c r="AL760" s="85"/>
      <c r="AM760" s="85"/>
    </row>
    <row r="761" spans="1:39" ht="12.75" hidden="1" customHeight="1">
      <c r="A761" s="63">
        <v>40</v>
      </c>
      <c r="B761" s="252" t="s">
        <v>40</v>
      </c>
      <c r="C761" s="17" t="s">
        <v>2780</v>
      </c>
      <c r="D761" s="21" t="s">
        <v>2771</v>
      </c>
      <c r="E761" s="253"/>
      <c r="F761" s="211"/>
      <c r="G761" s="211"/>
      <c r="H761" s="211"/>
      <c r="I761" s="253"/>
      <c r="J761" s="211"/>
      <c r="K761" s="211"/>
      <c r="L761" s="211"/>
      <c r="M761" s="211"/>
      <c r="N761" s="211"/>
      <c r="O761" s="211"/>
      <c r="P761" s="211"/>
      <c r="Q761" s="211"/>
      <c r="R761" s="146"/>
      <c r="S761" s="146"/>
      <c r="T761" s="146"/>
      <c r="U761" s="146"/>
      <c r="V761" s="146"/>
      <c r="W761" s="146"/>
      <c r="X761" s="146">
        <v>19800000</v>
      </c>
      <c r="Y761" s="146"/>
      <c r="Z761" s="146"/>
      <c r="AA761" s="146"/>
      <c r="AB761" s="146"/>
      <c r="AC761" s="146"/>
      <c r="AD761" s="146"/>
      <c r="AE761" s="146"/>
      <c r="AF761" s="146"/>
      <c r="AG761" s="146"/>
      <c r="AH761" s="146"/>
      <c r="AI761" s="146"/>
      <c r="AJ761" s="54" t="s">
        <v>1864</v>
      </c>
      <c r="AK761" s="85"/>
      <c r="AL761" s="85"/>
      <c r="AM761" s="85"/>
    </row>
    <row r="762" spans="1:39" ht="12.75" customHeight="1">
      <c r="A762" s="63">
        <v>41</v>
      </c>
      <c r="B762" s="252" t="s">
        <v>27</v>
      </c>
      <c r="C762" s="17" t="s">
        <v>2782</v>
      </c>
      <c r="D762" s="21" t="s">
        <v>2783</v>
      </c>
      <c r="E762" s="253"/>
      <c r="F762" s="211"/>
      <c r="G762" s="211"/>
      <c r="H762" s="211"/>
      <c r="I762" s="253"/>
      <c r="J762" s="211"/>
      <c r="K762" s="211"/>
      <c r="L762" s="211"/>
      <c r="M762" s="211"/>
      <c r="N762" s="211"/>
      <c r="O762" s="211"/>
      <c r="P762" s="211"/>
      <c r="Q762" s="211"/>
      <c r="R762" s="146"/>
      <c r="S762" s="146"/>
      <c r="T762" s="146"/>
      <c r="U762" s="146"/>
      <c r="V762" s="146"/>
      <c r="W762" s="146"/>
      <c r="X762" s="146"/>
      <c r="Y762" s="146"/>
      <c r="Z762" s="146"/>
      <c r="AA762" s="146">
        <v>18000000</v>
      </c>
      <c r="AB762" s="146"/>
      <c r="AC762" s="146"/>
      <c r="AD762" s="146"/>
      <c r="AE762" s="146"/>
      <c r="AF762" s="146"/>
      <c r="AG762" s="146"/>
      <c r="AH762" s="146"/>
      <c r="AI762" s="146"/>
      <c r="AJ762" s="54" t="s">
        <v>2215</v>
      </c>
      <c r="AK762" s="85"/>
      <c r="AL762" s="85"/>
      <c r="AM762" s="85"/>
    </row>
    <row r="763" spans="1:39" ht="12.75" customHeight="1">
      <c r="A763" s="63">
        <v>42</v>
      </c>
      <c r="B763" s="252" t="s">
        <v>27</v>
      </c>
      <c r="C763" s="17" t="s">
        <v>2784</v>
      </c>
      <c r="D763" s="21" t="s">
        <v>2785</v>
      </c>
      <c r="E763" s="253"/>
      <c r="F763" s="211"/>
      <c r="G763" s="211"/>
      <c r="H763" s="211"/>
      <c r="I763" s="253"/>
      <c r="J763" s="211"/>
      <c r="K763" s="211"/>
      <c r="L763" s="211"/>
      <c r="M763" s="211"/>
      <c r="N763" s="211"/>
      <c r="O763" s="211"/>
      <c r="P763" s="211"/>
      <c r="Q763" s="211"/>
      <c r="R763" s="146"/>
      <c r="S763" s="146"/>
      <c r="T763" s="146"/>
      <c r="U763" s="146"/>
      <c r="V763" s="146"/>
      <c r="W763" s="146"/>
      <c r="X763" s="146"/>
      <c r="Y763" s="146"/>
      <c r="Z763" s="146"/>
      <c r="AA763" s="146"/>
      <c r="AB763" s="146"/>
      <c r="AC763" s="146"/>
      <c r="AD763" s="146"/>
      <c r="AE763" s="146"/>
      <c r="AF763" s="146"/>
      <c r="AG763" s="146"/>
      <c r="AH763" s="146"/>
      <c r="AI763" s="146"/>
      <c r="AJ763" s="54" t="s">
        <v>2215</v>
      </c>
      <c r="AK763" s="85"/>
      <c r="AL763" s="85"/>
      <c r="AM763" s="85"/>
    </row>
    <row r="764" spans="1:39" ht="12.75" hidden="1" customHeight="1">
      <c r="A764" s="63">
        <v>43</v>
      </c>
      <c r="B764" s="252" t="s">
        <v>40</v>
      </c>
      <c r="C764" s="17" t="s">
        <v>2745</v>
      </c>
      <c r="D764" s="21" t="s">
        <v>2786</v>
      </c>
      <c r="E764" s="253"/>
      <c r="F764" s="211"/>
      <c r="G764" s="211"/>
      <c r="H764" s="211"/>
      <c r="I764" s="253"/>
      <c r="J764" s="211"/>
      <c r="K764" s="211"/>
      <c r="L764" s="211"/>
      <c r="M764" s="211"/>
      <c r="N764" s="211"/>
      <c r="O764" s="211"/>
      <c r="P764" s="211"/>
      <c r="Q764" s="211"/>
      <c r="R764" s="146"/>
      <c r="S764" s="146"/>
      <c r="T764" s="146"/>
      <c r="U764" s="146"/>
      <c r="V764" s="146"/>
      <c r="W764" s="146"/>
      <c r="X764" s="146">
        <v>5800000</v>
      </c>
      <c r="Y764" s="146"/>
      <c r="Z764" s="146"/>
      <c r="AA764" s="146"/>
      <c r="AB764" s="146"/>
      <c r="AC764" s="146"/>
      <c r="AD764" s="146"/>
      <c r="AE764" s="146"/>
      <c r="AF764" s="146"/>
      <c r="AG764" s="146"/>
      <c r="AH764" s="146"/>
      <c r="AI764" s="146"/>
      <c r="AJ764" s="54" t="s">
        <v>1556</v>
      </c>
      <c r="AK764" s="85"/>
      <c r="AL764" s="85"/>
      <c r="AM764" s="85"/>
    </row>
    <row r="765" spans="1:39" ht="12.75" customHeight="1">
      <c r="A765" s="63">
        <v>44</v>
      </c>
      <c r="B765" s="252" t="s">
        <v>27</v>
      </c>
      <c r="C765" s="17" t="s">
        <v>89</v>
      </c>
      <c r="D765" s="21" t="s">
        <v>2787</v>
      </c>
      <c r="E765" s="253"/>
      <c r="F765" s="211"/>
      <c r="G765" s="211"/>
      <c r="H765" s="211"/>
      <c r="I765" s="253"/>
      <c r="J765" s="211"/>
      <c r="K765" s="211"/>
      <c r="L765" s="211"/>
      <c r="M765" s="211"/>
      <c r="N765" s="211"/>
      <c r="O765" s="211"/>
      <c r="P765" s="211"/>
      <c r="Q765" s="211"/>
      <c r="R765" s="146"/>
      <c r="S765" s="146"/>
      <c r="T765" s="146"/>
      <c r="U765" s="146"/>
      <c r="V765" s="146"/>
      <c r="W765" s="146"/>
      <c r="X765" s="146"/>
      <c r="Y765" s="146"/>
      <c r="Z765" s="146"/>
      <c r="AA765" s="146">
        <v>120000000</v>
      </c>
      <c r="AB765" s="146"/>
      <c r="AC765" s="146"/>
      <c r="AD765" s="146"/>
      <c r="AE765" s="146"/>
      <c r="AF765" s="146"/>
      <c r="AG765" s="146"/>
      <c r="AH765" s="146"/>
      <c r="AI765" s="146"/>
      <c r="AJ765" s="54" t="s">
        <v>2450</v>
      </c>
      <c r="AK765" s="85"/>
      <c r="AL765" s="85"/>
      <c r="AM765" s="85"/>
    </row>
    <row r="766" spans="1:39" ht="12.75" customHeight="1">
      <c r="A766" s="63">
        <v>45</v>
      </c>
      <c r="B766" s="252" t="s">
        <v>27</v>
      </c>
      <c r="C766" s="17" t="s">
        <v>2788</v>
      </c>
      <c r="D766" s="21" t="s">
        <v>2789</v>
      </c>
      <c r="E766" s="253"/>
      <c r="F766" s="211"/>
      <c r="G766" s="211"/>
      <c r="H766" s="211"/>
      <c r="I766" s="253"/>
      <c r="J766" s="211"/>
      <c r="K766" s="211"/>
      <c r="L766" s="211"/>
      <c r="M766" s="211"/>
      <c r="N766" s="211"/>
      <c r="O766" s="211"/>
      <c r="P766" s="211"/>
      <c r="Q766" s="211"/>
      <c r="R766" s="146"/>
      <c r="S766" s="146"/>
      <c r="T766" s="146"/>
      <c r="U766" s="146"/>
      <c r="V766" s="146"/>
      <c r="W766" s="146"/>
      <c r="X766" s="146">
        <v>15000000</v>
      </c>
      <c r="Y766" s="146"/>
      <c r="Z766" s="146"/>
      <c r="AA766" s="146"/>
      <c r="AB766" s="146"/>
      <c r="AC766" s="146"/>
      <c r="AD766" s="146"/>
      <c r="AE766" s="146"/>
      <c r="AF766" s="146"/>
      <c r="AG766" s="146"/>
      <c r="AH766" s="146"/>
      <c r="AI766" s="146"/>
      <c r="AJ766" s="54" t="s">
        <v>2215</v>
      </c>
      <c r="AK766" s="85"/>
      <c r="AL766" s="85"/>
      <c r="AM766" s="85"/>
    </row>
    <row r="767" spans="1:39" ht="12.75" customHeight="1">
      <c r="A767" s="63">
        <v>46</v>
      </c>
      <c r="B767" s="252" t="s">
        <v>27</v>
      </c>
      <c r="C767" s="17" t="s">
        <v>2704</v>
      </c>
      <c r="D767" s="21" t="s">
        <v>2790</v>
      </c>
      <c r="E767" s="253"/>
      <c r="F767" s="211"/>
      <c r="G767" s="211"/>
      <c r="H767" s="211"/>
      <c r="I767" s="253"/>
      <c r="J767" s="211"/>
      <c r="K767" s="211"/>
      <c r="L767" s="211"/>
      <c r="M767" s="211"/>
      <c r="N767" s="211"/>
      <c r="O767" s="211"/>
      <c r="P767" s="211"/>
      <c r="Q767" s="211"/>
      <c r="R767" s="146"/>
      <c r="S767" s="146"/>
      <c r="T767" s="146"/>
      <c r="U767" s="146"/>
      <c r="V767" s="146"/>
      <c r="W767" s="146"/>
      <c r="X767" s="146"/>
      <c r="Y767" s="146"/>
      <c r="Z767" s="146">
        <v>42000000</v>
      </c>
      <c r="AA767" s="146"/>
      <c r="AB767" s="146"/>
      <c r="AC767" s="146"/>
      <c r="AD767" s="146"/>
      <c r="AE767" s="146"/>
      <c r="AF767" s="146"/>
      <c r="AG767" s="146"/>
      <c r="AH767" s="146"/>
      <c r="AI767" s="146"/>
      <c r="AJ767" s="54" t="s">
        <v>2706</v>
      </c>
      <c r="AK767" s="85"/>
      <c r="AL767" s="85"/>
      <c r="AM767" s="85"/>
    </row>
    <row r="768" spans="1:39" ht="12.75" hidden="1" customHeight="1">
      <c r="A768" s="63">
        <v>47</v>
      </c>
      <c r="B768" s="252" t="s">
        <v>40</v>
      </c>
      <c r="C768" s="17" t="s">
        <v>2791</v>
      </c>
      <c r="D768" s="21" t="s">
        <v>2792</v>
      </c>
      <c r="E768" s="253"/>
      <c r="F768" s="211"/>
      <c r="G768" s="211"/>
      <c r="H768" s="211"/>
      <c r="I768" s="253"/>
      <c r="J768" s="211"/>
      <c r="K768" s="211"/>
      <c r="L768" s="211"/>
      <c r="M768" s="211"/>
      <c r="N768" s="211"/>
      <c r="O768" s="211"/>
      <c r="P768" s="211"/>
      <c r="Q768" s="211"/>
      <c r="R768" s="146"/>
      <c r="S768" s="146"/>
      <c r="T768" s="146"/>
      <c r="U768" s="146"/>
      <c r="V768" s="146"/>
      <c r="W768" s="146">
        <v>2200000</v>
      </c>
      <c r="X768" s="146"/>
      <c r="Y768" s="146"/>
      <c r="Z768" s="146"/>
      <c r="AA768" s="146"/>
      <c r="AB768" s="146"/>
      <c r="AC768" s="146"/>
      <c r="AD768" s="146"/>
      <c r="AE768" s="146"/>
      <c r="AF768" s="146"/>
      <c r="AG768" s="146"/>
      <c r="AH768" s="146"/>
      <c r="AI768" s="146"/>
      <c r="AJ768" s="54" t="s">
        <v>1765</v>
      </c>
      <c r="AK768" s="85"/>
      <c r="AL768" s="85"/>
      <c r="AM768" s="85"/>
    </row>
    <row r="769" spans="1:39" ht="12.75" hidden="1" customHeight="1">
      <c r="A769" s="63">
        <v>48</v>
      </c>
      <c r="B769" s="252" t="s">
        <v>40</v>
      </c>
      <c r="C769" s="17" t="s">
        <v>2793</v>
      </c>
      <c r="D769" s="21" t="s">
        <v>2794</v>
      </c>
      <c r="E769" s="253"/>
      <c r="F769" s="211"/>
      <c r="G769" s="211"/>
      <c r="H769" s="211"/>
      <c r="I769" s="253"/>
      <c r="J769" s="211"/>
      <c r="K769" s="211"/>
      <c r="L769" s="211"/>
      <c r="M769" s="211"/>
      <c r="N769" s="211"/>
      <c r="O769" s="211"/>
      <c r="P769" s="211"/>
      <c r="Q769" s="211"/>
      <c r="R769" s="146"/>
      <c r="S769" s="146"/>
      <c r="T769" s="146"/>
      <c r="U769" s="146"/>
      <c r="V769" s="146"/>
      <c r="W769" s="146"/>
      <c r="X769" s="146">
        <v>13800000</v>
      </c>
      <c r="Y769" s="146"/>
      <c r="Z769" s="146"/>
      <c r="AA769" s="146"/>
      <c r="AB769" s="146"/>
      <c r="AC769" s="146"/>
      <c r="AD769" s="146"/>
      <c r="AE769" s="146"/>
      <c r="AF769" s="146"/>
      <c r="AG769" s="146"/>
      <c r="AH769" s="146"/>
      <c r="AI769" s="146"/>
      <c r="AJ769" s="54" t="s">
        <v>1765</v>
      </c>
      <c r="AK769" s="85"/>
      <c r="AL769" s="85"/>
      <c r="AM769" s="85"/>
    </row>
    <row r="770" spans="1:39" ht="12.75" customHeight="1">
      <c r="A770" s="63">
        <v>49</v>
      </c>
      <c r="B770" s="252" t="s">
        <v>27</v>
      </c>
      <c r="C770" s="17" t="s">
        <v>2795</v>
      </c>
      <c r="D770" s="21" t="s">
        <v>2796</v>
      </c>
      <c r="E770" s="253"/>
      <c r="F770" s="211"/>
      <c r="G770" s="211"/>
      <c r="H770" s="211"/>
      <c r="I770" s="253"/>
      <c r="J770" s="211"/>
      <c r="K770" s="211"/>
      <c r="L770" s="211"/>
      <c r="M770" s="211"/>
      <c r="N770" s="211"/>
      <c r="O770" s="211"/>
      <c r="P770" s="211"/>
      <c r="Q770" s="211"/>
      <c r="R770" s="146"/>
      <c r="S770" s="146"/>
      <c r="T770" s="146"/>
      <c r="U770" s="146"/>
      <c r="V770" s="146"/>
      <c r="W770" s="146"/>
      <c r="X770" s="146"/>
      <c r="Y770" s="146">
        <v>18000000</v>
      </c>
      <c r="Z770" s="146"/>
      <c r="AA770" s="146"/>
      <c r="AB770" s="146"/>
      <c r="AC770" s="146"/>
      <c r="AD770" s="146"/>
      <c r="AE770" s="146"/>
      <c r="AF770" s="146"/>
      <c r="AG770" s="146"/>
      <c r="AH770" s="146"/>
      <c r="AI770" s="146"/>
      <c r="AJ770" s="54" t="s">
        <v>1556</v>
      </c>
      <c r="AK770" s="85"/>
      <c r="AL770" s="85"/>
      <c r="AM770" s="85"/>
    </row>
    <row r="771" spans="1:39" ht="12.75" hidden="1" customHeight="1">
      <c r="A771" s="63">
        <v>50</v>
      </c>
      <c r="B771" s="252" t="s">
        <v>40</v>
      </c>
      <c r="C771" s="17" t="s">
        <v>2797</v>
      </c>
      <c r="D771" s="21" t="s">
        <v>2798</v>
      </c>
      <c r="E771" s="253"/>
      <c r="F771" s="211"/>
      <c r="G771" s="211"/>
      <c r="H771" s="211"/>
      <c r="I771" s="253"/>
      <c r="J771" s="211"/>
      <c r="K771" s="211"/>
      <c r="L771" s="211"/>
      <c r="M771" s="211"/>
      <c r="N771" s="211"/>
      <c r="O771" s="211"/>
      <c r="P771" s="211"/>
      <c r="Q771" s="211"/>
      <c r="R771" s="146"/>
      <c r="S771" s="146"/>
      <c r="T771" s="146"/>
      <c r="U771" s="146"/>
      <c r="V771" s="146"/>
      <c r="W771" s="146"/>
      <c r="X771" s="146">
        <v>3900000</v>
      </c>
      <c r="Y771" s="146"/>
      <c r="Z771" s="146"/>
      <c r="AA771" s="146"/>
      <c r="AB771" s="146"/>
      <c r="AC771" s="146"/>
      <c r="AD771" s="146"/>
      <c r="AE771" s="146"/>
      <c r="AF771" s="146"/>
      <c r="AG771" s="146"/>
      <c r="AH771" s="146"/>
      <c r="AI771" s="146"/>
      <c r="AJ771" s="54" t="s">
        <v>1556</v>
      </c>
      <c r="AK771" s="85"/>
      <c r="AL771" s="85"/>
      <c r="AM771" s="85"/>
    </row>
    <row r="772" spans="1:39" ht="12.75" hidden="1" customHeight="1">
      <c r="A772" s="63">
        <v>51</v>
      </c>
      <c r="B772" s="252" t="s">
        <v>40</v>
      </c>
      <c r="C772" s="17" t="s">
        <v>2799</v>
      </c>
      <c r="D772" s="21" t="s">
        <v>2734</v>
      </c>
      <c r="E772" s="253"/>
      <c r="F772" s="211"/>
      <c r="G772" s="211"/>
      <c r="H772" s="211"/>
      <c r="I772" s="253"/>
      <c r="J772" s="211"/>
      <c r="K772" s="211"/>
      <c r="L772" s="211"/>
      <c r="M772" s="211"/>
      <c r="N772" s="211"/>
      <c r="O772" s="211"/>
      <c r="P772" s="211"/>
      <c r="Q772" s="211"/>
      <c r="R772" s="146"/>
      <c r="S772" s="146"/>
      <c r="T772" s="146"/>
      <c r="U772" s="146"/>
      <c r="V772" s="146"/>
      <c r="W772" s="146"/>
      <c r="X772" s="146"/>
      <c r="Y772" s="146">
        <v>185000000</v>
      </c>
      <c r="Z772" s="146"/>
      <c r="AA772" s="146"/>
      <c r="AB772" s="146"/>
      <c r="AC772" s="146"/>
      <c r="AD772" s="146"/>
      <c r="AE772" s="146"/>
      <c r="AF772" s="146"/>
      <c r="AG772" s="146"/>
      <c r="AH772" s="146"/>
      <c r="AI772" s="146"/>
      <c r="AJ772" s="54" t="s">
        <v>2215</v>
      </c>
      <c r="AK772" s="85"/>
      <c r="AL772" s="85"/>
      <c r="AM772" s="85"/>
    </row>
    <row r="773" spans="1:39" ht="12.75" hidden="1" customHeight="1">
      <c r="A773" s="63">
        <v>52</v>
      </c>
      <c r="B773" s="252" t="s">
        <v>44</v>
      </c>
      <c r="C773" s="17" t="s">
        <v>2800</v>
      </c>
      <c r="D773" s="21" t="s">
        <v>2801</v>
      </c>
      <c r="E773" s="253"/>
      <c r="F773" s="211"/>
      <c r="G773" s="211"/>
      <c r="H773" s="211"/>
      <c r="I773" s="253"/>
      <c r="J773" s="211"/>
      <c r="K773" s="211"/>
      <c r="L773" s="211"/>
      <c r="M773" s="211"/>
      <c r="N773" s="211"/>
      <c r="O773" s="211"/>
      <c r="P773" s="211"/>
      <c r="Q773" s="211"/>
      <c r="R773" s="146"/>
      <c r="S773" s="146"/>
      <c r="T773" s="146"/>
      <c r="U773" s="146"/>
      <c r="V773" s="146"/>
      <c r="W773" s="146"/>
      <c r="X773" s="146">
        <v>68000000</v>
      </c>
      <c r="Y773" s="146"/>
      <c r="Z773" s="146"/>
      <c r="AA773" s="146"/>
      <c r="AB773" s="146"/>
      <c r="AC773" s="146"/>
      <c r="AD773" s="146"/>
      <c r="AE773" s="146"/>
      <c r="AF773" s="146"/>
      <c r="AG773" s="146"/>
      <c r="AH773" s="146"/>
      <c r="AI773" s="146"/>
      <c r="AJ773" s="54" t="s">
        <v>1556</v>
      </c>
      <c r="AK773" s="85"/>
      <c r="AL773" s="85"/>
      <c r="AM773" s="85"/>
    </row>
    <row r="774" spans="1:39" ht="12.75" hidden="1" customHeight="1">
      <c r="A774" s="63">
        <v>53</v>
      </c>
      <c r="B774" s="252" t="s">
        <v>40</v>
      </c>
      <c r="C774" s="17" t="s">
        <v>2802</v>
      </c>
      <c r="D774" s="21" t="s">
        <v>2716</v>
      </c>
      <c r="E774" s="253"/>
      <c r="F774" s="211"/>
      <c r="G774" s="211"/>
      <c r="H774" s="211"/>
      <c r="I774" s="253"/>
      <c r="J774" s="211"/>
      <c r="K774" s="211"/>
      <c r="L774" s="211"/>
      <c r="M774" s="211"/>
      <c r="N774" s="211"/>
      <c r="O774" s="211"/>
      <c r="P774" s="211"/>
      <c r="Q774" s="211"/>
      <c r="R774" s="146"/>
      <c r="S774" s="146"/>
      <c r="T774" s="146"/>
      <c r="U774" s="146"/>
      <c r="V774" s="146"/>
      <c r="W774" s="146"/>
      <c r="X774" s="146"/>
      <c r="Y774" s="146"/>
      <c r="Z774" s="146"/>
      <c r="AA774" s="146">
        <v>175000000</v>
      </c>
      <c r="AB774" s="146"/>
      <c r="AC774" s="146"/>
      <c r="AD774" s="146"/>
      <c r="AE774" s="146"/>
      <c r="AF774" s="146"/>
      <c r="AG774" s="146"/>
      <c r="AH774" s="146"/>
      <c r="AI774" s="146"/>
      <c r="AJ774" s="54" t="s">
        <v>1556</v>
      </c>
      <c r="AK774" s="85"/>
      <c r="AL774" s="85"/>
      <c r="AM774" s="85"/>
    </row>
    <row r="775" spans="1:39" ht="12.75" customHeight="1">
      <c r="A775" s="63">
        <v>54</v>
      </c>
      <c r="B775" s="252" t="s">
        <v>27</v>
      </c>
      <c r="C775" s="17" t="s">
        <v>2803</v>
      </c>
      <c r="D775" s="21" t="s">
        <v>2804</v>
      </c>
      <c r="E775" s="253"/>
      <c r="F775" s="211"/>
      <c r="G775" s="211"/>
      <c r="H775" s="211"/>
      <c r="I775" s="253"/>
      <c r="J775" s="211"/>
      <c r="K775" s="211"/>
      <c r="L775" s="211"/>
      <c r="M775" s="211"/>
      <c r="N775" s="211"/>
      <c r="O775" s="211"/>
      <c r="P775" s="211"/>
      <c r="Q775" s="211"/>
      <c r="R775" s="146"/>
      <c r="S775" s="146"/>
      <c r="T775" s="146"/>
      <c r="U775" s="146"/>
      <c r="V775" s="146"/>
      <c r="W775" s="146"/>
      <c r="X775" s="146"/>
      <c r="Y775" s="146"/>
      <c r="Z775" s="146"/>
      <c r="AA775" s="146"/>
      <c r="AB775" s="146"/>
      <c r="AC775" s="146"/>
      <c r="AD775" s="146">
        <v>68000000</v>
      </c>
      <c r="AE775" s="146"/>
      <c r="AF775" s="146"/>
      <c r="AG775" s="146"/>
      <c r="AH775" s="146"/>
      <c r="AI775" s="146"/>
      <c r="AJ775" s="54" t="s">
        <v>2215</v>
      </c>
      <c r="AK775" s="85"/>
      <c r="AL775" s="85"/>
      <c r="AM775" s="85"/>
    </row>
    <row r="776" spans="1:39" ht="12.75" customHeight="1">
      <c r="A776" s="63">
        <v>55</v>
      </c>
      <c r="B776" s="252" t="s">
        <v>27</v>
      </c>
      <c r="C776" s="17" t="s">
        <v>2805</v>
      </c>
      <c r="D776" s="21" t="s">
        <v>2730</v>
      </c>
      <c r="E776" s="253"/>
      <c r="F776" s="211"/>
      <c r="G776" s="211"/>
      <c r="H776" s="211"/>
      <c r="I776" s="253"/>
      <c r="J776" s="211"/>
      <c r="K776" s="211"/>
      <c r="L776" s="211"/>
      <c r="M776" s="211"/>
      <c r="N776" s="211"/>
      <c r="O776" s="211"/>
      <c r="P776" s="211"/>
      <c r="Q776" s="211"/>
      <c r="R776" s="146"/>
      <c r="S776" s="146"/>
      <c r="T776" s="146"/>
      <c r="U776" s="146"/>
      <c r="V776" s="146"/>
      <c r="W776" s="146"/>
      <c r="X776" s="146"/>
      <c r="Y776" s="146"/>
      <c r="Z776" s="146"/>
      <c r="AA776" s="146"/>
      <c r="AB776" s="146"/>
      <c r="AC776" s="146"/>
      <c r="AD776" s="146">
        <v>60000000</v>
      </c>
      <c r="AE776" s="146"/>
      <c r="AF776" s="146"/>
      <c r="AG776" s="146"/>
      <c r="AH776" s="146"/>
      <c r="AI776" s="146"/>
      <c r="AJ776" s="54" t="s">
        <v>2215</v>
      </c>
      <c r="AK776" s="85"/>
      <c r="AL776" s="85"/>
      <c r="AM776" s="85"/>
    </row>
    <row r="777" spans="1:39" ht="12.75" customHeight="1">
      <c r="A777" s="63">
        <v>56</v>
      </c>
      <c r="B777" s="252" t="s">
        <v>27</v>
      </c>
      <c r="C777" s="17" t="s">
        <v>2793</v>
      </c>
      <c r="D777" s="21" t="s">
        <v>2806</v>
      </c>
      <c r="E777" s="253"/>
      <c r="F777" s="211"/>
      <c r="G777" s="211"/>
      <c r="H777" s="211"/>
      <c r="I777" s="253"/>
      <c r="J777" s="211"/>
      <c r="K777" s="211"/>
      <c r="L777" s="211"/>
      <c r="M777" s="211"/>
      <c r="N777" s="211"/>
      <c r="O777" s="211"/>
      <c r="P777" s="211"/>
      <c r="Q777" s="211"/>
      <c r="R777" s="146"/>
      <c r="S777" s="146"/>
      <c r="T777" s="146"/>
      <c r="U777" s="146"/>
      <c r="V777" s="146"/>
      <c r="W777" s="146"/>
      <c r="X777" s="146"/>
      <c r="Y777" s="146"/>
      <c r="Z777" s="146"/>
      <c r="AA777" s="146"/>
      <c r="AB777" s="146"/>
      <c r="AC777" s="146"/>
      <c r="AD777" s="146"/>
      <c r="AE777" s="146">
        <v>55000000</v>
      </c>
      <c r="AF777" s="146"/>
      <c r="AG777" s="146"/>
      <c r="AH777" s="146"/>
      <c r="AI777" s="146"/>
      <c r="AJ777" s="54" t="s">
        <v>2215</v>
      </c>
      <c r="AK777" s="85"/>
      <c r="AL777" s="85"/>
      <c r="AM777" s="85"/>
    </row>
    <row r="778" spans="1:39" ht="12.75" customHeight="1">
      <c r="A778" s="63">
        <v>57</v>
      </c>
      <c r="B778" s="255" t="s">
        <v>27</v>
      </c>
      <c r="C778" s="17" t="s">
        <v>2721</v>
      </c>
      <c r="D778" s="21" t="s">
        <v>2807</v>
      </c>
      <c r="E778" s="256"/>
      <c r="F778" s="146"/>
      <c r="G778" s="146"/>
      <c r="H778" s="146"/>
      <c r="I778" s="256"/>
      <c r="J778" s="146"/>
      <c r="K778" s="146"/>
      <c r="L778" s="146"/>
      <c r="M778" s="146"/>
      <c r="N778" s="146"/>
      <c r="O778" s="146"/>
      <c r="P778" s="146"/>
      <c r="Q778" s="146"/>
      <c r="R778" s="146"/>
      <c r="S778" s="146"/>
      <c r="T778" s="146"/>
      <c r="U778" s="146"/>
      <c r="V778" s="146"/>
      <c r="W778" s="146"/>
      <c r="X778" s="146"/>
      <c r="Y778" s="146">
        <v>168500000</v>
      </c>
      <c r="Z778" s="146"/>
      <c r="AA778" s="146"/>
      <c r="AB778" s="146"/>
      <c r="AC778" s="146"/>
      <c r="AD778" s="146"/>
      <c r="AE778" s="146"/>
      <c r="AF778" s="146"/>
      <c r="AG778" s="146"/>
      <c r="AH778" s="146"/>
      <c r="AI778" s="146"/>
      <c r="AJ778" s="54" t="s">
        <v>1556</v>
      </c>
      <c r="AK778" s="85"/>
      <c r="AL778" s="85"/>
      <c r="AM778" s="85"/>
    </row>
    <row r="779" spans="1:39" ht="12.75" hidden="1" customHeight="1">
      <c r="A779" s="63">
        <v>58</v>
      </c>
      <c r="B779" s="255" t="s">
        <v>44</v>
      </c>
      <c r="C779" s="17" t="s">
        <v>2721</v>
      </c>
      <c r="D779" s="21" t="s">
        <v>2808</v>
      </c>
      <c r="E779" s="256"/>
      <c r="F779" s="146"/>
      <c r="G779" s="146"/>
      <c r="H779" s="146"/>
      <c r="I779" s="256"/>
      <c r="J779" s="146"/>
      <c r="K779" s="146"/>
      <c r="L779" s="146"/>
      <c r="M779" s="146"/>
      <c r="N779" s="146"/>
      <c r="O779" s="146"/>
      <c r="P779" s="146"/>
      <c r="Q779" s="146"/>
      <c r="R779" s="146"/>
      <c r="S779" s="146"/>
      <c r="T779" s="146"/>
      <c r="U779" s="146"/>
      <c r="V779" s="146"/>
      <c r="W779" s="146"/>
      <c r="X779" s="146"/>
      <c r="Y779" s="146">
        <v>40000000</v>
      </c>
      <c r="Z779" s="146"/>
      <c r="AA779" s="146"/>
      <c r="AB779" s="146"/>
      <c r="AC779" s="146"/>
      <c r="AD779" s="146"/>
      <c r="AE779" s="146"/>
      <c r="AF779" s="146"/>
      <c r="AG779" s="146"/>
      <c r="AH779" s="146"/>
      <c r="AI779" s="146"/>
      <c r="AJ779" s="54" t="s">
        <v>267</v>
      </c>
      <c r="AK779" s="85"/>
      <c r="AL779" s="85"/>
      <c r="AM779" s="85"/>
    </row>
    <row r="780" spans="1:39" ht="12.75" hidden="1" customHeight="1">
      <c r="A780" s="63">
        <v>59</v>
      </c>
      <c r="B780" s="255" t="s">
        <v>40</v>
      </c>
      <c r="C780" s="17" t="s">
        <v>2809</v>
      </c>
      <c r="D780" s="21" t="s">
        <v>2810</v>
      </c>
      <c r="E780" s="256"/>
      <c r="F780" s="146"/>
      <c r="G780" s="146"/>
      <c r="H780" s="146"/>
      <c r="I780" s="256"/>
      <c r="J780" s="146"/>
      <c r="K780" s="146"/>
      <c r="L780" s="146"/>
      <c r="M780" s="146"/>
      <c r="N780" s="146"/>
      <c r="O780" s="146"/>
      <c r="P780" s="146"/>
      <c r="Q780" s="146"/>
      <c r="R780" s="146"/>
      <c r="S780" s="146"/>
      <c r="T780" s="146"/>
      <c r="U780" s="146"/>
      <c r="V780" s="146"/>
      <c r="W780" s="146"/>
      <c r="X780" s="146"/>
      <c r="Y780" s="146">
        <v>5038500</v>
      </c>
      <c r="Z780" s="146"/>
      <c r="AA780" s="146"/>
      <c r="AB780" s="146"/>
      <c r="AC780" s="146"/>
      <c r="AD780" s="146"/>
      <c r="AE780" s="146"/>
      <c r="AF780" s="146"/>
      <c r="AG780" s="146"/>
      <c r="AH780" s="146"/>
      <c r="AI780" s="146"/>
      <c r="AJ780" s="54" t="s">
        <v>1556</v>
      </c>
      <c r="AK780" s="85"/>
      <c r="AL780" s="85"/>
      <c r="AM780" s="85"/>
    </row>
    <row r="781" spans="1:39" ht="12.75" customHeight="1">
      <c r="A781" s="63">
        <v>60</v>
      </c>
      <c r="B781" s="255" t="s">
        <v>27</v>
      </c>
      <c r="C781" s="17" t="s">
        <v>2731</v>
      </c>
      <c r="D781" s="21" t="s">
        <v>2811</v>
      </c>
      <c r="E781" s="256"/>
      <c r="F781" s="146"/>
      <c r="G781" s="146"/>
      <c r="H781" s="146"/>
      <c r="I781" s="256"/>
      <c r="J781" s="146"/>
      <c r="K781" s="146"/>
      <c r="L781" s="146"/>
      <c r="M781" s="146"/>
      <c r="N781" s="146"/>
      <c r="O781" s="146"/>
      <c r="P781" s="146"/>
      <c r="Q781" s="146"/>
      <c r="R781" s="146"/>
      <c r="S781" s="146"/>
      <c r="T781" s="146"/>
      <c r="U781" s="146"/>
      <c r="V781" s="146"/>
      <c r="W781" s="146"/>
      <c r="X781" s="146"/>
      <c r="Y781" s="146"/>
      <c r="Z781" s="146"/>
      <c r="AA781" s="146"/>
      <c r="AB781" s="146"/>
      <c r="AC781" s="146"/>
      <c r="AD781" s="146">
        <v>4500000</v>
      </c>
      <c r="AE781" s="146"/>
      <c r="AF781" s="146"/>
      <c r="AG781" s="146"/>
      <c r="AH781" s="146"/>
      <c r="AI781" s="146"/>
      <c r="AJ781" s="54" t="s">
        <v>2215</v>
      </c>
      <c r="AK781" s="85"/>
      <c r="AL781" s="85"/>
      <c r="AM781" s="85"/>
    </row>
    <row r="782" spans="1:39" ht="12.75" customHeight="1">
      <c r="A782" s="63">
        <v>61</v>
      </c>
      <c r="B782" s="255" t="s">
        <v>27</v>
      </c>
      <c r="C782" s="17" t="s">
        <v>2812</v>
      </c>
      <c r="D782" s="21" t="s">
        <v>2813</v>
      </c>
      <c r="E782" s="256"/>
      <c r="F782" s="146"/>
      <c r="G782" s="146"/>
      <c r="H782" s="146"/>
      <c r="I782" s="256"/>
      <c r="J782" s="146"/>
      <c r="K782" s="146"/>
      <c r="L782" s="146"/>
      <c r="M782" s="146"/>
      <c r="N782" s="146"/>
      <c r="O782" s="146"/>
      <c r="P782" s="146"/>
      <c r="Q782" s="146"/>
      <c r="R782" s="146"/>
      <c r="S782" s="146"/>
      <c r="T782" s="146"/>
      <c r="U782" s="146"/>
      <c r="V782" s="146"/>
      <c r="W782" s="146"/>
      <c r="X782" s="146"/>
      <c r="Y782" s="146"/>
      <c r="Z782" s="146"/>
      <c r="AA782" s="146"/>
      <c r="AB782" s="146">
        <v>120000000</v>
      </c>
      <c r="AC782" s="146"/>
      <c r="AD782" s="146"/>
      <c r="AE782" s="146"/>
      <c r="AF782" s="146"/>
      <c r="AG782" s="146"/>
      <c r="AH782" s="146"/>
      <c r="AI782" s="146"/>
      <c r="AJ782" s="54" t="s">
        <v>1556</v>
      </c>
      <c r="AK782" s="85"/>
      <c r="AL782" s="85"/>
      <c r="AM782" s="85"/>
    </row>
    <row r="783" spans="1:39" ht="12.75" customHeight="1">
      <c r="A783" s="63">
        <v>62</v>
      </c>
      <c r="B783" s="255" t="s">
        <v>27</v>
      </c>
      <c r="C783" s="17" t="s">
        <v>2814</v>
      </c>
      <c r="D783" s="21" t="s">
        <v>2815</v>
      </c>
      <c r="E783" s="256"/>
      <c r="F783" s="146"/>
      <c r="G783" s="146"/>
      <c r="H783" s="146"/>
      <c r="I783" s="256"/>
      <c r="J783" s="146"/>
      <c r="K783" s="146"/>
      <c r="L783" s="146"/>
      <c r="M783" s="146"/>
      <c r="N783" s="146"/>
      <c r="O783" s="146"/>
      <c r="P783" s="146"/>
      <c r="Q783" s="146"/>
      <c r="R783" s="146"/>
      <c r="S783" s="146"/>
      <c r="T783" s="146"/>
      <c r="U783" s="146"/>
      <c r="V783" s="146"/>
      <c r="W783" s="146"/>
      <c r="X783" s="146"/>
      <c r="Y783" s="146"/>
      <c r="Z783" s="146"/>
      <c r="AA783" s="146"/>
      <c r="AB783" s="146"/>
      <c r="AC783" s="146"/>
      <c r="AD783" s="146"/>
      <c r="AE783" s="146">
        <v>68000000</v>
      </c>
      <c r="AF783" s="146"/>
      <c r="AG783" s="146"/>
      <c r="AH783" s="146"/>
      <c r="AI783" s="146"/>
      <c r="AJ783" s="54" t="s">
        <v>2215</v>
      </c>
      <c r="AK783" s="85"/>
      <c r="AL783" s="85"/>
      <c r="AM783" s="85"/>
    </row>
    <row r="784" spans="1:39" ht="12.75" hidden="1" customHeight="1">
      <c r="A784" s="63">
        <v>63</v>
      </c>
      <c r="B784" s="255" t="s">
        <v>40</v>
      </c>
      <c r="C784" s="17" t="s">
        <v>2816</v>
      </c>
      <c r="D784" s="21" t="s">
        <v>2817</v>
      </c>
      <c r="E784" s="256"/>
      <c r="F784" s="146"/>
      <c r="G784" s="146"/>
      <c r="H784" s="146"/>
      <c r="I784" s="256"/>
      <c r="J784" s="146"/>
      <c r="K784" s="146"/>
      <c r="L784" s="146"/>
      <c r="M784" s="146"/>
      <c r="N784" s="146"/>
      <c r="O784" s="146"/>
      <c r="P784" s="146"/>
      <c r="Q784" s="146"/>
      <c r="R784" s="146"/>
      <c r="S784" s="146"/>
      <c r="T784" s="146"/>
      <c r="U784" s="146"/>
      <c r="V784" s="146"/>
      <c r="W784" s="146"/>
      <c r="X784" s="146"/>
      <c r="Y784" s="146"/>
      <c r="Z784" s="146">
        <v>1280000000</v>
      </c>
      <c r="AA784" s="146"/>
      <c r="AB784" s="146"/>
      <c r="AC784" s="146"/>
      <c r="AD784" s="146"/>
      <c r="AE784" s="146"/>
      <c r="AF784" s="146"/>
      <c r="AG784" s="146"/>
      <c r="AH784" s="146"/>
      <c r="AI784" s="146"/>
      <c r="AJ784" s="54" t="s">
        <v>2215</v>
      </c>
      <c r="AK784" s="85"/>
      <c r="AL784" s="85"/>
      <c r="AM784" s="85"/>
    </row>
    <row r="785" spans="1:39" ht="12.75" customHeight="1">
      <c r="A785" s="63">
        <v>64</v>
      </c>
      <c r="B785" s="255" t="s">
        <v>27</v>
      </c>
      <c r="C785" s="17" t="s">
        <v>2818</v>
      </c>
      <c r="D785" s="21" t="s">
        <v>2819</v>
      </c>
      <c r="E785" s="256"/>
      <c r="F785" s="146"/>
      <c r="G785" s="146"/>
      <c r="H785" s="146"/>
      <c r="I785" s="256"/>
      <c r="J785" s="146"/>
      <c r="K785" s="146"/>
      <c r="L785" s="146"/>
      <c r="M785" s="146"/>
      <c r="N785" s="146"/>
      <c r="O785" s="146"/>
      <c r="P785" s="146"/>
      <c r="Q785" s="146"/>
      <c r="R785" s="146"/>
      <c r="S785" s="146"/>
      <c r="T785" s="146"/>
      <c r="U785" s="146"/>
      <c r="V785" s="146"/>
      <c r="W785" s="146"/>
      <c r="X785" s="146"/>
      <c r="Y785" s="146"/>
      <c r="Z785" s="146"/>
      <c r="AA785" s="146"/>
      <c r="AB785" s="146"/>
      <c r="AC785" s="146"/>
      <c r="AD785" s="146"/>
      <c r="AE785" s="146">
        <v>5000000</v>
      </c>
      <c r="AF785" s="146"/>
      <c r="AG785" s="146"/>
      <c r="AH785" s="146"/>
      <c r="AI785" s="146"/>
      <c r="AJ785" s="54" t="s">
        <v>2820</v>
      </c>
      <c r="AK785" s="85"/>
      <c r="AL785" s="85"/>
      <c r="AM785" s="85"/>
    </row>
    <row r="786" spans="1:39" ht="12.75" hidden="1" customHeight="1">
      <c r="A786" s="63">
        <v>65</v>
      </c>
      <c r="B786" s="255" t="s">
        <v>40</v>
      </c>
      <c r="C786" s="17" t="s">
        <v>2745</v>
      </c>
      <c r="D786" s="21" t="s">
        <v>2821</v>
      </c>
      <c r="E786" s="256"/>
      <c r="F786" s="146"/>
      <c r="G786" s="146"/>
      <c r="H786" s="146"/>
      <c r="I786" s="256"/>
      <c r="J786" s="146"/>
      <c r="K786" s="146"/>
      <c r="L786" s="146"/>
      <c r="M786" s="146"/>
      <c r="N786" s="146"/>
      <c r="O786" s="146"/>
      <c r="P786" s="146"/>
      <c r="Q786" s="146"/>
      <c r="R786" s="146"/>
      <c r="S786" s="146"/>
      <c r="T786" s="146"/>
      <c r="U786" s="146"/>
      <c r="V786" s="146"/>
      <c r="W786" s="146"/>
      <c r="X786" s="146"/>
      <c r="Y786" s="146"/>
      <c r="Z786" s="146">
        <v>18150000</v>
      </c>
      <c r="AA786" s="146"/>
      <c r="AB786" s="146"/>
      <c r="AC786" s="146"/>
      <c r="AD786" s="146"/>
      <c r="AE786" s="146"/>
      <c r="AF786" s="146"/>
      <c r="AG786" s="146"/>
      <c r="AH786" s="146"/>
      <c r="AI786" s="146"/>
      <c r="AJ786" s="54" t="s">
        <v>1556</v>
      </c>
      <c r="AK786" s="85"/>
      <c r="AL786" s="85"/>
      <c r="AM786" s="85"/>
    </row>
    <row r="787" spans="1:39" ht="12.75" hidden="1" customHeight="1">
      <c r="A787" s="63">
        <v>66</v>
      </c>
      <c r="B787" s="257" t="s">
        <v>40</v>
      </c>
      <c r="C787" s="175" t="s">
        <v>2822</v>
      </c>
      <c r="D787" s="49" t="s">
        <v>2823</v>
      </c>
      <c r="E787" s="258"/>
      <c r="F787" s="147"/>
      <c r="G787" s="147"/>
      <c r="H787" s="147"/>
      <c r="I787" s="258"/>
      <c r="J787" s="147"/>
      <c r="K787" s="147"/>
      <c r="L787" s="147"/>
      <c r="M787" s="147"/>
      <c r="N787" s="147"/>
      <c r="O787" s="147"/>
      <c r="P787" s="147"/>
      <c r="Q787" s="147"/>
      <c r="R787" s="147"/>
      <c r="S787" s="147"/>
      <c r="T787" s="147"/>
      <c r="U787" s="147"/>
      <c r="V787" s="147"/>
      <c r="W787" s="147"/>
      <c r="X787" s="147"/>
      <c r="Y787" s="147">
        <v>1200000</v>
      </c>
      <c r="Z787" s="147"/>
      <c r="AA787" s="147"/>
      <c r="AB787" s="147"/>
      <c r="AC787" s="147"/>
      <c r="AD787" s="147"/>
      <c r="AE787" s="147"/>
      <c r="AF787" s="147"/>
      <c r="AG787" s="147"/>
      <c r="AH787" s="147"/>
      <c r="AI787" s="147"/>
      <c r="AJ787" s="59" t="s">
        <v>1765</v>
      </c>
      <c r="AK787" s="85"/>
      <c r="AL787" s="85"/>
      <c r="AM787" s="85"/>
    </row>
    <row r="788" spans="1:39" ht="12.75" hidden="1" customHeight="1">
      <c r="A788" s="63">
        <v>67</v>
      </c>
      <c r="B788" s="257" t="s">
        <v>40</v>
      </c>
      <c r="C788" s="175" t="s">
        <v>89</v>
      </c>
      <c r="D788" s="49" t="s">
        <v>2824</v>
      </c>
      <c r="E788" s="258"/>
      <c r="F788" s="147"/>
      <c r="G788" s="147"/>
      <c r="H788" s="147"/>
      <c r="I788" s="258"/>
      <c r="J788" s="147"/>
      <c r="K788" s="147"/>
      <c r="L788" s="147"/>
      <c r="M788" s="147"/>
      <c r="N788" s="147"/>
      <c r="O788" s="147"/>
      <c r="P788" s="147"/>
      <c r="Q788" s="147"/>
      <c r="R788" s="147"/>
      <c r="S788" s="147"/>
      <c r="T788" s="147"/>
      <c r="U788" s="147"/>
      <c r="V788" s="147"/>
      <c r="W788" s="147"/>
      <c r="X788" s="147"/>
      <c r="Y788" s="147">
        <v>3500000</v>
      </c>
      <c r="Z788" s="147"/>
      <c r="AA788" s="147"/>
      <c r="AB788" s="147"/>
      <c r="AC788" s="147"/>
      <c r="AD788" s="147"/>
      <c r="AE788" s="147"/>
      <c r="AF788" s="147"/>
      <c r="AG788" s="147"/>
      <c r="AH788" s="147"/>
      <c r="AI788" s="147"/>
      <c r="AJ788" s="59" t="s">
        <v>1765</v>
      </c>
      <c r="AK788" s="85"/>
      <c r="AL788" s="85"/>
      <c r="AM788" s="85"/>
    </row>
    <row r="789" spans="1:39" ht="12.75" hidden="1" customHeight="1">
      <c r="A789" s="63">
        <v>68</v>
      </c>
      <c r="B789" s="257" t="s">
        <v>40</v>
      </c>
      <c r="C789" s="175" t="s">
        <v>2825</v>
      </c>
      <c r="D789" s="49" t="s">
        <v>2826</v>
      </c>
      <c r="E789" s="258"/>
      <c r="F789" s="147"/>
      <c r="G789" s="147"/>
      <c r="H789" s="147"/>
      <c r="I789" s="258"/>
      <c r="J789" s="147"/>
      <c r="K789" s="147"/>
      <c r="L789" s="147"/>
      <c r="M789" s="147"/>
      <c r="N789" s="147"/>
      <c r="O789" s="147"/>
      <c r="P789" s="147"/>
      <c r="Q789" s="147"/>
      <c r="R789" s="147"/>
      <c r="S789" s="147"/>
      <c r="T789" s="147"/>
      <c r="U789" s="147"/>
      <c r="V789" s="147"/>
      <c r="W789" s="147"/>
      <c r="X789" s="147"/>
      <c r="Y789" s="147">
        <v>36500000</v>
      </c>
      <c r="Z789" s="147"/>
      <c r="AA789" s="147"/>
      <c r="AB789" s="147"/>
      <c r="AC789" s="147"/>
      <c r="AD789" s="147"/>
      <c r="AE789" s="147"/>
      <c r="AF789" s="147"/>
      <c r="AG789" s="147"/>
      <c r="AH789" s="147"/>
      <c r="AI789" s="147"/>
      <c r="AJ789" s="59" t="s">
        <v>1556</v>
      </c>
      <c r="AK789" s="85"/>
      <c r="AL789" s="85"/>
      <c r="AM789" s="85"/>
    </row>
    <row r="790" spans="1:39" ht="12.75" customHeight="1">
      <c r="A790" s="63">
        <v>69</v>
      </c>
      <c r="B790" s="257" t="s">
        <v>27</v>
      </c>
      <c r="C790" s="175" t="s">
        <v>2827</v>
      </c>
      <c r="D790" s="49" t="s">
        <v>2828</v>
      </c>
      <c r="E790" s="258"/>
      <c r="F790" s="147"/>
      <c r="G790" s="147"/>
      <c r="H790" s="147"/>
      <c r="I790" s="258"/>
      <c r="J790" s="147"/>
      <c r="K790" s="147"/>
      <c r="L790" s="147"/>
      <c r="M790" s="147"/>
      <c r="N790" s="147"/>
      <c r="O790" s="147"/>
      <c r="P790" s="147"/>
      <c r="Q790" s="147"/>
      <c r="R790" s="147"/>
      <c r="S790" s="147"/>
      <c r="T790" s="147"/>
      <c r="U790" s="147"/>
      <c r="V790" s="147"/>
      <c r="W790" s="147"/>
      <c r="X790" s="147"/>
      <c r="Y790" s="147"/>
      <c r="Z790" s="147"/>
      <c r="AA790" s="147"/>
      <c r="AB790" s="147"/>
      <c r="AC790" s="147"/>
      <c r="AD790" s="147"/>
      <c r="AE790" s="147">
        <v>150000000</v>
      </c>
      <c r="AF790" s="147"/>
      <c r="AG790" s="147"/>
      <c r="AH790" s="147"/>
      <c r="AI790" s="147"/>
      <c r="AJ790" s="59" t="s">
        <v>2215</v>
      </c>
      <c r="AK790" s="85"/>
      <c r="AL790" s="85"/>
      <c r="AM790" s="85"/>
    </row>
    <row r="791" spans="1:39" ht="12.75" hidden="1" customHeight="1">
      <c r="A791" s="63">
        <v>70</v>
      </c>
      <c r="B791" s="257" t="s">
        <v>40</v>
      </c>
      <c r="C791" s="175" t="s">
        <v>2829</v>
      </c>
      <c r="D791" s="49" t="s">
        <v>2830</v>
      </c>
      <c r="E791" s="258"/>
      <c r="F791" s="147"/>
      <c r="G791" s="147"/>
      <c r="H791" s="147"/>
      <c r="I791" s="258"/>
      <c r="J791" s="147"/>
      <c r="K791" s="147"/>
      <c r="L791" s="147"/>
      <c r="M791" s="147"/>
      <c r="N791" s="147"/>
      <c r="O791" s="147"/>
      <c r="P791" s="147"/>
      <c r="Q791" s="147"/>
      <c r="R791" s="147"/>
      <c r="S791" s="147"/>
      <c r="T791" s="147"/>
      <c r="U791" s="147"/>
      <c r="V791" s="147"/>
      <c r="W791" s="147"/>
      <c r="X791" s="147"/>
      <c r="Y791" s="147"/>
      <c r="Z791" s="147">
        <v>60000000</v>
      </c>
      <c r="AA791" s="147"/>
      <c r="AB791" s="147"/>
      <c r="AC791" s="147"/>
      <c r="AD791" s="147"/>
      <c r="AE791" s="147"/>
      <c r="AF791" s="147"/>
      <c r="AG791" s="147"/>
      <c r="AH791" s="147"/>
      <c r="AI791" s="147"/>
      <c r="AJ791" s="59" t="s">
        <v>1556</v>
      </c>
      <c r="AK791" s="85"/>
      <c r="AL791" s="85"/>
      <c r="AM791" s="85"/>
    </row>
    <row r="792" spans="1:39" ht="12.75" hidden="1" customHeight="1">
      <c r="A792" s="63">
        <v>71</v>
      </c>
      <c r="B792" s="257" t="s">
        <v>40</v>
      </c>
      <c r="C792" s="96" t="s">
        <v>2831</v>
      </c>
      <c r="D792" s="49" t="s">
        <v>2832</v>
      </c>
      <c r="E792" s="258"/>
      <c r="F792" s="147"/>
      <c r="G792" s="147"/>
      <c r="H792" s="147"/>
      <c r="I792" s="258"/>
      <c r="J792" s="147"/>
      <c r="K792" s="147"/>
      <c r="L792" s="147"/>
      <c r="M792" s="147"/>
      <c r="N792" s="147"/>
      <c r="O792" s="147"/>
      <c r="P792" s="147"/>
      <c r="Q792" s="147"/>
      <c r="R792" s="147"/>
      <c r="S792" s="147"/>
      <c r="T792" s="147"/>
      <c r="U792" s="147"/>
      <c r="V792" s="147"/>
      <c r="W792" s="147"/>
      <c r="X792" s="147"/>
      <c r="Y792" s="147">
        <v>2500000</v>
      </c>
      <c r="Z792" s="147"/>
      <c r="AA792" s="147"/>
      <c r="AB792" s="147"/>
      <c r="AC792" s="147"/>
      <c r="AD792" s="147"/>
      <c r="AE792" s="147"/>
      <c r="AF792" s="147"/>
      <c r="AG792" s="147"/>
      <c r="AH792" s="147"/>
      <c r="AI792" s="147"/>
      <c r="AJ792" s="59" t="s">
        <v>1765</v>
      </c>
      <c r="AK792" s="85"/>
      <c r="AL792" s="85"/>
      <c r="AM792" s="85"/>
    </row>
    <row r="793" spans="1:39" ht="12.75" hidden="1" customHeight="1">
      <c r="A793" s="63">
        <v>72</v>
      </c>
      <c r="B793" s="257" t="s">
        <v>40</v>
      </c>
      <c r="C793" s="96" t="s">
        <v>2833</v>
      </c>
      <c r="D793" s="49" t="s">
        <v>2834</v>
      </c>
      <c r="E793" s="258"/>
      <c r="F793" s="147"/>
      <c r="G793" s="147"/>
      <c r="H793" s="147"/>
      <c r="I793" s="258"/>
      <c r="J793" s="147"/>
      <c r="K793" s="147"/>
      <c r="L793" s="147"/>
      <c r="M793" s="147"/>
      <c r="N793" s="147"/>
      <c r="O793" s="147"/>
      <c r="P793" s="147"/>
      <c r="Q793" s="147"/>
      <c r="R793" s="147"/>
      <c r="S793" s="147"/>
      <c r="T793" s="147"/>
      <c r="U793" s="147"/>
      <c r="V793" s="147"/>
      <c r="W793" s="147"/>
      <c r="X793" s="147"/>
      <c r="Y793" s="147"/>
      <c r="Z793" s="147">
        <v>3578000</v>
      </c>
      <c r="AA793" s="147"/>
      <c r="AB793" s="147"/>
      <c r="AC793" s="147"/>
      <c r="AD793" s="147"/>
      <c r="AE793" s="147"/>
      <c r="AF793" s="147"/>
      <c r="AG793" s="147"/>
      <c r="AH793" s="147"/>
      <c r="AI793" s="147"/>
      <c r="AJ793" s="59" t="s">
        <v>1556</v>
      </c>
      <c r="AK793" s="1"/>
      <c r="AL793" s="1"/>
      <c r="AM793" s="1"/>
    </row>
    <row r="794" spans="1:39" ht="12.75" hidden="1" customHeight="1">
      <c r="A794" s="63">
        <v>73</v>
      </c>
      <c r="B794" s="257" t="s">
        <v>40</v>
      </c>
      <c r="C794" s="96" t="s">
        <v>2814</v>
      </c>
      <c r="D794" s="49" t="s">
        <v>2835</v>
      </c>
      <c r="E794" s="258"/>
      <c r="F794" s="147"/>
      <c r="G794" s="147"/>
      <c r="H794" s="147"/>
      <c r="I794" s="258"/>
      <c r="J794" s="147"/>
      <c r="K794" s="147"/>
      <c r="L794" s="147"/>
      <c r="M794" s="147"/>
      <c r="N794" s="147"/>
      <c r="O794" s="147"/>
      <c r="P794" s="147"/>
      <c r="Q794" s="147"/>
      <c r="R794" s="147"/>
      <c r="S794" s="147"/>
      <c r="T794" s="147"/>
      <c r="U794" s="147"/>
      <c r="V794" s="147"/>
      <c r="W794" s="147"/>
      <c r="X794" s="147"/>
      <c r="Y794" s="147"/>
      <c r="Z794" s="147">
        <v>1997000</v>
      </c>
      <c r="AA794" s="147"/>
      <c r="AB794" s="147"/>
      <c r="AC794" s="147"/>
      <c r="AD794" s="147"/>
      <c r="AE794" s="147"/>
      <c r="AF794" s="147"/>
      <c r="AG794" s="147"/>
      <c r="AH794" s="147"/>
      <c r="AI794" s="147"/>
      <c r="AJ794" s="59" t="s">
        <v>1556</v>
      </c>
      <c r="AK794" s="85"/>
      <c r="AL794" s="85"/>
      <c r="AM794" s="85"/>
    </row>
    <row r="795" spans="1:39" ht="12.75" hidden="1" customHeight="1">
      <c r="A795" s="63">
        <v>74</v>
      </c>
      <c r="B795" s="257" t="s">
        <v>40</v>
      </c>
      <c r="C795" s="96" t="s">
        <v>2731</v>
      </c>
      <c r="D795" s="49" t="s">
        <v>2836</v>
      </c>
      <c r="E795" s="258"/>
      <c r="F795" s="147"/>
      <c r="G795" s="147"/>
      <c r="H795" s="147"/>
      <c r="I795" s="258"/>
      <c r="J795" s="147"/>
      <c r="K795" s="147"/>
      <c r="L795" s="147"/>
      <c r="M795" s="147"/>
      <c r="N795" s="147"/>
      <c r="O795" s="147"/>
      <c r="P795" s="147"/>
      <c r="Q795" s="147"/>
      <c r="R795" s="147"/>
      <c r="S795" s="147"/>
      <c r="T795" s="147"/>
      <c r="U795" s="147"/>
      <c r="V795" s="147"/>
      <c r="W795" s="147"/>
      <c r="X795" s="147"/>
      <c r="Y795" s="147"/>
      <c r="Z795" s="147">
        <v>858000</v>
      </c>
      <c r="AA795" s="147"/>
      <c r="AB795" s="147"/>
      <c r="AC795" s="147"/>
      <c r="AD795" s="147"/>
      <c r="AE795" s="147"/>
      <c r="AF795" s="147"/>
      <c r="AG795" s="147"/>
      <c r="AH795" s="147"/>
      <c r="AI795" s="147"/>
      <c r="AJ795" s="59" t="s">
        <v>1556</v>
      </c>
      <c r="AK795" s="85"/>
      <c r="AL795" s="85"/>
      <c r="AM795" s="85"/>
    </row>
    <row r="796" spans="1:39" ht="12.75" hidden="1" customHeight="1">
      <c r="A796" s="63">
        <v>75</v>
      </c>
      <c r="B796" s="257" t="s">
        <v>40</v>
      </c>
      <c r="C796" s="96" t="s">
        <v>2837</v>
      </c>
      <c r="D796" s="49" t="s">
        <v>2838</v>
      </c>
      <c r="E796" s="258"/>
      <c r="F796" s="147"/>
      <c r="G796" s="147"/>
      <c r="H796" s="147"/>
      <c r="I796" s="258"/>
      <c r="J796" s="147"/>
      <c r="K796" s="147"/>
      <c r="L796" s="147"/>
      <c r="M796" s="147"/>
      <c r="N796" s="147"/>
      <c r="O796" s="147"/>
      <c r="P796" s="147"/>
      <c r="Q796" s="147"/>
      <c r="R796" s="147"/>
      <c r="S796" s="147"/>
      <c r="T796" s="147"/>
      <c r="U796" s="147"/>
      <c r="V796" s="147"/>
      <c r="W796" s="147"/>
      <c r="X796" s="147"/>
      <c r="Y796" s="147"/>
      <c r="Z796" s="147"/>
      <c r="AA796" s="147"/>
      <c r="AB796" s="147"/>
      <c r="AC796" s="147">
        <v>120000000</v>
      </c>
      <c r="AD796" s="147"/>
      <c r="AE796" s="147"/>
      <c r="AF796" s="147"/>
      <c r="AG796" s="147"/>
      <c r="AH796" s="147"/>
      <c r="AI796" s="147"/>
      <c r="AJ796" s="59" t="s">
        <v>1556</v>
      </c>
      <c r="AK796" s="85"/>
      <c r="AL796" s="85"/>
      <c r="AM796" s="85"/>
    </row>
    <row r="797" spans="1:39" ht="12.75" hidden="1" customHeight="1">
      <c r="A797" s="63">
        <v>76</v>
      </c>
      <c r="B797" s="257" t="s">
        <v>40</v>
      </c>
      <c r="C797" s="96" t="s">
        <v>2839</v>
      </c>
      <c r="D797" s="49" t="s">
        <v>2836</v>
      </c>
      <c r="E797" s="258"/>
      <c r="F797" s="147"/>
      <c r="G797" s="147"/>
      <c r="H797" s="147"/>
      <c r="I797" s="258"/>
      <c r="J797" s="147"/>
      <c r="K797" s="147"/>
      <c r="L797" s="147"/>
      <c r="M797" s="147"/>
      <c r="N797" s="147"/>
      <c r="O797" s="147"/>
      <c r="P797" s="147"/>
      <c r="Q797" s="147"/>
      <c r="R797" s="147"/>
      <c r="S797" s="147"/>
      <c r="T797" s="147"/>
      <c r="U797" s="147"/>
      <c r="V797" s="147"/>
      <c r="W797" s="147"/>
      <c r="X797" s="147"/>
      <c r="Y797" s="147"/>
      <c r="Z797" s="147">
        <v>1000000</v>
      </c>
      <c r="AA797" s="147"/>
      <c r="AB797" s="147"/>
      <c r="AC797" s="147"/>
      <c r="AD797" s="147"/>
      <c r="AE797" s="147"/>
      <c r="AF797" s="147"/>
      <c r="AG797" s="147"/>
      <c r="AH797" s="147"/>
      <c r="AI797" s="147"/>
      <c r="AJ797" s="59" t="s">
        <v>1556</v>
      </c>
      <c r="AK797" s="85"/>
      <c r="AL797" s="85"/>
      <c r="AM797" s="85"/>
    </row>
    <row r="798" spans="1:39" ht="12.75" hidden="1" customHeight="1">
      <c r="A798" s="63">
        <v>77</v>
      </c>
      <c r="B798" s="257" t="s">
        <v>40</v>
      </c>
      <c r="C798" s="96" t="s">
        <v>2840</v>
      </c>
      <c r="D798" s="49" t="s">
        <v>2836</v>
      </c>
      <c r="E798" s="258"/>
      <c r="F798" s="147"/>
      <c r="G798" s="147"/>
      <c r="H798" s="147"/>
      <c r="I798" s="258"/>
      <c r="J798" s="147"/>
      <c r="K798" s="147"/>
      <c r="L798" s="147"/>
      <c r="M798" s="147"/>
      <c r="N798" s="147"/>
      <c r="O798" s="147"/>
      <c r="P798" s="147"/>
      <c r="Q798" s="147"/>
      <c r="R798" s="147"/>
      <c r="S798" s="147"/>
      <c r="T798" s="147"/>
      <c r="U798" s="147"/>
      <c r="V798" s="147"/>
      <c r="W798" s="147"/>
      <c r="X798" s="147"/>
      <c r="Y798" s="147"/>
      <c r="Z798" s="147">
        <v>1620000</v>
      </c>
      <c r="AA798" s="147"/>
      <c r="AB798" s="147"/>
      <c r="AC798" s="147"/>
      <c r="AD798" s="147"/>
      <c r="AE798" s="147"/>
      <c r="AF798" s="147"/>
      <c r="AG798" s="147"/>
      <c r="AH798" s="147"/>
      <c r="AI798" s="147"/>
      <c r="AJ798" s="59" t="s">
        <v>1556</v>
      </c>
      <c r="AK798" s="85"/>
      <c r="AL798" s="85"/>
      <c r="AM798" s="85"/>
    </row>
    <row r="799" spans="1:39" ht="12.75" customHeight="1">
      <c r="A799" s="63">
        <v>78</v>
      </c>
      <c r="B799" s="257" t="s">
        <v>27</v>
      </c>
      <c r="C799" s="96" t="s">
        <v>2841</v>
      </c>
      <c r="D799" s="49" t="s">
        <v>2842</v>
      </c>
      <c r="E799" s="258"/>
      <c r="F799" s="147"/>
      <c r="G799" s="147"/>
      <c r="H799" s="147"/>
      <c r="I799" s="258"/>
      <c r="J799" s="147"/>
      <c r="K799" s="147"/>
      <c r="L799" s="147"/>
      <c r="M799" s="147"/>
      <c r="N799" s="147"/>
      <c r="O799" s="147"/>
      <c r="P799" s="147"/>
      <c r="Q799" s="147"/>
      <c r="R799" s="147"/>
      <c r="S799" s="147"/>
      <c r="T799" s="147"/>
      <c r="U799" s="147"/>
      <c r="V799" s="147"/>
      <c r="W799" s="147"/>
      <c r="X799" s="147"/>
      <c r="Y799" s="147"/>
      <c r="Z799" s="147"/>
      <c r="AA799" s="147">
        <v>60000000</v>
      </c>
      <c r="AB799" s="147"/>
      <c r="AC799" s="147"/>
      <c r="AD799" s="147"/>
      <c r="AE799" s="147"/>
      <c r="AF799" s="147"/>
      <c r="AG799" s="147"/>
      <c r="AH799" s="147"/>
      <c r="AI799" s="147"/>
      <c r="AJ799" s="59" t="s">
        <v>2706</v>
      </c>
      <c r="AK799" s="85"/>
      <c r="AL799" s="85"/>
      <c r="AM799" s="85"/>
    </row>
    <row r="800" spans="1:39" ht="12.75" customHeight="1">
      <c r="A800" s="63">
        <v>79</v>
      </c>
      <c r="B800" s="257" t="s">
        <v>27</v>
      </c>
      <c r="C800" s="96" t="s">
        <v>93</v>
      </c>
      <c r="D800" s="49" t="s">
        <v>2843</v>
      </c>
      <c r="E800" s="258"/>
      <c r="F800" s="147"/>
      <c r="G800" s="147"/>
      <c r="H800" s="147"/>
      <c r="I800" s="258"/>
      <c r="J800" s="147"/>
      <c r="K800" s="147"/>
      <c r="L800" s="147"/>
      <c r="M800" s="147"/>
      <c r="N800" s="147"/>
      <c r="O800" s="147"/>
      <c r="P800" s="147"/>
      <c r="Q800" s="147"/>
      <c r="R800" s="147"/>
      <c r="S800" s="147"/>
      <c r="T800" s="147"/>
      <c r="U800" s="147"/>
      <c r="V800" s="147"/>
      <c r="W800" s="147"/>
      <c r="X800" s="147"/>
      <c r="Y800" s="147"/>
      <c r="Z800" s="147"/>
      <c r="AA800" s="147">
        <v>10000000</v>
      </c>
      <c r="AB800" s="147"/>
      <c r="AC800" s="147"/>
      <c r="AD800" s="147"/>
      <c r="AE800" s="147"/>
      <c r="AF800" s="147"/>
      <c r="AG800" s="147"/>
      <c r="AH800" s="147"/>
      <c r="AI800" s="147"/>
      <c r="AJ800" s="59" t="s">
        <v>1556</v>
      </c>
      <c r="AK800" s="85"/>
      <c r="AL800" s="85"/>
      <c r="AM800" s="85"/>
    </row>
    <row r="801" spans="1:39" ht="12.75" customHeight="1">
      <c r="A801" s="63">
        <v>80</v>
      </c>
      <c r="B801" s="257" t="s">
        <v>27</v>
      </c>
      <c r="C801" s="96" t="s">
        <v>2775</v>
      </c>
      <c r="D801" s="49" t="s">
        <v>2844</v>
      </c>
      <c r="E801" s="258"/>
      <c r="F801" s="147"/>
      <c r="G801" s="147"/>
      <c r="H801" s="147"/>
      <c r="I801" s="258"/>
      <c r="J801" s="147"/>
      <c r="K801" s="147"/>
      <c r="L801" s="147"/>
      <c r="M801" s="147"/>
      <c r="N801" s="147"/>
      <c r="O801" s="147"/>
      <c r="P801" s="147"/>
      <c r="Q801" s="147"/>
      <c r="R801" s="147"/>
      <c r="S801" s="147"/>
      <c r="T801" s="147"/>
      <c r="U801" s="147"/>
      <c r="V801" s="147"/>
      <c r="W801" s="147"/>
      <c r="X801" s="147"/>
      <c r="Y801" s="147"/>
      <c r="Z801" s="147"/>
      <c r="AA801" s="147"/>
      <c r="AB801" s="147">
        <v>129000000</v>
      </c>
      <c r="AC801" s="147"/>
      <c r="AD801" s="147"/>
      <c r="AE801" s="147"/>
      <c r="AF801" s="147"/>
      <c r="AG801" s="147"/>
      <c r="AH801" s="147"/>
      <c r="AI801" s="147"/>
      <c r="AJ801" s="59" t="s">
        <v>1556</v>
      </c>
      <c r="AK801" s="85"/>
      <c r="AL801" s="85"/>
      <c r="AM801" s="85"/>
    </row>
    <row r="802" spans="1:39" ht="12.75" hidden="1" customHeight="1">
      <c r="A802" s="63">
        <v>81</v>
      </c>
      <c r="B802" s="257" t="s">
        <v>40</v>
      </c>
      <c r="C802" s="96" t="s">
        <v>2764</v>
      </c>
      <c r="D802" s="49" t="s">
        <v>2845</v>
      </c>
      <c r="E802" s="258"/>
      <c r="F802" s="147"/>
      <c r="G802" s="147"/>
      <c r="H802" s="147"/>
      <c r="I802" s="258"/>
      <c r="J802" s="147"/>
      <c r="K802" s="147"/>
      <c r="L802" s="147"/>
      <c r="M802" s="147"/>
      <c r="N802" s="147"/>
      <c r="O802" s="147"/>
      <c r="P802" s="147"/>
      <c r="Q802" s="147"/>
      <c r="R802" s="147"/>
      <c r="S802" s="147"/>
      <c r="T802" s="147"/>
      <c r="U802" s="147"/>
      <c r="V802" s="147"/>
      <c r="W802" s="147"/>
      <c r="X802" s="147"/>
      <c r="Y802" s="147"/>
      <c r="Z802" s="147"/>
      <c r="AA802" s="147">
        <v>1500000</v>
      </c>
      <c r="AB802" s="147"/>
      <c r="AC802" s="147"/>
      <c r="AD802" s="147"/>
      <c r="AE802" s="147"/>
      <c r="AF802" s="147"/>
      <c r="AG802" s="147"/>
      <c r="AH802" s="147"/>
      <c r="AI802" s="147"/>
      <c r="AJ802" s="59" t="s">
        <v>1556</v>
      </c>
      <c r="AK802" s="85"/>
      <c r="AL802" s="85"/>
      <c r="AM802" s="85"/>
    </row>
    <row r="803" spans="1:39" ht="12.75" hidden="1" customHeight="1">
      <c r="A803" s="63">
        <v>82</v>
      </c>
      <c r="B803" s="257" t="s">
        <v>40</v>
      </c>
      <c r="C803" s="96" t="s">
        <v>2846</v>
      </c>
      <c r="D803" s="49" t="s">
        <v>2847</v>
      </c>
      <c r="E803" s="258"/>
      <c r="F803" s="147"/>
      <c r="G803" s="147"/>
      <c r="H803" s="147"/>
      <c r="I803" s="258"/>
      <c r="J803" s="147"/>
      <c r="K803" s="147"/>
      <c r="L803" s="147"/>
      <c r="M803" s="147"/>
      <c r="N803" s="147"/>
      <c r="O803" s="147"/>
      <c r="P803" s="147"/>
      <c r="Q803" s="147"/>
      <c r="R803" s="147"/>
      <c r="S803" s="147"/>
      <c r="T803" s="147"/>
      <c r="U803" s="147"/>
      <c r="V803" s="147"/>
      <c r="W803" s="147"/>
      <c r="X803" s="147"/>
      <c r="Y803" s="147"/>
      <c r="Z803" s="147"/>
      <c r="AA803" s="147">
        <v>630000</v>
      </c>
      <c r="AB803" s="147"/>
      <c r="AC803" s="147"/>
      <c r="AD803" s="147"/>
      <c r="AE803" s="147"/>
      <c r="AF803" s="147"/>
      <c r="AG803" s="147"/>
      <c r="AH803" s="147"/>
      <c r="AI803" s="147"/>
      <c r="AJ803" s="59" t="s">
        <v>1556</v>
      </c>
      <c r="AK803" s="85"/>
      <c r="AL803" s="85"/>
      <c r="AM803" s="85"/>
    </row>
    <row r="804" spans="1:39" ht="12.75" hidden="1" customHeight="1">
      <c r="A804" s="63">
        <v>83</v>
      </c>
      <c r="B804" s="257" t="s">
        <v>40</v>
      </c>
      <c r="C804" s="96" t="s">
        <v>2848</v>
      </c>
      <c r="D804" s="49" t="s">
        <v>2849</v>
      </c>
      <c r="E804" s="258"/>
      <c r="F804" s="147"/>
      <c r="G804" s="147"/>
      <c r="H804" s="147"/>
      <c r="I804" s="258"/>
      <c r="J804" s="147"/>
      <c r="K804" s="147"/>
      <c r="L804" s="147"/>
      <c r="M804" s="147"/>
      <c r="N804" s="147"/>
      <c r="O804" s="147"/>
      <c r="P804" s="147"/>
      <c r="Q804" s="147"/>
      <c r="R804" s="147"/>
      <c r="S804" s="147"/>
      <c r="T804" s="147"/>
      <c r="U804" s="147"/>
      <c r="V804" s="147"/>
      <c r="W804" s="147"/>
      <c r="X804" s="147"/>
      <c r="Y804" s="147"/>
      <c r="Z804" s="147"/>
      <c r="AA804" s="147">
        <v>3300000</v>
      </c>
      <c r="AB804" s="147"/>
      <c r="AC804" s="147"/>
      <c r="AD804" s="147"/>
      <c r="AE804" s="147"/>
      <c r="AF804" s="147"/>
      <c r="AG804" s="147"/>
      <c r="AH804" s="147"/>
      <c r="AI804" s="147"/>
      <c r="AJ804" s="59" t="s">
        <v>1556</v>
      </c>
      <c r="AK804" s="1"/>
      <c r="AL804" s="1"/>
      <c r="AM804" s="1"/>
    </row>
    <row r="805" spans="1:39" ht="12.75" hidden="1" customHeight="1">
      <c r="A805" s="63">
        <v>84</v>
      </c>
      <c r="B805" s="257" t="s">
        <v>40</v>
      </c>
      <c r="C805" s="96" t="s">
        <v>2800</v>
      </c>
      <c r="D805" s="49" t="s">
        <v>2850</v>
      </c>
      <c r="E805" s="258"/>
      <c r="F805" s="147"/>
      <c r="G805" s="147"/>
      <c r="H805" s="147"/>
      <c r="I805" s="258"/>
      <c r="J805" s="147"/>
      <c r="K805" s="147"/>
      <c r="L805" s="147"/>
      <c r="M805" s="147"/>
      <c r="N805" s="147"/>
      <c r="O805" s="147"/>
      <c r="P805" s="147"/>
      <c r="Q805" s="147"/>
      <c r="R805" s="147"/>
      <c r="S805" s="147"/>
      <c r="T805" s="147"/>
      <c r="U805" s="147"/>
      <c r="V805" s="147"/>
      <c r="W805" s="147"/>
      <c r="X805" s="147"/>
      <c r="Y805" s="147"/>
      <c r="Z805" s="147"/>
      <c r="AA805" s="147">
        <v>19280000</v>
      </c>
      <c r="AB805" s="147"/>
      <c r="AC805" s="147"/>
      <c r="AD805" s="147"/>
      <c r="AE805" s="147"/>
      <c r="AF805" s="147"/>
      <c r="AG805" s="147"/>
      <c r="AH805" s="147"/>
      <c r="AI805" s="147"/>
      <c r="AJ805" s="59" t="s">
        <v>1556</v>
      </c>
      <c r="AK805" s="85"/>
      <c r="AL805" s="85"/>
      <c r="AM805" s="85"/>
    </row>
    <row r="806" spans="1:39" ht="12.75" hidden="1" customHeight="1">
      <c r="A806" s="63">
        <v>85</v>
      </c>
      <c r="B806" s="257" t="s">
        <v>40</v>
      </c>
      <c r="C806" s="96" t="s">
        <v>2851</v>
      </c>
      <c r="D806" s="49" t="s">
        <v>2834</v>
      </c>
      <c r="E806" s="258"/>
      <c r="F806" s="147"/>
      <c r="G806" s="147"/>
      <c r="H806" s="147"/>
      <c r="I806" s="258"/>
      <c r="J806" s="147"/>
      <c r="K806" s="147"/>
      <c r="L806" s="147"/>
      <c r="M806" s="147"/>
      <c r="N806" s="147"/>
      <c r="O806" s="147"/>
      <c r="P806" s="147"/>
      <c r="Q806" s="147"/>
      <c r="R806" s="147"/>
      <c r="S806" s="147"/>
      <c r="T806" s="147"/>
      <c r="U806" s="147"/>
      <c r="V806" s="147"/>
      <c r="W806" s="147"/>
      <c r="X806" s="147"/>
      <c r="Y806" s="147"/>
      <c r="Z806" s="147"/>
      <c r="AA806" s="147">
        <v>1700000</v>
      </c>
      <c r="AB806" s="147"/>
      <c r="AC806" s="147"/>
      <c r="AD806" s="147"/>
      <c r="AE806" s="147"/>
      <c r="AF806" s="147"/>
      <c r="AG806" s="147"/>
      <c r="AH806" s="147"/>
      <c r="AI806" s="147"/>
      <c r="AJ806" s="59" t="s">
        <v>1556</v>
      </c>
      <c r="AK806" s="85"/>
      <c r="AL806" s="85"/>
      <c r="AM806" s="85"/>
    </row>
    <row r="807" spans="1:39" ht="12.75" hidden="1" customHeight="1">
      <c r="A807" s="63">
        <v>86</v>
      </c>
      <c r="B807" s="257" t="s">
        <v>40</v>
      </c>
      <c r="C807" s="96" t="s">
        <v>2852</v>
      </c>
      <c r="D807" s="49" t="s">
        <v>2853</v>
      </c>
      <c r="E807" s="258"/>
      <c r="F807" s="147"/>
      <c r="G807" s="147"/>
      <c r="H807" s="147"/>
      <c r="I807" s="258"/>
      <c r="J807" s="147"/>
      <c r="K807" s="147"/>
      <c r="L807" s="147"/>
      <c r="M807" s="147"/>
      <c r="N807" s="147"/>
      <c r="O807" s="147"/>
      <c r="P807" s="147"/>
      <c r="Q807" s="147"/>
      <c r="R807" s="147"/>
      <c r="S807" s="147"/>
      <c r="T807" s="147"/>
      <c r="U807" s="147"/>
      <c r="V807" s="147"/>
      <c r="W807" s="147"/>
      <c r="X807" s="147"/>
      <c r="Y807" s="147"/>
      <c r="Z807" s="147"/>
      <c r="AA807" s="147">
        <v>5000000</v>
      </c>
      <c r="AB807" s="147"/>
      <c r="AC807" s="147"/>
      <c r="AD807" s="147"/>
      <c r="AE807" s="147"/>
      <c r="AF807" s="147"/>
      <c r="AG807" s="147"/>
      <c r="AH807" s="147"/>
      <c r="AI807" s="147"/>
      <c r="AJ807" s="59" t="s">
        <v>1556</v>
      </c>
      <c r="AK807" s="85"/>
      <c r="AL807" s="85"/>
      <c r="AM807" s="85"/>
    </row>
    <row r="808" spans="1:39" ht="12.75" hidden="1" customHeight="1">
      <c r="A808" s="63">
        <v>87</v>
      </c>
      <c r="B808" s="257" t="s">
        <v>40</v>
      </c>
      <c r="C808" s="96" t="s">
        <v>2854</v>
      </c>
      <c r="D808" s="49" t="s">
        <v>2855</v>
      </c>
      <c r="E808" s="258"/>
      <c r="F808" s="147"/>
      <c r="G808" s="147"/>
      <c r="H808" s="147"/>
      <c r="I808" s="258"/>
      <c r="J808" s="147"/>
      <c r="K808" s="147"/>
      <c r="L808" s="147"/>
      <c r="M808" s="147"/>
      <c r="N808" s="147"/>
      <c r="O808" s="147"/>
      <c r="P808" s="147"/>
      <c r="Q808" s="147"/>
      <c r="R808" s="147"/>
      <c r="S808" s="147"/>
      <c r="T808" s="147"/>
      <c r="U808" s="147"/>
      <c r="V808" s="147"/>
      <c r="W808" s="147"/>
      <c r="X808" s="147"/>
      <c r="Y808" s="147"/>
      <c r="Z808" s="147"/>
      <c r="AA808" s="147">
        <v>125000000</v>
      </c>
      <c r="AB808" s="147"/>
      <c r="AC808" s="147"/>
      <c r="AD808" s="147"/>
      <c r="AE808" s="147"/>
      <c r="AF808" s="147"/>
      <c r="AG808" s="147"/>
      <c r="AH808" s="147"/>
      <c r="AI808" s="147"/>
      <c r="AJ808" s="59" t="s">
        <v>1556</v>
      </c>
      <c r="AK808" s="85"/>
      <c r="AL808" s="85"/>
      <c r="AM808" s="85"/>
    </row>
    <row r="809" spans="1:39" ht="12.75" hidden="1" customHeight="1">
      <c r="A809" s="63">
        <v>88</v>
      </c>
      <c r="B809" s="257" t="s">
        <v>40</v>
      </c>
      <c r="C809" s="96" t="s">
        <v>2856</v>
      </c>
      <c r="D809" s="49" t="s">
        <v>2857</v>
      </c>
      <c r="E809" s="258"/>
      <c r="F809" s="147"/>
      <c r="G809" s="147"/>
      <c r="H809" s="147"/>
      <c r="I809" s="258"/>
      <c r="J809" s="147"/>
      <c r="K809" s="147"/>
      <c r="L809" s="147"/>
      <c r="M809" s="147"/>
      <c r="N809" s="147"/>
      <c r="O809" s="147"/>
      <c r="P809" s="147"/>
      <c r="Q809" s="147"/>
      <c r="R809" s="147"/>
      <c r="S809" s="147"/>
      <c r="T809" s="147"/>
      <c r="U809" s="147"/>
      <c r="V809" s="147"/>
      <c r="W809" s="147"/>
      <c r="X809" s="147"/>
      <c r="Y809" s="147"/>
      <c r="Z809" s="147"/>
      <c r="AA809" s="147">
        <v>11000000</v>
      </c>
      <c r="AB809" s="147"/>
      <c r="AC809" s="147"/>
      <c r="AD809" s="147"/>
      <c r="AE809" s="147"/>
      <c r="AF809" s="147"/>
      <c r="AG809" s="147"/>
      <c r="AH809" s="147"/>
      <c r="AI809" s="147"/>
      <c r="AJ809" s="59" t="s">
        <v>1556</v>
      </c>
      <c r="AK809" s="85"/>
      <c r="AL809" s="85"/>
      <c r="AM809" s="85"/>
    </row>
    <row r="810" spans="1:39" ht="12.75" customHeight="1">
      <c r="A810" s="63">
        <v>89</v>
      </c>
      <c r="B810" s="257" t="s">
        <v>27</v>
      </c>
      <c r="C810" s="96" t="s">
        <v>2856</v>
      </c>
      <c r="D810" s="49" t="s">
        <v>2858</v>
      </c>
      <c r="E810" s="258"/>
      <c r="F810" s="147"/>
      <c r="G810" s="147"/>
      <c r="H810" s="147"/>
      <c r="I810" s="258"/>
      <c r="J810" s="147"/>
      <c r="K810" s="147"/>
      <c r="L810" s="147"/>
      <c r="M810" s="147"/>
      <c r="N810" s="147"/>
      <c r="O810" s="147"/>
      <c r="P810" s="147"/>
      <c r="Q810" s="147"/>
      <c r="R810" s="147"/>
      <c r="S810" s="147"/>
      <c r="T810" s="147"/>
      <c r="U810" s="147"/>
      <c r="V810" s="147"/>
      <c r="W810" s="147"/>
      <c r="X810" s="147"/>
      <c r="Y810" s="147"/>
      <c r="Z810" s="147"/>
      <c r="AA810" s="147"/>
      <c r="AB810" s="147">
        <v>117000000</v>
      </c>
      <c r="AC810" s="147"/>
      <c r="AD810" s="147"/>
      <c r="AE810" s="147"/>
      <c r="AF810" s="147"/>
      <c r="AG810" s="147"/>
      <c r="AH810" s="147"/>
      <c r="AI810" s="147"/>
      <c r="AJ810" s="59" t="s">
        <v>1556</v>
      </c>
      <c r="AK810" s="85"/>
      <c r="AL810" s="85"/>
      <c r="AM810" s="85"/>
    </row>
    <row r="811" spans="1:39" ht="12.75" hidden="1" customHeight="1">
      <c r="A811" s="63">
        <v>90</v>
      </c>
      <c r="B811" s="257" t="s">
        <v>40</v>
      </c>
      <c r="C811" s="96" t="s">
        <v>2859</v>
      </c>
      <c r="D811" s="49" t="s">
        <v>2843</v>
      </c>
      <c r="E811" s="258"/>
      <c r="F811" s="147"/>
      <c r="G811" s="147"/>
      <c r="H811" s="147"/>
      <c r="I811" s="258"/>
      <c r="J811" s="147"/>
      <c r="K811" s="147"/>
      <c r="L811" s="147"/>
      <c r="M811" s="147"/>
      <c r="N811" s="147"/>
      <c r="O811" s="147"/>
      <c r="P811" s="147"/>
      <c r="Q811" s="147"/>
      <c r="R811" s="147"/>
      <c r="S811" s="147"/>
      <c r="T811" s="147"/>
      <c r="U811" s="147"/>
      <c r="V811" s="147"/>
      <c r="W811" s="147"/>
      <c r="X811" s="147"/>
      <c r="Y811" s="147"/>
      <c r="Z811" s="147"/>
      <c r="AA811" s="147">
        <v>28000000</v>
      </c>
      <c r="AB811" s="147"/>
      <c r="AC811" s="147"/>
      <c r="AD811" s="147"/>
      <c r="AE811" s="147"/>
      <c r="AF811" s="147"/>
      <c r="AG811" s="147"/>
      <c r="AH811" s="147"/>
      <c r="AI811" s="147"/>
      <c r="AJ811" s="59" t="s">
        <v>1556</v>
      </c>
      <c r="AK811" s="85"/>
      <c r="AL811" s="85"/>
      <c r="AM811" s="85"/>
    </row>
    <row r="812" spans="1:39" ht="12.75" hidden="1" customHeight="1">
      <c r="A812" s="235">
        <v>91</v>
      </c>
      <c r="B812" s="257" t="s">
        <v>40</v>
      </c>
      <c r="C812" s="96" t="s">
        <v>2860</v>
      </c>
      <c r="D812" s="49" t="s">
        <v>2861</v>
      </c>
      <c r="E812" s="258"/>
      <c r="F812" s="147"/>
      <c r="G812" s="147"/>
      <c r="H812" s="147"/>
      <c r="I812" s="258"/>
      <c r="J812" s="147"/>
      <c r="K812" s="147"/>
      <c r="L812" s="147"/>
      <c r="M812" s="147"/>
      <c r="N812" s="147"/>
      <c r="O812" s="147"/>
      <c r="P812" s="147"/>
      <c r="Q812" s="147"/>
      <c r="R812" s="147"/>
      <c r="S812" s="147"/>
      <c r="T812" s="147"/>
      <c r="U812" s="147"/>
      <c r="V812" s="147"/>
      <c r="W812" s="147"/>
      <c r="X812" s="147"/>
      <c r="Y812" s="147"/>
      <c r="Z812" s="147"/>
      <c r="AA812" s="147"/>
      <c r="AB812" s="147"/>
      <c r="AC812" s="147">
        <v>20000000</v>
      </c>
      <c r="AD812" s="147"/>
      <c r="AE812" s="147"/>
      <c r="AF812" s="147"/>
      <c r="AG812" s="147"/>
      <c r="AH812" s="147"/>
      <c r="AI812" s="147"/>
      <c r="AJ812" s="59" t="s">
        <v>1556</v>
      </c>
      <c r="AK812" s="85"/>
      <c r="AL812" s="85"/>
      <c r="AM812" s="85"/>
    </row>
    <row r="813" spans="1:39" ht="12.75" customHeight="1">
      <c r="A813" s="63">
        <v>92</v>
      </c>
      <c r="B813" s="257" t="s">
        <v>27</v>
      </c>
      <c r="C813" s="96" t="s">
        <v>2862</v>
      </c>
      <c r="D813" s="49" t="s">
        <v>2830</v>
      </c>
      <c r="E813" s="258"/>
      <c r="F813" s="147"/>
      <c r="G813" s="147"/>
      <c r="H813" s="147"/>
      <c r="I813" s="258"/>
      <c r="J813" s="147"/>
      <c r="K813" s="147"/>
      <c r="L813" s="147"/>
      <c r="M813" s="147"/>
      <c r="N813" s="147"/>
      <c r="O813" s="147"/>
      <c r="P813" s="147"/>
      <c r="Q813" s="147"/>
      <c r="R813" s="147"/>
      <c r="S813" s="147"/>
      <c r="T813" s="147"/>
      <c r="U813" s="147"/>
      <c r="V813" s="147"/>
      <c r="W813" s="147"/>
      <c r="X813" s="147"/>
      <c r="Y813" s="147"/>
      <c r="Z813" s="147"/>
      <c r="AA813" s="147"/>
      <c r="AB813" s="147"/>
      <c r="AC813" s="147"/>
      <c r="AD813" s="147">
        <v>68000000</v>
      </c>
      <c r="AE813" s="147"/>
      <c r="AF813" s="147"/>
      <c r="AG813" s="147"/>
      <c r="AH813" s="147"/>
      <c r="AI813" s="147"/>
      <c r="AJ813" s="59" t="s">
        <v>2215</v>
      </c>
      <c r="AK813" s="85"/>
      <c r="AL813" s="85"/>
      <c r="AM813" s="85"/>
    </row>
    <row r="814" spans="1:39" ht="12.75" hidden="1" customHeight="1">
      <c r="A814" s="63">
        <v>93</v>
      </c>
      <c r="B814" s="257" t="s">
        <v>40</v>
      </c>
      <c r="C814" s="96" t="s">
        <v>2803</v>
      </c>
      <c r="D814" s="49" t="s">
        <v>2863</v>
      </c>
      <c r="E814" s="258"/>
      <c r="F814" s="147"/>
      <c r="G814" s="147"/>
      <c r="H814" s="147"/>
      <c r="I814" s="258"/>
      <c r="J814" s="147"/>
      <c r="K814" s="147"/>
      <c r="L814" s="147"/>
      <c r="M814" s="147"/>
      <c r="N814" s="147"/>
      <c r="O814" s="147"/>
      <c r="P814" s="147"/>
      <c r="Q814" s="147"/>
      <c r="R814" s="147"/>
      <c r="S814" s="147"/>
      <c r="T814" s="147"/>
      <c r="U814" s="147"/>
      <c r="V814" s="147"/>
      <c r="W814" s="147"/>
      <c r="X814" s="147"/>
      <c r="Y814" s="147"/>
      <c r="Z814" s="147"/>
      <c r="AA814" s="147"/>
      <c r="AB814" s="147"/>
      <c r="AC814" s="147">
        <v>165000000</v>
      </c>
      <c r="AD814" s="147"/>
      <c r="AE814" s="147"/>
      <c r="AF814" s="147"/>
      <c r="AG814" s="147"/>
      <c r="AH814" s="147"/>
      <c r="AI814" s="147"/>
      <c r="AJ814" s="59" t="s">
        <v>1765</v>
      </c>
      <c r="AK814" s="85"/>
      <c r="AL814" s="85"/>
      <c r="AM814" s="85"/>
    </row>
    <row r="815" spans="1:39" ht="12.75" customHeight="1">
      <c r="A815" s="235">
        <v>94</v>
      </c>
      <c r="B815" s="257" t="s">
        <v>27</v>
      </c>
      <c r="C815" s="96" t="s">
        <v>2818</v>
      </c>
      <c r="D815" s="49" t="s">
        <v>2864</v>
      </c>
      <c r="E815" s="258"/>
      <c r="F815" s="147"/>
      <c r="G815" s="147"/>
      <c r="H815" s="147"/>
      <c r="I815" s="258"/>
      <c r="J815" s="147"/>
      <c r="K815" s="147"/>
      <c r="L815" s="147"/>
      <c r="M815" s="147"/>
      <c r="N815" s="147"/>
      <c r="O815" s="147"/>
      <c r="P815" s="147"/>
      <c r="Q815" s="147"/>
      <c r="R815" s="147"/>
      <c r="S815" s="147"/>
      <c r="T815" s="147"/>
      <c r="U815" s="147"/>
      <c r="V815" s="147"/>
      <c r="W815" s="147"/>
      <c r="X815" s="147"/>
      <c r="Y815" s="147"/>
      <c r="Z815" s="147"/>
      <c r="AA815" s="147"/>
      <c r="AB815" s="147"/>
      <c r="AC815" s="147">
        <v>2500000</v>
      </c>
      <c r="AD815" s="147"/>
      <c r="AE815" s="147"/>
      <c r="AF815" s="147"/>
      <c r="AG815" s="147"/>
      <c r="AH815" s="147"/>
      <c r="AI815" s="147"/>
      <c r="AJ815" s="59" t="s">
        <v>267</v>
      </c>
      <c r="AK815" s="85"/>
      <c r="AL815" s="85"/>
      <c r="AM815" s="85"/>
    </row>
    <row r="816" spans="1:39" ht="12.75" hidden="1" customHeight="1">
      <c r="A816" s="63">
        <v>95</v>
      </c>
      <c r="B816" s="257" t="s">
        <v>40</v>
      </c>
      <c r="C816" s="96" t="s">
        <v>2865</v>
      </c>
      <c r="D816" s="49" t="s">
        <v>2866</v>
      </c>
      <c r="E816" s="258"/>
      <c r="F816" s="147"/>
      <c r="G816" s="147"/>
      <c r="H816" s="147"/>
      <c r="I816" s="258"/>
      <c r="J816" s="147"/>
      <c r="K816" s="147"/>
      <c r="L816" s="147"/>
      <c r="M816" s="147"/>
      <c r="N816" s="147"/>
      <c r="O816" s="147"/>
      <c r="P816" s="147"/>
      <c r="Q816" s="147"/>
      <c r="R816" s="147"/>
      <c r="S816" s="147"/>
      <c r="T816" s="147"/>
      <c r="U816" s="147"/>
      <c r="V816" s="147"/>
      <c r="W816" s="147"/>
      <c r="X816" s="147"/>
      <c r="Y816" s="147"/>
      <c r="Z816" s="147"/>
      <c r="AA816" s="147"/>
      <c r="AB816" s="147"/>
      <c r="AC816" s="147">
        <v>2000000</v>
      </c>
      <c r="AD816" s="147"/>
      <c r="AE816" s="147"/>
      <c r="AF816" s="147"/>
      <c r="AG816" s="147"/>
      <c r="AH816" s="147"/>
      <c r="AI816" s="147"/>
      <c r="AJ816" s="59" t="s">
        <v>1556</v>
      </c>
      <c r="AK816" s="85"/>
      <c r="AL816" s="85"/>
      <c r="AM816" s="85"/>
    </row>
    <row r="817" spans="1:39" ht="12.75" hidden="1" customHeight="1">
      <c r="A817" s="63">
        <v>96</v>
      </c>
      <c r="B817" s="257" t="s">
        <v>40</v>
      </c>
      <c r="C817" s="96" t="s">
        <v>89</v>
      </c>
      <c r="D817" s="49" t="s">
        <v>2867</v>
      </c>
      <c r="E817" s="258"/>
      <c r="F817" s="147"/>
      <c r="G817" s="147"/>
      <c r="H817" s="147"/>
      <c r="I817" s="258"/>
      <c r="J817" s="147"/>
      <c r="K817" s="147"/>
      <c r="L817" s="147"/>
      <c r="M817" s="147"/>
      <c r="N817" s="147"/>
      <c r="O817" s="147"/>
      <c r="P817" s="147"/>
      <c r="Q817" s="147"/>
      <c r="R817" s="147"/>
      <c r="S817" s="147"/>
      <c r="T817" s="147"/>
      <c r="U817" s="147"/>
      <c r="V817" s="147"/>
      <c r="W817" s="147"/>
      <c r="X817" s="147"/>
      <c r="Y817" s="147"/>
      <c r="Z817" s="147"/>
      <c r="AA817" s="147"/>
      <c r="AB817" s="147">
        <v>71000000</v>
      </c>
      <c r="AC817" s="147"/>
      <c r="AD817" s="147"/>
      <c r="AE817" s="147"/>
      <c r="AF817" s="147"/>
      <c r="AG817" s="147"/>
      <c r="AH817" s="147"/>
      <c r="AI817" s="147"/>
      <c r="AJ817" s="59" t="s">
        <v>1556</v>
      </c>
      <c r="AK817" s="85"/>
      <c r="AL817" s="85"/>
      <c r="AM817" s="85"/>
    </row>
    <row r="818" spans="1:39" ht="12.75" hidden="1" customHeight="1">
      <c r="A818" s="235">
        <v>97</v>
      </c>
      <c r="B818" s="257" t="s">
        <v>40</v>
      </c>
      <c r="C818" s="96" t="s">
        <v>2758</v>
      </c>
      <c r="D818" s="49" t="s">
        <v>2868</v>
      </c>
      <c r="E818" s="258"/>
      <c r="F818" s="147"/>
      <c r="G818" s="147"/>
      <c r="H818" s="147"/>
      <c r="I818" s="258"/>
      <c r="J818" s="147"/>
      <c r="K818" s="147"/>
      <c r="L818" s="147"/>
      <c r="M818" s="147"/>
      <c r="N818" s="147"/>
      <c r="O818" s="147"/>
      <c r="P818" s="147"/>
      <c r="Q818" s="147"/>
      <c r="R818" s="147"/>
      <c r="S818" s="147"/>
      <c r="T818" s="147"/>
      <c r="U818" s="147"/>
      <c r="V818" s="147"/>
      <c r="W818" s="147"/>
      <c r="X818" s="147"/>
      <c r="Y818" s="147"/>
      <c r="Z818" s="147"/>
      <c r="AA818" s="147"/>
      <c r="AB818" s="147"/>
      <c r="AC818" s="147">
        <v>6000000</v>
      </c>
      <c r="AD818" s="147"/>
      <c r="AE818" s="147"/>
      <c r="AF818" s="147"/>
      <c r="AG818" s="147"/>
      <c r="AH818" s="147"/>
      <c r="AI818" s="147"/>
      <c r="AJ818" s="59" t="s">
        <v>1556</v>
      </c>
      <c r="AK818" s="85"/>
      <c r="AL818" s="85"/>
      <c r="AM818" s="85"/>
    </row>
    <row r="819" spans="1:39" ht="12.75" hidden="1" customHeight="1">
      <c r="A819" s="63">
        <v>98</v>
      </c>
      <c r="B819" s="257" t="s">
        <v>40</v>
      </c>
      <c r="C819" s="96" t="s">
        <v>2731</v>
      </c>
      <c r="D819" s="49" t="s">
        <v>2869</v>
      </c>
      <c r="E819" s="258"/>
      <c r="F819" s="147"/>
      <c r="G819" s="147"/>
      <c r="H819" s="147"/>
      <c r="I819" s="258"/>
      <c r="J819" s="147"/>
      <c r="K819" s="147"/>
      <c r="L819" s="147"/>
      <c r="M819" s="147"/>
      <c r="N819" s="147"/>
      <c r="O819" s="147"/>
      <c r="P819" s="147"/>
      <c r="Q819" s="147"/>
      <c r="R819" s="147"/>
      <c r="S819" s="147"/>
      <c r="T819" s="147"/>
      <c r="U819" s="147"/>
      <c r="V819" s="147"/>
      <c r="W819" s="147"/>
      <c r="X819" s="147"/>
      <c r="Y819" s="147"/>
      <c r="Z819" s="147"/>
      <c r="AA819" s="147"/>
      <c r="AB819" s="147"/>
      <c r="AC819" s="147"/>
      <c r="AD819" s="147"/>
      <c r="AE819" s="147">
        <v>2000000</v>
      </c>
      <c r="AF819" s="147"/>
      <c r="AG819" s="147"/>
      <c r="AH819" s="147"/>
      <c r="AI819" s="147"/>
      <c r="AJ819" s="59" t="s">
        <v>1556</v>
      </c>
      <c r="AK819" s="85"/>
      <c r="AL819" s="85"/>
      <c r="AM819" s="85"/>
    </row>
    <row r="820" spans="1:39" ht="12.75" customHeight="1">
      <c r="A820" s="63">
        <v>99</v>
      </c>
      <c r="B820" s="257" t="s">
        <v>27</v>
      </c>
      <c r="C820" s="96" t="s">
        <v>2870</v>
      </c>
      <c r="D820" s="49" t="s">
        <v>2871</v>
      </c>
      <c r="E820" s="258"/>
      <c r="F820" s="147"/>
      <c r="G820" s="147"/>
      <c r="H820" s="147"/>
      <c r="I820" s="258"/>
      <c r="J820" s="147"/>
      <c r="K820" s="147"/>
      <c r="L820" s="147"/>
      <c r="M820" s="147"/>
      <c r="N820" s="147"/>
      <c r="O820" s="147"/>
      <c r="P820" s="147"/>
      <c r="Q820" s="147"/>
      <c r="R820" s="147"/>
      <c r="S820" s="147"/>
      <c r="T820" s="147"/>
      <c r="U820" s="147"/>
      <c r="V820" s="147"/>
      <c r="W820" s="147"/>
      <c r="X820" s="147"/>
      <c r="Y820" s="147"/>
      <c r="Z820" s="147"/>
      <c r="AA820" s="147"/>
      <c r="AB820" s="147"/>
      <c r="AC820" s="147">
        <v>2000000</v>
      </c>
      <c r="AD820" s="147"/>
      <c r="AE820" s="147"/>
      <c r="AF820" s="147"/>
      <c r="AG820" s="147"/>
      <c r="AH820" s="147"/>
      <c r="AI820" s="147"/>
      <c r="AJ820" s="59" t="s">
        <v>2215</v>
      </c>
      <c r="AK820" s="85"/>
      <c r="AL820" s="85"/>
      <c r="AM820" s="85"/>
    </row>
    <row r="821" spans="1:39" ht="12.75" hidden="1" customHeight="1">
      <c r="A821" s="63">
        <v>100</v>
      </c>
      <c r="B821" s="257" t="s">
        <v>40</v>
      </c>
      <c r="C821" s="96" t="s">
        <v>2799</v>
      </c>
      <c r="D821" s="49" t="s">
        <v>2872</v>
      </c>
      <c r="E821" s="258"/>
      <c r="F821" s="147"/>
      <c r="G821" s="147"/>
      <c r="H821" s="147"/>
      <c r="I821" s="258"/>
      <c r="J821" s="147"/>
      <c r="K821" s="147"/>
      <c r="L821" s="147"/>
      <c r="M821" s="147"/>
      <c r="N821" s="147"/>
      <c r="O821" s="147"/>
      <c r="P821" s="147"/>
      <c r="Q821" s="147"/>
      <c r="R821" s="147"/>
      <c r="S821" s="147"/>
      <c r="T821" s="147"/>
      <c r="U821" s="147"/>
      <c r="V821" s="147"/>
      <c r="W821" s="147"/>
      <c r="X821" s="147"/>
      <c r="Y821" s="147"/>
      <c r="Z821" s="147"/>
      <c r="AA821" s="147"/>
      <c r="AB821" s="147"/>
      <c r="AC821" s="147">
        <v>22000000</v>
      </c>
      <c r="AD821" s="147"/>
      <c r="AE821" s="147"/>
      <c r="AF821" s="147"/>
      <c r="AG821" s="147"/>
      <c r="AH821" s="147"/>
      <c r="AI821" s="147"/>
      <c r="AJ821" s="59" t="s">
        <v>1765</v>
      </c>
      <c r="AK821" s="85"/>
      <c r="AL821" s="85"/>
      <c r="AM821" s="85"/>
    </row>
    <row r="822" spans="1:39" ht="12.75" hidden="1" customHeight="1">
      <c r="A822" s="63">
        <v>101</v>
      </c>
      <c r="B822" s="257" t="s">
        <v>40</v>
      </c>
      <c r="C822" s="96" t="s">
        <v>2873</v>
      </c>
      <c r="D822" s="49" t="s">
        <v>2874</v>
      </c>
      <c r="E822" s="258"/>
      <c r="F822" s="147"/>
      <c r="G822" s="147"/>
      <c r="H822" s="147"/>
      <c r="I822" s="258"/>
      <c r="J822" s="147"/>
      <c r="K822" s="147"/>
      <c r="L822" s="147"/>
      <c r="M822" s="147"/>
      <c r="N822" s="147"/>
      <c r="O822" s="147"/>
      <c r="P822" s="147"/>
      <c r="Q822" s="147"/>
      <c r="R822" s="147"/>
      <c r="S822" s="147"/>
      <c r="T822" s="147"/>
      <c r="U822" s="147"/>
      <c r="V822" s="147"/>
      <c r="W822" s="147"/>
      <c r="X822" s="147"/>
      <c r="Y822" s="147"/>
      <c r="Z822" s="147"/>
      <c r="AA822" s="147"/>
      <c r="AB822" s="147"/>
      <c r="AC822" s="147">
        <v>2000000</v>
      </c>
      <c r="AD822" s="147"/>
      <c r="AE822" s="147"/>
      <c r="AF822" s="147"/>
      <c r="AG822" s="147"/>
      <c r="AH822" s="147"/>
      <c r="AI822" s="147"/>
      <c r="AJ822" s="59" t="s">
        <v>1765</v>
      </c>
      <c r="AK822" s="85"/>
      <c r="AL822" s="85"/>
      <c r="AM822" s="85"/>
    </row>
    <row r="823" spans="1:39" ht="12.75" hidden="1" customHeight="1">
      <c r="A823" s="63">
        <v>102</v>
      </c>
      <c r="B823" s="257" t="s">
        <v>40</v>
      </c>
      <c r="C823" s="96" t="s">
        <v>2875</v>
      </c>
      <c r="D823" s="49" t="s">
        <v>2876</v>
      </c>
      <c r="E823" s="258"/>
      <c r="F823" s="147"/>
      <c r="G823" s="147"/>
      <c r="H823" s="147"/>
      <c r="I823" s="258"/>
      <c r="J823" s="147"/>
      <c r="K823" s="147"/>
      <c r="L823" s="147"/>
      <c r="M823" s="147"/>
      <c r="N823" s="147"/>
      <c r="O823" s="147"/>
      <c r="P823" s="147"/>
      <c r="Q823" s="147"/>
      <c r="R823" s="147"/>
      <c r="S823" s="147"/>
      <c r="T823" s="147"/>
      <c r="U823" s="147"/>
      <c r="V823" s="147"/>
      <c r="W823" s="147"/>
      <c r="X823" s="147"/>
      <c r="Y823" s="147"/>
      <c r="Z823" s="147"/>
      <c r="AA823" s="147"/>
      <c r="AB823" s="147">
        <v>6000000</v>
      </c>
      <c r="AC823" s="147"/>
      <c r="AD823" s="147"/>
      <c r="AE823" s="147"/>
      <c r="AF823" s="147"/>
      <c r="AG823" s="147"/>
      <c r="AH823" s="147"/>
      <c r="AI823" s="147"/>
      <c r="AJ823" s="59" t="s">
        <v>1556</v>
      </c>
      <c r="AK823" s="85"/>
      <c r="AL823" s="85"/>
      <c r="AM823" s="85"/>
    </row>
    <row r="824" spans="1:39" ht="12.75" customHeight="1">
      <c r="A824" s="63">
        <v>103</v>
      </c>
      <c r="B824" s="257" t="s">
        <v>27</v>
      </c>
      <c r="C824" s="96" t="s">
        <v>2877</v>
      </c>
      <c r="D824" s="49" t="s">
        <v>2878</v>
      </c>
      <c r="E824" s="258"/>
      <c r="F824" s="147"/>
      <c r="G824" s="147"/>
      <c r="H824" s="147"/>
      <c r="I824" s="258"/>
      <c r="J824" s="147"/>
      <c r="K824" s="147"/>
      <c r="L824" s="147"/>
      <c r="M824" s="147"/>
      <c r="N824" s="147"/>
      <c r="O824" s="147"/>
      <c r="P824" s="147"/>
      <c r="Q824" s="147"/>
      <c r="R824" s="147"/>
      <c r="S824" s="147"/>
      <c r="T824" s="147"/>
      <c r="U824" s="147"/>
      <c r="V824" s="147"/>
      <c r="W824" s="147"/>
      <c r="X824" s="147"/>
      <c r="Y824" s="147"/>
      <c r="Z824" s="147"/>
      <c r="AA824" s="147"/>
      <c r="AB824" s="147"/>
      <c r="AC824" s="147"/>
      <c r="AD824" s="147"/>
      <c r="AE824" s="147">
        <v>60000000</v>
      </c>
      <c r="AF824" s="147"/>
      <c r="AG824" s="147"/>
      <c r="AH824" s="147"/>
      <c r="AI824" s="147"/>
      <c r="AJ824" s="59" t="s">
        <v>2215</v>
      </c>
      <c r="AK824" s="85"/>
      <c r="AL824" s="85"/>
      <c r="AM824" s="85"/>
    </row>
    <row r="825" spans="1:39" ht="12.75" hidden="1" customHeight="1">
      <c r="A825" s="63">
        <v>104</v>
      </c>
      <c r="B825" s="257" t="s">
        <v>40</v>
      </c>
      <c r="C825" s="96" t="s">
        <v>2879</v>
      </c>
      <c r="D825" s="49" t="s">
        <v>2845</v>
      </c>
      <c r="E825" s="258"/>
      <c r="F825" s="147"/>
      <c r="G825" s="147"/>
      <c r="H825" s="147"/>
      <c r="I825" s="258"/>
      <c r="J825" s="147"/>
      <c r="K825" s="147"/>
      <c r="L825" s="147"/>
      <c r="M825" s="147"/>
      <c r="N825" s="147"/>
      <c r="O825" s="147"/>
      <c r="P825" s="147"/>
      <c r="Q825" s="147"/>
      <c r="R825" s="147"/>
      <c r="S825" s="147"/>
      <c r="T825" s="147"/>
      <c r="U825" s="147"/>
      <c r="V825" s="147"/>
      <c r="W825" s="147"/>
      <c r="X825" s="147"/>
      <c r="Y825" s="147"/>
      <c r="Z825" s="147"/>
      <c r="AA825" s="147"/>
      <c r="AB825" s="147"/>
      <c r="AC825" s="147">
        <v>7000000</v>
      </c>
      <c r="AD825" s="147"/>
      <c r="AE825" s="147"/>
      <c r="AF825" s="147"/>
      <c r="AG825" s="147"/>
      <c r="AH825" s="147"/>
      <c r="AI825" s="147"/>
      <c r="AJ825" s="59" t="s">
        <v>1556</v>
      </c>
      <c r="AK825" s="85"/>
      <c r="AL825" s="85"/>
      <c r="AM825" s="85"/>
    </row>
    <row r="826" spans="1:39" ht="12.75" hidden="1" customHeight="1">
      <c r="A826" s="63">
        <v>105</v>
      </c>
      <c r="B826" s="257" t="s">
        <v>40</v>
      </c>
      <c r="C826" s="96" t="s">
        <v>1025</v>
      </c>
      <c r="D826" s="49" t="s">
        <v>2880</v>
      </c>
      <c r="E826" s="258"/>
      <c r="F826" s="147"/>
      <c r="G826" s="147"/>
      <c r="H826" s="147"/>
      <c r="I826" s="258"/>
      <c r="J826" s="147"/>
      <c r="K826" s="147"/>
      <c r="L826" s="147"/>
      <c r="M826" s="147"/>
      <c r="N826" s="147"/>
      <c r="O826" s="147"/>
      <c r="P826" s="147"/>
      <c r="Q826" s="147"/>
      <c r="R826" s="147"/>
      <c r="S826" s="147"/>
      <c r="T826" s="147"/>
      <c r="U826" s="147"/>
      <c r="V826" s="147"/>
      <c r="W826" s="147"/>
      <c r="X826" s="147"/>
      <c r="Y826" s="147"/>
      <c r="Z826" s="147"/>
      <c r="AA826" s="147"/>
      <c r="AB826" s="147"/>
      <c r="AC826" s="147">
        <v>35000000</v>
      </c>
      <c r="AD826" s="147"/>
      <c r="AE826" s="147"/>
      <c r="AF826" s="147"/>
      <c r="AG826" s="147"/>
      <c r="AH826" s="147"/>
      <c r="AI826" s="147"/>
      <c r="AJ826" s="59" t="s">
        <v>1556</v>
      </c>
      <c r="AK826" s="85"/>
      <c r="AL826" s="85"/>
      <c r="AM826" s="85"/>
    </row>
    <row r="827" spans="1:39" ht="12.75" hidden="1" customHeight="1">
      <c r="A827" s="63">
        <v>106</v>
      </c>
      <c r="B827" s="257" t="s">
        <v>40</v>
      </c>
      <c r="C827" s="96" t="s">
        <v>1025</v>
      </c>
      <c r="D827" s="49" t="s">
        <v>2881</v>
      </c>
      <c r="E827" s="258"/>
      <c r="F827" s="147"/>
      <c r="G827" s="147"/>
      <c r="H827" s="147"/>
      <c r="I827" s="258"/>
      <c r="J827" s="147"/>
      <c r="K827" s="147"/>
      <c r="L827" s="147"/>
      <c r="M827" s="147"/>
      <c r="N827" s="147"/>
      <c r="O827" s="147"/>
      <c r="P827" s="147"/>
      <c r="Q827" s="147"/>
      <c r="R827" s="147"/>
      <c r="S827" s="147"/>
      <c r="T827" s="147"/>
      <c r="U827" s="147"/>
      <c r="V827" s="147"/>
      <c r="W827" s="147"/>
      <c r="X827" s="147"/>
      <c r="Y827" s="147"/>
      <c r="Z827" s="147"/>
      <c r="AA827" s="147"/>
      <c r="AB827" s="147"/>
      <c r="AC827" s="147">
        <v>61000000</v>
      </c>
      <c r="AD827" s="147"/>
      <c r="AE827" s="147"/>
      <c r="AF827" s="147"/>
      <c r="AG827" s="147"/>
      <c r="AH827" s="147"/>
      <c r="AI827" s="147"/>
      <c r="AJ827" s="59" t="s">
        <v>1556</v>
      </c>
      <c r="AK827" s="85"/>
      <c r="AL827" s="85"/>
      <c r="AM827" s="85"/>
    </row>
    <row r="828" spans="1:39" ht="12.75" hidden="1" customHeight="1">
      <c r="A828" s="63">
        <v>107</v>
      </c>
      <c r="B828" s="257" t="s">
        <v>40</v>
      </c>
      <c r="C828" s="96" t="s">
        <v>1025</v>
      </c>
      <c r="D828" s="49" t="s">
        <v>2882</v>
      </c>
      <c r="E828" s="258"/>
      <c r="F828" s="147"/>
      <c r="G828" s="147"/>
      <c r="H828" s="147"/>
      <c r="I828" s="258"/>
      <c r="J828" s="147"/>
      <c r="K828" s="147"/>
      <c r="L828" s="147"/>
      <c r="M828" s="147"/>
      <c r="N828" s="147"/>
      <c r="O828" s="147"/>
      <c r="P828" s="147"/>
      <c r="Q828" s="147"/>
      <c r="R828" s="147"/>
      <c r="S828" s="147"/>
      <c r="T828" s="147"/>
      <c r="U828" s="147"/>
      <c r="V828" s="147"/>
      <c r="W828" s="147"/>
      <c r="X828" s="147"/>
      <c r="Y828" s="147"/>
      <c r="Z828" s="147"/>
      <c r="AA828" s="147"/>
      <c r="AB828" s="147"/>
      <c r="AC828" s="147">
        <v>47000000</v>
      </c>
      <c r="AD828" s="147"/>
      <c r="AE828" s="147"/>
      <c r="AF828" s="147"/>
      <c r="AG828" s="147"/>
      <c r="AH828" s="147"/>
      <c r="AI828" s="147"/>
      <c r="AJ828" s="59" t="s">
        <v>1556</v>
      </c>
      <c r="AK828" s="85"/>
      <c r="AL828" s="85"/>
      <c r="AM828" s="85"/>
    </row>
    <row r="829" spans="1:39" ht="12.75" hidden="1" customHeight="1">
      <c r="A829" s="63">
        <v>108</v>
      </c>
      <c r="B829" s="257" t="s">
        <v>40</v>
      </c>
      <c r="C829" s="96" t="s">
        <v>1025</v>
      </c>
      <c r="D829" s="49" t="s">
        <v>2883</v>
      </c>
      <c r="E829" s="258"/>
      <c r="F829" s="147"/>
      <c r="G829" s="147"/>
      <c r="H829" s="147"/>
      <c r="I829" s="258"/>
      <c r="J829" s="147"/>
      <c r="K829" s="147"/>
      <c r="L829" s="147"/>
      <c r="M829" s="147"/>
      <c r="N829" s="147"/>
      <c r="O829" s="147"/>
      <c r="P829" s="147"/>
      <c r="Q829" s="147"/>
      <c r="R829" s="147"/>
      <c r="S829" s="147"/>
      <c r="T829" s="147"/>
      <c r="U829" s="147"/>
      <c r="V829" s="147"/>
      <c r="W829" s="147"/>
      <c r="X829" s="147"/>
      <c r="Y829" s="147"/>
      <c r="Z829" s="147"/>
      <c r="AA829" s="147"/>
      <c r="AB829" s="147"/>
      <c r="AC829" s="147">
        <v>23000000</v>
      </c>
      <c r="AD829" s="147"/>
      <c r="AE829" s="147"/>
      <c r="AF829" s="147"/>
      <c r="AG829" s="147"/>
      <c r="AH829" s="147"/>
      <c r="AI829" s="147"/>
      <c r="AJ829" s="59" t="s">
        <v>1556</v>
      </c>
      <c r="AK829" s="85"/>
      <c r="AL829" s="85"/>
      <c r="AM829" s="85"/>
    </row>
    <row r="830" spans="1:39" ht="12.75" hidden="1" customHeight="1">
      <c r="A830" s="63">
        <v>109</v>
      </c>
      <c r="B830" s="257" t="s">
        <v>40</v>
      </c>
      <c r="C830" s="96" t="s">
        <v>1025</v>
      </c>
      <c r="D830" s="49" t="s">
        <v>2884</v>
      </c>
      <c r="E830" s="258"/>
      <c r="F830" s="147"/>
      <c r="G830" s="147"/>
      <c r="H830" s="147"/>
      <c r="I830" s="258"/>
      <c r="J830" s="147"/>
      <c r="K830" s="147"/>
      <c r="L830" s="147"/>
      <c r="M830" s="147"/>
      <c r="N830" s="147"/>
      <c r="O830" s="147"/>
      <c r="P830" s="147"/>
      <c r="Q830" s="147"/>
      <c r="R830" s="147"/>
      <c r="S830" s="147"/>
      <c r="T830" s="147"/>
      <c r="U830" s="147"/>
      <c r="V830" s="147"/>
      <c r="W830" s="147"/>
      <c r="X830" s="147"/>
      <c r="Y830" s="147"/>
      <c r="Z830" s="147"/>
      <c r="AA830" s="147"/>
      <c r="AB830" s="147"/>
      <c r="AC830" s="147"/>
      <c r="AD830" s="147">
        <v>500000000</v>
      </c>
      <c r="AE830" s="147"/>
      <c r="AF830" s="147"/>
      <c r="AG830" s="147"/>
      <c r="AH830" s="147"/>
      <c r="AI830" s="147"/>
      <c r="AJ830" s="59" t="s">
        <v>2215</v>
      </c>
      <c r="AK830" s="85"/>
      <c r="AL830" s="85"/>
      <c r="AM830" s="85"/>
    </row>
    <row r="831" spans="1:39" ht="12.75" hidden="1" customHeight="1">
      <c r="A831" s="63">
        <v>110</v>
      </c>
      <c r="B831" s="257" t="s">
        <v>40</v>
      </c>
      <c r="C831" s="96" t="s">
        <v>2885</v>
      </c>
      <c r="D831" s="49" t="s">
        <v>2874</v>
      </c>
      <c r="E831" s="258"/>
      <c r="F831" s="147"/>
      <c r="G831" s="147"/>
      <c r="H831" s="147"/>
      <c r="I831" s="258"/>
      <c r="J831" s="147"/>
      <c r="K831" s="147"/>
      <c r="L831" s="147"/>
      <c r="M831" s="147"/>
      <c r="N831" s="147"/>
      <c r="O831" s="147"/>
      <c r="P831" s="147"/>
      <c r="Q831" s="147"/>
      <c r="R831" s="147"/>
      <c r="S831" s="147"/>
      <c r="T831" s="147"/>
      <c r="U831" s="147"/>
      <c r="V831" s="147"/>
      <c r="W831" s="147"/>
      <c r="X831" s="147"/>
      <c r="Y831" s="147"/>
      <c r="Z831" s="147"/>
      <c r="AA831" s="147"/>
      <c r="AB831" s="147"/>
      <c r="AC831" s="147"/>
      <c r="AD831" s="147">
        <v>25000000</v>
      </c>
      <c r="AE831" s="147"/>
      <c r="AF831" s="147"/>
      <c r="AG831" s="147"/>
      <c r="AH831" s="147"/>
      <c r="AI831" s="147"/>
      <c r="AJ831" s="59" t="s">
        <v>2215</v>
      </c>
      <c r="AK831" s="85"/>
      <c r="AL831" s="85"/>
      <c r="AM831" s="85"/>
    </row>
    <row r="832" spans="1:39" ht="12.75" hidden="1" customHeight="1">
      <c r="A832" s="63">
        <v>111</v>
      </c>
      <c r="B832" s="252" t="s">
        <v>40</v>
      </c>
      <c r="C832" s="135" t="s">
        <v>2729</v>
      </c>
      <c r="D832" s="49" t="s">
        <v>2886</v>
      </c>
      <c r="E832" s="258"/>
      <c r="F832" s="147"/>
      <c r="G832" s="147"/>
      <c r="H832" s="147"/>
      <c r="I832" s="258"/>
      <c r="J832" s="147"/>
      <c r="K832" s="147"/>
      <c r="L832" s="147"/>
      <c r="M832" s="147"/>
      <c r="N832" s="147"/>
      <c r="O832" s="147"/>
      <c r="P832" s="147"/>
      <c r="Q832" s="147"/>
      <c r="R832" s="147"/>
      <c r="S832" s="147"/>
      <c r="T832" s="147"/>
      <c r="U832" s="147"/>
      <c r="V832" s="147"/>
      <c r="W832" s="147"/>
      <c r="X832" s="147"/>
      <c r="Y832" s="147"/>
      <c r="Z832" s="147"/>
      <c r="AA832" s="147"/>
      <c r="AB832" s="147"/>
      <c r="AC832" s="147"/>
      <c r="AD832" s="147"/>
      <c r="AE832" s="147">
        <v>9000000</v>
      </c>
      <c r="AF832" s="147"/>
      <c r="AG832" s="147"/>
      <c r="AH832" s="147"/>
      <c r="AI832" s="147"/>
      <c r="AJ832" s="59" t="s">
        <v>1864</v>
      </c>
      <c r="AK832" s="85"/>
      <c r="AL832" s="85"/>
      <c r="AM832" s="85"/>
    </row>
    <row r="833" spans="1:39" ht="12.75" customHeight="1">
      <c r="A833" s="63">
        <v>112</v>
      </c>
      <c r="B833" s="259" t="s">
        <v>27</v>
      </c>
      <c r="C833" s="96" t="s">
        <v>2846</v>
      </c>
      <c r="D833" s="49" t="s">
        <v>2887</v>
      </c>
      <c r="E833" s="258"/>
      <c r="F833" s="147"/>
      <c r="G833" s="147"/>
      <c r="H833" s="147"/>
      <c r="I833" s="258"/>
      <c r="J833" s="147"/>
      <c r="K833" s="147"/>
      <c r="L833" s="147"/>
      <c r="M833" s="147"/>
      <c r="N833" s="147"/>
      <c r="O833" s="147"/>
      <c r="P833" s="147"/>
      <c r="Q833" s="147"/>
      <c r="R833" s="147"/>
      <c r="S833" s="147"/>
      <c r="T833" s="147"/>
      <c r="U833" s="147"/>
      <c r="V833" s="147"/>
      <c r="W833" s="147"/>
      <c r="X833" s="147"/>
      <c r="Y833" s="147"/>
      <c r="Z833" s="147"/>
      <c r="AA833" s="147"/>
      <c r="AB833" s="147"/>
      <c r="AC833" s="147"/>
      <c r="AD833" s="147"/>
      <c r="AE833" s="147">
        <v>51000000</v>
      </c>
      <c r="AF833" s="147"/>
      <c r="AG833" s="147"/>
      <c r="AH833" s="147"/>
      <c r="AI833" s="147"/>
      <c r="AJ833" s="59" t="s">
        <v>2215</v>
      </c>
      <c r="AK833" s="85"/>
      <c r="AL833" s="85"/>
      <c r="AM833" s="85"/>
    </row>
    <row r="834" spans="1:39" ht="12.75" hidden="1" customHeight="1">
      <c r="A834" s="63">
        <v>113</v>
      </c>
      <c r="B834" s="259" t="s">
        <v>40</v>
      </c>
      <c r="C834" s="96" t="s">
        <v>2888</v>
      </c>
      <c r="D834" s="49" t="s">
        <v>2889</v>
      </c>
      <c r="E834" s="258"/>
      <c r="F834" s="147"/>
      <c r="G834" s="147"/>
      <c r="H834" s="147"/>
      <c r="I834" s="258"/>
      <c r="J834" s="147"/>
      <c r="K834" s="147"/>
      <c r="L834" s="147"/>
      <c r="M834" s="147"/>
      <c r="N834" s="147"/>
      <c r="O834" s="147"/>
      <c r="P834" s="147"/>
      <c r="Q834" s="147"/>
      <c r="R834" s="147"/>
      <c r="S834" s="147"/>
      <c r="T834" s="147"/>
      <c r="U834" s="147"/>
      <c r="V834" s="147"/>
      <c r="W834" s="147"/>
      <c r="X834" s="147"/>
      <c r="Y834" s="147"/>
      <c r="Z834" s="147"/>
      <c r="AA834" s="147"/>
      <c r="AB834" s="147"/>
      <c r="AC834" s="147"/>
      <c r="AD834" s="147">
        <v>10000000</v>
      </c>
      <c r="AE834" s="147"/>
      <c r="AF834" s="147"/>
      <c r="AG834" s="147"/>
      <c r="AH834" s="147"/>
      <c r="AI834" s="147"/>
      <c r="AJ834" s="59" t="s">
        <v>1556</v>
      </c>
      <c r="AK834" s="85"/>
      <c r="AL834" s="85"/>
      <c r="AM834" s="85"/>
    </row>
    <row r="835" spans="1:39" ht="12.75" hidden="1" customHeight="1">
      <c r="A835" s="63">
        <v>114</v>
      </c>
      <c r="B835" s="259" t="s">
        <v>40</v>
      </c>
      <c r="C835" s="96" t="s">
        <v>2890</v>
      </c>
      <c r="D835" s="49" t="s">
        <v>2891</v>
      </c>
      <c r="E835" s="258"/>
      <c r="F835" s="147"/>
      <c r="G835" s="147"/>
      <c r="H835" s="147"/>
      <c r="I835" s="258"/>
      <c r="J835" s="147"/>
      <c r="K835" s="147"/>
      <c r="L835" s="147"/>
      <c r="M835" s="147"/>
      <c r="N835" s="147"/>
      <c r="O835" s="147"/>
      <c r="P835" s="147"/>
      <c r="Q835" s="147"/>
      <c r="R835" s="147"/>
      <c r="S835" s="147"/>
      <c r="T835" s="147"/>
      <c r="U835" s="147"/>
      <c r="V835" s="147"/>
      <c r="W835" s="147"/>
      <c r="X835" s="147"/>
      <c r="Y835" s="147"/>
      <c r="Z835" s="147"/>
      <c r="AA835" s="147"/>
      <c r="AB835" s="147"/>
      <c r="AC835" s="147"/>
      <c r="AD835" s="147">
        <v>19200000</v>
      </c>
      <c r="AE835" s="147"/>
      <c r="AF835" s="147"/>
      <c r="AG835" s="147"/>
      <c r="AH835" s="147"/>
      <c r="AI835" s="147"/>
      <c r="AJ835" s="59" t="s">
        <v>1556</v>
      </c>
      <c r="AK835" s="85"/>
      <c r="AL835" s="85"/>
      <c r="AM835" s="85"/>
    </row>
    <row r="836" spans="1:39" ht="12.75" customHeight="1">
      <c r="A836" s="63">
        <v>115</v>
      </c>
      <c r="B836" s="259" t="s">
        <v>27</v>
      </c>
      <c r="C836" s="96" t="s">
        <v>2892</v>
      </c>
      <c r="D836" s="49" t="s">
        <v>2861</v>
      </c>
      <c r="E836" s="258"/>
      <c r="F836" s="147"/>
      <c r="G836" s="147"/>
      <c r="H836" s="147"/>
      <c r="I836" s="258"/>
      <c r="J836" s="147"/>
      <c r="K836" s="147"/>
      <c r="L836" s="147"/>
      <c r="M836" s="147"/>
      <c r="N836" s="147"/>
      <c r="O836" s="147"/>
      <c r="P836" s="147"/>
      <c r="Q836" s="147"/>
      <c r="R836" s="147"/>
      <c r="S836" s="147"/>
      <c r="T836" s="147"/>
      <c r="U836" s="147"/>
      <c r="V836" s="147"/>
      <c r="W836" s="147"/>
      <c r="X836" s="147"/>
      <c r="Y836" s="147"/>
      <c r="Z836" s="147"/>
      <c r="AA836" s="147"/>
      <c r="AB836" s="147"/>
      <c r="AC836" s="147"/>
      <c r="AD836" s="147"/>
      <c r="AE836" s="147"/>
      <c r="AF836" s="147">
        <v>100000000</v>
      </c>
      <c r="AG836" s="147"/>
      <c r="AH836" s="147"/>
      <c r="AI836" s="147"/>
      <c r="AJ836" s="59" t="s">
        <v>2215</v>
      </c>
      <c r="AK836" s="85"/>
      <c r="AL836" s="85"/>
      <c r="AM836" s="85"/>
    </row>
    <row r="837" spans="1:39" ht="12.75" customHeight="1">
      <c r="A837" s="63">
        <v>116</v>
      </c>
      <c r="B837" s="259" t="s">
        <v>27</v>
      </c>
      <c r="C837" s="96" t="s">
        <v>2846</v>
      </c>
      <c r="D837" s="49" t="s">
        <v>2893</v>
      </c>
      <c r="E837" s="258"/>
      <c r="F837" s="147"/>
      <c r="G837" s="147"/>
      <c r="H837" s="147"/>
      <c r="I837" s="258"/>
      <c r="J837" s="147"/>
      <c r="K837" s="147"/>
      <c r="L837" s="147"/>
      <c r="M837" s="147"/>
      <c r="N837" s="147"/>
      <c r="O837" s="147"/>
      <c r="P837" s="147"/>
      <c r="Q837" s="147"/>
      <c r="R837" s="147"/>
      <c r="S837" s="147"/>
      <c r="T837" s="147"/>
      <c r="U837" s="147"/>
      <c r="V837" s="147"/>
      <c r="W837" s="147"/>
      <c r="X837" s="147"/>
      <c r="Y837" s="147"/>
      <c r="Z837" s="147"/>
      <c r="AA837" s="147"/>
      <c r="AB837" s="147"/>
      <c r="AC837" s="147"/>
      <c r="AD837" s="147"/>
      <c r="AE837" s="147"/>
      <c r="AF837" s="147">
        <v>35000000</v>
      </c>
      <c r="AG837" s="147"/>
      <c r="AH837" s="147"/>
      <c r="AI837" s="147"/>
      <c r="AJ837" s="59" t="s">
        <v>2215</v>
      </c>
      <c r="AK837" s="85"/>
      <c r="AL837" s="85"/>
      <c r="AM837" s="85"/>
    </row>
    <row r="838" spans="1:39" ht="12.75" customHeight="1">
      <c r="A838" s="63">
        <v>117</v>
      </c>
      <c r="B838" s="259" t="s">
        <v>27</v>
      </c>
      <c r="C838" s="96" t="s">
        <v>2760</v>
      </c>
      <c r="D838" s="49" t="s">
        <v>2834</v>
      </c>
      <c r="E838" s="258"/>
      <c r="F838" s="147"/>
      <c r="G838" s="147"/>
      <c r="H838" s="147"/>
      <c r="I838" s="258"/>
      <c r="J838" s="147"/>
      <c r="K838" s="147"/>
      <c r="L838" s="147"/>
      <c r="M838" s="147"/>
      <c r="N838" s="147"/>
      <c r="O838" s="147"/>
      <c r="P838" s="147"/>
      <c r="Q838" s="147"/>
      <c r="R838" s="147"/>
      <c r="S838" s="147"/>
      <c r="T838" s="147"/>
      <c r="U838" s="147"/>
      <c r="V838" s="147"/>
      <c r="W838" s="147"/>
      <c r="X838" s="147"/>
      <c r="Y838" s="147"/>
      <c r="Z838" s="147"/>
      <c r="AA838" s="147"/>
      <c r="AB838" s="147"/>
      <c r="AC838" s="147"/>
      <c r="AD838" s="147"/>
      <c r="AE838" s="147"/>
      <c r="AF838" s="147">
        <v>65000000</v>
      </c>
      <c r="AG838" s="147"/>
      <c r="AH838" s="147"/>
      <c r="AI838" s="147"/>
      <c r="AJ838" s="59" t="s">
        <v>2894</v>
      </c>
      <c r="AK838" s="85"/>
      <c r="AL838" s="85"/>
      <c r="AM838" s="85"/>
    </row>
    <row r="839" spans="1:39" ht="12.75" customHeight="1">
      <c r="A839" s="63">
        <v>118</v>
      </c>
      <c r="B839" s="259" t="s">
        <v>27</v>
      </c>
      <c r="C839" s="96" t="s">
        <v>2895</v>
      </c>
      <c r="D839" s="49" t="s">
        <v>2834</v>
      </c>
      <c r="E839" s="258"/>
      <c r="F839" s="147"/>
      <c r="G839" s="147"/>
      <c r="H839" s="147"/>
      <c r="I839" s="258"/>
      <c r="J839" s="147"/>
      <c r="K839" s="147"/>
      <c r="L839" s="147"/>
      <c r="M839" s="147"/>
      <c r="N839" s="147"/>
      <c r="O839" s="147"/>
      <c r="P839" s="147"/>
      <c r="Q839" s="147"/>
      <c r="R839" s="147"/>
      <c r="S839" s="147"/>
      <c r="T839" s="147"/>
      <c r="U839" s="147"/>
      <c r="V839" s="147"/>
      <c r="W839" s="147"/>
      <c r="X839" s="147"/>
      <c r="Y839" s="147"/>
      <c r="Z839" s="147"/>
      <c r="AA839" s="147"/>
      <c r="AB839" s="147"/>
      <c r="AC839" s="147"/>
      <c r="AD839" s="147"/>
      <c r="AE839" s="147">
        <v>4500000</v>
      </c>
      <c r="AF839" s="147"/>
      <c r="AG839" s="147"/>
      <c r="AH839" s="147"/>
      <c r="AI839" s="147"/>
      <c r="AJ839" s="59" t="s">
        <v>1556</v>
      </c>
      <c r="AK839" s="85"/>
      <c r="AL839" s="85"/>
      <c r="AM839" s="85"/>
    </row>
    <row r="840" spans="1:39" ht="12.75" hidden="1" customHeight="1">
      <c r="A840" s="63">
        <v>119</v>
      </c>
      <c r="B840" s="259" t="s">
        <v>40</v>
      </c>
      <c r="C840" s="96" t="s">
        <v>2846</v>
      </c>
      <c r="D840" s="49" t="s">
        <v>2893</v>
      </c>
      <c r="E840" s="258"/>
      <c r="F840" s="147"/>
      <c r="G840" s="147"/>
      <c r="H840" s="147"/>
      <c r="I840" s="258"/>
      <c r="J840" s="147"/>
      <c r="K840" s="147"/>
      <c r="L840" s="147"/>
      <c r="M840" s="147"/>
      <c r="N840" s="147"/>
      <c r="O840" s="147"/>
      <c r="P840" s="147"/>
      <c r="Q840" s="147"/>
      <c r="R840" s="147"/>
      <c r="S840" s="147"/>
      <c r="T840" s="147"/>
      <c r="U840" s="147"/>
      <c r="V840" s="147"/>
      <c r="W840" s="147"/>
      <c r="X840" s="147"/>
      <c r="Y840" s="147"/>
      <c r="Z840" s="147"/>
      <c r="AA840" s="147"/>
      <c r="AB840" s="147"/>
      <c r="AC840" s="147"/>
      <c r="AD840" s="147">
        <v>11000000</v>
      </c>
      <c r="AE840" s="147"/>
      <c r="AF840" s="147"/>
      <c r="AG840" s="147"/>
      <c r="AH840" s="147"/>
      <c r="AI840" s="147"/>
      <c r="AJ840" s="59" t="s">
        <v>1556</v>
      </c>
      <c r="AK840" s="85"/>
      <c r="AL840" s="85"/>
      <c r="AM840" s="85"/>
    </row>
    <row r="841" spans="1:39" ht="12.75" hidden="1" customHeight="1">
      <c r="A841" s="63">
        <v>120</v>
      </c>
      <c r="B841" s="260" t="s">
        <v>40</v>
      </c>
      <c r="C841" s="96" t="s">
        <v>2846</v>
      </c>
      <c r="D841" s="49" t="s">
        <v>2896</v>
      </c>
      <c r="E841" s="258"/>
      <c r="F841" s="147"/>
      <c r="G841" s="147"/>
      <c r="H841" s="147"/>
      <c r="I841" s="258"/>
      <c r="J841" s="147"/>
      <c r="K841" s="147"/>
      <c r="L841" s="147"/>
      <c r="M841" s="147"/>
      <c r="N841" s="147"/>
      <c r="O841" s="147"/>
      <c r="P841" s="147"/>
      <c r="Q841" s="147"/>
      <c r="R841" s="147"/>
      <c r="S841" s="147"/>
      <c r="T841" s="147"/>
      <c r="U841" s="147"/>
      <c r="V841" s="147"/>
      <c r="W841" s="147"/>
      <c r="X841" s="147"/>
      <c r="Y841" s="147"/>
      <c r="Z841" s="147"/>
      <c r="AA841" s="147"/>
      <c r="AB841" s="147"/>
      <c r="AC841" s="147"/>
      <c r="AD841" s="147">
        <v>9000000</v>
      </c>
      <c r="AE841" s="147"/>
      <c r="AF841" s="147"/>
      <c r="AG841" s="147"/>
      <c r="AH841" s="147"/>
      <c r="AI841" s="147"/>
      <c r="AJ841" s="59" t="s">
        <v>1556</v>
      </c>
      <c r="AK841" s="85"/>
      <c r="AL841" s="85"/>
      <c r="AM841" s="85"/>
    </row>
    <row r="842" spans="1:39" ht="12.75" customHeight="1">
      <c r="A842" s="63">
        <v>121</v>
      </c>
      <c r="B842" s="261" t="s">
        <v>27</v>
      </c>
      <c r="C842" s="135" t="s">
        <v>2897</v>
      </c>
      <c r="D842" s="49" t="s">
        <v>2898</v>
      </c>
      <c r="E842" s="258"/>
      <c r="F842" s="147"/>
      <c r="G842" s="147"/>
      <c r="H842" s="147"/>
      <c r="I842" s="258"/>
      <c r="J842" s="147"/>
      <c r="K842" s="147"/>
      <c r="L842" s="147"/>
      <c r="M842" s="147"/>
      <c r="N842" s="147"/>
      <c r="O842" s="147"/>
      <c r="P842" s="147"/>
      <c r="Q842" s="147"/>
      <c r="R842" s="147"/>
      <c r="S842" s="147"/>
      <c r="T842" s="147"/>
      <c r="U842" s="147"/>
      <c r="V842" s="147"/>
      <c r="W842" s="147"/>
      <c r="X842" s="147"/>
      <c r="Y842" s="147"/>
      <c r="Z842" s="147"/>
      <c r="AA842" s="147"/>
      <c r="AB842" s="147"/>
      <c r="AC842" s="147"/>
      <c r="AD842" s="147"/>
      <c r="AE842" s="147"/>
      <c r="AF842" s="258">
        <v>224000000</v>
      </c>
      <c r="AG842" s="258"/>
      <c r="AH842" s="258"/>
      <c r="AI842" s="258"/>
      <c r="AJ842" s="59" t="s">
        <v>1556</v>
      </c>
      <c r="AK842" s="85"/>
      <c r="AL842" s="85"/>
      <c r="AM842" s="85"/>
    </row>
    <row r="843" spans="1:39" ht="12.75" customHeight="1">
      <c r="A843" s="63">
        <v>122</v>
      </c>
      <c r="B843" s="261" t="s">
        <v>27</v>
      </c>
      <c r="C843" s="135" t="s">
        <v>2899</v>
      </c>
      <c r="D843" s="49" t="s">
        <v>2900</v>
      </c>
      <c r="E843" s="258"/>
      <c r="F843" s="147"/>
      <c r="G843" s="147"/>
      <c r="H843" s="147"/>
      <c r="I843" s="258"/>
      <c r="J843" s="147"/>
      <c r="K843" s="147"/>
      <c r="L843" s="147"/>
      <c r="M843" s="147"/>
      <c r="N843" s="147"/>
      <c r="O843" s="147"/>
      <c r="P843" s="147"/>
      <c r="Q843" s="147"/>
      <c r="R843" s="147"/>
      <c r="S843" s="147"/>
      <c r="T843" s="147"/>
      <c r="U843" s="147"/>
      <c r="V843" s="147"/>
      <c r="W843" s="147"/>
      <c r="X843" s="147"/>
      <c r="Y843" s="147"/>
      <c r="Z843" s="147"/>
      <c r="AA843" s="147"/>
      <c r="AB843" s="147"/>
      <c r="AC843" s="147"/>
      <c r="AD843" s="147"/>
      <c r="AE843" s="147"/>
      <c r="AF843" s="258">
        <v>134000000</v>
      </c>
      <c r="AG843" s="258"/>
      <c r="AH843" s="258"/>
      <c r="AI843" s="258"/>
      <c r="AJ843" s="59" t="s">
        <v>2215</v>
      </c>
      <c r="AK843" s="85"/>
      <c r="AL843" s="85"/>
      <c r="AM843" s="85"/>
    </row>
    <row r="844" spans="1:39" ht="12.75" hidden="1" customHeight="1">
      <c r="A844" s="63">
        <v>123</v>
      </c>
      <c r="B844" s="252" t="s">
        <v>40</v>
      </c>
      <c r="C844" s="135" t="s">
        <v>697</v>
      </c>
      <c r="D844" s="49" t="s">
        <v>2901</v>
      </c>
      <c r="E844" s="258"/>
      <c r="F844" s="147"/>
      <c r="G844" s="147"/>
      <c r="H844" s="147"/>
      <c r="I844" s="258"/>
      <c r="J844" s="147"/>
      <c r="K844" s="147"/>
      <c r="L844" s="147"/>
      <c r="M844" s="147"/>
      <c r="N844" s="147"/>
      <c r="O844" s="147"/>
      <c r="P844" s="147"/>
      <c r="Q844" s="147"/>
      <c r="R844" s="147"/>
      <c r="S844" s="147"/>
      <c r="T844" s="147"/>
      <c r="U844" s="147"/>
      <c r="V844" s="147"/>
      <c r="W844" s="147"/>
      <c r="X844" s="147"/>
      <c r="Y844" s="147"/>
      <c r="Z844" s="147"/>
      <c r="AA844" s="147"/>
      <c r="AB844" s="147"/>
      <c r="AC844" s="147"/>
      <c r="AD844" s="147"/>
      <c r="AE844" s="147"/>
      <c r="AF844" s="147"/>
      <c r="AG844" s="147"/>
      <c r="AH844" s="147"/>
      <c r="AI844" s="147">
        <v>550000000</v>
      </c>
      <c r="AJ844" s="59" t="s">
        <v>2215</v>
      </c>
      <c r="AK844" s="85"/>
      <c r="AL844" s="85"/>
      <c r="AM844" s="85"/>
    </row>
    <row r="845" spans="1:39" ht="12.75" customHeight="1">
      <c r="A845" s="63">
        <v>124</v>
      </c>
      <c r="B845" s="261" t="s">
        <v>27</v>
      </c>
      <c r="C845" s="135" t="s">
        <v>2902</v>
      </c>
      <c r="D845" s="49" t="s">
        <v>2844</v>
      </c>
      <c r="E845" s="258"/>
      <c r="F845" s="147"/>
      <c r="G845" s="147"/>
      <c r="H845" s="147"/>
      <c r="I845" s="258"/>
      <c r="J845" s="147"/>
      <c r="K845" s="147"/>
      <c r="L845" s="147"/>
      <c r="M845" s="147"/>
      <c r="N845" s="147"/>
      <c r="O845" s="147"/>
      <c r="P845" s="147"/>
      <c r="Q845" s="147"/>
      <c r="R845" s="147"/>
      <c r="S845" s="147"/>
      <c r="T845" s="147"/>
      <c r="U845" s="147"/>
      <c r="V845" s="147"/>
      <c r="W845" s="147"/>
      <c r="X845" s="147"/>
      <c r="Y845" s="147"/>
      <c r="Z845" s="147"/>
      <c r="AA845" s="147"/>
      <c r="AB845" s="147"/>
      <c r="AC845" s="147"/>
      <c r="AD845" s="147"/>
      <c r="AE845" s="147"/>
      <c r="AF845" s="147"/>
      <c r="AG845" s="258">
        <v>300000000</v>
      </c>
      <c r="AH845" s="147"/>
      <c r="AI845" s="147"/>
      <c r="AJ845" s="59" t="s">
        <v>2215</v>
      </c>
      <c r="AK845" s="85"/>
      <c r="AL845" s="85"/>
      <c r="AM845" s="85"/>
    </row>
    <row r="846" spans="1:39" ht="12.75" customHeight="1">
      <c r="A846" s="63">
        <v>125</v>
      </c>
      <c r="B846" s="261" t="s">
        <v>27</v>
      </c>
      <c r="C846" s="96" t="s">
        <v>2753</v>
      </c>
      <c r="D846" s="49" t="s">
        <v>2861</v>
      </c>
      <c r="E846" s="258"/>
      <c r="F846" s="147"/>
      <c r="G846" s="147"/>
      <c r="H846" s="147"/>
      <c r="I846" s="258"/>
      <c r="J846" s="147"/>
      <c r="K846" s="147"/>
      <c r="L846" s="147"/>
      <c r="M846" s="147"/>
      <c r="N846" s="147"/>
      <c r="O846" s="147"/>
      <c r="P846" s="147"/>
      <c r="Q846" s="147"/>
      <c r="R846" s="147"/>
      <c r="S846" s="147"/>
      <c r="T846" s="147"/>
      <c r="U846" s="147"/>
      <c r="V846" s="147"/>
      <c r="W846" s="147"/>
      <c r="X846" s="147"/>
      <c r="Y846" s="147"/>
      <c r="Z846" s="147"/>
      <c r="AA846" s="147"/>
      <c r="AB846" s="147"/>
      <c r="AC846" s="147"/>
      <c r="AD846" s="147"/>
      <c r="AE846" s="147"/>
      <c r="AF846" s="147"/>
      <c r="AG846" s="258"/>
      <c r="AH846" s="258">
        <v>164000000</v>
      </c>
      <c r="AI846" s="59"/>
      <c r="AJ846" s="59" t="s">
        <v>2215</v>
      </c>
      <c r="AK846" s="85"/>
      <c r="AL846" s="85"/>
      <c r="AM846" s="85"/>
    </row>
    <row r="847" spans="1:39" ht="12.75" customHeight="1">
      <c r="A847" s="63">
        <v>126</v>
      </c>
      <c r="B847" s="261" t="s">
        <v>27</v>
      </c>
      <c r="C847" s="96" t="s">
        <v>2903</v>
      </c>
      <c r="D847" s="49" t="s">
        <v>2904</v>
      </c>
      <c r="E847" s="258"/>
      <c r="F847" s="147"/>
      <c r="G847" s="147"/>
      <c r="H847" s="147"/>
      <c r="I847" s="258"/>
      <c r="J847" s="147"/>
      <c r="K847" s="147"/>
      <c r="L847" s="147"/>
      <c r="M847" s="147"/>
      <c r="N847" s="147"/>
      <c r="O847" s="147"/>
      <c r="P847" s="147"/>
      <c r="Q847" s="147"/>
      <c r="R847" s="147"/>
      <c r="S847" s="147"/>
      <c r="T847" s="147"/>
      <c r="U847" s="147"/>
      <c r="V847" s="147"/>
      <c r="W847" s="147"/>
      <c r="X847" s="147"/>
      <c r="Y847" s="147"/>
      <c r="Z847" s="147"/>
      <c r="AA847" s="147"/>
      <c r="AB847" s="147"/>
      <c r="AC847" s="147"/>
      <c r="AD847" s="147"/>
      <c r="AE847" s="147"/>
      <c r="AF847" s="147"/>
      <c r="AG847" s="258"/>
      <c r="AH847" s="258">
        <v>26500000</v>
      </c>
      <c r="AI847" s="59"/>
      <c r="AJ847" s="59" t="s">
        <v>2215</v>
      </c>
      <c r="AK847" s="85"/>
      <c r="AL847" s="85"/>
      <c r="AM847" s="85"/>
    </row>
    <row r="848" spans="1:39" ht="12.75" customHeight="1">
      <c r="A848" s="63">
        <v>127</v>
      </c>
      <c r="B848" s="261" t="s">
        <v>27</v>
      </c>
      <c r="C848" s="96" t="s">
        <v>2905</v>
      </c>
      <c r="D848" s="49" t="s">
        <v>2867</v>
      </c>
      <c r="E848" s="258"/>
      <c r="F848" s="147"/>
      <c r="G848" s="147"/>
      <c r="H848" s="147"/>
      <c r="I848" s="258"/>
      <c r="J848" s="147"/>
      <c r="K848" s="147"/>
      <c r="L848" s="147"/>
      <c r="M848" s="147"/>
      <c r="N848" s="147"/>
      <c r="O848" s="147"/>
      <c r="P848" s="147"/>
      <c r="Q848" s="147"/>
      <c r="R848" s="147"/>
      <c r="S848" s="147"/>
      <c r="T848" s="147"/>
      <c r="U848" s="147"/>
      <c r="V848" s="147"/>
      <c r="W848" s="147"/>
      <c r="X848" s="147"/>
      <c r="Y848" s="147"/>
      <c r="Z848" s="147"/>
      <c r="AA848" s="147"/>
      <c r="AB848" s="147"/>
      <c r="AC848" s="147"/>
      <c r="AD848" s="147"/>
      <c r="AE848" s="147"/>
      <c r="AF848" s="258"/>
      <c r="AG848" s="258">
        <v>55000000</v>
      </c>
      <c r="AH848" s="258"/>
      <c r="AI848" s="59"/>
      <c r="AJ848" s="59" t="s">
        <v>2215</v>
      </c>
      <c r="AK848" s="85"/>
      <c r="AL848" s="85"/>
      <c r="AM848" s="85"/>
    </row>
    <row r="849" spans="1:39" ht="12.75" customHeight="1">
      <c r="A849" s="63">
        <v>128</v>
      </c>
      <c r="B849" s="262" t="s">
        <v>27</v>
      </c>
      <c r="C849" s="96" t="s">
        <v>2906</v>
      </c>
      <c r="D849" s="49" t="s">
        <v>2907</v>
      </c>
      <c r="E849" s="258"/>
      <c r="F849" s="147"/>
      <c r="G849" s="147"/>
      <c r="H849" s="147"/>
      <c r="I849" s="258"/>
      <c r="J849" s="147"/>
      <c r="K849" s="147"/>
      <c r="L849" s="147"/>
      <c r="M849" s="147"/>
      <c r="N849" s="147"/>
      <c r="O849" s="147"/>
      <c r="P849" s="147"/>
      <c r="Q849" s="147"/>
      <c r="R849" s="147"/>
      <c r="S849" s="147"/>
      <c r="T849" s="147"/>
      <c r="U849" s="147"/>
      <c r="V849" s="147"/>
      <c r="W849" s="147"/>
      <c r="X849" s="147"/>
      <c r="Y849" s="147"/>
      <c r="Z849" s="147"/>
      <c r="AA849" s="147"/>
      <c r="AB849" s="147"/>
      <c r="AC849" s="147"/>
      <c r="AD849" s="147"/>
      <c r="AE849" s="147"/>
      <c r="AF849" s="258"/>
      <c r="AG849" s="258">
        <v>1500000</v>
      </c>
      <c r="AH849" s="258"/>
      <c r="AI849" s="59"/>
      <c r="AJ849" s="59" t="s">
        <v>2215</v>
      </c>
      <c r="AK849" s="85"/>
      <c r="AL849" s="85"/>
      <c r="AM849" s="85"/>
    </row>
  </sheetData>
  <autoFilter ref="A2:AJ849" xr:uid="{00000000-0009-0000-0000-00000A000000}">
    <filterColumn colId="1">
      <filters>
        <filter val="E"/>
      </filters>
    </filterColumn>
  </autoFilter>
  <pageMargins left="0.7" right="0.7" top="0.75" bottom="0.75" header="0" footer="0"/>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5D5F4-CD38-4888-9431-FDBAA23794CD}">
  <sheetPr>
    <tabColor theme="2" tint="-0.249977111117893"/>
  </sheetPr>
  <dimension ref="A2:L77"/>
  <sheetViews>
    <sheetView topLeftCell="A64" zoomScale="130" zoomScaleNormal="130" workbookViewId="0">
      <selection activeCell="C24" sqref="C24"/>
    </sheetView>
  </sheetViews>
  <sheetFormatPr defaultRowHeight="14.4"/>
  <cols>
    <col min="2" max="2" width="47.109375" style="233" bestFit="1" customWidth="1"/>
    <col min="3" max="3" width="45.33203125" style="459" bestFit="1" customWidth="1"/>
    <col min="4" max="4" width="10.33203125" bestFit="1" customWidth="1"/>
    <col min="5" max="5" width="15.33203125" style="233" bestFit="1" customWidth="1"/>
    <col min="6" max="6" width="8.33203125" style="233" customWidth="1"/>
    <col min="7" max="7" width="21.33203125" style="464" bestFit="1" customWidth="1"/>
    <col min="8" max="8" width="17.109375" customWidth="1"/>
    <col min="9" max="9" width="16.109375" bestFit="1" customWidth="1"/>
    <col min="11" max="11" width="13.109375" bestFit="1" customWidth="1"/>
    <col min="12" max="12" width="16.109375" bestFit="1" customWidth="1"/>
  </cols>
  <sheetData>
    <row r="2" spans="2:12" s="409" customFormat="1">
      <c r="B2" s="494" t="s">
        <v>133</v>
      </c>
      <c r="C2" s="495" t="s">
        <v>2</v>
      </c>
      <c r="D2" s="496" t="s">
        <v>139</v>
      </c>
      <c r="E2" s="494" t="s">
        <v>6</v>
      </c>
      <c r="F2" s="497" t="s">
        <v>7</v>
      </c>
      <c r="G2" s="498" t="s">
        <v>2908</v>
      </c>
      <c r="H2" s="409" t="s">
        <v>2909</v>
      </c>
    </row>
    <row r="3" spans="2:12" hidden="1">
      <c r="B3" s="484" t="s">
        <v>2910</v>
      </c>
      <c r="C3" s="485" t="s">
        <v>2911</v>
      </c>
      <c r="D3" s="490" t="s">
        <v>164</v>
      </c>
      <c r="E3" s="489">
        <v>147000000</v>
      </c>
      <c r="F3" s="490" t="s">
        <v>40</v>
      </c>
      <c r="G3" s="537"/>
      <c r="H3" s="406" t="s">
        <v>1408</v>
      </c>
      <c r="I3" t="s">
        <v>1391</v>
      </c>
      <c r="K3" s="406" t="s">
        <v>1408</v>
      </c>
      <c r="L3" t="s">
        <v>1391</v>
      </c>
    </row>
    <row r="4" spans="2:12" hidden="1">
      <c r="B4" s="484" t="s">
        <v>2912</v>
      </c>
      <c r="C4" s="485" t="s">
        <v>2913</v>
      </c>
      <c r="D4" s="490" t="s">
        <v>164</v>
      </c>
      <c r="E4" s="489">
        <v>385000000</v>
      </c>
      <c r="F4" s="490" t="s">
        <v>40</v>
      </c>
      <c r="G4" s="537"/>
      <c r="H4" s="407" t="s">
        <v>154</v>
      </c>
      <c r="I4" s="246">
        <v>19973135000</v>
      </c>
      <c r="K4" s="407" t="s">
        <v>40</v>
      </c>
      <c r="L4" s="246">
        <v>13306557000</v>
      </c>
    </row>
    <row r="5" spans="2:12" hidden="1">
      <c r="B5" s="484" t="s">
        <v>2912</v>
      </c>
      <c r="C5" s="485" t="s">
        <v>2914</v>
      </c>
      <c r="D5" s="490" t="s">
        <v>164</v>
      </c>
      <c r="E5" s="489">
        <v>192500000</v>
      </c>
      <c r="F5" s="490" t="s">
        <v>40</v>
      </c>
      <c r="G5" s="537"/>
      <c r="H5" s="407" t="s">
        <v>145</v>
      </c>
      <c r="I5" s="246">
        <v>9755613600</v>
      </c>
      <c r="K5" s="407" t="s">
        <v>27</v>
      </c>
      <c r="L5" s="246">
        <v>43063888600</v>
      </c>
    </row>
    <row r="6" spans="2:12" hidden="1">
      <c r="B6" s="484" t="s">
        <v>1045</v>
      </c>
      <c r="C6" s="485" t="s">
        <v>2915</v>
      </c>
      <c r="D6" s="490" t="s">
        <v>164</v>
      </c>
      <c r="E6" s="489">
        <v>90000000</v>
      </c>
      <c r="F6" s="490" t="s">
        <v>40</v>
      </c>
      <c r="G6" s="537"/>
      <c r="H6" s="407" t="s">
        <v>164</v>
      </c>
      <c r="I6" s="246">
        <v>14896840000</v>
      </c>
      <c r="K6" s="407" t="s">
        <v>1396</v>
      </c>
      <c r="L6" s="246">
        <v>56370445600</v>
      </c>
    </row>
    <row r="7" spans="2:12" hidden="1">
      <c r="B7" s="484" t="s">
        <v>2916</v>
      </c>
      <c r="C7" s="485" t="s">
        <v>762</v>
      </c>
      <c r="D7" s="490" t="s">
        <v>148</v>
      </c>
      <c r="E7" s="489">
        <v>360000000</v>
      </c>
      <c r="F7" s="490" t="s">
        <v>40</v>
      </c>
      <c r="G7" s="537"/>
      <c r="H7" s="407" t="s">
        <v>148</v>
      </c>
      <c r="I7" s="246">
        <v>27644857000</v>
      </c>
    </row>
    <row r="8" spans="2:12" hidden="1">
      <c r="B8" s="484" t="s">
        <v>2916</v>
      </c>
      <c r="C8" s="485" t="s">
        <v>762</v>
      </c>
      <c r="D8" s="490" t="s">
        <v>148</v>
      </c>
      <c r="E8" s="489">
        <v>180000000</v>
      </c>
      <c r="F8" s="490" t="s">
        <v>40</v>
      </c>
      <c r="G8" s="537"/>
      <c r="H8" s="407" t="s">
        <v>1396</v>
      </c>
      <c r="I8" s="246">
        <v>72270445600</v>
      </c>
    </row>
    <row r="9" spans="2:12" hidden="1">
      <c r="B9" s="484" t="s">
        <v>2916</v>
      </c>
      <c r="C9" s="485" t="s">
        <v>762</v>
      </c>
      <c r="D9" s="490" t="s">
        <v>148</v>
      </c>
      <c r="E9" s="489">
        <v>325000000</v>
      </c>
      <c r="F9" s="490" t="s">
        <v>40</v>
      </c>
      <c r="G9" s="537"/>
    </row>
    <row r="10" spans="2:12" hidden="1">
      <c r="B10" s="484" t="s">
        <v>1045</v>
      </c>
      <c r="C10" s="485" t="s">
        <v>2917</v>
      </c>
      <c r="D10" s="490" t="s">
        <v>164</v>
      </c>
      <c r="E10" s="489">
        <v>865000000</v>
      </c>
      <c r="F10" s="490" t="s">
        <v>40</v>
      </c>
      <c r="G10" s="537"/>
    </row>
    <row r="11" spans="2:12" hidden="1">
      <c r="B11" s="484" t="s">
        <v>2918</v>
      </c>
      <c r="C11" s="485" t="s">
        <v>470</v>
      </c>
      <c r="D11" s="490" t="s">
        <v>148</v>
      </c>
      <c r="E11" s="491">
        <v>40000000</v>
      </c>
      <c r="F11" s="492" t="s">
        <v>40</v>
      </c>
      <c r="G11" s="537"/>
    </row>
    <row r="12" spans="2:12" hidden="1">
      <c r="B12" s="484" t="s">
        <v>2919</v>
      </c>
      <c r="C12" s="493" t="s">
        <v>2920</v>
      </c>
      <c r="D12" s="490" t="s">
        <v>148</v>
      </c>
      <c r="E12" s="491">
        <v>5140000000</v>
      </c>
      <c r="F12" s="492" t="s">
        <v>40</v>
      </c>
      <c r="G12" s="537"/>
    </row>
    <row r="13" spans="2:12" hidden="1">
      <c r="B13" s="484" t="s">
        <v>2919</v>
      </c>
      <c r="C13" s="493" t="s">
        <v>2921</v>
      </c>
      <c r="D13" s="490" t="s">
        <v>148</v>
      </c>
      <c r="E13" s="491">
        <v>1059455000</v>
      </c>
      <c r="F13" s="492" t="s">
        <v>40</v>
      </c>
      <c r="G13" s="537"/>
    </row>
    <row r="14" spans="2:12" hidden="1">
      <c r="B14" s="399" t="s">
        <v>2922</v>
      </c>
      <c r="C14" s="458" t="s">
        <v>2923</v>
      </c>
      <c r="D14" s="399" t="s">
        <v>154</v>
      </c>
      <c r="E14" s="400">
        <v>11000000000</v>
      </c>
      <c r="F14" s="405" t="s">
        <v>94</v>
      </c>
      <c r="G14" s="399"/>
    </row>
    <row r="15" spans="2:12">
      <c r="B15" s="465" t="s">
        <v>1040</v>
      </c>
      <c r="C15" s="466" t="s">
        <v>1041</v>
      </c>
      <c r="D15" s="468" t="s">
        <v>164</v>
      </c>
      <c r="E15" s="467">
        <v>550000000</v>
      </c>
      <c r="F15" s="468" t="s">
        <v>27</v>
      </c>
      <c r="G15" s="469"/>
      <c r="H15" t="s">
        <v>2924</v>
      </c>
    </row>
    <row r="16" spans="2:12">
      <c r="B16" s="465" t="s">
        <v>1220</v>
      </c>
      <c r="C16" s="466" t="s">
        <v>1221</v>
      </c>
      <c r="D16" s="468" t="s">
        <v>164</v>
      </c>
      <c r="E16" s="467">
        <v>570000000</v>
      </c>
      <c r="F16" s="468" t="s">
        <v>27</v>
      </c>
      <c r="G16" s="469"/>
      <c r="H16" t="s">
        <v>2925</v>
      </c>
    </row>
    <row r="17" spans="2:8">
      <c r="B17" s="465" t="s">
        <v>2926</v>
      </c>
      <c r="C17" s="466" t="s">
        <v>2927</v>
      </c>
      <c r="D17" s="468" t="s">
        <v>154</v>
      </c>
      <c r="E17" s="467">
        <v>275000000</v>
      </c>
      <c r="F17" s="468" t="s">
        <v>27</v>
      </c>
      <c r="G17" s="469"/>
      <c r="H17" t="s">
        <v>2925</v>
      </c>
    </row>
    <row r="18" spans="2:8" hidden="1">
      <c r="B18" s="399" t="s">
        <v>2928</v>
      </c>
      <c r="C18" s="458" t="s">
        <v>2929</v>
      </c>
      <c r="D18" s="399" t="s">
        <v>164</v>
      </c>
      <c r="E18" s="400">
        <v>2300000000</v>
      </c>
      <c r="F18" s="405" t="s">
        <v>94</v>
      </c>
      <c r="G18" s="399"/>
    </row>
    <row r="19" spans="2:8">
      <c r="B19" s="465" t="s">
        <v>1045</v>
      </c>
      <c r="C19" s="466" t="s">
        <v>1046</v>
      </c>
      <c r="D19" s="468" t="s">
        <v>164</v>
      </c>
      <c r="E19" s="467">
        <v>516000000</v>
      </c>
      <c r="F19" s="468" t="s">
        <v>27</v>
      </c>
      <c r="G19" s="469"/>
    </row>
    <row r="20" spans="2:8">
      <c r="B20" s="465" t="s">
        <v>1047</v>
      </c>
      <c r="C20" s="466" t="s">
        <v>1048</v>
      </c>
      <c r="D20" s="468" t="s">
        <v>148</v>
      </c>
      <c r="E20" s="467">
        <v>680000000</v>
      </c>
      <c r="F20" s="468" t="s">
        <v>27</v>
      </c>
      <c r="G20" s="469"/>
      <c r="H20" t="s">
        <v>2924</v>
      </c>
    </row>
    <row r="21" spans="2:8">
      <c r="B21" s="465" t="s">
        <v>1049</v>
      </c>
      <c r="C21" s="466" t="s">
        <v>1050</v>
      </c>
      <c r="D21" s="468" t="s">
        <v>164</v>
      </c>
      <c r="E21" s="467">
        <v>700000000</v>
      </c>
      <c r="F21" s="468" t="s">
        <v>27</v>
      </c>
      <c r="G21" s="469"/>
    </row>
    <row r="22" spans="2:8">
      <c r="B22" s="465" t="s">
        <v>1051</v>
      </c>
      <c r="C22" s="466" t="s">
        <v>1052</v>
      </c>
      <c r="D22" s="468" t="s">
        <v>164</v>
      </c>
      <c r="E22" s="467">
        <v>750000000</v>
      </c>
      <c r="F22" s="468" t="s">
        <v>27</v>
      </c>
      <c r="G22" s="469"/>
      <c r="H22" t="s">
        <v>2930</v>
      </c>
    </row>
    <row r="23" spans="2:8">
      <c r="B23" s="465" t="s">
        <v>1053</v>
      </c>
      <c r="C23" s="466" t="s">
        <v>1054</v>
      </c>
      <c r="D23" s="468" t="s">
        <v>164</v>
      </c>
      <c r="E23" s="467">
        <v>950000000</v>
      </c>
      <c r="F23" s="468" t="s">
        <v>27</v>
      </c>
      <c r="G23" s="469"/>
    </row>
    <row r="24" spans="2:8" ht="84">
      <c r="B24" s="481" t="s">
        <v>866</v>
      </c>
      <c r="C24" s="482" t="s">
        <v>2931</v>
      </c>
      <c r="D24" s="468" t="s">
        <v>164</v>
      </c>
      <c r="E24" s="480">
        <v>2925000000</v>
      </c>
      <c r="F24" s="468" t="s">
        <v>27</v>
      </c>
      <c r="G24" s="469" t="s">
        <v>868</v>
      </c>
      <c r="H24" t="s">
        <v>2932</v>
      </c>
    </row>
    <row r="25" spans="2:8">
      <c r="B25" s="470" t="s">
        <v>1057</v>
      </c>
      <c r="C25" s="466" t="s">
        <v>1058</v>
      </c>
      <c r="D25" s="468" t="s">
        <v>164</v>
      </c>
      <c r="E25" s="471">
        <v>400000000</v>
      </c>
      <c r="F25" s="472" t="s">
        <v>27</v>
      </c>
      <c r="G25" s="504"/>
    </row>
    <row r="26" spans="2:8" hidden="1">
      <c r="B26" s="402" t="s">
        <v>2933</v>
      </c>
      <c r="C26" s="458" t="s">
        <v>770</v>
      </c>
      <c r="D26" s="399" t="s">
        <v>164</v>
      </c>
      <c r="E26" s="403"/>
      <c r="F26" s="401" t="s">
        <v>340</v>
      </c>
      <c r="G26" s="399"/>
    </row>
    <row r="27" spans="2:8" hidden="1">
      <c r="B27" s="523" t="s">
        <v>2934</v>
      </c>
      <c r="C27" s="485" t="s">
        <v>2935</v>
      </c>
      <c r="D27" s="484" t="s">
        <v>164</v>
      </c>
      <c r="E27" s="491">
        <v>400000000</v>
      </c>
      <c r="F27" s="492" t="s">
        <v>67</v>
      </c>
      <c r="G27" s="484"/>
    </row>
    <row r="28" spans="2:8">
      <c r="B28" s="525" t="s">
        <v>1062</v>
      </c>
      <c r="C28" s="515" t="s">
        <v>1063</v>
      </c>
      <c r="D28" s="513" t="s">
        <v>164</v>
      </c>
      <c r="E28" s="526">
        <v>425000000</v>
      </c>
      <c r="F28" s="527" t="s">
        <v>27</v>
      </c>
      <c r="G28" s="528"/>
      <c r="H28" t="s">
        <v>597</v>
      </c>
    </row>
    <row r="29" spans="2:8" hidden="1">
      <c r="B29" s="402" t="s">
        <v>1062</v>
      </c>
      <c r="C29" s="458" t="s">
        <v>2936</v>
      </c>
      <c r="D29" s="399" t="s">
        <v>164</v>
      </c>
      <c r="E29" s="403"/>
      <c r="F29" s="401" t="s">
        <v>94</v>
      </c>
      <c r="G29" s="399"/>
    </row>
    <row r="30" spans="2:8">
      <c r="B30" s="470" t="s">
        <v>1222</v>
      </c>
      <c r="C30" s="466" t="s">
        <v>1223</v>
      </c>
      <c r="D30" s="468" t="s">
        <v>148</v>
      </c>
      <c r="E30" s="471">
        <v>2200000000</v>
      </c>
      <c r="F30" s="472" t="s">
        <v>27</v>
      </c>
      <c r="G30" s="504"/>
      <c r="H30" t="s">
        <v>2925</v>
      </c>
    </row>
    <row r="31" spans="2:8" hidden="1">
      <c r="B31" s="402" t="s">
        <v>1222</v>
      </c>
      <c r="C31" s="458" t="s">
        <v>2937</v>
      </c>
      <c r="D31" s="399" t="s">
        <v>148</v>
      </c>
      <c r="E31" s="403">
        <v>1900000000</v>
      </c>
      <c r="F31" s="401" t="s">
        <v>94</v>
      </c>
      <c r="G31" s="399"/>
    </row>
    <row r="32" spans="2:8">
      <c r="B32" s="470" t="s">
        <v>2938</v>
      </c>
      <c r="C32" s="466" t="s">
        <v>1069</v>
      </c>
      <c r="D32" s="468" t="s">
        <v>164</v>
      </c>
      <c r="E32" s="471">
        <v>895000000</v>
      </c>
      <c r="F32" s="472" t="s">
        <v>27</v>
      </c>
      <c r="G32" s="504"/>
    </row>
    <row r="33" spans="2:10" hidden="1">
      <c r="B33" s="548" t="s">
        <v>2939</v>
      </c>
      <c r="C33" s="549" t="s">
        <v>2940</v>
      </c>
      <c r="D33" s="550" t="s">
        <v>164</v>
      </c>
      <c r="E33" s="551">
        <v>300000000</v>
      </c>
      <c r="F33" s="552" t="s">
        <v>67</v>
      </c>
      <c r="G33" s="550"/>
    </row>
    <row r="34" spans="2:10" hidden="1">
      <c r="B34" s="484" t="s">
        <v>2941</v>
      </c>
      <c r="C34" s="485" t="s">
        <v>2942</v>
      </c>
      <c r="D34" s="490" t="s">
        <v>154</v>
      </c>
      <c r="E34" s="489">
        <v>673000000</v>
      </c>
      <c r="F34" s="490" t="s">
        <v>40</v>
      </c>
      <c r="G34" s="537"/>
    </row>
    <row r="35" spans="2:10" hidden="1">
      <c r="B35" s="484" t="s">
        <v>2943</v>
      </c>
      <c r="C35" s="485" t="s">
        <v>2944</v>
      </c>
      <c r="D35" s="490" t="s">
        <v>164</v>
      </c>
      <c r="E35" s="489">
        <v>13320000</v>
      </c>
      <c r="F35" s="490" t="s">
        <v>40</v>
      </c>
      <c r="G35" s="537"/>
    </row>
    <row r="36" spans="2:10" ht="24" hidden="1">
      <c r="B36" s="481" t="s">
        <v>2945</v>
      </c>
      <c r="C36" s="482" t="s">
        <v>2946</v>
      </c>
      <c r="D36" s="468" t="s">
        <v>164</v>
      </c>
      <c r="E36" s="480">
        <v>88000000</v>
      </c>
      <c r="F36" s="468" t="s">
        <v>40</v>
      </c>
      <c r="G36" s="486" t="s">
        <v>2947</v>
      </c>
    </row>
    <row r="37" spans="2:10" ht="60" hidden="1">
      <c r="B37" s="545" t="s">
        <v>1070</v>
      </c>
      <c r="C37" s="546" t="s">
        <v>2948</v>
      </c>
      <c r="D37" s="478" t="s">
        <v>154</v>
      </c>
      <c r="E37" s="509">
        <v>1130000000</v>
      </c>
      <c r="F37" s="478" t="s">
        <v>40</v>
      </c>
      <c r="G37" s="547" t="s">
        <v>2949</v>
      </c>
    </row>
    <row r="38" spans="2:10" ht="101.25" customHeight="1">
      <c r="B38" s="465" t="s">
        <v>1070</v>
      </c>
      <c r="C38" s="466" t="s">
        <v>1071</v>
      </c>
      <c r="D38" s="468" t="s">
        <v>164</v>
      </c>
      <c r="E38" s="467">
        <v>506750000</v>
      </c>
      <c r="F38" s="468" t="s">
        <v>27</v>
      </c>
      <c r="G38" s="504" t="s">
        <v>1072</v>
      </c>
      <c r="H38" s="233" t="s">
        <v>2924</v>
      </c>
      <c r="J38" s="246"/>
    </row>
    <row r="39" spans="2:10" hidden="1">
      <c r="B39" s="399" t="s">
        <v>2950</v>
      </c>
      <c r="C39" s="458" t="s">
        <v>2951</v>
      </c>
      <c r="D39" s="399" t="s">
        <v>145</v>
      </c>
      <c r="E39" s="400"/>
      <c r="F39" s="405" t="s">
        <v>340</v>
      </c>
      <c r="G39" s="399"/>
    </row>
    <row r="40" spans="2:10" hidden="1">
      <c r="B40" s="484" t="s">
        <v>2916</v>
      </c>
      <c r="C40" s="485" t="s">
        <v>2952</v>
      </c>
      <c r="D40" s="490" t="s">
        <v>164</v>
      </c>
      <c r="E40" s="489">
        <v>210900000</v>
      </c>
      <c r="F40" s="490" t="s">
        <v>40</v>
      </c>
      <c r="G40" s="537"/>
    </row>
    <row r="41" spans="2:10" ht="24.6" hidden="1">
      <c r="B41" s="484" t="s">
        <v>2953</v>
      </c>
      <c r="C41" s="485" t="s">
        <v>2954</v>
      </c>
      <c r="D41" s="490" t="s">
        <v>145</v>
      </c>
      <c r="E41" s="489">
        <v>156000000</v>
      </c>
      <c r="F41" s="490" t="s">
        <v>40</v>
      </c>
      <c r="G41" s="537"/>
    </row>
    <row r="42" spans="2:10" ht="24.6" hidden="1">
      <c r="B42" s="484" t="s">
        <v>2953</v>
      </c>
      <c r="C42" s="485" t="s">
        <v>2955</v>
      </c>
      <c r="D42" s="490" t="s">
        <v>164</v>
      </c>
      <c r="E42" s="489">
        <v>78000000</v>
      </c>
      <c r="F42" s="490" t="s">
        <v>40</v>
      </c>
      <c r="G42" s="537"/>
    </row>
    <row r="43" spans="2:10" hidden="1">
      <c r="B43" s="484" t="s">
        <v>2916</v>
      </c>
      <c r="C43" s="485" t="s">
        <v>1015</v>
      </c>
      <c r="D43" s="490" t="s">
        <v>164</v>
      </c>
      <c r="E43" s="489">
        <v>336000000</v>
      </c>
      <c r="F43" s="490" t="s">
        <v>40</v>
      </c>
      <c r="G43" s="537"/>
    </row>
    <row r="44" spans="2:10" hidden="1">
      <c r="B44" s="484" t="s">
        <v>2916</v>
      </c>
      <c r="C44" s="485" t="s">
        <v>2956</v>
      </c>
      <c r="D44" s="490" t="s">
        <v>164</v>
      </c>
      <c r="E44" s="489">
        <v>73500000</v>
      </c>
      <c r="F44" s="490" t="s">
        <v>40</v>
      </c>
      <c r="G44" s="537"/>
    </row>
    <row r="45" spans="2:10" hidden="1">
      <c r="B45" s="484" t="s">
        <v>1021</v>
      </c>
      <c r="C45" s="485" t="s">
        <v>2957</v>
      </c>
      <c r="D45" s="490" t="s">
        <v>164</v>
      </c>
      <c r="E45" s="489">
        <v>95000000</v>
      </c>
      <c r="F45" s="490" t="s">
        <v>40</v>
      </c>
      <c r="G45" s="537"/>
    </row>
    <row r="46" spans="2:10" ht="96" hidden="1">
      <c r="B46" s="530" t="s">
        <v>2958</v>
      </c>
      <c r="C46" s="528" t="s">
        <v>2959</v>
      </c>
      <c r="D46" s="513" t="s">
        <v>145</v>
      </c>
      <c r="E46" s="531">
        <v>1380000000</v>
      </c>
      <c r="F46" s="513" t="s">
        <v>67</v>
      </c>
      <c r="G46" s="479" t="s">
        <v>2960</v>
      </c>
    </row>
    <row r="47" spans="2:10" hidden="1">
      <c r="B47" s="414"/>
      <c r="C47" s="458"/>
      <c r="D47" s="399"/>
      <c r="E47" s="400"/>
      <c r="F47" s="405"/>
      <c r="G47" s="399"/>
    </row>
    <row r="48" spans="2:10" ht="60">
      <c r="B48" s="465" t="s">
        <v>851</v>
      </c>
      <c r="C48" s="466" t="s">
        <v>2961</v>
      </c>
      <c r="D48" s="468" t="s">
        <v>148</v>
      </c>
      <c r="E48" s="480">
        <v>76000000</v>
      </c>
      <c r="F48" s="468" t="s">
        <v>27</v>
      </c>
      <c r="G48" s="504" t="s">
        <v>853</v>
      </c>
      <c r="H48" s="233" t="s">
        <v>2932</v>
      </c>
    </row>
    <row r="49" spans="1:8" ht="24" hidden="1">
      <c r="B49" s="532" t="s">
        <v>2962</v>
      </c>
      <c r="C49" s="533" t="s">
        <v>2963</v>
      </c>
      <c r="D49" s="513" t="s">
        <v>148</v>
      </c>
      <c r="E49" s="531">
        <v>498000000</v>
      </c>
      <c r="F49" s="513" t="s">
        <v>40</v>
      </c>
      <c r="G49" s="479" t="s">
        <v>2964</v>
      </c>
      <c r="H49" s="233" t="s">
        <v>2965</v>
      </c>
    </row>
    <row r="50" spans="1:8" hidden="1">
      <c r="B50" s="522" t="s">
        <v>2966</v>
      </c>
      <c r="C50" s="542" t="s">
        <v>2967</v>
      </c>
      <c r="D50" s="500" t="s">
        <v>145</v>
      </c>
      <c r="E50" s="543">
        <v>1016000000</v>
      </c>
      <c r="F50" s="500" t="s">
        <v>67</v>
      </c>
      <c r="G50" s="522" t="s">
        <v>2968</v>
      </c>
      <c r="H50" s="233" t="s">
        <v>2965</v>
      </c>
    </row>
    <row r="51" spans="1:8" ht="84">
      <c r="B51" s="466" t="s">
        <v>1021</v>
      </c>
      <c r="C51" s="466" t="s">
        <v>2969</v>
      </c>
      <c r="D51" s="468" t="s">
        <v>164</v>
      </c>
      <c r="E51" s="467">
        <v>185000000</v>
      </c>
      <c r="F51" s="468" t="s">
        <v>27</v>
      </c>
      <c r="G51" s="469" t="s">
        <v>1080</v>
      </c>
      <c r="H51" s="233"/>
    </row>
    <row r="52" spans="1:8" ht="156.6">
      <c r="B52" s="515" t="s">
        <v>1073</v>
      </c>
      <c r="C52" s="544" t="s">
        <v>2970</v>
      </c>
      <c r="D52" s="513" t="s">
        <v>164</v>
      </c>
      <c r="E52" s="531">
        <v>136400000</v>
      </c>
      <c r="F52" s="513" t="s">
        <v>27</v>
      </c>
      <c r="G52" s="479" t="s">
        <v>1082</v>
      </c>
      <c r="H52" t="s">
        <v>2932</v>
      </c>
    </row>
    <row r="53" spans="1:8" ht="84.6">
      <c r="B53" s="465" t="s">
        <v>1084</v>
      </c>
      <c r="C53" s="520" t="s">
        <v>2971</v>
      </c>
      <c r="D53" s="513" t="s">
        <v>145</v>
      </c>
      <c r="E53" s="514">
        <v>9599613600</v>
      </c>
      <c r="F53" s="513" t="s">
        <v>27</v>
      </c>
      <c r="G53" s="479" t="s">
        <v>1086</v>
      </c>
    </row>
    <row r="54" spans="1:8" ht="348">
      <c r="B54" s="506" t="s">
        <v>1087</v>
      </c>
      <c r="C54" s="479" t="s">
        <v>2972</v>
      </c>
      <c r="D54" s="506" t="s">
        <v>148</v>
      </c>
      <c r="E54" s="510">
        <v>2998200000</v>
      </c>
      <c r="F54" s="511" t="s">
        <v>27</v>
      </c>
      <c r="G54" s="479"/>
    </row>
    <row r="55" spans="1:8" ht="36">
      <c r="B55" s="508" t="s">
        <v>1089</v>
      </c>
      <c r="C55" s="466" t="s">
        <v>2973</v>
      </c>
      <c r="D55" s="488" t="s">
        <v>148</v>
      </c>
      <c r="E55" s="507">
        <v>1278900000</v>
      </c>
      <c r="F55" s="488" t="s">
        <v>27</v>
      </c>
      <c r="G55" s="466" t="s">
        <v>1091</v>
      </c>
    </row>
    <row r="56" spans="1:8" ht="192">
      <c r="B56" s="538" t="s">
        <v>1089</v>
      </c>
      <c r="C56" s="516" t="s">
        <v>2974</v>
      </c>
      <c r="D56" s="478" t="s">
        <v>154</v>
      </c>
      <c r="E56" s="517">
        <v>2055935000</v>
      </c>
      <c r="F56" s="478" t="s">
        <v>27</v>
      </c>
      <c r="G56" s="539" t="s">
        <v>1093</v>
      </c>
      <c r="H56" t="s">
        <v>2924</v>
      </c>
    </row>
    <row r="57" spans="1:8" ht="156">
      <c r="B57" s="508" t="s">
        <v>1094</v>
      </c>
      <c r="C57" s="482" t="s">
        <v>2975</v>
      </c>
      <c r="D57" s="468" t="s">
        <v>145</v>
      </c>
      <c r="E57" s="480">
        <v>174000000</v>
      </c>
      <c r="F57" s="468" t="s">
        <v>27</v>
      </c>
      <c r="G57" s="488" t="s">
        <v>1095</v>
      </c>
    </row>
    <row r="58" spans="1:8" ht="192">
      <c r="B58" s="515" t="s">
        <v>1094</v>
      </c>
      <c r="C58" s="515" t="s">
        <v>2976</v>
      </c>
      <c r="D58" s="540" t="s">
        <v>148</v>
      </c>
      <c r="E58" s="541">
        <v>4123150000</v>
      </c>
      <c r="F58" s="540" t="s">
        <v>27</v>
      </c>
      <c r="G58" s="540" t="s">
        <v>1224</v>
      </c>
      <c r="H58" t="s">
        <v>2925</v>
      </c>
    </row>
    <row r="59" spans="1:8" ht="180">
      <c r="B59" s="481" t="s">
        <v>1070</v>
      </c>
      <c r="C59" s="466" t="s">
        <v>2977</v>
      </c>
      <c r="D59" s="468" t="s">
        <v>148</v>
      </c>
      <c r="E59" s="480">
        <v>4123150000</v>
      </c>
      <c r="F59" s="468" t="s">
        <v>27</v>
      </c>
      <c r="G59" s="482" t="s">
        <v>1101</v>
      </c>
    </row>
    <row r="60" spans="1:8" ht="48">
      <c r="B60" s="524" t="s">
        <v>1021</v>
      </c>
      <c r="C60" s="516" t="s">
        <v>1102</v>
      </c>
      <c r="D60" s="478" t="s">
        <v>164</v>
      </c>
      <c r="E60" s="517">
        <v>200000000</v>
      </c>
      <c r="F60" s="478" t="s">
        <v>27</v>
      </c>
      <c r="G60" s="518" t="s">
        <v>1103</v>
      </c>
    </row>
    <row r="61" spans="1:8" ht="144">
      <c r="A61" s="233"/>
      <c r="B61" s="465" t="s">
        <v>1104</v>
      </c>
      <c r="C61" s="466" t="s">
        <v>2978</v>
      </c>
      <c r="D61" s="468" t="s">
        <v>164</v>
      </c>
      <c r="E61" s="467">
        <v>1378120000</v>
      </c>
      <c r="F61" s="468" t="s">
        <v>27</v>
      </c>
      <c r="G61" s="469"/>
      <c r="H61" t="s">
        <v>2932</v>
      </c>
    </row>
    <row r="62" spans="1:8" ht="36" hidden="1">
      <c r="B62" s="521" t="s">
        <v>2979</v>
      </c>
      <c r="C62" s="553" t="s">
        <v>2980</v>
      </c>
      <c r="D62" s="500" t="s">
        <v>148</v>
      </c>
      <c r="E62" s="543">
        <v>113000000</v>
      </c>
      <c r="F62" s="500" t="s">
        <v>40</v>
      </c>
      <c r="G62" s="502" t="s">
        <v>2981</v>
      </c>
    </row>
    <row r="63" spans="1:8" ht="60">
      <c r="B63" s="481" t="s">
        <v>1106</v>
      </c>
      <c r="C63" s="482" t="s">
        <v>2982</v>
      </c>
      <c r="D63" s="468" t="s">
        <v>164</v>
      </c>
      <c r="E63" s="480">
        <v>65750000</v>
      </c>
      <c r="F63" s="468" t="s">
        <v>27</v>
      </c>
      <c r="G63" s="481"/>
      <c r="H63" t="s">
        <v>2932</v>
      </c>
    </row>
    <row r="64" spans="1:8" ht="108">
      <c r="B64" s="512" t="s">
        <v>1108</v>
      </c>
      <c r="C64" s="515" t="s">
        <v>2983</v>
      </c>
      <c r="D64" s="513" t="s">
        <v>148</v>
      </c>
      <c r="E64" s="514">
        <v>213000000</v>
      </c>
      <c r="F64" s="513" t="s">
        <v>27</v>
      </c>
      <c r="G64" s="479"/>
    </row>
    <row r="65" spans="2:8" ht="132">
      <c r="B65" s="465" t="s">
        <v>1108</v>
      </c>
      <c r="C65" s="466" t="s">
        <v>2984</v>
      </c>
      <c r="D65" s="468" t="s">
        <v>148</v>
      </c>
      <c r="E65" s="467">
        <v>199020000</v>
      </c>
      <c r="F65" s="468" t="s">
        <v>27</v>
      </c>
      <c r="G65" s="469"/>
      <c r="H65" t="s">
        <v>2930</v>
      </c>
    </row>
    <row r="66" spans="2:8" ht="180">
      <c r="B66" s="465" t="s">
        <v>1111</v>
      </c>
      <c r="C66" s="482" t="s">
        <v>2985</v>
      </c>
      <c r="D66" s="488" t="s">
        <v>164</v>
      </c>
      <c r="E66" s="507">
        <v>2598000000</v>
      </c>
      <c r="F66" s="488" t="s">
        <v>27</v>
      </c>
      <c r="G66" s="482" t="s">
        <v>1113</v>
      </c>
      <c r="H66" t="s">
        <v>2924</v>
      </c>
    </row>
    <row r="67" spans="2:8" ht="216">
      <c r="B67" s="465" t="s">
        <v>1114</v>
      </c>
      <c r="C67" s="466" t="s">
        <v>2986</v>
      </c>
      <c r="D67" s="468" t="s">
        <v>154</v>
      </c>
      <c r="E67" s="467">
        <v>4839200000</v>
      </c>
      <c r="F67" s="468" t="s">
        <v>27</v>
      </c>
      <c r="G67" s="469"/>
    </row>
    <row r="68" spans="2:8" hidden="1">
      <c r="B68" s="499"/>
      <c r="C68" s="487"/>
      <c r="D68" s="500"/>
      <c r="E68" s="501"/>
      <c r="F68" s="500"/>
      <c r="G68" s="502"/>
    </row>
    <row r="69" spans="2:8" ht="48">
      <c r="B69" s="465" t="s">
        <v>1084</v>
      </c>
      <c r="C69" s="466" t="s">
        <v>2987</v>
      </c>
      <c r="D69" s="468" t="s">
        <v>164</v>
      </c>
      <c r="E69" s="467">
        <v>935000000</v>
      </c>
      <c r="F69" s="468" t="s">
        <v>27</v>
      </c>
      <c r="G69" s="466" t="s">
        <v>1118</v>
      </c>
    </row>
    <row r="70" spans="2:8" ht="84">
      <c r="B70" s="465" t="s">
        <v>1119</v>
      </c>
      <c r="C70" s="505" t="s">
        <v>2988</v>
      </c>
      <c r="D70" s="468" t="s">
        <v>164</v>
      </c>
      <c r="E70" s="467">
        <v>438000000</v>
      </c>
      <c r="F70" s="468" t="s">
        <v>27</v>
      </c>
      <c r="G70" s="469" t="s">
        <v>1121</v>
      </c>
      <c r="H70" t="s">
        <v>597</v>
      </c>
    </row>
    <row r="71" spans="2:8" ht="96">
      <c r="B71" s="524" t="s">
        <v>1122</v>
      </c>
      <c r="C71" s="529" t="s">
        <v>2989</v>
      </c>
      <c r="D71" s="478" t="s">
        <v>164</v>
      </c>
      <c r="E71" s="517">
        <v>978000000</v>
      </c>
      <c r="F71" s="478" t="s">
        <v>27</v>
      </c>
      <c r="G71" s="518" t="s">
        <v>1121</v>
      </c>
      <c r="H71" t="s">
        <v>597</v>
      </c>
    </row>
    <row r="72" spans="2:8" hidden="1">
      <c r="B72" s="481" t="s">
        <v>2990</v>
      </c>
      <c r="C72" s="482" t="s">
        <v>2991</v>
      </c>
      <c r="D72" s="468" t="s">
        <v>148</v>
      </c>
      <c r="E72" s="519">
        <v>11000000</v>
      </c>
      <c r="F72" s="468" t="s">
        <v>40</v>
      </c>
      <c r="G72" s="508"/>
    </row>
    <row r="73" spans="2:8" hidden="1">
      <c r="B73" s="521" t="s">
        <v>2919</v>
      </c>
      <c r="C73" s="535" t="s">
        <v>2992</v>
      </c>
      <c r="D73" s="500" t="s">
        <v>148</v>
      </c>
      <c r="E73" s="536">
        <v>1544882000</v>
      </c>
      <c r="F73" s="534" t="s">
        <v>40</v>
      </c>
      <c r="G73" s="522"/>
    </row>
    <row r="74" spans="2:8" ht="24">
      <c r="B74" s="465" t="s">
        <v>1130</v>
      </c>
      <c r="C74" s="466" t="s">
        <v>1131</v>
      </c>
      <c r="D74" s="468" t="s">
        <v>148</v>
      </c>
      <c r="E74" s="480" t="s">
        <v>2993</v>
      </c>
      <c r="F74" s="468" t="s">
        <v>27</v>
      </c>
      <c r="G74" s="466" t="s">
        <v>1132</v>
      </c>
    </row>
    <row r="75" spans="2:8" ht="84">
      <c r="B75" s="465" t="s">
        <v>2994</v>
      </c>
      <c r="C75" s="466" t="s">
        <v>2995</v>
      </c>
      <c r="D75" s="488" t="s">
        <v>164</v>
      </c>
      <c r="E75" s="503">
        <v>361000000</v>
      </c>
      <c r="F75" s="488" t="s">
        <v>27</v>
      </c>
      <c r="G75" s="488" t="s">
        <v>1135</v>
      </c>
      <c r="H75" t="s">
        <v>597</v>
      </c>
    </row>
    <row r="76" spans="2:8">
      <c r="B76" s="465" t="s">
        <v>1136</v>
      </c>
      <c r="C76" s="466" t="s">
        <v>1137</v>
      </c>
      <c r="D76" s="468" t="s">
        <v>148</v>
      </c>
      <c r="E76" s="467">
        <v>2435000000</v>
      </c>
      <c r="F76" s="468" t="s">
        <v>27</v>
      </c>
      <c r="G76" s="469"/>
      <c r="H76" t="s">
        <v>597</v>
      </c>
    </row>
    <row r="77" spans="2:8">
      <c r="B77" s="460"/>
      <c r="C77" s="461"/>
      <c r="D77" s="460"/>
      <c r="E77" s="462">
        <f>SUBTOTAL(109,Table2[Quotation])</f>
        <v>51733188600</v>
      </c>
      <c r="F77" s="463"/>
    </row>
  </sheetData>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24CDB99E-B109-4345-AA32-C5552CFB05E2}">
          <x14:formula1>
            <xm:f>DATA!$J$2:$J$5</xm:f>
          </x14:formula1>
          <xm:sqref>D3:D76</xm:sqref>
        </x14:dataValidation>
        <x14:dataValidation type="list" allowBlank="1" showInputMessage="1" showErrorMessage="1" xr:uid="{7419281C-1D5A-40ED-B9FC-D53826919B8D}">
          <x14:formula1>
            <xm:f>DATA!$I$2:$I$9</xm:f>
          </x14:formula1>
          <xm:sqref>F3:F76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EPL1</vt:lpstr>
      <vt:lpstr>EPL</vt:lpstr>
      <vt:lpstr>Project By Status</vt:lpstr>
      <vt:lpstr>Booking FC</vt:lpstr>
      <vt:lpstr>Pipeline</vt:lpstr>
      <vt:lpstr>DATA</vt:lpstr>
      <vt:lpstr>Industrial</vt:lpstr>
      <vt:lpstr>Pipeline EPL</vt:lpstr>
      <vt:lpstr>Pipeline OPS (2)</vt:lpstr>
      <vt:lpstr>EPL PARTNERSHIP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rangga.prasetya</dc:creator>
  <cp:keywords/>
  <dc:description/>
  <cp:lastModifiedBy>Dede Yusuf Iskandar (DASI)</cp:lastModifiedBy>
  <cp:revision/>
  <dcterms:created xsi:type="dcterms:W3CDTF">2019-03-08T07:18:00Z</dcterms:created>
  <dcterms:modified xsi:type="dcterms:W3CDTF">2026-07-01T17:16:57Z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y fmtid="{D5CDD505-2E9C-101B-9397-08002B2CF9AE}" pid="3" name="ICV">
    <vt:lpwstr>937971FA538E4AC4A6B68502FF996A29</vt:lpwstr>
  </property>
  <property fmtid="{D5CDD505-2E9C-101B-9397-08002B2CF9AE}" pid="4" name="KSOProductBuildVer">
    <vt:lpwstr>1033-11.2.0.11191</vt:lpwstr>
  </property>
</Properties>
</file>
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ilsrv-my.sharepoint.com/personal/gerry_gunawan_daikinapplied_co_id/Documents/EPL/"/>
    </mc:Choice>
  </mc:AlternateContent>
  <xr:revisionPtr revIDLastSave="0" documentId="8_{CA29DF4B-2EC0-40A1-B632-83A1851CB1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PL" sheetId="28" r:id="rId1"/>
    <sheet name="Project By Status" sheetId="30" r:id="rId2"/>
    <sheet name="Booking Forecast" sheetId="31" r:id="rId3"/>
    <sheet name="Industry" sheetId="32" r:id="rId4"/>
    <sheet name="Commercial" sheetId="33" r:id="rId5"/>
    <sheet name="PIC" sheetId="34" r:id="rId6"/>
    <sheet name="DATA" sheetId="8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_____________________________DAT12">#REF!</definedName>
    <definedName name="____________________________DAT1">#REF!</definedName>
    <definedName name="____________________________DAT10">#REF!</definedName>
    <definedName name="____________________________DAT11">#REF!</definedName>
    <definedName name="____________________________DAT12">#REF!</definedName>
    <definedName name="____________________________DAT13">#REF!</definedName>
    <definedName name="____________________________DAT14">#REF!</definedName>
    <definedName name="____________________________DAT15">#REF!</definedName>
    <definedName name="____________________________DAT16">#REF!</definedName>
    <definedName name="____________________________DAT17">#REF!</definedName>
    <definedName name="____________________________DAT18">#REF!</definedName>
    <definedName name="____________________________DAT19">#REF!</definedName>
    <definedName name="____________________________DAT2">#REF!</definedName>
    <definedName name="____________________________DAT20">#REF!</definedName>
    <definedName name="____________________________DAT21">#REF!</definedName>
    <definedName name="____________________________DAT22">#REF!</definedName>
    <definedName name="____________________________DAT23">#REF!</definedName>
    <definedName name="____________________________DAT24">#REF!</definedName>
    <definedName name="____________________________DAT25">#REF!</definedName>
    <definedName name="____________________________DAT26">#REF!</definedName>
    <definedName name="____________________________DAT3">#REF!</definedName>
    <definedName name="____________________________DAT4">#REF!</definedName>
    <definedName name="____________________________DAT5">#REF!</definedName>
    <definedName name="____________________________DAT6">#REF!</definedName>
    <definedName name="____________________________DAT7">#REF!</definedName>
    <definedName name="____________________________DAT8">#REF!</definedName>
    <definedName name="____________________________DAT9">#REF!</definedName>
    <definedName name="___________________________DAT12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17">#REF!</definedName>
    <definedName name="__________________________DAT18">#REF!</definedName>
    <definedName name="__________________________DAT19">#REF!</definedName>
    <definedName name="__________________________DAT2">#REF!</definedName>
    <definedName name="__________________________DAT20">#REF!</definedName>
    <definedName name="__________________________DAT21">#REF!</definedName>
    <definedName name="__________________________DAT22">#REF!</definedName>
    <definedName name="__________________________DAT23">#REF!</definedName>
    <definedName name="__________________________DAT24">#REF!</definedName>
    <definedName name="__________________________DAT25">#REF!</definedName>
    <definedName name="__________________________DAT26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17">#REF!</definedName>
    <definedName name="_________________________DAT18">#REF!</definedName>
    <definedName name="_________________________DAT19">#REF!</definedName>
    <definedName name="_________________________DAT2">#REF!</definedName>
    <definedName name="_________________________DAT20">#REF!</definedName>
    <definedName name="_________________________DAT21">#REF!</definedName>
    <definedName name="_________________________DAT22">#REF!</definedName>
    <definedName name="_________________________DAT23">#REF!</definedName>
    <definedName name="_________________________DAT24">#REF!</definedName>
    <definedName name="_________________________DAT25">#REF!</definedName>
    <definedName name="_________________________DAT26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17">#REF!</definedName>
    <definedName name="________________________DAT18">#REF!</definedName>
    <definedName name="________________________DAT19">#REF!</definedName>
    <definedName name="________________________DAT2">#REF!</definedName>
    <definedName name="________________________DAT20">#REF!</definedName>
    <definedName name="________________________DAT21">#REF!</definedName>
    <definedName name="________________________DAT22">#REF!</definedName>
    <definedName name="________________________DAT23">#REF!</definedName>
    <definedName name="________________________DAT24">#REF!</definedName>
    <definedName name="________________________DAT25">#REF!</definedName>
    <definedName name="________________________DAT26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17">#REF!</definedName>
    <definedName name="_______________________DAT18">#REF!</definedName>
    <definedName name="_______________________DAT19">#REF!</definedName>
    <definedName name="_______________________DAT2">#REF!</definedName>
    <definedName name="_______________________DAT20">#REF!</definedName>
    <definedName name="_______________________DAT21">#REF!</definedName>
    <definedName name="_______________________DAT22">#REF!</definedName>
    <definedName name="_______________________DAT23">#REF!</definedName>
    <definedName name="_______________________DAT24">#REF!</definedName>
    <definedName name="_______________________DAT25">#REF!</definedName>
    <definedName name="_______________________DAT26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17">#REF!</definedName>
    <definedName name="______________________DAT18">#REF!</definedName>
    <definedName name="______________________DAT19">#REF!</definedName>
    <definedName name="______________________DAT2">#REF!</definedName>
    <definedName name="______________________DAT20">#REF!</definedName>
    <definedName name="______________________DAT21">#REF!</definedName>
    <definedName name="______________________DAT22">#REF!</definedName>
    <definedName name="______________________DAT23">#REF!</definedName>
    <definedName name="______________________DAT24">#REF!</definedName>
    <definedName name="______________________DAT25">#REF!</definedName>
    <definedName name="______________________DAT26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DAT12">#REF!</definedName>
    <definedName name="____________________DAT1">#REF!</definedName>
    <definedName name="____________________DAT10">#REF!</definedName>
    <definedName name="____________________DAT11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17">#REF!</definedName>
    <definedName name="____________________DAT18">#REF!</definedName>
    <definedName name="____________________DAT19">#REF!</definedName>
    <definedName name="____________________DAT2">#REF!</definedName>
    <definedName name="____________________DAT20">#REF!</definedName>
    <definedName name="____________________DAT21">#REF!</definedName>
    <definedName name="____________________DAT22">#REF!</definedName>
    <definedName name="____________________DAT23">#REF!</definedName>
    <definedName name="____________________DAT24">#REF!</definedName>
    <definedName name="____________________DAT25">#REF!</definedName>
    <definedName name="____________________DAT26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17">#REF!</definedName>
    <definedName name="___________________DAT18">#REF!</definedName>
    <definedName name="___________________DAT19">#REF!</definedName>
    <definedName name="___________________DAT2">#REF!</definedName>
    <definedName name="___________________DAT20">#REF!</definedName>
    <definedName name="___________________DAT21">#REF!</definedName>
    <definedName name="___________________DAT22">#REF!</definedName>
    <definedName name="___________________DAT23">#REF!</definedName>
    <definedName name="___________________DAT24">#REF!</definedName>
    <definedName name="___________________DAT25">#REF!</definedName>
    <definedName name="___________________DAT26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DAT12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17">#REF!</definedName>
    <definedName name="_________________DAT18">#REF!</definedName>
    <definedName name="_________________DAT19">#REF!</definedName>
    <definedName name="_________________DAT2">#REF!</definedName>
    <definedName name="_________________DAT20">#REF!</definedName>
    <definedName name="_________________DAT21">#REF!</definedName>
    <definedName name="_________________DAT22">#REF!</definedName>
    <definedName name="_________________DAT23">#REF!</definedName>
    <definedName name="_________________DAT24">#REF!</definedName>
    <definedName name="_________________DAT25">#REF!</definedName>
    <definedName name="_________________DAT26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17">#REF!</definedName>
    <definedName name="________________DAT18">#REF!</definedName>
    <definedName name="________________DAT19">#REF!</definedName>
    <definedName name="________________DAT2">#REF!</definedName>
    <definedName name="________________DAT20">#REF!</definedName>
    <definedName name="________________DAT21">#REF!</definedName>
    <definedName name="________________DAT22">#REF!</definedName>
    <definedName name="________________DAT23">#REF!</definedName>
    <definedName name="________________DAT24">#REF!</definedName>
    <definedName name="________________DAT25">#REF!</definedName>
    <definedName name="________________DAT26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17">#REF!</definedName>
    <definedName name="_______________DAT18">#REF!</definedName>
    <definedName name="_______________DAT19">#REF!</definedName>
    <definedName name="_______________DAT2">#REF!</definedName>
    <definedName name="_______________DAT20">#REF!</definedName>
    <definedName name="_______________DAT21">#REF!</definedName>
    <definedName name="_______________DAT22">#REF!</definedName>
    <definedName name="_______________DAT23">#REF!</definedName>
    <definedName name="_______________DAT24">#REF!</definedName>
    <definedName name="_______________DAT25">#REF!</definedName>
    <definedName name="_______________DAT26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DAT1">#REF!</definedName>
    <definedName name="______________DAT10">#REF!</definedName>
    <definedName name="______________DAT11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17">#REF!</definedName>
    <definedName name="______________DAT18">#REF!</definedName>
    <definedName name="______________DAT19">#REF!</definedName>
    <definedName name="______________DAT2">#REF!</definedName>
    <definedName name="______________DAT20">#REF!</definedName>
    <definedName name="______________DAT21">#REF!</definedName>
    <definedName name="______________DAT22">#REF!</definedName>
    <definedName name="______________DAT23">#REF!</definedName>
    <definedName name="______________DAT24">#REF!</definedName>
    <definedName name="______________DAT25">#REF!</definedName>
    <definedName name="______________DAT26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17">#REF!</definedName>
    <definedName name="_____________DAT18">#REF!</definedName>
    <definedName name="_____________DAT19">#REF!</definedName>
    <definedName name="_____________DAT2">#REF!</definedName>
    <definedName name="_____________DAT20">#REF!</definedName>
    <definedName name="_____________DAT21">#REF!</definedName>
    <definedName name="_____________DAT22">#REF!</definedName>
    <definedName name="_____________DAT23">#REF!</definedName>
    <definedName name="_____________DAT24">#REF!</definedName>
    <definedName name="_____________DAT25">#REF!</definedName>
    <definedName name="_____________DAT26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DAT1">#REF!</definedName>
    <definedName name="____________DAT10">#REF!</definedName>
    <definedName name="____________DAT11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17">#REF!</definedName>
    <definedName name="____________DAT18">#REF!</definedName>
    <definedName name="____________DAT19">#REF!</definedName>
    <definedName name="____________DAT2">#REF!</definedName>
    <definedName name="____________DAT20">#REF!</definedName>
    <definedName name="____________DAT21">#REF!</definedName>
    <definedName name="____________DAT22">#REF!</definedName>
    <definedName name="____________DAT23">#REF!</definedName>
    <definedName name="____________DAT24">#REF!</definedName>
    <definedName name="____________DAT25">#REF!</definedName>
    <definedName name="____________DAT26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DAT12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17">#REF!</definedName>
    <definedName name="__________DAT18">#REF!</definedName>
    <definedName name="__________DAT19">#REF!</definedName>
    <definedName name="__________DAT2">#REF!</definedName>
    <definedName name="__________DAT20">#REF!</definedName>
    <definedName name="__________DAT21">#REF!</definedName>
    <definedName name="__________DAT22">#REF!</definedName>
    <definedName name="__________DAT23">#REF!</definedName>
    <definedName name="__________DAT24">#REF!</definedName>
    <definedName name="__________DAT25">#REF!</definedName>
    <definedName name="__________DAT26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19">#REF!</definedName>
    <definedName name="_________DAT2">#REF!</definedName>
    <definedName name="_________DAT20">#REF!</definedName>
    <definedName name="_________DAT21">#REF!</definedName>
    <definedName name="_________DAT22">#REF!</definedName>
    <definedName name="_________DAT23">#REF!</definedName>
    <definedName name="_________DAT24">#REF!</definedName>
    <definedName name="_________DAT25">#REF!</definedName>
    <definedName name="_________DAT26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17">#REF!</definedName>
    <definedName name="________DAT18">#REF!</definedName>
    <definedName name="________DAT19">#REF!</definedName>
    <definedName name="________DAT2">#REF!</definedName>
    <definedName name="________DAT20">#REF!</definedName>
    <definedName name="________DAT21">#REF!</definedName>
    <definedName name="________DAT22">#REF!</definedName>
    <definedName name="________DAT23">#REF!</definedName>
    <definedName name="________DAT24">#REF!</definedName>
    <definedName name="________DAT25">#REF!</definedName>
    <definedName name="________DAT26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17">#REF!</definedName>
    <definedName name="_______DAT18">#REF!</definedName>
    <definedName name="_______DAT19">#REF!</definedName>
    <definedName name="_______DAT2">#REF!</definedName>
    <definedName name="_______DAT20">#REF!</definedName>
    <definedName name="_______DAT21">#REF!</definedName>
    <definedName name="_______DAT22">#REF!</definedName>
    <definedName name="_______DAT23">#REF!</definedName>
    <definedName name="_______DAT24">#REF!</definedName>
    <definedName name="_______DAT25">#REF!</definedName>
    <definedName name="_______DAT26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DAT2">#REF!</definedName>
    <definedName name="______DAT20">#REF!</definedName>
    <definedName name="______DAT21">#REF!</definedName>
    <definedName name="______DAT22">#REF!</definedName>
    <definedName name="______DAT23">#REF!</definedName>
    <definedName name="______DAT24">#REF!</definedName>
    <definedName name="______DAT25">#REF!</definedName>
    <definedName name="______DAT26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25">#REF!</definedName>
    <definedName name="_____DAT26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usd1207">'[1]FY20 YTD RES+FCT'!$H$2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usd1207">'[1]FY20 YTD RES+FCT'!$H$2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usd1207">'[1]FY20 YTD RES+FCT'!$H$2</definedName>
    <definedName name="_2_0000000000000機種リストA_製品分類">#REF!</definedName>
    <definedName name="_4_2_3">#REF!</definedName>
    <definedName name="_4_3">#REF!</definedName>
    <definedName name="_B103">#REF!</definedName>
    <definedName name="_DAT1">#REF!</definedName>
    <definedName name="_DAT10">#REF!</definedName>
    <definedName name="_DAT10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>#REF!</definedName>
    <definedName name="_Key1">#REF!</definedName>
    <definedName name="_Key2">#REF!</definedName>
    <definedName name="_Order1" hidden="1">255</definedName>
    <definedName name="_Order2" hidden="1">255</definedName>
    <definedName name="_ORG2009">#REF!</definedName>
    <definedName name="_Sort">#REF!</definedName>
    <definedName name="_TES100">#REF!</definedName>
    <definedName name="_usd1207">'[1]FY20 YTD RES+FCT'!$H$2</definedName>
    <definedName name="_xlcn.WorksheetConnection_20220708PipelineDASIServiceJuly2022EPL.xlsxTable11" hidden="1">#REF!</definedName>
    <definedName name="\B">#REF!</definedName>
    <definedName name="\D">#REF!</definedName>
    <definedName name="\J">#REF!</definedName>
    <definedName name="\L">#REF!</definedName>
    <definedName name="\M">#REF!</definedName>
    <definedName name="\Q">#REF!</definedName>
    <definedName name="\R">#REF!</definedName>
    <definedName name="\S">#REF!</definedName>
    <definedName name="\W">#REF!</definedName>
    <definedName name="\X">#REF!</definedName>
    <definedName name="A">#REF!</definedName>
    <definedName name="AAAA">#REF!</definedName>
    <definedName name="altro">'[2]C Travel'!$B$63</definedName>
    <definedName name="AM">[2]Menus!$F$6:$F$13</definedName>
    <definedName name="AP">#REF!</definedName>
    <definedName name="_xlnm.Auto_Open">[2]XL4Test5!$C$23</definedName>
    <definedName name="business">#REF!</definedName>
    <definedName name="Bust">[2]XL4Test5!$C$15</definedName>
    <definedName name="Continue">[2]XL4Test5!$C$30</definedName>
    <definedName name="curr">[2]COVER!$G$3</definedName>
    <definedName name="cv">#REF!</definedName>
    <definedName name="D">#REF!</definedName>
    <definedName name="DAIKIN">[3]Company!$D$5:$K$219</definedName>
    <definedName name="DAT">#REF!</definedName>
    <definedName name="data">#REF!</definedName>
    <definedName name="DATA1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_xlnm.Database">#REF!</definedName>
    <definedName name="dd">#REF!</definedName>
    <definedName name="Documents_array">[2]XL4Test5!$B$2:$B$19</definedName>
    <definedName name="Dom">'[4]Budget params'!$C$5</definedName>
    <definedName name="dsad">#REF!</definedName>
    <definedName name="Duct">'[4]Budget params'!$C$4</definedName>
    <definedName name="ech">#REF!</definedName>
    <definedName name="eh">#REF!</definedName>
    <definedName name="er">#REF!</definedName>
    <definedName name="eu">#REF!</definedName>
    <definedName name="Excel_BuiltIn_Print_Area_3">#REF!</definedName>
    <definedName name="Excel_BuiltIn_Print_Titles_2">#REF!</definedName>
    <definedName name="Excel_BuiltIn_Print_Titles_4">#REF!</definedName>
    <definedName name="fdg">'[2]Monthly Stock BD'!$D$1</definedName>
    <definedName name="fy08cos">[5]LIST!$G$14</definedName>
    <definedName name="gen">'[2]CF DIL lay out'!$AH$15:$AH$17</definedName>
    <definedName name="gennaio">'[2]CF DIL lay out'!$AH$15:$AH$17</definedName>
    <definedName name="gh">#REF!</definedName>
    <definedName name="Header">#REF!</definedName>
    <definedName name="Hello">[2]XL4Test5!$A$33</definedName>
    <definedName name="hotel">'[2]C Travel'!$M$60</definedName>
    <definedName name="HTML_CodePage" hidden="1">936</definedName>
    <definedName name="HTML_Control" hidden="1">{"'S-13'!$A$1:$A$2"}</definedName>
    <definedName name="HTML_Description" hidden="1">""</definedName>
    <definedName name="HTML_Email" hidden="1">""</definedName>
    <definedName name="HTML_Header" hidden="1">"S-13"</definedName>
    <definedName name="HTML_LastUpdate" hidden="1">"97-10-6"</definedName>
    <definedName name="HTML_LineAfter" hidden="1">FALSE</definedName>
    <definedName name="HTML_LineBefore" hidden="1">FALSE</definedName>
    <definedName name="HTML_Name" hidden="1">"wangqiang"</definedName>
    <definedName name="HTML_OBDlg2" hidden="1">TRUE</definedName>
    <definedName name="HTML_OBDlg4" hidden="1">TRUE</definedName>
    <definedName name="HTML_OS" hidden="1">0</definedName>
    <definedName name="HTML_PathFile" hidden="1">"C:\My Documents\WQ\SALE\STOCK-979.XLS"</definedName>
    <definedName name="HTML_Title" hidden="1">"STO97-6"</definedName>
    <definedName name="iii">#REF!</definedName>
    <definedName name="Input_1">'[2]Monthly PL_R06'!$A$1</definedName>
    <definedName name="Input_10">'[2] FTE per month FC06'!$B$1</definedName>
    <definedName name="input_10b">'[2] FTE per month BD07'!$BE$6</definedName>
    <definedName name="Input_11">'[2]Inventory Plan SBU'!$B$1</definedName>
    <definedName name="Input_2">'[2]Monthly PL_BD07'!$A$1</definedName>
    <definedName name="Input_3">#REF!</definedName>
    <definedName name="Input_4">'[2]Sales Prom. &amp; Adv. '!$B$3</definedName>
    <definedName name="Input_5">#REF!</definedName>
    <definedName name="Input_6">#REF!</definedName>
    <definedName name="Input_7">'[2]Monthly Stock'!$D$1</definedName>
    <definedName name="Input_8">'[2] HC per month R05'!$B$1</definedName>
    <definedName name="Input_9">'[2] HC per month FC06'!$B$1</definedName>
    <definedName name="input_9b">'[2]HC per month BD07'!$A$1</definedName>
    <definedName name="input10b">'[2] FTE per month BD07'!$A$1</definedName>
    <definedName name="Investments">[2]Investments!$B$4</definedName>
    <definedName name="io">#REF!</definedName>
    <definedName name="IVA">'[2]CF DIL lay out'!$AC$7</definedName>
    <definedName name="jk">#REF!</definedName>
    <definedName name="KAISHA">[3]Company!$B$3:$J$227</definedName>
    <definedName name="KFD90A251H">[6]MODELNF!$A$1048</definedName>
    <definedName name="kk">#REF!</definedName>
    <definedName name="lcu" hidden="1">{"'S-13'!$A$1:$A$2"}</definedName>
    <definedName name="liu">#REF!</definedName>
    <definedName name="lll">[2]COVER!$G$3</definedName>
    <definedName name="Main_R">[7]!Main_R</definedName>
    <definedName name="Market_segment">[2]Menus!$H$6:$H$20</definedName>
    <definedName name="MMM">'[2]P&amp;L-Act-Bgt -FY0304'!$C$5</definedName>
    <definedName name="monthsplit04" hidden="1">'[2]DATA GRAFIEKEN'!$B$11:$B$18</definedName>
    <definedName name="mq">'[2]P&amp;L-Act-Bgt -FY0304'!$C$5</definedName>
    <definedName name="NAME">#REF!</definedName>
    <definedName name="OVERVIEW">#REF!</definedName>
    <definedName name="PP">#REF!</definedName>
    <definedName name="PRESENTATION">#REF!</definedName>
    <definedName name="Preventive1">#REF!</definedName>
    <definedName name="Preventive2">#REF!</definedName>
    <definedName name="_xlnm.Print_Area">'[2]08-2003'!$A$1:$T$55</definedName>
    <definedName name="Print_Area_MI">#REF!</definedName>
    <definedName name="PRINT_AREA_MI1">#REF!</definedName>
    <definedName name="_xlnm.Print_Titles">#REF!</definedName>
    <definedName name="qr">#REF!</definedName>
    <definedName name="RATE">#REF!</definedName>
    <definedName name="RawData">#REF!</definedName>
    <definedName name="Replacement1">#REF!</definedName>
    <definedName name="Replacement2">#REF!</definedName>
    <definedName name="Retrieve_B06afterTP">#REF!</definedName>
    <definedName name="Retrieve_B06beforeTP">'[2]Retrieve PL RB 06'!$A$4:$AA$95</definedName>
    <definedName name="Retrieve_BS">#REF!</definedName>
    <definedName name="Retrieve_R04">#REF!</definedName>
    <definedName name="Retrieve_R05">'[2]Retrieve PL R05'!$A$4:$AA$95</definedName>
    <definedName name="RetrievePL_RB06">#REF!</definedName>
    <definedName name="RSX10KUY1">[8]MODEL!$A$1289</definedName>
    <definedName name="RU08KY1">[8]MODEL!$D$1320</definedName>
    <definedName name="RU10KY1">[8]MODEL!$D$1322</definedName>
    <definedName name="SAPBEXhrIndnt" hidden="1">2</definedName>
    <definedName name="SAPBEXrevision" hidden="1">1</definedName>
    <definedName name="SAPBEXsysID" hidden="1">"BW1"</definedName>
    <definedName name="SAPBEXwbID" hidden="1">"4603WPAYFGYZYBD24TKZ5JAFU"</definedName>
    <definedName name="senap">#REF!</definedName>
    <definedName name="senar">#REF!</definedName>
    <definedName name="senfa">#REF!</definedName>
    <definedName name="sensales">#REF!</definedName>
    <definedName name="senstock">#REF!</definedName>
    <definedName name="SERVICE">#REF!</definedName>
    <definedName name="Sheet1">#REF!</definedName>
    <definedName name="Sheet1__2_">#REF!</definedName>
    <definedName name="Sheet1__3_">#REF!</definedName>
    <definedName name="Sky">'[4]Budget params'!$C$3</definedName>
    <definedName name="Source_factory">[2]Menus!$N$6:$N$10</definedName>
    <definedName name="Spec_In">[2]Menus!$L$6:$L$11</definedName>
    <definedName name="Specified_brand">[2]Menus!$J$6:$J$29</definedName>
    <definedName name="Split">'[4]Budget params'!$C$2</definedName>
    <definedName name="Starter">[2]Menus!$R$6:$R$7</definedName>
    <definedName name="State">[2]Menus!$D$6:$D$15</definedName>
    <definedName name="Status">[2]Menus!$A$6:$A$10</definedName>
    <definedName name="System_type">[2]Menus!$P$6:$P$12</definedName>
    <definedName name="TABLE_1">#REF!</definedName>
    <definedName name="TABLE_10_1">#REF!</definedName>
    <definedName name="TABLE_10_3">#REF!</definedName>
    <definedName name="TABLE_11_1">#REF!</definedName>
    <definedName name="TABLE_12_1">#REF!</definedName>
    <definedName name="TABLE_13_1">#REF!</definedName>
    <definedName name="TABLE_14_1">#REF!</definedName>
    <definedName name="TABLE_15_1">#REF!</definedName>
    <definedName name="TABLE_16_1">#REF!</definedName>
    <definedName name="TABLE_2_1">#REF!</definedName>
    <definedName name="TABLE_2_3">#REF!</definedName>
    <definedName name="TABLE_3">#REF!</definedName>
    <definedName name="TABLE_3_1">#REF!</definedName>
    <definedName name="TABLE_3_3">#REF!</definedName>
    <definedName name="TABLE_4_1">#REF!</definedName>
    <definedName name="TABLE_4_3">#REF!</definedName>
    <definedName name="TABLE_5_1">#REF!</definedName>
    <definedName name="TABLE_5_3">#REF!</definedName>
    <definedName name="TABLE_6_1">#REF!</definedName>
    <definedName name="TABLE_6_3">#REF!</definedName>
    <definedName name="TABLE_7_1">#REF!</definedName>
    <definedName name="TABLE_7_3">#REF!</definedName>
    <definedName name="TABLE_8_1">#REF!</definedName>
    <definedName name="TABLE_8_3">#REF!</definedName>
    <definedName name="TABLE_9_1">#REF!</definedName>
    <definedName name="TABLE_9_3">#REF!</definedName>
    <definedName name="tag">#REF!</definedName>
    <definedName name="Taguchi">#REF!</definedName>
    <definedName name="TaxTV">10%</definedName>
    <definedName name="TaxXL">5%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HKEY">#REF!</definedName>
    <definedName name="TESTKEYS">#REF!</definedName>
    <definedName name="TESTKY">#REF!</definedName>
    <definedName name="TESTVKEY">#REF!</definedName>
    <definedName name="tg">#REF!</definedName>
    <definedName name="TGUT">#REF!</definedName>
    <definedName name="Total">'[4]Budget params'!$C$7</definedName>
    <definedName name="TRYT">[9]!Main_R</definedName>
    <definedName name="tt">#REF!</definedName>
    <definedName name="ty">#REF!</definedName>
    <definedName name="Units">'[4]Budget params'!$C$6</definedName>
    <definedName name="uu">#REF!</definedName>
    <definedName name="vdg">#REF!</definedName>
    <definedName name="Volo_A_R_BXL">'[2]C Travel'!$B$61</definedName>
    <definedName name="volo_A_R_Giappone">'[2]C Travel'!$B$62</definedName>
    <definedName name="volo_A_R_Roma">'[2]C Travel'!$B$60</definedName>
    <definedName name="vr">#REF!</definedName>
    <definedName name="vv">#REF!</definedName>
    <definedName name="vxvx">#REF!</definedName>
    <definedName name="ww">#REF!</definedName>
    <definedName name="WWW">[2]COVER!$G$3</definedName>
    <definedName name="wy">#REF!</definedName>
    <definedName name="x">#REF!</definedName>
    <definedName name="ｘｘｘｘ">#REF!</definedName>
    <definedName name="yytj">[10]!Main_R</definedName>
    <definedName name="zojz" hidden="1">{"'S-13'!$A$1:$A$2"}</definedName>
    <definedName name="ここ" hidden="1">{"'S-13'!$A$1:$A$2"}</definedName>
    <definedName name="高外気提出用">#REF!</definedName>
    <definedName name="生产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提成0306" hidden="1">{"'S-13'!$A$1:$A$2"}</definedName>
    <definedName name="螺通2">#REF!</definedName>
    <definedName name="螺杆核算表">#REF!</definedName>
    <definedName name="汇率">#REF!</definedName>
    <definedName name="结构图1">#REF!</definedName>
    <definedName name="进出口平衡比较">#REF!</definedName>
    <definedName name="销售">#REF!</definedName>
  </definedNames>
  <calcPr calcId="191028"/>
  <pivotCaches>
    <pivotCache cacheId="83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0" i="28" l="1"/>
  <c r="J379" i="28"/>
  <c r="J354" i="28"/>
  <c r="J327" i="28"/>
  <c r="J310" i="28"/>
  <c r="J308" i="28"/>
  <c r="J290" i="28"/>
  <c r="J289" i="28"/>
  <c r="J288" i="28"/>
  <c r="J286" i="28"/>
  <c r="J285" i="28"/>
  <c r="J283" i="28"/>
  <c r="J251" i="28"/>
  <c r="J213" i="28"/>
  <c r="J382" i="28" s="1"/>
  <c r="J165" i="28"/>
  <c r="J92" i="28"/>
  <c r="J53" i="28"/>
  <c r="J41" i="28"/>
  <c r="J16" i="2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WorksheetConnection_20220708Pipeline DASI Service - July 2022 EPL.xlsx!Table1" type="5" refreshedVersion="2" saveData="1">
    <dbPr connection="" command=""/>
  </connection>
</connections>
</file>

<file path=xl/sharedStrings.xml><?xml version="1.0" encoding="utf-8"?>
<sst xmlns="http://schemas.openxmlformats.org/spreadsheetml/2006/main" count="3575" uniqueCount="877">
  <si>
    <t>Klien Name</t>
  </si>
  <si>
    <t>Area</t>
  </si>
  <si>
    <t>Project &amp; Bill Material</t>
  </si>
  <si>
    <t>Tipe</t>
  </si>
  <si>
    <t>Area2</t>
  </si>
  <si>
    <t>Sales Planner</t>
  </si>
  <si>
    <t>PIC</t>
  </si>
  <si>
    <t>Category</t>
  </si>
  <si>
    <t>Sector</t>
  </si>
  <si>
    <t>Quotation</t>
  </si>
  <si>
    <t>Status</t>
  </si>
  <si>
    <t>Est Booking Month</t>
  </si>
  <si>
    <t>booking fc</t>
  </si>
  <si>
    <t>keterangan</t>
  </si>
  <si>
    <t>RS Columbia Asia Medan</t>
  </si>
  <si>
    <t>RC UAA204ST3</t>
  </si>
  <si>
    <t>West</t>
  </si>
  <si>
    <t>Mira</t>
  </si>
  <si>
    <t>RC</t>
  </si>
  <si>
    <t>Hospital</t>
  </si>
  <si>
    <t>L</t>
  </si>
  <si>
    <t>Plaza Indonesia</t>
  </si>
  <si>
    <t>VES</t>
  </si>
  <si>
    <t>Dea</t>
  </si>
  <si>
    <t>EPL</t>
  </si>
  <si>
    <t>Komersial</t>
  </si>
  <si>
    <t>A</t>
  </si>
  <si>
    <t>OK</t>
  </si>
  <si>
    <t>Already PO</t>
  </si>
  <si>
    <t>Pengadaan FCU 2026-Phase II</t>
  </si>
  <si>
    <t>Channel</t>
  </si>
  <si>
    <t>Instalasi Channel</t>
  </si>
  <si>
    <t>FX Sudirman</t>
  </si>
  <si>
    <t>Hokben</t>
  </si>
  <si>
    <t>Blower AHU</t>
  </si>
  <si>
    <t>Binus</t>
  </si>
  <si>
    <t>Blower Binus</t>
  </si>
  <si>
    <t>Industri</t>
  </si>
  <si>
    <t>GS Battery-Audit System</t>
  </si>
  <si>
    <t>PT. Gita Persada Mandiri</t>
  </si>
  <si>
    <t>RC Project PT. Sinergi Bandung</t>
  </si>
  <si>
    <t>Chiller UAL100ER5</t>
  </si>
  <si>
    <t>David</t>
  </si>
  <si>
    <t>Aris</t>
  </si>
  <si>
    <t>Sudah terima PO  di 20 Mei 2026</t>
  </si>
  <si>
    <t>PT Wisana Matra Karya</t>
  </si>
  <si>
    <t xml:space="preserve">VES </t>
  </si>
  <si>
    <t>VES-Value Engineering Service Lanud TNI</t>
  </si>
  <si>
    <t>Danis</t>
  </si>
  <si>
    <t>Government</t>
  </si>
  <si>
    <t>PT. Cental Global</t>
  </si>
  <si>
    <t>RC Project PT. Alcon Batam 402</t>
  </si>
  <si>
    <t>AHU DDM &amp; DXE</t>
  </si>
  <si>
    <t>E</t>
  </si>
  <si>
    <t>ubmit penawran di 2026/06/12</t>
  </si>
  <si>
    <t>Patra Jasa</t>
  </si>
  <si>
    <t>KPI</t>
  </si>
  <si>
    <t>KPI Asset</t>
  </si>
  <si>
    <t>PT. Fajar Kreasindo</t>
  </si>
  <si>
    <t>Project Mall Park Pejanten Village Jakarta</t>
  </si>
  <si>
    <t>sudah submit by email di 2026/05/12</t>
  </si>
  <si>
    <t>PT. Wahana Teknik</t>
  </si>
  <si>
    <t>RC Project Hotel Prangger Bandung</t>
  </si>
  <si>
    <t>Kalah karena kendala di delivery time, yang menang Fuji Air.</t>
  </si>
  <si>
    <t>PT. Tecotama Mitra Sarana Elektrisindo</t>
  </si>
  <si>
    <t xml:space="preserve">RC Project Main Office Indah Kiat </t>
  </si>
  <si>
    <t>UAA348ST3-FBD (2)</t>
  </si>
  <si>
    <t>sudah submit penawaran di 2026/07/14 oleh bapak David</t>
  </si>
  <si>
    <t>L3</t>
  </si>
  <si>
    <t>Breakup-L3</t>
  </si>
  <si>
    <t>Pekerjaan Tambah Breakup L3</t>
  </si>
  <si>
    <t>PT. Kencana Sejuk Abadi Sunter</t>
  </si>
  <si>
    <t>RC Project Wisma BCA Part 2</t>
  </si>
  <si>
    <t>DDW120DB (1)</t>
  </si>
  <si>
    <t>Sudah terima PO</t>
  </si>
  <si>
    <t>PT. Dwiarta Teknologi Internasional</t>
  </si>
  <si>
    <t>RC Project RS Jantung Medan</t>
  </si>
  <si>
    <t>Sudah submit penawaran di 2026/04/22</t>
  </si>
  <si>
    <t>Vision Ease</t>
  </si>
  <si>
    <t>Pemasangan Valve</t>
  </si>
  <si>
    <t>Rangga</t>
  </si>
  <si>
    <t>H</t>
  </si>
  <si>
    <t>PT. Sarana Tunggal Mulia</t>
  </si>
  <si>
    <t>Project RC Mall Gandaria City - FCU DDB75BW</t>
  </si>
  <si>
    <t>ok</t>
  </si>
  <si>
    <t>PT. YKK Zipco 5</t>
  </si>
  <si>
    <t>RC-Chiller</t>
  </si>
  <si>
    <t>AS</t>
  </si>
  <si>
    <t>Faiz</t>
  </si>
  <si>
    <t>Project RC Project Castrol</t>
  </si>
  <si>
    <t>DCC030CW - 2</t>
  </si>
  <si>
    <t>EPL -Installation Chiller</t>
  </si>
  <si>
    <t>PT. Sumco Indonesia</t>
  </si>
  <si>
    <t>EPL-Installasi Chiller</t>
  </si>
  <si>
    <t>Oakwood Tower Tenant Burgreens</t>
  </si>
  <si>
    <t>FCU DDB100BW + Installation</t>
  </si>
  <si>
    <t>Azrul</t>
  </si>
  <si>
    <t>PO</t>
  </si>
  <si>
    <t>Project Replacement Chiller Bethsaida Hospitals Gading Serpong</t>
  </si>
  <si>
    <t>2026/04/01 Sudah menerima PO tanggal 27 Maret 2026</t>
  </si>
  <si>
    <t>PT. Pillar Ekatama</t>
  </si>
  <si>
    <t>RC Project Japfa Lamongan</t>
  </si>
  <si>
    <t>Project Replacement Chiller RS Mandaya Royal Puri</t>
  </si>
  <si>
    <t>2026/04/01 Sudah menerima PO tanggal 30 Maret 2026</t>
  </si>
  <si>
    <t>Aryaduta Hotel Menteng</t>
  </si>
  <si>
    <t>EPL RC AHU dan FCU</t>
  </si>
  <si>
    <t>PT. Central Global</t>
  </si>
  <si>
    <t>RC Project PT. Sammyung Precision Batam</t>
  </si>
  <si>
    <t>Submit penawraan by email di 2026/06/25</t>
  </si>
  <si>
    <t>fcu DDB75BW (2)</t>
  </si>
  <si>
    <t xml:space="preserve">Star Energy </t>
  </si>
  <si>
    <t xml:space="preserve">EPL </t>
  </si>
  <si>
    <t>East</t>
  </si>
  <si>
    <t>Setyo</t>
  </si>
  <si>
    <t xml:space="preserve">Waiting Management Approval </t>
  </si>
  <si>
    <t>Novell Pharmaceutical</t>
  </si>
  <si>
    <t>UAA110CV</t>
  </si>
  <si>
    <t>Erik</t>
  </si>
  <si>
    <t>PT. Daya Parama Intraguna</t>
  </si>
  <si>
    <t>RC Project Filter</t>
  </si>
  <si>
    <t>Samuel</t>
  </si>
  <si>
    <t>IAQ</t>
  </si>
  <si>
    <t>Harga tidak kompetitif</t>
  </si>
  <si>
    <t>BRIN gd 11</t>
  </si>
  <si>
    <t>UAA125ST3</t>
  </si>
  <si>
    <t>AS CSD</t>
  </si>
  <si>
    <t>TD Automotive Compressore Indonesia</t>
  </si>
  <si>
    <t>Modular Chiller-UAL230E5</t>
  </si>
  <si>
    <t>AL</t>
  </si>
  <si>
    <t>Nego</t>
  </si>
  <si>
    <t xml:space="preserve">RC Project MRI RS BHCC Bogor </t>
  </si>
  <si>
    <t>UAL150ER5 (3)</t>
  </si>
  <si>
    <t xml:space="preserve">Sudah terima PO di 20 Mei 2026 </t>
  </si>
  <si>
    <t>RS Premier</t>
  </si>
  <si>
    <t>UAL230</t>
  </si>
  <si>
    <t>DIC Astra</t>
  </si>
  <si>
    <t>UAL450</t>
  </si>
  <si>
    <t>Lion Wings</t>
  </si>
  <si>
    <t>UAL450 &amp; FCU</t>
  </si>
  <si>
    <t>Tirta Investama (Aqua) Subang</t>
  </si>
  <si>
    <t>Heat Pump + Shell and tube</t>
  </si>
  <si>
    <t>Tirta Sibayakindo(Aqua) Berastagi</t>
  </si>
  <si>
    <t>Cooling Tower</t>
  </si>
  <si>
    <t>C</t>
  </si>
  <si>
    <t>Negosiasi</t>
  </si>
  <si>
    <t xml:space="preserve">Installasi Chiller </t>
  </si>
  <si>
    <t>PT. Deltamas Solusindo</t>
  </si>
  <si>
    <t>RC Project Matahari Bimasakti PIK</t>
  </si>
  <si>
    <t>Sudah submit penawaran di 18/05/2026</t>
  </si>
  <si>
    <t>Masjid P4</t>
  </si>
  <si>
    <t>Kerja Tambah</t>
  </si>
  <si>
    <t>PT Indocool</t>
  </si>
  <si>
    <t>Channel-L2</t>
  </si>
  <si>
    <t>Grand Hyatt</t>
  </si>
  <si>
    <t>Calorifier</t>
  </si>
  <si>
    <t>FCU New 2026</t>
  </si>
  <si>
    <t>Parker Engineering</t>
  </si>
  <si>
    <t>Sunstar</t>
  </si>
  <si>
    <t>Masjid Q9 &amp; Q15</t>
  </si>
  <si>
    <t>Pengadaan Split Duct Masjid Q9 dan Q15</t>
  </si>
  <si>
    <t>PT. Senayan Trikarya Sempana</t>
  </si>
  <si>
    <t>EPL- Control Chiller 1</t>
  </si>
  <si>
    <t>PT Sakatama</t>
  </si>
  <si>
    <t>ZUWY</t>
  </si>
  <si>
    <t>Zaqi</t>
  </si>
  <si>
    <t>BNI Banjarmasin</t>
  </si>
  <si>
    <t>UAA125ST3-FBB</t>
  </si>
  <si>
    <t>Menunggu TTD 3 direksi di Jakarta</t>
  </si>
  <si>
    <t>ASTON Manado Hotel</t>
  </si>
  <si>
    <t>Replacement Chiller WC 180 TR</t>
  </si>
  <si>
    <t>Iik</t>
  </si>
  <si>
    <t>Aqua Klaten Mizone</t>
  </si>
  <si>
    <t xml:space="preserve">TD Automotive Compressor Indonesia </t>
  </si>
  <si>
    <t>EPL-Insulation Ducting AC Assy TACI Fase 08</t>
  </si>
  <si>
    <t>Close</t>
  </si>
  <si>
    <t>EPL-Jasa Pekerjaan Insulation Ducting AC Assy Fase 08</t>
  </si>
  <si>
    <t>PT Tirta Investama (Aqua) Plant Cianjur</t>
  </si>
  <si>
    <t>Instalasi Sistem Remote Chiller Sequencer</t>
  </si>
  <si>
    <t>CV Dian Mandiri</t>
  </si>
  <si>
    <t>Project W Hotel Bali -  FWW1200VC</t>
  </si>
  <si>
    <t>RS Ciputra Banjarmasin</t>
  </si>
  <si>
    <t>Proses SO</t>
  </si>
  <si>
    <t>Aryaduta Semanggi (EPL Aryaduta Semanggi)</t>
  </si>
  <si>
    <t>EPL HVAC</t>
  </si>
  <si>
    <t>FCU DUC</t>
  </si>
  <si>
    <t>EPL- Insulation Pipa Refrigerant AC Assy Fase 3</t>
  </si>
  <si>
    <t>EPL- Insulation Pipa Refrigerant AC Assy Fase 4</t>
  </si>
  <si>
    <t>EPL- Insulation Pipa Refrigerant AC Assy Fase 5</t>
  </si>
  <si>
    <t>EPL- Insulation Pipa Refrigerant AC Assy Fase 6</t>
  </si>
  <si>
    <t>EPL- Insulation Pipa Refrigerant AC Assy Fase 7</t>
  </si>
  <si>
    <t>EPL- Insulation Pipa Refrigerant AC Assy Fase 8</t>
  </si>
  <si>
    <t>EPL- Installation Kabel Power Ac ASSY Fase 1</t>
  </si>
  <si>
    <t>Hotel Golden Tulip</t>
  </si>
  <si>
    <t>Danone Prambanan</t>
  </si>
  <si>
    <t xml:space="preserve">HXEV490 </t>
  </si>
  <si>
    <t>WC MB</t>
  </si>
  <si>
    <t>Tunggu Hasil Sugisindo WEST</t>
  </si>
  <si>
    <t>Gress Mall</t>
  </si>
  <si>
    <t>Sequis</t>
  </si>
  <si>
    <t>Ruang Trafo</t>
  </si>
  <si>
    <t>KAER (RC Chiller Sheraton Bali)</t>
  </si>
  <si>
    <t>RC HXEV700</t>
  </si>
  <si>
    <t>Improvement SPS 1 dan 2</t>
  </si>
  <si>
    <t>RS Suriansyah</t>
  </si>
  <si>
    <t>PT Hopak (Davindo)</t>
  </si>
  <si>
    <t>existing Mitsubishi 240TR WC Piston</t>
  </si>
  <si>
    <t>CJ Jombang</t>
  </si>
  <si>
    <t>AHU</t>
  </si>
  <si>
    <t>PT Indo Cipta</t>
  </si>
  <si>
    <t>Aqua Sambung Gede</t>
  </si>
  <si>
    <t>HeatPump</t>
  </si>
  <si>
    <t>RS Unair</t>
  </si>
  <si>
    <t>Aqua Mambal installasi</t>
  </si>
  <si>
    <t>Installasi Heatpump</t>
  </si>
  <si>
    <t>VES Filler</t>
  </si>
  <si>
    <t>Indofood gempol</t>
  </si>
  <si>
    <t xml:space="preserve">IGD RSUD Dr Soetomo </t>
  </si>
  <si>
    <t xml:space="preserve">AHU - CHILLER </t>
  </si>
  <si>
    <t>Audit Grand Hyatt</t>
  </si>
  <si>
    <t>Hagendaz</t>
  </si>
  <si>
    <t>Pastriella</t>
  </si>
  <si>
    <t>Maintenance</t>
  </si>
  <si>
    <t>Torenda</t>
  </si>
  <si>
    <t>Lanore</t>
  </si>
  <si>
    <t>Bongkar Ducting</t>
  </si>
  <si>
    <t>Correvtive Maintenance April 2026</t>
  </si>
  <si>
    <t>Atria Tower</t>
  </si>
  <si>
    <t>WC CSD</t>
  </si>
  <si>
    <t xml:space="preserve">RS KARIADI </t>
  </si>
  <si>
    <t>RC - UHA100</t>
  </si>
  <si>
    <t xml:space="preserve">Update: Minta penawaran dari pihak DASI. Tender di kementrian sedang Efesiensi </t>
  </si>
  <si>
    <t>YEMI (YAMAHA ELECTRONIC)</t>
  </si>
  <si>
    <t xml:space="preserve">UHAS 100 </t>
  </si>
  <si>
    <t xml:space="preserve">Proses review di management untuk dapat di lanjutkan proses lebih lanjut pada pengadaan barang </t>
  </si>
  <si>
    <t>GUMAYA TOWER</t>
  </si>
  <si>
    <t>New Skyline Kitchen</t>
  </si>
  <si>
    <t xml:space="preserve">Supply FCU dan installasi unit menggunakan koneksi chiller existing </t>
  </si>
  <si>
    <t>PT. Colombia Asia Medan</t>
  </si>
  <si>
    <t xml:space="preserve">RC Chiller UAL150ER5 </t>
  </si>
  <si>
    <t>PT Nippon Paint Ancol Jakarta (EPL NP Ancol)</t>
  </si>
  <si>
    <t>EPL HVAC Labour Room</t>
  </si>
  <si>
    <t>Ambarrukmo Plaza</t>
  </si>
  <si>
    <t>RC Chiller ZUWS</t>
  </si>
  <si>
    <t>WS CSD</t>
  </si>
  <si>
    <t>Santika Hotel Semarang</t>
  </si>
  <si>
    <t xml:space="preserve">Kompetitor Euroklimat, budgeting pengadaan 2025 dengan komposisi chiller UAL450 HR x 2 dan UAL450 STD x 1 </t>
  </si>
  <si>
    <t>RSUD AWS</t>
  </si>
  <si>
    <t>RC UAA150</t>
  </si>
  <si>
    <t>D</t>
  </si>
  <si>
    <t>Budgeting</t>
  </si>
  <si>
    <t xml:space="preserve">Linde Indonesia </t>
  </si>
  <si>
    <t xml:space="preserve">EPL Ruang Panel </t>
  </si>
  <si>
    <t>Tender</t>
  </si>
  <si>
    <t>PT Jaya Sakti Mulia (RC AHU Tunjungan Plaza Sby)</t>
  </si>
  <si>
    <t>RC AHU Tunjungan Plaza</t>
  </si>
  <si>
    <t>PT. Master Tritunggal Pratama</t>
  </si>
  <si>
    <t>RC Grand Indonesia</t>
  </si>
  <si>
    <t xml:space="preserve">Wilmar Ruang Filling </t>
  </si>
  <si>
    <t xml:space="preserve">Filling Room </t>
  </si>
  <si>
    <t>CV Davindo Anugrah Unggul (RC FCU Nestle)</t>
  </si>
  <si>
    <t>RC DDBBW</t>
  </si>
  <si>
    <t>FCU STD</t>
  </si>
  <si>
    <t xml:space="preserve">Aneka Tuna </t>
  </si>
  <si>
    <t xml:space="preserve">Production Room </t>
  </si>
  <si>
    <t xml:space="preserve">Wilmar FRA Building Project </t>
  </si>
  <si>
    <t>AHU - DM1</t>
  </si>
  <si>
    <t>PT Gita Persada Mandiri</t>
  </si>
  <si>
    <t>UAL 450 D5</t>
  </si>
  <si>
    <t>Already SO</t>
  </si>
  <si>
    <t>PT. Jawa Power</t>
  </si>
  <si>
    <t>Filter -IAQ</t>
  </si>
  <si>
    <t>Sudah submit quotation ke bu ulfah via email di 2026/03/16 dan akan di fu berkala (seminggu)</t>
  </si>
  <si>
    <t>PT. Bukit Asam</t>
  </si>
  <si>
    <t>Pre Filter</t>
  </si>
  <si>
    <t>Harga JAF lebih tinggi 2x dari DAF (65000) Info dari pak yudi DPI</t>
  </si>
  <si>
    <t xml:space="preserve">Pertamina Balongan </t>
  </si>
  <si>
    <t xml:space="preserve">Lost </t>
  </si>
  <si>
    <t>Petrolab</t>
  </si>
  <si>
    <t>CAP</t>
  </si>
  <si>
    <t>Airnav</t>
  </si>
  <si>
    <t>PT Nippon Paint (EPL NP Ancol Lab Labour Technical)</t>
  </si>
  <si>
    <t>EPL UAL-DDB</t>
  </si>
  <si>
    <t xml:space="preserve">BADAK LNG </t>
  </si>
  <si>
    <t>EWAD</t>
  </si>
  <si>
    <t xml:space="preserve">Tradco </t>
  </si>
  <si>
    <t xml:space="preserve">Astro </t>
  </si>
  <si>
    <t xml:space="preserve">RC </t>
  </si>
  <si>
    <t xml:space="preserve">TPPI </t>
  </si>
  <si>
    <t xml:space="preserve">Doubel Tree </t>
  </si>
  <si>
    <t xml:space="preserve">Control </t>
  </si>
  <si>
    <t>Cont Others</t>
  </si>
  <si>
    <t>PT. Global Integrasi Solusi</t>
  </si>
  <si>
    <t>Pertamina Geothermal Karaha</t>
  </si>
  <si>
    <t>PT Novell Pharmaceutical Laboratories</t>
  </si>
  <si>
    <t>Sudah submit quotation ac single split 2 PK 1 unit pada Mon 01/12/2025 1:21 PM</t>
  </si>
  <si>
    <t>PT. Mattel Indonesia</t>
  </si>
  <si>
    <t>CAP CCR Room</t>
  </si>
  <si>
    <t>AHU DX</t>
  </si>
  <si>
    <t>CAP SMI Plant</t>
  </si>
  <si>
    <t>UAL</t>
  </si>
  <si>
    <t>CV. Global System Mandiri</t>
  </si>
  <si>
    <t>PT Tirta Investama</t>
  </si>
  <si>
    <t>Control Softwater</t>
  </si>
  <si>
    <t xml:space="preserve">PT. Wahana Teknik -  Project Preangger Hotel - Bandung </t>
  </si>
  <si>
    <t>Sudah menerima PO</t>
  </si>
  <si>
    <t>Sudah submit penawaran by email di 2026/06/19</t>
  </si>
  <si>
    <t>PT. Sanghiang Perkasa</t>
  </si>
  <si>
    <t>CV. Abuputra</t>
  </si>
  <si>
    <t>RC Project IRIS-3 STT Telemedia - Filter AHU</t>
  </si>
  <si>
    <t>Sudah submit penawaran di 2026/06/12</t>
  </si>
  <si>
    <t>Sudah submit quotation oleh mba Dea dan sedang di review  oleh internal PI.</t>
  </si>
  <si>
    <t>Patra jasa</t>
  </si>
  <si>
    <t>fIler - IAQ</t>
  </si>
  <si>
    <t>2026/03/13 : Sudah di submit penawaran oleh mba Dea dan menunggu jadwal dari pihak patra untuk presentasi quotation.</t>
  </si>
  <si>
    <t>PT. ZTT Cable Indonesia</t>
  </si>
  <si>
    <t>19 Januari 2026 sudah submit quoation filter ke Bu Nina by email.</t>
  </si>
  <si>
    <t>PT. Graha Santika Dyandra (hotel santika medan)</t>
  </si>
  <si>
    <t>Sudah submit quotation project fcu resto di 2026/03/12
30/03/2026 : Quotation Minggu 1 April akan di ajukan oleh Bapak Arno ke GM dan HS Pusat</t>
  </si>
  <si>
    <t>Relokasi Unit</t>
  </si>
  <si>
    <t>PT. Master Tritunggal Pratama - PT. Meij Rubber Cikarang - David</t>
  </si>
  <si>
    <t>Sudah menerima PO dari customer di tanggal  28 JANUARI 2026.</t>
  </si>
  <si>
    <t>PT Surteckariya</t>
  </si>
  <si>
    <t>Deliveri ke site</t>
  </si>
  <si>
    <t>Residential</t>
  </si>
  <si>
    <t>Instalasi Unit DX</t>
  </si>
  <si>
    <t>Waiting PO</t>
  </si>
  <si>
    <t>L3-Breakup</t>
  </si>
  <si>
    <t>Additional Work</t>
  </si>
  <si>
    <t>B</t>
  </si>
  <si>
    <t>GHJ</t>
  </si>
  <si>
    <t>Punch Through</t>
  </si>
  <si>
    <t>Additional Work-Phase 1</t>
  </si>
  <si>
    <t>Additional Work-Phase 2</t>
  </si>
  <si>
    <t>Sate Senayan</t>
  </si>
  <si>
    <t>Hot Tapping Pipa-Sate Senayan</t>
  </si>
  <si>
    <t>Penggantian Pipa 5 inch</t>
  </si>
  <si>
    <t>PT Cira</t>
  </si>
  <si>
    <t>Kedubes Malaysia</t>
  </si>
  <si>
    <t>Teruna Perkasa Optimal</t>
  </si>
  <si>
    <t>PT. Sahabat Kota Wisata</t>
  </si>
  <si>
    <t>Living World Kota Wisata Cibubur - Filter -IAQ</t>
  </si>
  <si>
    <t>Menerima PO di 25 Februari 2026</t>
  </si>
  <si>
    <t>PT Deltamas - David - Samuel</t>
  </si>
  <si>
    <t>Project PT. Vaksindo Bogor</t>
  </si>
  <si>
    <t>sudah submit quotation by email di 2026/03/05 ke didin setiyono &lt;didinsetiyono22@yahoo.com&gt;</t>
  </si>
  <si>
    <t>Metropolitan Mall</t>
  </si>
  <si>
    <t xml:space="preserve">PT. Gita Mandiri Persada - RS Hasan Sadikin Bandung </t>
  </si>
  <si>
    <t>29 Januari submit quotation UAL450D5 2 unit untuk project RS Hasan Sadikin Bandung dan sudah trima PO</t>
  </si>
  <si>
    <t>PT VNLPE</t>
  </si>
  <si>
    <t>DJK</t>
  </si>
  <si>
    <t>LOC</t>
  </si>
  <si>
    <t>GES4222</t>
  </si>
  <si>
    <t>Instalasi Chiller</t>
  </si>
  <si>
    <t>Asttra Otoparts</t>
  </si>
  <si>
    <t>UAL090</t>
  </si>
  <si>
    <t>RS Premier Bintaro</t>
  </si>
  <si>
    <t>UAL450D</t>
  </si>
  <si>
    <t>KOITO</t>
  </si>
  <si>
    <t>MUWD080</t>
  </si>
  <si>
    <t>Lintec Indonesia</t>
  </si>
  <si>
    <t>Samator</t>
  </si>
  <si>
    <t>RC Nitrogen system</t>
  </si>
  <si>
    <t xml:space="preserve">PT. Gita Mandiri Persada -  RS Siloam Hospital </t>
  </si>
  <si>
    <t>UAL230 ER</t>
  </si>
  <si>
    <t>29 Januari submit quotation UAL423D5 1 unit untuk project RS Siloam Hospital Jambi dan sudah trima PO</t>
  </si>
  <si>
    <t>Sudah menerima PO dari PT. Novel dan sudah di proses ke mba ana.</t>
  </si>
  <si>
    <t>1. Akan diplaningkan untuk eksekusi pekerjaan dan delivery unit split duct di 2 Januari 2026.
2. Pekerjaan installasi sudah selesai di 4 Januari 2026, akan dikirimkan report di 6-9 Januari 2026.</t>
  </si>
  <si>
    <t>PT Tirta Fresindo Jaya Pasuruan (EPL Ruang Trafo dan Ruang LVMDP)</t>
  </si>
  <si>
    <t>EPL Ruang Trafo dan Ruang LVMDP</t>
  </si>
  <si>
    <t>T</t>
  </si>
  <si>
    <t>-</t>
  </si>
  <si>
    <t>HVAC Ruang Trafo dan Ruang LVMDP. Budget 2024 belum diapprove. Diajukan kembali di 2025</t>
  </si>
  <si>
    <t>POSA GROUP (RC Ambon City Center)</t>
  </si>
  <si>
    <t>RC UAA125ST3M-FBBA</t>
  </si>
  <si>
    <t>Budgeting untuk penggantian Chiller matahari dan hypermart</t>
  </si>
  <si>
    <t>PT Venindo (RC Verwood Hotel Surabaya)</t>
  </si>
  <si>
    <t>RC ZUWY6P2OSF</t>
  </si>
  <si>
    <t>PT Airtech (RC AHU Ritamall Purwokerto)-David</t>
  </si>
  <si>
    <t>RC DDB150BWDS x 12 Unit</t>
  </si>
  <si>
    <t>AHU STD</t>
  </si>
  <si>
    <t>PT Sarana Nikoteknik (RC Chiller Pentacity Balikpapan)-David</t>
  </si>
  <si>
    <t>RC HTS100 x 1 Unit</t>
  </si>
  <si>
    <t>CV Manado Inti Perkasa (RC Chiller GKN Manado)-David</t>
  </si>
  <si>
    <t>RC UAA175ST3</t>
  </si>
  <si>
    <t>PT Immanuel Solusi Sejahtera (RC FCU FWW300VC)</t>
  </si>
  <si>
    <t>RC FCU FWW300VC x 1 Unit</t>
  </si>
  <si>
    <t>PT Nipsea Paint and Chemical (EPL HVAC Ruang Laboratorium)</t>
  </si>
  <si>
    <t>EPL SDMC85 x 2 Unit</t>
  </si>
  <si>
    <t>Budget diajukan untuk 2025</t>
  </si>
  <si>
    <t>PT Nipsea Paint and Chemical (EPL HVAC Ruang Hardener)</t>
  </si>
  <si>
    <t>EPL SDMC85 x 1 Unit</t>
  </si>
  <si>
    <t>PT Hamparan Daya Cipta (RC FCU Grand Mirage)</t>
  </si>
  <si>
    <t>RC FWWVC x 17 Unit</t>
  </si>
  <si>
    <t>PT Hamparan Daya Cipta (RC FCU FWW1400VC Beachwalk)</t>
  </si>
  <si>
    <t>RC FWW1400VC x 2 Unit</t>
  </si>
  <si>
    <t>PT Hamparan Daya Cipta (RC FCU Harris POP Denpasar)</t>
  </si>
  <si>
    <t>RC DDB075BW x 2 Unit</t>
  </si>
  <si>
    <t>CV Davindo Anugrah Unggul (RC WCPU PGS Surabaya)</t>
  </si>
  <si>
    <t>RC UCCP210BP x 1 Unit</t>
  </si>
  <si>
    <t>PT Cheil Jedang Pasuruan (EPL Filter AHU)</t>
  </si>
  <si>
    <t>EPL Filter AHU AAF</t>
  </si>
  <si>
    <t>PT Immanuel Solusi Sejahtera (RC FCU Hotel Melia Bali)</t>
  </si>
  <si>
    <t>RC FCU FWWVC x 4 Unit</t>
  </si>
  <si>
    <t>CV Davindo Anugrah Unggul (RC Petronika Gresik)</t>
  </si>
  <si>
    <t>RC UAL450D5</t>
  </si>
  <si>
    <t>Mitra Medica (HVAC Rumah Sakit)</t>
  </si>
  <si>
    <t>EPL SBFC100</t>
  </si>
  <si>
    <t>PT Fujitron (RC AHU GMF Jakarta)</t>
  </si>
  <si>
    <t>RC DDBBWDS</t>
  </si>
  <si>
    <t>PT CEO Internusa Aircon (RC Chiller PT BKP Bekasi)</t>
  </si>
  <si>
    <t>RC UAL070ER5</t>
  </si>
  <si>
    <t>PT Dian Mandiri (RC FCU Hotel Ayana Bali)</t>
  </si>
  <si>
    <t>RC FCU FWW600VC x 131 Unit</t>
  </si>
  <si>
    <t>PT Dita Utama (RC Chiller Plaza Balikpapan)</t>
  </si>
  <si>
    <t>RC UAA380ST3M</t>
  </si>
  <si>
    <t>CV DOB karunia (RC FCU Intiland Sby)</t>
  </si>
  <si>
    <t>RC FCU DDB</t>
  </si>
  <si>
    <t>PT Unilever Tbk (EPL HVAC Unilever)</t>
  </si>
  <si>
    <t>EPL SVC125AYL</t>
  </si>
  <si>
    <t>PT Hamparan Daya Cipta Infinity / Megamall Manado (RC Chiller Megamall Manado)</t>
  </si>
  <si>
    <t>RC HTS113</t>
  </si>
  <si>
    <t>PT Canada Green Gate</t>
  </si>
  <si>
    <t>RC UAL230 x 1 Unit Low Leaving Water Temp</t>
  </si>
  <si>
    <t>PT Smart Tbk (EPL HVAC Menara Meeting Room)</t>
  </si>
  <si>
    <t>EPL Menara Meeting Room SVC125AYL</t>
  </si>
  <si>
    <t>PT. Global Central</t>
  </si>
  <si>
    <t>RC Project PT. Alcon Batam</t>
  </si>
  <si>
    <t>Sudah submit quotation di 2026/05/29</t>
  </si>
  <si>
    <t>BADAK LNG - N2 B39</t>
  </si>
  <si>
    <t xml:space="preserve">Niko Teknik </t>
  </si>
  <si>
    <t xml:space="preserve">Revorma </t>
  </si>
  <si>
    <t xml:space="preserve">Pupuk Indonesia </t>
  </si>
  <si>
    <t>TCCC  - Pupuk Kaltim</t>
  </si>
  <si>
    <t>Aryaduta Manado (RC AHU-FCU Aryaduta Manado)</t>
  </si>
  <si>
    <t>RC FWWVC+DDBBWDS</t>
  </si>
  <si>
    <t>Hotel Surya Prigen</t>
  </si>
  <si>
    <t>RC FCU Hotel Surya FWW600</t>
  </si>
  <si>
    <t>Budgeting untuk Replacement FCU Kamar</t>
  </si>
  <si>
    <t>Hotel Malyabhara Jogjakarta</t>
  </si>
  <si>
    <t>RC Chiller UAA150ST3M x 1 Unit</t>
  </si>
  <si>
    <t>Greeefield</t>
  </si>
  <si>
    <t>RC AHU Chiller Butter</t>
  </si>
  <si>
    <t>PT Cahaya Parama Niscala (RC FCU 10 PK Cirebon Superblok Mall)</t>
  </si>
  <si>
    <t>RC DDB100 BW</t>
  </si>
  <si>
    <t>Kaer Pte Ltd Singapore (RC Chiller Galaxy Mall Surabaya)</t>
  </si>
  <si>
    <t>RC Chiller HTS113 x 2 Unit</t>
  </si>
  <si>
    <t>PT BSD Medica</t>
  </si>
  <si>
    <t>RC-UAA245 &amp; Installation</t>
  </si>
  <si>
    <t>UAA245</t>
  </si>
  <si>
    <t>PT Syakha Cakra Buana</t>
  </si>
  <si>
    <t>RC-PT LEN Bandung</t>
  </si>
  <si>
    <t>UAL230D5</t>
  </si>
  <si>
    <t>Bandara Lombok</t>
  </si>
  <si>
    <t>RC UAA245ST3M</t>
  </si>
  <si>
    <t>PT. Master Tri Tunggal Pratama - David - Samuel</t>
  </si>
  <si>
    <t>Project Plaza Indonesia - FCU DDB75BW</t>
  </si>
  <si>
    <t>Santos jaya Abadi</t>
  </si>
  <si>
    <t>UAL450 x 3</t>
  </si>
  <si>
    <t>Menggantikan DX</t>
  </si>
  <si>
    <t>Teluk Lamong</t>
  </si>
  <si>
    <t>VES Ducting</t>
  </si>
  <si>
    <t>HeatPump Aqua Wonosobo</t>
  </si>
  <si>
    <t>HeatPump Aqua Mambal</t>
  </si>
  <si>
    <t>Aqua Wonosobo</t>
  </si>
  <si>
    <t>RC Heatpump</t>
  </si>
  <si>
    <t>EWYE70</t>
  </si>
  <si>
    <t>Aqua Mambal</t>
  </si>
  <si>
    <t>Aqua Wonosobo Installasi Haetpump</t>
  </si>
  <si>
    <t>RS Ciputra jakarta</t>
  </si>
  <si>
    <t>RC UAL340*2 + installasi</t>
  </si>
  <si>
    <t>PT Emart - David</t>
  </si>
  <si>
    <t>Project Brine Chiller PT Dover Chemical</t>
  </si>
  <si>
    <t>PT Bintang Kreasi Aroma</t>
  </si>
  <si>
    <t>EPL-Split Duct 5PK</t>
  </si>
  <si>
    <t>DX</t>
  </si>
  <si>
    <t>PT AVI - David</t>
  </si>
  <si>
    <t>Project Royal Medicalink Pharmalab</t>
  </si>
  <si>
    <t>PT Trisun Techiques Mandiri - David</t>
  </si>
  <si>
    <t>Project PSUGI</t>
  </si>
  <si>
    <t>CV. Sarana Air Cool - David</t>
  </si>
  <si>
    <t>Project Gula Putih Mataram</t>
  </si>
  <si>
    <t>CV Gentraco - David</t>
  </si>
  <si>
    <t>Project PT Indofood Palembang</t>
  </si>
  <si>
    <t>PT Deltamas - David</t>
  </si>
  <si>
    <t>Project PT Sinde</t>
  </si>
  <si>
    <t>RC Project RS POLRI</t>
  </si>
  <si>
    <t>Chiller UAL230D5 (2)</t>
  </si>
  <si>
    <t>IHF</t>
  </si>
  <si>
    <t>1 UAL 230, 1 UAL070, Standing DFS 2</t>
  </si>
  <si>
    <t xml:space="preserve">PT. Central Global </t>
  </si>
  <si>
    <t>RC Project Batam Karya</t>
  </si>
  <si>
    <t>Sudah submit penawaran 2026/06/04</t>
  </si>
  <si>
    <t>PT Immanuel Solusi Sejahtera - David</t>
  </si>
  <si>
    <t>UAL450 x 3 - PT Plasindo</t>
  </si>
  <si>
    <t>PT. GITA PERSADA MANDIRI</t>
  </si>
  <si>
    <t>RC-Project Ovindo Metaltama Tehnik</t>
  </si>
  <si>
    <t>UAL 450 D5 &amp; UAL340D5</t>
  </si>
  <si>
    <t>Already PO - SO046808</t>
  </si>
  <si>
    <t>Indah Kiat Pulp and Paper</t>
  </si>
  <si>
    <t>AHU 7 Unit</t>
  </si>
  <si>
    <t>PT. Gita Persada Mandiri- David - Samuel</t>
  </si>
  <si>
    <t xml:space="preserve">RC Project PT. Narumi Indonesia Cikarang ; 
UAL450D5 (2), DDB040BW(1), DDM2-1013B (1) </t>
  </si>
  <si>
    <t xml:space="preserve">1. belum ada update dari Jepang, statusnya masih budgeting.
2. Ada request untuk assetment chiller, solenoid valve pecah, dan bisa di kerjakan hanya di hari minggu. </t>
  </si>
  <si>
    <t>PT Evo Manufacturing Indonesia</t>
  </si>
  <si>
    <t>RC-Cooling Sistem</t>
  </si>
  <si>
    <t>Main Equipment</t>
  </si>
  <si>
    <t>RC Project MTP</t>
  </si>
  <si>
    <t>Sudah di submit quotation by email ke  hendro@stpindo.co.id  di 2026/03/12</t>
  </si>
  <si>
    <t>CV. Permata Tehnik - David - Samuel</t>
  </si>
  <si>
    <t xml:space="preserve">RC Project EJIP Cikarang </t>
  </si>
  <si>
    <t>Sudah di submit quotation by email ke  marketing@permatateknik.com   di 2026/03/12</t>
  </si>
  <si>
    <t>Sudah terima PO di 2026/06/04</t>
  </si>
  <si>
    <t>PT. Wahana Teknik - David - Samuel</t>
  </si>
  <si>
    <t>RSBP Batam</t>
  </si>
  <si>
    <t xml:space="preserve">1. Sudah submit penawaran 2026/02/23 by email
2. Sudah submit penawaranrevisi 1  di 2026/02/27 by email
</t>
  </si>
  <si>
    <t>PT. Central Global -   David Samuel</t>
  </si>
  <si>
    <t>Project Flex - industry clean room</t>
  </si>
  <si>
    <t>KAER (RC Chiller Lippo Mall Kemang Jkt)</t>
  </si>
  <si>
    <t>RC HXEV700Q</t>
  </si>
  <si>
    <t>PT. AC Wahana - David Samuel</t>
  </si>
  <si>
    <t>Gedung Arinav</t>
  </si>
  <si>
    <t>Sudah submit penawaran 2026/02/27by email</t>
  </si>
  <si>
    <t>PT. Pillar Ekatama - David Samuel</t>
  </si>
  <si>
    <t>RC Project RSUD Muara Dua Sumsel</t>
  </si>
  <si>
    <t>Sudah submit penawran ke risha@pilarekatama.com di 2026/03/17</t>
  </si>
  <si>
    <t>PT Cilikon Tata Udara Indonesia</t>
  </si>
  <si>
    <t>EPL- RSUD Kanujoso Balikpapan</t>
  </si>
  <si>
    <t>DID - DM2TB-0510B</t>
  </si>
  <si>
    <t>OKB MOT R.OK Mayor Antiradiasi</t>
  </si>
  <si>
    <t>Genebank Bogor</t>
  </si>
  <si>
    <t>Sudah submit ke email 'gitamandiri@gmail.com di 2026/02/24</t>
  </si>
  <si>
    <t xml:space="preserve">Project PT. Braja Mukti Cakra </t>
  </si>
  <si>
    <t>Info dari MTP, user condong memilih york karena existing memakai york, 9:50 2026/02/19</t>
  </si>
  <si>
    <t xml:space="preserve"> PT.ANEKA SOLUSI ENGINEERING - David - Samuel</t>
  </si>
  <si>
    <t>RC Project PLTA Saguling</t>
  </si>
  <si>
    <t xml:space="preserve">PT. Denki Engineering </t>
  </si>
  <si>
    <t>RC Project DNP Karawang (1)</t>
  </si>
  <si>
    <t>PT. Dian Mandiri - David - Samuel</t>
  </si>
  <si>
    <t>RC Project The Laguna Nusa Dua Bali</t>
  </si>
  <si>
    <t>RC Project St. Regis</t>
  </si>
  <si>
    <t>PT. Dover Chemical Merak</t>
  </si>
  <si>
    <t xml:space="preserve">C Project PT. Dover Chemical - Merak </t>
  </si>
  <si>
    <t>Sudah submit quotation by email ke zuhadi@dovechem.co.id di 2026/03/10</t>
  </si>
  <si>
    <t>RC Project IKPP Perawang</t>
  </si>
  <si>
    <t>Sudah submit by quotaiton di 2026/03/04</t>
  </si>
  <si>
    <t>PT. Hanei Indonesia - David</t>
  </si>
  <si>
    <t xml:space="preserve">RC Project CCO Factory Palembang </t>
  </si>
  <si>
    <t>Submit quotation di 10 Februari 2026</t>
  </si>
  <si>
    <t>PT. Janur Teknik Mandiri - David</t>
  </si>
  <si>
    <t xml:space="preserve">RC Project Garuda Food </t>
  </si>
  <si>
    <t>PT. Sampoerna Tritunggal Pratama</t>
  </si>
  <si>
    <t>“Daikin China”  Fan Coil Unit (10)</t>
  </si>
  <si>
    <t>sudah submit quotation ke tikakris@stpindo.co.id di 28/03/2026</t>
  </si>
  <si>
    <t>PT. Candi Toba, Anugerah, Trihaga</t>
  </si>
  <si>
    <t>Indonesia Power Pangkalan susu Medan</t>
  </si>
  <si>
    <t>sudah submit quotation ke stogih@yahoo.co.id  di 28/03/2026</t>
  </si>
  <si>
    <t>PT. Cipta Kreasindo Teknika  - David</t>
  </si>
  <si>
    <t>RC Project Indolakto Cicurug</t>
  </si>
  <si>
    <t>PT. Graha Nusa Raya</t>
  </si>
  <si>
    <t>UCCP170BP (1)</t>
  </si>
  <si>
    <t>Submit harga di email di 2026/03/05</t>
  </si>
  <si>
    <t>Project Filling room C3 – Indolakto</t>
  </si>
  <si>
    <t>Submit quotation di 2026/03/02</t>
  </si>
  <si>
    <t>MNC Tower</t>
  </si>
  <si>
    <t>MNC</t>
  </si>
  <si>
    <t>Submit Qou To PT Hijau</t>
  </si>
  <si>
    <t>Mitra Anda Pontianak</t>
  </si>
  <si>
    <t>RC UAL</t>
  </si>
  <si>
    <t>CV Davindo Anugrah Unggul (RC-FCU Campina)</t>
  </si>
  <si>
    <t>RC FCU Campina FWW-L 06L x 5 Unit Wall Mounted</t>
  </si>
  <si>
    <t>PJB Gresik</t>
  </si>
  <si>
    <t>CT</t>
  </si>
  <si>
    <t>PT Indofood Pasuruan</t>
  </si>
  <si>
    <t>PT. Pilar Ekatama - David - Samuel</t>
  </si>
  <si>
    <t>Sudah submit quotation ke pilar ekatama di 2026/04/27</t>
  </si>
  <si>
    <t xml:space="preserve">TPO </t>
  </si>
  <si>
    <t>Filter-IAQ</t>
  </si>
  <si>
    <t>Unilever</t>
  </si>
  <si>
    <t>EPL-Motirized</t>
  </si>
  <si>
    <t>Hilton Bali</t>
  </si>
  <si>
    <t>EPL-RC AHU Kitchen</t>
  </si>
  <si>
    <t>PT. Prima Totech</t>
  </si>
  <si>
    <t>EPL-Pintu AHU</t>
  </si>
  <si>
    <t>Krakatau Properti</t>
  </si>
  <si>
    <t>EPL-Mobdemob</t>
  </si>
  <si>
    <t>TJB Power</t>
  </si>
  <si>
    <t>HVAC System</t>
  </si>
  <si>
    <t>RC Project Bandara Soeta 1B</t>
  </si>
  <si>
    <t>Sudah submit quotation by email ke bu risha di 2026/05/04</t>
  </si>
  <si>
    <t>RS Unhas</t>
  </si>
  <si>
    <t>EPL - AHU BSL, ICU, General Room</t>
  </si>
  <si>
    <t>LOSE = =&gt; Secara Spek DID tidak bisa mengikuti dan tahap seleksi lama jadi user memutuskan untuk ganti brand</t>
  </si>
  <si>
    <t>Hotel Royal Cilegon</t>
  </si>
  <si>
    <t xml:space="preserve">EPL - Repalacment AC VRV </t>
  </si>
  <si>
    <t>Review BOD ==&gt; Belum ada update apakah proeject dilanjutkan atau tidak</t>
  </si>
  <si>
    <t>PT Itama Rayonara</t>
  </si>
  <si>
    <t>EPL-Instalasi Effice Lantai 19 ITS Tower</t>
  </si>
  <si>
    <t>VRV</t>
  </si>
  <si>
    <t>PT Toka Tindung</t>
  </si>
  <si>
    <t>EPL - System Hvac for MCC Room</t>
  </si>
  <si>
    <t>Capex already submitted, waiting TOKA menghubungi DASI untuk klarifikasi penawaran  pic Pak Yusuf &amp; Pak Ade Jatmika</t>
  </si>
  <si>
    <t>Sotis Kemang Hotel</t>
  </si>
  <si>
    <t>AC Split System Cafe n Resto Lantai Roof</t>
  </si>
  <si>
    <t>(09 February 2026) Revisi Penawaran Alternatif 1 &amp; 2</t>
  </si>
  <si>
    <t>EPL-Cold Storage</t>
  </si>
  <si>
    <t xml:space="preserve">n </t>
  </si>
  <si>
    <t>PT. Tenaris SPIJ Cilegon</t>
  </si>
  <si>
    <t>Submit quotation ke GPM di 2026/04/21</t>
  </si>
  <si>
    <t>Pump Grunfos - Jakarta Annex Center Phase-1</t>
  </si>
  <si>
    <t>PHE - Jakarta Annex Center Phase-1</t>
  </si>
  <si>
    <t>Chemical System - Jakarta Annex Center Phase-1</t>
  </si>
  <si>
    <t>EPL- Control Office Tower 2</t>
  </si>
  <si>
    <t>PT Petrosea by Como</t>
  </si>
  <si>
    <t>STKH25YV</t>
  </si>
  <si>
    <t>Senayan Trikarya Sempana</t>
  </si>
  <si>
    <t>EPL - Isolasi Pipa CHWPp , CHWPp Plaza Senayan</t>
  </si>
  <si>
    <t>RS Muhamadiah</t>
  </si>
  <si>
    <t>EPL - Unit DX 10, 15 PK</t>
  </si>
  <si>
    <t>Squencing Chiller SS 1</t>
  </si>
  <si>
    <t>EPL - CPOS Sentral Senayan 1</t>
  </si>
  <si>
    <t>Revisi Budged ==&gt; Update terbaru budged sudah di Approved akan dilakukan nego ulang menunggu dipanggil user</t>
  </si>
  <si>
    <t>Control Ruang OK RS. EMC</t>
  </si>
  <si>
    <t>EPL - Control Ruang OK RS. EMC Sentul</t>
  </si>
  <si>
    <t>Sansho Rubber Indonesia</t>
  </si>
  <si>
    <t>EPL-Chiller</t>
  </si>
  <si>
    <t>Indocement Tbk</t>
  </si>
  <si>
    <t>EPL- Chiller AHU</t>
  </si>
  <si>
    <t xml:space="preserve">Revisi Quote, User mau pakai system exiting </t>
  </si>
  <si>
    <t>PT Corteva - David</t>
  </si>
  <si>
    <t>Project Corteva - Medan</t>
  </si>
  <si>
    <t>PT Tumantiis Budi Mandiri - David</t>
  </si>
  <si>
    <t>HTS 800 TR - SKA Mall - Pekanbaru</t>
  </si>
  <si>
    <t>Sudah submit ke email 'Risha' &lt;risha@pilarekatama.com&gt; di 2026/02/24</t>
  </si>
  <si>
    <t>PT. Imecon Anugerah Perkasa</t>
  </si>
  <si>
    <t>RC - AHU Wisma Asia 2 jakarta</t>
  </si>
  <si>
    <t>DDW070,080</t>
  </si>
  <si>
    <t>PT. KANSAI PAINT INDONESIA</t>
  </si>
  <si>
    <t>RC - FCU</t>
  </si>
  <si>
    <t>DDW150</t>
  </si>
  <si>
    <t>Tender ==&gt; Project Di hold menunggu info dari user</t>
  </si>
  <si>
    <t>PT. Sarana Tunggal Mulia - David - Samuel</t>
  </si>
  <si>
    <t>Project RC Pakuwon Mall – Bekasi</t>
  </si>
  <si>
    <t>Sudah submit penawran by email ke yonatan@saranatunggalmulia.com di 2026/03/12</t>
  </si>
  <si>
    <t>PJOT</t>
  </si>
  <si>
    <t>AHU LT 1 &amp; 10</t>
  </si>
  <si>
    <t>Patra Residential</t>
  </si>
  <si>
    <t>Pengadaan Wall Mounted</t>
  </si>
  <si>
    <t>Graha Pertamina</t>
  </si>
  <si>
    <t>Pengadaan Split Duct</t>
  </si>
  <si>
    <t>Lift Diffable</t>
  </si>
  <si>
    <t>Suplly &amp; Instal FCU</t>
  </si>
  <si>
    <t>Diffusser Lamoda</t>
  </si>
  <si>
    <t>PT Samudra Mas Nusantara</t>
  </si>
  <si>
    <t>RC-Air Cooled Chiller 650 kW_Pertamina Hulu Kaltim</t>
  </si>
  <si>
    <t>UAA175ST3-FDD</t>
  </si>
  <si>
    <t>Heavy Industri</t>
  </si>
  <si>
    <t>PT. WMK - Lanud Pekanbaru</t>
  </si>
  <si>
    <t>THAMRIN CITY UOB -  Syakha Cakra  Buana</t>
  </si>
  <si>
    <t xml:space="preserve">RC - FCU </t>
  </si>
  <si>
    <t>FWW</t>
  </si>
  <si>
    <t>LOSE ==&gt; Perubahan spek</t>
  </si>
  <si>
    <t>Primatekarsindo</t>
  </si>
  <si>
    <t>RC - UCCP</t>
  </si>
  <si>
    <t>UCCP18</t>
  </si>
  <si>
    <t xml:space="preserve">Tender - Submit Quo 28-03-2026 </t>
  </si>
  <si>
    <t>Universitas Tarumanegara</t>
  </si>
  <si>
    <t>RC - Chiller Air Cooled</t>
  </si>
  <si>
    <t>UAA175ST3  X2</t>
  </si>
  <si>
    <t>Budgeting ==&gt; sudah berikan penawaran saat ini info sedang pengajuan ke Yayasan</t>
  </si>
  <si>
    <t>YKK ZIPCO 5</t>
  </si>
  <si>
    <t>UWXA150GLDR (HEX)</t>
  </si>
  <si>
    <t>Installation</t>
  </si>
  <si>
    <t>EPL - CPOS Sentral Senayan 2</t>
  </si>
  <si>
    <t>Control</t>
  </si>
  <si>
    <t>Panasonic Industrial Component Indonesia</t>
  </si>
  <si>
    <t xml:space="preserve">RC - AHU </t>
  </si>
  <si>
    <t>DDW270DA-BMMQ0C35E</t>
  </si>
  <si>
    <t>EPL - Panel Power dan Control AHU</t>
  </si>
  <si>
    <t>MM</t>
  </si>
  <si>
    <t>UAA125</t>
  </si>
  <si>
    <t xml:space="preserve">Lion Wings </t>
  </si>
  <si>
    <t>FCU DDB</t>
  </si>
  <si>
    <t>UAA110 &amp;UAL 450</t>
  </si>
  <si>
    <t>Emblem Asia</t>
  </si>
  <si>
    <t xml:space="preserve">Split Duct Packaged DX </t>
  </si>
  <si>
    <t>FDN100HV14/RN100HY14</t>
  </si>
  <si>
    <t>Oakwood Chopstick</t>
  </si>
  <si>
    <t>DDB100W</t>
  </si>
  <si>
    <t xml:space="preserve">PO, Unit Ready July dan akan di install July </t>
  </si>
  <si>
    <t>CV. Hardikarya Nusantara binjai</t>
  </si>
  <si>
    <t xml:space="preserve">RC - Split Duct </t>
  </si>
  <si>
    <t>DDB450BW</t>
  </si>
  <si>
    <t>Submit Quo tanggal 14 April 2024 - Project di hold karena perubahan Spek dari user</t>
  </si>
  <si>
    <t>Jakarta Aquarium Safari-PT PT Wahid Mandiri Sejahtera</t>
  </si>
  <si>
    <t>UAL450D5</t>
  </si>
  <si>
    <t xml:space="preserve">Project Hotel Mercure Pontianak </t>
  </si>
  <si>
    <t>Sudah submit penawaran  2026/03/06 by email</t>
  </si>
  <si>
    <t xml:space="preserve">WILMAR </t>
  </si>
  <si>
    <t>CV Bintang (RC-Best Western Palu)</t>
  </si>
  <si>
    <t>RC Chiller UAA105ST3M x 1 Unit</t>
  </si>
  <si>
    <t>PT Nippon Paint (RC Chiller NP Purwakarta)</t>
  </si>
  <si>
    <t xml:space="preserve">RC UAL </t>
  </si>
  <si>
    <t>PT Smart Tbk (EPL Cold Storage)</t>
  </si>
  <si>
    <t>EPL LRMSS0800AXY1</t>
  </si>
  <si>
    <t>PT Eterindo Nusa Graha</t>
  </si>
  <si>
    <t>RC Chiller CUWD</t>
  </si>
  <si>
    <t>Budgeting untuk penggantian chiller existing, estimasi di bulan Jan 2024</t>
  </si>
  <si>
    <t>PT Batara Elok Semesta Terpadu (BEST Gresik)</t>
  </si>
  <si>
    <t>RC UAL450 x 1 Unit</t>
  </si>
  <si>
    <t>Competitor Midea, Air Cooled Scroll Chiller 130 kW with Shell and Tube Evaporator</t>
  </si>
  <si>
    <t>EPL UAL-DDW</t>
  </si>
  <si>
    <t>PT Unilever</t>
  </si>
  <si>
    <t>Bernofarm</t>
  </si>
  <si>
    <t>CV Davindo Anugrah Unggul (RC-FCU Trias)</t>
  </si>
  <si>
    <t>RCDDB100BW</t>
  </si>
  <si>
    <t>RS Premier Surabaya (RC FCU RSPS)</t>
  </si>
  <si>
    <t>RCFWWVC</t>
  </si>
  <si>
    <t>UPA Sby</t>
  </si>
  <si>
    <t>PT Smoore</t>
  </si>
  <si>
    <t>RC HTS</t>
  </si>
  <si>
    <t xml:space="preserve">JOTR </t>
  </si>
  <si>
    <t>Project Bahana - SDA</t>
  </si>
  <si>
    <t>RC- UAL340D5</t>
  </si>
  <si>
    <t>Tender - Submit Quo 22-04-2026 ==&gt; Budgeting ulang</t>
  </si>
  <si>
    <t>Grage Mall Cirebon</t>
  </si>
  <si>
    <t xml:space="preserve">RC- 3x UAA105ST3-FBD </t>
  </si>
  <si>
    <t>Budgeting - Submit 23-04-2026</t>
  </si>
  <si>
    <t>Project JICT - PT Awan Integrasi Sandidata</t>
  </si>
  <si>
    <t>EPL - AC Split Wall</t>
  </si>
  <si>
    <t>Tender - Submit Quo 25-04-2026</t>
  </si>
  <si>
    <t>Project Indolakto</t>
  </si>
  <si>
    <t xml:space="preserve"> - DDM1113
 - DDB200BW</t>
  </si>
  <si>
    <t>Project Sulfindo Merak ( PT. Gecko Indonesia)</t>
  </si>
  <si>
    <t xml:space="preserve">EPL - Unit DX </t>
  </si>
  <si>
    <t>S2DN200V</t>
  </si>
  <si>
    <t>Submit Quo tanggal 27 April 2024 ==&gt; Tidak ada update</t>
  </si>
  <si>
    <t>CV Dian Mandiri Project W Bali</t>
  </si>
  <si>
    <t>FWW1200VC</t>
  </si>
  <si>
    <t>PO tanggal 08 Mei 2026 - Ready To SO</t>
  </si>
  <si>
    <t>PT. Caterison Sukses  Project Japanese Resto Hilton Bali</t>
  </si>
  <si>
    <t>RC -Chiller &amp; AHU</t>
  </si>
  <si>
    <t>DDM0610,1114 &amp; UHAS200</t>
  </si>
  <si>
    <t>PO tanggal 06 Mei 2026 - Ready To SO</t>
  </si>
  <si>
    <t>PT Firmenich Indonesia</t>
  </si>
  <si>
    <t xml:space="preserve">RC - System HVAC </t>
  </si>
  <si>
    <t>PT Rumakita Kreasi</t>
  </si>
  <si>
    <t>RC AHU</t>
  </si>
  <si>
    <t>DDW040DE</t>
  </si>
  <si>
    <t>pakai system VRV dan pemenang vendor nya Roda Mas</t>
  </si>
  <si>
    <t>PT Ichikoh Indonesia</t>
  </si>
  <si>
    <t>RC- Cassette ke Ceiling suspend unit only</t>
  </si>
  <si>
    <t>PT Ichikoh Indoensia</t>
  </si>
  <si>
    <t>EPL- Instalasi</t>
  </si>
  <si>
    <t>PHE-Alfa laval PHE type T8-BFM</t>
  </si>
  <si>
    <t xml:space="preserve">PT. Gita Persada Mandiri -  Project RC Colombia Asia </t>
  </si>
  <si>
    <t>RC-UAL150D5</t>
  </si>
  <si>
    <t>Kavana Interior</t>
  </si>
  <si>
    <t>RC-Unit Only system HVAC &amp; AUB</t>
  </si>
  <si>
    <t>PT Tirta Investama Plant SOlok</t>
  </si>
  <si>
    <t>EWAH300</t>
  </si>
  <si>
    <t>Submit Quo</t>
  </si>
  <si>
    <t>PT Tirta Investama Plant Citereup</t>
  </si>
  <si>
    <t>EWAH350</t>
  </si>
  <si>
    <t>Biofarma Bandung</t>
  </si>
  <si>
    <t>UAA150</t>
  </si>
  <si>
    <t>AHM Plant 3 MM2100</t>
  </si>
  <si>
    <t>Sarihusada Generasi Mahardika (SGM)</t>
  </si>
  <si>
    <t>RC- HFO Chiller System</t>
  </si>
  <si>
    <t>ZUWV</t>
  </si>
  <si>
    <t>Improvement Ducting Small Sachet</t>
  </si>
  <si>
    <t xml:space="preserve">Berkah Maharta </t>
  </si>
  <si>
    <t>RC - System HVAC (Packaged duct + cassete)</t>
  </si>
  <si>
    <t>pakai brand lokal karena budged under 80 jt</t>
  </si>
  <si>
    <t>PT. Taiyo Sinar Project Control AHU PICID</t>
  </si>
  <si>
    <t>EPL - CTRL</t>
  </si>
  <si>
    <t>Sensor AHU</t>
  </si>
  <si>
    <t>Cont Inst</t>
  </si>
  <si>
    <t>PO tanggal 13 Mei 2026 - Proses To SO (akan dikonfrimasi terlebih dahulu ke Taiyo Sinar karena antara penawran dan PO Berbeda)</t>
  </si>
  <si>
    <t>PT. Coca cola Europasific Indonesia</t>
  </si>
  <si>
    <t>Split Wall 2 Pk</t>
  </si>
  <si>
    <t>Submit Quo tanggal 14 May 2026 ==&gt; LOSE kalah harga dengan competitor</t>
  </si>
  <si>
    <t>PT. Senayan Trikarya Sempana Project Replacment Control Chiller SS1</t>
  </si>
  <si>
    <t>Maruto</t>
  </si>
  <si>
    <t xml:space="preserve">User Revisi Budged dan Info dari user budeg sudah di revisi </t>
  </si>
  <si>
    <t>PT. Sarana Teknik Wiratama</t>
  </si>
  <si>
    <t>RC Project Mayora OB Daan Mogot</t>
  </si>
  <si>
    <t>PT. Panja CIpta Utama</t>
  </si>
  <si>
    <t>EPL -Unit DX SMA Kota Bekasi</t>
  </si>
  <si>
    <t>EPL - Replace inverter CHWPs Sentral Senayan 2</t>
  </si>
  <si>
    <t>Inverter Mitsubishi 55kW</t>
  </si>
  <si>
    <t>Nego  tanggal 5 Juni 2025</t>
  </si>
  <si>
    <t>Matahari Daan Mogot</t>
  </si>
  <si>
    <t>UAA348ST3-FBD</t>
  </si>
  <si>
    <t xml:space="preserve">Submit tanggal 19 May. Kompetiror Daikin, Hitachi, York </t>
  </si>
  <si>
    <t>PT. Coca cola Europasific Indonesia Project Syrup</t>
  </si>
  <si>
    <t>UAL450 &amp; DDM1619</t>
  </si>
  <si>
    <t>Submit Qou tanggal 15 April , Masih tahap Awal perencanaan dan budgeting , menunggu undangan klarifikasi design dan harga dari CCEP</t>
  </si>
  <si>
    <t>PT. Unilever Indonesia Plant Bango</t>
  </si>
  <si>
    <t>EPL- Ducting</t>
  </si>
  <si>
    <t xml:space="preserve">PO tanggal 19 Juni 2026 </t>
  </si>
  <si>
    <t>YKK ZIPER - PT PUTRA MANDIRI AIRCON</t>
  </si>
  <si>
    <t>UAL 340D5</t>
  </si>
  <si>
    <t xml:space="preserve">PO tanggal 25 Juni 2026 </t>
  </si>
  <si>
    <t>WISMA ASIA 2 Kencana Sejuk Abadi</t>
  </si>
  <si>
    <t>DDW120DB</t>
  </si>
  <si>
    <t xml:space="preserve">PO tanggal 17 Juni 2026 </t>
  </si>
  <si>
    <t>Heartology</t>
  </si>
  <si>
    <t>Negosiasi budged owner 194 jt, negosiasi internal dengan Kang Dede dan Harsindo</t>
  </si>
  <si>
    <t>PT Sukacita Teknologi Indonesia</t>
  </si>
  <si>
    <t>Unit Dx</t>
  </si>
  <si>
    <t>Quote Submitted</t>
  </si>
  <si>
    <t>PT Pratama Amerta Solusi</t>
  </si>
  <si>
    <t>Asessment Hall Room Hotel Mercure Jakarta Gatot Subroto</t>
  </si>
  <si>
    <t>RS Columbia Asia Medan (david)</t>
  </si>
  <si>
    <t>RC FCU lantai 6 &amp; 7 Project Columbia Asia Hospital Medan</t>
  </si>
  <si>
    <t>Submit Final Quotation 13 Maret 2026</t>
  </si>
  <si>
    <t>Morrissey Hotel Jakarta</t>
  </si>
  <si>
    <t>EPL-Pengadaan dan Jasa Unit AC VRV Daikin</t>
  </si>
  <si>
    <t>Umara Group</t>
  </si>
  <si>
    <t>EPL-Unit Split Office Veteran Jaksel</t>
  </si>
  <si>
    <t>Sum of Quotation</t>
  </si>
  <si>
    <t>Column Labels</t>
  </si>
  <si>
    <t>2025</t>
  </si>
  <si>
    <t>2026</t>
  </si>
  <si>
    <t>2027</t>
  </si>
  <si>
    <t>Grand Total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</si>
  <si>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</si>
  <si>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</si>
  <si>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</si>
  <si>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</si>
  <si>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</si>
  <si>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</si>
  <si>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</si>
  <si>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</si>
  <si>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</si>
  <si>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</si>
  <si>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</si>
  <si>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</si>
  <si>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Row Labels</t>
  </si>
  <si>
    <t>(Multiple Items)</t>
  </si>
  <si>
    <t>(blank)</t>
  </si>
  <si>
    <t>RC LEGEND</t>
  </si>
  <si>
    <t>DESCRIPTION</t>
  </si>
  <si>
    <t>Water Cooled Centrifugal Constant Speed Drive</t>
  </si>
  <si>
    <t>Dede</t>
  </si>
  <si>
    <t>Bali</t>
  </si>
  <si>
    <t>WC VSD</t>
  </si>
  <si>
    <t>Water Cooled Centrifugal Variable Speed Drive</t>
  </si>
  <si>
    <t>Anne</t>
  </si>
  <si>
    <t>Cont IPM</t>
  </si>
  <si>
    <t>Water Cooled Centrifugal Magnetic Bearing (R134a)</t>
  </si>
  <si>
    <t>WC HFO</t>
  </si>
  <si>
    <t>Water Cooled Centrifugal HFO</t>
  </si>
  <si>
    <t>Cont Device</t>
  </si>
  <si>
    <t>WC HV</t>
  </si>
  <si>
    <t>Water Cooled Centrifugal High Voltage</t>
  </si>
  <si>
    <t>Water Cooled Screw Constant Speed Drive</t>
  </si>
  <si>
    <t>WS VSD</t>
  </si>
  <si>
    <t>Water Cooled Screw Variable Speed Drive</t>
  </si>
  <si>
    <t>WS HP</t>
  </si>
  <si>
    <t>Water Cooled Screw Heat Pump</t>
  </si>
  <si>
    <t>WS HFO</t>
  </si>
  <si>
    <t>Water Cooled Screw HFO</t>
  </si>
  <si>
    <t>Fian</t>
  </si>
  <si>
    <t>Air Cooled Screw Constant Speed Drive</t>
  </si>
  <si>
    <t>AS MB</t>
  </si>
  <si>
    <t>Air Cooled Magnetic Bearing</t>
  </si>
  <si>
    <t>AS VSD</t>
  </si>
  <si>
    <t>Air Cooled Screw Variable Speed Drive</t>
  </si>
  <si>
    <t>Air Cooled Scroll/Water Cooled Scroll</t>
  </si>
  <si>
    <t>Air Handling Unit Standard</t>
  </si>
  <si>
    <t>AHU TB</t>
  </si>
  <si>
    <t>Air Handling Unit TB-1, TB-2</t>
  </si>
  <si>
    <t>FCU DC</t>
  </si>
  <si>
    <t>Fan Coil Unit Decorative</t>
  </si>
  <si>
    <t>Fan Coil Unit Ducted</t>
  </si>
  <si>
    <t>```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</si>
</sst>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_(* #,##0.00_);_(* \(#,##0.00\);_(* &quot;-&quot;??_);_(@_)"/>
    <numFmt numFmtId="177" formatCode="_([$Rp-421]* #,##0_);_([$Rp-421]* \(#,##0\);_([$Rp-421]* &quot;-&quot;??_);_(@_)"/>
    <numFmt numFmtId="178" formatCode="[$-409]mmm\-yy;@"/>
  </numFmts>
  <fonts count="21">
    <font>
      <sz val="11"/>
      <color rgb="FF000000"/>
      <name val="Calibri"/>
      <charset val="134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9"/>
      <color theme="1"/>
      <name val="Calibri"/>
      <family val="2"/>
    </font>
    <font>
      <b/>
      <sz val="8"/>
      <name val="Arial"/>
      <family val="2"/>
    </font>
    <font>
      <sz val="11"/>
      <color rgb="FF444444"/>
      <name val="Calibri"/>
      <family val="2"/>
      <charset val="1"/>
    </font>
    <font>
      <sz val="10"/>
      <color theme="1"/>
      <name val="Calibri"/>
      <family val="2"/>
      <scheme val="minor"/>
    </font>
    <font>
      <sz val="9"/>
      <color rgb="FF444444"/>
      <name val="Calibri"/>
      <family val="2"/>
      <charset val="1"/>
    </font>
    <font>
      <sz val="9"/>
      <color theme="1"/>
      <name val="Calibri"/>
      <family val="2"/>
      <charset val="134"/>
    </font>
    <font>
      <sz val="9"/>
      <color rgb="FF242424"/>
      <name val="Aptos Narrow"/>
      <charset val="1"/>
    </font>
    <font>
      <sz val="10"/>
      <color rgb="FF000000"/>
      <name val="Calibri"/>
      <scheme val="minor"/>
    </font>
    <font>
      <b/>
      <sz val="11"/>
      <color theme="4" tint="-0.249977111117893"/>
      <name val="Calibri"/>
      <charset val="134"/>
    </font>
    <font>
      <b/>
      <sz val="11"/>
      <color theme="4" tint="-0.249977111117893"/>
      <name val="Calibri"/>
      <family val="2"/>
      <charset val="134"/>
    </font>
    <font>
      <sz val="9"/>
      <color theme="4" tint="-0.249977111117893"/>
      <name val="Calibri"/>
      <charset val="1"/>
    </font>
    <font>
      <sz val="11"/>
      <color theme="4" tint="-0.249977111117893"/>
      <name val="Calibri"/>
      <charset val="134"/>
    </font>
    <font>
      <b/>
      <sz val="11"/>
      <color theme="1"/>
      <name val="Calibri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/>
      <right/>
      <top style="thin">
        <color theme="8" tint="0.39994506668294322"/>
      </top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theme="4"/>
      </bottom>
      <diagonal/>
    </border>
  </borders>
  <cellStyleXfs count="23">
    <xf numFmtId="0" fontId="0" fillId="0" borderId="0"/>
    <xf numFmtId="0" fontId="4" fillId="0" borderId="0"/>
    <xf numFmtId="0" fontId="5" fillId="0" borderId="0" applyProtection="0"/>
    <xf numFmtId="0" fontId="5" fillId="0" borderId="0"/>
    <xf numFmtId="176" fontId="2" fillId="0" borderId="0" applyFont="0" applyFill="0" applyBorder="0" applyAlignment="0" applyProtection="0"/>
    <xf numFmtId="0" fontId="5" fillId="0" borderId="0"/>
    <xf numFmtId="0" fontId="4" fillId="0" borderId="0"/>
    <xf numFmtId="0" fontId="5" fillId="0" borderId="0" applyProtection="0"/>
    <xf numFmtId="43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/>
    <xf numFmtId="176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/>
    <xf numFmtId="0" fontId="5" fillId="0" borderId="0"/>
    <xf numFmtId="0" fontId="7" fillId="0" borderId="0"/>
    <xf numFmtId="0" fontId="5" fillId="0" borderId="0"/>
    <xf numFmtId="0" fontId="4" fillId="0" borderId="0"/>
    <xf numFmtId="0" fontId="7" fillId="0" borderId="0"/>
    <xf numFmtId="0" fontId="4" fillId="0" borderId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</cellStyleXfs>
  <cellXfs count="194">
    <xf numFmtId="0" fontId="0" fillId="0" borderId="0" xfId="0"/>
    <xf numFmtId="17" fontId="0" fillId="0" borderId="0" xfId="0" applyNumberFormat="1"/>
    <xf numFmtId="0" fontId="2" fillId="0" borderId="0" xfId="0" applyFont="1"/>
    <xf numFmtId="0" fontId="0" fillId="0" borderId="0" xfId="0" quotePrefix="1"/>
    <xf numFmtId="0" fontId="8" fillId="0" borderId="0" xfId="0" applyFont="1"/>
    <xf numFmtId="177" fontId="8" fillId="0" borderId="0" xfId="0" applyNumberFormat="1" applyFont="1"/>
    <xf numFmtId="0" fontId="8" fillId="0" borderId="0" xfId="0" applyFont="1" applyAlignment="1">
      <alignment horizontal="center"/>
    </xf>
    <xf numFmtId="0" fontId="9" fillId="3" borderId="4" xfId="0" applyFont="1" applyFill="1" applyBorder="1"/>
    <xf numFmtId="0" fontId="9" fillId="3" borderId="5" xfId="0" applyFont="1" applyFill="1" applyBorder="1" applyAlignment="1">
      <alignment wrapText="1"/>
    </xf>
    <xf numFmtId="0" fontId="9" fillId="4" borderId="4" xfId="0" applyFont="1" applyFill="1" applyBorder="1"/>
    <xf numFmtId="0" fontId="9" fillId="4" borderId="5" xfId="0" applyFont="1" applyFill="1" applyBorder="1"/>
    <xf numFmtId="0" fontId="9" fillId="4" borderId="6" xfId="0" applyFont="1" applyFill="1" applyBorder="1"/>
    <xf numFmtId="0" fontId="9" fillId="4" borderId="7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13" fillId="0" borderId="0" xfId="0" applyFont="1"/>
    <xf numFmtId="0" fontId="8" fillId="0" borderId="2" xfId="0" applyFont="1" applyBorder="1" applyAlignment="1">
      <alignment horizontal="left"/>
    </xf>
    <xf numFmtId="0" fontId="8" fillId="0" borderId="1" xfId="0" applyFont="1" applyBorder="1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8" fillId="0" borderId="0" xfId="0" applyFont="1" applyAlignment="1">
      <alignment wrapText="1"/>
    </xf>
    <xf numFmtId="0" fontId="12" fillId="0" borderId="0" xfId="0" applyFont="1" applyAlignment="1">
      <alignment wrapText="1"/>
    </xf>
    <xf numFmtId="177" fontId="8" fillId="6" borderId="0" xfId="0" applyNumberFormat="1" applyFont="1" applyFill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14" fillId="0" borderId="0" xfId="0" applyFont="1"/>
    <xf numFmtId="0" fontId="19" fillId="0" borderId="0" xfId="0" applyFont="1"/>
    <xf numFmtId="0" fontId="8" fillId="7" borderId="0" xfId="0" applyFont="1" applyFill="1"/>
    <xf numFmtId="0" fontId="8" fillId="7" borderId="0" xfId="1" applyFont="1" applyFill="1" applyAlignment="1">
      <alignment wrapText="1"/>
    </xf>
    <xf numFmtId="0" fontId="8" fillId="7" borderId="3" xfId="1" applyFont="1" applyFill="1" applyBorder="1"/>
    <xf numFmtId="0" fontId="8" fillId="7" borderId="0" xfId="1" applyFont="1" applyFill="1"/>
    <xf numFmtId="0" fontId="8" fillId="7" borderId="1" xfId="1" applyFont="1" applyFill="1" applyBorder="1"/>
    <xf numFmtId="177" fontId="8" fillId="7" borderId="0" xfId="0" applyNumberFormat="1" applyFont="1" applyFill="1"/>
    <xf numFmtId="0" fontId="8" fillId="7" borderId="1" xfId="1" applyFont="1" applyFill="1" applyBorder="1" applyAlignment="1">
      <alignment horizontal="center"/>
    </xf>
    <xf numFmtId="178" fontId="8" fillId="7" borderId="0" xfId="18" applyNumberFormat="1" applyFont="1" applyFill="1" applyAlignment="1">
      <alignment horizontal="center"/>
    </xf>
    <xf numFmtId="0" fontId="8" fillId="7" borderId="0" xfId="18" applyFont="1" applyFill="1" applyAlignment="1">
      <alignment horizontal="center"/>
    </xf>
    <xf numFmtId="0" fontId="8" fillId="7" borderId="0" xfId="1" applyFont="1" applyFill="1" applyAlignment="1">
      <alignment horizontal="left"/>
    </xf>
    <xf numFmtId="0" fontId="8" fillId="0" borderId="0" xfId="1" applyFont="1"/>
    <xf numFmtId="0" fontId="3" fillId="0" borderId="0" xfId="18" applyFont="1"/>
    <xf numFmtId="0" fontId="8" fillId="0" borderId="0" xfId="1" applyFont="1" applyAlignment="1">
      <alignment wrapText="1"/>
    </xf>
    <xf numFmtId="0" fontId="8" fillId="0" borderId="3" xfId="1" applyFont="1" applyBorder="1"/>
    <xf numFmtId="0" fontId="8" fillId="0" borderId="1" xfId="1" applyFont="1" applyBorder="1"/>
    <xf numFmtId="177" fontId="8" fillId="0" borderId="0" xfId="1" applyNumberFormat="1" applyFont="1"/>
    <xf numFmtId="0" fontId="8" fillId="0" borderId="1" xfId="1" applyFont="1" applyBorder="1" applyAlignment="1">
      <alignment horizontal="center"/>
    </xf>
    <xf numFmtId="178" fontId="8" fillId="0" borderId="0" xfId="18" applyNumberFormat="1" applyFont="1" applyAlignment="1">
      <alignment horizontal="center"/>
    </xf>
    <xf numFmtId="0" fontId="8" fillId="0" borderId="0" xfId="18" applyFont="1" applyAlignment="1">
      <alignment horizontal="center"/>
    </xf>
    <xf numFmtId="0" fontId="8" fillId="0" borderId="0" xfId="1" applyFont="1" applyAlignment="1">
      <alignment horizontal="left"/>
    </xf>
    <xf numFmtId="0" fontId="8" fillId="7" borderId="0" xfId="1" applyFont="1" applyFill="1" applyAlignment="1">
      <alignment vertical="center" wrapText="1"/>
    </xf>
    <xf numFmtId="177" fontId="8" fillId="7" borderId="0" xfId="18" applyNumberFormat="1" applyFont="1" applyFill="1"/>
    <xf numFmtId="0" fontId="8" fillId="7" borderId="1" xfId="18" applyFont="1" applyFill="1" applyBorder="1" applyAlignment="1">
      <alignment horizontal="center"/>
    </xf>
    <xf numFmtId="0" fontId="3" fillId="7" borderId="0" xfId="18" applyFont="1" applyFill="1"/>
    <xf numFmtId="177" fontId="8" fillId="7" borderId="0" xfId="1" applyNumberFormat="1" applyFont="1" applyFill="1"/>
    <xf numFmtId="0" fontId="11" fillId="7" borderId="0" xfId="1" applyFont="1" applyFill="1"/>
    <xf numFmtId="178" fontId="8" fillId="7" borderId="0" xfId="18" applyNumberFormat="1" applyFont="1" applyFill="1" applyAlignment="1">
      <alignment horizontal="center" wrapText="1"/>
    </xf>
    <xf numFmtId="0" fontId="18" fillId="7" borderId="0" xfId="0" applyFont="1" applyFill="1"/>
    <xf numFmtId="0" fontId="8" fillId="0" borderId="0" xfId="1" applyFont="1" applyAlignment="1">
      <alignment vertical="center" wrapText="1"/>
    </xf>
    <xf numFmtId="0" fontId="3" fillId="7" borderId="1" xfId="1" applyFont="1" applyFill="1" applyBorder="1"/>
    <xf numFmtId="17" fontId="8" fillId="7" borderId="0" xfId="18" applyNumberFormat="1" applyFont="1" applyFill="1" applyAlignment="1">
      <alignment horizontal="center"/>
    </xf>
    <xf numFmtId="0" fontId="8" fillId="7" borderId="0" xfId="18" applyFont="1" applyFill="1" applyAlignment="1">
      <alignment horizontal="left"/>
    </xf>
    <xf numFmtId="0" fontId="3" fillId="0" borderId="1" xfId="1" applyFont="1" applyBorder="1"/>
    <xf numFmtId="177" fontId="8" fillId="0" borderId="0" xfId="18" applyNumberFormat="1" applyFont="1"/>
    <xf numFmtId="0" fontId="8" fillId="0" borderId="1" xfId="18" applyFont="1" applyBorder="1" applyAlignment="1">
      <alignment horizontal="center"/>
    </xf>
    <xf numFmtId="17" fontId="8" fillId="0" borderId="0" xfId="18" applyNumberFormat="1" applyFont="1" applyAlignment="1">
      <alignment horizontal="center"/>
    </xf>
    <xf numFmtId="0" fontId="8" fillId="0" borderId="0" xfId="18" applyFont="1" applyAlignment="1">
      <alignment horizontal="left"/>
    </xf>
    <xf numFmtId="0" fontId="8" fillId="7" borderId="0" xfId="18" applyFont="1" applyFill="1"/>
    <xf numFmtId="0" fontId="8" fillId="7" borderId="1" xfId="18" applyFont="1" applyFill="1" applyBorder="1"/>
    <xf numFmtId="0" fontId="8" fillId="0" borderId="1" xfId="18" applyFont="1" applyBorder="1"/>
    <xf numFmtId="0" fontId="8" fillId="0" borderId="0" xfId="1" applyFont="1" applyAlignment="1">
      <alignment horizontal="left" vertical="center" wrapText="1" indent="1"/>
    </xf>
    <xf numFmtId="0" fontId="8" fillId="0" borderId="0" xfId="1" applyFont="1" applyAlignment="1">
      <alignment horizontal="left" vertical="center" indent="1"/>
    </xf>
    <xf numFmtId="0" fontId="8" fillId="0" borderId="0" xfId="18" applyFont="1"/>
    <xf numFmtId="0" fontId="8" fillId="7" borderId="0" xfId="0" applyFont="1" applyFill="1" applyAlignment="1">
      <alignment wrapText="1"/>
    </xf>
    <xf numFmtId="0" fontId="8" fillId="7" borderId="0" xfId="0" applyFont="1" applyFill="1" applyAlignment="1">
      <alignment horizontal="center"/>
    </xf>
    <xf numFmtId="0" fontId="8" fillId="7" borderId="0" xfId="0" applyFont="1" applyFill="1" applyAlignment="1">
      <alignment horizontal="left"/>
    </xf>
    <xf numFmtId="0" fontId="8" fillId="7" borderId="1" xfId="0" applyFont="1" applyFill="1" applyBorder="1"/>
    <xf numFmtId="0" fontId="11" fillId="0" borderId="0" xfId="1" applyFont="1"/>
    <xf numFmtId="0" fontId="8" fillId="7" borderId="2" xfId="1" applyFont="1" applyFill="1" applyBorder="1" applyAlignment="1">
      <alignment horizontal="left"/>
    </xf>
    <xf numFmtId="0" fontId="3" fillId="0" borderId="0" xfId="1" applyFont="1"/>
    <xf numFmtId="0" fontId="8" fillId="0" borderId="2" xfId="1" applyFont="1" applyBorder="1" applyAlignment="1">
      <alignment horizontal="left"/>
    </xf>
    <xf numFmtId="0" fontId="3" fillId="7" borderId="0" xfId="1" applyFont="1" applyFill="1"/>
    <xf numFmtId="0" fontId="8" fillId="7" borderId="2" xfId="18" applyFont="1" applyFill="1" applyBorder="1" applyAlignment="1">
      <alignment horizontal="left"/>
    </xf>
    <xf numFmtId="0" fontId="8" fillId="7" borderId="0" xfId="18" applyFont="1" applyFill="1" applyAlignment="1">
      <alignment wrapText="1"/>
    </xf>
    <xf numFmtId="0" fontId="8" fillId="0" borderId="0" xfId="18" applyFont="1" applyAlignment="1">
      <alignment wrapText="1"/>
    </xf>
    <xf numFmtId="0" fontId="8" fillId="0" borderId="2" xfId="18" applyFont="1" applyBorder="1" applyAlignment="1">
      <alignment horizontal="left"/>
    </xf>
    <xf numFmtId="0" fontId="8" fillId="7" borderId="0" xfId="1" applyFont="1" applyFill="1" applyAlignment="1">
      <alignment horizontal="center"/>
    </xf>
    <xf numFmtId="178" fontId="8" fillId="7" borderId="0" xfId="18" applyNumberFormat="1" applyFont="1" applyFill="1" applyAlignment="1">
      <alignment horizontal="center" vertical="center"/>
    </xf>
    <xf numFmtId="0" fontId="8" fillId="0" borderId="0" xfId="1" applyFont="1" applyAlignment="1">
      <alignment horizontal="center"/>
    </xf>
    <xf numFmtId="0" fontId="8" fillId="7" borderId="2" xfId="0" applyFont="1" applyFill="1" applyBorder="1" applyAlignment="1">
      <alignment horizontal="left"/>
    </xf>
    <xf numFmtId="178" fontId="8" fillId="0" borderId="0" xfId="18" applyNumberFormat="1" applyFont="1" applyAlignment="1">
      <alignment horizontal="center" vertical="center"/>
    </xf>
    <xf numFmtId="0" fontId="8" fillId="0" borderId="2" xfId="18" applyFont="1" applyBorder="1" applyAlignment="1">
      <alignment horizontal="center"/>
    </xf>
    <xf numFmtId="0" fontId="10" fillId="7" borderId="0" xfId="0" applyFont="1" applyFill="1" applyAlignment="1">
      <alignment wrapText="1"/>
    </xf>
    <xf numFmtId="0" fontId="8" fillId="0" borderId="0" xfId="1" applyFont="1" applyAlignment="1">
      <alignment vertical="center"/>
    </xf>
    <xf numFmtId="0" fontId="8" fillId="0" borderId="3" xfId="1" applyFont="1" applyBorder="1" applyAlignment="1">
      <alignment vertical="center"/>
    </xf>
    <xf numFmtId="177" fontId="8" fillId="0" borderId="0" xfId="18" applyNumberFormat="1" applyFont="1" applyAlignment="1">
      <alignment vertical="center"/>
    </xf>
    <xf numFmtId="0" fontId="8" fillId="0" borderId="0" xfId="18" applyFont="1" applyAlignment="1">
      <alignment horizontal="center" vertical="center"/>
    </xf>
    <xf numFmtId="0" fontId="8" fillId="0" borderId="2" xfId="1" applyFont="1" applyBorder="1" applyAlignment="1">
      <alignment horizontal="left" vertical="center"/>
    </xf>
    <xf numFmtId="0" fontId="8" fillId="7" borderId="0" xfId="1" applyFont="1" applyFill="1" applyAlignment="1">
      <alignment horizontal="left" vertical="center"/>
    </xf>
    <xf numFmtId="0" fontId="8" fillId="7" borderId="0" xfId="1" applyFont="1" applyFill="1" applyAlignment="1">
      <alignment vertical="center"/>
    </xf>
    <xf numFmtId="0" fontId="8" fillId="7" borderId="3" xfId="1" applyFont="1" applyFill="1" applyBorder="1" applyAlignment="1">
      <alignment vertical="center"/>
    </xf>
    <xf numFmtId="177" fontId="8" fillId="7" borderId="0" xfId="1" applyNumberFormat="1" applyFont="1" applyFill="1" applyAlignment="1">
      <alignment vertical="center"/>
    </xf>
    <xf numFmtId="0" fontId="8" fillId="7" borderId="0" xfId="1" applyFont="1" applyFill="1" applyAlignment="1">
      <alignment horizontal="center" vertical="center"/>
    </xf>
    <xf numFmtId="0" fontId="8" fillId="7" borderId="2" xfId="18" applyFont="1" applyFill="1" applyBorder="1" applyAlignment="1">
      <alignment horizontal="left" vertical="center" wrapText="1"/>
    </xf>
    <xf numFmtId="0" fontId="8" fillId="0" borderId="0" xfId="1" applyFont="1" applyAlignment="1">
      <alignment horizontal="left" vertical="center"/>
    </xf>
    <xf numFmtId="0" fontId="8" fillId="0" borderId="1" xfId="1" applyFont="1" applyBorder="1" applyAlignment="1">
      <alignment vertical="center"/>
    </xf>
    <xf numFmtId="177" fontId="8" fillId="0" borderId="0" xfId="1" applyNumberFormat="1" applyFont="1" applyAlignment="1">
      <alignment vertical="center"/>
    </xf>
    <xf numFmtId="0" fontId="8" fillId="0" borderId="0" xfId="1" applyFont="1" applyAlignment="1">
      <alignment horizontal="center" vertical="center"/>
    </xf>
    <xf numFmtId="0" fontId="8" fillId="0" borderId="2" xfId="18" applyFont="1" applyBorder="1" applyAlignment="1">
      <alignment horizontal="left" vertical="center" wrapText="1"/>
    </xf>
    <xf numFmtId="177" fontId="8" fillId="7" borderId="0" xfId="1" applyNumberFormat="1" applyFont="1" applyFill="1" applyAlignment="1">
      <alignment vertical="center" wrapText="1"/>
    </xf>
    <xf numFmtId="0" fontId="13" fillId="7" borderId="0" xfId="0" applyFont="1" applyFill="1" applyAlignment="1">
      <alignment vertical="center"/>
    </xf>
    <xf numFmtId="0" fontId="8" fillId="0" borderId="2" xfId="1" applyFont="1" applyBorder="1" applyAlignment="1">
      <alignment horizontal="left" vertical="center" wrapText="1"/>
    </xf>
    <xf numFmtId="0" fontId="8" fillId="7" borderId="1" xfId="1" applyFont="1" applyFill="1" applyBorder="1" applyAlignment="1">
      <alignment vertical="center"/>
    </xf>
    <xf numFmtId="0" fontId="8" fillId="0" borderId="2" xfId="18" applyFont="1" applyBorder="1" applyAlignment="1">
      <alignment horizontal="left" wrapText="1"/>
    </xf>
    <xf numFmtId="0" fontId="8" fillId="7" borderId="0" xfId="1" applyFont="1" applyFill="1" applyAlignment="1">
      <alignment horizontal="left" vertical="center" indent="1"/>
    </xf>
    <xf numFmtId="0" fontId="8" fillId="7" borderId="2" xfId="18" applyFont="1" applyFill="1" applyBorder="1" applyAlignment="1">
      <alignment horizontal="left" wrapText="1"/>
    </xf>
    <xf numFmtId="0" fontId="8" fillId="2" borderId="0" xfId="1" applyFont="1" applyFill="1" applyAlignment="1">
      <alignment horizontal="left" vertical="center" wrapText="1" indent="1"/>
    </xf>
    <xf numFmtId="0" fontId="8" fillId="2" borderId="0" xfId="1" applyFont="1" applyFill="1" applyAlignment="1">
      <alignment wrapText="1"/>
    </xf>
    <xf numFmtId="0" fontId="8" fillId="2" borderId="0" xfId="1" applyFont="1" applyFill="1"/>
    <xf numFmtId="177" fontId="8" fillId="2" borderId="0" xfId="1" applyNumberFormat="1" applyFont="1" applyFill="1"/>
    <xf numFmtId="0" fontId="8" fillId="2" borderId="0" xfId="1" applyFont="1" applyFill="1" applyAlignment="1">
      <alignment horizontal="center"/>
    </xf>
    <xf numFmtId="178" fontId="8" fillId="2" borderId="0" xfId="18" applyNumberFormat="1" applyFont="1" applyFill="1" applyAlignment="1">
      <alignment horizontal="center"/>
    </xf>
    <xf numFmtId="0" fontId="8" fillId="2" borderId="2" xfId="18" applyFont="1" applyFill="1" applyBorder="1" applyAlignment="1">
      <alignment horizontal="left" wrapText="1"/>
    </xf>
    <xf numFmtId="177" fontId="8" fillId="7" borderId="0" xfId="18" applyNumberFormat="1" applyFont="1" applyFill="1" applyAlignment="1">
      <alignment vertical="center"/>
    </xf>
    <xf numFmtId="0" fontId="8" fillId="7" borderId="0" xfId="18" applyFont="1" applyFill="1" applyAlignment="1">
      <alignment horizontal="center" vertical="center"/>
    </xf>
    <xf numFmtId="0" fontId="8" fillId="7" borderId="2" xfId="1" applyFont="1" applyFill="1" applyBorder="1" applyAlignment="1">
      <alignment horizontal="left" vertical="center"/>
    </xf>
    <xf numFmtId="0" fontId="8" fillId="7" borderId="0" xfId="1" applyFont="1" applyFill="1" applyAlignment="1">
      <alignment horizontal="left" vertical="center" wrapText="1" indent="1"/>
    </xf>
    <xf numFmtId="0" fontId="8" fillId="7" borderId="3" xfId="1" applyFont="1" applyFill="1" applyBorder="1" applyAlignment="1">
      <alignment horizontal="left" vertical="center"/>
    </xf>
    <xf numFmtId="0" fontId="8" fillId="7" borderId="0" xfId="18" applyFont="1" applyFill="1" applyAlignment="1">
      <alignment horizontal="left" vertical="center" indent="1"/>
    </xf>
    <xf numFmtId="0" fontId="8" fillId="7" borderId="2" xfId="1" applyFont="1" applyFill="1" applyBorder="1" applyAlignment="1">
      <alignment horizontal="left" vertical="center" wrapText="1" indent="1"/>
    </xf>
    <xf numFmtId="0" fontId="8" fillId="0" borderId="3" xfId="1" applyFont="1" applyBorder="1" applyAlignment="1">
      <alignment horizontal="left" vertical="center"/>
    </xf>
    <xf numFmtId="0" fontId="8" fillId="0" borderId="0" xfId="18" applyFont="1" applyAlignment="1">
      <alignment horizontal="left" vertical="center" indent="1"/>
    </xf>
    <xf numFmtId="0" fontId="8" fillId="0" borderId="2" xfId="1" applyFont="1" applyBorder="1" applyAlignment="1">
      <alignment horizontal="left" vertical="center" wrapText="1" indent="1"/>
    </xf>
    <xf numFmtId="0" fontId="8" fillId="0" borderId="0" xfId="1" applyFont="1" applyAlignment="1">
      <alignment vertical="center" indent="1"/>
    </xf>
    <xf numFmtId="0" fontId="19" fillId="0" borderId="0" xfId="0" applyFont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8" fillId="7" borderId="2" xfId="1" applyFont="1" applyFill="1" applyBorder="1" applyAlignment="1">
      <alignment horizontal="left" vertical="center" wrapText="1"/>
    </xf>
    <xf numFmtId="0" fontId="8" fillId="2" borderId="0" xfId="1" applyFont="1" applyFill="1" applyAlignment="1">
      <alignment horizontal="left" vertical="center" indent="1"/>
    </xf>
    <xf numFmtId="0" fontId="8" fillId="2" borderId="0" xfId="1" applyFont="1" applyFill="1" applyAlignment="1">
      <alignment horizontal="left" vertical="center"/>
    </xf>
    <xf numFmtId="177" fontId="8" fillId="2" borderId="0" xfId="1" applyNumberFormat="1" applyFont="1" applyFill="1" applyAlignment="1">
      <alignment horizontal="right" vertical="center" indent="1"/>
    </xf>
    <xf numFmtId="0" fontId="8" fillId="2" borderId="0" xfId="1" applyFont="1" applyFill="1" applyAlignment="1">
      <alignment horizontal="center" vertical="center"/>
    </xf>
    <xf numFmtId="178" fontId="8" fillId="2" borderId="0" xfId="18" applyNumberFormat="1" applyFont="1" applyFill="1" applyAlignment="1">
      <alignment horizontal="center" vertical="center"/>
    </xf>
    <xf numFmtId="0" fontId="8" fillId="2" borderId="0" xfId="18" applyFont="1" applyFill="1" applyAlignment="1">
      <alignment horizontal="left" vertical="center" indent="1"/>
    </xf>
    <xf numFmtId="0" fontId="8" fillId="2" borderId="2" xfId="1" applyFont="1" applyFill="1" applyBorder="1" applyAlignment="1">
      <alignment horizontal="left" vertical="center" wrapText="1" indent="1"/>
    </xf>
    <xf numFmtId="0" fontId="11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13" fillId="7" borderId="0" xfId="0" applyFont="1" applyFill="1"/>
    <xf numFmtId="0" fontId="8" fillId="0" borderId="0" xfId="18" applyFont="1" applyAlignment="1">
      <alignment horizontal="left" wrapText="1"/>
    </xf>
    <xf numFmtId="0" fontId="13" fillId="7" borderId="0" xfId="0" applyFont="1" applyFill="1" applyAlignment="1">
      <alignment horizontal="left" vertical="center"/>
    </xf>
    <xf numFmtId="0" fontId="8" fillId="7" borderId="0" xfId="1" applyFont="1" applyFill="1" applyAlignment="1">
      <alignment horizontal="left" vertical="center" wrapText="1"/>
    </xf>
    <xf numFmtId="0" fontId="3" fillId="7" borderId="0" xfId="1" applyFont="1" applyFill="1" applyAlignment="1">
      <alignment horizontal="left" vertical="center"/>
    </xf>
    <xf numFmtId="177" fontId="8" fillId="7" borderId="0" xfId="1" applyNumberFormat="1" applyFont="1" applyFill="1" applyAlignment="1">
      <alignment horizontal="left" vertical="center"/>
    </xf>
    <xf numFmtId="0" fontId="8" fillId="7" borderId="0" xfId="18" applyFont="1" applyFill="1" applyAlignment="1">
      <alignment horizontal="left" vertical="center"/>
    </xf>
    <xf numFmtId="0" fontId="8" fillId="0" borderId="0" xfId="1" applyFont="1" applyAlignment="1">
      <alignment horizontal="left" vertical="center" wrapText="1"/>
    </xf>
    <xf numFmtId="177" fontId="8" fillId="0" borderId="0" xfId="1" applyNumberFormat="1" applyFont="1" applyAlignment="1">
      <alignment horizontal="left" vertical="center"/>
    </xf>
    <xf numFmtId="0" fontId="8" fillId="0" borderId="0" xfId="18" applyFont="1" applyAlignment="1">
      <alignment horizontal="left" vertical="center"/>
    </xf>
    <xf numFmtId="0" fontId="3" fillId="7" borderId="0" xfId="1" applyFont="1" applyFill="1" applyAlignment="1">
      <alignment vertical="center"/>
    </xf>
    <xf numFmtId="0" fontId="11" fillId="7" borderId="0" xfId="1" applyFont="1" applyFill="1" applyAlignment="1">
      <alignment vertical="center"/>
    </xf>
    <xf numFmtId="0" fontId="15" fillId="7" borderId="0" xfId="1" applyFont="1" applyFill="1" applyAlignment="1">
      <alignment horizontal="left" vertical="center" wrapText="1"/>
    </xf>
    <xf numFmtId="0" fontId="16" fillId="0" borderId="9" xfId="0" applyFont="1" applyBorder="1"/>
    <xf numFmtId="0" fontId="16" fillId="0" borderId="9" xfId="0" applyFont="1" applyBorder="1" applyAlignment="1">
      <alignment wrapText="1"/>
    </xf>
    <xf numFmtId="0" fontId="16" fillId="5" borderId="9" xfId="0" applyFont="1" applyFill="1" applyBorder="1"/>
    <xf numFmtId="0" fontId="17" fillId="0" borderId="9" xfId="0" applyFont="1" applyBorder="1"/>
    <xf numFmtId="177" fontId="0" fillId="0" borderId="0" xfId="0" applyNumberFormat="1"/>
    <xf numFmtId="0" fontId="20" fillId="0" borderId="8" xfId="0" applyFont="1" applyBorder="1" applyAlignment="1">
      <alignment horizontal="left"/>
    </xf>
    <xf numFmtId="177" fontId="20" fillId="0" borderId="8" xfId="0" applyNumberFormat="1" applyFont="1" applyBorder="1"/>
    <xf numFmtId="0" fontId="1" fillId="0" borderId="0" xfId="0" applyFont="1"/>
    <xf numFmtId="178" fontId="8" fillId="0" borderId="0" xfId="0" applyNumberFormat="1" applyFont="1" applyAlignment="1">
      <alignment horizontal="center"/>
    </xf>
    <xf numFmtId="0" fontId="1" fillId="7" borderId="0" xfId="18" applyFont="1" applyFill="1"/>
    <xf numFmtId="0" fontId="1" fillId="7" borderId="0" xfId="1" applyFont="1" applyFill="1"/>
    <xf numFmtId="0" fontId="1" fillId="0" borderId="0" xfId="1" applyFont="1"/>
    <xf numFmtId="0" fontId="1" fillId="0" borderId="0" xfId="18" applyFont="1"/>
    <xf numFmtId="0" fontId="1" fillId="0" borderId="0" xfId="1" applyFont="1" applyAlignment="1">
      <alignment horizontal="left"/>
    </xf>
    <xf numFmtId="0" fontId="1" fillId="7" borderId="3" xfId="1" applyFont="1" applyFill="1" applyBorder="1"/>
    <xf numFmtId="0" fontId="1" fillId="0" borderId="0" xfId="18" applyFont="1" applyAlignment="1">
      <alignment vertical="center"/>
    </xf>
    <xf numFmtId="0" fontId="1" fillId="0" borderId="0" xfId="1" applyFont="1" applyAlignment="1">
      <alignment vertical="center"/>
    </xf>
    <xf numFmtId="0" fontId="1" fillId="7" borderId="0" xfId="18" applyFont="1" applyFill="1" applyAlignment="1">
      <alignment vertical="center"/>
    </xf>
    <xf numFmtId="0" fontId="1" fillId="0" borderId="3" xfId="1" applyFont="1" applyBorder="1"/>
    <xf numFmtId="0" fontId="1" fillId="7" borderId="0" xfId="1" applyFont="1" applyFill="1" applyAlignment="1">
      <alignment vertical="center"/>
    </xf>
    <xf numFmtId="0" fontId="1" fillId="0" borderId="3" xfId="1" applyFont="1" applyBorder="1" applyAlignment="1">
      <alignment vertical="center"/>
    </xf>
    <xf numFmtId="0" fontId="1" fillId="2" borderId="0" xfId="18" applyFont="1" applyFill="1"/>
    <xf numFmtId="0" fontId="1" fillId="2" borderId="0" xfId="1" applyFont="1" applyFill="1"/>
    <xf numFmtId="0" fontId="1" fillId="7" borderId="0" xfId="18" applyFont="1" applyFill="1" applyAlignment="1">
      <alignment horizontal="left" vertical="center" indent="1"/>
    </xf>
    <xf numFmtId="0" fontId="1" fillId="7" borderId="0" xfId="1" applyFont="1" applyFill="1" applyAlignment="1">
      <alignment horizontal="left" vertical="center" indent="1"/>
    </xf>
    <xf numFmtId="0" fontId="1" fillId="7" borderId="0" xfId="1" applyFont="1" applyFill="1" applyAlignment="1">
      <alignment horizontal="left" vertical="center"/>
    </xf>
    <xf numFmtId="0" fontId="1" fillId="0" borderId="0" xfId="18" applyFont="1" applyAlignment="1">
      <alignment horizontal="left" vertical="center" indent="1"/>
    </xf>
    <xf numFmtId="0" fontId="1" fillId="0" borderId="0" xfId="1" applyFont="1" applyAlignment="1">
      <alignment horizontal="left" vertical="center" indent="1"/>
    </xf>
    <xf numFmtId="0" fontId="1" fillId="0" borderId="0" xfId="1" applyFont="1" applyAlignment="1">
      <alignment horizontal="left" vertical="center"/>
    </xf>
    <xf numFmtId="0" fontId="1" fillId="7" borderId="0" xfId="1" applyFont="1" applyFill="1" applyAlignment="1">
      <alignment horizontal="left" indent="1"/>
    </xf>
    <xf numFmtId="0" fontId="1" fillId="2" borderId="0" xfId="18" applyFont="1" applyFill="1" applyAlignment="1">
      <alignment horizontal="left" vertical="center" indent="1"/>
    </xf>
    <xf numFmtId="0" fontId="1" fillId="2" borderId="0" xfId="1" applyFont="1" applyFill="1" applyAlignment="1">
      <alignment horizontal="left" vertical="center" indent="1"/>
    </xf>
    <xf numFmtId="0" fontId="1" fillId="2" borderId="0" xfId="1" applyFont="1" applyFill="1" applyAlignment="1">
      <alignment horizontal="left" vertical="center"/>
    </xf>
    <xf numFmtId="0" fontId="1" fillId="0" borderId="0" xfId="1" applyFont="1" applyAlignment="1">
      <alignment horizontal="left" indent="1"/>
    </xf>
    <xf numFmtId="0" fontId="1" fillId="7" borderId="0" xfId="18" applyFont="1" applyFill="1" applyAlignment="1">
      <alignment horizontal="left" vertical="center"/>
    </xf>
  </cellXfs>
  <cellStyles count="23">
    <cellStyle name="Comma 2" xfId="8" xr:uid="{00000000-0005-0000-0000-000038000000}"/>
    <cellStyle name="Comma 3" xfId="9" xr:uid="{00000000-0005-0000-0000-000039000000}"/>
    <cellStyle name="Comma 4" xfId="10" xr:uid="{00000000-0005-0000-0000-00003A000000}"/>
    <cellStyle name="Comma 4 2" xfId="4" xr:uid="{00000000-0005-0000-0000-000021000000}"/>
    <cellStyle name="Comma 5" xfId="11" xr:uid="{00000000-0005-0000-0000-00003B000000}"/>
    <cellStyle name="Comma 9" xfId="12" xr:uid="{00000000-0005-0000-0000-00003C000000}"/>
    <cellStyle name="Normal" xfId="0" builtinId="0"/>
    <cellStyle name="Normal 2" xfId="5" xr:uid="{00000000-0005-0000-0000-000024000000}"/>
    <cellStyle name="Normal 2 2" xfId="22" xr:uid="{ABC5C352-3B8F-412F-8EE3-D0E407B0C612}"/>
    <cellStyle name="Normal 2 3" xfId="13" xr:uid="{00000000-0005-0000-0000-00003D000000}"/>
    <cellStyle name="Normal 2_Booking Forecast" xfId="7" xr:uid="{00000000-0005-0000-0000-00002F000000}"/>
    <cellStyle name="Normal 3" xfId="6" xr:uid="{00000000-0005-0000-0000-000029000000}"/>
    <cellStyle name="Normal 3 2" xfId="14" xr:uid="{00000000-0005-0000-0000-00003E000000}"/>
    <cellStyle name="Normal 3 2 2" xfId="15" xr:uid="{00000000-0005-0000-0000-00003F000000}"/>
    <cellStyle name="Normal 3 3" xfId="3" xr:uid="{00000000-0005-0000-0000-000020000000}"/>
    <cellStyle name="Normal 4" xfId="2" xr:uid="{00000000-0005-0000-0000-000017000000}"/>
    <cellStyle name="Normal 4 2 2" xfId="1" xr:uid="{00000000-0005-0000-0000-000012000000}"/>
    <cellStyle name="Normal 4 3" xfId="16" xr:uid="{00000000-0005-0000-0000-000040000000}"/>
    <cellStyle name="Normal 5" xfId="17" xr:uid="{00000000-0005-0000-0000-000041000000}"/>
    <cellStyle name="Normal 9" xfId="18" xr:uid="{00000000-0005-0000-0000-000042000000}"/>
    <cellStyle name="Percent 2" xfId="19" xr:uid="{00000000-0005-0000-0000-000043000000}"/>
    <cellStyle name="Percent 3" xfId="20" xr:uid="{00000000-0005-0000-0000-000044000000}"/>
    <cellStyle name="Percent 3 2" xfId="21" xr:uid="{00000000-0005-0000-0000-000045000000}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78" formatCode="[$-409]mmm\-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78" formatCode="[$-409]mmm\-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77" formatCode="_([$Rp-421]* #,##0_);_([$Rp-421]* \(#,##0\);_([$Rp-421]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77" formatCode="_([$Rp-421]* #,##0_);_([$Rp-421]* \(#,##0\);_([$Rp-421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/>
        </bottom>
      </border>
    </dxf>
    <dxf>
      <border outline="0">
        <top style="thin">
          <color theme="4"/>
        </top>
      </border>
    </dxf>
  </dxfs>
  <tableStyles count="0" defaultTableStyle="TableStyleMedium2" defaultPivotStyle="PivotStyleLight16"/>
  <colors>
    <mruColors>
      <color rgb="FFEBF2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Industry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4E8-4EE5-8686-02F3461F1B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4E8-4EE5-8686-02F3461F1B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4E8-4EE5-8686-02F3461F1BF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4E8-4EE5-8686-02F3461F1BF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4E8-4EE5-8686-02F3461F1BF1}"/>
              </c:ext>
            </c:extLst>
          </c:dPt>
          <c:cat>
            <c:strRef>
              <c:f>Industry!$A$18:$A$22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Industry!$B$18:$B$22</c:f>
              <c:numCache>
                <c:formatCode>_([$Rp-421]* #,##0_);_([$Rp-421]* \(#,##0\);_([$Rp-421]* "-"??_);_(@_)</c:formatCode>
                <c:ptCount val="5"/>
                <c:pt idx="0">
                  <c:v>62687213058.5</c:v>
                </c:pt>
                <c:pt idx="1">
                  <c:v>701000000</c:v>
                </c:pt>
                <c:pt idx="2">
                  <c:v>6580653000</c:v>
                </c:pt>
                <c:pt idx="3">
                  <c:v>8083093000</c:v>
                </c:pt>
                <c:pt idx="4">
                  <c:v>98344780935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4-4FF4-AA53-18C31CA05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Commercial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B55-4A8A-B9D2-2D6895B7C9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B55-4A8A-B9D2-2D6895B7C9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B55-4A8A-B9D2-2D6895B7C9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B55-4A8A-B9D2-2D6895B7C97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B55-4A8A-B9D2-2D6895B7C977}"/>
              </c:ext>
            </c:extLst>
          </c:dPt>
          <c:cat>
            <c:strRef>
              <c:f>Commercial!$A$15:$A$19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Commercial!$B$15:$B$19</c:f>
              <c:numCache>
                <c:formatCode>General</c:formatCode>
                <c:ptCount val="5"/>
                <c:pt idx="0">
                  <c:v>49691767045</c:v>
                </c:pt>
                <c:pt idx="1">
                  <c:v>1564057300</c:v>
                </c:pt>
                <c:pt idx="2">
                  <c:v>1500000000</c:v>
                </c:pt>
                <c:pt idx="3">
                  <c:v>5654521000</c:v>
                </c:pt>
                <c:pt idx="4">
                  <c:v>99480296700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B8-4D9E-B39A-7B292056F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17</xdr:row>
      <xdr:rowOff>52387</xdr:rowOff>
    </xdr:from>
    <xdr:to>
      <xdr:col>6</xdr:col>
      <xdr:colOff>600075</xdr:colOff>
      <xdr:row>31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6B83F1-ACB9-44A9-0E12-51894F8AC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13</xdr:row>
      <xdr:rowOff>166687</xdr:rowOff>
    </xdr:from>
    <xdr:to>
      <xdr:col>6</xdr:col>
      <xdr:colOff>419100</xdr:colOff>
      <xdr:row>28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262CB8-C81A-6918-4714-22C7A0BAB6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ilash\REPORTS%20%202010%20-%202011\Ext_Report\CY2007\Daikin%20Packages\Dec%2007\AAF%20Consolidated\AAF%20Consolidated%20Daikin%20Package\AAF%20Subsidiaries\UKHC$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cleaned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ilash\REPORTS%20%202010%20-%202011\OYL\Meeting%20in%20Oct\Reporting%20Package,Dec%200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IKIN_AUST2\DIL\Budget%20reporting\Daikin%20Monthly%20Progress%20Reports%20-%20AC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ilash\REPORTS%20%202010%20-%202011\Ext_Report\CY%202008\Daikin%20Packages\Mar%2008\AAF%20Consolidated\AAF%20Subsidiaries\UKAF$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ELNF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s\USER\windows\TEMP\C.Notes.Data\GBL_ROOT\PROGRAM\CLIENTAPL\&#22770;&#19978;&#29366;&#27841;&#20316;&#25104;\p_&#26085;&#12496;&#12483;&#12481;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EL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s\quo_root\Meeting%20Data\200608%20&#25913;&#23450;&#20104;&#31639;&#12487;&#12540;&#12479;\A3%20version\windows\TEMP\C.Notes.Data\GBL_ROOT\PROGRAM\CLIENTAPL\&#22770;&#19978;&#29366;&#27841;&#20316;&#25104;\p_&#26085;&#12496;&#12483;&#12481;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s\quo_root\Meeting%20Data\200608%20&#25913;&#23450;&#20104;&#31639;&#12487;&#12540;&#12479;\A3%20version\Documents%20and%20Settings\kidsana\Desktop\windows\TEMP\C.Notes.Data\GBL_ROOT\PROGRAM\CLIENTAPL\&#22770;&#19978;&#29366;&#27841;&#20316;&#25104;\p_&#26085;&#12496;&#12483;&#12481;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to OYL"/>
      <sheetName val="PURCHASE from OYL"/>
      <sheetName val="LIST"/>
      <sheetName val="(1) CREDITS to DAIKIN "/>
      <sheetName val="(2) DEBTS FROM DAIKIN"/>
      <sheetName val="(3) SALES to DAIKIN"/>
      <sheetName val="(4) PURCHASE from DAIKIN"/>
      <sheetName val="(5) Credits to OYL"/>
      <sheetName val="6) DEBTS FROM OYL"/>
      <sheetName val="(7) SALES to OYL"/>
      <sheetName val="(8) PURCHASE FROM OYL"/>
      <sheetName val="(9) ROYALTIES FROM OYL"/>
      <sheetName val="(10) ROYALTIES TO OYL"/>
      <sheetName val="(11) NON OP INCOME"/>
      <sheetName val="(12) NON OP EXPENSE"/>
      <sheetName val="(13) Sales by Countries"/>
      <sheetName val="(14) SGA"/>
      <sheetName val="(15) CASH EQUIVALENT"/>
      <sheetName val="(16) TANGIBLE ASSETS"/>
      <sheetName val="(17) LONG TERM RECEIVABLE"/>
      <sheetName val="(18) ALLOWANCE FOR BAD DEBT"/>
      <sheetName val="(19) WARRANTY"/>
      <sheetName val="(20) OTHER CURRENT ASSETS"/>
      <sheetName val="(21) PREPAID EXPENSES"/>
      <sheetName val="(22) OTHER LONG TERM ASSETS"/>
      <sheetName val="(23) OTHER ACCRUED EXPENSES"/>
      <sheetName val="(24) OTHER LONGTERM LIABILITIES"/>
      <sheetName val="(25) COLLATERAL"/>
      <sheetName val="(26) GUARANTEES"/>
      <sheetName val="(27) COMMITMENTS"/>
      <sheetName val="(28) RELATED PARTY TRANSACTIONS"/>
      <sheetName val="(29) EMPLOYEE"/>
      <sheetName val="(30) DAIKIN GROUP"/>
      <sheetName val="(31) OYL GROUP"/>
      <sheetName val="SBU"/>
      <sheetName val="SALES OFFICE"/>
      <sheetName val="QTY"/>
      <sheetName val="FY19 RES"/>
      <sheetName val="FY20 RES"/>
      <sheetName val="FY20 OB"/>
      <sheetName val="FY20 RB"/>
      <sheetName val="FY20 FF"/>
      <sheetName val="FY20 YTD RES+FCT"/>
      <sheetName val="FY21 OB"/>
      <sheetName val="FY20 FORECAST"/>
      <sheetName val="Closing Report"/>
      <sheetName val="Daily Sales"/>
      <sheetName val="Dealer (3)"/>
      <sheetName val="Dealer (2)"/>
      <sheetName val="Dealer"/>
      <sheetName val="Payment FY'17"/>
      <sheetName val="FY18"/>
      <sheetName val="RA_Only_KQ"/>
      <sheetName val="FTKC,KM,FTM"/>
      <sheetName val="SKY_Inc.MINI"/>
      <sheetName val="PA"/>
      <sheetName val="VRV"/>
      <sheetName val="AC"/>
      <sheetName val="Nomal_NOKQ"/>
      <sheetName val="ALL KQ"/>
      <sheetName val="Project_NoKQ"/>
      <sheetName val="UKHC$"/>
      <sheetName val="SALES_to_OYL"/>
      <sheetName val="PURCHASE_from_OYL"/>
      <sheetName val="(1)_CREDITS_to_DAIKIN_"/>
      <sheetName val="(2)_DEBTS_FROM_DAIKIN"/>
      <sheetName val="(3)_SALES_to_DAIKIN"/>
      <sheetName val="(4)_PURCHASE_from_DAIKIN"/>
      <sheetName val="(5)_Credits_to_OYL"/>
      <sheetName val="6)_DEBTS_FROM_OYL"/>
      <sheetName val="(7)_SALES_to_OYL"/>
      <sheetName val="(8)_PURCHASE_FROM_OYL"/>
      <sheetName val="(9)_ROYALTIES_FROM_OYL"/>
      <sheetName val="(10)_ROYALTIES_TO_OYL"/>
      <sheetName val="(11)_NON_OP_INCOME"/>
      <sheetName val="(12)_NON_OP_EXPENSE"/>
      <sheetName val="(13)_Sales_by_Countries"/>
      <sheetName val="(14)_SGA"/>
      <sheetName val="(15)_CASH_EQUIVALENT"/>
      <sheetName val="(16)_TANGIBLE_ASSETS"/>
      <sheetName val="(17)_LONG_TERM_RECEIVABLE"/>
      <sheetName val="(18)_ALLOWANCE_FOR_BAD_DEBT"/>
      <sheetName val="(19)_WARRANTY"/>
      <sheetName val="(20)_OTHER_CURRENT_ASSETS"/>
      <sheetName val="(21)_PREPAID_EXPENSES"/>
      <sheetName val="(22)_OTHER_LONG_TERM_ASSETS"/>
      <sheetName val="(23)_OTHER_ACCRUED_EXPENSES"/>
      <sheetName val="(24)_OTHER_LONGTERM_LIABILITIES"/>
      <sheetName val="(25)_COLLATERAL"/>
      <sheetName val="(26)_GUARANTEES"/>
      <sheetName val="(27)_COMMITMENTS"/>
      <sheetName val="(28)_RELATED_PARTY_TRANSACTIONS"/>
      <sheetName val="(29)_EMPLOYEE"/>
      <sheetName val="(30)_DAIKIN_GROUP"/>
      <sheetName val="(31)_OYL_GROUP"/>
      <sheetName val="SALES_to_OYL1"/>
      <sheetName val="PURCHASE_from_OYL1"/>
      <sheetName val="(1)_CREDITS_to_DAIKIN_1"/>
      <sheetName val="(2)_DEBTS_FROM_DAIKIN1"/>
      <sheetName val="(3)_SALES_to_DAIKIN1"/>
      <sheetName val="(4)_PURCHASE_from_DAIKIN1"/>
      <sheetName val="(5)_Credits_to_OYL1"/>
      <sheetName val="6)_DEBTS_FROM_OYL1"/>
      <sheetName val="(7)_SALES_to_OYL1"/>
      <sheetName val="(8)_PURCHASE_FROM_OYL1"/>
      <sheetName val="(9)_ROYALTIES_FROM_OYL1"/>
      <sheetName val="(10)_ROYALTIES_TO_OYL1"/>
      <sheetName val="(11)_NON_OP_INCOME1"/>
      <sheetName val="(12)_NON_OP_EXPENSE1"/>
      <sheetName val="(13)_Sales_by_Countries1"/>
      <sheetName val="(14)_SGA1"/>
      <sheetName val="(15)_CASH_EQUIVALENT1"/>
      <sheetName val="(16)_TANGIBLE_ASSETS1"/>
      <sheetName val="(17)_LONG_TERM_RECEIVABLE1"/>
      <sheetName val="(18)_ALLOWANCE_FOR_BAD_DEBT1"/>
      <sheetName val="(19)_WARRANTY1"/>
      <sheetName val="(20)_OTHER_CURRENT_ASSETS1"/>
      <sheetName val="(21)_PREPAID_EXPENSES1"/>
      <sheetName val="(22)_OTHER_LONG_TERM_ASSETS1"/>
      <sheetName val="(23)_OTHER_ACCRUED_EXPENSES1"/>
      <sheetName val="(24)_OTHER_LONGTERM_LIABILITIE1"/>
      <sheetName val="(25)_COLLATERAL1"/>
      <sheetName val="(26)_GUARANTEES1"/>
      <sheetName val="(27)_COMMITMENTS1"/>
      <sheetName val="(28)_RELATED_PARTY_TRANSACTION1"/>
      <sheetName val="(29)_EMPLOYEE1"/>
      <sheetName val="(30)_DAIKIN_GROUP1"/>
      <sheetName val="(31)_OYL_GROUP1"/>
      <sheetName val="Definition"/>
      <sheetName val="COST"/>
      <sheetName val="MODELN"/>
      <sheetName val="Position, Level"/>
      <sheetName val="Master"/>
      <sheetName val="Sheet1"/>
      <sheetName val="PULL DOWN MENU"/>
      <sheetName val="REF"/>
      <sheetName val="SALES_to_OYL2"/>
      <sheetName val="PURCHASE_from_OYL2"/>
      <sheetName val="(1)_CREDITS_to_DAIKIN_2"/>
      <sheetName val="(2)_DEBTS_FROM_DAIKIN2"/>
      <sheetName val="(3)_SALES_to_DAIKIN2"/>
      <sheetName val="(4)_PURCHASE_from_DAIKIN2"/>
      <sheetName val="(5)_Credits_to_OYL2"/>
      <sheetName val="6)_DEBTS_FROM_OYL2"/>
      <sheetName val="(7)_SALES_to_OYL2"/>
      <sheetName val="(8)_PURCHASE_FROM_OYL2"/>
      <sheetName val="(9)_ROYALTIES_FROM_OYL2"/>
      <sheetName val="(10)_ROYALTIES_TO_OYL2"/>
      <sheetName val="(11)_NON_OP_INCOME2"/>
      <sheetName val="(12)_NON_OP_EXPENSE2"/>
      <sheetName val="(13)_Sales_by_Countries2"/>
      <sheetName val="(14)_SGA2"/>
      <sheetName val="(15)_CASH_EQUIVALENT2"/>
      <sheetName val="(16)_TANGIBLE_ASSETS2"/>
      <sheetName val="(17)_LONG_TERM_RECEIVABLE2"/>
      <sheetName val="(18)_ALLOWANCE_FOR_BAD_DEBT2"/>
      <sheetName val="(19)_WARRANTY2"/>
      <sheetName val="(20)_OTHER_CURRENT_ASSETS2"/>
      <sheetName val="(21)_PREPAID_EXPENSES2"/>
      <sheetName val="(22)_OTHER_LONG_TERM_ASSETS2"/>
      <sheetName val="(23)_OTHER_ACCRUED_EXPENSES2"/>
      <sheetName val="(24)_OTHER_LONGTERM_LIABILITIE2"/>
      <sheetName val="(25)_COLLATERAL2"/>
      <sheetName val="(26)_GUARANTEES2"/>
      <sheetName val="(27)_COMMITMENTS2"/>
      <sheetName val="(28)_RELATED_PARTY_TRANSACTION2"/>
      <sheetName val="(29)_EMPLOYEE2"/>
      <sheetName val="(30)_DAIKIN_GROUP2"/>
      <sheetName val="(31)_OYL_GROUP2"/>
      <sheetName val="SALES_to_OYL3"/>
      <sheetName val="PURCHASE_from_OYL3"/>
      <sheetName val="(1)_CREDITS_to_DAIKIN_3"/>
      <sheetName val="(2)_DEBTS_FROM_DAIKIN3"/>
      <sheetName val="(3)_SALES_to_DAIKIN3"/>
      <sheetName val="(4)_PURCHASE_from_DAIKIN3"/>
      <sheetName val="(5)_Credits_to_OYL3"/>
      <sheetName val="6)_DEBTS_FROM_OYL3"/>
      <sheetName val="(7)_SALES_to_OYL3"/>
      <sheetName val="(8)_PURCHASE_FROM_OYL3"/>
      <sheetName val="(9)_ROYALTIES_FROM_OYL3"/>
      <sheetName val="(10)_ROYALTIES_TO_OYL3"/>
      <sheetName val="(11)_NON_OP_INCOME3"/>
      <sheetName val="(12)_NON_OP_EXPENSE3"/>
      <sheetName val="(13)_Sales_by_Countries3"/>
      <sheetName val="(14)_SGA3"/>
      <sheetName val="(15)_CASH_EQUIVALENT3"/>
      <sheetName val="(16)_TANGIBLE_ASSETS3"/>
      <sheetName val="(17)_LONG_TERM_RECEIVABLE3"/>
      <sheetName val="(18)_ALLOWANCE_FOR_BAD_DEBT3"/>
      <sheetName val="(19)_WARRANTY3"/>
      <sheetName val="(20)_OTHER_CURRENT_ASSETS3"/>
      <sheetName val="(21)_PREPAID_EXPENSES3"/>
      <sheetName val="(22)_OTHER_LONG_TERM_ASSETS3"/>
      <sheetName val="(23)_OTHER_ACCRUED_EXPENSES3"/>
      <sheetName val="(24)_OTHER_LONGTERM_LIABILITIE3"/>
      <sheetName val="(25)_COLLATERAL3"/>
      <sheetName val="(26)_GUARANTEES3"/>
      <sheetName val="(27)_COMMITMENTS3"/>
      <sheetName val="(28)_RELATED_PARTY_TRANSACTION3"/>
      <sheetName val="(29)_EMPLOYEE3"/>
      <sheetName val="(30)_DAIKIN_GROUP3"/>
      <sheetName val="(31)_OYL_GROUP3"/>
      <sheetName val="SALES_to_OYL4"/>
      <sheetName val="PURCHASE_from_OYL4"/>
      <sheetName val="(1)_CREDITS_to_DAIKIN_4"/>
      <sheetName val="(2)_DEBTS_FROM_DAIKIN4"/>
      <sheetName val="(3)_SALES_to_DAIKIN4"/>
      <sheetName val="(4)_PURCHASE_from_DAIKIN4"/>
      <sheetName val="(5)_Credits_to_OYL4"/>
      <sheetName val="6)_DEBTS_FROM_OYL4"/>
      <sheetName val="(7)_SALES_to_OYL4"/>
      <sheetName val="(8)_PURCHASE_FROM_OYL4"/>
      <sheetName val="(9)_ROYALTIES_FROM_OYL4"/>
      <sheetName val="(10)_ROYALTIES_TO_OYL4"/>
      <sheetName val="(11)_NON_OP_INCOME4"/>
      <sheetName val="(12)_NON_OP_EXPENSE4"/>
      <sheetName val="(13)_Sales_by_Countries4"/>
      <sheetName val="(14)_SGA4"/>
      <sheetName val="(15)_CASH_EQUIVALENT4"/>
      <sheetName val="(16)_TANGIBLE_ASSETS4"/>
      <sheetName val="(17)_LONG_TERM_RECEIVABLE4"/>
      <sheetName val="(18)_ALLOWANCE_FOR_BAD_DEBT4"/>
      <sheetName val="(19)_WARRANTY4"/>
      <sheetName val="(20)_OTHER_CURRENT_ASSETS4"/>
      <sheetName val="(21)_PREPAID_EXPENSES4"/>
      <sheetName val="(22)_OTHER_LONG_TERM_ASSETS4"/>
      <sheetName val="(23)_OTHER_ACCRUED_EXPENSES4"/>
      <sheetName val="(24)_OTHER_LONGTERM_LIABILITIE4"/>
      <sheetName val="(25)_COLLATERAL4"/>
      <sheetName val="(26)_GUARANTEES4"/>
      <sheetName val="(27)_COMMITMENTS4"/>
      <sheetName val="(28)_RELATED_PARTY_TRANSACTION4"/>
      <sheetName val="(29)_EMPLOYEE4"/>
      <sheetName val="(30)_DAIKIN_GROUP4"/>
      <sheetName val="(31)_OYL_GROUP4"/>
      <sheetName val="SALES_to_OYL5"/>
      <sheetName val="PURCHASE_from_OYL5"/>
      <sheetName val="(1)_CREDITS_to_DAIKIN_5"/>
      <sheetName val="(2)_DEBTS_FROM_DAIKIN5"/>
      <sheetName val="(3)_SALES_to_DAIKIN5"/>
      <sheetName val="(4)_PURCHASE_from_DAIKIN5"/>
      <sheetName val="(5)_Credits_to_OYL5"/>
      <sheetName val="6)_DEBTS_FROM_OYL5"/>
      <sheetName val="(7)_SALES_to_OYL5"/>
      <sheetName val="(8)_PURCHASE_FROM_OYL5"/>
      <sheetName val="(9)_ROYALTIES_FROM_OYL5"/>
      <sheetName val="(10)_ROYALTIES_TO_OYL5"/>
      <sheetName val="(11)_NON_OP_INCOME5"/>
      <sheetName val="(12)_NON_OP_EXPENSE5"/>
      <sheetName val="(13)_Sales_by_Countries5"/>
      <sheetName val="(14)_SGA5"/>
      <sheetName val="(15)_CASH_EQUIVALENT5"/>
      <sheetName val="(16)_TANGIBLE_ASSETS5"/>
      <sheetName val="(17)_LONG_TERM_RECEIVABLE5"/>
      <sheetName val="(18)_ALLOWANCE_FOR_BAD_DEBT5"/>
      <sheetName val="(19)_WARRANTY5"/>
      <sheetName val="(20)_OTHER_CURRENT_ASSETS5"/>
      <sheetName val="(21)_PREPAID_EXPENSES5"/>
      <sheetName val="(22)_OTHER_LONG_TERM_ASSETS5"/>
      <sheetName val="(23)_OTHER_ACCRUED_EXPENSES5"/>
      <sheetName val="(24)_OTHER_LONGTERM_LIABILITIE5"/>
      <sheetName val="(25)_COLLATERAL5"/>
      <sheetName val="(26)_GUARANTEES5"/>
      <sheetName val="(27)_COMMITMENTS5"/>
      <sheetName val="(28)_RELATED_PARTY_TRANSACTION5"/>
      <sheetName val="(29)_EMPLOYEE5"/>
      <sheetName val="(30)_DAIKIN_GROUP5"/>
      <sheetName val="(31)_OYL_GROUP5"/>
      <sheetName val="SALES_to_OYL6"/>
      <sheetName val="PURCHASE_from_OYL6"/>
      <sheetName val="(1)_CREDITS_to_DAIKIN_6"/>
      <sheetName val="(2)_DEBTS_FROM_DAIKIN6"/>
      <sheetName val="(3)_SALES_to_DAIKIN6"/>
      <sheetName val="(4)_PURCHASE_from_DAIKIN6"/>
      <sheetName val="(5)_Credits_to_OYL6"/>
      <sheetName val="6)_DEBTS_FROM_OYL6"/>
      <sheetName val="(7)_SALES_to_OYL6"/>
      <sheetName val="(8)_PURCHASE_FROM_OYL6"/>
      <sheetName val="(9)_ROYALTIES_FROM_OYL6"/>
      <sheetName val="(10)_ROYALTIES_TO_OYL6"/>
      <sheetName val="(11)_NON_OP_INCOME6"/>
      <sheetName val="(12)_NON_OP_EXPENSE6"/>
      <sheetName val="(13)_Sales_by_Countries6"/>
      <sheetName val="(14)_SGA6"/>
      <sheetName val="(15)_CASH_EQUIVALENT6"/>
      <sheetName val="(16)_TANGIBLE_ASSETS6"/>
      <sheetName val="(17)_LONG_TERM_RECEIVABLE6"/>
      <sheetName val="(18)_ALLOWANCE_FOR_BAD_DEBT6"/>
      <sheetName val="(19)_WARRANTY6"/>
      <sheetName val="(20)_OTHER_CURRENT_ASSETS6"/>
      <sheetName val="(21)_PREPAID_EXPENSES6"/>
      <sheetName val="(22)_OTHER_LONG_TERM_ASSETS6"/>
      <sheetName val="(23)_OTHER_ACCRUED_EXPENSES6"/>
      <sheetName val="(24)_OTHER_LONGTERM_LIABILITIE6"/>
      <sheetName val="(25)_COLLATERAL6"/>
      <sheetName val="(26)_GUARANTEES6"/>
      <sheetName val="(27)_COMMITMENTS6"/>
      <sheetName val="(28)_RELATED_PARTY_TRANSACTION6"/>
      <sheetName val="(29)_EMPLOYEE6"/>
      <sheetName val="(30)_DAIKIN_GROUP6"/>
      <sheetName val="(31)_OYL_GROUP6"/>
      <sheetName val="SALES_to_OYL7"/>
      <sheetName val="PURCHASE_from_OYL7"/>
      <sheetName val="(1)_CREDITS_to_DAIKIN_7"/>
      <sheetName val="(2)_DEBTS_FROM_DAIKIN7"/>
      <sheetName val="(3)_SALES_to_DAIKIN7"/>
      <sheetName val="(4)_PURCHASE_from_DAIKIN7"/>
      <sheetName val="(5)_Credits_to_OYL7"/>
      <sheetName val="6)_DEBTS_FROM_OYL7"/>
      <sheetName val="(7)_SALES_to_OYL7"/>
      <sheetName val="(8)_PURCHASE_FROM_OYL7"/>
      <sheetName val="(9)_ROYALTIES_FROM_OYL7"/>
      <sheetName val="(10)_ROYALTIES_TO_OYL7"/>
      <sheetName val="(11)_NON_OP_INCOME7"/>
      <sheetName val="(12)_NON_OP_EXPENSE7"/>
      <sheetName val="(13)_Sales_by_Countries7"/>
      <sheetName val="(14)_SGA7"/>
      <sheetName val="(15)_CASH_EQUIVALENT7"/>
      <sheetName val="(16)_TANGIBLE_ASSETS7"/>
      <sheetName val="(17)_LONG_TERM_RECEIVABLE7"/>
      <sheetName val="(18)_ALLOWANCE_FOR_BAD_DEBT7"/>
      <sheetName val="(19)_WARRANTY7"/>
      <sheetName val="(20)_OTHER_CURRENT_ASSETS7"/>
      <sheetName val="(21)_PREPAID_EXPENSES7"/>
      <sheetName val="(22)_OTHER_LONG_TERM_ASSETS7"/>
      <sheetName val="(23)_OTHER_ACCRUED_EXPENSES7"/>
      <sheetName val="(24)_OTHER_LONGTERM_LIABILITIE7"/>
      <sheetName val="(25)_COLLATERAL7"/>
      <sheetName val="(26)_GUARANTEES7"/>
      <sheetName val="(27)_COMMITMENTS7"/>
      <sheetName val="(28)_RELATED_PARTY_TRANSACTION7"/>
      <sheetName val="(29)_EMPLOYEE7"/>
      <sheetName val="(30)_DAIKIN_GROUP7"/>
      <sheetName val="(31)_OYL_GROUP7"/>
      <sheetName val="SALES_to_OYL8"/>
      <sheetName val="PURCHASE_from_OYL8"/>
      <sheetName val="(1)_CREDITS_to_DAIKIN_8"/>
      <sheetName val="(2)_DEBTS_FROM_DAIKIN8"/>
      <sheetName val="(3)_SALES_to_DAIKIN8"/>
      <sheetName val="(4)_PURCHASE_from_DAIKIN8"/>
      <sheetName val="(5)_Credits_to_OYL8"/>
      <sheetName val="6)_DEBTS_FROM_OYL8"/>
      <sheetName val="(7)_SALES_to_OYL8"/>
      <sheetName val="(8)_PURCHASE_FROM_OYL8"/>
      <sheetName val="(9)_ROYALTIES_FROM_OYL8"/>
      <sheetName val="(10)_ROYALTIES_TO_OYL8"/>
      <sheetName val="(11)_NON_OP_INCOME8"/>
      <sheetName val="(12)_NON_OP_EXPENSE8"/>
      <sheetName val="(13)_Sales_by_Countries8"/>
      <sheetName val="(14)_SGA8"/>
      <sheetName val="(15)_CASH_EQUIVALENT8"/>
      <sheetName val="(16)_TANGIBLE_ASSETS8"/>
      <sheetName val="(17)_LONG_TERM_RECEIVABLE8"/>
      <sheetName val="(18)_ALLOWANCE_FOR_BAD_DEBT8"/>
      <sheetName val="(19)_WARRANTY8"/>
      <sheetName val="(20)_OTHER_CURRENT_ASSETS8"/>
      <sheetName val="(21)_PREPAID_EXPENSES8"/>
      <sheetName val="(22)_OTHER_LONG_TERM_ASSETS8"/>
      <sheetName val="(23)_OTHER_ACCRUED_EXPENSES8"/>
      <sheetName val="(24)_OTHER_LONGTERM_LIABILITIE8"/>
      <sheetName val="(25)_COLLATERAL8"/>
      <sheetName val="(26)_GUARANTEES8"/>
      <sheetName val="(27)_COMMITMENTS8"/>
      <sheetName val="(28)_RELATED_PARTY_TRANSACTION8"/>
      <sheetName val="(29)_EMPLOYEE8"/>
      <sheetName val="(30)_DAIKIN_GROUP8"/>
      <sheetName val="(31)_OYL_GROUP8"/>
      <sheetName val="SALES_to_OYL16"/>
      <sheetName val="PURCHASE_from_OYL16"/>
      <sheetName val="(1)_CREDITS_to_DAIKIN_16"/>
      <sheetName val="(2)_DEBTS_FROM_DAIKIN16"/>
      <sheetName val="(3)_SALES_to_DAIKIN16"/>
      <sheetName val="(4)_PURCHASE_from_DAIKIN16"/>
      <sheetName val="(5)_Credits_to_OYL16"/>
      <sheetName val="6)_DEBTS_FROM_OYL16"/>
      <sheetName val="(7)_SALES_to_OYL16"/>
      <sheetName val="(8)_PURCHASE_FROM_OYL16"/>
      <sheetName val="(9)_ROYALTIES_FROM_OYL16"/>
      <sheetName val="(10)_ROYALTIES_TO_OYL16"/>
      <sheetName val="(11)_NON_OP_INCOME16"/>
      <sheetName val="(12)_NON_OP_EXPENSE16"/>
      <sheetName val="(13)_Sales_by_Countries16"/>
      <sheetName val="(14)_SGA16"/>
      <sheetName val="(15)_CASH_EQUIVALENT16"/>
      <sheetName val="(16)_TANGIBLE_ASSETS16"/>
      <sheetName val="(17)_LONG_TERM_RECEIVABLE16"/>
      <sheetName val="(18)_ALLOWANCE_FOR_BAD_DEBT16"/>
      <sheetName val="(19)_WARRANTY16"/>
      <sheetName val="(20)_OTHER_CURRENT_ASSETS16"/>
      <sheetName val="(21)_PREPAID_EXPENSES16"/>
      <sheetName val="(22)_OTHER_LONG_TERM_ASSETS16"/>
      <sheetName val="(23)_OTHER_ACCRUED_EXPENSES16"/>
      <sheetName val="(24)_OTHER_LONGTERM_LIABILITI16"/>
      <sheetName val="(25)_COLLATERAL16"/>
      <sheetName val="(26)_GUARANTEES16"/>
      <sheetName val="(27)_COMMITMENTS16"/>
      <sheetName val="(28)_RELATED_PARTY_TRANSACTIO16"/>
      <sheetName val="(29)_EMPLOYEE16"/>
      <sheetName val="(30)_DAIKIN_GROUP16"/>
      <sheetName val="(31)_OYL_GROUP16"/>
      <sheetName val="SALES_to_OYL10"/>
      <sheetName val="PURCHASE_from_OYL10"/>
      <sheetName val="(1)_CREDITS_to_DAIKIN_10"/>
      <sheetName val="(2)_DEBTS_FROM_DAIKIN10"/>
      <sheetName val="(3)_SALES_to_DAIKIN10"/>
      <sheetName val="(4)_PURCHASE_from_DAIKIN10"/>
      <sheetName val="(5)_Credits_to_OYL10"/>
      <sheetName val="6)_DEBTS_FROM_OYL10"/>
      <sheetName val="(7)_SALES_to_OYL10"/>
      <sheetName val="(8)_PURCHASE_FROM_OYL10"/>
      <sheetName val="(9)_ROYALTIES_FROM_OYL10"/>
      <sheetName val="(10)_ROYALTIES_TO_OYL10"/>
      <sheetName val="(11)_NON_OP_INCOME10"/>
      <sheetName val="(12)_NON_OP_EXPENSE10"/>
      <sheetName val="(13)_Sales_by_Countries10"/>
      <sheetName val="(14)_SGA10"/>
      <sheetName val="(15)_CASH_EQUIVALENT10"/>
      <sheetName val="(16)_TANGIBLE_ASSETS10"/>
      <sheetName val="(17)_LONG_TERM_RECEIVABLE10"/>
      <sheetName val="(18)_ALLOWANCE_FOR_BAD_DEBT10"/>
      <sheetName val="(19)_WARRANTY10"/>
      <sheetName val="(20)_OTHER_CURRENT_ASSETS10"/>
      <sheetName val="(21)_PREPAID_EXPENSES10"/>
      <sheetName val="(22)_OTHER_LONG_TERM_ASSETS10"/>
      <sheetName val="(23)_OTHER_ACCRUED_EXPENSES10"/>
      <sheetName val="(24)_OTHER_LONGTERM_LIABILITI10"/>
      <sheetName val="(25)_COLLATERAL10"/>
      <sheetName val="(26)_GUARANTEES10"/>
      <sheetName val="(27)_COMMITMENTS10"/>
      <sheetName val="(28)_RELATED_PARTY_TRANSACTIO10"/>
      <sheetName val="(29)_EMPLOYEE10"/>
      <sheetName val="(30)_DAIKIN_GROUP10"/>
      <sheetName val="(31)_OYL_GROUP10"/>
      <sheetName val="SALES_to_OYL9"/>
      <sheetName val="PURCHASE_from_OYL9"/>
      <sheetName val="(1)_CREDITS_to_DAIKIN_9"/>
      <sheetName val="(2)_DEBTS_FROM_DAIKIN9"/>
      <sheetName val="(3)_SALES_to_DAIKIN9"/>
      <sheetName val="(4)_PURCHASE_from_DAIKIN9"/>
      <sheetName val="(5)_Credits_to_OYL9"/>
      <sheetName val="6)_DEBTS_FROM_OYL9"/>
      <sheetName val="(7)_SALES_to_OYL9"/>
      <sheetName val="(8)_PURCHASE_FROM_OYL9"/>
      <sheetName val="(9)_ROYALTIES_FROM_OYL9"/>
      <sheetName val="(10)_ROYALTIES_TO_OYL9"/>
      <sheetName val="(11)_NON_OP_INCOME9"/>
      <sheetName val="(12)_NON_OP_EXPENSE9"/>
      <sheetName val="(13)_Sales_by_Countries9"/>
      <sheetName val="(14)_SGA9"/>
      <sheetName val="(15)_CASH_EQUIVALENT9"/>
      <sheetName val="(16)_TANGIBLE_ASSETS9"/>
      <sheetName val="(17)_LONG_TERM_RECEIVABLE9"/>
      <sheetName val="(18)_ALLOWANCE_FOR_BAD_DEBT9"/>
      <sheetName val="(19)_WARRANTY9"/>
      <sheetName val="(20)_OTHER_CURRENT_ASSETS9"/>
      <sheetName val="(21)_PREPAID_EXPENSES9"/>
      <sheetName val="(22)_OTHER_LONG_TERM_ASSETS9"/>
      <sheetName val="(23)_OTHER_ACCRUED_EXPENSES9"/>
      <sheetName val="(24)_OTHER_LONGTERM_LIABILITIE9"/>
      <sheetName val="(25)_COLLATERAL9"/>
      <sheetName val="(26)_GUARANTEES9"/>
      <sheetName val="(27)_COMMITMENTS9"/>
      <sheetName val="(28)_RELATED_PARTY_TRANSACTION9"/>
      <sheetName val="(29)_EMPLOYEE9"/>
      <sheetName val="(30)_DAIKIN_GROUP9"/>
      <sheetName val="(31)_OYL_GROUP9"/>
      <sheetName val="SALES_to_OYL11"/>
      <sheetName val="PURCHASE_from_OYL11"/>
      <sheetName val="(1)_CREDITS_to_DAIKIN_11"/>
      <sheetName val="(2)_DEBTS_FROM_DAIKIN11"/>
      <sheetName val="(3)_SALES_to_DAIKIN11"/>
      <sheetName val="(4)_PURCHASE_from_DAIKIN11"/>
      <sheetName val="(5)_Credits_to_OYL11"/>
      <sheetName val="6)_DEBTS_FROM_OYL11"/>
      <sheetName val="(7)_SALES_to_OYL11"/>
      <sheetName val="(8)_PURCHASE_FROM_OYL11"/>
      <sheetName val="(9)_ROYALTIES_FROM_OYL11"/>
      <sheetName val="(10)_ROYALTIES_TO_OYL11"/>
      <sheetName val="(11)_NON_OP_INCOME11"/>
      <sheetName val="(12)_NON_OP_EXPENSE11"/>
      <sheetName val="(13)_Sales_by_Countries11"/>
      <sheetName val="(14)_SGA11"/>
      <sheetName val="(15)_CASH_EQUIVALENT11"/>
      <sheetName val="(16)_TANGIBLE_ASSETS11"/>
      <sheetName val="(17)_LONG_TERM_RECEIVABLE11"/>
      <sheetName val="(18)_ALLOWANCE_FOR_BAD_DEBT11"/>
      <sheetName val="(19)_WARRANTY11"/>
      <sheetName val="(20)_OTHER_CURRENT_ASSETS11"/>
      <sheetName val="(21)_PREPAID_EXPENSES11"/>
      <sheetName val="(22)_OTHER_LONG_TERM_ASSETS11"/>
      <sheetName val="(23)_OTHER_ACCRUED_EXPENSES11"/>
      <sheetName val="(24)_OTHER_LONGTERM_LIABILITI11"/>
      <sheetName val="(25)_COLLATERAL11"/>
      <sheetName val="(26)_GUARANTEES11"/>
      <sheetName val="(27)_COMMITMENTS11"/>
      <sheetName val="(28)_RELATED_PARTY_TRANSACTIO11"/>
      <sheetName val="(29)_EMPLOYEE11"/>
      <sheetName val="(30)_DAIKIN_GROUP11"/>
      <sheetName val="(31)_OYL_GROUP11"/>
      <sheetName val="SALES_to_OYL12"/>
      <sheetName val="PURCHASE_from_OYL12"/>
      <sheetName val="(1)_CREDITS_to_DAIKIN_12"/>
      <sheetName val="(2)_DEBTS_FROM_DAIKIN12"/>
      <sheetName val="(3)_SALES_to_DAIKIN12"/>
      <sheetName val="(4)_PURCHASE_from_DAIKIN12"/>
      <sheetName val="(5)_Credits_to_OYL12"/>
      <sheetName val="6)_DEBTS_FROM_OYL12"/>
      <sheetName val="(7)_SALES_to_OYL12"/>
      <sheetName val="(8)_PURCHASE_FROM_OYL12"/>
      <sheetName val="(9)_ROYALTIES_FROM_OYL12"/>
      <sheetName val="(10)_ROYALTIES_TO_OYL12"/>
      <sheetName val="(11)_NON_OP_INCOME12"/>
      <sheetName val="(12)_NON_OP_EXPENSE12"/>
      <sheetName val="(13)_Sales_by_Countries12"/>
      <sheetName val="(14)_SGA12"/>
      <sheetName val="(15)_CASH_EQUIVALENT12"/>
      <sheetName val="(16)_TANGIBLE_ASSETS12"/>
      <sheetName val="(17)_LONG_TERM_RECEIVABLE12"/>
      <sheetName val="(18)_ALLOWANCE_FOR_BAD_DEBT12"/>
      <sheetName val="(19)_WARRANTY12"/>
      <sheetName val="(20)_OTHER_CURRENT_ASSETS12"/>
      <sheetName val="(21)_PREPAID_EXPENSES12"/>
      <sheetName val="(22)_OTHER_LONG_TERM_ASSETS12"/>
      <sheetName val="(23)_OTHER_ACCRUED_EXPENSES12"/>
      <sheetName val="(24)_OTHER_LONGTERM_LIABILITI12"/>
      <sheetName val="(25)_COLLATERAL12"/>
      <sheetName val="(26)_GUARANTEES12"/>
      <sheetName val="(27)_COMMITMENTS12"/>
      <sheetName val="(28)_RELATED_PARTY_TRANSACTIO12"/>
      <sheetName val="(29)_EMPLOYEE12"/>
      <sheetName val="(30)_DAIKIN_GROUP12"/>
      <sheetName val="(31)_OYL_GROUP12"/>
      <sheetName val="SALES_to_OYL15"/>
      <sheetName val="PURCHASE_from_OYL15"/>
      <sheetName val="(1)_CREDITS_to_DAIKIN_15"/>
      <sheetName val="(2)_DEBTS_FROM_DAIKIN15"/>
      <sheetName val="(3)_SALES_to_DAIKIN15"/>
      <sheetName val="(4)_PURCHASE_from_DAIKIN15"/>
      <sheetName val="(5)_Credits_to_OYL15"/>
      <sheetName val="6)_DEBTS_FROM_OYL15"/>
      <sheetName val="(7)_SALES_to_OYL15"/>
      <sheetName val="(8)_PURCHASE_FROM_OYL15"/>
      <sheetName val="(9)_ROYALTIES_FROM_OYL15"/>
      <sheetName val="(10)_ROYALTIES_TO_OYL15"/>
      <sheetName val="(11)_NON_OP_INCOME15"/>
      <sheetName val="(12)_NON_OP_EXPENSE15"/>
      <sheetName val="(13)_Sales_by_Countries15"/>
      <sheetName val="(14)_SGA15"/>
      <sheetName val="(15)_CASH_EQUIVALENT15"/>
      <sheetName val="(16)_TANGIBLE_ASSETS15"/>
      <sheetName val="(17)_LONG_TERM_RECEIVABLE15"/>
      <sheetName val="(18)_ALLOWANCE_FOR_BAD_DEBT15"/>
      <sheetName val="(19)_WARRANTY15"/>
      <sheetName val="(20)_OTHER_CURRENT_ASSETS15"/>
      <sheetName val="(21)_PREPAID_EXPENSES15"/>
      <sheetName val="(22)_OTHER_LONG_TERM_ASSETS15"/>
      <sheetName val="(23)_OTHER_ACCRUED_EXPENSES15"/>
      <sheetName val="(24)_OTHER_LONGTERM_LIABILITI15"/>
      <sheetName val="(25)_COLLATERAL15"/>
      <sheetName val="(26)_GUARANTEES15"/>
      <sheetName val="(27)_COMMITMENTS15"/>
      <sheetName val="(28)_RELATED_PARTY_TRANSACTIO15"/>
      <sheetName val="(29)_EMPLOYEE15"/>
      <sheetName val="(30)_DAIKIN_GROUP15"/>
      <sheetName val="(31)_OYL_GROUP15"/>
      <sheetName val="SALES_to_OYL13"/>
      <sheetName val="PURCHASE_from_OYL13"/>
      <sheetName val="(1)_CREDITS_to_DAIKIN_13"/>
      <sheetName val="(2)_DEBTS_FROM_DAIKIN13"/>
      <sheetName val="(3)_SALES_to_DAIKIN13"/>
      <sheetName val="(4)_PURCHASE_from_DAIKIN13"/>
      <sheetName val="(5)_Credits_to_OYL13"/>
      <sheetName val="6)_DEBTS_FROM_OYL13"/>
      <sheetName val="(7)_SALES_to_OYL13"/>
      <sheetName val="(8)_PURCHASE_FROM_OYL13"/>
      <sheetName val="(9)_ROYALTIES_FROM_OYL13"/>
      <sheetName val="(10)_ROYALTIES_TO_OYL13"/>
      <sheetName val="(11)_NON_OP_INCOME13"/>
      <sheetName val="(12)_NON_OP_EXPENSE13"/>
      <sheetName val="(13)_Sales_by_Countries13"/>
      <sheetName val="(14)_SGA13"/>
      <sheetName val="(15)_CASH_EQUIVALENT13"/>
      <sheetName val="(16)_TANGIBLE_ASSETS13"/>
      <sheetName val="(17)_LONG_TERM_RECEIVABLE13"/>
      <sheetName val="(18)_ALLOWANCE_FOR_BAD_DEBT13"/>
      <sheetName val="(19)_WARRANTY13"/>
      <sheetName val="(20)_OTHER_CURRENT_ASSETS13"/>
      <sheetName val="(21)_PREPAID_EXPENSES13"/>
      <sheetName val="(22)_OTHER_LONG_TERM_ASSETS13"/>
      <sheetName val="(23)_OTHER_ACCRUED_EXPENSES13"/>
      <sheetName val="(24)_OTHER_LONGTERM_LIABILITI13"/>
      <sheetName val="(25)_COLLATERAL13"/>
      <sheetName val="(26)_GUARANTEES13"/>
      <sheetName val="(27)_COMMITMENTS13"/>
      <sheetName val="(28)_RELATED_PARTY_TRANSACTIO13"/>
      <sheetName val="(29)_EMPLOYEE13"/>
      <sheetName val="(30)_DAIKIN_GROUP13"/>
      <sheetName val="(31)_OYL_GROUP13"/>
      <sheetName val="SALES_to_OYL14"/>
      <sheetName val="PURCHASE_from_OYL14"/>
      <sheetName val="(1)_CREDITS_to_DAIKIN_14"/>
      <sheetName val="(2)_DEBTS_FROM_DAIKIN14"/>
      <sheetName val="(3)_SALES_to_DAIKIN14"/>
      <sheetName val="(4)_PURCHASE_from_DAIKIN14"/>
      <sheetName val="(5)_Credits_to_OYL14"/>
      <sheetName val="6)_DEBTS_FROM_OYL14"/>
      <sheetName val="(7)_SALES_to_OYL14"/>
      <sheetName val="(8)_PURCHASE_FROM_OYL14"/>
      <sheetName val="(9)_ROYALTIES_FROM_OYL14"/>
      <sheetName val="(10)_ROYALTIES_TO_OYL14"/>
      <sheetName val="(11)_NON_OP_INCOME14"/>
      <sheetName val="(12)_NON_OP_EXPENSE14"/>
      <sheetName val="(13)_Sales_by_Countries14"/>
      <sheetName val="(14)_SGA14"/>
      <sheetName val="(15)_CASH_EQUIVALENT14"/>
      <sheetName val="(16)_TANGIBLE_ASSETS14"/>
      <sheetName val="(17)_LONG_TERM_RECEIVABLE14"/>
      <sheetName val="(18)_ALLOWANCE_FOR_BAD_DEBT14"/>
      <sheetName val="(19)_WARRANTY14"/>
      <sheetName val="(20)_OTHER_CURRENT_ASSETS14"/>
      <sheetName val="(21)_PREPAID_EXPENSES14"/>
      <sheetName val="(22)_OTHER_LONG_TERM_ASSETS14"/>
      <sheetName val="(23)_OTHER_ACCRUED_EXPENSES14"/>
      <sheetName val="(24)_OTHER_LONGTERM_LIABILITI14"/>
      <sheetName val="(25)_COLLATERAL14"/>
      <sheetName val="(26)_GUARANTEES14"/>
      <sheetName val="(27)_COMMITMENTS14"/>
      <sheetName val="(28)_RELATED_PARTY_TRANSACTIO14"/>
      <sheetName val="(29)_EMPLOYEE14"/>
      <sheetName val="(30)_DAIKIN_GROUP14"/>
      <sheetName val="(31)_OYL_GROUP14"/>
      <sheetName val="SALES_to_OYL17"/>
      <sheetName val="PURCHASE_from_OYL17"/>
      <sheetName val="(1)_CREDITS_to_DAIKIN_17"/>
      <sheetName val="(2)_DEBTS_FROM_DAIKIN17"/>
      <sheetName val="(3)_SALES_to_DAIKIN17"/>
      <sheetName val="(4)_PURCHASE_from_DAIKIN17"/>
      <sheetName val="(5)_Credits_to_OYL17"/>
      <sheetName val="6)_DEBTS_FROM_OYL17"/>
      <sheetName val="(7)_SALES_to_OYL17"/>
      <sheetName val="(8)_PURCHASE_FROM_OYL17"/>
      <sheetName val="(9)_ROYALTIES_FROM_OYL17"/>
      <sheetName val="(10)_ROYALTIES_TO_OYL17"/>
      <sheetName val="(11)_NON_OP_INCOME17"/>
      <sheetName val="(12)_NON_OP_EXPENSE17"/>
      <sheetName val="(13)_Sales_by_Countries17"/>
      <sheetName val="(14)_SGA17"/>
      <sheetName val="(15)_CASH_EQUIVALENT17"/>
      <sheetName val="(16)_TANGIBLE_ASSETS17"/>
      <sheetName val="(17)_LONG_TERM_RECEIVABLE17"/>
      <sheetName val="(18)_ALLOWANCE_FOR_BAD_DEBT17"/>
      <sheetName val="(19)_WARRANTY17"/>
      <sheetName val="(20)_OTHER_CURRENT_ASSETS17"/>
      <sheetName val="(21)_PREPAID_EXPENSES17"/>
      <sheetName val="(22)_OTHER_LONG_TERM_ASSETS17"/>
      <sheetName val="(23)_OTHER_ACCRUED_EXPENSES17"/>
      <sheetName val="(24)_OTHER_LONGTERM_LIABILITI17"/>
      <sheetName val="(25)_COLLATERAL17"/>
      <sheetName val="(26)_GUARANTEES17"/>
      <sheetName val="(27)_COMMITMENTS17"/>
      <sheetName val="(28)_RELATED_PARTY_TRANSACTIO17"/>
      <sheetName val="(29)_EMPLOYEE17"/>
      <sheetName val="(30)_DAIKIN_GROUP17"/>
      <sheetName val="(31)_OYL_GROUP17"/>
      <sheetName val="SALES_to_OYL18"/>
      <sheetName val="PURCHASE_from_OYL18"/>
      <sheetName val="(1)_CREDITS_to_DAIKIN_18"/>
      <sheetName val="(2)_DEBTS_FROM_DAIKIN18"/>
      <sheetName val="(3)_SALES_to_DAIKIN18"/>
      <sheetName val="(4)_PURCHASE_from_DAIKIN18"/>
      <sheetName val="(5)_Credits_to_OYL18"/>
      <sheetName val="6)_DEBTS_FROM_OYL18"/>
      <sheetName val="(7)_SALES_to_OYL18"/>
      <sheetName val="(8)_PURCHASE_FROM_OYL18"/>
      <sheetName val="(9)_ROYALTIES_FROM_OYL18"/>
      <sheetName val="(10)_ROYALTIES_TO_OYL18"/>
      <sheetName val="(11)_NON_OP_INCOME18"/>
      <sheetName val="(12)_NON_OP_EXPENSE18"/>
      <sheetName val="(13)_Sales_by_Countries18"/>
      <sheetName val="(14)_SGA18"/>
      <sheetName val="(15)_CASH_EQUIVALENT18"/>
      <sheetName val="(16)_TANGIBLE_ASSETS18"/>
      <sheetName val="(17)_LONG_TERM_RECEIVABLE18"/>
      <sheetName val="(18)_ALLOWANCE_FOR_BAD_DEBT18"/>
      <sheetName val="(19)_WARRANTY18"/>
      <sheetName val="(20)_OTHER_CURRENT_ASSETS18"/>
      <sheetName val="(21)_PREPAID_EXPENSES18"/>
      <sheetName val="(22)_OTHER_LONG_TERM_ASSETS18"/>
      <sheetName val="(23)_OTHER_ACCRUED_EXPENSES18"/>
      <sheetName val="(24)_OTHER_LONGTERM_LIABILITI18"/>
      <sheetName val="(25)_COLLATERAL18"/>
      <sheetName val="(26)_GUARANTEES18"/>
      <sheetName val="(27)_COMMITMENTS18"/>
      <sheetName val="(28)_RELATED_PARTY_TRANSACTIO18"/>
      <sheetName val="(29)_EMPLOYEE18"/>
      <sheetName val="(30)_DAIKIN_GROUP18"/>
      <sheetName val="(31)_OYL_GROUP18"/>
      <sheetName val="SALES_to_OYL19"/>
      <sheetName val="PURCHASE_from_OYL19"/>
      <sheetName val="(1)_CREDITS_to_DAIKIN_19"/>
      <sheetName val="(2)_DEBTS_FROM_DAIKIN19"/>
      <sheetName val="(3)_SALES_to_DAIKIN19"/>
      <sheetName val="(4)_PURCHASE_from_DAIKIN19"/>
      <sheetName val="(5)_Credits_to_OYL19"/>
      <sheetName val="6)_DEBTS_FROM_OYL19"/>
      <sheetName val="(7)_SALES_to_OYL19"/>
      <sheetName val="(8)_PURCHASE_FROM_OYL19"/>
      <sheetName val="(9)_ROYALTIES_FROM_OYL19"/>
      <sheetName val="(10)_ROYALTIES_TO_OYL19"/>
      <sheetName val="(11)_NON_OP_INCOME19"/>
      <sheetName val="(12)_NON_OP_EXPENSE19"/>
      <sheetName val="(13)_Sales_by_Countries19"/>
      <sheetName val="(14)_SGA19"/>
      <sheetName val="(15)_CASH_EQUIVALENT19"/>
      <sheetName val="(16)_TANGIBLE_ASSETS19"/>
      <sheetName val="(17)_LONG_TERM_RECEIVABLE19"/>
      <sheetName val="(18)_ALLOWANCE_FOR_BAD_DEBT19"/>
      <sheetName val="(19)_WARRANTY19"/>
      <sheetName val="(20)_OTHER_CURRENT_ASSETS19"/>
      <sheetName val="(21)_PREPAID_EXPENSES19"/>
      <sheetName val="(22)_OTHER_LONG_TERM_ASSETS19"/>
      <sheetName val="(23)_OTHER_ACCRUED_EXPENSES19"/>
      <sheetName val="(24)_OTHER_LONGTERM_LIABILITI19"/>
      <sheetName val="(25)_COLLATERAL19"/>
      <sheetName val="(26)_GUARANTEES19"/>
      <sheetName val="(27)_COMMITMENTS19"/>
      <sheetName val="(28)_RELATED_PARTY_TRANSACTIO19"/>
      <sheetName val="(29)_EMPLOYEE19"/>
      <sheetName val="(30)_DAIKIN_GROUP19"/>
      <sheetName val="(31)_OYL_GROUP19"/>
      <sheetName val="SALES_to_OYL20"/>
      <sheetName val="PURCHASE_from_OYL20"/>
      <sheetName val="(1)_CREDITS_to_DAIKIN_20"/>
      <sheetName val="(2)_DEBTS_FROM_DAIKIN20"/>
      <sheetName val="(3)_SALES_to_DAIKIN20"/>
      <sheetName val="(4)_PURCHASE_from_DAIKIN20"/>
      <sheetName val="(5)_Credits_to_OYL20"/>
      <sheetName val="6)_DEBTS_FROM_OYL20"/>
      <sheetName val="(7)_SALES_to_OYL20"/>
      <sheetName val="(8)_PURCHASE_FROM_OYL20"/>
      <sheetName val="(9)_ROYALTIES_FROM_OYL20"/>
      <sheetName val="(10)_ROYALTIES_TO_OYL20"/>
      <sheetName val="(11)_NON_OP_INCOME20"/>
      <sheetName val="(12)_NON_OP_EXPENSE20"/>
      <sheetName val="(13)_Sales_by_Countries20"/>
      <sheetName val="(14)_SGA20"/>
      <sheetName val="(15)_CASH_EQUIVALENT20"/>
      <sheetName val="(16)_TANGIBLE_ASSETS20"/>
      <sheetName val="(17)_LONG_TERM_RECEIVABLE20"/>
      <sheetName val="(18)_ALLOWANCE_FOR_BAD_DEBT20"/>
      <sheetName val="(19)_WARRANTY20"/>
      <sheetName val="(20)_OTHER_CURRENT_ASSETS20"/>
      <sheetName val="(21)_PREPAID_EXPENSES20"/>
      <sheetName val="(22)_OTHER_LONG_TERM_ASSETS20"/>
      <sheetName val="(23)_OTHER_ACCRUED_EXPENSES20"/>
      <sheetName val="(24)_OTHER_LONGTERM_LIABILITI20"/>
      <sheetName val="(25)_COLLATERAL20"/>
      <sheetName val="(26)_GUARANTEES20"/>
      <sheetName val="(27)_COMMITMENTS20"/>
      <sheetName val="(28)_RELATED_PARTY_TRANSACTIO20"/>
      <sheetName val="(29)_EMPLOYEE20"/>
      <sheetName val="(30)_DAIKIN_GROUP20"/>
      <sheetName val="(31)_OYL_GROUP20"/>
      <sheetName val="SALES_to_OYL21"/>
      <sheetName val="PURCHASE_from_OYL21"/>
      <sheetName val="(1)_CREDITS_to_DAIKIN_21"/>
      <sheetName val="(2)_DEBTS_FROM_DAIKIN21"/>
      <sheetName val="(3)_SALES_to_DAIKIN21"/>
      <sheetName val="(4)_PURCHASE_from_DAIKIN21"/>
      <sheetName val="(5)_Credits_to_OYL21"/>
      <sheetName val="6)_DEBTS_FROM_OYL21"/>
      <sheetName val="(7)_SALES_to_OYL21"/>
      <sheetName val="(8)_PURCHASE_FROM_OYL21"/>
      <sheetName val="(9)_ROYALTIES_FROM_OYL21"/>
      <sheetName val="(10)_ROYALTIES_TO_OYL21"/>
      <sheetName val="(11)_NON_OP_INCOME21"/>
      <sheetName val="(12)_NON_OP_EXPENSE21"/>
      <sheetName val="(13)_Sales_by_Countries21"/>
      <sheetName val="(14)_SGA21"/>
      <sheetName val="(15)_CASH_EQUIVALENT21"/>
      <sheetName val="(16)_TANGIBLE_ASSETS21"/>
      <sheetName val="(17)_LONG_TERM_RECEIVABLE21"/>
      <sheetName val="(18)_ALLOWANCE_FOR_BAD_DEBT21"/>
      <sheetName val="(19)_WARRANTY21"/>
      <sheetName val="(20)_OTHER_CURRENT_ASSETS21"/>
      <sheetName val="(21)_PREPAID_EXPENSES21"/>
      <sheetName val="(22)_OTHER_LONG_TERM_ASSETS21"/>
      <sheetName val="(23)_OTHER_ACCRUED_EXPENSES21"/>
      <sheetName val="(24)_OTHER_LONGTERM_LIABILITI21"/>
      <sheetName val="(25)_COLLATERAL21"/>
      <sheetName val="(26)_GUARANTEES21"/>
      <sheetName val="(27)_COMMITMENTS21"/>
      <sheetName val="(28)_RELATED_PARTY_TRANSACTIO21"/>
      <sheetName val="(29)_EMPLOYEE21"/>
      <sheetName val="(30)_DAIKIN_GROUP21"/>
      <sheetName val="(31)_OYL_GROUP21"/>
      <sheetName val="SALES_to_OYL22"/>
      <sheetName val="PURCHASE_from_OYL22"/>
      <sheetName val="(1)_CREDITS_to_DAIKIN_22"/>
      <sheetName val="(2)_DEBTS_FROM_DAIKIN22"/>
      <sheetName val="(3)_SALES_to_DAIKIN22"/>
      <sheetName val="(4)_PURCHASE_from_DAIKIN22"/>
      <sheetName val="(5)_Credits_to_OYL22"/>
      <sheetName val="6)_DEBTS_FROM_OYL22"/>
      <sheetName val="(7)_SALES_to_OYL22"/>
      <sheetName val="(8)_PURCHASE_FROM_OYL22"/>
      <sheetName val="(9)_ROYALTIES_FROM_OYL22"/>
      <sheetName val="(10)_ROYALTIES_TO_OYL22"/>
      <sheetName val="(11)_NON_OP_INCOME22"/>
      <sheetName val="(12)_NON_OP_EXPENSE22"/>
      <sheetName val="(13)_Sales_by_Countries22"/>
      <sheetName val="(14)_SGA22"/>
      <sheetName val="(15)_CASH_EQUIVALENT22"/>
      <sheetName val="(16)_TANGIBLE_ASSETS22"/>
      <sheetName val="(17)_LONG_TERM_RECEIVABLE22"/>
      <sheetName val="(18)_ALLOWANCE_FOR_BAD_DEBT22"/>
      <sheetName val="(19)_WARRANTY22"/>
      <sheetName val="(20)_OTHER_CURRENT_ASSETS22"/>
      <sheetName val="(21)_PREPAID_EXPENSES22"/>
      <sheetName val="(22)_OTHER_LONG_TERM_ASSETS22"/>
      <sheetName val="(23)_OTHER_ACCRUED_EXPENSES22"/>
      <sheetName val="(24)_OTHER_LONGTERM_LIABILITI22"/>
      <sheetName val="(25)_COLLATERAL22"/>
      <sheetName val="(26)_GUARANTEES22"/>
      <sheetName val="(27)_COMMITMENTS22"/>
      <sheetName val="(28)_RELATED_PARTY_TRANSACTIO22"/>
      <sheetName val="(29)_EMPLOYEE22"/>
      <sheetName val="(30)_DAIKIN_GROUP22"/>
      <sheetName val="(31)_OYL_GROUP22"/>
      <sheetName val="SALES_to_OYL23"/>
      <sheetName val="PURCHASE_from_OYL23"/>
      <sheetName val="(1)_CREDITS_to_DAIKIN_23"/>
      <sheetName val="(2)_DEBTS_FROM_DAIKIN23"/>
      <sheetName val="(3)_SALES_to_DAIKIN23"/>
      <sheetName val="(4)_PURCHASE_from_DAIKIN23"/>
      <sheetName val="(5)_Credits_to_OYL23"/>
      <sheetName val="6)_DEBTS_FROM_OYL23"/>
      <sheetName val="(7)_SALES_to_OYL23"/>
      <sheetName val="(8)_PURCHASE_FROM_OYL23"/>
      <sheetName val="(9)_ROYALTIES_FROM_OYL23"/>
      <sheetName val="(10)_ROYALTIES_TO_OYL23"/>
      <sheetName val="(11)_NON_OP_INCOME23"/>
      <sheetName val="(12)_NON_OP_EXPENSE23"/>
      <sheetName val="(13)_Sales_by_Countries23"/>
      <sheetName val="(14)_SGA23"/>
      <sheetName val="(15)_CASH_EQUIVALENT23"/>
      <sheetName val="(16)_TANGIBLE_ASSETS23"/>
      <sheetName val="(17)_LONG_TERM_RECEIVABLE23"/>
      <sheetName val="(18)_ALLOWANCE_FOR_BAD_DEBT23"/>
      <sheetName val="(19)_WARRANTY23"/>
      <sheetName val="(20)_OTHER_CURRENT_ASSETS23"/>
      <sheetName val="(21)_PREPAID_EXPENSES23"/>
      <sheetName val="(22)_OTHER_LONG_TERM_ASSETS23"/>
      <sheetName val="(23)_OTHER_ACCRUED_EXPENSES23"/>
      <sheetName val="(24)_OTHER_LONGTERM_LIABILITI23"/>
      <sheetName val="(25)_COLLATERAL23"/>
      <sheetName val="(26)_GUARANTEES23"/>
      <sheetName val="(27)_COMMITMENTS23"/>
      <sheetName val="(28)_RELATED_PARTY_TRANSACTIO23"/>
      <sheetName val="(29)_EMPLOYEE23"/>
      <sheetName val="(30)_DAIKIN_GROUP23"/>
      <sheetName val="(31)_OYL_GROUP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2010 report"/>
      <sheetName val="2011 report"/>
      <sheetName val="PROJECTS LIST"/>
      <sheetName val="Main Project 2010"/>
      <sheetName val="Main Project 2011"/>
      <sheetName val="Delivered"/>
      <sheetName val="Config"/>
      <sheetName val="Channel"/>
      <sheetName val="Spec-in Guide"/>
      <sheetName val="2010_report"/>
      <sheetName val="2011_report"/>
      <sheetName val="PROJECTS_LIST"/>
      <sheetName val="Main_Project_2010"/>
      <sheetName val="Main_Project_2011"/>
      <sheetName val="PIVOT"/>
      <sheetName val="2012 report"/>
      <sheetName val="Main Project 2012"/>
      <sheetName val="2012_report"/>
      <sheetName val="Main_Project_2012"/>
      <sheetName val="1.2. FY18 Forecast"/>
      <sheetName val="6.InqComposition"/>
      <sheetName val="7'.ITM VAM"/>
      <sheetName val="9'.Won ratio"/>
      <sheetName val="WON ANALYSIS"/>
      <sheetName val="WONLIST"/>
      <sheetName val="LOST ANALYSIS"/>
      <sheetName val="LOST LIST"/>
      <sheetName val="STATUS DEFINITION"/>
      <sheetName val="Definition Forecast"/>
      <sheetName val="Spec-in DefinitionRev 4.2"/>
      <sheetName val="Won Job by price"/>
      <sheetName val="WON JOB LIST"/>
      <sheetName val="LOST JOB LIST"/>
      <sheetName val="Sourse"/>
      <sheetName val="CHANGE SBU"/>
      <sheetName val="WON LOST RATIO"/>
      <sheetName val="Sheet1"/>
      <sheetName val="FY13 FCT"/>
      <sheetName val="FY14 FCT"/>
      <sheetName val="TTL VRV ENQURIES"/>
      <sheetName val="FY13 VRV ENQUIRIES"/>
      <sheetName val="ENQUIRIES MOVEMENT"/>
      <sheetName val="SEP.13 VRV DELIVERY "/>
      <sheetName val="FY14 VRV ENQUIRIES"/>
      <sheetName val="WON LIST"/>
      <sheetName val="NEW ORDER"/>
      <sheetName val="OUTSTANDING"/>
      <sheetName val="1.Weekly visiting (for SE)"/>
      <sheetName val="2. Spec-in List (for SE)"/>
      <sheetName val="3. Support List (for ES)"/>
      <sheetName val="Defination"/>
      <sheetName val="1. SPEC-IN PROGRESS"/>
      <sheetName val="1.1 Visiting Summary"/>
      <sheetName val="3.1 Support summary"/>
      <sheetName val="4. Spec-in Result FCT"/>
      <sheetName val="6.Others"/>
      <sheetName val="1.2 Won ratio"/>
      <sheetName val="2.1 Spec-in List by status"/>
      <sheetName val="2004"/>
      <sheetName val="INV."/>
      <sheetName val="MARKET"/>
      <sheetName val="Summary 2003"/>
      <sheetName val="Budget params"/>
      <sheetName val="0000000"/>
      <sheetName val="SALES"/>
      <sheetName val="REPORT-1 "/>
      <sheetName val="REPORT-2"/>
      <sheetName val="SPLTDCON"/>
      <sheetName val="SKYADCON"/>
      <sheetName val="SPLTDFCU"/>
      <sheetName val="SKYADFCU"/>
      <sheetName val="PACKCCON"/>
      <sheetName val="PACKCFCU"/>
      <sheetName val="SSS1"/>
      <sheetName val="SSS2"/>
      <sheetName val="99 v 00"/>
      <sheetName val="BANK"/>
      <sheetName val="CashFlow"/>
      <sheetName val="1999"/>
      <sheetName val="2000"/>
      <sheetName val="Receivable"/>
      <sheetName val="Form1"/>
      <sheetName val="Form 2"/>
      <sheetName val="x"/>
      <sheetName val="1.FY18 Forecast (2)"/>
      <sheetName val="1.FY18 Forecast"/>
      <sheetName val="2.FY18 Inq Summary&amp;Rolling"/>
      <sheetName val="3.TTL Inq Summary"/>
      <sheetName val="3'.ENQUIRY Summary CDU Type"/>
      <sheetName val="Necessry. Inq"/>
      <sheetName val="4.Spec-in by SE"/>
      <sheetName val="5.Spec-in project list"/>
      <sheetName val="8'.HYBRID"/>
      <sheetName val="1. FY17 Result"/>
      <sheetName val="1.1. FY18 Forecast"/>
      <sheetName val="工作表1"/>
      <sheetName val="工作表2"/>
      <sheetName val="Summary 2013"/>
      <sheetName val="Main Project 2013"/>
      <sheetName val="COST"/>
      <sheetName val="MODELN"/>
      <sheetName val="AC REDUCED 1"/>
      <sheetName val="SAN REDUCED 1"/>
      <sheetName val="VRV_Cost (ต้นฉบับ)"/>
      <sheetName val="VF"/>
      <sheetName val="VF_Table"/>
      <sheetName val="factor(due to design temp.)"/>
      <sheetName val="Split_Piping Cost"/>
      <sheetName val="AC"/>
      <sheetName val="Spec"/>
      <sheetName val="AC_Table"/>
      <sheetName val="VRV_Piping Cost"/>
      <sheetName val="EE_Table"/>
      <sheetName val="VRV Boq_cover (2)"/>
      <sheetName val="VRV Boq_cover"/>
      <sheetName val="VRV Boq"/>
      <sheetName val="Additional Boq_cover"/>
      <sheetName val="Additional Boq"/>
      <sheetName val="material_mar6,2003"/>
      <sheetName val="KeyIn"/>
      <sheetName val="Data"/>
      <sheetName val="DRAWING"/>
      <sheetName val="SCOPE"/>
      <sheetName val="COVER"/>
      <sheetName val="SALING"/>
      <sheetName val="RESULT"/>
      <sheetName val="UNIT_P"/>
      <sheetName val="F&amp;S"/>
      <sheetName val="Macro1"/>
      <sheetName val="p_SUM  (2)"/>
      <sheetName val="P_A (2)"/>
      <sheetName val="P_B  (2)"/>
      <sheetName val="P_C  (2)"/>
      <sheetName val="p_SUM "/>
      <sheetName val="P_A"/>
      <sheetName val="P_B "/>
      <sheetName val="P_C "/>
      <sheetName val="C_SUM"/>
      <sheetName val="C_A"/>
      <sheetName val="C_B"/>
      <sheetName val="C_C"/>
      <sheetName val="MODELNF"/>
      <sheetName val="p_日バッチt"/>
      <sheetName val="DATA-P3 "/>
      <sheetName val="Sum"/>
      <sheetName val="Air-East"/>
      <sheetName val="Air-West"/>
      <sheetName val="Concourse-A"/>
      <sheetName val="Concourse-B"/>
      <sheetName val="Concourse-C"/>
      <sheetName val="Concourse-D"/>
      <sheetName val="Concourse-E"/>
      <sheetName val="Concourse-F"/>
      <sheetName val="Concourse-G"/>
      <sheetName val="Import"/>
      <sheetName val="MODEL"/>
      <sheetName val="FY13Spec-in Result"/>
      <sheetName val="FY14Spec-in Result"/>
      <sheetName val="Sheet2"/>
      <sheetName val="SpecinReport2"/>
      <sheetName val="Sheet3"/>
      <sheetName val="Spec-in comparison"/>
      <sheetName val="Spec-inFY13Oct-Mar"/>
      <sheetName val="Spec-inFY14Apr-Sep"/>
      <sheetName val="Spec-inFY14Oct-Dec"/>
      <sheetName val="Sheet4"/>
      <sheetName val="Spec-in Information"/>
      <sheetName val="Identify small Project"/>
      <sheetName val="Daikin Consultant"/>
      <sheetName val="Daikin Dealer"/>
      <sheetName val="cleaned"/>
      <sheetName val="USERS GUIDE"/>
      <sheetName val="Presentation sheet"/>
      <sheetName val="Management indicators"/>
      <sheetName val="INPUT 01"/>
      <sheetName val="INPUT 02"/>
      <sheetName val="INPUT BUDGET"/>
      <sheetName val="balans BUDGET DIL"/>
      <sheetName val="monthlysplit Budget"/>
      <sheetName val="INPUT RB"/>
      <sheetName val="Comparison"/>
      <sheetName val="Investment Forecast 2002"/>
      <sheetName val="Investment Budget 2003"/>
      <sheetName val="F2003_BUDGET"/>
      <sheetName val="F2001_DIL"/>
      <sheetName val="F2002_DIL"/>
      <sheetName val="F2002_FORECAST"/>
      <sheetName val="F2002_REVBUDGET"/>
      <sheetName val="balans F2001 DIL"/>
      <sheetName val="balans F2002 DIL"/>
      <sheetName val="INPUT Forecast"/>
      <sheetName val="balans F2002 Forecast"/>
      <sheetName val="balans REVBUDGET DIL"/>
      <sheetName val="ADKK"/>
      <sheetName val="ADLK"/>
      <sheetName val="ADSTOCK"/>
      <sheetName val="DATA GRAFIEKEN"/>
      <sheetName val="REPORT DIL"/>
      <sheetName val="REPORT balans DIL"/>
      <sheetName val="ONE PAGE REPORT "/>
      <sheetName val="REPORT_PL (EURO)"/>
      <sheetName val=" report balance_(EURO)"/>
      <sheetName val="Input variable"/>
      <sheetName val="VRV"/>
      <sheetName val="(直膨VRV)P48 定量目標（VRV） (JP)"/>
      <sheetName val="(直膨VRV)P48 定量目標（VRV） (EN2)"/>
      <sheetName val="Don't touch Red colour sheet"/>
      <sheetName val="RA_OLD SBU"/>
      <sheetName val="SA_OLD SBU"/>
      <sheetName val="PA"/>
      <sheetName val="RA_New SBU"/>
      <sheetName val="SA_New SBU"/>
      <sheetName val="(直膨VRV)P48 定量目標（VRV） (2)"/>
      <sheetName val="(直膨VRV)P48 定量目標（VRV） (EN)"/>
      <sheetName val="VRV (2)"/>
      <sheetName val="6. MAPPING"/>
      <sheetName val="11.EDDevelopment"/>
      <sheetName val="1. VRV Summary"/>
      <sheetName val="1.1 Project 2014"/>
      <sheetName val="FY14 ENQUIRY Summary"/>
      <sheetName val="FY15 ENQUIRY Summary"/>
      <sheetName val="TTL ENQUIRY Summary"/>
      <sheetName val="1.2 ITC &amp; ITM"/>
      <sheetName val="1.3 VAM &amp; VKM"/>
      <sheetName val="2. VRV Project List"/>
      <sheetName val="3. FY2014 Non-VRV Summary"/>
      <sheetName val="4. Project List NON VRV"/>
      <sheetName val="5. ED Progress RA"/>
      <sheetName val="6. ED Progress SA"/>
      <sheetName val="7. ED Progress PA"/>
      <sheetName val="8. ED Progress VRV"/>
      <sheetName val="ProShop Progress"/>
      <sheetName val="ED Status"/>
      <sheetName val="DASI Dealer Progress VRV"/>
      <sheetName val="9. Lost Job List"/>
      <sheetName val="10. Lost Analysis"/>
      <sheetName val="11. Won Job List"/>
      <sheetName val="12. Won Job Analysis"/>
      <sheetName val="13. VRV Important Project 2015"/>
      <sheetName val="14.Sky Air Important Project"/>
      <sheetName val="18.  RA Important Project"/>
      <sheetName val="22. New ED 2013 - 2"/>
      <sheetName val="Sheet14"/>
      <sheetName val="15. SUD Training Sumary"/>
      <sheetName val="16. DIT Visit"/>
      <sheetName val="Project List"/>
      <sheetName val="Inq Summary"/>
      <sheetName val="ENQUIRY Summary CDU Type"/>
      <sheetName val="Projectlist VRV Surabaya dealer"/>
      <sheetName val="Project List VRV FY2012"/>
      <sheetName val="Report"/>
      <sheetName val="Contents"/>
      <sheetName val="1.FY12 Result"/>
      <sheetName val="2. FY12 Result summary"/>
      <sheetName val="3. FY13 Original Budget"/>
      <sheetName val="4.FY13 Forecast"/>
      <sheetName val="5.FY13 1QT Forecast"/>
      <sheetName val="6.FY13 1QT project list"/>
      <sheetName val="7. Enquiry &amp; Spec-in Hist"/>
      <sheetName val="7. Enquiry &amp; Spec-in budget"/>
      <sheetName val="8.Enquiries Budget "/>
      <sheetName val="9. Spec-in by SE"/>
      <sheetName val="10.FY13 ENQUIRY Summary (2)"/>
      <sheetName val="10.FY13 ENQUIRY Summary"/>
      <sheetName val="11.ENQUIRY Summary spec in"/>
      <sheetName val="12. 2013 ENQUIRY LIST"/>
      <sheetName val="13. 2014 ENQUIRY LIST"/>
      <sheetName val="14.LOST JOB Analysis"/>
      <sheetName val="14-1.Lost Analysis Chart"/>
      <sheetName val="15.KEY SALES STRATEGY"/>
      <sheetName val="16.Market situation"/>
      <sheetName val="17.COMPETITOR"/>
      <sheetName val="18.MANPOWER plam"/>
      <sheetName val="19.SE LIST"/>
      <sheetName val="20.Customer development"/>
      <sheetName val="20-1. Consultant List"/>
      <sheetName val="20-2. Consultant summary"/>
      <sheetName val="21.Training plan"/>
      <sheetName val="22.ACTION PLAN"/>
      <sheetName val="23.ACTION SUMMARY"/>
      <sheetName val="24.Request for products"/>
      <sheetName val="Spec-in definition"/>
      <sheetName val="Consultant evaluation"/>
      <sheetName val="Spec-in project list"/>
      <sheetName val="SPEC-IN PROJ - ALL SBUs"/>
      <sheetName val="ALL SBU LEGEND"/>
      <sheetName val="SALES STATUS DEFINITION"/>
      <sheetName val="MONTH"/>
      <sheetName val="CDWP"/>
      <sheetName val="CWP"/>
      <sheetName val="working summary"/>
      <sheetName val="OS310519"/>
      <sheetName val="Salesman"/>
      <sheetName val="SBU summary"/>
      <sheetName val="AP-MAY"/>
      <sheetName val="AP-JUNE"/>
      <sheetName val="AP-JULY"/>
      <sheetName val="pivot summary"/>
      <sheetName val="OS280219"/>
      <sheetName val="VRV by salesman"/>
      <sheetName val="VRV project-Mar"/>
      <sheetName val="VRV project-Mar by date"/>
      <sheetName val="AP-MAR"/>
      <sheetName val="AP-APR"/>
      <sheetName val="JAn"/>
      <sheetName val="Feb"/>
      <sheetName val="Mar"/>
      <sheetName val="Apr"/>
      <sheetName val="May"/>
      <sheetName val="Jun"/>
      <sheetName val="July"/>
      <sheetName val="Aug"/>
      <sheetName val="Sept"/>
      <sheetName val="Oct"/>
      <sheetName val="1.FY19 Forecast"/>
      <sheetName val="2.FY19 Inq Summary&amp;Rolling"/>
      <sheetName val="1. FY18 Forecast"/>
      <sheetName val="1.1 FY19 Forecast"/>
      <sheetName val="Appendix 2 NLP"/>
      <sheetName val="budget 2004 KBX"/>
      <sheetName val="Compressor cost down"/>
      <sheetName val="Appendix 3 Model line up"/>
      <sheetName val="Definitions"/>
      <sheetName val="Descriptions"/>
      <sheetName val="Combination table"/>
      <sheetName val="Digit1-11"/>
      <sheetName val="Digit12"/>
      <sheetName val="Digit13"/>
      <sheetName val="Digit14"/>
      <sheetName val="Digit15"/>
      <sheetName val="Digit16"/>
      <sheetName val="General Request"/>
      <sheetName val="Open Requests"/>
      <sheetName val="ASCodes"/>
      <sheetName val="Temp"/>
      <sheetName val="ASCodesRealignment"/>
      <sheetName val="Log"/>
      <sheetName val="PrintA4"/>
      <sheetName val="CompleteRequests"/>
      <sheetName val="Support"/>
      <sheetName val="Validation"/>
      <sheetName val="System"/>
      <sheetName val="GEN"/>
      <sheetName val="WSC"/>
      <sheetName val="ORDER WSC"/>
      <sheetName val="PFS.C"/>
      <sheetName val="AWS"/>
      <sheetName val="AWS-INV"/>
      <sheetName val="ACZC"/>
      <sheetName val="MCENERGYMONO"/>
      <sheetName val="MCENERGYMONO CU"/>
      <sheetName val="MCENERGYMONOEVO"/>
      <sheetName val="MCENERGY INV"/>
      <sheetName val="PFS.C-data"/>
      <sheetName val="MCS"/>
      <sheetName val="MCS-data"/>
      <sheetName val="ZUW"/>
      <sheetName val="ZUW-data"/>
      <sheetName val="CHILLER LIST PRICE"/>
      <sheetName val="COST ANALYSIS"/>
      <sheetName val="AWS-data"/>
      <sheetName val="AWS-INV-data"/>
      <sheetName val="ACZC-data"/>
      <sheetName val="MCENERGYMONO-data"/>
      <sheetName val="MCENERGYMONOCU-data"/>
      <sheetName val="MCENERGYEVO-data"/>
      <sheetName val="MCENERGY INV-data"/>
      <sheetName val="GEN-data"/>
      <sheetName val="ORDER ZUW"/>
      <sheetName val="WSC-1"/>
      <sheetName val="ORDER WSC CH"/>
      <sheetName val="Revisions"/>
      <sheetName val="McEnergy Analysis"/>
      <sheetName val="Chiller Source"/>
      <sheetName val="Annex 8 -p2.2"/>
      <sheetName val="Chart1"/>
      <sheetName val="CH Analysis"/>
      <sheetName val="FCU Source"/>
      <sheetName val="FCU Analysis"/>
      <sheetName val="Chart2"/>
      <sheetName val="Notes"/>
      <sheetName val="Q&amp;A"/>
      <sheetName val="Price structure"/>
      <sheetName val="2006 TP"/>
      <sheetName val="Lists"/>
      <sheetName val="DENV SP"/>
      <sheetName val="Basic info"/>
      <sheetName val="Quantities"/>
      <sheetName val="Table"/>
      <sheetName val="Prices"/>
      <sheetName val="Pricelist"/>
      <sheetName val="Aff"/>
      <sheetName val="Non Aff"/>
      <sheetName val="Customer"/>
      <sheetName val="Calculation with cost"/>
      <sheetName val="Calculation"/>
      <sheetName val="Versions"/>
      <sheetName val="1. Material DB"/>
      <sheetName val="2. TP  Options"/>
      <sheetName val="3. TP EUR (upload MTOP)"/>
      <sheetName val="List prices (old)"/>
      <sheetName val="TP Free Currency (upload SAP)"/>
      <sheetName val="List prices"/>
      <sheetName val="McQuay List Price 2008 rev 01"/>
      <sheetName val="Fancoils AFF (Free Currency)"/>
      <sheetName val="Customers new"/>
      <sheetName val="3. SPN Cost prices"/>
      <sheetName val="3. SOP Cost prices"/>
      <sheetName val="4. SOP Transfer prices"/>
      <sheetName val="1. SOP DENV cost prices"/>
      <sheetName val="2. SOP DENV transfer prices"/>
      <sheetName val="4. SPN Transfer prices"/>
      <sheetName val="Model Name"/>
      <sheetName val="Master"/>
      <sheetName val="CostsC"/>
      <sheetName val="CostsT"/>
      <sheetName val="SalesC"/>
      <sheetName val="SalesT"/>
      <sheetName val="Std Cost"/>
      <sheetName val="TP  Options"/>
      <sheetName val="TP Chillers"/>
      <sheetName val="Detail"/>
      <sheetName val="List"/>
      <sheetName val="Customers"/>
      <sheetName val="Discount form"/>
      <sheetName val="PFS.CFST-B NEW RV.8"/>
      <sheetName val="PFS..CFST-B -data NEW RV.8"/>
      <sheetName val="PFS.CFME-B NEW RV.8"/>
      <sheetName val="PFS..CFME-B -data NEW RV.8"/>
      <sheetName val="MQIT"/>
      <sheetName val="PFS.C RV.6"/>
      <sheetName val="2014 (SS)"/>
      <sheetName val="WSC USA"/>
      <sheetName val="ZUW "/>
      <sheetName val="ORDER PFS.CFST-B RV.7"/>
      <sheetName val="PFS.C-data RV.6"/>
      <sheetName val="AP"/>
      <sheetName val="AH model price"/>
      <sheetName val="AH model COST"/>
      <sheetName val="EWAD_C"/>
      <sheetName val="EWAD_C  (data)"/>
      <sheetName val="EWAD_CZXL "/>
      <sheetName val="EWAD_CZXL (data)"/>
      <sheetName val="EWAD_D"/>
      <sheetName val="EWAD_D (data)"/>
      <sheetName val="EWAD_E "/>
      <sheetName val="EWAD_E (data)"/>
      <sheetName val="EWAQ_F"/>
      <sheetName val="EWAQ_F (data)"/>
      <sheetName val="EWAD_T"/>
      <sheetName val="EWAD_T (data)"/>
      <sheetName val="HTS087"/>
      <sheetName val="ZUW270"/>
      <sheetName val="ORDER PFS"/>
      <sheetName val="HEADER"/>
      <sheetName val="SERVICE COST"/>
      <sheetName val="Freight rate"/>
      <sheetName val="PFS"/>
      <sheetName val="MCENERGYEVO"/>
      <sheetName val="MCENERGYMONOCU"/>
      <sheetName val="Split"/>
      <sheetName val="Special price AP"/>
      <sheetName val="Etimate cost HTS"/>
      <sheetName val="Estimat cost ZUW"/>
      <sheetName val="Request dis form HTS"/>
      <sheetName val="Request dis form ZUW"/>
      <sheetName val="XL4Test5"/>
      <sheetName val="rate1"/>
      <sheetName val="Menus"/>
      <sheetName val="Note e lista attività"/>
      <sheetName val="5m + 7m"/>
      <sheetName val="B vs RB"/>
      <sheetName val="Forecast vs budget"/>
      <sheetName val="BS change FY"/>
      <sheetName val="BS change FY monthly"/>
      <sheetName val="PL change FY"/>
      <sheetName val="PL change FY Monthly"/>
      <sheetName val="PLcomparison"/>
      <sheetName val="PL presentazione"/>
      <sheetName val="Layout x TMM"/>
      <sheetName val="CF DENV"/>
      <sheetName val="CF DIL lay out"/>
      <sheetName val="BS DIL lay-out"/>
      <sheetName val="Monthly PL DIL lay-out"/>
      <sheetName val="free cash calcolo preciso"/>
      <sheetName val="MI Budget Book"/>
      <sheetName val="MI (External)"/>
      <sheetName val="MI (internal)"/>
      <sheetName val="SALES &amp; COS from SPL"/>
      <sheetName val="Rebates"/>
      <sheetName val="Labour"/>
      <sheetName val="A Repairing"/>
      <sheetName val="B Entertainment"/>
      <sheetName val="C Travel"/>
      <sheetName val="D Postage"/>
      <sheetName val="E Supply Expenses"/>
      <sheetName val="F Taxes"/>
      <sheetName val="G Rental &amp; Lease"/>
      <sheetName val="H Depreciation &amp; NEW CAPEX"/>
      <sheetName val="J Sales Commissions"/>
      <sheetName val="Marketing provvisorio"/>
      <sheetName val="K&amp;L Sales Promotion &amp; Advertis "/>
      <sheetName val="M Provision for Warranty"/>
      <sheetName val="N Provision for Bad Debt"/>
      <sheetName val="O Delivery Expenses"/>
      <sheetName val="P Warehouse&amp;Packing"/>
      <sheetName val="S Consulenza Costi EDP"/>
      <sheetName val="T Credit collection costs"/>
      <sheetName val="U miscellanous"/>
      <sheetName val="V Insurance"/>
      <sheetName val="W fuel &amp; electricity"/>
      <sheetName val="X Credits"/>
      <sheetName val="Y automobile and related expens"/>
      <sheetName val="Non operating Income"/>
      <sheetName val="Cash Discount Given"/>
      <sheetName val="Interest Charges"/>
      <sheetName val="Other non oper Expenses"/>
      <sheetName val="Operating Expenses"/>
      <sheetName val="ABC Enquiries"/>
      <sheetName val="Invoiced Projects"/>
      <sheetName val="Lost Projects"/>
      <sheetName val="FY List"/>
      <sheetName val="FY14 Orders"/>
      <sheetName val="Status Definitions"/>
      <sheetName val="Schedule"/>
      <sheetName val="FlowC"/>
      <sheetName val="Content"/>
      <sheetName val="A"/>
      <sheetName val="GMM Sales&amp;GP"/>
      <sheetName val="GMM Exp&amp;PBT"/>
      <sheetName val="P&amp;L1"/>
      <sheetName val="By Products (06)"/>
      <sheetName val="Salesman (0506)"/>
      <sheetName val="Dealer(0506)"/>
      <sheetName val="Exp1(06)"/>
      <sheetName val="Exp2(06)"/>
      <sheetName val="Debtors(06)"/>
      <sheetName val="Stock(06)"/>
      <sheetName val="BS(06)"/>
      <sheetName val="CF(06)H"/>
      <sheetName val="CER(06)"/>
      <sheetName val="KRA(06)"/>
      <sheetName val="B"/>
      <sheetName val="Market Size"/>
      <sheetName val="Mkt Size AP"/>
      <sheetName val="Mkt Size UP"/>
      <sheetName val="Branch Share AP"/>
      <sheetName val="Branch Share UP"/>
      <sheetName val="Growth Plan"/>
      <sheetName val="SWOT"/>
      <sheetName val="Bug GMM"/>
      <sheetName val="Bud Product"/>
      <sheetName val="Bug Salesman"/>
      <sheetName val="Bud Region"/>
      <sheetName val="Bud Dealer"/>
      <sheetName val="Bud P&amp;L Mon"/>
      <sheetName val="Bud Exp Mon"/>
      <sheetName val="Bud P&amp;L 3Yr"/>
      <sheetName val="Bud Exp 3Yr"/>
      <sheetName val="Bud BS 0607"/>
      <sheetName val="CF Bud 0607"/>
      <sheetName val="CER 0607"/>
      <sheetName val="Bug Promotion"/>
      <sheetName val="C"/>
      <sheetName val="Serv Biz"/>
      <sheetName val="D"/>
      <sheetName val="Track"/>
      <sheetName val="Bud KRA"/>
      <sheetName val="E"/>
      <sheetName val="Admin Exp (H)"/>
      <sheetName val="S&amp;D Exp (H)"/>
      <sheetName val="Serv Exp (H)"/>
      <sheetName val="BS Bud(0607)H"/>
      <sheetName val="CF Bud(0607)H"/>
      <sheetName val="- GMM -"/>
      <sheetName val="DB_GMM_PL"/>
      <sheetName val="DB_GMM_BS"/>
      <sheetName val="CF DWF"/>
      <sheetName val="BS DWF"/>
      <sheetName val="- QSBM -"/>
      <sheetName val="IMD"/>
      <sheetName val="FMD"/>
      <sheetName val="RB_KPI"/>
      <sheetName val="P&amp;L (Qtr)"/>
      <sheetName val="P&amp;L"/>
      <sheetName val="BS"/>
      <sheetName val="Bcap"/>
      <sheetName val="Back Office Cost"/>
      <sheetName val="SOP 1"/>
      <sheetName val="SOP 2 &amp; SOP 3 "/>
      <sheetName val="RB_KRA"/>
      <sheetName val="KRAs"/>
      <sheetName val="RB_BIP"/>
      <sheetName val="&lt;M1&gt;"/>
      <sheetName val="RB_IMD"/>
      <sheetName val="RB_FMD"/>
      <sheetName val="RB_PL1"/>
      <sheetName val="RB_PL2"/>
      <sheetName val="RB_BS"/>
      <sheetName val="RB_Bcap"/>
      <sheetName val="RB_FUR"/>
      <sheetName val="RB_Capex"/>
      <sheetName val="RB_CFlow"/>
      <sheetName val="5-Yr Trend"/>
      <sheetName val="Koh"/>
      <sheetName val="Debtors"/>
      <sheetName val="RD"/>
      <sheetName val="Capable"/>
      <sheetName val="Production"/>
      <sheetName val="ISO9000"/>
      <sheetName val="&lt;M2&gt;"/>
      <sheetName val="DB_p&amp;l"/>
      <sheetName val="DB_BS"/>
      <sheetName val="DB_CF"/>
      <sheetName val="DB_Aging"/>
      <sheetName val="DB_BCAP"/>
      <sheetName val="DB_Fur"/>
      <sheetName val="Bank Fac"/>
      <sheetName val="Selection"/>
      <sheetName val="Intro"/>
      <sheetName val="CORPORATE_SELECTION"/>
      <sheetName val="Overview A3 FC06 PL"/>
      <sheetName val="Overview A3 FC06 BS"/>
      <sheetName val=" Monthly PL_FC06"/>
      <sheetName val="Monthly BS_FC06"/>
      <sheetName val="Labour Movement"/>
      <sheetName val="Sales Prom. &amp; Adv. "/>
      <sheetName val="Balance Sheet"/>
      <sheetName val="Monthly Stock BD"/>
      <sheetName val="Investments"/>
      <sheetName val=" HC per month R05"/>
      <sheetName val=" HC per month FC06"/>
      <sheetName val=" FTE per month FC06"/>
      <sheetName val="Inventory Plan SBU"/>
      <sheetName val="Retrieve PL R 04"/>
      <sheetName val=" Retrieve PL R05"/>
      <sheetName val=" Retrieve PL RB 06"/>
      <sheetName val=" Retrieve BS"/>
      <sheetName val="TP correction"/>
      <sheetName val="Profit &amp; Loss"/>
      <sheetName val="GM Progress"/>
      <sheetName val=" Personnel Headcounts"/>
      <sheetName val="Stock Level"/>
      <sheetName val="Days of Customers"/>
      <sheetName val="FCF"/>
      <sheetName val="Oper days"/>
      <sheetName val="Overview A3 PL "/>
      <sheetName val="Overview A3 BS"/>
      <sheetName val="Monthly PL_R06"/>
      <sheetName val="Monthly BS_R06"/>
      <sheetName val="Monthly PL_BD07"/>
      <sheetName val="Monthly BS_BD07"/>
      <sheetName val="Monthly Stock"/>
      <sheetName val="HC per month BD07"/>
      <sheetName val=" FTE per month BD07"/>
      <sheetName val="Retrieve PL R05"/>
      <sheetName val="Retrieve PL RB 06"/>
      <sheetName val="Retrieve BS"/>
      <sheetName val=" Personnel Charts"/>
      <sheetName val="Personnel Headcounts"/>
      <sheetName val="P&amp;L-Act-Bgt -FY0304"/>
      <sheetName val="P&amp;L-Bgt-FY0304"/>
      <sheetName val="P&amp;L-FY0203"/>
      <sheetName val="SOP1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5"/>
      <sheetName val="Sheet16"/>
      <sheetName val="P_L_Act_Bgt _FY0304"/>
      <sheetName val="08-2003"/>
      <sheetName val="resultatenrekening"/>
      <sheetName val="activa"/>
      <sheetName val="passiva"/>
      <sheetName val="FY 2016   result"/>
      <sheetName val="FY17 Plan-Hon"/>
      <sheetName val="FY 18 budget"/>
      <sheetName val="1(a) Mthly Report Review"/>
      <sheetName val="sales review"/>
      <sheetName val="6-Enquiry status"/>
      <sheetName val="-Enquiry status FY18-19"/>
      <sheetName val="7- Booking of the Month"/>
      <sheetName val="8-Booking Forecast"/>
      <sheetName val="9-Backlog @ month end"/>
      <sheetName val="10- D status Project list"/>
      <sheetName val=" Jobs Lost"/>
      <sheetName val="market information"/>
      <sheetName val="PL"/>
      <sheetName val="Currency Exchange"/>
      <sheetName val="Legend"/>
      <sheetName val="Step by Step update"/>
      <sheetName val="Billing Forecast"/>
      <sheetName val="Sales Result"/>
      <sheetName val="Enquiry Registry"/>
      <sheetName val="Enquiry Register (2)"/>
      <sheetName val="Enquiry Register"/>
      <sheetName val="CM Forecast"/>
      <sheetName val="3M Billing Fcst"/>
      <sheetName val="Booking Forecast"/>
      <sheetName val="3M Booking Fcst"/>
      <sheetName val="Job Lost "/>
      <sheetName val="Enquiry &gt;3000TR"/>
      <sheetName val="P&amp;N-Bgt-FY0304"/>
      <sheetName val="Marketing sales Asia"/>
      <sheetName val="Marketing PBT Asia"/>
      <sheetName val="Marketing Cont. Asia"/>
      <sheetName val="Marketing OH Asia"/>
      <sheetName val="Marketing PBT-OH Asia"/>
      <sheetName val="Asia Marketing Q3"/>
      <sheetName val="Asia Marketing Q4"/>
      <sheetName val="Asia Marketing YTQ"/>
      <sheetName val="Asia Marketing YTD (Feb)"/>
      <sheetName val="Asia Marketing MPY"/>
      <sheetName val="south Q1"/>
      <sheetName val="south Q2"/>
      <sheetName val="south Q3"/>
      <sheetName val="south Q4"/>
      <sheetName val="south YTQ3"/>
      <sheetName val="south YTD Feb"/>
      <sheetName val="south MPY"/>
      <sheetName val="north Q1"/>
      <sheetName val="north Q2"/>
      <sheetName val="north Q3"/>
      <sheetName val="north Q4"/>
      <sheetName val="north YTQ3"/>
      <sheetName val="north YTD Feb"/>
      <sheetName val="north MPY"/>
      <sheetName val="east Q1"/>
      <sheetName val="east Q2"/>
      <sheetName val="east Q3"/>
      <sheetName val="east Q4"/>
      <sheetName val="east YTQ3"/>
      <sheetName val="east YTD Feb"/>
      <sheetName val="east MPY"/>
      <sheetName val="west Q1"/>
      <sheetName val="west Q2"/>
      <sheetName val="west Q3"/>
      <sheetName val="west Q4"/>
      <sheetName val="west YTQ3"/>
      <sheetName val="west YTD Feb"/>
      <sheetName val="west MPY"/>
      <sheetName val="SEA Q1"/>
      <sheetName val="SEA Q2"/>
      <sheetName val="SEA Q3"/>
      <sheetName val="SEA Q4"/>
      <sheetName val="SEA YTQ"/>
      <sheetName val="SEA YTD Feb"/>
      <sheetName val="SEA MPY"/>
      <sheetName val="WC"/>
      <sheetName val="WC (1)"/>
      <sheetName val="Marketing GP Asia"/>
      <sheetName val="Marketing EXP-Sales Asia"/>
      <sheetName val="0000"/>
      <sheetName val="Sheet1 "/>
      <sheetName val="说明"/>
      <sheetName val="GMM "/>
      <sheetName val="p&amp;l "/>
      <sheetName val="管理费用 "/>
      <sheetName val="销售费用 "/>
      <sheetName val=" 服务费用 "/>
      <sheetName val="B&amp;L"/>
      <sheetName val="固定资产类型表"/>
      <sheetName val="现金流量表"/>
      <sheetName val="预提费用"/>
      <sheetName val="经销商帐龄表 "/>
      <sheetName val="工程帐龄进度表  "/>
      <sheetName val="Sheet2 (3)"/>
      <sheetName val="RULE OF CHILLER MODEL"/>
      <sheetName val="ORIGIN "/>
      <sheetName val="CHILLER LIST"/>
      <sheetName val="Price"/>
      <sheetName val="Road Map "/>
      <sheetName val="Recip Cost"/>
      <sheetName val="Recip Cost2"/>
      <sheetName val="Recip Cost3"/>
      <sheetName val="whn-itly1"/>
      <sheetName val="Recip Local"/>
      <sheetName val="Recip Local2"/>
      <sheetName val="Recip BOM"/>
      <sheetName val="S.Price"/>
      <sheetName val="Foglio1"/>
      <sheetName val="Foglio2"/>
      <sheetName val="BS(H)"/>
      <sheetName val="询价表"/>
      <sheetName val="询价表填写说明"/>
      <sheetName val="机组配置表"/>
      <sheetName val="机组物料号"/>
      <sheetName val="FY17 By Channel(Gross AMT)"/>
      <sheetName val="FY17 By Channel (Net AMT)"/>
      <sheetName val="New Register"/>
      <sheetName val="FY18 By Channel"/>
      <sheetName val="AP Proj List "/>
      <sheetName val="Management Report"/>
      <sheetName val="S+A+B"/>
      <sheetName val="Index Application"/>
      <sheetName val="AC_REDUCED_1"/>
      <sheetName val="SAN_REDUCED_1"/>
      <sheetName val="dReception"/>
      <sheetName val="RawData"/>
      <sheetName val="collected_data"/>
      <sheetName val="Posting_Key"/>
      <sheetName val="Plan"/>
      <sheetName val="Result_JANUARY-2007"/>
      <sheetName val="AC_REDUCED_11"/>
      <sheetName val="SAN_REDUCED_11"/>
      <sheetName val="FORM "/>
      <sheetName val="CT1"/>
      <sheetName val="CT2"/>
      <sheetName val="CT3"/>
      <sheetName val="CT4"/>
      <sheetName val="CT5"/>
      <sheetName val="CT6"/>
      <sheetName val="CT7"/>
      <sheetName val="CT8"/>
      <sheetName val="Header Parameter"/>
      <sheetName val="GL Data Upload"/>
      <sheetName val="Format"/>
      <sheetName val="Posting Key"/>
      <sheetName val="Plan (2)"/>
      <sheetName val="Member"/>
      <sheetName val="Daikin"/>
      <sheetName val="Compare"/>
      <sheetName val="Format  RevA"/>
      <sheetName val="CS Q"/>
      <sheetName val="สรุป"/>
      <sheetName val="Result JANUARY-2007"/>
      <sheetName val="Thanit"/>
      <sheetName val="Prapan"/>
      <sheetName val="VISAN"/>
      <sheetName val="Suthachai"/>
      <sheetName val="suchat"/>
      <sheetName val="nathee"/>
      <sheetName val="AP_Market(15)"/>
      <sheetName val="Product"/>
      <sheetName val="Budget by Month"/>
      <sheetName val="ACTION SUMMARY"/>
      <sheetName val="F15 Manpower Plan"/>
      <sheetName val="市場規売上推移 (2)"/>
      <sheetName val="AP_Market (14)"/>
      <sheetName val="DAS FY15"/>
      <sheetName val="DAS FY16"/>
      <sheetName val="DSP FY15"/>
      <sheetName val="DSP FY16"/>
      <sheetName val="SDS FY15"/>
      <sheetName val="SDS FY16"/>
      <sheetName val="AMSS FY15"/>
      <sheetName val="AMSS FY16"/>
      <sheetName val="DAV FY15"/>
      <sheetName val="DAV FY16"/>
      <sheetName val="DPH FY15"/>
      <sheetName val="WC Screw Market Summary"/>
      <sheetName val="DPH FY16"/>
      <sheetName val="DASI FY15_FF"/>
      <sheetName val="AP_Market (2)"/>
      <sheetName val="DASI FY16_OB"/>
      <sheetName val="DASI FY15"/>
      <sheetName val="DASI FY16"/>
      <sheetName val="Macro"/>
      <sheetName val="overdue"/>
      <sheetName val="outst"/>
      <sheetName val="MMRoutst"/>
      <sheetName val="MMRoverd"/>
      <sheetName val="CC 100054"/>
      <sheetName val="SALES to OYL"/>
      <sheetName val="PURCHASE from OYL"/>
      <sheetName val="(1) CREDITS to DAIKIN "/>
      <sheetName val="(2) DEBTS FROM DAIKIN"/>
      <sheetName val="(3) SALES to DAIKIN"/>
      <sheetName val="(4) PURCHASE from DAIKIN"/>
      <sheetName val="(5) Credits to OYL"/>
      <sheetName val="6) DEBTS FROM OYL"/>
      <sheetName val="(7) SALES to OYL"/>
      <sheetName val="(8) PURCHASE FROM OYL"/>
      <sheetName val="(9) ROYALTIES FROM OYL"/>
      <sheetName val="(10) ROYALTIES TO OYL"/>
      <sheetName val="(11) NON OP INCOME"/>
      <sheetName val="(12) NON OP EXPENSE"/>
      <sheetName val="(13) Sales by Countries"/>
      <sheetName val="(14) SGA"/>
      <sheetName val="(15) CASH EQUIVALENT"/>
      <sheetName val="(16) TANGIBLE ASSETS"/>
      <sheetName val="(17) LONG TERM RECEIVABLE"/>
      <sheetName val="(18) ALLOWANCE FOR BAD DEBT"/>
      <sheetName val="(19) WARRANTY"/>
      <sheetName val="(20) OTHER CURRENT ASSETS"/>
      <sheetName val="(21) PREPAID EXPENSES"/>
      <sheetName val="(22) OTHER LONG TERM ASSETS"/>
      <sheetName val="(23) OTHER ACCRUED EXPENSES"/>
      <sheetName val="(24) OTHER LONGTERM LIABILITIES"/>
      <sheetName val="(25) COLLATERAL"/>
      <sheetName val="(26) GUARANTEES"/>
      <sheetName val="(27) COMMITMENTS"/>
      <sheetName val="(28) RELATED PARTY TRANSACTIONS"/>
      <sheetName val="(29) EMPLOYEE"/>
      <sheetName val="(30) DAIKIN GROUP"/>
      <sheetName val="(31) OYL GROUP"/>
      <sheetName val="A11"/>
      <sheetName val="B1"/>
      <sheetName val="B1_G-ONE"/>
      <sheetName val="B2"/>
      <sheetName val="B2_G-ONE"/>
      <sheetName val="B3"/>
      <sheetName val="B3_G-ONE"/>
      <sheetName val="B4"/>
      <sheetName val="B4_G-ONE"/>
      <sheetName val="B5"/>
      <sheetName val="B7"/>
      <sheetName val="renketsum"/>
      <sheetName val="hirenketsu"/>
      <sheetName val="subrenketsu"/>
      <sheetName val="subhirenketsu"/>
      <sheetName val="dropdown1"/>
      <sheetName val="dropdown2"/>
      <sheetName val="In_VSPCM_DIVA"/>
      <sheetName val="mapping.def"/>
      <sheetName val="B6-3"/>
      <sheetName val="B6-4"/>
      <sheetName val="In_VCTC_DIVA"/>
      <sheetName val="C11-1"/>
      <sheetName val="C11-2"/>
      <sheetName val="C11-3"/>
      <sheetName val="C11-4"/>
      <sheetName val="In_VCPS_DIVA"/>
      <sheetName val="In_CRCY_DIVA"/>
      <sheetName val="In_VEAU_DIVA"/>
      <sheetName val="TRIAL HO"/>
      <sheetName val="Sheet1 (2)"/>
      <sheetName val="CONSOL"/>
      <sheetName val="schedules"/>
      <sheetName val="Trial as on 11.04"/>
      <sheetName val="SA"/>
      <sheetName val="DU"/>
      <sheetName val="工事単販振替展開"/>
      <sheetName val="費目"/>
      <sheetName val="ＷＣ"/>
      <sheetName val="総括表"/>
      <sheetName val="費目別明細"/>
      <sheetName val="(1) BS1"/>
      <sheetName val="(2) BS2"/>
      <sheetName val="(3) PL"/>
      <sheetName val="(4) CREDITS to DAIKIN "/>
      <sheetName val="(5) DEBTS FROM DAIKIN"/>
      <sheetName val="(6) SALES to DAIKIN"/>
      <sheetName val="(7) PURCHASE from DAIKIN"/>
      <sheetName val="(8) Credits to OYL"/>
      <sheetName val="(9) DEBTS FROM OYL"/>
      <sheetName val="(10) SALES to OYL"/>
      <sheetName val="(11) PURCHASE FROM OYL"/>
      <sheetName val="(12) ROYALTIES FROM OYL"/>
      <sheetName val="(13) ROYALTIES TO OYL"/>
      <sheetName val="(14) NON OP INCOME"/>
      <sheetName val="(15) NON OP EXPENSE"/>
      <sheetName val="(16) Sales by Countries"/>
      <sheetName val="(17) SGA"/>
      <sheetName val="(18) CASH EQUIVALENT"/>
      <sheetName val="(19) TANGIBLE ASSETS"/>
      <sheetName val="(20) LONG TERM RECEIVABLE"/>
      <sheetName val="(21) ALLOWANCE FOR BAD DEBT"/>
      <sheetName val="(22) WARRANTY"/>
      <sheetName val="(23) OTHER CURRENT ASSETS"/>
      <sheetName val="(24) PREPAID EXPENSES"/>
      <sheetName val="(25) OTHER LONG TERM ASSETS"/>
      <sheetName val="(26) OTHER ACCRUED EXPENSES"/>
      <sheetName val="(27) OTHER LONGTERM LIABILITIES"/>
      <sheetName val="(28) COLLATERAL"/>
      <sheetName val="(29) GUARANTEES"/>
      <sheetName val="(30) EMPLOYEE"/>
      <sheetName val="(31) DAIKIN GROUP"/>
      <sheetName val="(32) OYL GROUP"/>
      <sheetName val="Module1"/>
      <sheetName val="DEF"/>
      <sheetName val="Matching"/>
      <sheetName val="A1"/>
      <sheetName val="A2"/>
      <sheetName val="A3"/>
      <sheetName val="A4"/>
      <sheetName val="A5"/>
      <sheetName val="A6"/>
      <sheetName val="A7"/>
      <sheetName val="DAIKIN GROUP"/>
      <sheetName val="OYL GROUP"/>
      <sheetName val="PURCHASE fromDAIKIN"/>
      <sheetName val="SALES to DAIKIN"/>
      <sheetName val="B5-1"/>
      <sheetName val="B5-2"/>
      <sheetName val="B6"/>
      <sheetName val="B9-5"/>
      <sheetName val="B9-6"/>
      <sheetName val="B9-7"/>
      <sheetName val="C1"/>
      <sheetName val="C2"/>
      <sheetName val="C3"/>
      <sheetName val="C4"/>
      <sheetName val="C5"/>
      <sheetName val="C6"/>
      <sheetName val="C7"/>
      <sheetName val="C8-1"/>
      <sheetName val="C8-2"/>
      <sheetName val="C9"/>
      <sheetName val="C10"/>
      <sheetName val="C11"/>
      <sheetName val="C12-1"/>
      <sheetName val="C12-2"/>
      <sheetName val="C13-1"/>
      <sheetName val="C13-2"/>
      <sheetName val="C13-3"/>
      <sheetName val="C13-4"/>
      <sheetName val="D1"/>
      <sheetName val="D2"/>
      <sheetName val="D3"/>
      <sheetName val="D4"/>
      <sheetName val="D9"/>
      <sheetName val="Company"/>
      <sheetName val="作業0003"/>
      <sheetName val="INP-ﾗｲﾝ"/>
      <sheetName val="INP-費目"/>
      <sheetName val="JG"/>
      <sheetName val="JH"/>
      <sheetName val="JT"/>
      <sheetName val="JU"/>
      <sheetName val="製造-2"/>
      <sheetName val="ﾗｲﾝﾃﾞｰﾀ"/>
      <sheetName val="#REF"/>
      <sheetName val="製造-2.XLS"/>
      <sheetName val="%E8%A3%BD%E9%80%A0-2.XLS"/>
      <sheetName val="開発支援共通費  (生)"/>
      <sheetName val="企画提出分"/>
      <sheetName val="セ全体表"/>
      <sheetName val="開発支援共通費 "/>
      <sheetName val="制御共通費"/>
      <sheetName val="マルチプル－Ｈ"/>
      <sheetName val="超省エネ－Ｈ"/>
      <sheetName val="業務用給湯機－Ｈ"/>
      <sheetName val="DAPS向水冷－Ｈ"/>
      <sheetName val="ターボ－Ｈ"/>
      <sheetName val="DAPS向D3-W－Ｓ"/>
      <sheetName val="ｾﾝﾄﾗﾙ機器電力按分－Ｈ"/>
      <sheetName val="DENV向－Ｈ"/>
      <sheetName val="超省ｴﾈ圧縮機用"/>
      <sheetName val="ﾜｲﾅﾘ用－Ｈ"/>
      <sheetName val="ﾜｲﾅﾘ用－Ｓ"/>
      <sheetName val="補用隆祥製ｼｰｹﾝｻｻｰﾓ"/>
      <sheetName val="補用ｵﾑﾛﾝ製ｼｰｹﾝｻｻｰﾓ"/>
      <sheetName val="補用AVX"/>
      <sheetName val="中国メンテ・M社"/>
      <sheetName val="国内メンテ・品質改善・ＣＤ"/>
      <sheetName val="舶用異電圧化"/>
      <sheetName val="舶用ﾛｰﾌｨﾝ化"/>
      <sheetName val="舶用工事品"/>
      <sheetName val="舶用共通費"/>
      <sheetName val="二次側共通"/>
      <sheetName val="天埋めＦＷ"/>
      <sheetName val="２方向カセット"/>
      <sheetName val="省ﾒﾝﾃﾅﾝｽﾌｧﾝ"/>
      <sheetName val="天吊り大型ＦＷ"/>
      <sheetName val="試験G共通費"/>
      <sheetName val="超省ｴﾈ（製品）"/>
      <sheetName val="低振動"/>
      <sheetName val="衝撃"/>
      <sheetName val="護衛艦向冷凍装置"/>
      <sheetName val="海洋観測船向冷凍装置"/>
      <sheetName val="海洋観測船向冷房装置システム検討"/>
      <sheetName val="受注対応　防衛庁艦船新造艦"/>
      <sheetName val="受注対応　補用、一般商船向け"/>
      <sheetName val="共通費"/>
      <sheetName val="マルチプル"/>
      <sheetName val="給湯"/>
      <sheetName val="日本向け乾式水冷チラー"/>
      <sheetName val="ターボ冷凍機"/>
      <sheetName val="中国ﾁﾗｰＣＤ"/>
      <sheetName val="共通"/>
      <sheetName val="機種原01"/>
      <sheetName val="☆☆検討"/>
      <sheetName val="★ｸﾞﾛﾏｻﾞ (2)"/>
      <sheetName val="部品価格"/>
      <sheetName val="機種原01.xls"/>
      <sheetName val="%E6%A9%9F%E7%A8%AE%E5%8E%9F01.x"/>
      <sheetName val="開発支援共通費__(生)"/>
      <sheetName val="開発支援共通費_"/>
      <sheetName val="★ｸﾞﾛﾏｻﾞ_(2)"/>
      <sheetName val="TYPE別室外機"/>
      <sheetName val="TYPE別室内機 "/>
      <sheetName val="ETD比較"/>
      <sheetName val="Rohs　非Rohs"/>
      <sheetName val="GBS状況"/>
      <sheetName val="Mr.OPT1"/>
      <sheetName val="Mr. OPT2"/>
      <sheetName val="Variance Retrieve"/>
      <sheetName val="SGA RETRIEVE"/>
      <sheetName val="Retr. PL B F02"/>
      <sheetName val="Retr. PL RB F02"/>
      <sheetName val="BS TTL"/>
      <sheetName val="BS DETAIL"/>
      <sheetName val="Sales Aff"/>
      <sheetName val="trans PL 1"/>
      <sheetName val="trans PL 2"/>
      <sheetName val="trans PL 3"/>
      <sheetName val="trans BS 1"/>
      <sheetName val="trans BS 2"/>
      <sheetName val="trans BS 3"/>
      <sheetName val="Inventory"/>
      <sheetName val="HOLD"/>
      <sheetName val="SGA"/>
      <sheetName val="Variance"/>
      <sheetName val="Man. Indicators"/>
      <sheetName val="IC Loans"/>
      <sheetName val="Inv. Plan"/>
      <sheetName val="Inv. Others"/>
      <sheetName val="Inv. Control"/>
      <sheetName val="Inv. Plan Mar-F01"/>
      <sheetName val="Inv. Plan Sept-F02"/>
      <sheetName val="Inv. Plan Dec-F02"/>
      <sheetName val="Inv. Plan Mar-F02"/>
      <sheetName val="Analysis"/>
      <sheetName val="Trans. List PL"/>
      <sheetName val="Trans. List BS"/>
      <sheetName val="PERSONNEL_PLAN DIL"/>
      <sheetName val="分析"/>
      <sheetName val="对比"/>
      <sheetName val="Total"/>
      <sheetName val="MHS080.1FST022-FBA"/>
      <sheetName val="MHS100.1FST022-FBA"/>
      <sheetName val="MHS120.1FST022-FBA"/>
      <sheetName val="MHS135.1FST022-FBA"/>
      <sheetName val="MHS150.1FST022-FBA"/>
      <sheetName val="MHS170.1FST022-FBA"/>
      <sheetName val="MHS185.1FST022-FBA"/>
      <sheetName val="MHS185.1FLN022-FBA (2)"/>
      <sheetName val="MHS200.2FST022-FBA"/>
      <sheetName val="MHS220.2FST022-HZ906"/>
      <sheetName val="MHS260.2FST022-FBA"/>
      <sheetName val="MHS285.2FST022-FBA"/>
      <sheetName val="MHS310.2FST022-FBA"/>
      <sheetName val="MHS330.2FST022-FBA"/>
      <sheetName val="MHS350.2FST022-FBA"/>
      <sheetName val="MHS380.2FST022-FBA"/>
      <sheetName val="In_VCCP_DIVA"/>
      <sheetName val="C1-1"/>
      <sheetName val="C1-2"/>
      <sheetName val="C7-1"/>
      <sheetName val="C7-2"/>
      <sheetName val="C8"/>
      <sheetName val="OUT-総括台"/>
      <sheetName val="OUT-台"/>
      <sheetName val="OUT-状況"/>
      <sheetName val="OUT-金"/>
      <sheetName val="IN-ﾗｲﾝ"/>
      <sheetName val="IN-費目"/>
      <sheetName val="稼働日数"/>
      <sheetName val="IN_ﾗｲﾝ"/>
      <sheetName val="IN_費目"/>
      <sheetName val="INP_ﾗｲﾝ"/>
      <sheetName val="INP_費目"/>
      <sheetName val="S4100"/>
      <sheetName val="S4200"/>
      <sheetName val="INP-ﾗｲﾝ_x0000__x001c__x0000_懈⼚_x001c_"/>
      <sheetName val="INP-費目・_x0000__x001c__x0000_懈⼚_x001c__x0000_"/>
      <sheetName val="BOOK1"/>
      <sheetName val="INP-ﾗｲﾝ?_x001c_?懈⼚_x001c_"/>
      <sheetName val="INP-費目・?_x001c_?懈⼚_x001c_?"/>
      <sheetName val="INP-費目・"/>
      <sheetName val="selectie rek 63"/>
      <sheetName val="INP-ﾗｲﾝ懈⼚"/>
      <sheetName val="INP-費目・懈⼚"/>
      <sheetName val="selectie_rek_63"/>
      <sheetName val="t6a"/>
      <sheetName val="GROUPING CONSOL"/>
      <sheetName val="FINAL BAL.SHEET "/>
      <sheetName val="TRAILREV"/>
      <sheetName val="BS DETAILS"/>
      <sheetName val="INTT. ACCREUD ON LOAN"/>
      <sheetName val="FIXED ASSETS"/>
      <sheetName val="BANK LOAN"/>
      <sheetName val="DACI"/>
      <sheetName val="DAPO"/>
      <sheetName val="Details DACI"/>
      <sheetName val="Details DAPO"/>
      <sheetName val="Attachment DAPO"/>
      <sheetName val="Attachment DACI"/>
      <sheetName val="工数自動計算"/>
      <sheetName val="変更履歴"/>
      <sheetName val="年度開発試算用"/>
      <sheetName val="試算"/>
      <sheetName val="室外機_概略試算"/>
      <sheetName val="室内機_概略試算"/>
      <sheetName val="RA"/>
      <sheetName val="RAﾏﾙﾁ"/>
      <sheetName val="冷暖ﾌﾘｰ"/>
      <sheetName val="ﾏﾙﾁﾌﾛｰｶｾｯﾄ"/>
      <sheetName val="壁掛け"/>
      <sheetName val="他形態_露出"/>
      <sheetName val="ダクト"/>
      <sheetName val="他形態_埋込"/>
      <sheetName val="（済）design_plan1PF機年度開発"/>
      <sheetName val="設計ｼｽﾃﾑ"/>
      <sheetName val="currency rates"/>
      <sheetName val="サイン"/>
      <sheetName val="月次監視_実販未_97"/>
      <sheetName val="上海取扱部品（'03.5月19日現在）"/>
      <sheetName val="Etimate costHXEV"/>
      <sheetName val="Etimate costHST"/>
      <sheetName val="OB"/>
      <sheetName val="RB"/>
      <sheetName val="F18 Q1 RSLT"/>
      <sheetName val="FY18 Q1 RSLT &amp; GP"/>
      <sheetName val="FY18 RB 1"/>
      <sheetName val="FY18 RB 2"/>
      <sheetName val="FY18 Q2 Forecast"/>
      <sheetName val="FY18  Yrly Fcast Value"/>
      <sheetName val="FY18 Total Billing Flow-Value"/>
      <sheetName val="FY18 Yrly Fcast Qty"/>
      <sheetName val="FY18 Billing Flow Chillers only"/>
      <sheetName val="FY18 BIlling forecast"/>
      <sheetName val="FY18 Order booking forecast "/>
      <sheetName val="FY18 PO Receive FCast"/>
      <sheetName val="Chiller Enuiry Summary"/>
      <sheetName val="Airside AHU+FCU Enuiry Summary"/>
      <sheetName val="New Enquiry registration"/>
      <sheetName val="LOST JOB Analysis"/>
      <sheetName val="Large Projects"/>
      <sheetName val="COMPETITOR"/>
      <sheetName val="CONSULTANT"/>
      <sheetName val="Manpower Plan"/>
      <sheetName val="Affilliate Org Chart"/>
      <sheetName val="Applied Org Chart  Sales &amp; ser"/>
      <sheetName val="KEY SALES STRATEGY"/>
      <sheetName val="Costing sheet"/>
      <sheetName val="Costing sheet (2)"/>
      <sheetName val="Ikano 500HTS"/>
      <sheetName val="Ikano 1000HTV"/>
      <sheetName val="TRX"/>
      <sheetName val="BBCC"/>
      <sheetName val="Ikano JB"/>
      <sheetName val="Tropicana Garden"/>
      <sheetName val="WME 092D 1000RT"/>
      <sheetName val="CBU"/>
      <sheetName val="CKD"/>
      <sheetName val="Confirmation of Multiplier"/>
      <sheetName val="Enquiry Analysis"/>
      <sheetName val="FY18 Sales Result"/>
      <sheetName val="Forecast (PT)"/>
      <sheetName val="FY18 Booking Forecast"/>
      <sheetName val="FY18 Yrly Fcast Value"/>
      <sheetName val="FY18 Q1&amp;2 Result"/>
      <sheetName val="Billing Flow (Value)"/>
      <sheetName val="Billing Flow (Qty)"/>
      <sheetName val="by Model 12.18"/>
      <sheetName val="by Model"/>
      <sheetName val="Added"/>
      <sheetName val="Aplication"/>
      <sheetName val="FY17 by Product "/>
      <sheetName val="Sum By team(Gross AMT)"/>
      <sheetName val="FY17 Sum By team(Net AMT)"/>
      <sheetName val="FY16FEB Delivery Dates"/>
      <sheetName val="FY16MAR Delivery Date"/>
      <sheetName val="FY17APR Delivery Date"/>
      <sheetName val="FY17MAY Delivery Date"/>
      <sheetName val="FY17JUN Delivery Date"/>
      <sheetName val="FY17JUL Delivery Date"/>
      <sheetName val="FY17AUG Delivery Date"/>
      <sheetName val="FY17SEP Delivery Date"/>
      <sheetName val="FY17OCT Delivery Date"/>
      <sheetName val="FY17NOV Delivery Date"/>
      <sheetName val="FY17DEC Delivery Date"/>
      <sheetName val="FY17JAN Delivery Date"/>
      <sheetName val="FY17FEB Delivery Date"/>
      <sheetName val="FY17MAR Delivery Date"/>
      <sheetName val="FY18 by Product"/>
      <sheetName val="FY18APR Sched"/>
      <sheetName val="FY18MAY Sched"/>
      <sheetName val="FY18JUN Sched"/>
      <sheetName val="FY18JUL Sched"/>
      <sheetName val="FY18AUG Sched"/>
      <sheetName val="Aug-Dec"/>
      <sheetName val="FY18SEP Sched"/>
      <sheetName val="FY18OCT Sched"/>
      <sheetName val="FY18NOV Sched"/>
      <sheetName val="FY18DEC Sched"/>
      <sheetName val="FY18JAN Sched"/>
      <sheetName val="FY18FEB Sched"/>
      <sheetName val="FY18MAR Sched"/>
      <sheetName val="Jan to Mar"/>
      <sheetName val="FY19 By Channel"/>
      <sheetName val="FY20 By Channel"/>
      <sheetName val="Pivot Project Structure"/>
      <sheetName val="Jan-Mar"/>
      <sheetName val="Amgen MSB SO 2060435 VO"/>
      <sheetName val="Amgen MSB SO 2060219 Main"/>
      <sheetName val="Kaer PLQ"/>
      <sheetName val="S3 Architectural"/>
      <sheetName val="SELL (UT)"/>
      <sheetName val="SELL (EE)"/>
      <sheetName val="SELL (AC)"/>
      <sheetName val="SELL"/>
      <sheetName val="SUM-AIR-Submit"/>
      <sheetName val="SUM-UT(A)-Submit"/>
      <sheetName val="SUM-UT(B)-Submit"/>
      <sheetName val="SUM-EE-Submit"/>
      <sheetName val="sum-sys"/>
      <sheetName val="Vender-Me"/>
      <sheetName val="Vender-EE"/>
      <sheetName val="Scope of work "/>
      <sheetName val="Total-Summary (for owner)-r1"/>
      <sheetName val="SELL_(UT)"/>
      <sheetName val="SELL_(EE)"/>
      <sheetName val="SELL_(AC)"/>
      <sheetName val="Scope_of_work_"/>
      <sheetName val="SELL_(UT)2"/>
      <sheetName val="SELL_(EE)2"/>
      <sheetName val="SELL_(AC)2"/>
      <sheetName val="Scope_of_work_2"/>
      <sheetName val="SELL_(UT)1"/>
      <sheetName val="SELL_(EE)1"/>
      <sheetName val="SELL_(AC)1"/>
      <sheetName val="Scope_of_work_1"/>
      <sheetName val="Option1"/>
      <sheetName val="BOQFinishing"/>
      <sheetName val="BOQExterior Work"/>
      <sheetName val="BOQStructure"/>
      <sheetName val=""/>
      <sheetName val="ALLRABDATA"/>
      <sheetName val="Equipment"/>
      <sheetName val="Total-Summary%20(for%20owner)-r"/>
      <sheetName val="Total-Summary (for owner)-r1.xl"/>
      <sheetName val="Mat"/>
      <sheetName val="SELL_(UT)3"/>
      <sheetName val="SELL_(EE)3"/>
      <sheetName val="SELL_(AC)3"/>
      <sheetName val="Scope_of_work_3"/>
      <sheetName val="Total-Summary_(for_owner)-r1"/>
      <sheetName val="BOQExterior_Work"/>
      <sheetName val="Total-Summary_(for_owner)-r1_xl"/>
      <sheetName val="Form"/>
      <sheetName val="Manpower"/>
      <sheetName val="Material"/>
      <sheetName val="Structure"/>
      <sheetName val="Bill_No__2_-_Carpark6"/>
      <sheetName val="rate"/>
      <sheetName val="SELL_(UT)4"/>
      <sheetName val="SELL_(EE)4"/>
      <sheetName val="SELL_(AC)4"/>
      <sheetName val="Scope_of_work_4"/>
      <sheetName val="Total-Summary_(for_owner)-r11"/>
      <sheetName val="BOQExterior_Work1"/>
      <sheetName val="Total-Summary_(for_owner)-r1_x1"/>
      <sheetName val="SELL_(UT)5"/>
      <sheetName val="SELL_(EE)5"/>
      <sheetName val="SELL_(AC)5"/>
      <sheetName val="Scope_of_work_5"/>
      <sheetName val="Total-Summary_(for_owner)-r12"/>
      <sheetName val="BOQExterior_Work2"/>
      <sheetName val="Total-Summary_(for_owner)-r1_x2"/>
      <sheetName val="SELL_(UT)6"/>
      <sheetName val="SELL_(EE)6"/>
      <sheetName val="SELL_(AC)6"/>
      <sheetName val="Scope_of_work_6"/>
      <sheetName val="Total-Summary_(for_owner)-r13"/>
      <sheetName val="BOQExterior_Work3"/>
      <sheetName val="Total-Summary_(for_owner)-r1_x3"/>
      <sheetName val="STMspry"/>
      <sheetName val="PsychroData"/>
      <sheetName val="Summ"/>
      <sheetName val="Supply"/>
      <sheetName val="Occ&amp;Rate"/>
      <sheetName val="Market Data-Occ"/>
      <sheetName val="Market Data-ADR"/>
      <sheetName val="Demand"/>
      <sheetName val="New Hotel Induced Demand"/>
      <sheetName val="Hotel Expansion Induced Demand"/>
      <sheetName val="Occ"/>
      <sheetName val="ADR"/>
      <sheetName val="Ref"/>
      <sheetName val="Spread"/>
      <sheetName val="XXX"/>
      <sheetName val="YYY"/>
      <sheetName val="ProjectName"/>
      <sheetName val="Unit Cost"/>
      <sheetName val="Material civil"/>
      <sheetName val="Unit Cost 2-4"/>
      <sheetName val="Unit Cost 5(1)"/>
      <sheetName val="Unit Cost 5(2-4)"/>
      <sheetName val="Unit Cost 5(6-11)"/>
      <sheetName val="Unit Cost 6"/>
      <sheetName val="Unit Cost 6(12,13)"/>
      <sheetName val="Unit Cost 6(15-20)"/>
      <sheetName val="ITEM List"/>
      <sheetName val="price6.18"/>
      <sheetName val="price6.19"/>
      <sheetName val="Electrical"/>
      <sheetName val="Structure labour cost"/>
      <sheetName val="Rate of work"/>
      <sheetName val="Fill Mat."/>
      <sheetName val="Piling"/>
      <sheetName val="Structure unit"/>
      <sheetName val="Source Fill Materials"/>
      <sheetName val="Factor F Data"/>
      <sheetName val="Concrete Price"/>
      <sheetName val="UnitSOBRR"/>
      <sheetName val="SH-A"/>
      <sheetName val="SH-B"/>
      <sheetName val="SH-C"/>
      <sheetName val="SH-D"/>
      <sheetName val="SH-E"/>
      <sheetName val="SH-F"/>
      <sheetName val="SH-G"/>
      <sheetName val="SH_A"/>
      <sheetName val="DAS "/>
      <sheetName val="FY18"/>
      <sheetName val="FY19"/>
      <sheetName val="Centrifugal"/>
      <sheetName val="WC_Screw"/>
      <sheetName val="AC_Screw"/>
      <sheetName val="Scroll_Rotary"/>
      <sheetName val="AHU"/>
      <sheetName val="FCU"/>
      <sheetName val="Enquiry Summary"/>
      <sheetName val="2008 UP"/>
      <sheetName val="JD07 OYLM"/>
      <sheetName val="08Cost"/>
      <sheetName val="JJ2008"/>
      <sheetName val="JD2008"/>
      <sheetName val="JD2008 (2)"/>
      <sheetName val="JJ10 Daikin (sept)"/>
      <sheetName val="JJ10 Yspec (sept)"/>
      <sheetName val="JJ10 Yspec 051109"/>
      <sheetName val="JJ10 Daikin 051109"/>
      <sheetName val="JD11 Daikin"/>
      <sheetName val="JD11 Yspec"/>
      <sheetName val="JJ2011-50Hz"/>
      <sheetName val="60HZ"/>
      <sheetName val="Data RS Apr-Dec"/>
      <sheetName val="RS Apr-Dec"/>
      <sheetName val="By Model 2"/>
      <sheetName val="Revision"/>
      <sheetName val="Graph1 (2)"/>
      <sheetName val="Graph1"/>
      <sheetName val="Graph1 (50Hz)"/>
      <sheetName val="Graph1 (60Hz)"/>
      <sheetName val="30HXC Montluel vs Charlotte"/>
      <sheetName val="Graph2"/>
      <sheetName val="Cost Tbolt WC 50Hz"/>
      <sheetName val="Cost Tbolt WC 50Hz (1ckt)"/>
      <sheetName val="Cost Tbolt WC 60Hz (50Hz base)"/>
      <sheetName val="Cost Tbolt WC 60Hz (1ckt) 50Hz "/>
      <sheetName val="Cost Assumptions TboltWC 50Hz"/>
      <sheetName val="Mfg Cost Template - 30HXC 50hz"/>
      <sheetName val="Applied Cost 06T"/>
      <sheetName val="Refrigerant 30HXC"/>
      <sheetName val="cost 06N"/>
      <sheetName val="cost 06N (2)"/>
      <sheetName val="cost 06N (3)"/>
      <sheetName val="50Hz"/>
      <sheetName val="2011 Q1 Vs Q4 "/>
      <sheetName val="主机 2011Q1 Vs 2010Q1 (2)"/>
      <sheetName val="主机 2011Q1 Vs 2010Q1"/>
      <sheetName val="2010机组统计"/>
      <sheetName val="离心机电柜"/>
      <sheetName val="380V"/>
      <sheetName val="中压启动柜"/>
      <sheetName val="3K"/>
      <sheetName val="6k"/>
      <sheetName val="10KV"/>
      <sheetName val="Order form"/>
      <sheetName val="外销机组配置表"/>
      <sheetName val="外销电柜配置表"/>
      <sheetName val="CHILLER"/>
      <sheetName val="CTOWER"/>
      <sheetName val="PCHWP"/>
      <sheetName val="SCHWP "/>
      <sheetName val="ahu (2)"/>
      <sheetName val="FAN"/>
      <sheetName val="DUCT"/>
      <sheetName val="FV"/>
      <sheetName val="SIL"/>
      <sheetName val="PIPE&amp;VALVE"/>
      <sheetName val="barrier"/>
      <sheetName val="e-accs"/>
      <sheetName val="e-instru"/>
      <sheetName val="cable"/>
      <sheetName val="control"/>
      <sheetName val="humidifier"/>
      <sheetName val="fans"/>
      <sheetName val="fan(2)"/>
      <sheetName val="precision"/>
      <sheetName val="fps"/>
      <sheetName val="fas"/>
      <sheetName val="FY18 Amt Pivot"/>
      <sheetName val="FY18 Qty Pivot"/>
      <sheetName val="FY17 Amt Pivot"/>
      <sheetName val="FY17 Qty Pivot"/>
      <sheetName val="ABC"/>
      <sheetName val="FCT VALUE"/>
      <sheetName val="FCT QTY"/>
      <sheetName val="LOST"/>
      <sheetName val="Menu"/>
      <sheetName val="OB18"/>
      <sheetName val="Original"/>
      <sheetName val="DAS"/>
      <sheetName val="DSP"/>
      <sheetName val="SDS"/>
      <sheetName val="HOT"/>
      <sheetName val="DASI"/>
      <sheetName val="DAPM"/>
      <sheetName val="DPH"/>
      <sheetName val="DAV"/>
      <sheetName val="FY17"/>
      <sheetName val="FF17"/>
      <sheetName val="OB,RB,Actual"/>
      <sheetName val="Data by Products"/>
      <sheetName val="OB All"/>
      <sheetName val="HOTAI"/>
      <sheetName val="Regional"/>
      <sheetName val="FY18 Q4 Result"/>
      <sheetName val="OB19"/>
      <sheetName val="FY19 Billing Forecast"/>
      <sheetName val="FY19 Sales Result"/>
      <sheetName val="FY19 Yrly Fcast Value"/>
      <sheetName val="FY19 Yrly Fcast Qty"/>
      <sheetName val="FY19 Booking Forecast"/>
      <sheetName val="FY19 PO Receive FCast"/>
      <sheetName val="Graph"/>
      <sheetName val="★By Product (Equip) unit price"/>
      <sheetName val="AED"/>
      <sheetName val="ACD"/>
      <sheetName val="ASE-OCE"/>
      <sheetName val="★By Product (Equip) (QTY)"/>
      <sheetName val="★By Product (Equip $)"/>
      <sheetName val="■By country (Service)"/>
      <sheetName val="★By Product (Service)"/>
      <sheetName val="■By country (Equip)"/>
      <sheetName val="F20 Vs FY18 RB "/>
      <sheetName val="Sheet2 (2)"/>
      <sheetName val="Vietnam"/>
      <sheetName val="FY16 results"/>
      <sheetName val="Step by Step fill in the report"/>
      <sheetName val="Market Share Size"/>
      <sheetName val="FY15 OB summary"/>
      <sheetName val="Summary 2"/>
      <sheetName val="Summary3"/>
      <sheetName val="FY15 Currency Exchange"/>
      <sheetName val="DSP AP"/>
      <sheetName val="DASI FY16 OB"/>
      <sheetName val="DASI FY16 OB (JPY)"/>
      <sheetName val="SDS FY16 OB"/>
      <sheetName val="SDS FY16 OB (JPY)"/>
      <sheetName val="DSP SG FY16 OB"/>
      <sheetName val="DSP SG FY16 OB (JPY)"/>
      <sheetName val="DAS FY16 OB"/>
      <sheetName val="DAS FY16 OB (JPY)"/>
      <sheetName val="DSP Regional FY16 OB"/>
      <sheetName val="DSP Regional FY16 OB (JPY)"/>
      <sheetName val="AMSS FY16 OB"/>
      <sheetName val="AMSS FY16 OB (JPY)"/>
      <sheetName val="DAV FY16 OB"/>
      <sheetName val="DAV FY16 OB (JPY)"/>
      <sheetName val="DPH FY16 OB"/>
      <sheetName val="DPH FY16 OB (JPY)"/>
      <sheetName val="Summary2"/>
      <sheetName val="Summary-3"/>
      <sheetName val="Summary-4"/>
      <sheetName val="製品分類別"/>
      <sheetName val="予算資料作成用"/>
      <sheetName val="シェア"/>
      <sheetName val="MV_CC"/>
      <sheetName val="T_CC"/>
      <sheetName val="T_Motor"/>
      <sheetName val="T_Coil"/>
      <sheetName val="T_MB"/>
      <sheetName val="D_Motor"/>
      <sheetName val="D_Coil"/>
      <sheetName val="D_MB"/>
      <sheetName val="PV_MB"/>
      <sheetName val="D_CC(&lt;1Y)"/>
      <sheetName val="PV_Motor"/>
      <sheetName val="PV_Coil"/>
      <sheetName val="PV_CC"/>
      <sheetName val="D_CC"/>
      <sheetName val="p***"/>
      <sheetName val="Rev01"/>
      <sheetName val="Rev02"/>
      <sheetName val="Rev03"/>
      <sheetName val="Bud04"/>
      <sheetName val="ohreview"/>
      <sheetName val="Expense"/>
      <sheetName val="Capex (2)"/>
      <sheetName val="LogisticsCost"/>
      <sheetName val="plreview"/>
      <sheetName val="Acson"/>
      <sheetName val="Fore05"/>
      <sheetName val="Fore06"/>
      <sheetName val="Fore07"/>
      <sheetName val="Fore08"/>
      <sheetName val="Fur"/>
      <sheetName val="plreview (2)"/>
      <sheetName val="capex"/>
      <sheetName val="assump"/>
      <sheetName val="5Years"/>
      <sheetName val="Data Analysis"/>
      <sheetName val="Data Analysis-源"/>
      <sheetName val="Controls"/>
      <sheetName val="FY12 Controls List"/>
      <sheetName val="数据源"/>
      <sheetName val="透视"/>
      <sheetName val="Check"/>
      <sheetName val="Gmm02"/>
      <sheetName val="OYLM"/>
      <sheetName val="Bud02"/>
      <sheetName val="monthly graph"/>
      <sheetName val="kpi"/>
      <sheetName val="kpi (2)"/>
      <sheetName val="key items"/>
      <sheetName val="A9"/>
      <sheetName val="A10"/>
      <sheetName val="Exp"/>
      <sheetName val="TELEPHONE1_SEP01"/>
      <sheetName val="bcap (2)"/>
      <sheetName val="Rev03 (Q)"/>
      <sheetName val="GA"/>
      <sheetName val="Gmm03"/>
      <sheetName val="MAT graph"/>
      <sheetName val="A8"/>
      <sheetName val="Bud03"/>
      <sheetName val="Fore04"/>
      <sheetName val="SOP3 (2)"/>
      <sheetName val="SOP3"/>
      <sheetName val="PL02_SOP"/>
      <sheetName val="PL01_Detail"/>
      <sheetName val="PL02_Budget"/>
      <sheetName val="NJ"/>
      <sheetName val="源"/>
      <sheetName val="HVAC List"/>
      <sheetName val="Control List"/>
      <sheetName val="Installation List"/>
      <sheetName val="GY"/>
      <sheetName val="Data-源"/>
      <sheetName val="CQ"/>
      <sheetName val="BS-TRACK Invt,AR,AP,CASH"/>
      <sheetName val="AR &amp; Invt TOver Days"/>
      <sheetName val="MTHLY COMPARISON (USD)"/>
      <sheetName val="YTD &amp; MPY (USD)"/>
      <sheetName val="YTD &amp; MPY (RM)"/>
      <sheetName val="Attendance"/>
      <sheetName val="Meeting Minutes"/>
      <sheetName val="Product Improvement"/>
      <sheetName val="ARCHIVE"/>
      <sheetName val="Holidays"/>
      <sheetName val="Installation"/>
      <sheetName val="Bud00"/>
      <sheetName val="Mpy99"/>
      <sheetName val="Bep"/>
      <sheetName val="Xps"/>
      <sheetName val="Kra98"/>
      <sheetName val="Kra99"/>
      <sheetName val="5yr"/>
      <sheetName val="Roadmap"/>
      <sheetName val="Strutree"/>
      <sheetName val="BSheet"/>
      <sheetName val="Bip"/>
      <sheetName val="Equip Enquiry status FY19-20"/>
      <sheetName val="Equip Backlog @ month end"/>
      <sheetName val="sales review FY19"/>
      <sheetName val="Equip Booking Forecast"/>
      <sheetName val="Service Booking of the Month"/>
      <sheetName val="Service Enquiry status FY18"/>
      <sheetName val="Service Backlog @ month end"/>
      <sheetName val="Service Booking Forecast"/>
      <sheetName val="GP Analysis"/>
      <sheetName val="1.FY19 Result"/>
      <sheetName val="1.1 FY20 Forecast"/>
      <sheetName val="2.FY20 Inq Summary&amp;Rolling"/>
      <sheetName val="FitOutConfCentre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Record"/>
      <sheetName val="Cover Page"/>
      <sheetName val="MAIN SUMMARY"/>
      <sheetName val="CC-Breakdown"/>
      <sheetName val="Preliminaries"/>
      <sheetName val="CS"/>
      <sheetName val="3.1.5B"/>
      <sheetName val="3.1.5D"/>
      <sheetName val="4.1.1B"/>
      <sheetName val="AR"/>
      <sheetName val="AR-BS"/>
      <sheetName val="AR-BLK"/>
      <sheetName val="EW"/>
      <sheetName val="MC"/>
      <sheetName val="vo submission =final"/>
      <sheetName val="vo submission =final(b)"/>
      <sheetName val="certification"/>
      <sheetName val="V.O."/>
      <sheetName val="V.O.s"/>
      <sheetName val="V.O.a"/>
      <sheetName val="Ecc"/>
      <sheetName val="Summary_daywk"/>
      <sheetName val="Daywork  "/>
      <sheetName val="Material "/>
      <sheetName val="Equipment "/>
      <sheetName val="Cash Flow"/>
      <sheetName val="Chart"/>
      <sheetName val="Monthly Chart"/>
      <sheetName val="TP"/>
      <sheetName val="PC &amp; PS"/>
      <sheetName val="P.Mgr's Monthly Report"/>
      <sheetName val="Annex A"/>
      <sheetName val="Annex B"/>
      <sheetName val="Annex C"/>
      <sheetName val="Annex D"/>
      <sheetName val="Annex E"/>
      <sheetName val="Annex F"/>
      <sheetName val="Annex G"/>
      <sheetName val="Annex H"/>
      <sheetName val="Annex I"/>
      <sheetName val="Annex J"/>
      <sheetName val="1. FY19 Forecast "/>
      <sheetName val="4'.ENQUIRY Summary CDU Type"/>
      <sheetName val="5.Necessry. Inq"/>
      <sheetName val="6.NEW INQUIRY REGISTERED"/>
      <sheetName val="7.Spec-in by SE"/>
      <sheetName val="8.Spec-in project list"/>
      <sheetName val="9.WONLIST"/>
      <sheetName val="10.LOST LIST"/>
      <sheetName val="11.TOTAL INQUIRY"/>
      <sheetName val="산근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BOX구조해석 설명서"/>
      <sheetName val="간지"/>
      <sheetName val="설계조건"/>
      <sheetName val="단면가정"/>
      <sheetName val="좌표단면SPRING"/>
      <sheetName val="하중산정"/>
      <sheetName val="하중조합"/>
      <sheetName val="INPUT"/>
      <sheetName val="OUTPUT"/>
      <sheetName val="부재력요약"/>
      <sheetName val="철근량 검토"/>
      <sheetName val="우각부검토"/>
      <sheetName val="안정성검토"/>
      <sheetName val="철근배근"/>
      <sheetName val="OCT.FDN"/>
      <sheetName val="WIND"/>
      <sheetName val="SEISMIC"/>
      <sheetName val="SIZE"/>
      <sheetName val="EXT.CHECK"/>
      <sheetName val="A.B CHECK"/>
      <sheetName val="STR.ANA"/>
      <sheetName val="DESIGN"/>
      <sheetName val="REINF."/>
      <sheetName val="L &amp; K"/>
      <sheetName val="Module2"/>
      <sheetName val="OCT_FDN"/>
      <sheetName val="cover (2)"/>
      <sheetName val="design criteria"/>
      <sheetName val="design load"/>
      <sheetName val="plan&amp;section of foundation"/>
      <sheetName val="working load at the btm ft."/>
      <sheetName val="stability check"/>
      <sheetName val="soil bearing check"/>
      <sheetName val="pile bearing capa &amp; arrange"/>
      <sheetName val="pile reaction check"/>
      <sheetName val="member design"/>
      <sheetName val="rebar skech"/>
      <sheetName val="attachment"/>
      <sheetName val="earthquake(IS)"/>
      <sheetName val="rebar"/>
      <sheetName val="표지"/>
      <sheetName val="첨부"/>
      <sheetName val="목차"/>
      <sheetName val="D-623D"/>
      <sheetName val="D-623B"/>
      <sheetName val="갑지"/>
      <sheetName val=" Summary(Rev.)"/>
      <sheetName val="PM-MAN"/>
      <sheetName val="PM-MAN2"/>
      <sheetName val="PM_출장비"/>
      <sheetName val="PM복사비"/>
      <sheetName val="PM통신비"/>
      <sheetName val="검사용역비"/>
      <sheetName val="ENG'G"/>
      <sheetName val="ENG'G 경비"/>
      <sheetName val="ENG출장비"/>
      <sheetName val="ENG복사비"/>
      <sheetName val="PROCURE"/>
      <sheetName val="PROC운반비"/>
      <sheetName val="CONST"/>
      <sheetName val="Const(By YGN)"/>
      <sheetName val="가설시설"/>
      <sheetName val="현장MH"/>
      <sheetName val="현장MH(REV)"/>
      <sheetName val="현장경비"/>
      <sheetName val="시운전MH"/>
      <sheetName val="시운전 경비"/>
      <sheetName val="VENDOR"/>
      <sheetName val="OTHERS"/>
      <sheetName val="급료TABLE"/>
      <sheetName val="Proposed Payment Schedule"/>
      <sheetName val="Payment Schedule-Actual"/>
      <sheetName val="Cost Summary"/>
      <sheetName val="Progress Total"/>
      <sheetName val="Eng"/>
      <sheetName val="Procu-Cash in"/>
      <sheetName val="Procu-Cash Out"/>
      <sheetName val="Constr"/>
      <sheetName val="Chemical"/>
      <sheetName val="Comm &amp; PT"/>
      <sheetName val="Training"/>
      <sheetName val="Procure Pay-Sch"/>
      <sheetName val="기지국"/>
      <sheetName val="UB2"/>
      <sheetName val="공사내역"/>
      <sheetName val="찍기"/>
      <sheetName val="DRUM"/>
      <sheetName val="ACMV-Cost"/>
      <sheetName val="Blk A"/>
      <sheetName val="Blk B"/>
      <sheetName val="Blk C"/>
      <sheetName val="EV"/>
      <sheetName val="ACMV_Cost"/>
      <sheetName val="DEG. CONDITION"/>
      <sheetName val="견적 조건"/>
      <sheetName val="TEMP POWER(X)"/>
      <sheetName val="BQ"/>
      <sheetName val="general"/>
      <sheetName val="BASIS"/>
      <sheetName val="MHSHT1"/>
      <sheetName val="MHSHT2"/>
      <sheetName val="mob"/>
      <sheetName val="MTG_AUG.03"/>
      <sheetName val="BSD"/>
      <sheetName val="BSD 1"/>
      <sheetName val="BSD (2)"/>
      <sheetName val="제1안"/>
      <sheetName val="제2안"/>
      <sheetName val="토공"/>
      <sheetName val="금액대비"/>
      <sheetName val="토공가실행"/>
      <sheetName val="APT물량"/>
      <sheetName val="BSD물량"/>
      <sheetName val="Statistic (Out Dated)"/>
      <sheetName val="Statistic"/>
      <sheetName val="Cost Plan"/>
      <sheetName val="As per Packaging"/>
      <sheetName val="Sub Ctor Package"/>
      <sheetName val="Green Mark"/>
      <sheetName val="GM list"/>
      <sheetName val="Excl"/>
      <sheetName val="Footprint &amp; Lifts Cost"/>
      <sheetName val="Wall Tile"/>
      <sheetName val="Wdws"/>
      <sheetName val="Comparision"/>
      <sheetName val="CR1 n CR 3 Diff"/>
      <sheetName val="B1 &amp; B2"/>
      <sheetName val="Plot B summary"/>
      <sheetName val="Exclusion"/>
      <sheetName val="ME &amp; Fire"/>
      <sheetName val="Budget"/>
      <sheetName val="temporary"/>
      <sheetName val="overmst"/>
      <sheetName val="Temporary Works comparison"/>
      <sheetName val="Cost Comparison Sheet-BQ"/>
      <sheetName val="trade summary"/>
      <sheetName val="Tabulation of Key Changes"/>
      <sheetName val="CABLE&amp;WIRE"/>
      <sheetName val="FITTING"/>
      <sheetName val="PBS"/>
      <sheetName val="BULK"/>
      <sheetName val="LTG(PROCESS)"/>
      <sheetName val="LTG(CONTROLBLDG)"/>
      <sheetName val="PANELBOARD"/>
      <sheetName val="CONDUIT"/>
      <sheetName val="SHRINKABLE"/>
      <sheetName val="TERMINATIONKIT"/>
      <sheetName val="TB&amp;SPEAKER"/>
      <sheetName val="GND사급"/>
      <sheetName val="GND도급"/>
      <sheetName val="Start"/>
      <sheetName val="Flanges"/>
      <sheetName val="Spec807"/>
      <sheetName val="StorTemp"/>
      <sheetName val="Storage"/>
      <sheetName val="Navigation"/>
      <sheetName val="Printing"/>
      <sheetName val="Procedures"/>
      <sheetName val="Claim_Payment"/>
      <sheetName val="General Data"/>
      <sheetName val="2.1 기기설치공사"/>
      <sheetName val="Plumbing"/>
      <sheetName val="GI Duct Summary"/>
      <sheetName val="1st (Revised)"/>
      <sheetName val="1st (Tender)"/>
      <sheetName val="2nd (Revised)"/>
      <sheetName val="2nd (Tender)"/>
      <sheetName val="3rd (Revised)"/>
      <sheetName val="3rd (Tender)"/>
      <sheetName val="4th (Revised)"/>
      <sheetName val="4th (Tender)"/>
      <sheetName val="5th (Revised)"/>
      <sheetName val="5th (Tender)"/>
      <sheetName val="6th (Revised)"/>
      <sheetName val="6th (Tender)"/>
      <sheetName val="7th (Revised)"/>
      <sheetName val="7th (Tender)"/>
      <sheetName val="8th (Revised)"/>
      <sheetName val="8th (Tender)"/>
      <sheetName val="Roof (Revised)"/>
      <sheetName val="Roof (Tender)"/>
      <sheetName val="견적조건(국내가)"/>
      <sheetName val="견적조건(PROPOSAL)"/>
      <sheetName val="DOMESTIC"/>
      <sheetName val="Proposal"/>
      <sheetName val="PIVOT (2)"/>
      <sheetName val="SUMMARY (2)"/>
      <sheetName val="pile bearing capa &amp; arrenge"/>
      <sheetName val="plan_section of foundation"/>
      <sheetName val="working load at the btm ft_"/>
      <sheetName val="ITB COST"/>
      <sheetName val="laroux"/>
      <sheetName val="D-3503"/>
      <sheetName val="D_3503"/>
      <sheetName val="2F 회의실견적(5_14 일대)"/>
      <sheetName val="HORI. VESSEL"/>
      <sheetName val="ASCE7-95"/>
      <sheetName val="LOAD"/>
      <sheetName val="RING WALL"/>
      <sheetName val="사본 - 00-IOM"/>
      <sheetName val="사본%20-%2000-IOM.XLS"/>
      <sheetName val="1.1 가설공사"/>
      <sheetName val="1.2 토목공사"/>
      <sheetName val="1.3 건축공사"/>
      <sheetName val="1.4 철골공사"/>
      <sheetName val="2.2 배관공사"/>
      <sheetName val="2.3 보온공사"/>
      <sheetName val="2.4 도장공사"/>
      <sheetName val="2.5 HVAC공사"/>
      <sheetName val="3.1 전기공사"/>
      <sheetName val="3.2 계장공사"/>
      <sheetName val="MANHOLE TOTAL"/>
      <sheetName val="TYPE-ATOTAL"/>
      <sheetName val="TYPE-A1 SUM"/>
      <sheetName val="TYPE-A1 평균H"/>
      <sheetName val="TYPE-A1토사구간단위수량"/>
      <sheetName val="TYPE-A2 SUM"/>
      <sheetName val="TYPE-A2 평균H"/>
      <sheetName val="TYPE-A2토사구간단위수량"/>
      <sheetName val="TYPE-A3 SUM"/>
      <sheetName val="TYPE-A3 평균H"/>
      <sheetName val="TYPE-A3단위수량"/>
      <sheetName val="TYPE-BTOTAL"/>
      <sheetName val="TYPE-B SUM"/>
      <sheetName val="TYPE-B 평균H"/>
      <sheetName val="TYPE-B토사구간단위수량"/>
      <sheetName val="다이꾸"/>
      <sheetName val="L형조서"/>
      <sheetName val="맹암거조서"/>
      <sheetName val="U형조서"/>
      <sheetName val="V형조서"/>
      <sheetName val="종배수관조서"/>
      <sheetName val="게비온조서"/>
      <sheetName val="빗물받이조서"/>
      <sheetName val="반중력옹벽조서"/>
      <sheetName val="석축조서"/>
      <sheetName val="횡배수관조서"/>
      <sheetName val="집수정현황"/>
      <sheetName val="암 거조서"/>
      <sheetName val="연장집계표"/>
      <sheetName val="연장집계표.xls"/>
      <sheetName val="PAU_AHU_FCU"/>
      <sheetName val="Cooling Tower"/>
      <sheetName val="Pumps"/>
      <sheetName val="System Efficiency Cal"/>
      <sheetName val="Operating Schedule"/>
      <sheetName val="Lighting aircon"/>
      <sheetName val="Lighting non aircon"/>
      <sheetName val="Saving Calculation"/>
      <sheetName val="Load profile"/>
      <sheetName val="App"/>
      <sheetName val="Lift"/>
      <sheetName val="RECEP_LOAD"/>
      <sheetName val="CAR PARK"/>
      <sheetName val="SPLIT UNITS"/>
      <sheetName val="AIR_CON"/>
      <sheetName val="Domestic Pump"/>
      <sheetName val="Pumps (Alt)"/>
      <sheetName val="Plant Room Officiency"/>
      <sheetName val="Chiller Size"/>
      <sheetName val="CT Size"/>
      <sheetName val="Pumps Size"/>
      <sheetName val="Fix"/>
      <sheetName val="Fix2"/>
      <sheetName val="Fix 3"/>
      <sheetName val="V"/>
      <sheetName val="V2"/>
      <sheetName val="V3"/>
      <sheetName val="Mechanical"/>
      <sheetName val="ACMV"/>
      <sheetName val="Fire"/>
      <sheetName val="S&amp;P"/>
      <sheetName val="design data"/>
      <sheetName val="CAL(1)."/>
      <sheetName val="CAL(2)."/>
      <sheetName val="GD- D1102"/>
      <sheetName val="hori. vessel (E-851B)"/>
      <sheetName val="GD- D1206"/>
      <sheetName val="GD- E1203"/>
      <sheetName val="GD- E1206"/>
      <sheetName val="GD- E1106"/>
      <sheetName val="T 6-2"/>
      <sheetName val="T 6-7"/>
      <sheetName val="S-TABLE"/>
      <sheetName val="Cs-Std-011(2-2)"/>
      <sheetName val="전기"/>
      <sheetName val="ttl"/>
      <sheetName val="CONCRETE"/>
      <sheetName val="공사비예산서(토목분)"/>
      <sheetName val="Cost bd-&quot;A&quot;"/>
      <sheetName val="Sheet17"/>
      <sheetName val="BID"/>
      <sheetName val="piping"/>
      <sheetName val="부하계산서"/>
      <sheetName val="Instruction"/>
      <sheetName val="WORK-VOL"/>
      <sheetName val="BACK DATA"/>
      <sheetName val="내역서"/>
      <sheetName val="BM DATA SHEET"/>
      <sheetName val="전차선로 물량표"/>
      <sheetName val="가상data"/>
      <sheetName val="정부노임단가"/>
      <sheetName val="LINE_LIST"/>
      <sheetName val="PLAN_FEB97"/>
      <sheetName val="Cal"/>
      <sheetName val="REBAR SKETCH"/>
      <sheetName val="간지1"/>
      <sheetName val="간지2"/>
      <sheetName val="SAPIN"/>
      <sheetName val="간지3"/>
      <sheetName val="SAPOUT"/>
      <sheetName val="SETTLEMENT"/>
      <sheetName val="DATE"/>
      <sheetName val="관경고용테이프수집"/>
      <sheetName val="관경고용산근"/>
      <sheetName val="1.토총"/>
      <sheetName val="토적"/>
      <sheetName val="가정오수"/>
      <sheetName val="2.관로집"/>
      <sheetName val="관부설"/>
      <sheetName val="가정연결"/>
      <sheetName val="3.구조물집계"/>
      <sheetName val="맨홀높이"/>
      <sheetName val="맨홀2"/>
      <sheetName val="4.포장공"/>
      <sheetName val="관로"/>
      <sheetName val="가정연결관"/>
      <sheetName val="5.부대공"/>
      <sheetName val="(1)가시설공"/>
      <sheetName val="(2)경고"/>
      <sheetName val="(3)기타"/>
      <sheetName val="6.주요자재대"/>
      <sheetName val="7.폐기물"/>
      <sheetName val="Trade"/>
      <sheetName val="PILE지지력"/>
      <sheetName val="milebase (6)"/>
      <sheetName val="안내"/>
      <sheetName val="Geaph (LGEN)"/>
      <sheetName val="Graph (LGEN)"/>
      <sheetName val="Graph (LGEN, 원가율 87%)"/>
      <sheetName val="Graph (LGEN+ Lurgi)"/>
      <sheetName val="Graph (Lurgi)"/>
      <sheetName val="Balance (이자계산,원가율 100%)"/>
      <sheetName val="Balance (이자계산,87%)"/>
      <sheetName val="Balance (이자계산,원가율 92%)"/>
      <sheetName val="in_progress"/>
      <sheetName val="milebase (5)"/>
      <sheetName val="out_prog"/>
      <sheetName val="선적schedule (2)"/>
      <sheetName val="old"/>
      <sheetName val="선적schedule"/>
      <sheetName val="Milestone schedule"/>
      <sheetName val="Graph _LGEN_"/>
      <sheetName val="선적schedule _2_"/>
      <sheetName val="TIE-INS"/>
      <sheetName val="Payment_Cash Balance"/>
      <sheetName val="Summary Sheets"/>
      <sheetName val="SKETCH"/>
      <sheetName val="LOADS"/>
      <sheetName val="CHECK1"/>
      <sheetName val="WIND&amp;THER."/>
      <sheetName val="CHECK2"/>
      <sheetName val="REINF_"/>
      <sheetName val="설명서"/>
      <sheetName val="안정계산"/>
      <sheetName val="말뚝설계"/>
      <sheetName val="단면검토"/>
      <sheetName val="교좌받침부"/>
      <sheetName val="날개벽(TYPE1)"/>
      <sheetName val="날개벽(TYPE2)"/>
      <sheetName val="날개벽(TYPE3)"/>
      <sheetName val="접속슬래브"/>
      <sheetName val="Title"/>
      <sheetName val="CAL."/>
      <sheetName val="CAL_"/>
      <sheetName val="POWER"/>
      <sheetName val="UBC(WIND)"/>
      <sheetName val="Rebarsize"/>
      <sheetName val="static.cal"/>
      <sheetName val="자료"/>
      <sheetName val="추가사항"/>
      <sheetName val="부재력정리"/>
      <sheetName val="개요"/>
      <sheetName val="WIND EQ"/>
      <sheetName val="APPENDIX1"/>
      <sheetName val="APPENDIX2"/>
      <sheetName val="GeneralNote"/>
      <sheetName val="SubSum"/>
      <sheetName val="TYPE-1"/>
      <sheetName val="TYPE-2"/>
      <sheetName val="TYPE-3"/>
      <sheetName val="TYPE-4"/>
      <sheetName val="TYPE-5"/>
      <sheetName val="TYPE-6 Tank Fdn"/>
      <sheetName val="TYPE-7 Ring Wall"/>
      <sheetName val="TYPE-8 Ball Tank"/>
      <sheetName val="Sump-MH-CB"/>
      <sheetName val="Trench (Conc)"/>
      <sheetName val="Duct Bank"/>
      <sheetName val="Dike (Conc)"/>
      <sheetName val="U-Ditch (Conc)"/>
      <sheetName val="Other Ditch"/>
      <sheetName val="UG Pit (Conc)"/>
      <sheetName val="Pond_Embankment"/>
      <sheetName val="UG Pipe &amp; Cable"/>
      <sheetName val="Steel Work"/>
      <sheetName val="Road-paving (asphalt)"/>
      <sheetName val="Road-paving (conc)"/>
      <sheetName val="Other Add BM"/>
      <sheetName val="steel data sheet"/>
      <sheetName val="Initialize"/>
      <sheetName val="ACPCTPW"/>
      <sheetName val="Chillers"/>
      <sheetName val="CTs"/>
      <sheetName val="FCU (2)"/>
      <sheetName val="conents"/>
      <sheetName val="CRITERIA"/>
      <sheetName val="SPRING"/>
      <sheetName val="DAMPING"/>
      <sheetName val="soil data"/>
      <sheetName val="CONFORM NODE"/>
      <sheetName val="anc."/>
      <sheetName val="TDAT"/>
      <sheetName val="가설건물"/>
      <sheetName val="시추조사비"/>
      <sheetName val="측량조사수량산출근거"/>
      <sheetName val="측량수량집계"/>
      <sheetName val="가도공"/>
      <sheetName val="precast"/>
      <sheetName val="감독차량비"/>
      <sheetName val="시험비(선정)"/>
      <sheetName val="시험비(관리)"/>
      <sheetName val="교통관리비"/>
      <sheetName val="가도표지판"/>
      <sheetName val="forms"/>
      <sheetName val="CTs "/>
      <sheetName val="fans(sil)"/>
      <sheetName val="FCUs"/>
      <sheetName val="ahus"/>
      <sheetName val="CTPW"/>
      <sheetName val="ACPW"/>
      <sheetName val="RE-BAR"/>
      <sheetName val="Variation Orders(Elect)"/>
      <sheetName val="Variation Orders(Mech) "/>
      <sheetName val="Variation Orders_Elect_"/>
      <sheetName val="Variation Orders_Mech_ "/>
      <sheetName val="ASCEandUBC"/>
      <sheetName val="ASCE"/>
      <sheetName val="w_t table"/>
      <sheetName val=" 갑지"/>
      <sheetName val="G&amp;D"/>
      <sheetName val="Damper"/>
      <sheetName val="Diffuser"/>
      <sheetName val="Louvre"/>
      <sheetName val="QTY"/>
      <sheetName val="Chillers (Delta T=14 deg F)"/>
      <sheetName val="C-Towers (Delta T=10 deg F)"/>
      <sheetName val="CHWPs &amp; CWPs"/>
      <sheetName val="AHU LOOKUP"/>
      <sheetName val="AHU  (Delta T=14 deg F)"/>
      <sheetName val="FCU (CHW)"/>
      <sheetName val="ACSU (DX)"/>
      <sheetName val="FCU LOOKUP"/>
      <sheetName val="CHWP SIZING"/>
      <sheetName val="CWP SIZING"/>
      <sheetName val="AC Make-Up Tank Sizing"/>
      <sheetName val="WCC"/>
      <sheetName val="Pump"/>
      <sheetName val="Solar Heat Storage Tank"/>
      <sheetName val="NCT"/>
      <sheetName val="SOLAR COLLECTOR PANEL"/>
      <sheetName val="CT"/>
      <sheetName val="Air Filter"/>
      <sheetName val="HVLS"/>
      <sheetName val="HVHS"/>
      <sheetName val="VRV &amp; SPLIT"/>
      <sheetName val="MD"/>
      <sheetName val="EAC"/>
      <sheetName val="PRD"/>
      <sheetName val="Silencer"/>
      <sheetName val="VAV"/>
      <sheetName val="Drop Down 2"/>
      <sheetName val="Drop Down"/>
      <sheetName val="G&amp;D (BQ SUMMARY)"/>
      <sheetName val="spec table"/>
      <sheetName val="DOCUMENT LIST"/>
      <sheetName val="DAKIN-LG MODELS LIST"/>
      <sheetName val="COP comparison (calculated)"/>
      <sheetName val="COP comparison (catalogue)"/>
      <sheetName val="Size Comparison"/>
      <sheetName val="Pump Head"/>
      <sheetName val="Max piping length"/>
      <sheetName val="Noise Level"/>
      <sheetName val="COP Table "/>
      <sheetName val="Form 1"/>
      <sheetName val="HVAC Equipment List (2)"/>
      <sheetName val="HVAC"/>
      <sheetName val="Form 3"/>
      <sheetName val="Form 4"/>
      <sheetName val="Definition"/>
      <sheetName val="Cover Sheet"/>
      <sheetName val="Project Outline"/>
      <sheetName val="주요공사"/>
      <sheetName val="Contractual Amount"/>
      <sheetName val="시헹예산"/>
      <sheetName val="TENDER vs BUDGET"/>
      <sheetName val="직영 vs 하청 - 2"/>
      <sheetName val="96 당초Schedule"/>
      <sheetName val="96 Performance"/>
      <sheetName val="소화-투입 분석표"/>
      <sheetName val="STF ORG(K)"/>
      <sheetName val="Staff Org. Chart"/>
      <sheetName val="Scope of Work"/>
      <sheetName val="Design Status"/>
      <sheetName val="DWG Status"/>
      <sheetName val="MAT'L Status"/>
      <sheetName val="장비동원"/>
      <sheetName val="근로자동원"/>
      <sheetName val="Install Status"/>
      <sheetName val="Staff Mob. Plan"/>
      <sheetName val="M.P Mob. Plan"/>
      <sheetName val="Eq. Mobilization"/>
      <sheetName val="Eq_ Mobilization"/>
      <sheetName val="Cash2"/>
      <sheetName val="Z"/>
      <sheetName val="VC2 9.98"/>
      <sheetName val="TUAS"/>
      <sheetName val="유림골조"/>
      <sheetName val="STAND20"/>
      <sheetName val="직원동원SCH"/>
      <sheetName val="수입"/>
      <sheetName val="h-013211-2"/>
      <sheetName val="공통비총괄표"/>
      <sheetName val="손익차9월2"/>
      <sheetName val="11월 실적"/>
      <sheetName val="slipsumpR"/>
      <sheetName val="간접비 총괄표"/>
      <sheetName val="VC2 8.98"/>
      <sheetName val="개시전표"/>
      <sheetName val="공사집계"/>
      <sheetName val="카메라"/>
      <sheetName val="TOWER 12TON"/>
      <sheetName val="TOWER 10TON"/>
      <sheetName val="잡비계산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기구조직"/>
      <sheetName val="데이타"/>
      <sheetName val="식재인부"/>
      <sheetName val="JIB CRANE,HOIST"/>
      <sheetName val="집계표(육상)"/>
      <sheetName val="지급자재"/>
      <sheetName val="PRO_DCI"/>
      <sheetName val="ELEC_DCI"/>
      <sheetName val="INST_DCI"/>
      <sheetName val="연돌일위집계"/>
      <sheetName val="집계표"/>
      <sheetName val="P.M 별"/>
      <sheetName val="8.PILE  (돌출)"/>
      <sheetName val="사업부배부A"/>
      <sheetName val="BM"/>
      <sheetName val="청산공사"/>
      <sheetName val="수주추진리스트"/>
      <sheetName val="TK판매비impact"/>
      <sheetName val="TK판매비"/>
      <sheetName val="수주집계"/>
      <sheetName val="TK외판매비impact"/>
      <sheetName val="Vendors"/>
      <sheetName val="금액내역서"/>
      <sheetName val="6PILE  (돌출)"/>
      <sheetName val="예정(3)"/>
      <sheetName val="기준"/>
      <sheetName val="4.0 (2)"/>
      <sheetName val="예가표"/>
      <sheetName val="지급제한자"/>
      <sheetName val="2000.11월설계내역"/>
      <sheetName val="주관사업"/>
      <sheetName val="발주코드"/>
      <sheetName val="운반"/>
      <sheetName val="단중"/>
      <sheetName val="품셈표"/>
      <sheetName val="을지"/>
      <sheetName val="안전장치"/>
      <sheetName val="HKDSUMM"/>
      <sheetName val="산거각호표"/>
      <sheetName val="2.1.2예정공정율(칼라)"/>
      <sheetName val="일위대가"/>
      <sheetName val="단가대비표"/>
      <sheetName val="일위대가(가설)"/>
      <sheetName val="ITC현황"/>
      <sheetName val="ITC 현황"/>
      <sheetName val="가격조사서"/>
      <sheetName val="대비표(실행)"/>
      <sheetName val="현장관리비증감내역"/>
      <sheetName val="부대공사비(실행)"/>
      <sheetName val="내역서(ITC)"/>
      <sheetName val="업체별SV단가"/>
      <sheetName val="1.1 Overall Progress"/>
      <sheetName val="Cover_Sheet"/>
      <sheetName val="Project_Outline"/>
      <sheetName val="Contractual_Amount"/>
      <sheetName val="TENDER_vs_BUDGET"/>
      <sheetName val="직영_vs_하청_-_2"/>
      <sheetName val="96_당초Schedule"/>
      <sheetName val="96_Performance"/>
      <sheetName val="소화-투입_분석표"/>
      <sheetName val="STF_ORG(K)"/>
      <sheetName val="Staff_Org__Chart"/>
      <sheetName val="Scope_of_Work"/>
      <sheetName val="Design_Status"/>
      <sheetName val="DWG_Status"/>
      <sheetName val="MAT'L_Status"/>
      <sheetName val="Install_Status"/>
      <sheetName val="Staff_Mob__Plan"/>
      <sheetName val="M_P_Mob__Plan"/>
      <sheetName val="Eq__Mobilization"/>
      <sheetName val="Eq__Mobilization1"/>
      <sheetName val="VC2_9_98"/>
      <sheetName val="11월_실적"/>
      <sheetName val="간접비_총괄표"/>
      <sheetName val="VC2_8_98"/>
      <sheetName val="TOWER_12TON"/>
      <sheetName val="TOWER_10TON"/>
      <sheetName val="JIB_CRANE,HOIST"/>
      <sheetName val="M-EQPT-Z"/>
      <sheetName val="BQMPALOC"/>
      <sheetName val="부대집계표(목표반영)"/>
      <sheetName val="배수내역"/>
      <sheetName val="BQMP"/>
      <sheetName val="Rate Analysis"/>
      <sheetName val="15 문제점"/>
      <sheetName val="공사비집계"/>
      <sheetName val="_"/>
      <sheetName val="REPORT07"/>
      <sheetName val="소화실적"/>
      <sheetName val="단가비교"/>
      <sheetName val="매각(6)"/>
      <sheetName val="95삼성급(본사)"/>
      <sheetName val="99년하반기"/>
      <sheetName val="상반기손익차2총괄"/>
      <sheetName val="공문"/>
      <sheetName val="과제정의서"/>
      <sheetName val="노동부"/>
      <sheetName val="등급기준"/>
      <sheetName val="드롭다운"/>
      <sheetName val="5사남"/>
      <sheetName val="Disc WF (최종)"/>
      <sheetName val="Weekly WV %"/>
      <sheetName val="구분정의"/>
      <sheetName val="산출근거"/>
      <sheetName val="차트 (2)"/>
      <sheetName val="수지계산"/>
      <sheetName val="안산기계장치"/>
      <sheetName val="업무분장"/>
      <sheetName val="Work Trade Code"/>
      <sheetName val="Cover_Sheet1"/>
      <sheetName val="Project_Outline1"/>
      <sheetName val="Contractual_Amount1"/>
      <sheetName val="TENDER_vs_BUDGET1"/>
      <sheetName val="직영_vs_하청_-_21"/>
      <sheetName val="96_당초Schedule1"/>
      <sheetName val="96_Performance1"/>
      <sheetName val="소화-투입_분석표1"/>
      <sheetName val="STF_ORG(K)1"/>
      <sheetName val="Staff_Org__Chart1"/>
      <sheetName val="Scope_of_Work1"/>
      <sheetName val="Design_Status1"/>
      <sheetName val="DWG_Status1"/>
      <sheetName val="MAT'L_Status1"/>
      <sheetName val="Install_Status1"/>
      <sheetName val="Staff_Mob__Plan1"/>
      <sheetName val="M_P_Mob__Plan1"/>
      <sheetName val="Eq__Mobilization2"/>
      <sheetName val="Eq__Mobilization3"/>
      <sheetName val="VC2_9_981"/>
      <sheetName val="11월_실적1"/>
      <sheetName val="간접비_총괄표1"/>
      <sheetName val="VC2_8_981"/>
      <sheetName val="TOWER_12TON1"/>
      <sheetName val="TOWER_10TON1"/>
      <sheetName val="JIB_CRANE,HOIST1"/>
      <sheetName val="P_M_별"/>
      <sheetName val="8_PILE__(돌출)"/>
      <sheetName val="6PILE__(돌출)"/>
      <sheetName val="2000_11월설계내역"/>
      <sheetName val="2_1_2예정공정율(칼라)"/>
      <sheetName val="1_1_Overall_Progress"/>
      <sheetName val="ITC_현황"/>
      <sheetName val="4_0_(2)"/>
      <sheetName val="목록 &amp; 환율표"/>
      <sheetName val="4.3물량INDEX검토"/>
      <sheetName val="DHEQSUPT"/>
      <sheetName val="건설기계"/>
      <sheetName val="노임"/>
      <sheetName val="단가산출"/>
      <sheetName val="사급자재"/>
      <sheetName val="SHEET"/>
      <sheetName val="토목"/>
      <sheetName val="인원계획"/>
      <sheetName val="연수원"/>
      <sheetName val="97년 SEACO예산"/>
      <sheetName val="영업소실적"/>
      <sheetName val="MEED"/>
      <sheetName val="HO ENG MH CAL"/>
      <sheetName val="MAN-Sch"/>
      <sheetName val="고압수량(철거)"/>
      <sheetName val="INSTR"/>
      <sheetName val="INPUT DATA"/>
      <sheetName val="CAT_5"/>
      <sheetName val="Base_Data"/>
      <sheetName val="Factor"/>
      <sheetName val="7.2세부 부하계산서"/>
      <sheetName val="Condition"/>
      <sheetName val="PRC_BDWN-95"/>
      <sheetName val="기계내역서"/>
      <sheetName val="CIVIL BOQ"/>
      <sheetName val="RAW COST SUMMARY"/>
      <sheetName val="BLDG BOQ"/>
      <sheetName val="rate analyses"/>
      <sheetName val="HO_ENG_MH_CAL"/>
      <sheetName val="7_2세부_부하계산서"/>
      <sheetName val="INPUT_DATA"/>
      <sheetName val="EQ Total"/>
      <sheetName val="jobhist"/>
      <sheetName val="COVER-P"/>
      <sheetName val="TDIBM1"/>
      <sheetName val="UG_BOM"/>
      <sheetName val="목표세부명세"/>
      <sheetName val="PRC-SUM"/>
      <sheetName val="costing_CV"/>
      <sheetName val="eq_data"/>
      <sheetName val="PUMP_SHT"/>
      <sheetName val="costing_ESDV"/>
      <sheetName val="costing_FE"/>
      <sheetName val="General_Data"/>
      <sheetName val="costing_Misc"/>
      <sheetName val="costing_MOV"/>
      <sheetName val="costing_Press"/>
      <sheetName val="3004-2"/>
      <sheetName val="_갑지1"/>
      <sheetName val="노임 단가"/>
      <sheetName val="Price Detail"/>
      <sheetName val="Settings"/>
      <sheetName val="DS Oil System"/>
      <sheetName val="footing"/>
      <sheetName val="HO_ENG_MH_CAL1"/>
      <sheetName val="7_2세부_부하계산서1"/>
      <sheetName val="INPUT_DATA1"/>
      <sheetName val="KP1590_E"/>
      <sheetName val="CASH"/>
      <sheetName val="BLDG_DCI"/>
      <sheetName val="BLDG_MCI"/>
      <sheetName val="LABCOST"/>
      <sheetName val="DB@Acess"/>
      <sheetName val="Civil"/>
      <sheetName val="HVAC_DCI"/>
      <sheetName val="PIPE_DCI"/>
      <sheetName val="Al-Suwaidi"/>
      <sheetName val="_갑지"/>
      <sheetName val="ITB_COST"/>
      <sheetName val="CIVIL_BOQ"/>
      <sheetName val="RAW_COST_SUMMARY"/>
      <sheetName val="BLDG_BOQ"/>
      <sheetName val="rate_analyses"/>
      <sheetName val="Pjt Data"/>
      <sheetName val="PIPE도장"/>
      <sheetName val="2.배관"/>
      <sheetName val="도"/>
      <sheetName val="수량증감대비표"/>
      <sheetName val="PIPE (SG)-발수"/>
      <sheetName val="E45(SG)-발수"/>
      <sheetName val="E90(SG)-발수"/>
      <sheetName val="lookup"/>
      <sheetName val="M 11"/>
      <sheetName val="insulation"/>
      <sheetName val="PIPE"/>
      <sheetName val="ANA&amp;DESIGN&amp;REINF ."/>
      <sheetName val="PRIMARY LOAD"/>
      <sheetName val="DIMENSION"/>
      <sheetName val="Code"/>
      <sheetName val="calc"/>
      <sheetName val="수량산출1"/>
      <sheetName val="수량산출2"/>
      <sheetName val="수량산출3"/>
      <sheetName val="수량산출4"/>
      <sheetName val="AOP Summary-2"/>
      <sheetName val="부표총괄"/>
      <sheetName val="공사비증감"/>
      <sheetName val="할증 "/>
      <sheetName val="내역"/>
      <sheetName val="F4-F7"/>
      <sheetName val="Taux"/>
      <sheetName val="월별"/>
      <sheetName val="DATA1"/>
      <sheetName val="OIL SYST DATA SHTS"/>
      <sheetName val="Compressors"/>
      <sheetName val="Default"/>
      <sheetName val="원본"/>
      <sheetName val="뜃맟뭁돽띿맟?-BLDG"/>
      <sheetName val="cable-data"/>
      <sheetName val="금융비용"/>
      <sheetName val="Prioriry"/>
      <sheetName val="피벗테이블"/>
      <sheetName val="trf(36%)"/>
      <sheetName val="공사비 분석표"/>
      <sheetName val="MEXICO-C"/>
      <sheetName val="전기공사"/>
      <sheetName val="Food court "/>
      <sheetName val="무시"/>
      <sheetName val="9-1차이내역"/>
      <sheetName val="97 사업추정(WEKI)"/>
      <sheetName val="회사99"/>
      <sheetName val="노원열병합  건축공사기성내역서"/>
      <sheetName val="K"/>
      <sheetName val="IT-BAT"/>
      <sheetName val="TOEC"/>
      <sheetName val="세금자료"/>
      <sheetName val="직원동원계획"/>
      <sheetName val="요약배부"/>
      <sheetName val="WBS"/>
      <sheetName val="Inst_Type"/>
      <sheetName val="Loop Type"/>
      <sheetName val="인사자료총집계"/>
      <sheetName val="parts-V2"/>
      <sheetName val="BOQ"/>
      <sheetName val="골조시행"/>
      <sheetName val="March"/>
      <sheetName val="MAN-STD"/>
      <sheetName val="LENTH"/>
      <sheetName val="Resource table"/>
      <sheetName val="뜃맟뭁돽띿맟_-BLDG"/>
      <sheetName val="[TDIBM1.X೺_x0000_ഈ_x0000__x0000__x0000__x0000__x0000_G_MH_CAL"/>
      <sheetName val="Invoice (Summary)"/>
      <sheetName val="Invoice (IBL)"/>
      <sheetName val="Invoice (OBL)"/>
      <sheetName val="HO_ENG_MH_CAL2"/>
      <sheetName val="7_2세부_부하계산서2"/>
      <sheetName val="INPUT_DATA2"/>
      <sheetName val="_갑지2"/>
      <sheetName val="EQ_Total"/>
      <sheetName val="CIVIL_BOQ1"/>
      <sheetName val="RAW_COST_SUMMARY1"/>
      <sheetName val="BLDG_BOQ1"/>
      <sheetName val="rate_analyses1"/>
      <sheetName val="Price_Detail"/>
      <sheetName val="DS_Oil_System"/>
      <sheetName val="ITB_COST1"/>
      <sheetName val="노임_단가"/>
      <sheetName val="AOP_Summary-2"/>
      <sheetName val="Pjt_Data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2_배관"/>
      <sheetName val="SG"/>
      <sheetName val="말뚝지지력산정"/>
      <sheetName val="L V Separator"/>
      <sheetName val="실행(1)"/>
      <sheetName val="3.Breakdown Direct Instrument"/>
      <sheetName val="Inside building Summary"/>
      <sheetName val="SYS_DB"/>
      <sheetName val="CB"/>
      <sheetName val="Vertical FDN-12"/>
      <sheetName val="Pump FDN-1"/>
      <sheetName val="Horizontal Vessel FDN-1"/>
      <sheetName val="_TDIBM1.X೺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12CGOU"/>
      <sheetName val="HO_ENG_MH_CAL3"/>
      <sheetName val="INPUT_DATA3"/>
      <sheetName val="7_2세부_부하계산서3"/>
      <sheetName val="_갑지3"/>
      <sheetName val="EQ_Total1"/>
      <sheetName val="CIVIL_BOQ2"/>
      <sheetName val="RAW_COST_SUMMARY2"/>
      <sheetName val="BLDG_BOQ2"/>
      <sheetName val="rate_analyses2"/>
      <sheetName val="Price_Detail1"/>
      <sheetName val="ITB_COST2"/>
      <sheetName val="DS_Oil_System1"/>
      <sheetName val="노임_단가1"/>
      <sheetName val="AOP_Summary-2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Pjt_Data1"/>
      <sheetName val="2_배관1"/>
      <sheetName val="M_11"/>
      <sheetName val="PIPE_(SG)-발수"/>
      <sheetName val="TYPE-B_평균H"/>
      <sheetName val="ANA&amp;DESIGN&amp;REINF__"/>
      <sheetName val="PRIMARY_LOAD"/>
      <sheetName val="EXT_CHECK"/>
      <sheetName val="할증_"/>
      <sheetName val="Invoice_(Summary)"/>
      <sheetName val="Invoice_(IBL)"/>
      <sheetName val="Invoice_(OBL)"/>
      <sheetName val="OIL_SYST_DATA_SHTS"/>
      <sheetName val="Loop_Type"/>
      <sheetName val="공사비_분석표"/>
      <sheetName val="Resource_table"/>
      <sheetName val="[TDIBM1_X೺ഈG_MH_CAL"/>
      <sheetName val="Food_court_"/>
      <sheetName val="97_사업추정(WEKI)"/>
      <sheetName val="노원열병합__건축공사기성내역서"/>
      <sheetName val="BACK_DATA"/>
      <sheetName val="총괄내역서"/>
      <sheetName val="상세내역"/>
      <sheetName val="시간별적산"/>
      <sheetName val="NO.3.PTA PLANT SD COST"/>
      <sheetName val="비교원RD-S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STA &amp; SEC"/>
      <sheetName val="GRACE"/>
      <sheetName val="major"/>
      <sheetName val="창고"/>
      <sheetName val="intake"/>
      <sheetName val="_TDIBM1.X೺_x005f_x0000_ഈ_x005f_x0000__x0000"/>
      <sheetName val="_TDIBM1_X೺ഈG_MH_CAL"/>
      <sheetName val="inter"/>
      <sheetName val="Inert Balls"/>
      <sheetName val="Overall Status"/>
      <sheetName val="wagerate"/>
      <sheetName val="ENG_prog"/>
      <sheetName val="Resource summary"/>
      <sheetName val="bdown"/>
      <sheetName val="CostDB"/>
      <sheetName val="실행자재"/>
      <sheetName val="Resource"/>
      <sheetName val="Break Down"/>
      <sheetName val="Valve List (Priced)"/>
      <sheetName val="Tbl 1y 4"/>
      <sheetName val="BELİRLENECEKLER"/>
      <sheetName val="명판"/>
      <sheetName val="내"/>
      <sheetName val="[TDIBM1.X೺_x005f_x0000_ഈ_x005f_x0000__x0000"/>
      <sheetName val="양수장(기계)"/>
      <sheetName val="Kredi Risk Alt_Grup"/>
      <sheetName val="Banka"/>
      <sheetName val="Tür"/>
      <sheetName val="Ana Gruplar"/>
      <sheetName val="ÖdemeTahsilat"/>
      <sheetName val="Kullanıcı"/>
      <sheetName val="Attachment 1"/>
      <sheetName val="Ex Rate"/>
      <sheetName val="B.5_Control Valve"/>
      <sheetName val="코드"/>
      <sheetName val="[TDIBM1.X೺"/>
      <sheetName val="Database"/>
      <sheetName val="자바라1"/>
      <sheetName val="해외 연수비용 계산-삭제"/>
      <sheetName val="해외 기술훈련비 (합계)"/>
      <sheetName val="실행산출근거"/>
      <sheetName val="RFP002"/>
      <sheetName val="_TDIBM1.X೺_x0000_ഈ_x0000__x0000__x0000__x0000__x0000_G_MH_CAL"/>
      <sheetName val="Rates"/>
      <sheetName val="A(Rev.3)"/>
      <sheetName val="HO_ENG_MH_CAL4"/>
      <sheetName val="7_2세부_부하계산서4"/>
      <sheetName val="INPUT_DATA4"/>
      <sheetName val="_갑지4"/>
      <sheetName val="EQ_Total2"/>
      <sheetName val="CIVIL_BOQ3"/>
      <sheetName val="RAW_COST_SUMMARY3"/>
      <sheetName val="BLDG_BOQ3"/>
      <sheetName val="rate_analyses3"/>
      <sheetName val="ITB_COST3"/>
      <sheetName val="DS_Oil_System2"/>
      <sheetName val="Price_Detail2"/>
      <sheetName val="노임_단가2"/>
      <sheetName val="Pjt_Data2"/>
      <sheetName val="M_111"/>
      <sheetName val="공사비_분석표1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2_배관2"/>
      <sheetName val="AOP_Summary-22"/>
      <sheetName val="PIPE_(SG)-발수1"/>
      <sheetName val="TYPE-B_평균H1"/>
      <sheetName val="ANA&amp;DESIGN&amp;REINF__1"/>
      <sheetName val="PRIMARY_LOAD1"/>
      <sheetName val="EXT_CHECK1"/>
      <sheetName val="OIL_SYST_DATA_SHTS1"/>
      <sheetName val="할증_1"/>
      <sheetName val="Loop_Type1"/>
      <sheetName val="Resource_table1"/>
      <sheetName val="Invoice_(Summary)1"/>
      <sheetName val="Invoice_(IBL)1"/>
      <sheetName val="Invoice_(OBL)1"/>
      <sheetName val="REINF_1"/>
      <sheetName val="Food_court_1"/>
      <sheetName val="97_사업추정(WEKI)1"/>
      <sheetName val="노원열병합__건축공사기성내역서1"/>
      <sheetName val="BACK_DATA1"/>
      <sheetName val="HO_ENG_MH_CAL5"/>
      <sheetName val="7_2세부_부하계산서5"/>
      <sheetName val="INPUT_DATA5"/>
      <sheetName val="Eq__Mobilization4"/>
      <sheetName val="_갑지5"/>
      <sheetName val="EQ_Total3"/>
      <sheetName val="CIVIL_BOQ4"/>
      <sheetName val="RAW_COST_SUMMARY4"/>
      <sheetName val="BLDG_BOQ4"/>
      <sheetName val="rate_analyses4"/>
      <sheetName val="ITB_COST4"/>
      <sheetName val="DS_Oil_System3"/>
      <sheetName val="Price_Detail3"/>
      <sheetName val="노임_단가3"/>
      <sheetName val="Pjt_Data3"/>
      <sheetName val="M_112"/>
      <sheetName val="공사비_분석표2"/>
      <sheetName val="plan&amp;section_of_foundation3"/>
      <sheetName val="pile_bearing_capa_&amp;_arrenge3"/>
      <sheetName val="design_load3"/>
      <sheetName val="working_load_at_the_btm_ft_3"/>
      <sheetName val="stability_check3"/>
      <sheetName val="design_criteria3"/>
      <sheetName val="2_배관3"/>
      <sheetName val="AOP_Summary-23"/>
      <sheetName val="PIPE_(SG)-발수2"/>
      <sheetName val="TYPE-B_평균H2"/>
      <sheetName val="ANA&amp;DESIGN&amp;REINF__2"/>
      <sheetName val="PRIMARY_LOAD2"/>
      <sheetName val="EXT_CHECK2"/>
      <sheetName val="OIL_SYST_DATA_SHTS2"/>
      <sheetName val="할증_2"/>
      <sheetName val="Loop_Type2"/>
      <sheetName val="Resource_table2"/>
      <sheetName val="Invoice_(Summary)2"/>
      <sheetName val="Invoice_(IBL)2"/>
      <sheetName val="Invoice_(OBL)2"/>
      <sheetName val="간접비_총괄표2"/>
      <sheetName val="REINF_2"/>
      <sheetName val="Food_court_2"/>
      <sheetName val="97_사업추정(WEKI)2"/>
      <sheetName val="노원열병합__건축공사기성내역서2"/>
      <sheetName val="BACK_DATA2"/>
      <sheetName val="CDU (성창) Master"/>
      <sheetName val="환율"/>
      <sheetName val="TC"/>
      <sheetName val="activity"/>
      <sheetName val="PROGRESS"/>
      <sheetName val="_TDIBM1.X೺_x005f_x005f_x005f_x0000_ഈ_x005f_x005f_"/>
      <sheetName val=" "/>
      <sheetName val="투찰"/>
      <sheetName val="토목주소"/>
      <sheetName val="프랜트면허"/>
      <sheetName val="노단"/>
      <sheetName val="36단가"/>
      <sheetName val="36수량"/>
      <sheetName val="주행"/>
      <sheetName val="choose"/>
      <sheetName val="cwork"/>
      <sheetName val="토목 Utility Schedule (2)"/>
      <sheetName val="Currency &amp; Other Cost"/>
      <sheetName val=" Sum"/>
      <sheetName val="Eng_Hrs (HO)"/>
      <sheetName val="LOB"/>
      <sheetName val="Rate_Analysis"/>
      <sheetName val="3_Breakdown_Direct_Instrument"/>
      <sheetName val="Inside_building_Summary"/>
      <sheetName val="L_V_Separator"/>
      <sheetName val="_TDIBM1_X೺"/>
      <sheetName val="Vertical_FDN-12"/>
      <sheetName val="Pump_FDN-1"/>
      <sheetName val="Horizontal_Vessel_FDN-1"/>
      <sheetName val="NO_3_PTA_PLANT_SD_COST"/>
      <sheetName val="STA_&amp;_SEC"/>
      <sheetName val="_TDIBM1_X೺_x005f_x0000_ഈ_x005f_x0000__x0000"/>
      <sheetName val="Valve_List_(Priced)"/>
      <sheetName val="Flaer_Area"/>
      <sheetName val="Tbl_1y_4"/>
      <sheetName val="[TDIBM1_X೺"/>
      <sheetName val="Resource_summary"/>
      <sheetName val="Break_Down"/>
      <sheetName val="Inert_Balls"/>
      <sheetName val="CDU_(성창)_Master"/>
      <sheetName val="Overall_Status"/>
      <sheetName val="[TDIBM1_X೺_x005f_x0000_ഈ_x005f_x0000__x0000"/>
      <sheetName val="_TDIBM1_X೺_x005f_x005f_x005f_x0000_ഈ_x005f_x005f_"/>
      <sheetName val="Kredi_Risk_Alt_Grup"/>
      <sheetName val="Ana_Gruplar"/>
      <sheetName val="Attachment_1"/>
      <sheetName val="Ex_Rate"/>
      <sheetName val="B_5_Control_Valve"/>
      <sheetName val="해외_연수비용_계산-삭제"/>
      <sheetName val="해외_기술훈련비_(합계)"/>
      <sheetName val="A(Rev_3)"/>
      <sheetName val="현장관리비 산출내역"/>
      <sheetName val="입찰안"/>
      <sheetName val="받은드럼"/>
      <sheetName val="드럼확인 배출"/>
      <sheetName val="pulling"/>
      <sheetName val="NGLE_PLANT"/>
      <sheetName val="편집"/>
      <sheetName val="JB 명판인쇄"/>
      <sheetName val="IDB루트"/>
      <sheetName val="덕트뱅크 (2)"/>
      <sheetName val="플링 갑지"/>
      <sheetName val=" 배관자재비-SKEC구매분"/>
      <sheetName val="보온자재단가표"/>
      <sheetName val="VUOTO"/>
      <sheetName val="FLANGE"/>
      <sheetName val="VALVE"/>
      <sheetName val="EQT-ESTN"/>
      <sheetName val="INSTLIST 1"/>
      <sheetName val="steam table"/>
      <sheetName val="PNTEXT"/>
      <sheetName val="기성내역"/>
      <sheetName val="Price Schedule(Piping)"/>
      <sheetName val="LinerWt"/>
      <sheetName val="입찰내역 발주처 양식"/>
      <sheetName val="QT003-SSY-철골3"/>
      <sheetName val="BQ List"/>
      <sheetName val="Takeoff"/>
      <sheetName val="studbolt no."/>
      <sheetName val="studbolt size"/>
      <sheetName val="item sort no"/>
      <sheetName val="EQUIP"/>
      <sheetName val="1. 총괄"/>
      <sheetName val="금융"/>
      <sheetName val="Curves"/>
      <sheetName val="Tables"/>
      <sheetName val="XZLC004_PART2"/>
      <sheetName val="XZLC003_PART1"/>
      <sheetName val="IMPEADENCE MAP 취수장"/>
      <sheetName val="기기리스트"/>
      <sheetName val="자금운영"/>
      <sheetName val="CAST INT T-S"/>
      <sheetName val="TABLE-A"/>
      <sheetName val="EE-PROP"/>
      <sheetName val="_배관자재비-SKEC구매분"/>
      <sheetName val="INSTLIST_1"/>
      <sheetName val="steam_table"/>
      <sheetName val="Price_Schedule(Piping)"/>
      <sheetName val="studbolt_no_"/>
      <sheetName val="studbolt_size"/>
      <sheetName val="item_sort_no"/>
      <sheetName val="E 3367 Estimate"/>
      <sheetName val="2-Conc"/>
      <sheetName val="매출 현황 (본사)"/>
      <sheetName val="Project MP Plan (Home Office)"/>
      <sheetName val="기타"/>
      <sheetName val="U.D.电槽运行状况 "/>
      <sheetName val="生产现况(总累计)"/>
      <sheetName val="原材料单耗(现状况)"/>
      <sheetName val="BJ电解槽运行状况 "/>
      <sheetName val="울산이전 Schedule(초안)"/>
      <sheetName val="Report_OOK"/>
      <sheetName val="Att1.Home Office Cost"/>
      <sheetName val="BQ_List"/>
      <sheetName val="보고서용"/>
      <sheetName val="CAST_INT_T-S"/>
      <sheetName val="IMPEADENCE_MAP_취수장"/>
      <sheetName val="Hoja1"/>
      <sheetName val="Index"/>
      <sheetName val="CAL1"/>
      <sheetName val="1062-X방향 "/>
      <sheetName val="PROFIT"/>
      <sheetName val="P-L"/>
      <sheetName val="BUDg"/>
      <sheetName val="예산"/>
      <sheetName val="FCST"/>
      <sheetName val="M_H"/>
      <sheetName val="F_MONY"/>
      <sheetName val="환보고"/>
      <sheetName val="환자료"/>
      <sheetName val="노무비(MM)"/>
      <sheetName val="노무비(비용)"/>
      <sheetName val="공사비"/>
      <sheetName val="Module3"/>
      <sheetName val="COA-17"/>
      <sheetName val="C-18"/>
      <sheetName val="별총"/>
      <sheetName val="SHL"/>
      <sheetName val="총괄표"/>
      <sheetName val="EQUIP LIST"/>
      <sheetName val="CST_STAT"/>
      <sheetName val="Process Piping"/>
      <sheetName val="공조위생"/>
      <sheetName val="VXXXXX"/>
      <sheetName val="2.2 STAFF Scedule"/>
      <sheetName val="실행내역"/>
      <sheetName val="Crew"/>
      <sheetName val="Pipe Supports"/>
      <sheetName val="노임9월"/>
      <sheetName val="FILTER"/>
      <sheetName val="당진1,2호기전선관설치및접지4차공사내역서-을지"/>
      <sheetName val="3. GROUNDING SYSTEM"/>
      <sheetName val="blk"/>
      <sheetName val="일위대가표"/>
      <sheetName val="9_Material Rates"/>
      <sheetName val="1_References"/>
      <sheetName val="단가"/>
      <sheetName val="Project-A"/>
      <sheetName val="견"/>
      <sheetName val="작성기준"/>
      <sheetName val="Alum."/>
      <sheetName val="look-up"/>
      <sheetName val="AILC004"/>
      <sheetName val="Fax"/>
      <sheetName val="Material and Manpower data"/>
      <sheetName val="Pricing Summary"/>
      <sheetName val="P-HOT.XLS"/>
      <sheetName val="갑지1"/>
      <sheetName val="조명시설"/>
      <sheetName val="현장지지물물량"/>
      <sheetName val="입출재고현황 (2)"/>
      <sheetName val="AREA"/>
      <sheetName val="바닥판"/>
      <sheetName val="TYPE1"/>
      <sheetName val="철근량"/>
      <sheetName val="역T형"/>
      <sheetName val="PILE"/>
      <sheetName val="Man Hole"/>
      <sheetName val="대로근거"/>
      <sheetName val="중로근거"/>
      <sheetName val="조건표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장비"/>
      <sheetName val="노무"/>
      <sheetName val="자재"/>
      <sheetName val="산근1"/>
      <sheetName val="WORK"/>
      <sheetName val="@PRICE1"/>
      <sheetName val="최종단가"/>
      <sheetName val="토목품셈"/>
      <sheetName val="재료비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Code_Magics"/>
      <sheetName val="MP MOB"/>
      <sheetName val="Quantity"/>
      <sheetName val="Inst Matl Table"/>
      <sheetName val="Tracing"/>
      <sheetName val="Hookup"/>
      <sheetName val="초기화면"/>
      <sheetName val="D-3109"/>
      <sheetName val="경비"/>
      <sheetName val="GROUNDING SYSTEM"/>
      <sheetName val="El(Increased)"/>
      <sheetName val="GiaVL"/>
      <sheetName val="1. 설계조건 2.단면가정 3. 하중계산"/>
      <sheetName val="DATA 입력란"/>
      <sheetName val="배명(단가)"/>
      <sheetName val="TANK"/>
      <sheetName val="견적"/>
      <sheetName val="PI"/>
      <sheetName val="LTR-2"/>
      <sheetName val="HANDHOLE(2)"/>
      <sheetName val="PAD TR보호대기초"/>
      <sheetName val="가로등기초"/>
      <sheetName val="부하(성남)"/>
      <sheetName val="Master_Data"/>
      <sheetName val="CTEMCOST"/>
      <sheetName val="Car park lease"/>
      <sheetName val="sum1 (2)"/>
      <sheetName val="s"/>
      <sheetName val="대비"/>
      <sheetName val="SILICATE"/>
      <sheetName val="철근단위중량"/>
      <sheetName val="Utility and Fire flange"/>
      <sheetName val="IBASE"/>
      <sheetName val="실행철강하도"/>
      <sheetName val="ABB"/>
      <sheetName val="bldg list"/>
      <sheetName val="MTO REV.2(ARMOR)"/>
      <sheetName val="Steel-Main Work"/>
      <sheetName val="MK2-1"/>
      <sheetName val="C-301E~305E"/>
      <sheetName val="D2old"/>
      <sheetName val="D1.1"/>
      <sheetName val="Library"/>
      <sheetName val="D1X"/>
      <sheetName val="D2X"/>
      <sheetName val="D2.1"/>
      <sheetName val="Checklist"/>
      <sheetName val="계수시트"/>
      <sheetName val="시가지우회도로공내역서"/>
      <sheetName val="Administrative Prices"/>
      <sheetName val="Proj Cost Sumry"/>
      <sheetName val="2000년1차"/>
      <sheetName val="Bid Summary"/>
      <sheetName val="Engineering"/>
      <sheetName val="M3산출"/>
      <sheetName val="SM1-09"/>
      <sheetName val="SM2-09"/>
      <sheetName val="BAND(200)"/>
      <sheetName val="BD-09"/>
      <sheetName val="EL 표면적"/>
      <sheetName val="MT-09"/>
      <sheetName val="980731"/>
      <sheetName val="초임연봉"/>
      <sheetName val="Wt of Mod."/>
      <sheetName val="날개벽(좌,우=60도-4개)"/>
      <sheetName val="PriceSummary"/>
      <sheetName val="15100"/>
      <sheetName val="토공정보"/>
      <sheetName val="두앙"/>
      <sheetName val="2"/>
      <sheetName val="Summary_Sheets"/>
      <sheetName val="Pipe_Supports"/>
      <sheetName val="Process_Piping"/>
      <sheetName val="EQUIP_LIST"/>
      <sheetName val="9_Material_Rates"/>
      <sheetName val="3__GROUNDING_SYSTEM"/>
      <sheetName val="Material_and_Manpower_data"/>
      <sheetName val="Pricing_Summary"/>
      <sheetName val="Alum_"/>
      <sheetName val="P-HOT_XLS"/>
      <sheetName val="2_2_STAFF_Scedule"/>
      <sheetName val="Civil_1"/>
      <sheetName val="Civil_2"/>
      <sheetName val="Civil_3"/>
      <sheetName val="Site_1"/>
      <sheetName val="Site_2"/>
      <sheetName val="Site_3"/>
      <sheetName val="Site_Faci"/>
      <sheetName val="HORI__VESSEL"/>
      <sheetName val="입출재고현황_(2)"/>
      <sheetName val="Man_Hole"/>
      <sheetName val="MP_MOB"/>
      <sheetName val="GROUNDING_SYSTEM"/>
      <sheetName val="Inst_Matl_Table"/>
      <sheetName val="PAD_TR보호대기초"/>
      <sheetName val="1__설계조건_2_단면가정_3__하중계산"/>
      <sheetName val="DATA_입력란"/>
      <sheetName val="Car_park_lease"/>
      <sheetName val="Utility_and_Fire_flange"/>
      <sheetName val="sum1_(2)"/>
      <sheetName val="bldg_list"/>
      <sheetName val="IN"/>
      <sheetName val="EAS"/>
      <sheetName val="장비검사 사진"/>
      <sheetName val="Air Cooler-E"/>
      <sheetName val="⑤항목별2"/>
      <sheetName val="SOS_PLC &amp; Panel"/>
      <sheetName val="95D"/>
      <sheetName val="94D"/>
      <sheetName val="p2-1"/>
      <sheetName val="#1유량조정조"/>
      <sheetName val="중간재 재공"/>
      <sheetName val="UTCA"/>
      <sheetName val="CAUDIT"/>
      <sheetName val="본문"/>
      <sheetName val="dc1"/>
      <sheetName val="Process_Piping1"/>
      <sheetName val="OCT_FDN1"/>
      <sheetName val="Summary_Sheets1"/>
      <sheetName val="Pipe_Supports1"/>
      <sheetName val="EQUIP_LIST1"/>
      <sheetName val="9_Material_Rates1"/>
      <sheetName val="3__GROUNDING_SYSTEM1"/>
      <sheetName val="P-HOT_XLS1"/>
      <sheetName val="Material_and_Manpower_data1"/>
      <sheetName val="Pricing_Summary1"/>
      <sheetName val="Alum_1"/>
      <sheetName val="steam_table1"/>
      <sheetName val="2_2_STAFF_Scedule1"/>
      <sheetName val="HORI__VESSEL1"/>
      <sheetName val="입출재고현황_(2)1"/>
      <sheetName val="Man_Hole1"/>
      <sheetName val="MP_MOB1"/>
      <sheetName val="Civil_11"/>
      <sheetName val="Civil_21"/>
      <sheetName val="Civil_31"/>
      <sheetName val="Site_11"/>
      <sheetName val="Site_21"/>
      <sheetName val="Site_31"/>
      <sheetName val="Site_Faci1"/>
      <sheetName val="Rate_Analysis1"/>
      <sheetName val="Inst_Matl_Table1"/>
      <sheetName val="1__설계조건_2_단면가정_3__하중계산1"/>
      <sheetName val="DATA_입력란1"/>
      <sheetName val="GROUNDING_SYSTEM1"/>
      <sheetName val="General_Data1"/>
      <sheetName val="PAD_TR보호대기초1"/>
      <sheetName val="Car_park_lease1"/>
      <sheetName val="Utility_and_Fire_flange1"/>
      <sheetName val="sum1_(2)1"/>
      <sheetName val="L_V_Separator1"/>
      <sheetName val="8_PILE__(돌출)1"/>
      <sheetName val="bldg_list1"/>
      <sheetName val="MTO_REV_2(ARMOR)"/>
      <sheetName val="Steel-Main_Work"/>
      <sheetName val="Proj_Cost_Sumry"/>
      <sheetName val="Administrative_Prices"/>
      <sheetName val="Wt_of_Mod_"/>
      <sheetName val="D1_1"/>
      <sheetName val="D2_1"/>
      <sheetName val="Ex-Rate"/>
      <sheetName val="HX"/>
      <sheetName val="백분율"/>
      <sheetName val="Insts"/>
      <sheetName val="KUNGDEVI"/>
      <sheetName val="부대공Ⅱ"/>
      <sheetName val="12월 수선비 사용실적"/>
      <sheetName val="Based Data_WACC"/>
      <sheetName val="일위(PN)"/>
      <sheetName val="PIPE(UG)내역"/>
      <sheetName val="118.세금과공과"/>
      <sheetName val="108.수선비"/>
      <sheetName val="Benchmark"/>
      <sheetName val="1.설계조건"/>
      <sheetName val="Summary_Sheets2"/>
      <sheetName val="OCT_FDN2"/>
      <sheetName val="Pipe_Supports2"/>
      <sheetName val="Process_Piping2"/>
      <sheetName val="EQUIP_LIST2"/>
      <sheetName val="9_Material_Rates2"/>
      <sheetName val="3__GROUNDING_SYSTEM2"/>
      <sheetName val="Material_and_Manpower_data2"/>
      <sheetName val="Pricing_Summary2"/>
      <sheetName val="P-HOT_XLS2"/>
      <sheetName val="Alum_2"/>
      <sheetName val="steam_table2"/>
      <sheetName val="2_2_STAFF_Scedule2"/>
      <sheetName val="Civil_12"/>
      <sheetName val="Civil_22"/>
      <sheetName val="Civil_32"/>
      <sheetName val="Site_12"/>
      <sheetName val="Site_22"/>
      <sheetName val="Site_32"/>
      <sheetName val="Site_Faci2"/>
      <sheetName val="Rate_Analysis2"/>
      <sheetName val="HORI__VESSEL2"/>
      <sheetName val="입출재고현황_(2)2"/>
      <sheetName val="Man_Hole2"/>
      <sheetName val="Inst_Matl_Table2"/>
      <sheetName val="MP_MOB2"/>
      <sheetName val="1__설계조건_2_단면가정_3__하중계산2"/>
      <sheetName val="DATA_입력란2"/>
      <sheetName val="GROUNDING_SYSTEM2"/>
      <sheetName val="General_Data2"/>
      <sheetName val="Car_park_lease2"/>
      <sheetName val="sum1_(2)2"/>
      <sheetName val="PAD_TR보호대기초2"/>
      <sheetName val="Utility_and_Fire_flange2"/>
      <sheetName val="Summary_Sheets4"/>
      <sheetName val="OCT_FDN4"/>
      <sheetName val="Pipe_Supports4"/>
      <sheetName val="Process_Piping4"/>
      <sheetName val="EQUIP_LIST4"/>
      <sheetName val="9_Material_Rates4"/>
      <sheetName val="3__GROUNDING_SYSTEM4"/>
      <sheetName val="Material_and_Manpower_data4"/>
      <sheetName val="Pricing_Summary4"/>
      <sheetName val="P-HOT_XLS4"/>
      <sheetName val="Alum_4"/>
      <sheetName val="steam_table4"/>
      <sheetName val="2_2_STAFF_Scedule4"/>
      <sheetName val="Civil_14"/>
      <sheetName val="Civil_24"/>
      <sheetName val="Civil_34"/>
      <sheetName val="Site_14"/>
      <sheetName val="Site_24"/>
      <sheetName val="Site_34"/>
      <sheetName val="Site_Faci4"/>
      <sheetName val="Rate_Analysis4"/>
      <sheetName val="HORI__VESSEL4"/>
      <sheetName val="입출재고현황_(2)4"/>
      <sheetName val="Man_Hole4"/>
      <sheetName val="Inst_Matl_Table4"/>
      <sheetName val="Loop_Type4"/>
      <sheetName val="MP_MOB4"/>
      <sheetName val="1__설계조건_2_단면가정_3__하중계산4"/>
      <sheetName val="DATA_입력란4"/>
      <sheetName val="GROUNDING_SYSTEM4"/>
      <sheetName val="General_Data4"/>
      <sheetName val="97_사업추정(WEKI)4"/>
      <sheetName val="Car_park_lease4"/>
      <sheetName val="sum1_(2)4"/>
      <sheetName val="PAD_TR보호대기초4"/>
      <sheetName val="Utility_and_Fire_flange4"/>
      <sheetName val="8_PILE__(돌출)2"/>
      <sheetName val="Summary_Sheets3"/>
      <sheetName val="OCT_FDN3"/>
      <sheetName val="Pipe_Supports3"/>
      <sheetName val="Process_Piping3"/>
      <sheetName val="EQUIP_LIST3"/>
      <sheetName val="9_Material_Rates3"/>
      <sheetName val="3__GROUNDING_SYSTEM3"/>
      <sheetName val="Material_and_Manpower_data3"/>
      <sheetName val="Pricing_Summary3"/>
      <sheetName val="P-HOT_XLS3"/>
      <sheetName val="Alum_3"/>
      <sheetName val="steam_table3"/>
      <sheetName val="2_2_STAFF_Scedule3"/>
      <sheetName val="Civil_13"/>
      <sheetName val="Civil_23"/>
      <sheetName val="Civil_33"/>
      <sheetName val="Site_13"/>
      <sheetName val="Site_23"/>
      <sheetName val="Site_33"/>
      <sheetName val="Site_Faci3"/>
      <sheetName val="Rate_Analysis3"/>
      <sheetName val="HORI__VESSEL3"/>
      <sheetName val="입출재고현황_(2)3"/>
      <sheetName val="Man_Hole3"/>
      <sheetName val="Inst_Matl_Table3"/>
      <sheetName val="Loop_Type3"/>
      <sheetName val="MP_MOB3"/>
      <sheetName val="1__설계조건_2_단면가정_3__하중계산3"/>
      <sheetName val="DATA_입력란3"/>
      <sheetName val="GROUNDING_SYSTEM3"/>
      <sheetName val="General_Data3"/>
      <sheetName val="97_사업추정(WEKI)3"/>
      <sheetName val="Car_park_lease3"/>
      <sheetName val="sum1_(2)3"/>
      <sheetName val="PAD_TR보호대기초3"/>
      <sheetName val="Utility_and_Fire_flange3"/>
      <sheetName val="영동(D)"/>
      <sheetName val="ANALISA"/>
      <sheetName val="PKG &quot;A&quot; Detail - 정풍"/>
      <sheetName val="nde_request"/>
      <sheetName val="terdistribusi"/>
      <sheetName val="sum3"/>
      <sheetName val="근로자명부"/>
      <sheetName val="DB3"/>
      <sheetName val="CBF-Boş"/>
      <sheetName val="h_013211_2"/>
      <sheetName val="Readiness"/>
      <sheetName val="COVERSHEET"/>
      <sheetName val="EL_표면적"/>
      <sheetName val="Bid_Summary"/>
      <sheetName val="장비검사_사진"/>
      <sheetName val="backup"/>
      <sheetName val="Part A"/>
      <sheetName val="Part B"/>
      <sheetName val="Part C"/>
      <sheetName val="교각계산"/>
      <sheetName val="Attach 4-18"/>
      <sheetName val="견적총괄표"/>
      <sheetName val="SUMM."/>
      <sheetName val="WHRB"/>
      <sheetName val="DESAL."/>
      <sheetName val="BOP"/>
      <sheetName val="PAINTING"/>
      <sheetName val="Sch 3"/>
      <sheetName val="Sch 4"/>
      <sheetName val="Sch 5"/>
      <sheetName val="BOP (OLD)"/>
      <sheetName val="BOP (Taweelah)"/>
      <sheetName val="VXXX"/>
      <sheetName val="비교"/>
      <sheetName val="인원"/>
      <sheetName val="간접비 내역"/>
      <sheetName val="10현장조직"/>
      <sheetName val="자구계획db"/>
      <sheetName val="Jan-18"/>
      <sheetName val="Feb-18"/>
      <sheetName val="Mar-18"/>
      <sheetName val="Apr-18"/>
      <sheetName val="May-18"/>
      <sheetName val="Jun-18"/>
      <sheetName val="Jul-18"/>
      <sheetName val="Aug-18"/>
      <sheetName val="Sep-18"/>
      <sheetName val="Oct-18"/>
      <sheetName val="Nov-18"/>
      <sheetName val="Dec-18"/>
      <sheetName val="Jan-19"/>
      <sheetName val="Feb-19"/>
      <sheetName val="Mar-19"/>
      <sheetName val="Apr-19"/>
      <sheetName val="May-19"/>
      <sheetName val="Jun-19"/>
      <sheetName val="Jul-19"/>
      <sheetName val="Aug-19"/>
      <sheetName val="pivot table summary"/>
      <sheetName val="OS280819"/>
      <sheetName val="VRV by project"/>
      <sheetName val="VRV by project (oct)"/>
      <sheetName val="AP-SEP"/>
      <sheetName val="AP-OCT"/>
      <sheetName val="AP-NOV"/>
      <sheetName val="AP-DEC"/>
      <sheetName val="RA routes"/>
      <sheetName val="空調条件表"/>
      <sheetName val="外気導入量"/>
      <sheetName val="ﾜｯｼｬｰﾎﾟﾝﾌﾟ"/>
      <sheetName val="貫流率"/>
      <sheetName val="計算条件"/>
      <sheetName val="各室負荷計算"/>
      <sheetName val="負荷集計"/>
      <sheetName val="換気計算"/>
      <sheetName val="Eq sche"/>
      <sheetName val="heat load"/>
      <sheetName val="Exhaust"/>
      <sheetName val="Utility"/>
      <sheetName val="utility (2)"/>
      <sheetName val="utility (3)"/>
      <sheetName val="AHU,MAU"/>
      <sheetName val="all heat load"/>
      <sheetName val="all heat load (2)"/>
      <sheetName val="raised floor"/>
      <sheetName val="Eq Sche (2)"/>
      <sheetName val="Eq sche tr"/>
      <sheetName val="C filter spec"/>
      <sheetName val="nos of CF"/>
      <sheetName val="CF NO2"/>
      <sheetName val="DC"/>
      <sheetName val="Des Develop."/>
      <sheetName val="Des Input"/>
      <sheetName val="Des Review"/>
      <sheetName val="Des Change"/>
      <sheetName val="Des Change N"/>
      <sheetName val="D Dwg List "/>
      <sheetName val="Dwg List"/>
      <sheetName val="Dwg D List"/>
      <sheetName val="Finishing"/>
      <sheetName val="meeting"/>
      <sheetName val="comparison of CF"/>
      <sheetName val="HD CR Area"/>
      <sheetName val="room press."/>
      <sheetName val="CF budget"/>
      <sheetName val="static"/>
      <sheetName val="static2"/>
      <sheetName val="4F SA"/>
      <sheetName val="4F RA"/>
      <sheetName val="4F RA (2)"/>
      <sheetName val="5F SA"/>
      <sheetName val="5F RA"/>
      <sheetName val="5F RA (2)"/>
      <sheetName val="PM heat"/>
      <sheetName val="PM heat (2)"/>
      <sheetName val="PM heat (3)"/>
      <sheetName val="Fresh air"/>
      <sheetName val="Eq sche sub"/>
      <sheetName val="R cost"/>
      <sheetName val="D Proposal"/>
      <sheetName val="Eq Air"/>
      <sheetName val="gragh"/>
      <sheetName val="Takasago"/>
      <sheetName val="answer"/>
      <sheetName val="Noise MAU"/>
      <sheetName val="Noise MAU (2)"/>
      <sheetName val="DRWG list"/>
      <sheetName val="DRWG sche"/>
      <sheetName val="pac"/>
      <sheetName val="EDB"/>
      <sheetName val="Eq sche (3)"/>
      <sheetName val="VE"/>
      <sheetName val="elec load list"/>
      <sheetName val="Eqt_tag"/>
      <sheetName val="FCU ex"/>
      <sheetName val="Mech"/>
      <sheetName val="Rm Dwg"/>
      <sheetName val="MAU calc"/>
      <sheetName val="MAU p"/>
      <sheetName val="RCU calc"/>
      <sheetName val="RCU p"/>
      <sheetName val="FCU calc"/>
      <sheetName val="FCU p"/>
      <sheetName val="Fan "/>
      <sheetName val="motor"/>
      <sheetName val="Duct (2)"/>
      <sheetName val="Pipe calc"/>
      <sheetName val="Pipe calc (2)"/>
      <sheetName val="Arch"/>
      <sheetName val="Electrical Data"/>
      <sheetName val="reference"/>
      <sheetName val="Pro Eqt Load"/>
      <sheetName val="DI"/>
      <sheetName val="Room Condition Guide"/>
      <sheetName val="Equipment list"/>
      <sheetName val="MMA"/>
      <sheetName val="RGO"/>
      <sheetName val="Warehouse Area"/>
      <sheetName val="LOAD DISTRIBUTION"/>
      <sheetName val="MSB"/>
      <sheetName val="L&amp;P"/>
      <sheetName val="FTG 20"/>
      <sheetName val="INF_TE1-RSW-102"/>
      <sheetName val="FTG"/>
      <sheetName val="FTG 37"/>
      <sheetName val="FTG 38"/>
      <sheetName val="FTG 9"/>
      <sheetName val="FTG 1"/>
      <sheetName val="FTG 3"/>
      <sheetName val="FTG 11"/>
      <sheetName val="FTG 14"/>
      <sheetName val="FTG 15"/>
      <sheetName val="FTG 4"/>
      <sheetName val="FTG 5"/>
      <sheetName val="FTG 25"/>
      <sheetName val="FTG 26"/>
      <sheetName val="FTG 39"/>
      <sheetName val="FTG 29"/>
      <sheetName val="FTG 30"/>
      <sheetName val="FTG 68"/>
      <sheetName val="FTG 210"/>
      <sheetName val="FTG 218"/>
      <sheetName val="EXF"/>
      <sheetName val="FTG 19"/>
      <sheetName val="EXF-TE1-RAM-101"/>
      <sheetName val="EXF-TEB-TWP-101"/>
      <sheetName val="EXF-TEM-PMW-101"/>
      <sheetName val="EXF-TEM-PMW-103"/>
      <sheetName val="EXF-TEM-RSW-105"/>
      <sheetName val="00"/>
      <sheetName val="VRV-SPLIT UNIT"/>
      <sheetName val="VRV PART LOAD TABLE"/>
      <sheetName val="DX Selection - AHU"/>
      <sheetName val="Site Expenses"/>
      <sheetName val="Temporary Facilities"/>
      <sheetName val="Pie Chart"/>
      <sheetName val="Breakdown Ref"/>
      <sheetName val="Breakdown"/>
      <sheetName val="Support Fittings"/>
      <sheetName val="Termination Kits"/>
      <sheetName val="LEW,Design Fee,Others"/>
      <sheetName val="Switchgear"/>
      <sheetName val="6.6KV CB &amp; SP"/>
      <sheetName val="TX"/>
      <sheetName val="Generator"/>
      <sheetName val="Fuel Tank"/>
      <sheetName val="HT Cabling"/>
      <sheetName val="MV Cabling"/>
      <sheetName val="HT, MV Control Cabling"/>
      <sheetName val="Electrical Boards"/>
      <sheetName val="Filter, UPS, DC"/>
      <sheetName val="Bbar"/>
      <sheetName val="ELV"/>
      <sheetName val="ELV Control Cabling"/>
      <sheetName val="ELV Power Cabling"/>
      <sheetName val="Sanitary"/>
      <sheetName val="Sanitary Power Cabling"/>
      <sheetName val="Sanitary Control Cabling"/>
      <sheetName val="LV Cabling-Main and Sub Main"/>
      <sheetName val="UFTrking"/>
      <sheetName val="Lighting&amp;SSO&amp;Power Pt,cw-sw,sso"/>
      <sheetName val="LV Cabling-Final"/>
      <sheetName val="Panel"/>
      <sheetName val="VSD"/>
      <sheetName val="ACMV Cabling"/>
      <sheetName val="ACMV Accessories"/>
      <sheetName val="BMS"/>
      <sheetName val="IBMS"/>
      <sheetName val="Ctrl Cabling"/>
      <sheetName val="R Conduit Ctrl"/>
      <sheetName val="F Conduit Ctrl"/>
      <sheetName val="Trunking Ctrl"/>
      <sheetName val="Tray Ctrl"/>
      <sheetName val="Ladder Ctrl"/>
      <sheetName val="Hook, Bolt &amp; Removal"/>
      <sheetName val="Lead in Pipe"/>
      <sheetName val="DP"/>
      <sheetName val="MH"/>
      <sheetName val="Luminaries"/>
      <sheetName val="Lightning"/>
      <sheetName val="Earthing (Main)"/>
      <sheetName val="Earthing (Clean)"/>
      <sheetName val="Earthing (FPS)"/>
      <sheetName val="Fire Protection Cabling"/>
      <sheetName val="Fire Alarm Cabling"/>
      <sheetName val="Fire &amp; Sanitary Panel"/>
      <sheetName val="Fire Accessories"/>
      <sheetName val="Ctrl Cable"/>
      <sheetName val="MV, HT Cable"/>
      <sheetName val="Trunking"/>
      <sheetName val="Tray"/>
      <sheetName val="Ladder"/>
      <sheetName val="Fixture"/>
      <sheetName val="Busbar Data"/>
      <sheetName val="Underfloor Trunking List"/>
      <sheetName val="L&amp;E List"/>
      <sheetName val="Fire List"/>
      <sheetName val="ELV List"/>
      <sheetName val="Sanitary List"/>
      <sheetName val="BMS &amp; Maint List"/>
      <sheetName val="Earthing Data"/>
      <sheetName val="Lightning Data"/>
      <sheetName val="Details"/>
      <sheetName val="Working Sheet"/>
      <sheetName val="Labour Data Base"/>
      <sheetName val="Approval"/>
      <sheetName val="Summary of Maint."/>
      <sheetName val="Comp. Maint."/>
      <sheetName val="Non Comp. Maint."/>
      <sheetName val="Pumpset"/>
      <sheetName val="DX"/>
      <sheetName val="APAC"/>
      <sheetName val="WAHU"/>
      <sheetName val="WFCU"/>
      <sheetName val="Dehumidifier"/>
      <sheetName val="HEX"/>
      <sheetName val="Air Compressor"/>
      <sheetName val="Crane"/>
      <sheetName val="Water Treatment"/>
      <sheetName val="Air Curtain"/>
      <sheetName val="Water Tank"/>
      <sheetName val="Thermal Storage Tank"/>
      <sheetName val="CD Equip"/>
      <sheetName val="Gas Filter"/>
      <sheetName val="GSV"/>
      <sheetName val="OP Gauge"/>
      <sheetName val="MV Fan"/>
      <sheetName val="VAV Boxes"/>
      <sheetName val="AC Ducting"/>
      <sheetName val="AC Round Duct"/>
      <sheetName val="AC Ducting Jacketing"/>
      <sheetName val="AC Damper"/>
      <sheetName val="AC Diffuser"/>
      <sheetName val="AC Louvre"/>
      <sheetName val="MV Ducting"/>
      <sheetName val="MV Round Duct"/>
      <sheetName val="MV Ducting Jacketing"/>
      <sheetName val="MV Damper"/>
      <sheetName val="MV Diffuser"/>
      <sheetName val="MV Louvre"/>
      <sheetName val="Kitchen Ducting"/>
      <sheetName val="Kitchen Ducting Jacketing"/>
      <sheetName val="Kitchen Damper"/>
      <sheetName val="Kitchen Diffuser"/>
      <sheetName val="Kitchen Louvre"/>
      <sheetName val="CHW Pipe"/>
      <sheetName val="CHW Valves"/>
      <sheetName val="CW Pipe"/>
      <sheetName val="CW Valves"/>
      <sheetName val="MU &amp; DR Pipe"/>
      <sheetName val="MU &amp; DR Valves"/>
      <sheetName val="Condensate Pipe"/>
      <sheetName val="Ref Pipe"/>
      <sheetName val="Comp Air Pipe"/>
      <sheetName val="Civil Works"/>
      <sheetName val="Chamber"/>
      <sheetName val="Road Crossing"/>
      <sheetName val="Sprinkler"/>
      <sheetName val="Sprinkler Pipe"/>
      <sheetName val="Sprinkler Valves"/>
      <sheetName val="Hosereel"/>
      <sheetName val="Hosereel Pipe"/>
      <sheetName val="Hosereel Valves"/>
      <sheetName val="Dry Main"/>
      <sheetName val="Dry Main Pipe"/>
      <sheetName val="Dry Main Valves"/>
      <sheetName val="Fire Extinguisher"/>
      <sheetName val="VESDA Pipe"/>
      <sheetName val="Pipe Typical Connection"/>
      <sheetName val="Pipework Rate"/>
      <sheetName val="Damper Rate"/>
      <sheetName val="Louvre Rate"/>
      <sheetName val="Diffuser Rate"/>
      <sheetName val="Misc Data"/>
      <sheetName val="Gen Info"/>
      <sheetName val="OA Basic Info"/>
      <sheetName val="Organisation (M&amp;E)"/>
      <sheetName val="Hydrant"/>
      <sheetName val="Hydrant Pipe"/>
      <sheetName val="PreLim"/>
      <sheetName val="SCH2"/>
      <sheetName val="inst"/>
      <sheetName val="SCH3"/>
      <sheetName val="SCH5"/>
      <sheetName val="Bid Tab"/>
      <sheetName val="Bid-Comp"/>
      <sheetName val="Bill 100 Prelims"/>
      <sheetName val="Bill 200 EOT"/>
      <sheetName val="Bill 300 Fabrication"/>
      <sheetName val="Bill 400 Erection"/>
      <sheetName val="Bill 500 Equipment"/>
      <sheetName val="Bill 600 Scaffolding"/>
      <sheetName val="Bill 700 Dayworks"/>
      <sheetName val="Bill 800 Provisional Sums"/>
      <sheetName val="Bill 900 Vessel Insul"/>
      <sheetName val="Staff"/>
      <sheetName val="AFC Drwg"/>
      <sheetName val="Prelims"/>
      <sheetName val="Lump Sum"/>
      <sheetName val="Variation Rates"/>
      <sheetName val="Daywork"/>
      <sheetName val="BT"/>
      <sheetName val="Av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合成単価作成表-BLDG"/>
      <sheetName val="Sch.6"/>
      <sheetName val="合成単価作成・-BLDG"/>
      <sheetName val="LIST A Item"/>
      <sheetName val="Ctinh 10kV"/>
      <sheetName val="PS5-HVAC"/>
      <sheetName val="MV"/>
      <sheetName val="Sch.1"/>
      <sheetName val="Sch.2"/>
      <sheetName val="Sch.3"/>
      <sheetName val="Sch.4"/>
      <sheetName val="Sch.5"/>
      <sheetName val="Sch.5 (2)"/>
      <sheetName val="Sch.7a"/>
      <sheetName val="Sch.7b"/>
      <sheetName val="Sch.7c"/>
      <sheetName val="Sch.7d"/>
      <sheetName val="Sch.8"/>
      <sheetName val="Sch.8 (b)"/>
      <sheetName val="Sch.9"/>
      <sheetName val="Sch_6"/>
      <sheetName val="QAQC"/>
      <sheetName val="bill 2"/>
      <sheetName val="SUMMARY (0)"/>
      <sheetName val="Sch_1"/>
      <sheetName val="初期値設定"/>
      <sheetName val="SCHE-1"/>
      <sheetName val="salary"/>
      <sheetName val="daywork- Tham khao"/>
      <sheetName val="gVL"/>
      <sheetName val="Piling &amp; Tk Fdn"/>
      <sheetName val="SOPMA DD"/>
      <sheetName val="Job Data"/>
      <sheetName val="Register"/>
      <sheetName val="Sum&amp;PVS"/>
      <sheetName val="FVO"/>
      <sheetName val="管理区分"/>
      <sheetName val="Sheet No-7 Electrical Consumer "/>
      <sheetName val="Sheet No-6 Measurement list"/>
      <sheetName val="REDUCER"/>
      <sheetName val=" ｹ-ﾌﾞﾙ"/>
      <sheetName val="estimate"/>
      <sheetName val="Worker List"/>
      <sheetName val="BILAL2"/>
      <sheetName val="Lookup Table"/>
      <sheetName val="ASME B 36.10 M"/>
      <sheetName val="PRICE-L"/>
      <sheetName val="2000전체분"/>
      <sheetName val="SUMBER DAYA"/>
      <sheetName val="TOWN"/>
      <sheetName val="7Tb20"/>
      <sheetName val="Area Ref"/>
      <sheetName val="2010 RATES"/>
      <sheetName val="33628-Rev. A"/>
      <sheetName val="설비비4"/>
      <sheetName val="Job_Data"/>
      <sheetName val="Bid_Tab"/>
      <sheetName val="Lump_Sum"/>
      <sheetName val="Variation_Rates"/>
      <sheetName val="AFC_Drwg"/>
      <sheetName val="2-A"/>
      <sheetName val="N521"/>
      <sheetName val="Consultant List"/>
      <sheetName val="1. FY20 Forecast"/>
      <sheetName val="VRV FY19 (STATUS)"/>
      <sheetName val="VRV FY20 (STATUS)"/>
      <sheetName val="VRV FY21 (STATUS)"/>
      <sheetName val="NEW INQUIRY_CONTRACTOR"/>
      <sheetName val="NEW INQUIRY_SE"/>
      <sheetName val="DETAIL PROJECT_all"/>
      <sheetName val="DETAIL PROJECT"/>
      <sheetName val="Box"/>
      <sheetName val="2020"/>
      <sheetName val="Retention"/>
      <sheetName val="Progress Claim"/>
      <sheetName val="Jan20 OS Inv &amp; PC"/>
      <sheetName val="Feb20 OS Inv &amp; PC"/>
      <sheetName val="Mar20 OS Inv &amp; PC"/>
      <sheetName val="07042020 OS Inv &amp; PC"/>
      <sheetName val="2019 (2)"/>
      <sheetName val="2019 (3)"/>
      <sheetName val="Engie150120"/>
      <sheetName val="Note"/>
      <sheetName val="Miscellaneous"/>
      <sheetName val="Struct Summary"/>
      <sheetName val="Fdn"/>
      <sheetName val="Stumps"/>
      <sheetName val="Column"/>
      <sheetName val="Column (O)"/>
      <sheetName val="Sub Beams"/>
      <sheetName val="Super Beams"/>
      <sheetName val="Sub Slab"/>
      <sheetName val="Super Slab"/>
      <sheetName val="Staircase"/>
      <sheetName val="Ceiling "/>
      <sheetName val="Sanitary Wares &amp; Fitting "/>
      <sheetName val="Name Group"/>
      <sheetName val="Door &amp; Window "/>
      <sheetName val="Floor Finishes "/>
      <sheetName val="Wall Finishes "/>
      <sheetName val="Detail Measurmet "/>
      <sheetName val="Steel Structure"/>
      <sheetName val="Furniture "/>
      <sheetName val="Signage "/>
      <sheetName val="LOA"/>
      <sheetName val="System Furniture"/>
      <sheetName val="Furniture Comparision"/>
      <sheetName val="Foldable Wall"/>
      <sheetName val="Door"/>
      <sheetName val="Partition Ceiling"/>
      <sheetName val="Budget Hnin"/>
      <sheetName val="LOA6(Beauwood)"/>
      <sheetName val="LOA05 (KimChuan)"/>
      <sheetName val="LOA04 (ISO)"/>
      <sheetName val="LOA03(Eakon)"/>
      <sheetName val="LOA2(F1)"/>
      <sheetName val="Elec"/>
      <sheetName val="Summary of Tender "/>
      <sheetName val="Preliminaries "/>
      <sheetName val="BUILDING WORKS"/>
      <sheetName val="M&amp;E Comparison "/>
      <sheetName val="sanitary ware"/>
      <sheetName val="Subcon List "/>
      <sheetName val="Proposed Subcon List "/>
      <sheetName val="Name List "/>
      <sheetName val="Lead"/>
      <sheetName val="Costing &amp; NRV "/>
      <sheetName val="TOD"/>
      <sheetName val="Aging Test (Finals)"/>
      <sheetName val="Tickmarks"/>
      <sheetName val="Finished goods"/>
      <sheetName val="Tickmarks04-05-2020 04.56.37 pm"/>
      <sheetName val="RNotes04-05-2020 04.56.37 pm"/>
      <sheetName val="TextXRef04-05-2020 04.56.37 pm"/>
      <sheetName val="NumXRef04-05-2020 04.56.37 pm"/>
      <sheetName val="Sample Size Computation"/>
      <sheetName val="Guidance"/>
      <sheetName val="Sample Design"/>
      <sheetName val="Sampling Table"/>
      <sheetName val="FCT Summary (2)"/>
      <sheetName val="FCT Summary"/>
      <sheetName val="4. Inquiry Diff with LM"/>
      <sheetName val="5.ENQUIRY Summary CDU Type"/>
      <sheetName val="6.Necessry. Inq"/>
      <sheetName val="FY19 OB"/>
      <sheetName val="Market FY19"/>
      <sheetName val="FY19 RB"/>
      <sheetName val="Budget by Prod"/>
      <sheetName val="FY21 By Channel"/>
      <sheetName val="FY19 Q1 Result"/>
      <sheetName val="Pivot by M"/>
      <sheetName val="Pivot FC3M"/>
      <sheetName val="Pivot This M"/>
      <sheetName val="FY19 Billing Forecast(PT)"/>
      <sheetName val="Pivot Lost"/>
      <sheetName val="2019"/>
      <sheetName val="2005~1906"/>
      <sheetName val="work-20~1906"/>
      <sheetName val="Daikin Summary"/>
      <sheetName val="MUP WtyLbr"/>
      <sheetName val="VRVII"/>
      <sheetName val="w-Adjust2005-1906"/>
      <sheetName val="Overview"/>
      <sheetName val="SV-OUTOVH"/>
      <sheetName val="DATA_OUTOVH"/>
      <sheetName val="MA"/>
      <sheetName val="DATA_MA"/>
      <sheetName val="1) PL"/>
      <sheetName val="2) FY17 Result"/>
      <sheetName val="3) FY18 Target &amp; Result"/>
      <sheetName val="4) FY18 Inquiry Management"/>
      <sheetName val="3) FY18 Target &amp; Result (2)"/>
      <sheetName val="2) FY17 Result (2)"/>
      <sheetName val="ex-PL (ref)"/>
      <sheetName val="FY17SVC&amp;SOL SGA"/>
      <sheetName val="FY18SVC&amp;SOL SGA"/>
      <sheetName val="FY17SALES OFFICE (ref)"/>
      <sheetName val="FY18SALES OFFICE (ref)"/>
      <sheetName val="FY17RES-DAMA (ref)"/>
      <sheetName val="FY18OB-DAMA (ref)"/>
      <sheetName val="-2-Svc S.C.GP (ref)"/>
      <sheetName val="-2-SP S.C.GP (ref)"/>
      <sheetName val="Rev-PL"/>
      <sheetName val="D-PL"/>
      <sheetName val="D-FY17 Maint. Result"/>
      <sheetName val="Rev-FY18 Sales Bueget &amp; Resul"/>
      <sheetName val="D-FY18 Sales Bueget &amp; Result"/>
      <sheetName val="FY18SB&amp;Res-KC"/>
      <sheetName val="FY18SB&amp;Res-RT"/>
      <sheetName val="FY18SB&amp;Res-Sofia"/>
      <sheetName val="Rev-FY18 Order &amp; Quotation B"/>
      <sheetName val="D-FY18 Order &amp; Quotation B &amp; R"/>
      <sheetName val="FY18O&amp;Q B&amp;R-KC"/>
      <sheetName val="FY18O&amp;Q B&amp;R-RT"/>
      <sheetName val="FY18O&amp;Q B&amp;R-Audrey"/>
      <sheetName val="FY18O&amp;Q B&amp;R-Zac"/>
      <sheetName val="FY18O&amp;Q B&amp;R-Sofia"/>
      <sheetName val="Sales Group OB (ref)"/>
      <sheetName val="Rev-UP New Inquiry"/>
      <sheetName val="UP NewInq-KC"/>
      <sheetName val="UP NewInq-RT"/>
      <sheetName val="D-UP New Inquiry List"/>
      <sheetName val="UP NewInqList-KC"/>
      <sheetName val="UP NewInqList-RT"/>
      <sheetName val="Rev-AP New Inquiry"/>
      <sheetName val="AP New Inquiry List"/>
      <sheetName val="VRV Coverage"/>
      <sheetName val="D-Airnet"/>
      <sheetName val="Rev2-FY18 Order &amp; Quotation"/>
      <sheetName val="Documentation"/>
      <sheetName val="Overview 2000, 2004-07 "/>
      <sheetName val="GHG Inventory"/>
      <sheetName val="GHG Inv Regional"/>
      <sheetName val="Pie_GHG_07"/>
      <sheetName val="Pies_GHG_byScope_07"/>
      <sheetName val="LiCol_Pareto GHG"/>
      <sheetName val="Pie_GHG_ByReg_07"/>
      <sheetName val="OpEx Summary"/>
      <sheetName val="OpEx Regional"/>
      <sheetName val="LiCol_Pareto Cost"/>
      <sheetName val="Pie_Elec$_ByTypReg"/>
      <sheetName val="Stk_ElecReg0407"/>
      <sheetName val="Ln_RelElecUtilSpend 0307"/>
      <sheetName val="Bar_EnCost+GHG_04to07"/>
      <sheetName val="Bar_EnCost_ByReg&amp;Type"/>
      <sheetName val="DC Elec Active"/>
      <sheetName val="DC EER"/>
      <sheetName val="Sctr_DC Samp_sqft_07"/>
      <sheetName val="Sctr_DC Samp_SIEER_07"/>
      <sheetName val="QA DC"/>
      <sheetName val="Col_FR_DC_Abs"/>
      <sheetName val="Col_FR_DC_EER"/>
      <sheetName val="Col_DC QAnal_07"/>
      <sheetName val="NDC Elec"/>
      <sheetName val="Office Elec Active"/>
      <sheetName val="Sctr_Office en inten_07"/>
      <sheetName val="Sctr_Office ppl_07"/>
      <sheetName val="Col_FR Office_Abs"/>
      <sheetName val="Col_FR Office_Intens"/>
      <sheetName val="QA Office"/>
      <sheetName val="PDF sf kwh"/>
      <sheetName val="PDF sf kBtu"/>
      <sheetName val="Col_QA Office"/>
      <sheetName val="Col_QA Office2"/>
      <sheetName val="Bar_SavOffice"/>
      <sheetName val="Col_Region Office"/>
      <sheetName val="QA dens hd"/>
      <sheetName val="PDF sfphd"/>
      <sheetName val="QA dens dsk"/>
      <sheetName val="PDF sfpdsk"/>
      <sheetName val="Master Pivot 07"/>
      <sheetName val="Master Live"/>
      <sheetName val="AutoUpload Live"/>
      <sheetName val="Electricity Pivot 00_07"/>
      <sheetName val="All BLC Elec 0307"/>
      <sheetName val="All CadEntech Elec 0307"/>
      <sheetName val="EnTechElec"/>
      <sheetName val="EDS ElecSpend FY03_07"/>
      <sheetName val="CorpRE Elec Spend"/>
      <sheetName val="Util Spend val"/>
      <sheetName val="FacilityElecEmissions 0708"/>
      <sheetName val="Simple Elec GHG"/>
      <sheetName val="ANZ Data"/>
      <sheetName val="CadenceEnTech NatGas Val"/>
      <sheetName val="EnTechGas"/>
      <sheetName val="Cadence H2O Val"/>
      <sheetName val="Cadence Trash val"/>
      <sheetName val="Rsd Floor"/>
      <sheetName val="SMC Load"/>
      <sheetName val="SMC UPS 06"/>
      <sheetName val="OnsiteGen Diesel 07"/>
      <sheetName val="Jet Fleet 0507"/>
      <sheetName val="LDV Fleet 0607"/>
      <sheetName val="Prchsd Biz Travel 0607"/>
      <sheetName val="Densities"/>
      <sheetName val="Mass En Content"/>
      <sheetName val="Vol En Content"/>
      <sheetName val="C Cont per En"/>
      <sheetName val="Direct EFs"/>
      <sheetName val="Direct EFs NonCO2"/>
      <sheetName val="Indirect EFs"/>
      <sheetName val="EGrid SubReg ZipCodes DRS"/>
      <sheetName val="EFs Elec byEGridSubReg"/>
      <sheetName val="EFs Elec byState"/>
      <sheetName val="EFs Elec Intl"/>
      <sheetName val="EFs Elec CH4 N20"/>
      <sheetName val="EmissionTypeCode"/>
      <sheetName val="UnitTypeCode"/>
      <sheetName val="100yr GWP Factors"/>
      <sheetName val="Unit Conv Factors"/>
      <sheetName val="Site Information - LAR"/>
      <sheetName val="Site Selection"/>
      <sheetName val="RE Purchase Summ 2009"/>
      <sheetName val="USA-2008Q3"/>
      <sheetName val="CAN-2008Q3"/>
      <sheetName val="EMEA-2009"/>
      <sheetName val="LA - 2008Q3"/>
      <sheetName val="AusNZ - 2008Q3"/>
      <sheetName val="ASIA - 2008Q3"/>
      <sheetName val="AutoUpload Val"/>
      <sheetName val="Master Pivot 07 Val"/>
      <sheetName val="Master Val"/>
      <sheetName val="Pie_GHG_ByBizUn_07"/>
      <sheetName val="Pie_Elec$_ByReg"/>
      <sheetName val="Stk_ElecEmReg0407"/>
      <sheetName val="Bar_GHG_ByReg&amp;Type"/>
      <sheetName val="Bar_$perEn_byReg&amp;Type"/>
      <sheetName val="Bar_$perSqFt_byReg&amp;Type"/>
      <sheetName val="DC Elec"/>
      <sheetName val="Sctr_DC Samp_sqft_06"/>
      <sheetName val="Sctr_DC Samp_sqft_06 (2)"/>
      <sheetName val="QuartAnal DC"/>
      <sheetName val="Col_DC QAnal_Shrt"/>
      <sheetName val="WtrFl_QuarAnal Shrt"/>
      <sheetName val="Sctr_NDC Samp_sqft_07"/>
      <sheetName val="Sctr_NDC Samp_sqft_07 (2)"/>
      <sheetName val="Sctr_NDC_dens_07"/>
      <sheetName val="QAnal NDC"/>
      <sheetName val="Col_FR_NDC_Abs"/>
      <sheetName val="Col_FR_NDC_Intens"/>
      <sheetName val="Col_QuartAnal NDC"/>
      <sheetName val="Col_QuartAnal_Shrt NDC"/>
      <sheetName val="Bar_QuarAnalSav Shrt NDC"/>
      <sheetName val="Region NDC"/>
      <sheetName val="Col_Region NDC"/>
      <sheetName val="Finances"/>
      <sheetName val="NormalizMetrics"/>
      <sheetName val="GHG SCurve Data"/>
      <sheetName val="Line_GHG SCurve"/>
      <sheetName val="Electricity Pivot 07"/>
      <sheetName val="EnTech Elec"/>
      <sheetName val="NonSMC UK"/>
      <sheetName val="DCF"/>
      <sheetName val="DCF Simple1"/>
      <sheetName val="DCF Simple2 CapEx"/>
      <sheetName val="Sens to WACC"/>
      <sheetName val="Reloc and NewBuild Savings"/>
      <sheetName val="RealEstate Summary"/>
      <sheetName val="GHG Em Inv Summary"/>
      <sheetName val="Bar_EnUse_ByReg&amp;Type"/>
      <sheetName val="Piv byOpUnit"/>
      <sheetName val="Piv, byEnType"/>
      <sheetName val="FacilitiesSampling06"/>
      <sheetName val="Scat_FacSamp_sqft_06"/>
      <sheetName val="Scat_FacSamp_ppl_06"/>
      <sheetName val="Scat_FacSamp_flops_06"/>
      <sheetName val="RealEstate"/>
      <sheetName val="Scat_BizUnit_C&amp;En Intensity"/>
      <sheetName val="EDS Master byFacility"/>
      <sheetName val="Sample_Facility"/>
      <sheetName val="Sample_Unit Summary"/>
      <sheetName val="Indirect EFs Lkup"/>
      <sheetName val="US Elec EFs byEGridSubReg"/>
      <sheetName val="Elec EFs byState"/>
      <sheetName val="NonCO2 Direct EFs"/>
      <sheetName val="CA Diesel Prices"/>
      <sheetName val="Unit Type"/>
      <sheetName val="Q4 Summary"/>
      <sheetName val="RB19"/>
      <sheetName val="FY20 Billing Forecast"/>
      <sheetName val="FY20 Sales Result"/>
      <sheetName val="OB20"/>
      <sheetName val="RB20"/>
      <sheetName val="FY20 Forecast (PT)"/>
      <sheetName val="FY20 Yrly Fcast Value"/>
      <sheetName val="FY20 Billing Flow (Value)"/>
      <sheetName val="FY20 Yrly Fcast Qty"/>
      <sheetName val="FY20 Billing Flow (Qty)"/>
      <sheetName val="Q3 Summary"/>
      <sheetName val="FY19 Forecast (PT)"/>
      <sheetName val="FY19 Billing Flow (Value)"/>
      <sheetName val="FY19 Billing Flow (Qty)"/>
      <sheetName val="Growth rate (Qty)"/>
      <sheetName val="Growth rate ($)"/>
      <sheetName val="FY16 Total (USD)"/>
      <sheetName val="FY16 Total (Yen)"/>
      <sheetName val="Consolidated Mkt Size Compare"/>
      <sheetName val="Consolidated Mkt Size and S (2)"/>
      <sheetName val="Consolidated Mkt Size and Share"/>
      <sheetName val="DAPM FY16"/>
      <sheetName val="★By ProdXct (Service)"/>
      <sheetName val="Dropdown list"/>
      <sheetName val="Troy's Lost Job Analysis"/>
      <sheetName val="Motoko's Lost job Analysis"/>
      <sheetName val="Lost Job Tabulated data"/>
      <sheetName val="Pivot Tables"/>
      <sheetName val="FY19 Sales Result(AprtoJun)"/>
      <sheetName val="FY19 Sales Result(JultoSep)"/>
      <sheetName val="Q2 Forecast"/>
      <sheetName val="LOST JOB Analysis (1Q)"/>
      <sheetName val="Lost Analysis (1Q)"/>
      <sheetName val="Q2 Summary"/>
      <sheetName val="大学A"/>
      <sheetName val="大学B"/>
      <sheetName val="短大"/>
      <sheetName val="副部長以下管理職"/>
      <sheetName val="部長以上"/>
      <sheetName val="高校"/>
      <sheetName val="FR"/>
      <sheetName val="Del-217"/>
      <sheetName val="ภาพประกอบการทำงาน"/>
      <sheetName val="summary1-2"/>
      <sheetName val="summary1-3"/>
      <sheetName val="XXXXX0"/>
      <sheetName val="XXXXX1"/>
      <sheetName val="Sum-Prelim"/>
      <sheetName val="กำไร-ต้นทุน"/>
      <sheetName val="ราคารวม"/>
      <sheetName val="FACTOR (%)"/>
      <sheetName val="H-FRAME"/>
      <sheetName val="TOTAL BOQ-SN&amp;FP"/>
      <sheetName val="BOQ-SN&amp;FP"/>
      <sheetName val="TOTAL BOQ-AC"/>
      <sheetName val="BOQ-AC"/>
      <sheetName val="TOTAL BOQ-EE"/>
      <sheetName val="BOQ-EE"/>
      <sheetName val="ราคา LC - CU"/>
      <sheetName val="MDB&amp;DB"/>
      <sheetName val="HV -LV"/>
      <sheetName val="BUSDUCT"/>
      <sheetName val="DP to LC"/>
      <sheetName val="TELEPHONE"/>
      <sheetName val="MATV"/>
      <sheetName val="FIRE ALARM"/>
      <sheetName val="ACCESS"/>
      <sheetName val="CCTV"/>
      <sheetName val="LIGHTNING PROTECTION"/>
      <sheetName val="Struc. "/>
      <sheetName val="Progress-All"/>
      <sheetName val="BK Unit Rate"/>
      <sheetName val="Main Sum (Hotel &amp; Residences)"/>
      <sheetName val="FACTOR_(%)"/>
      <sheetName val="TOTAL_BOQ-SN&amp;FP"/>
      <sheetName val="TOTAL_BOQ-AC"/>
      <sheetName val="TOTAL_BOQ-EE"/>
      <sheetName val="Duct_Bank"/>
      <sheetName val="ราคา_LC_-_CU"/>
      <sheetName val="HV_-LV"/>
      <sheetName val="DP_to_LC"/>
      <sheetName val="FIRE_ALARM"/>
      <sheetName val="LIGHTNING_PROTECTION"/>
      <sheetName val="Struc__"/>
      <sheetName val="BK_Unit_Rate"/>
      <sheetName val="tifico"/>
      <sheetName val="ประมาณการประตูหน้าต่าง "/>
      <sheetName val="???????-BLDG"/>
      <sheetName val="stair"/>
      <sheetName val="EXP. SPI&amp;ICT"/>
      <sheetName val="CONSOL_total"/>
      <sheetName val="CR100"/>
      <sheetName val="LPC"/>
      <sheetName val="Data Column"/>
      <sheetName val="Data_Column"/>
      <sheetName val="Oracle nos"/>
      <sheetName val="Data Entry Sheet"/>
      <sheetName val="Setup"/>
      <sheetName val="B_C4"/>
      <sheetName val="pdt cost"/>
      <sheetName val="5000_12A"/>
      <sheetName val="Criteria1"/>
      <sheetName val="DS"/>
      <sheetName val="제출계산서"/>
      <sheetName val="pdrop (제출)"/>
      <sheetName val="r-curve"/>
      <sheetName val="r-curve(metric)"/>
      <sheetName val="par-load"/>
      <sheetName val="p-consumption"/>
      <sheetName val="pdrop(discharge)"/>
      <sheetName val="SH_B"/>
      <sheetName val="SH_C"/>
      <sheetName val="SH_D"/>
      <sheetName val="SH_E"/>
      <sheetName val="SH_F"/>
      <sheetName val="SH_G"/>
      <sheetName val="SCH-1"/>
      <sheetName val="SCH-2"/>
      <sheetName val="SCH-3"/>
      <sheetName val="SCH-4"/>
      <sheetName val="SCH-6"/>
      <sheetName val="SCH-1 MONTH1"/>
      <sheetName val="SCH-1 MONTH2"/>
      <sheetName val="SCH-1 MONTH3"/>
      <sheetName val="GL Depre"/>
      <sheetName val="SCH-2 LastQTR"/>
      <sheetName val="SCH-6 data"/>
      <sheetName val="Acc"/>
      <sheetName val="EXCLUDE"/>
      <sheetName val="VENDER"/>
      <sheetName val="Summary Item"/>
      <sheetName val="AIR"/>
      <sheetName val="Process"/>
      <sheetName val="Outdoor work"/>
      <sheetName val="DETAIL "/>
      <sheetName val="X-042586_Toyota GW Emi(toc)"/>
      <sheetName val="RC.footing"/>
      <sheetName val="covere"/>
      <sheetName val="目次"/>
      <sheetName val="Net-Valve-1"/>
      <sheetName val="ตารางส่วนลด EE."/>
      <sheetName val="Surface"/>
      <sheetName val="Summary_Item"/>
      <sheetName val="Outdoor_work"/>
      <sheetName val="DETAIL_"/>
      <sheetName val="RC_footing"/>
      <sheetName val="Summary_Item2"/>
      <sheetName val="Outdoor_work2"/>
      <sheetName val="DETAIL_2"/>
      <sheetName val="RC_footing2"/>
      <sheetName val="SAN_REDUCED_12"/>
      <sheetName val="Summary_Item1"/>
      <sheetName val="Outdoor_work1"/>
      <sheetName val="DETAIL_1"/>
      <sheetName val="RC_footing1"/>
      <sheetName val="S-Curve S.1"/>
      <sheetName val="1_Interior L1_L3"/>
      <sheetName val="Sun_b"/>
      <sheetName val="3.OVERALL"/>
      <sheetName val="見積書"/>
      <sheetName val="7251-06540"/>
      <sheetName val="splinkler"/>
      <sheetName val="LB020A(月)"/>
      <sheetName val="สรุปราคา (EMC)"/>
      <sheetName val="RECON REG COST"/>
      <sheetName val="RECON PS NS"/>
      <sheetName val="User Input &amp; Retrieval Button"/>
      <sheetName val="FormJ SDDIS"/>
      <sheetName val="FormJ SDDRV"/>
      <sheetName val="FormJ Drive"/>
      <sheetName val="FormJ ESP"/>
      <sheetName val="FormJ PSP"/>
      <sheetName val="FormJ NSP"/>
      <sheetName val="FormJ PSP+NSP"/>
      <sheetName val="FormJ SHARED COST"/>
      <sheetName val="Ess_FormJ Spending SAPST"/>
      <sheetName val="Ess_FormJ Spending SAESP"/>
      <sheetName val="Ess_FormJ COS DC-D1"/>
      <sheetName val="Ess_FormJ Spending SAPPD"/>
      <sheetName val="MANUAL ADJ MINUS"/>
      <sheetName val="Ess_FormJ COS DC-D2"/>
      <sheetName val="Ess_FormJ Spending SANPD"/>
      <sheetName val="MANUAL ADJ PLUS"/>
      <sheetName val="Ess_FormJ COS DC-D3"/>
      <sheetName val="Ess_FormJ Spending SACOM"/>
      <sheetName val="OFFSET TOTAL REGIONAL COST"/>
      <sheetName val="Ess_FormJ Spending SAREG"/>
      <sheetName val="Ess_FormJ Spending SACGA"/>
      <sheetName val="Ess_FormJ Spending SAGNA"/>
      <sheetName val="Ess_FormJ Spending SAPIA"/>
      <sheetName val="Ess_FormJ Spending SAPEM"/>
      <sheetName val="Ess_FormJ Spending PREPRO"/>
      <sheetName val="Ess_FormJ 215 OT%"/>
      <sheetName val="TOTAL REG COST"/>
      <sheetName val="SAFIN"/>
      <sheetName val="SAIT"/>
      <sheetName val="SAITA"/>
      <sheetName val="91027"/>
      <sheetName val="SAREG"/>
      <sheetName val="22057"/>
      <sheetName val="91017"/>
      <sheetName val="94019"/>
      <sheetName val="ESS_FORMJ SDDRV"/>
      <sheetName val="ESS_FORMJ SDDIS"/>
      <sheetName val="ESS_FORMJ SDINA"/>
      <sheetName val="Ess_FormJ PSP+NSP OT%"/>
      <sheetName val="RECON_REG_COST"/>
      <sheetName val="RECON_PS_NS"/>
      <sheetName val="User_Input_&amp;_Retrieval_Button"/>
      <sheetName val="FormJ_SDDIS"/>
      <sheetName val="FormJ_SDDRV"/>
      <sheetName val="FormJ_Drive"/>
      <sheetName val="FormJ_ESP"/>
      <sheetName val="FormJ_PSP"/>
      <sheetName val="FormJ_NSP"/>
      <sheetName val="FormJ_PSP+NSP"/>
      <sheetName val="FormJ_SHARED_COST"/>
      <sheetName val="Ess_FormJ_Spending_SAPST"/>
      <sheetName val="Ess_FormJ_Spending_SAESP"/>
      <sheetName val="Ess_FormJ_COS_DC-D1"/>
      <sheetName val="Ess_FormJ_Spending_SAPPD"/>
      <sheetName val="MANUAL_ADJ_MINUS"/>
      <sheetName val="Ess_FormJ_COS_DC-D2"/>
      <sheetName val="Ess_FormJ_Spending_SANPD"/>
      <sheetName val="MANUAL_ADJ_PLUS"/>
      <sheetName val="Ess_FormJ_COS_DC-D3"/>
      <sheetName val="Ess_FormJ_Spending_SACOM"/>
      <sheetName val="OFFSET_TOTAL_REGIONAL_COST"/>
      <sheetName val="Ess_FormJ_Spending_SAREG"/>
      <sheetName val="Ess_FormJ_Spending_SACGA"/>
      <sheetName val="Ess_FormJ_Spending_SAGNA"/>
      <sheetName val="Ess_FormJ_Spending_SAPIA"/>
      <sheetName val="Ess_FormJ_Spending_SAPEM"/>
      <sheetName val="Ess_FormJ_Spending_PREPRO"/>
      <sheetName val="Ess_FormJ_215_OT%"/>
      <sheetName val="TOTAL_REG_COST"/>
      <sheetName val="ESS_FORMJ_SDDRV"/>
      <sheetName val="ESS_FORMJ_SDDIS"/>
      <sheetName val="ESS_FORMJ_SDINA"/>
      <sheetName val="Ess_FormJ_PSP+NSP_OT%"/>
      <sheetName val="Ess_FormJ Spending SAPSP"/>
      <sheetName val="FormJ PCBA"/>
      <sheetName val="FormJ HSA"/>
      <sheetName val="Ess_FormJ Spending WXDRV"/>
      <sheetName val="Ess_FormJ Spending WXPCB"/>
      <sheetName val="Ess_FormJ COS DC-B2"/>
      <sheetName val="Ess_FormJ Spending WXHSA"/>
      <sheetName val="Ess_FormJ COS DC-S2"/>
      <sheetName val="Ess_FormJ Spending WXG&amp;A"/>
      <sheetName val="IT"/>
      <sheetName val="LESS OUT"/>
      <sheetName val="LESS OUT (2)"/>
      <sheetName val="FINAL INCL BARISH)"/>
      <sheetName val="AFTER DEDUCT"/>
      <sheetName val="JunBud'03 Template"/>
      <sheetName val="Inputs"/>
      <sheetName val="Update"/>
      <sheetName val="Driver Linac Layout"/>
      <sheetName val="BOX Cryostat Details"/>
      <sheetName val="Magnet Details"/>
      <sheetName val="Hauling"/>
      <sheetName val="간선계산"/>
      <sheetName val="Bldg"/>
      <sheetName val="Summary All"/>
      <sheetName val="Driver_Linac_Layout"/>
      <sheetName val="BOX_Cryostat_Details"/>
      <sheetName val="Magnet_Details"/>
      <sheetName val="03100(SS)"/>
      <sheetName val="รวมราคาทั้งสิ้น"/>
      <sheetName val="Contact1"/>
      <sheetName val="Contact2"/>
      <sheetName val="Contact1Alternative"/>
      <sheetName val="Quantity item"/>
      <sheetName val="Clearing&amp;Grubbing"/>
      <sheetName val="Earthwork"/>
      <sheetName val="LoadTest"/>
      <sheetName val="Reinforcement"/>
      <sheetName val="Fromwork"/>
      <sheetName val="QuantitySegment"/>
      <sheetName val="Box Segment"/>
      <sheetName val="Linkslab"/>
      <sheetName val="Cloure strip"/>
      <sheetName val="Drain"/>
      <sheetName val="Earthing &amp; Ligthning"/>
      <sheetName val="Unit price"/>
      <sheetName val="Medium (2)"/>
      <sheetName val="High (2)"/>
      <sheetName val="Very High (2)"/>
      <sheetName val="Medium"/>
      <sheetName val="High"/>
      <sheetName val="Very High"/>
      <sheetName val="Test Time Pareto"/>
      <sheetName val="Test Time"/>
      <sheetName val="Medium_(2)"/>
      <sheetName val="Very_High"/>
      <sheetName val="Old Sheets"/>
      <sheetName val="Jul 04"/>
      <sheetName val="C4-230"/>
      <sheetName val="C4_230"/>
      <sheetName val="Q4_worksheet"/>
      <sheetName val="Actual"/>
      <sheetName val="B_C4_Q"/>
      <sheetName val="B_C4_1"/>
      <sheetName val="B_C4_2"/>
      <sheetName val="B_C4_3"/>
      <sheetName val="PDT$_Q"/>
      <sheetName val="PDT$_1"/>
      <sheetName val="PDT$_2"/>
      <sheetName val="PDT$_3"/>
      <sheetName val="Budget 1"/>
      <sheetName val="Budget_1"/>
      <sheetName val="DaveScheduleTrend"/>
      <sheetName val="VOLUME"/>
      <sheetName val="Accrued exp - taxes"/>
      <sheetName val="AR - R&amp;D Funding"/>
      <sheetName val="Budget_11"/>
      <sheetName val="Accrued_exp_-_taxes"/>
      <sheetName val="AR_-_R&amp;D_Funding"/>
      <sheetName val="COMPARE  (3)"/>
      <sheetName val="COMPARE  (2)"/>
      <sheetName val="SDH"/>
      <sheetName val="C-LOAD(L-FACTORY.)"/>
      <sheetName val="OA FAN"/>
      <sheetName val="VEN"/>
      <sheetName val="AIRB"/>
      <sheetName val="STATIC (AC)1"/>
      <sheetName val="COMPARE "/>
      <sheetName val="KKV-T"/>
      <sheetName val="DIFTEP"/>
      <sheetName val="Gating"/>
      <sheetName val="COMP"/>
      <sheetName val="Alloc"/>
      <sheetName val="Campus"/>
      <sheetName val="R Slice"/>
      <sheetName val="DSL"/>
      <sheetName val="Bar LAP"/>
      <sheetName val="Compose"/>
      <sheetName val="PitStop"/>
      <sheetName val="Bar Assy"/>
      <sheetName val="Photo"/>
      <sheetName val="Milling"/>
      <sheetName val="Dicing"/>
      <sheetName val="MC F"/>
      <sheetName val="MC B"/>
      <sheetName val="SFV"/>
      <sheetName val="S Cap"/>
      <sheetName val="UOM"/>
      <sheetName val="WIP"/>
      <sheetName val="IE HPU"/>
      <sheetName val="HC"/>
      <sheetName val="Tool"/>
      <sheetName val="Space"/>
      <sheetName val="Change"/>
      <sheetName val="Remark"/>
      <sheetName val="Dialog1"/>
      <sheetName val="drill"/>
      <sheetName val="balances"/>
      <sheetName val="trandrill"/>
      <sheetName val="invdrill"/>
      <sheetName val="parameters"/>
      <sheetName val="essLists"/>
      <sheetName val="DimDrill"/>
      <sheetName val="rowoptions"/>
      <sheetName val="coloptions"/>
      <sheetName val="essReport"/>
      <sheetName val="prod_code"/>
      <sheetName val="SITESUMM"/>
      <sheetName val="VP Matrix"/>
      <sheetName val="CAR LIST"/>
      <sheetName val="mstr"/>
      <sheetName val="Request"/>
      <sheetName val="BOQ หมวดสถาปัตยกรรม-A"/>
      <sheetName val="สรุปราคางานสถาปัตยกรรม"/>
      <sheetName val="PURCH"/>
      <sheetName val="DATA "/>
      <sheetName val="Control Panel"/>
      <sheetName val="Consolidated DC"/>
      <sheetName val="Enterprise"/>
      <sheetName val="Personal"/>
      <sheetName val="Mobile"/>
      <sheetName val="Tape"/>
      <sheetName val="Component"/>
      <sheetName val="Internet Solutions"/>
      <sheetName val="Generic"/>
      <sheetName val="Software"/>
      <sheetName val="FX"/>
      <sheetName val="X-fer"/>
      <sheetName val="Aff Ex"/>
      <sheetName val="Misc_COS"/>
      <sheetName val="CSR"/>
      <sheetName val="Central"/>
      <sheetName val="Commentary"/>
      <sheetName val="GM_Cover"/>
      <sheetName val="GM_Des_Ctr"/>
      <sheetName val="Module4"/>
      <sheetName val="EssBase Check"/>
      <sheetName val="Accounts"/>
      <sheetName val="G&amp;A Reclass"/>
      <sheetName val="EXPAT COSTS"/>
      <sheetName val="COS Reclass"/>
      <sheetName val="Consol FormJ Ops"/>
      <sheetName val="ADI Media Ops"/>
      <sheetName val="ADI MDW"/>
      <sheetName val="ADI NonOps"/>
      <sheetName val="IDL hc rec as DL"/>
      <sheetName val="ADI NonOps(B4 change)"/>
      <sheetName val="ESSBASE"/>
      <sheetName val="Prelim CPC"/>
      <sheetName val="flcon Causal"/>
      <sheetName val="Causal"/>
      <sheetName val="Delta vs Bud"/>
      <sheetName val="Expl"/>
      <sheetName val="Delta vs Prior"/>
      <sheetName val="RMO Consol"/>
      <sheetName val="Chart (13wks)"/>
      <sheetName val="OL TTL"/>
      <sheetName val="Glem TTL"/>
      <sheetName val="OL Glem"/>
      <sheetName val="OL Media"/>
      <sheetName val="OL MDW"/>
      <sheetName val="OL NGL"/>
      <sheetName val="Untested Media DM"/>
      <sheetName val="Vol, DM, ABS"/>
      <sheetName val="VC, FC"/>
      <sheetName val="IDM"/>
      <sheetName val="FSG-Media"/>
      <sheetName val="FSG-NG"/>
      <sheetName val="forex"/>
      <sheetName val="Control_Panel"/>
      <sheetName val="HSA Outsource"/>
      <sheetName val="RWK QTR"/>
      <sheetName val="HSA Outsource Rturn"/>
      <sheetName val="Wuxi HSA"/>
      <sheetName val="FormJ"/>
      <sheetName val="Pull file"/>
      <sheetName val="ABSORPTION"/>
      <sheetName val="DL OT&amp;HC"/>
      <sheetName val="DL Cost(FP) "/>
      <sheetName val="DL Analysis_DecBud"/>
      <sheetName val="outside service"/>
      <sheetName val="Analysis Q312"/>
      <sheetName val="IDL Variable"/>
      <sheetName val="IDL fixed"/>
      <sheetName val="IDL HC"/>
      <sheetName val="ops&amp;pkg"/>
      <sheetName val="uniform"/>
      <sheetName val="jump wash"/>
      <sheetName val="tray wash"/>
      <sheetName val="HSA  volume MS1207A2 "/>
      <sheetName val="Outsource"/>
      <sheetName val="EE"/>
      <sheetName val="Freight"/>
      <sheetName val="Freight (2)"/>
      <sheetName val="InputFacility (HSA"/>
      <sheetName val="PSG"/>
      <sheetName val="NSG"/>
      <sheetName val="China-HDA"/>
      <sheetName val="SUM HPU"/>
      <sheetName val="Sum HGA"/>
      <sheetName val="Sum HSA"/>
      <sheetName val="Ratio Volume"/>
      <sheetName val="%Ratio volume"/>
      <sheetName val="HPU sub assy"/>
      <sheetName val="Pharaoh"/>
      <sheetName val="Pharaoh Oasis"/>
      <sheetName val="Lombard"/>
      <sheetName val="GrenadaBP2"/>
      <sheetName val="Lightning Thunderbolt"/>
      <sheetName val="Airwalker "/>
      <sheetName val="Megalodon"/>
      <sheetName val="Makara"/>
      <sheetName val="Lamarr"/>
      <sheetName val="Argus"/>
      <sheetName val="NPD"/>
      <sheetName val="HGA EQ (FY15 SF)"/>
      <sheetName val="ISI"/>
      <sheetName val="Airwalker"/>
      <sheetName val="Airwalker (SG)"/>
      <sheetName val="Airwalker (DB)"/>
      <sheetName val="MantaRay"/>
      <sheetName val="Grenada"/>
      <sheetName val="Muskie"/>
      <sheetName val="HC-Loading"/>
      <sheetName val="JB14-HGA.EQ#Rev2"/>
      <sheetName val="SAA Metric JunBud"/>
      <sheetName val="HSA compare"/>
      <sheetName val="LCA (FY14 JunBud)"/>
      <sheetName val="100X  Analysis"/>
      <sheetName val="Sampling size"/>
      <sheetName val="Cov Dwg"/>
      <sheetName val="cov-estimate"/>
      <sheetName val="cov-tender"/>
      <sheetName val="cov-contract"/>
      <sheetName val="cov-final AC"/>
      <sheetName val="cov-contract 2"/>
      <sheetName val="divider"/>
      <sheetName val="cov_estimate"/>
      <sheetName val="Package 3(Concourse)"/>
      <sheetName val="Package2 (MTB)"/>
      <sheetName val="Central Plant"/>
      <sheetName val="Q3-13 "/>
      <sheetName val="SOR"/>
      <sheetName val="Q2-55"/>
      <sheetName val="Q3-55"/>
      <sheetName val="Q4-55"/>
      <sheetName val="Q1-13"/>
      <sheetName val="สระน้ำหลัง BO"/>
      <sheetName val="สระน้ำ(ด้านทิศใต้อาคาร B)"/>
      <sheetName val="ราคาF6"/>
      <sheetName val="8 consume"/>
      <sheetName val="1 Labour"/>
      <sheetName val="2 staff"/>
      <sheetName val="6 - Misc. EP"/>
      <sheetName val="data-Hilton"/>
      <sheetName val="Cost Data"/>
      <sheetName val="Assumptions"/>
      <sheetName val="CC1"/>
      <sheetName val="CC2"/>
      <sheetName val="CC3"/>
      <sheetName val="CC4"/>
      <sheetName val="CC5"/>
      <sheetName val="CC6"/>
      <sheetName val="CC7"/>
      <sheetName val="CC8"/>
      <sheetName val="CC9"/>
      <sheetName val="1.1.1Gen"/>
      <sheetName val="1.1.2vehicle"/>
      <sheetName val="1.1.3Demobilize"/>
      <sheetName val="1.2Traffic"/>
      <sheetName val="1.3Envi"/>
      <sheetName val="1.4.1Test"/>
      <sheetName val="1.4.2Report"/>
      <sheetName val="2.1MainLine"/>
      <sheetName val="2.2Station"/>
      <sheetName val="4.1.1Pile"/>
      <sheetName val="4.1.2TBlock"/>
      <sheetName val="4.2Pier"/>
      <sheetName val="4.3Portal"/>
      <sheetName val="4.4Pad"/>
      <sheetName val="5.2.1Produce"/>
      <sheetName val="5.2.2Install"/>
      <sheetName val="5.3AR"/>
      <sheetName val="5.4E&amp;M"/>
      <sheetName val="6.1Yard"/>
      <sheetName val="6.2.1Pile"/>
      <sheetName val="6.2.2Pile Cap"/>
      <sheetName val="6.3.1Pier"/>
      <sheetName val="6.3.2XBeam"/>
      <sheetName val="6.3.3I-Girder"/>
      <sheetName val="6.4.1Roof"/>
      <sheetName val="6.4.2Stair"/>
      <sheetName val="6.4.3Slab"/>
      <sheetName val="Cov_Dwg"/>
      <sheetName val="cov-final_AC"/>
      <sheetName val="cov-contract_2"/>
      <sheetName val="สระน้ำหลัง_BO"/>
      <sheetName val="สระน้ำ(ด้านทิศใต้อาคาร_B)"/>
      <sheetName val="7-consume"/>
      <sheetName val="6-Equipment"/>
      <sheetName val="4-Local transport"/>
      <sheetName val="3 - Material"/>
      <sheetName val="Cctmst"/>
      <sheetName val="code0"/>
      <sheetName val="Package_3(Concourse)"/>
      <sheetName val="Package2_(MTB)"/>
      <sheetName val="Central_Plant"/>
      <sheetName val="Q3-13_"/>
      <sheetName val="Auto Monthly Inputs "/>
      <sheetName val="COS Spending"/>
      <sheetName val="Marketing &amp; Administrative"/>
      <sheetName val="P&amp;L - DATA"/>
      <sheetName val="Product Development"/>
      <sheetName val="TCO COS"/>
      <sheetName val="Break Down."/>
      <sheetName val="% DM Analysis"/>
      <sheetName val="Total "/>
      <sheetName val="Quarter"/>
      <sheetName val="Prime"/>
      <sheetName val="RWK &amp; RTV"/>
      <sheetName val="RCM"/>
      <sheetName val="USP - Report"/>
      <sheetName val="SCP Q1'99 UPD"/>
      <sheetName val="Q4'98ACT"/>
      <sheetName val="WW19"/>
      <sheetName val="Sum%OT by Exempt-Non-Exempt-DL"/>
      <sheetName val="Sum.bySection"/>
      <sheetName val="39"/>
      <sheetName val="38"/>
      <sheetName val="37"/>
      <sheetName val="36"/>
      <sheetName val="35"/>
      <sheetName val="Home"/>
      <sheetName val="Sum.ChartTK-Section"/>
      <sheetName val="ComparTK&amp;TT"/>
      <sheetName val="ChartTT&amp;TK"/>
      <sheetName val="Section"/>
      <sheetName val="ByType"/>
      <sheetName val="%Dept-Bud"/>
      <sheetName val="&gt;10000000"/>
      <sheetName val="Total Drive HDD"/>
      <sheetName val="AMK HDD"/>
      <sheetName val="STSZ HDD"/>
      <sheetName val="Wuxi HDD"/>
      <sheetName val="Total HSA"/>
      <sheetName val="Teparuk HSA"/>
      <sheetName val="Korat HSA"/>
      <sheetName val="Total HGA"/>
      <sheetName val="Teparuk HGA"/>
      <sheetName val="Korat HGA"/>
      <sheetName val="Total Slider"/>
      <sheetName val="Total Drive IR,RR,HPU"/>
      <sheetName val="AMK IR,RR,HPU"/>
      <sheetName val="Wuxi IR,RR,HPU"/>
      <sheetName val="Thai ET, HPU"/>
      <sheetName val="HSA-Report"/>
      <sheetName val="Select-a-Report Volumes"/>
      <sheetName val="check stack drive- Offset"/>
      <sheetName val="Select-a-Report Rates"/>
      <sheetName val="Admin-Hide"/>
      <sheetName val="Admin_Hide"/>
      <sheetName val="SW PL"/>
      <sheetName val="DCI 2"/>
      <sheetName val="PMG 2"/>
      <sheetName val="DCI Summary"/>
      <sheetName val="DMI Summary"/>
      <sheetName val="PMG Summary"/>
      <sheetName val="SVB LOC Summary"/>
      <sheetName val="SVB Term Summary"/>
      <sheetName val="INSTRUCTIONS"/>
      <sheetName val="DB"/>
      <sheetName val="SOURCE"/>
      <sheetName val="OUT"/>
      <sheetName val="ALLOWANCE TABLE (Proposal)"/>
      <sheetName val="Allowance Table (Execution)"/>
      <sheetName val="Line Index (HVAC)"/>
      <sheetName val="Line Index (소방)"/>
      <sheetName val="AG"/>
      <sheetName val="일반전기"/>
      <sheetName val="단가표"/>
      <sheetName val="cost breakdown template"/>
      <sheetName val="현장업무"/>
      <sheetName val="#REF!"/>
      <sheetName val="VV보온LINK"/>
      <sheetName val="FIT보온LINK"/>
      <sheetName val="LABTOTAL"/>
      <sheetName val="C.S.A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ค่าวัสดุ"/>
      <sheetName val="เอกสารแนบ"/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Boq(1)"/>
      <sheetName val="外気負荷"/>
      <sheetName val="Purchase Order1"/>
      <sheetName val="Defect Report(M&amp;E)"/>
      <sheetName val="Price per model"/>
      <sheetName val="建築代価"/>
      <sheetName val="040"/>
      <sheetName val="060"/>
      <sheetName val="Currency Rate"/>
      <sheetName val="BQ-E20-02(Rp)"/>
      <sheetName val="Template"/>
      <sheetName val="Variables"/>
      <sheetName val="Customize_Your_Purchase_Order"/>
      <sheetName val="Purchase_Order"/>
      <sheetName val="AutoOpen_Stub_Data"/>
      <sheetName val="Intl_Data_Table"/>
      <sheetName val="C-LOAD(L-FACTORY_)"/>
      <sheetName val="Purchase_Order1"/>
      <sheetName val="Customize_Your_Purchase_Order1"/>
      <sheetName val="Purchase_Order2"/>
      <sheetName val="AutoOpen_Stub_Data1"/>
      <sheetName val="Intl_Data_Table1"/>
      <sheetName val="C-LOAD(L-FACTORY_)1"/>
      <sheetName val="Purchase_Order11"/>
      <sheetName val="Customize_Your_Purchase_Order2"/>
      <sheetName val="AutoOpen_Stub_Data2"/>
      <sheetName val="Intl_Data_Table2"/>
      <sheetName val="C-LOAD(L-FACTORY_)2"/>
      <sheetName val="Book 1 Summary"/>
      <sheetName val="Invoice"/>
      <sheetName val="Sheet1 (3)"/>
      <sheetName val="APR'09"/>
      <sheetName val="COMMOND LINE"/>
      <sheetName val="sort2"/>
      <sheetName val="cu_ผลรวม"/>
      <sheetName val="cu_รหัส"/>
      <sheetName val="cu_วัน"/>
      <sheetName val="일위대가목차"/>
      <sheetName val="CrEstimate"/>
      <sheetName val="Nov.'02"/>
      <sheetName val="Comsole"/>
      <sheetName val="797T輸入部品リスト"/>
      <sheetName val="data list"/>
      <sheetName val="Plate_Bumper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CODE,NAME"/>
      <sheetName val="2.1.1Take pipe"/>
      <sheetName val="2.1.2Take Copper Pipe"/>
      <sheetName val="Annual Production"/>
      <sheetName val="POV"/>
      <sheetName val="ＴＦ関連Ｐｒｊ日程表"/>
      <sheetName val="FC"/>
      <sheetName val="PO(Thai)"/>
      <sheetName val="Order List"/>
      <sheetName val="DLIST"/>
      <sheetName val="FACE"/>
      <sheetName val="FACE-1"/>
      <sheetName val="PCH"/>
      <sheetName val="DCH"/>
      <sheetName val="CLOAD"/>
      <sheetName val="KKV"/>
      <sheetName val="P-FH"/>
      <sheetName val="PLP"/>
      <sheetName val="SH-DH"/>
      <sheetName val="DL-09B"/>
      <sheetName val="DL_09B"/>
      <sheetName val="Revision history"/>
      <sheetName val="115_E"/>
      <sheetName val="Milpitas"/>
      <sheetName val="dept master"/>
      <sheetName val="Ops Review - Sum Charts"/>
      <sheetName val="dept_master"/>
      <sheetName val="Ops_Review_-_Sum_Charts"/>
      <sheetName val="DETAIL (2)"/>
      <sheetName val="WDLACTL"/>
      <sheetName val="SITE LIST"/>
      <sheetName val="12A_Scrap"/>
      <sheetName val="CQ3-CQ4'00"/>
      <sheetName val="stst"/>
      <sheetName val="CLOSEQA"/>
      <sheetName val="ws9"/>
      <sheetName val="Currency deposit-MYR"/>
      <sheetName val="Desc Mstr"/>
      <sheetName val="Desc_Mstr"/>
      <sheetName val="VENDER (2)"/>
      <sheetName val="SITE OFFICE"/>
      <sheetName val="RTV ANALYSIS MONTH"/>
      <sheetName val="SHP"/>
      <sheetName val="TTL BY WK"/>
      <sheetName val="SUM05"/>
      <sheetName val="SUM06"/>
      <sheetName val="SUM07"/>
      <sheetName val="SUM08"/>
      <sheetName val="DRIVE SHIP"/>
      <sheetName val="RTV ANALYSIS 2 WEEK"/>
      <sheetName val="DM Summary"/>
      <sheetName val="MnthEnd Pkg"/>
      <sheetName val="DRIVE_SHIP"/>
      <sheetName val="Main"/>
      <sheetName val="D_Home"/>
      <sheetName val="H_Home"/>
      <sheetName val="S_Home"/>
      <sheetName val="CAR"/>
      <sheetName val="D_R&amp;O"/>
      <sheetName val="H_R&amp;O"/>
      <sheetName val="S_R&amp;O"/>
      <sheetName val="D_Vol"/>
      <sheetName val="H_Vol"/>
      <sheetName val="S_Vol"/>
      <sheetName val="H_Submit"/>
      <sheetName val="FA Template"/>
      <sheetName val="Delta7640"/>
      <sheetName val="Delta7710"/>
      <sheetName val="Eq. detail"/>
      <sheetName val="H_Detail"/>
      <sheetName val="DSMR"/>
      <sheetName val="GMR"/>
      <sheetName val="WX PS DRV"/>
      <sheetName val="WX PS EAO"/>
      <sheetName val="WX PS HSA"/>
      <sheetName val="WX DRV"/>
      <sheetName val="237DRVPage1"/>
      <sheetName val="237DRVPage2"/>
      <sheetName val="WX EAO"/>
      <sheetName val="237EAOPage1"/>
      <sheetName val="237EAOPage2"/>
      <sheetName val="WX HSA"/>
      <sheetName val="237HSAPage1"/>
      <sheetName val="237HSAPage2"/>
      <sheetName val="WX GA"/>
      <sheetName val="237GAPage1"/>
      <sheetName val="draft-Q1'00"/>
      <sheetName val="draft_Q1_00"/>
      <sheetName val="90020"/>
      <sheetName val="DL Calc'n"/>
      <sheetName val="EXPLANATIONS"/>
      <sheetName val="Ttl Admin"/>
      <sheetName val="EH&amp;S"/>
      <sheetName val="CO IT"/>
      <sheetName val="CO HR"/>
      <sheetName val="Finance"/>
      <sheetName val="MP HR"/>
      <sheetName val="MP IT"/>
      <sheetName val="SG&amp;A"/>
      <sheetName val="INCSTMNT"/>
      <sheetName val="HSA W VS LASTWEEK"/>
      <sheetName val="HSA Q VS LASTWEEK"/>
      <sheetName val="HSA W VS BUDGET"/>
      <sheetName val="HSA Q VS BUDGET"/>
      <sheetName val="HSA QQ VS BUDGET"/>
      <sheetName val="HSA_Vol"/>
      <sheetName val="HGA_Vol"/>
      <sheetName val="Amount_ET"/>
      <sheetName val="Amount_Assy"/>
      <sheetName val="Amount_RW"/>
      <sheetName val="OutLook_Scrap"/>
      <sheetName val="Metrix_ETYield"/>
      <sheetName val="Metrix_AssyYield"/>
      <sheetName val="Metrix_RTN"/>
      <sheetName val="HGA_Vol_MS_Q"/>
      <sheetName val="HGA_Vol_MS_QQ"/>
      <sheetName val="HSA_Vol_MS_Q"/>
      <sheetName val="HSA_Vol_MS_QQ"/>
      <sheetName val="Code_Q"/>
      <sheetName val="Code_QQ"/>
      <sheetName val="FreeStock_Budget"/>
      <sheetName val="HSA M VS BUDGET"/>
      <sheetName val="HSA_W_VS_LASTWEEK"/>
      <sheetName val="HSA_Q_VS_LASTWEEK"/>
      <sheetName val="HSA_W_VS_BUDGET"/>
      <sheetName val="HSA_Q_VS_BUDGET"/>
      <sheetName val="HSA_QQ_VS_BUDGET"/>
      <sheetName val="HSA_M_VS_BUDGET"/>
      <sheetName val="SEPWKSHT"/>
      <sheetName val="septwksht"/>
      <sheetName val="SEPWKSHT.XLS"/>
      <sheetName val="BY CATEGORY"/>
      <sheetName val="Asia Scrap Approach1"/>
      <sheetName val="B1P2 Cover"/>
      <sheetName val="Warranties Rate Only"/>
      <sheetName val="NEW-PANEL"/>
      <sheetName val="LIST 2005"/>
      <sheetName val="CAP-FORM"/>
      <sheetName val="Status"/>
      <sheetName val="Thisweek"/>
      <sheetName val="LastWeek"/>
      <sheetName val="OPS"/>
      <sheetName val="LastQuarter"/>
      <sheetName val="Var_BW"/>
      <sheetName val="IC_1"/>
      <sheetName val="IC_2"/>
      <sheetName val="IC_3"/>
      <sheetName val="IC_4"/>
      <sheetName val="IC_1-4"/>
      <sheetName val="U5 last"/>
      <sheetName val="u5bgt"/>
      <sheetName val="Var_1"/>
      <sheetName val="Var_2"/>
      <sheetName val="Var_3"/>
      <sheetName val="Var_4"/>
      <sheetName val="Var_1-4"/>
      <sheetName val="Var_1-4 Budget"/>
      <sheetName val="ww34"/>
      <sheetName val="FO34"/>
      <sheetName val="U5 WW.13"/>
      <sheetName val="assy ww.08"/>
      <sheetName val="U5 WW.08"/>
      <sheetName val="assy ww.07"/>
      <sheetName val="U5 WW.07"/>
      <sheetName val="U5 last New"/>
      <sheetName val="bgt new"/>
      <sheetName val="U5 WW.04"/>
      <sheetName val="assy ww.04"/>
      <sheetName val="U5 WW.03"/>
      <sheetName val="assy ww.03"/>
      <sheetName val="u5"/>
      <sheetName val="U5 WW.02"/>
      <sheetName val="assy ww.02"/>
      <sheetName val="vol mix"/>
      <sheetName val="assy ww.01"/>
      <sheetName val="U5 WW.01"/>
      <sheetName val="assy ww.52"/>
      <sheetName val="U5 WW.52"/>
      <sheetName val="assy ww.51"/>
      <sheetName val="U5 WW.51"/>
      <sheetName val="assy ww.50"/>
      <sheetName val="U5 WW.50"/>
      <sheetName val="U5 WW.49"/>
      <sheetName val="assy ww.49"/>
      <sheetName val="assy ww.48"/>
      <sheetName val="U5 WW.48"/>
      <sheetName val="assy ww.47"/>
      <sheetName val="U5 WW.47"/>
      <sheetName val="U5 WW.46"/>
      <sheetName val="assy ww.46"/>
      <sheetName val="U5 WW.45"/>
      <sheetName val="assy ww.45"/>
      <sheetName val="U5 WW.44"/>
      <sheetName val="assy ww.44"/>
      <sheetName val="assy ww.43"/>
      <sheetName val="U5 WW.06"/>
      <sheetName val="assy ww.06"/>
      <sheetName val="U5 New"/>
      <sheetName val="assy ww.05"/>
      <sheetName val="U5 WW.05"/>
      <sheetName val="ww.38"/>
      <sheetName val="assy ww.38"/>
      <sheetName val="U5 WW.10"/>
      <sheetName val="assy ww.10"/>
      <sheetName val="U5 WW.09"/>
      <sheetName val="assy ww.09"/>
      <sheetName val="assy ww.37"/>
      <sheetName val="FO20"/>
      <sheetName val="IC_P00"/>
      <sheetName val="06A"/>
      <sheetName val="assy ww.33"/>
      <sheetName val="DUCTSHT2"/>
      <sheetName val="Unit (STTH-C)"/>
      <sheetName val="HGA to wellgrow"/>
      <sheetName val="차액보증"/>
      <sheetName val="電気設備表"/>
      <sheetName val="Doc"/>
      <sheetName val="บทสรุปผู้บริหาร"/>
      <sheetName val="Store"/>
      <sheetName val="ประมาณการประตูหน้าต่าง_1"/>
      <sheetName val="ประมาณการประตูหน้าต่าง_"/>
      <sheetName val="ตารางวันหยุด"/>
      <sheetName val="Book_1_Summary"/>
      <sheetName val="Summary POL Equip"/>
      <sheetName val="Equipment Rental Price"/>
      <sheetName val="ราคาบ้านแต่ละไตรมาส"/>
      <sheetName val="Quotation"/>
      <sheetName val="BOQ1 (2)"/>
      <sheetName val="e4"/>
      <sheetName val="Sum_EMC"/>
      <sheetName val="EST-FOOTING (G)"/>
      <sheetName val="QUANTITY COMPARISON"/>
      <sheetName val="แบบเดิม"/>
      <sheetName val="Bill No. 2 - Carpark"/>
      <sheetName val="ประมาณการประตูหน้าต่าง_2"/>
      <sheetName val="งานระบบไฟฟ้าและสื่อสาร"/>
      <sheetName val="ยานพาหนะ"/>
      <sheetName val="인원계획-미화"/>
      <sheetName val="ประม_x0000__x0000__x0001__x0000__x0001_ࠀЉ_x0000_쪊疒_xddef__x0000__xdd00__x0000_Ͽ_x0000_ï_x0000_孔I"/>
      <sheetName val="ราคาต่ำสุด-721"/>
      <sheetName val="S-5"/>
      <sheetName val="ประม??_x0001_?_x0001_ࠀЉ?쪊疒_xddef_?_xdd00_?Ͽ?ï?孔I"/>
      <sheetName val="Book_1_Summary1"/>
      <sheetName val="ประมาณการประตูหน้าต่าง_3"/>
      <sheetName val="Main_Sum_(Hotel_&amp;_Residences)"/>
      <sheetName val="Summary_POL_Equip"/>
      <sheetName val="Equipment_Rental_Price"/>
      <sheetName val="BOQ1_(2)"/>
      <sheetName val="EST-FOOTING_(G)"/>
      <sheetName val="QUANTITY_COMPARISON"/>
      <sheetName val="Bill_No__2_-_Carpark"/>
      <sheetName val="ประมࠀЉ쪊疒Ͽï孔I"/>
      <sheetName val="ราคาอ้างอิง"/>
      <sheetName val="Replacement Cost "/>
      <sheetName val="ประม"/>
      <sheetName val="ประม___x0001___x0001_ࠀЉ_쪊疒_xddef___xdd00__Ͽ_ï_孔I"/>
      <sheetName val="Cavity Inputs"/>
      <sheetName val=" Cover 090EPY"/>
      <sheetName val="EPY Jan 60"/>
      <sheetName val="Testing"/>
      <sheetName val="HEAT"/>
      <sheetName val="JUL'98"/>
      <sheetName val="JUL_98"/>
      <sheetName val="Unit_(STTH-C)"/>
      <sheetName val="WTRspry"/>
      <sheetName val="M Onsite"/>
      <sheetName val="PSY_OAC"/>
      <sheetName val="F2002-79"/>
      <sheetName val="BIDDAY.XLM"/>
      <sheetName val="cover page format"/>
      <sheetName val="HRG BHN"/>
      <sheetName val="I-slab"/>
      <sheetName val="Engineer"/>
      <sheetName val="QA"/>
      <sheetName val="Admin"/>
      <sheetName val="Cap_Pur"/>
      <sheetName val="05C4A"/>
      <sheetName val="Cover(1)"/>
      <sheetName val="Cover(2)"/>
      <sheetName val="Cover(3)"/>
      <sheetName val="Attachment # 1"/>
      <sheetName val="Attachment # 2"/>
      <sheetName val="PipeSize"/>
      <sheetName val="BFP Spray qty"/>
      <sheetName val="Max Allowable Stress"/>
      <sheetName val="VolumeMS0511"/>
      <sheetName val="Drive_Detail"/>
      <sheetName val="CAR-D"/>
      <sheetName val="D_%OT"/>
      <sheetName val="D_HCs"/>
      <sheetName val="D_Catagory"/>
      <sheetName val="Drive_Number"/>
      <sheetName val="D-Final"/>
      <sheetName val="Submit_Finance Template"/>
      <sheetName val="DDelta7640.04719"/>
      <sheetName val="DDelta7640.5509"/>
      <sheetName val="DDelta7640.22061"/>
      <sheetName val="Explanation7710"/>
      <sheetName val="D_Delta7710"/>
      <sheetName val="DDelta7721"/>
      <sheetName val="DDelta7723"/>
      <sheetName val="DDelta7770"/>
      <sheetName val="DDelta7780"/>
      <sheetName val="D-Final (2)"/>
      <sheetName val="DEC_98 (2)"/>
      <sheetName val="DEC_98_(2)"/>
      <sheetName val="MPCOS"/>
      <sheetName val="MPMDW"/>
      <sheetName val="MPOPS"/>
      <sheetName val="NOOPS"/>
      <sheetName val="DEC_98 _2_"/>
      <sheetName val="PSG-NSG Variance"/>
      <sheetName val="Covault"/>
      <sheetName val="COGS"/>
      <sheetName val="CSR Equipment requirement"/>
      <sheetName val="COMSITE DATA"/>
      <sheetName val="Lookup Data"/>
      <sheetName val="Total Other Scrap"/>
      <sheetName val="Sub Assy Data"/>
      <sheetName val="Week Data"/>
      <sheetName val="ISWOSW"/>
      <sheetName val="Lookup_Data"/>
      <sheetName val="NG-Spen"/>
      <sheetName val="R&amp;D-Spen"/>
      <sheetName val="DRIVER WBS COSTS"/>
      <sheetName val="Labor &amp; cryostat Inputs"/>
      <sheetName val="Cavity Summary"/>
      <sheetName val=".021 FORK"/>
      <sheetName val=".03 FORK"/>
      <sheetName val="QWR"/>
      <sheetName val="175MHz"/>
      <sheetName val="345MHz "/>
      <sheetName val="Box cryostat costs (Ken &amp; Joel)"/>
      <sheetName val="RIA Driver Cost (Update #1) Rev"/>
      <sheetName val="일반공사"/>
      <sheetName val="Furniture"/>
      <sheetName val="PGM_2LEVYTD"/>
      <sheetName val="Take-off stru"/>
      <sheetName val="TRANS"/>
      <sheetName val="Cap Plan"/>
      <sheetName val="Pur_App"/>
      <sheetName val="Non-ops Dept. Spend"/>
      <sheetName val="MPS Summary"/>
      <sheetName val="PerItemCalc"/>
      <sheetName val="PerItemSummary"/>
      <sheetName val="Oct Hours"/>
      <sheetName val="Mar Hours"/>
      <sheetName val="Aug Hours"/>
      <sheetName val="Aug Times"/>
      <sheetName val="2Q05 Hours"/>
      <sheetName val="2Q05 Times"/>
      <sheetName val="3Q05 Hours"/>
      <sheetName val="3Q05 Times"/>
      <sheetName val="Copy of PSG TT Model Rev 4.0"/>
      <sheetName val="COS"/>
      <sheetName val="BLDG1"/>
      <sheetName val="BLDG2"/>
      <sheetName val="BLDG3"/>
      <sheetName val="BLDG4"/>
      <sheetName val="BLDG5"/>
      <sheetName val="BLDG6"/>
      <sheetName val="BLDG7"/>
      <sheetName val="BLDG8"/>
      <sheetName val="BLDG9"/>
      <sheetName val="BLDG10"/>
      <sheetName val="CORRIDOR"/>
      <sheetName val="EXTERIOR"/>
      <sheetName val="SAN.FIX"/>
      <sheetName val="DEPRE - NEW ADD &amp; RETIREMENT"/>
      <sheetName val="DL Focal Adder"/>
      <sheetName val="IDL Focal Adder"/>
      <sheetName val="% USED"/>
      <sheetName val="CPU"/>
      <sheetName val="SPENDING"/>
      <sheetName val="Range"/>
      <sheetName val="VOLUME SUMMARY"/>
      <sheetName val="TOTAL SPENDING VAR"/>
      <sheetName val="FORMJ_TOTAL FE W IHQ"/>
      <sheetName val="FORMJ_TOTAL FE WO IHQ"/>
      <sheetName val="FORMJ_TOTAL IHQ"/>
      <sheetName val="FORMJ_TOTAL DRIVE"/>
      <sheetName val="FORMJ_TOTAL EAO"/>
      <sheetName val="FORMJ_TOTAL HGSA"/>
      <sheetName val="FORMJ_TOTAL SLIDER"/>
      <sheetName val="FORMJ_AMK DRV"/>
      <sheetName val="FORMJ_AMK DRIVE IHQ"/>
      <sheetName val="FORMJ_AMK EAO IHQ"/>
      <sheetName val="FORMJ_AMK ES DRV"/>
      <sheetName val="FORMJ_AMK PS DRV"/>
      <sheetName val="FORMJ_AMK NS DRV"/>
      <sheetName val="FORMJ_WX DRV"/>
      <sheetName val="FORMJ_KRT DRV"/>
      <sheetName val="FORMJ_SZ DRV"/>
      <sheetName val="FORMJ_AMK PCBA"/>
      <sheetName val="FORMJ_AMK PCCA"/>
      <sheetName val="FORMJ_WX PCBA"/>
      <sheetName val="FORMJ_SENAI EAO IHQ"/>
      <sheetName val="FORMJ_SENAI PCBA"/>
      <sheetName val="FORMJ_TPK HGSA"/>
      <sheetName val="FORMJ_KRT HGSA"/>
      <sheetName val="FORMJ_AMK HGSA"/>
      <sheetName val="FORMJ_WX HGSA"/>
      <sheetName val="FORMJ_KRT SLIDER"/>
      <sheetName val="FORMJ_PG SLIDER"/>
      <sheetName val="MS"/>
      <sheetName val="Yield &amp;TT"/>
      <sheetName val="Bubble"/>
      <sheetName val="10K7 LP"/>
      <sheetName val="10K7 LD"/>
      <sheetName val="10K7 LDD"/>
      <sheetName val="CT73LP"/>
      <sheetName val="X15-36LP"/>
      <sheetName val="Cuda180"/>
      <sheetName val="JAN'09"/>
      <sheetName val="BUILD PLAN(P)"/>
      <sheetName val="WW REQ"/>
      <sheetName val="BUILD PLAN(K)"/>
      <sheetName val="Product Matrix"/>
      <sheetName val="Capacity(DGR)"/>
      <sheetName val="Capacity(Vol)"/>
      <sheetName val="HPU(P)"/>
      <sheetName val="HPU(K)"/>
      <sheetName val="!!!!!!!!!!!!!!!!!!!!ASSUMPTIONS"/>
      <sheetName val="Changes (2)"/>
      <sheetName val="YIELD"/>
      <sheetName val="PROBE"/>
      <sheetName val="START SLIDER(P)"/>
      <sheetName val="START SLIDER(K)"/>
      <sheetName val="SLIDER PER BAR"/>
      <sheetName val="START BAR(P)"/>
      <sheetName val="START BAR(K)"/>
      <sheetName val="!!!!!!!!!!!!!!!!!!CARRIER CLEAN"/>
      <sheetName val="HotOil(P)"/>
      <sheetName val="HotOil(K)"/>
      <sheetName val="HobartWasher(P)"/>
      <sheetName val="HobartWasher(K)"/>
      <sheetName val="Superclean(P)"/>
      <sheetName val="Superclean(K)"/>
      <sheetName val="A-prime(P)"/>
      <sheetName val="A-prime(K)"/>
      <sheetName val="30X RowTool(P)"/>
      <sheetName val="30X RowTool(K)"/>
      <sheetName val="CarouselClean(P)"/>
      <sheetName val="WaferGrip(P)"/>
      <sheetName val="WaferGrip(K)"/>
      <sheetName val="Glazing Oven(P)"/>
      <sheetName val="Glazing Oven(K)"/>
      <sheetName val="Auto Adhesive(P)"/>
      <sheetName val="Auto Adhesive(K)"/>
      <sheetName val="Tooling(P)"/>
      <sheetName val="Tooling(K)"/>
      <sheetName val="!!!!!!!!!!!!!!!!!!!!!!!!BAR LAP"/>
      <sheetName val="BTU OVEN(P)"/>
      <sheetName val="BTU OVEN(K)"/>
      <sheetName val="Auto Bar Mount(P)"/>
      <sheetName val="Auto Bar Mount(K)"/>
      <sheetName val="PPL BAR BOW(P)"/>
      <sheetName val="PPL BAR BOW(K)"/>
      <sheetName val="Laser Glue Line(K)"/>
      <sheetName val="Flex Attach (K)"/>
      <sheetName val="Bonder(P)"/>
      <sheetName val="Bonder(K)"/>
      <sheetName val="30X AFTER BOND (K)"/>
      <sheetName val="ABL3-RL(P)"/>
      <sheetName val="ABL3-RL(K)"/>
      <sheetName val="Post RL Clean(P)"/>
      <sheetName val="Post RL Clean(K)"/>
      <sheetName val="Ultrasonic Tank (K)"/>
      <sheetName val="ABL3-FL(P)"/>
      <sheetName val="ABL3-FL(K)"/>
      <sheetName val="PFC FL(P)"/>
      <sheetName val="PFC FL(K)"/>
      <sheetName val="ABL3.6(P)"/>
      <sheetName val="ABL3.6(K)"/>
      <sheetName val="PFC Auto Collimator(P)"/>
      <sheetName val="PFC Auto Collimator (K)"/>
      <sheetName val="Follower Attach &amp; Detach(K)"/>
      <sheetName val="Follower Cleaning(K)"/>
      <sheetName val="WYKO Plate BuyOff(P)"/>
      <sheetName val="WYKO Plate BuyOff(K)"/>
      <sheetName val="PAWS(P)"/>
      <sheetName val="PAWS(K)"/>
      <sheetName val="30X Wire Residue(K)"/>
      <sheetName val="HOT PLATE(P)"/>
      <sheetName val="HOT PLATE(K)"/>
      <sheetName val="DOTP-E(P)"/>
      <sheetName val="DOTP-E(K)"/>
      <sheetName val="SpinDryer(P)"/>
      <sheetName val="SpinDryer(K)"/>
      <sheetName val="30X After Spin(P)"/>
      <sheetName val="30X After Spin(K)"/>
      <sheetName val="ALTIMA(P)"/>
      <sheetName val="ALTIMA(K)"/>
      <sheetName val="30X After Bar Clean(P)"/>
      <sheetName val="30X After Bar Clean(K)"/>
      <sheetName val="ABL3 CELL(P)"/>
      <sheetName val="!!!!!!!!!!!!!!!!!!!!!!!KISS LAP"/>
      <sheetName val="Kiss Lap Mounting(P)"/>
      <sheetName val="Kiss Lap Mounting(K)"/>
      <sheetName val="Kiss Lap(P)"/>
      <sheetName val="Kiss Lap(K)"/>
      <sheetName val="Kiss Lap Cleaning(P)"/>
      <sheetName val="Kiss Lap Cleaning(K)"/>
      <sheetName val="Kiss Lap Dismount(P)"/>
      <sheetName val="Kiss Lap Dismount(K)"/>
      <sheetName val="Kiss Lap ISI(P)"/>
      <sheetName val="Kiss Lap ISI(K)"/>
      <sheetName val="Kiss Lap WYKO(P)"/>
      <sheetName val="Kiss Lap WYKO(K)"/>
      <sheetName val="Kiss Lap Infinity(P)"/>
      <sheetName val="Kiss Lap Infinity(K)"/>
      <sheetName val="Kiss Lap Poron GelFilm Mount(P)"/>
      <sheetName val="Kiss Lap Poron GelFilm Mount(K)"/>
      <sheetName val="!!!!!!!!!!!!!!!!!!!!!!!!COMPOSE"/>
      <sheetName val="ABS Scrubber(P)"/>
      <sheetName val="ABS Scrubber(K)"/>
      <sheetName val="LE Scrubber(P)"/>
      <sheetName val="LE Scrubber(K)"/>
      <sheetName val="2X OCR(P)"/>
      <sheetName val="2X OCR(K)"/>
      <sheetName val="CIIS(P)"/>
      <sheetName val="CIIS(K)"/>
      <sheetName val="Annealing Oven(P)"/>
      <sheetName val="Annealing Oven(K)"/>
      <sheetName val="OCR(P)"/>
      <sheetName val="ACL(P) "/>
      <sheetName val="ACL(K)"/>
      <sheetName val="IBDS(K)"/>
      <sheetName val="!!!!!!!!!!!!!!!!!!!!!!!!PITSTOP"/>
      <sheetName val="BPP(Tin)"/>
      <sheetName val="BPP(Zink)"/>
      <sheetName val="BPP N1 SuperPolish(Tin)"/>
      <sheetName val="BPP DSL(Zink)"/>
      <sheetName val="BPP Kiss Lap(Tin)"/>
      <sheetName val="PLATE Tin N1 Super Polish(P)"/>
      <sheetName val="PLATE Tin N1 Super Polish(K)"/>
      <sheetName val="PLATE Tin Kiss Lap(P)"/>
      <sheetName val="PLATE Tin Kiss Lap(K)"/>
      <sheetName val="PLATE Tin(P)"/>
      <sheetName val="PLATE Tin(K)"/>
      <sheetName val="PLATE Zink(P)"/>
      <sheetName val="PLATE Zink(K)"/>
      <sheetName val="Profiler(P)"/>
      <sheetName val="Profiler(K)"/>
      <sheetName val="Pneumatic Charger(P)"/>
      <sheetName val="Pneumatic Charger(K)"/>
      <sheetName val="Truing(P)"/>
      <sheetName val="Truing(K)"/>
      <sheetName val="Soda Blast(P)"/>
      <sheetName val="Soda Blast(K)"/>
      <sheetName val="Auto Plate Wash(P)"/>
      <sheetName val="Auto Plate Wash(K)"/>
      <sheetName val="NewStyle Charger(P)"/>
      <sheetName val="NewStyle Charger(K)"/>
      <sheetName val="Sum_Product"/>
      <sheetName val="Sum_Process"/>
      <sheetName val="Changes"/>
      <sheetName val="EDUCT"/>
      <sheetName val="SWSY"/>
      <sheetName val="WPS"/>
      <sheetName val="AC1ตรวจสอบท่อน้ำ"/>
      <sheetName val="AC2ตรวจท่อลม"/>
      <sheetName val="AC3ตรวจสอบอุปกรณ์"/>
      <sheetName val="ac4ตู้ไฟฟ้าแอร์"/>
      <sheetName val="ac5ตรวจสอบเครื่องจักรหลัก"/>
      <sheetName val="ac6ตรวจห้องเครื่อง"/>
      <sheetName val="ac7-split type"/>
      <sheetName val="Interial"/>
      <sheetName val="Main_Sum"/>
      <sheetName val="M&amp;PN"/>
      <sheetName val="Sum_ST"/>
      <sheetName val="ST"/>
      <sheetName val="Sum_AR"/>
      <sheetName val="Sum_EE"/>
      <sheetName val="Sum_AC"/>
      <sheetName val="Sum_SN"/>
      <sheetName val="SN"/>
      <sheetName val="Sum_FP"/>
      <sheetName val="FP"/>
      <sheetName val="A&amp;B(1)"/>
      <sheetName val="WORKSHEET"/>
      <sheetName val="Macro2"/>
      <sheetName val="Mask Summary"/>
      <sheetName val="NON PRICE list NON Shippable"/>
      <sheetName val="PPV"/>
      <sheetName val="fgbywk"/>
      <sheetName val="BPR"/>
      <sheetName val="PSG-NSG by Family"/>
      <sheetName val="NSG-AMK"/>
      <sheetName val="PSG-AMK"/>
      <sheetName val="PSG-STWX"/>
      <sheetName val="PSG-STKT"/>
      <sheetName val="STCO"/>
      <sheetName val="PSG-NSG Capacity Variance "/>
      <sheetName val="PSG-NSG Monthly Variance"/>
      <sheetName val="YUMA-CON"/>
      <sheetName val="Enterprise Total"/>
      <sheetName val="STMN"/>
      <sheetName val="AMK"/>
      <sheetName val="Enterprise Variance"/>
      <sheetName val="ESG Monthly Variance"/>
      <sheetName val="Product Table"/>
      <sheetName val="PVM"/>
      <sheetName val="Scrap Per Unit Trend"/>
      <sheetName val="DATA Q3ACT"/>
      <sheetName val="Scrap PRM Per Prime Unit Trend"/>
      <sheetName val="Scrap Rwk Per Rwk UnitTrend "/>
      <sheetName val="JUL&amp;AUG"/>
      <sheetName val="SCP Q1_99 UPD"/>
      <sheetName val="Q4_98ACT"/>
      <sheetName val="SCP_Q1'99_UPD"/>
      <sheetName val="Total Asia"/>
      <sheetName val="External"/>
      <sheetName val="GM-BOQ-EXT (1)"/>
      <sheetName val="GM-BOQ-EXT_(1)"/>
      <sheetName val="GM-BOQ-EXT_(1)2"/>
      <sheetName val="GM-BOQ-EXT_(1)1"/>
      <sheetName val="Sch  3"/>
      <sheetName val="Estimate Condition"/>
      <sheetName val="H1.0"/>
      <sheetName val="2.3.1 อาคาร"/>
      <sheetName val="Structural work"/>
      <sheetName val="sheetNO"/>
      <sheetName val="設備Pe"/>
      <sheetName val="VALVE_RATING"/>
      <sheetName val="SAN-CC"/>
      <sheetName val="(B)Direct"/>
      <sheetName val="BASE"/>
      <sheetName val="Item 1-13"/>
      <sheetName val="สรุปราคาค่าก่อสร้าง"/>
      <sheetName val="ELEC "/>
      <sheetName val="เหล็ก RB, DB"/>
      <sheetName val="โครงสร้าง"/>
      <sheetName val="Unit rate Architecture"/>
      <sheetName val="Shc"/>
      <sheetName val="F"/>
      <sheetName val="J"/>
      <sheetName val="BG (R10)"/>
      <sheetName val="Kentokai Code C From"/>
      <sheetName val="sum BG1"/>
      <sheetName val="CHW(1)"/>
      <sheetName val="CHW (2)"/>
      <sheetName val="CA(1)"/>
      <sheetName val="CA(2)"/>
      <sheetName val="F (1)"/>
      <sheetName val="F (2)"/>
      <sheetName val="Toilet-D (1)"/>
      <sheetName val="Toilet-D (2)"/>
      <sheetName val="Ref.(1)"/>
      <sheetName val="Ref.(2)"/>
      <sheetName val="D AC-(1)"/>
      <sheetName val="RO (1)"/>
      <sheetName val="RO (2)"/>
      <sheetName val="Recycle (1)"/>
      <sheetName val="Recycle (2)"/>
      <sheetName val="PCW(1)"/>
      <sheetName val="Sa(1)"/>
      <sheetName val="Sa(2)"/>
      <sheetName val="SC Duct (1)"/>
      <sheetName val="SC Duct (2)"/>
      <sheetName val="PCW (2)"/>
      <sheetName val="Process D(1)"/>
      <sheetName val="Process D(2)"/>
      <sheetName val="CW (1)"/>
      <sheetName val="CW (2)"/>
      <sheetName val="AC_REDUCED_12"/>
      <sheetName val=" SST72~Shelter"/>
      <sheetName val="S0"/>
      <sheetName val="Footing Work"/>
      <sheetName val="Cost Planing (R) (2)"/>
      <sheetName val="1 (2)"/>
      <sheetName val="Detail Rank Assy 1(4 Oct'07)"/>
      <sheetName val="Detail_Rank_Assy_1(4_Oct'07)"/>
      <sheetName val="Item_1-13"/>
      <sheetName val="เหล็ก_RB,_DB"/>
      <sheetName val="ELEC_"/>
      <sheetName val="_SST72~Shelter"/>
      <sheetName val="BG_(R10)"/>
      <sheetName val="Kentokai_Code_C_From"/>
      <sheetName val="sum_BG1"/>
      <sheetName val="CHW_(2)"/>
      <sheetName val="F_(1)"/>
      <sheetName val="F_(2)"/>
      <sheetName val="Toilet-D_(1)"/>
      <sheetName val="Toilet-D_(2)"/>
      <sheetName val="Ref_(1)"/>
      <sheetName val="Ref_(2)"/>
      <sheetName val="D_AC-(1)"/>
      <sheetName val="RO_(1)"/>
      <sheetName val="RO_(2)"/>
      <sheetName val="Recycle_(1)"/>
      <sheetName val="Recycle_(2)"/>
      <sheetName val="SC_Duct_(1)"/>
      <sheetName val="SC_Duct_(2)"/>
      <sheetName val="PCW_(2)"/>
      <sheetName val="Process_D(1)"/>
      <sheetName val="Process_D(2)"/>
      <sheetName val="CW_(1)"/>
      <sheetName val="CW_(2)"/>
      <sheetName val="Quotation for Mechanical System"/>
      <sheetName val="諸経費"/>
      <sheetName val="清水計算営業税率関連"/>
      <sheetName val="(Input Data)"/>
      <sheetName val="AC_REDUCED_18"/>
      <sheetName val="SAN_REDUCED_18"/>
      <sheetName val="Item_1-135"/>
      <sheetName val="Bill_No__2_-_Carpark5"/>
      <sheetName val="RC_footing5"/>
      <sheetName val="เหล็ก_RB,_DB5"/>
      <sheetName val="Unit_rate_Architecture5"/>
      <sheetName val="ELEC_5"/>
      <sheetName val="BG_(R10)5"/>
      <sheetName val="Kentokai_Code_C_From5"/>
      <sheetName val="sum_BG15"/>
      <sheetName val="CHW_(2)5"/>
      <sheetName val="F_(1)5"/>
      <sheetName val="F_(2)5"/>
      <sheetName val="Toilet-D_(1)5"/>
      <sheetName val="Toilet-D_(2)5"/>
      <sheetName val="Ref_(1)5"/>
      <sheetName val="Ref_(2)5"/>
      <sheetName val="D_AC-(1)5"/>
      <sheetName val="RO_(1)5"/>
      <sheetName val="RO_(2)5"/>
      <sheetName val="Recycle_(1)5"/>
      <sheetName val="Recycle_(2)5"/>
      <sheetName val="SC_Duct_(1)5"/>
      <sheetName val="SC_Duct_(2)5"/>
      <sheetName val="PCW_(2)5"/>
      <sheetName val="Process_D(1)5"/>
      <sheetName val="Process_D(2)5"/>
      <sheetName val="CW_(1)5"/>
      <sheetName val="CW_(2)5"/>
      <sheetName val="_SST72~Shelter5"/>
      <sheetName val="Book_1_Summary5"/>
      <sheetName val="Footing_Work5"/>
      <sheetName val="Cost_Planing_(R)_(2)5"/>
      <sheetName val="1_(2)5"/>
      <sheetName val="AC_REDUCED_13"/>
      <sheetName val="SAN_REDUCED_13"/>
      <sheetName val="Unit_rate_Architecture"/>
      <sheetName val="Footing_Work"/>
      <sheetName val="Cost_Planing_(R)_(2)"/>
      <sheetName val="1_(2)"/>
      <sheetName val="AC_REDUCED_14"/>
      <sheetName val="SAN_REDUCED_14"/>
      <sheetName val="Item_1-131"/>
      <sheetName val="Bill_No__2_-_Carpark1"/>
      <sheetName val="เหล็ก_RB,_DB1"/>
      <sheetName val="Unit_rate_Architecture1"/>
      <sheetName val="ELEC_1"/>
      <sheetName val="BG_(R10)1"/>
      <sheetName val="Kentokai_Code_C_From1"/>
      <sheetName val="sum_BG11"/>
      <sheetName val="CHW_(2)1"/>
      <sheetName val="F_(1)1"/>
      <sheetName val="F_(2)1"/>
      <sheetName val="Toilet-D_(1)1"/>
      <sheetName val="Toilet-D_(2)1"/>
      <sheetName val="Ref_(1)1"/>
      <sheetName val="Ref_(2)1"/>
      <sheetName val="D_AC-(1)1"/>
      <sheetName val="RO_(1)1"/>
      <sheetName val="RO_(2)1"/>
      <sheetName val="Recycle_(1)1"/>
      <sheetName val="Recycle_(2)1"/>
      <sheetName val="SC_Duct_(1)1"/>
      <sheetName val="SC_Duct_(2)1"/>
      <sheetName val="PCW_(2)1"/>
      <sheetName val="Process_D(1)1"/>
      <sheetName val="Process_D(2)1"/>
      <sheetName val="CW_(1)1"/>
      <sheetName val="CW_(2)1"/>
      <sheetName val="_SST72~Shelter1"/>
      <sheetName val="Footing_Work1"/>
      <sheetName val="Cost_Planing_(R)_(2)1"/>
      <sheetName val="1_(2)1"/>
      <sheetName val="AC_REDUCED_15"/>
      <sheetName val="SAN_REDUCED_15"/>
      <sheetName val="Item_1-132"/>
      <sheetName val="Bill_No__2_-_Carpark2"/>
      <sheetName val="เหล็ก_RB,_DB2"/>
      <sheetName val="Unit_rate_Architecture2"/>
      <sheetName val="ELEC_2"/>
      <sheetName val="BG_(R10)2"/>
      <sheetName val="Kentokai_Code_C_From2"/>
      <sheetName val="sum_BG12"/>
      <sheetName val="CHW_(2)2"/>
      <sheetName val="F_(1)2"/>
      <sheetName val="F_(2)2"/>
      <sheetName val="Toilet-D_(1)2"/>
      <sheetName val="Toilet-D_(2)2"/>
      <sheetName val="Ref_(1)2"/>
      <sheetName val="Ref_(2)2"/>
      <sheetName val="D_AC-(1)2"/>
      <sheetName val="RO_(1)2"/>
      <sheetName val="RO_(2)2"/>
      <sheetName val="Recycle_(1)2"/>
      <sheetName val="Recycle_(2)2"/>
      <sheetName val="SC_Duct_(1)2"/>
      <sheetName val="SC_Duct_(2)2"/>
      <sheetName val="PCW_(2)2"/>
      <sheetName val="Process_D(1)2"/>
      <sheetName val="Process_D(2)2"/>
      <sheetName val="CW_(1)2"/>
      <sheetName val="CW_(2)2"/>
      <sheetName val="_SST72~Shelter2"/>
      <sheetName val="Book_1_Summary2"/>
      <sheetName val="Footing_Work2"/>
      <sheetName val="Cost_Planing_(R)_(2)2"/>
      <sheetName val="1_(2)2"/>
      <sheetName val="AC_REDUCED_16"/>
      <sheetName val="SAN_REDUCED_16"/>
      <sheetName val="Item_1-133"/>
      <sheetName val="Bill_No__2_-_Carpark3"/>
      <sheetName val="RC_footing3"/>
      <sheetName val="เหล็ก_RB,_DB3"/>
      <sheetName val="Unit_rate_Architecture3"/>
      <sheetName val="ELEC_3"/>
      <sheetName val="BG_(R10)3"/>
      <sheetName val="Kentokai_Code_C_From3"/>
      <sheetName val="sum_BG13"/>
      <sheetName val="CHW_(2)3"/>
      <sheetName val="F_(1)3"/>
      <sheetName val="F_(2)3"/>
      <sheetName val="Toilet-D_(1)3"/>
      <sheetName val="Toilet-D_(2)3"/>
      <sheetName val="Ref_(1)3"/>
      <sheetName val="Ref_(2)3"/>
      <sheetName val="D_AC-(1)3"/>
      <sheetName val="RO_(1)3"/>
      <sheetName val="RO_(2)3"/>
      <sheetName val="Recycle_(1)3"/>
      <sheetName val="Recycle_(2)3"/>
      <sheetName val="SC_Duct_(1)3"/>
      <sheetName val="SC_Duct_(2)3"/>
      <sheetName val="PCW_(2)3"/>
      <sheetName val="Process_D(1)3"/>
      <sheetName val="Process_D(2)3"/>
      <sheetName val="CW_(1)3"/>
      <sheetName val="CW_(2)3"/>
      <sheetName val="_SST72~Shelter3"/>
      <sheetName val="Book_1_Summary3"/>
      <sheetName val="Footing_Work3"/>
      <sheetName val="Cost_Planing_(R)_(2)3"/>
      <sheetName val="1_(2)3"/>
      <sheetName val="AC_REDUCED_17"/>
      <sheetName val="SAN_REDUCED_17"/>
      <sheetName val="Item_1-134"/>
      <sheetName val="Bill_No__2_-_Carpark4"/>
      <sheetName val="RC_footing4"/>
      <sheetName val="เหล็ก_RB,_DB4"/>
      <sheetName val="Unit_rate_Architecture4"/>
      <sheetName val="ELEC_4"/>
      <sheetName val="BG_(R10)4"/>
      <sheetName val="Kentokai_Code_C_From4"/>
      <sheetName val="sum_BG14"/>
      <sheetName val="CHW_(2)4"/>
      <sheetName val="F_(1)4"/>
      <sheetName val="F_(2)4"/>
      <sheetName val="Toilet-D_(1)4"/>
      <sheetName val="Toilet-D_(2)4"/>
      <sheetName val="Ref_(1)4"/>
      <sheetName val="Ref_(2)4"/>
      <sheetName val="D_AC-(1)4"/>
      <sheetName val="RO_(1)4"/>
      <sheetName val="RO_(2)4"/>
      <sheetName val="Recycle_(1)4"/>
      <sheetName val="Recycle_(2)4"/>
      <sheetName val="SC_Duct_(1)4"/>
      <sheetName val="SC_Duct_(2)4"/>
      <sheetName val="PCW_(2)4"/>
      <sheetName val="Process_D(1)4"/>
      <sheetName val="Process_D(2)4"/>
      <sheetName val="CW_(1)4"/>
      <sheetName val="CW_(2)4"/>
      <sheetName val="_SST72~Shelter4"/>
      <sheetName val="Book_1_Summary4"/>
      <sheetName val="Footing_Work4"/>
      <sheetName val="Cost_Planing_(R)_(2)4"/>
      <sheetName val="1_(2)4"/>
      <sheetName val="AC_REDUCED_19"/>
      <sheetName val="SAN_REDUCED_19"/>
      <sheetName val="Item_1-136"/>
      <sheetName val="RC_footing6"/>
      <sheetName val="เหล็ก_RB,_DB6"/>
      <sheetName val="Unit_rate_Architecture6"/>
      <sheetName val="_SST72~Shelter6"/>
      <sheetName val="ELEC_6"/>
      <sheetName val="BG_(R10)6"/>
      <sheetName val="Kentokai_Code_C_From6"/>
      <sheetName val="sum_BG16"/>
      <sheetName val="CHW_(2)6"/>
      <sheetName val="F_(1)6"/>
      <sheetName val="F_(2)6"/>
      <sheetName val="Toilet-D_(1)6"/>
      <sheetName val="Toilet-D_(2)6"/>
      <sheetName val="Ref_(1)6"/>
      <sheetName val="Ref_(2)6"/>
      <sheetName val="D_AC-(1)6"/>
      <sheetName val="RO_(1)6"/>
      <sheetName val="RO_(2)6"/>
      <sheetName val="Recycle_(1)6"/>
      <sheetName val="Recycle_(2)6"/>
      <sheetName val="SC_Duct_(1)6"/>
      <sheetName val="SC_Duct_(2)6"/>
      <sheetName val="PCW_(2)6"/>
      <sheetName val="Process_D(1)6"/>
      <sheetName val="Process_D(2)6"/>
      <sheetName val="CW_(1)6"/>
      <sheetName val="CW_(2)6"/>
      <sheetName val="Book_1_Summary6"/>
      <sheetName val="Footing_Work6"/>
      <sheetName val="Cost_Planing_(R)_(2)6"/>
      <sheetName val="1_(2)6"/>
      <sheetName val="Detail_Rank_Assy_1(4_Oct'07)1"/>
      <sheetName val="AC_REDUCED_110"/>
      <sheetName val="SAN_REDUCED_110"/>
      <sheetName val="Item_1-137"/>
      <sheetName val="Bill_No__2_-_Carpark7"/>
      <sheetName val="RC_footing7"/>
      <sheetName val="เหล็ก_RB,_DB7"/>
      <sheetName val="Unit_rate_Architecture7"/>
      <sheetName val="_SST72~Shelter7"/>
      <sheetName val="ELEC_7"/>
      <sheetName val="BG_(R10)7"/>
      <sheetName val="Kentokai_Code_C_From7"/>
      <sheetName val="sum_BG17"/>
      <sheetName val="CHW_(2)7"/>
      <sheetName val="F_(1)7"/>
      <sheetName val="F_(2)7"/>
      <sheetName val="Toilet-D_(1)7"/>
      <sheetName val="Toilet-D_(2)7"/>
      <sheetName val="Ref_(1)7"/>
      <sheetName val="Ref_(2)7"/>
      <sheetName val="D_AC-(1)7"/>
      <sheetName val="RO_(1)7"/>
      <sheetName val="RO_(2)7"/>
      <sheetName val="Recycle_(1)7"/>
      <sheetName val="Recycle_(2)7"/>
      <sheetName val="SC_Duct_(1)7"/>
      <sheetName val="SC_Duct_(2)7"/>
      <sheetName val="PCW_(2)7"/>
      <sheetName val="Process_D(1)7"/>
      <sheetName val="Process_D(2)7"/>
      <sheetName val="CW_(1)7"/>
      <sheetName val="CW_(2)7"/>
      <sheetName val="Book_1_Summary7"/>
      <sheetName val="Footing_Work7"/>
      <sheetName val="Cost_Planing_(R)_(2)7"/>
      <sheetName val="1_(2)7"/>
      <sheetName val="Detail_Rank_Assy_1(4_Oct'07)2"/>
      <sheetName val="AC_REDUCED_111"/>
      <sheetName val="SAN_REDUCED_111"/>
      <sheetName val="Item_1-138"/>
      <sheetName val="Bill_No__2_-_Carpark8"/>
      <sheetName val="RC_footing8"/>
      <sheetName val="เหล็ก_RB,_DB8"/>
      <sheetName val="Unit_rate_Architecture8"/>
      <sheetName val="_SST72~Shelter8"/>
      <sheetName val="ELEC_8"/>
      <sheetName val="BG_(R10)8"/>
      <sheetName val="Kentokai_Code_C_From8"/>
      <sheetName val="sum_BG18"/>
      <sheetName val="CHW_(2)8"/>
      <sheetName val="F_(1)8"/>
      <sheetName val="F_(2)8"/>
      <sheetName val="Toilet-D_(1)8"/>
      <sheetName val="Toilet-D_(2)8"/>
      <sheetName val="Ref_(1)8"/>
      <sheetName val="Ref_(2)8"/>
      <sheetName val="D_AC-(1)8"/>
      <sheetName val="RO_(1)8"/>
      <sheetName val="RO_(2)8"/>
      <sheetName val="Recycle_(1)8"/>
      <sheetName val="Recycle_(2)8"/>
      <sheetName val="SC_Duct_(1)8"/>
      <sheetName val="SC_Duct_(2)8"/>
      <sheetName val="PCW_(2)8"/>
      <sheetName val="Process_D(1)8"/>
      <sheetName val="Process_D(2)8"/>
      <sheetName val="CW_(1)8"/>
      <sheetName val="CW_(2)8"/>
      <sheetName val="Book_1_Summary8"/>
      <sheetName val="Footing_Work8"/>
      <sheetName val="Cost_Planing_(R)_(2)8"/>
      <sheetName val="1_(2)8"/>
      <sheetName val="Detail_Rank_Assy_1(4_Oct'07)3"/>
      <sheetName val="AC_REDUCED_112"/>
      <sheetName val="SAN_REDUCED_112"/>
      <sheetName val="Item_1-139"/>
      <sheetName val="Bill_No__2_-_Carpark9"/>
      <sheetName val="RC_footing9"/>
      <sheetName val="เหล็ก_RB,_DB9"/>
      <sheetName val="Unit_rate_Architecture9"/>
      <sheetName val="_SST72~Shelter9"/>
      <sheetName val="ELEC_9"/>
      <sheetName val="BG_(R10)9"/>
      <sheetName val="Kentokai_Code_C_From9"/>
      <sheetName val="sum_BG19"/>
      <sheetName val="CHW_(2)9"/>
      <sheetName val="F_(1)9"/>
      <sheetName val="F_(2)9"/>
      <sheetName val="Toilet-D_(1)9"/>
      <sheetName val="Toilet-D_(2)9"/>
      <sheetName val="Ref_(1)9"/>
      <sheetName val="Ref_(2)9"/>
      <sheetName val="D_AC-(1)9"/>
      <sheetName val="RO_(1)9"/>
      <sheetName val="RO_(2)9"/>
      <sheetName val="Recycle_(1)9"/>
      <sheetName val="Recycle_(2)9"/>
      <sheetName val="SC_Duct_(1)9"/>
      <sheetName val="SC_Duct_(2)9"/>
      <sheetName val="PCW_(2)9"/>
      <sheetName val="Process_D(1)9"/>
      <sheetName val="Process_D(2)9"/>
      <sheetName val="CW_(1)9"/>
      <sheetName val="CW_(2)9"/>
      <sheetName val="Book_1_Summary9"/>
      <sheetName val="Footing_Work9"/>
      <sheetName val="Cost_Planing_(R)_(2)9"/>
      <sheetName val="1_(2)9"/>
      <sheetName val="Detail_Rank_Assy_1(4_Oct'07)4"/>
      <sheetName val="AC_REDUCED_113"/>
      <sheetName val="SAN_REDUCED_113"/>
      <sheetName val="Item_1-1310"/>
      <sheetName val="Bill_No__2_-_Carpark10"/>
      <sheetName val="RC_footing10"/>
      <sheetName val="เหล็ก_RB,_DB10"/>
      <sheetName val="Unit_rate_Architecture10"/>
      <sheetName val="_SST72~Shelter10"/>
      <sheetName val="ELEC_10"/>
      <sheetName val="BG_(R10)10"/>
      <sheetName val="Kentokai_Code_C_From10"/>
      <sheetName val="sum_BG110"/>
      <sheetName val="CHW_(2)10"/>
      <sheetName val="F_(1)10"/>
      <sheetName val="F_(2)10"/>
      <sheetName val="Toilet-D_(1)10"/>
      <sheetName val="Toilet-D_(2)10"/>
      <sheetName val="Ref_(1)10"/>
      <sheetName val="Ref_(2)10"/>
      <sheetName val="D_AC-(1)10"/>
      <sheetName val="RO_(1)10"/>
      <sheetName val="RO_(2)10"/>
      <sheetName val="Recycle_(1)10"/>
      <sheetName val="Recycle_(2)10"/>
      <sheetName val="SC_Duct_(1)10"/>
      <sheetName val="SC_Duct_(2)10"/>
      <sheetName val="PCW_(2)10"/>
      <sheetName val="Process_D(1)10"/>
      <sheetName val="Process_D(2)10"/>
      <sheetName val="CW_(1)10"/>
      <sheetName val="CW_(2)10"/>
      <sheetName val="Book_1_Summary10"/>
      <sheetName val="Footing_Work10"/>
      <sheetName val="Cost_Planing_(R)_(2)10"/>
      <sheetName val="1_(2)10"/>
      <sheetName val="Detail_Rank_Assy_1(4_Oct'07)5"/>
      <sheetName val="AC_REDUCED_114"/>
      <sheetName val="SAN_REDUCED_114"/>
      <sheetName val="Item_1-1311"/>
      <sheetName val="Bill_No__2_-_Carpark11"/>
      <sheetName val="RC_footing11"/>
      <sheetName val="เหล็ก_RB,_DB11"/>
      <sheetName val="Unit_rate_Architecture11"/>
      <sheetName val="_SST72~Shelter11"/>
      <sheetName val="ELEC_11"/>
      <sheetName val="BG_(R10)11"/>
      <sheetName val="Kentokai_Code_C_From11"/>
      <sheetName val="sum_BG111"/>
      <sheetName val="CHW_(2)11"/>
      <sheetName val="F_(1)11"/>
      <sheetName val="F_(2)11"/>
      <sheetName val="Toilet-D_(1)11"/>
      <sheetName val="Toilet-D_(2)11"/>
      <sheetName val="Ref_(1)11"/>
      <sheetName val="Ref_(2)11"/>
      <sheetName val="D_AC-(1)11"/>
      <sheetName val="RO_(1)11"/>
      <sheetName val="RO_(2)11"/>
      <sheetName val="Recycle_(1)11"/>
      <sheetName val="Recycle_(2)11"/>
      <sheetName val="SC_Duct_(1)11"/>
      <sheetName val="SC_Duct_(2)11"/>
      <sheetName val="PCW_(2)11"/>
      <sheetName val="Process_D(1)11"/>
      <sheetName val="Process_D(2)11"/>
      <sheetName val="CW_(1)11"/>
      <sheetName val="CW_(2)11"/>
      <sheetName val="Book_1_Summary11"/>
      <sheetName val="Footing_Work11"/>
      <sheetName val="Cost_Planing_(R)_(2)11"/>
      <sheetName val="1_(2)11"/>
      <sheetName val="Detail_Rank_Assy_1(4_Oct'07)6"/>
      <sheetName val="AC_REDUCED_115"/>
      <sheetName val="SAN_REDUCED_115"/>
      <sheetName val="Item_1-1312"/>
      <sheetName val="Bill_No__2_-_Carpark12"/>
      <sheetName val="RC_footing12"/>
      <sheetName val="เหล็ก_RB,_DB12"/>
      <sheetName val="Unit_rate_Architecture12"/>
      <sheetName val="_SST72~Shelter12"/>
      <sheetName val="ELEC_12"/>
      <sheetName val="BG_(R10)12"/>
      <sheetName val="Kentokai_Code_C_From12"/>
      <sheetName val="sum_BG112"/>
      <sheetName val="CHW_(2)12"/>
      <sheetName val="F_(1)12"/>
      <sheetName val="F_(2)12"/>
      <sheetName val="Toilet-D_(1)12"/>
      <sheetName val="Toilet-D_(2)12"/>
      <sheetName val="Ref_(1)12"/>
      <sheetName val="Ref_(2)12"/>
      <sheetName val="D_AC-(1)12"/>
      <sheetName val="RO_(1)12"/>
      <sheetName val="RO_(2)12"/>
      <sheetName val="Recycle_(1)12"/>
      <sheetName val="Recycle_(2)12"/>
      <sheetName val="SC_Duct_(1)12"/>
      <sheetName val="SC_Duct_(2)12"/>
      <sheetName val="PCW_(2)12"/>
      <sheetName val="Process_D(1)12"/>
      <sheetName val="Process_D(2)12"/>
      <sheetName val="CW_(1)12"/>
      <sheetName val="CW_(2)12"/>
      <sheetName val="Book_1_Summary12"/>
      <sheetName val="Footing_Work12"/>
      <sheetName val="Cost_Planing_(R)_(2)12"/>
      <sheetName val="1_(2)12"/>
      <sheetName val="Detail_Rank_Assy_1(4_Oct'07)7"/>
      <sheetName val="resource1"/>
      <sheetName val="Bill No_ 2 _ Carpark"/>
      <sheetName val="Ratios"/>
      <sheetName val="Bill No. 2"/>
      <sheetName val="Bill_No__2___Carpark"/>
      <sheetName val="Total Cost"/>
      <sheetName val="Meterial"/>
      <sheetName val="Price Jetty"/>
      <sheetName val="Back Up Price Pile"/>
      <sheetName val="Back Up RC Pile"/>
      <sheetName val="Back Up RC"/>
      <sheetName val="DaveScheduleBVA"/>
      <sheetName val="DaveIncurredDeferralFlow"/>
      <sheetName val="A-6110 Analysis"/>
      <sheetName val="absorption tie off"/>
      <sheetName val="HeadCount"/>
      <sheetName val="Capital"/>
      <sheetName val="stop"/>
      <sheetName val="RMO Details"/>
      <sheetName val="3-605 (2)"/>
      <sheetName val="FormJ COS"/>
      <sheetName val="Ess_Spending KTP01"/>
      <sheetName val="Ess_COS P-001433"/>
      <sheetName val="Ess_COS P-001898"/>
      <sheetName val="Past FJ"/>
      <sheetName val="Ess_FormJ"/>
      <sheetName val="drop down ranges"/>
      <sheetName val="Control Sheet"/>
      <sheetName val="DGR"/>
      <sheetName val=" Insertion factors"/>
      <sheetName val="CVR"/>
      <sheetName val="Curr Yr E&amp;P"/>
      <sheetName val="Sampleใหม่"/>
      <sheetName val="SAD"/>
      <sheetName val="Direct D code"/>
      <sheetName val="Consolid"/>
      <sheetName val="Scrap"/>
      <sheetName val="S&amp;M"/>
      <sheetName val="Location"/>
      <sheetName val="ESG-PSG"/>
      <sheetName val="STSV"/>
      <sheetName val="OKC"/>
      <sheetName val="OEM"/>
      <sheetName val="Lease"/>
      <sheetName val="Insertion factors"/>
      <sheetName val="补贴收入"/>
      <sheetName val="财务费用"/>
      <sheetName val="分专业资产负债表"/>
      <sheetName val="管理费用"/>
      <sheetName val="分专业利润分配表"/>
      <sheetName val="上市公司与关联公司往来"/>
      <sheetName val="其他业务利润"/>
      <sheetName val="人工成本"/>
      <sheetName val="所得税"/>
      <sheetName val="投资收益"/>
      <sheetName val="营业费用"/>
      <sheetName val="营业外收入"/>
      <sheetName val="营业外支出"/>
      <sheetName val="主营业务成本"/>
      <sheetName val="主营业务税金及附加"/>
      <sheetName val="主营业务收入长途"/>
      <sheetName val="主营业务收入数据"/>
      <sheetName val="主营业务收入移动"/>
      <sheetName val="主营业务收入固话"/>
      <sheetName val="主营业务收入新时空及其他"/>
      <sheetName val="主营业务收入寻呼"/>
      <sheetName val="month-sum"/>
      <sheetName val="Scenario &amp; Macro"/>
      <sheetName val="TREND_MARFCST"/>
      <sheetName val="FINANCIAL SUMMARY"/>
      <sheetName val="DRIVE"/>
      <sheetName val="EAO"/>
      <sheetName val="HGSA"/>
      <sheetName val="SLIDER"/>
      <sheetName val="spd wo depr"/>
      <sheetName val="Drive per DL"/>
      <sheetName val="Drive per IDL"/>
      <sheetName val="employee per Drive"/>
      <sheetName val="ESS_VOL"/>
      <sheetName val="ESS_SPENDING"/>
      <sheetName val="task"/>
      <sheetName val="ESS_IHQ"/>
      <sheetName val="ESS_EXPAT N REG$"/>
      <sheetName val="ESS_ABS"/>
      <sheetName val="ESS_OCOS"/>
      <sheetName val="ESS_SCRAP"/>
      <sheetName val="ESS_PREPRO SPENDING"/>
      <sheetName val="ESS_PREPRO VOL"/>
      <sheetName val="ESS_PREPRO SCRAP"/>
      <sheetName val="ESS_DM"/>
      <sheetName val="ESS_DEPRE&amp;AMORT."/>
      <sheetName val="ESS_HEADCOUNT"/>
      <sheetName val="WWGL LACROIX"/>
      <sheetName val="FY'00 CO"/>
      <sheetName val="FY99 CAR"/>
      <sheetName val="CAR_Status_May99"/>
      <sheetName val="Prodn_CAR_Track"/>
      <sheetName val="Support_CAR_Track"/>
      <sheetName val="Jun 18-Support Dept"/>
      <sheetName val="FY'00_CO"/>
      <sheetName val="FY99_CAR"/>
      <sheetName val="Jun_18-Support_Dept"/>
      <sheetName val="LQ2"/>
      <sheetName val="TQ2"/>
      <sheetName val="LQ3"/>
      <sheetName val="TQ3"/>
      <sheetName val="LQ4 "/>
      <sheetName val="TQ4"/>
      <sheetName val="SMI"/>
      <sheetName val="J100"/>
      <sheetName val="ELE"/>
      <sheetName val="สรุปราคา"/>
      <sheetName val="A-หมวดค่าใช้จ่ายฯ"/>
      <sheetName val="B-หมวดงานรื้อถอน"/>
      <sheetName val="C-หมวดงานตกแต่งภายใน"/>
      <sheetName val="Ratio"/>
      <sheetName val="Ratio Qty"/>
      <sheetName val="Foundation "/>
      <sheetName val="Column "/>
      <sheetName val="Beam  "/>
      <sheetName val="RC Slab "/>
      <sheetName val="Lift Core  "/>
      <sheetName val="Post-Tens. Slab  "/>
      <sheetName val="RC.Stair  "/>
      <sheetName val="RC wall "/>
      <sheetName val="Typ.F"/>
      <sheetName val="Grand sum"/>
      <sheetName val="Sum Floor"/>
      <sheetName val="Sum Fl."/>
      <sheetName val="Code Footing"/>
      <sheetName val="Code Column"/>
      <sheetName val="G BEAM"/>
      <sheetName val="BEAM"/>
      <sheetName val="WALL"/>
      <sheetName val="C_Beam"/>
      <sheetName val="C_Wall"/>
      <sheetName val="Code Beam"/>
      <sheetName val="G Slab"/>
      <sheetName val="Slab"/>
      <sheetName val="Road"/>
      <sheetName val="Code Slab"/>
      <sheetName val="Post-Tenion"/>
      <sheetName val="Code Post"/>
      <sheetName val="Code Stair"/>
      <sheetName val="STEEL Roof"/>
      <sheetName val="โครงหลังคา"/>
      <sheetName val="Steel"/>
      <sheetName val="สรุปงานโครงสร้าง"/>
      <sheetName val="토공집계표"/>
      <sheetName val="BAL"/>
      <sheetName val="(R05)-PLE-602"/>
      <sheetName val="สรุปราคา (L)"/>
      <sheetName val="Ratio_Qty"/>
      <sheetName val="Foundation_"/>
      <sheetName val="Column_"/>
      <sheetName val="Beam__"/>
      <sheetName val="RC_Slab_"/>
      <sheetName val="Lift_Core__"/>
      <sheetName val="Post-Tens__Slab__"/>
      <sheetName val="RC_Stair__"/>
      <sheetName val="RC_wall_"/>
      <sheetName val="Typ_F"/>
      <sheetName val="Grand_sum"/>
      <sheetName val="Sum_Floor"/>
      <sheetName val="Sum_Fl_"/>
      <sheetName val="Code_Footing"/>
      <sheetName val="Code_Column"/>
      <sheetName val="G_BEAM"/>
      <sheetName val="Code_Beam"/>
      <sheetName val="G_Slab"/>
      <sheetName val="Code_Slab"/>
      <sheetName val="Code_Post"/>
      <sheetName val="Code_Stair"/>
      <sheetName val="STEEL_Roof"/>
      <sheetName val="STD"/>
      <sheetName val="ADO_2552"/>
      <sheetName val="ZPS02"/>
      <sheetName val="Sum(Civil Work)"/>
      <sheetName val="Construction cost assumption"/>
      <sheetName val="JLL Assumption"/>
      <sheetName val="Retail Program&amp;Rev Assumption"/>
      <sheetName val="สรุป_EMC"/>
      <sheetName val="data3"/>
      <sheetName val="อาคารหลัก A"/>
      <sheetName val="Total BOQ"/>
      <sheetName val="4G SUM-SK (Lift&amp;Interior)"/>
      <sheetName val="S-Curve (Lift&amp;Interior)"/>
      <sheetName val="6L4 DETAIL SK"/>
      <sheetName val="S-Curve (R2)"/>
      <sheetName val="SUM."/>
      <sheetName val="(1)Contract"/>
      <sheetName val="(2)PMI 012"/>
      <sheetName val="(3)PMI 014"/>
      <sheetName val="(4)PMI 015"/>
      <sheetName val="(5)PMI 021"/>
      <sheetName val="(6)PMI 022"/>
      <sheetName val="(7)PMI 024"/>
      <sheetName val="(8)PMI 028"/>
      <sheetName val="(9)PMI.."/>
      <sheetName val="(10)PMI."/>
      <sheetName val="( 11)TV"/>
      <sheetName val="ELE.xls"/>
      <sheetName val="เงินกู้ MGC"/>
      <sheetName val="เงินกู้ธนชาติ"/>
      <sheetName val="วัดใต้"/>
      <sheetName val="B-หมวดงานรื้-ถอน"/>
      <sheetName val=" HW บานเลื่อน"/>
      <sheetName val="S4.1_MEP Guestroom"/>
      <sheetName val="file"/>
      <sheetName val="S_x0000_&quot;ì_x0005_Ù_x0000__x0000__x0000_"/>
      <sheetName val="Ratchada"/>
      <sheetName val="EST-FOOTING_(G)1"/>
      <sheetName val="Ratio_Qty1"/>
      <sheetName val="Foundation_1"/>
      <sheetName val="Column_1"/>
      <sheetName val="Beam__1"/>
      <sheetName val="RC_Slab_1"/>
      <sheetName val="Lift_Core__1"/>
      <sheetName val="Post-Tens__Slab__1"/>
      <sheetName val="RC_Stair__1"/>
      <sheetName val="RC_wall_1"/>
      <sheetName val="Typ_F1"/>
      <sheetName val="Grand_sum1"/>
      <sheetName val="Sum_Floor1"/>
      <sheetName val="Sum_Fl_1"/>
      <sheetName val="Code_Footing1"/>
      <sheetName val="Code_Column1"/>
      <sheetName val="G_BEAM1"/>
      <sheetName val="Code_Beam1"/>
      <sheetName val="G_Slab1"/>
      <sheetName val="Code_Slab1"/>
      <sheetName val="Code_Post1"/>
      <sheetName val="Code_Stair1"/>
      <sheetName val="STEEL_Roof1"/>
      <sheetName val="_1"/>
      <sheetName val="สรุปราคา_(L)"/>
      <sheetName val="Construction_cost_assumption"/>
      <sheetName val="JLL_Assumption"/>
      <sheetName val="Retail_Program&amp;Rev_Assumption"/>
      <sheetName val="Cavity_Inputs"/>
      <sheetName val="Sum(Civil_Work)"/>
      <sheetName val="Total_BOQ"/>
      <sheetName val="4G_SUM-SK_(Lift&amp;Interior)"/>
      <sheetName val="S-Curve_(Lift&amp;Interior)"/>
      <sheetName val="6L4_DETAIL_SK"/>
      <sheetName val="S-Curve_(R2)"/>
      <sheetName val="4-Local_transport"/>
      <sheetName val="SUM_"/>
      <sheetName val="(2)PMI_012"/>
      <sheetName val="(3)PMI_014"/>
      <sheetName val="(4)PMI_015"/>
      <sheetName val="(5)PMI_021"/>
      <sheetName val="(6)PMI_022"/>
      <sheetName val="(7)PMI_024"/>
      <sheetName val="(8)PMI_028"/>
      <sheetName val="(9)PMI__"/>
      <sheetName val="(10)PMI_"/>
      <sheetName val="(_11)TV"/>
      <sheetName val="概総括1"/>
      <sheetName val="AC.C"/>
      <sheetName val="Sum SN"/>
      <sheetName val="Main Riser"/>
      <sheetName val="Replacement_Cost_"/>
      <sheetName val="อาคารหลัก_A"/>
      <sheetName val="AC_C"/>
      <sheetName val="aman seri"/>
      <sheetName val="S?&quot;ì_x0005_Ù???"/>
      <sheetName val="S_&quot;ì_x0005_Ù___"/>
      <sheetName val="Cash Flow-1"/>
      <sheetName val="Bal Sheet Trend"/>
      <sheetName val="Output 2 (TTT) (Essbase)"/>
      <sheetName val="F640"/>
      <sheetName val="Add_C"/>
      <sheetName val="Help"/>
      <sheetName val="Spec&amp;Masks"/>
      <sheetName val="海外子会社未払手数料"/>
      <sheetName val="CFTS"/>
      <sheetName val="calTotal"/>
      <sheetName val="FF-1"/>
      <sheetName val="Combine_C4"/>
      <sheetName val="BUD"/>
      <sheetName val="SCH H"/>
      <sheetName val="Pricing"/>
      <sheetName val="Warn-User"/>
      <sheetName val="Equip Hire"/>
      <sheetName val="Excavator"/>
      <sheetName val="Bricklayer"/>
      <sheetName val="Carpenter"/>
      <sheetName val="Plumber"/>
      <sheetName val="Glazier"/>
      <sheetName val="Plasterer"/>
      <sheetName val="Tiler"/>
      <sheetName val="Paint"/>
      <sheetName val="Cabinets"/>
      <sheetName val="Heating"/>
      <sheetName val="Landscape"/>
      <sheetName val="Misc"/>
      <sheetName val="Finish"/>
      <sheetName val="Vary"/>
      <sheetName val="cd"/>
      <sheetName val="calc_menu_déroulant"/>
      <sheetName val="BnQExcelTrial"/>
      <sheetName val="Fixt"/>
      <sheetName val="DL Proj"/>
      <sheetName val="PD"/>
      <sheetName val="ERP"/>
      <sheetName val="สาธารณะ"/>
      <sheetName val="LOTUS-EE1"/>
      <sheetName val="หน้า ปมก"/>
      <sheetName val="Document"/>
      <sheetName val="ภูมิทัศน์"/>
      <sheetName val="EST_FOOTING _G_"/>
      <sheetName val="RW_Option"/>
      <sheetName val="Electrical Systems"/>
      <sheetName val="Plumbing Systems"/>
      <sheetName val="Air Conditioning"/>
      <sheetName val="External work"/>
      <sheetName val="SI-039"/>
      <sheetName val="H1_0"/>
      <sheetName val="หน้า_ปมก"/>
      <sheetName val="EST_FOOTING__G_"/>
      <sheetName val="Present-ex"/>
      <sheetName val="Wkgs_BS Lead"/>
      <sheetName val="วิเคราะห์ (2)"/>
      <sheetName val="Memo"/>
      <sheetName val="รายงานระยะที่ 2 "/>
      <sheetName val="รายการติดต่อ"/>
      <sheetName val="รายงานประกอบการเบิกงวด"/>
      <sheetName val="รายการเคลียแบบ"/>
      <sheetName val="งานAlum. แอมโปรเทค "/>
      <sheetName val="ราคา KYS เพิ่มเติม 2 , 4  "/>
      <sheetName val="เสนอราคางานเพิ่มเติม 2  "/>
      <sheetName val="เสนอราคางานเพิ่มเติม 4 "/>
      <sheetName val="งานเพิ่มเติม งานไฟฟ้า ตกแต่ง "/>
      <sheetName val="งานเพิ่มเติมห้องคนขับรถ"/>
      <sheetName val=" รายการประตู หน้าต่าง"/>
      <sheetName val="รายการอุปกรณ์ประตู หน้าต่าง"/>
      <sheetName val="รายละเอียดประตู หน้าต่าง"/>
      <sheetName val="ปรับราคาประตูหน้าต่าง  2 "/>
      <sheetName val="ราคาประตูหน้าต่าง KYS "/>
      <sheetName val="ปรับราคาประตูหน้าต่าง  2  (2)"/>
      <sheetName val="ปรับราคาประตูหน้าต่าง"/>
      <sheetName val="งานมุ้งลวด"/>
      <sheetName val="เปรียบเทียบราคา D&amp;W 2"/>
      <sheetName val="เปรียบเทียบราคาประตูหน้าต่าง 1."/>
      <sheetName val="แผนงานปรับปรุง"/>
      <sheetName val="แผนงาน"/>
      <sheetName val="งวดงาน (3)"/>
      <sheetName val="สรุปราคา (3)"/>
      <sheetName val="เสนอราคา (3)"/>
      <sheetName val="ราคาโครงสร้าง"/>
      <sheetName val="ราคาสถาปัตย์"/>
      <sheetName val="ราคางานภายนอก"/>
      <sheetName val="ราคางานประปา"/>
      <sheetName val="ราคางานไฟฟ้า"/>
      <sheetName val="งานระบบปรับอากาศ "/>
      <sheetName val="งานระบบปรับอากาศ 2 "/>
      <sheetName val="ปรับราคา"/>
      <sheetName val="ประตู-หน้าต่าง"/>
      <sheetName val="ต่อรองราคา"/>
      <sheetName val="สารบัญ"/>
      <sheetName val="เปรียบเทียบราคา"/>
      <sheetName val="ข้อวินิจฉัย"/>
      <sheetName val="9 ยิ่งสุข"/>
      <sheetName val="รปภ.1"/>
      <sheetName val="รปภ.2"/>
      <sheetName val="รปภ.3"/>
      <sheetName val="รปภ.3 (2)"/>
      <sheetName val="รปภ.3 (3)"/>
      <sheetName val="ราคา KYS เพิ่มเติม 2  "/>
      <sheetName val="ประมาณการประต_หน_าต_าง "/>
      <sheetName val="รายงานระยะที่_2_"/>
      <sheetName val="งานAlum__แอมโปรเทค_"/>
      <sheetName val="ราคา_KYS_เพิ่มเติม_2_,_4__"/>
      <sheetName val="เสนอราคางานเพิ่มเติม_2__"/>
      <sheetName val="เสนอราคางานเพิ่มเติม_4_"/>
      <sheetName val="งานเพิ่มเติม_งานไฟฟ้า_ตกแต่ง_"/>
      <sheetName val="_รายการประตู_หน้าต่าง"/>
      <sheetName val="รายการอุปกรณ์ประตู_หน้าต่าง"/>
      <sheetName val="รายละเอียดประตู_หน้าต่าง"/>
      <sheetName val="ปรับราคาประตูหน้าต่าง__2_"/>
      <sheetName val="ราคาประตูหน้าต่าง_KYS_"/>
      <sheetName val="ปรับราคาประตูหน้าต่าง__2__(2)"/>
      <sheetName val="เปรียบเทียบราคา_D&amp;W_2"/>
      <sheetName val="เปรียบเทียบราคาประตูหน้าต่าง_1_"/>
      <sheetName val="งวดงาน_(3)"/>
      <sheetName val="สรุปราคา_(3)"/>
      <sheetName val="เสนอราคา_(3)"/>
      <sheetName val="งานระบบปรับอากาศ_"/>
      <sheetName val="งานระบบปรับอากาศ_2_"/>
      <sheetName val="9_ยิ่งสุข"/>
      <sheetName val="รปภ_1"/>
      <sheetName val="รปภ_2"/>
      <sheetName val="รปภ_3"/>
      <sheetName val="รปภ_3_(2)"/>
      <sheetName val="รปภ_3_(3)"/>
      <sheetName val="ราคา_KYS_เพิ่มเติม_2__"/>
      <sheetName val="ทด"/>
      <sheetName val="ประมาณการประตูหน้าต่าง_4"/>
      <sheetName val="BOQ1_(2)1"/>
      <sheetName val="QUANTITY_COMPARISON1"/>
      <sheetName val="Main_Sum_(Hotel_&amp;_Residences)1"/>
      <sheetName val="Summary_POL_Equip1"/>
      <sheetName val="Equipment_Rental_Price1"/>
      <sheetName val="BK_Unit_Rate1"/>
      <sheetName val="ประมาณการประตูหน้าต่าง_5"/>
      <sheetName val="FAB별"/>
      <sheetName val="Scope of work Diagram EE"/>
      <sheetName val="received net-BG"/>
      <sheetName val="Summary BG Code"/>
      <sheetName val="Data-ac"/>
      <sheetName val="Data-san"/>
      <sheetName val="Data-EE"/>
      <sheetName val="ZCO5"/>
      <sheetName val="ForecastSummary"/>
      <sheetName val="Report_CH"/>
      <sheetName val="COPY"/>
      <sheetName val="NXP_US"/>
      <sheetName val="NXP_Wuhan"/>
      <sheetName val="FABRINET"/>
      <sheetName val="Sheet (AP)"/>
      <sheetName val="Sheet (JV)"/>
      <sheetName val="no"/>
      <sheetName val="Dealer (3)"/>
      <sheetName val="Dealer (2)"/>
      <sheetName val="Dealer"/>
      <sheetName val="Payment FY'17"/>
      <sheetName val="RA_Only_KQ"/>
      <sheetName val="FTKC,KM,FTM"/>
      <sheetName val="SKY_Inc.MINI"/>
      <sheetName val="Nomal_NOKQ"/>
      <sheetName val="ALL KQ"/>
      <sheetName val="Project_NoKQ"/>
      <sheetName val="by Model 07.19"/>
      <sheetName val="EA"/>
      <sheetName val="DDL"/>
      <sheetName val="Potential Project"/>
      <sheetName val="Project tracking-WCPU,AHU&amp;CWFCU"/>
      <sheetName val="Job Lost Analysis"/>
      <sheetName val="lookup ddlist"/>
      <sheetName val="Project tracking-chiller"/>
      <sheetName val="DL"/>
      <sheetName val="Master Copy "/>
      <sheetName val="Compressor"/>
      <sheetName val="Vessel "/>
      <sheetName val="Control Box "/>
      <sheetName val="Coil "/>
      <sheetName val="Fan Motor"/>
      <sheetName val="Fan#"/>
      <sheetName val="Other Malaysia Item "/>
      <sheetName val="Other Oversea Item "/>
      <sheetName val="Employment Cost "/>
      <sheetName val="Factory Overhead"/>
      <sheetName val="Factory  Variable Cost"/>
      <sheetName val="Weightage"/>
      <sheetName val="Master Copy with GP "/>
      <sheetName val="チェック表原紙月"/>
      <sheetName val="チェック表3月"/>
      <sheetName val="チェック表2月"/>
      <sheetName val="チェック表1月"/>
      <sheetName val="記録表"/>
      <sheetName val="集計表"/>
      <sheetName val="Ｇ別集計表"/>
      <sheetName val="派遣社員残業"/>
      <sheetName val="AK1(7.24)"/>
      <sheetName val="H8調査用紙"/>
      <sheetName val="Confidential"/>
      <sheetName val="Estimation"/>
      <sheetName val="Estimation teishutu"/>
      <sheetName val="BOMOffi"/>
      <sheetName val="BOMN059dai00"/>
      <sheetName val="Price MOQ Sum"/>
      <sheetName val="A Project Entry Info.Sh "/>
      <sheetName val="Preliminary Order"/>
      <sheetName val="B-1 Request For Quotation  "/>
      <sheetName val="B-2 Request For Sample"/>
      <sheetName val="A Project Entry Info_Sh "/>
      <sheetName val="EAP04-0208-3(GBS020831)"/>
      <sheetName val="CJ1"/>
      <sheetName val="GS01"/>
      <sheetName val="DENV"/>
      <sheetName val="DIT受払"/>
      <sheetName val="受払概要"/>
      <sheetName val="split(normal)"/>
      <sheetName val="split(hot summer)"/>
      <sheetName val="QA PA"/>
      <sheetName val="受払い条件"/>
      <sheetName val="SPLIT indoor GMAC"/>
      <sheetName val="04～06年欧州大拡販受払い計画(10.05"/>
      <sheetName val="S-APD"/>
      <sheetName val="費目ﾃﾞｰﾀ"/>
      <sheetName val="SMT見積り 国内DC（KW）E改正"/>
      <sheetName val="SMT見積り 国内AC（LD）E改正"/>
      <sheetName val="タイ見積り Ｂセ生産　国内DC（KW）"/>
      <sheetName val="タイ見積り ＤＩＴ生産　国内DC（KW）"/>
      <sheetName val="SMT見積り 国内DC（KW）Ｄ改正"/>
      <sheetName val="SMT見積り 国内AC（LD）Ｄ改正"/>
      <sheetName val="LD01MT"/>
      <sheetName val="KW01MT"/>
      <sheetName val="電装SMT見積り"/>
      <sheetName val="LB01MT"/>
      <sheetName val="LC01MT"/>
      <sheetName val="SMT見積り 国内AC（LD）"/>
      <sheetName val="SMT見積り 国内DC（KW）"/>
      <sheetName val="電装部品SMT見積り用"/>
      <sheetName val="LD01ET部品 SMT見積り用"/>
      <sheetName val="KW02ET部品 SMT見積り用"/>
      <sheetName val="α統括部品表"/>
      <sheetName val="部品ＤＢ"/>
      <sheetName val="2003年4月3日E改正"/>
      <sheetName val="NEW壁3"/>
      <sheetName val="NEW壁2"/>
      <sheetName val="NEW壁"/>
      <sheetName val="まとめ1"/>
      <sheetName val="PARTSLIST"/>
      <sheetName val="Evaluation of cost calc"/>
      <sheetName val="compare parts cost"/>
      <sheetName val="comparison graph"/>
      <sheetName val="RAP Heat exch"/>
      <sheetName val="RAP Cu pipes"/>
      <sheetName val="製造-1"/>
      <sheetName val="CRIT COMP -1"/>
      <sheetName val="CRIT COMP"/>
      <sheetName val="Item Class"/>
      <sheetName val="CPG0360904BXXX"/>
      <sheetName val="CPG0481154BXXX"/>
      <sheetName val="CPG0601404BXXX "/>
      <sheetName val="DWGs"/>
      <sheetName val="PAR Cost #47560"/>
      <sheetName val="PAR Cost #52120"/>
      <sheetName val="MAT COST"/>
      <sheetName val="EuroV &amp; ETL #47560"/>
      <sheetName val="PAR Cost Overall"/>
      <sheetName val="PAR Cost Overall (2)"/>
      <sheetName val="ETL Cost"/>
      <sheetName val="ETL Cost (2)"/>
      <sheetName val="Intl Prod -1"/>
      <sheetName val="EuroV Cost"/>
      <sheetName val="Models Cost"/>
      <sheetName val="PAR's Summary"/>
      <sheetName val="GAD est"/>
      <sheetName val=".xls]020717"/>
      <sheetName val="ラインＢ会議議事録020717(LB02-009)"/>
      <sheetName val="表紙"/>
      <sheetName val="PILOT KJY1　and  HGT2　"/>
      <sheetName val="GES AND  GMSJAN-FEB　"/>
      <sheetName val="GES AND GMS MAR"/>
      <sheetName val="GES AND GMS AIP"/>
      <sheetName val="GT01"/>
      <sheetName val="GT01国調"/>
      <sheetName val="GS01国調"/>
      <sheetName val="基板代"/>
      <sheetName val="見積り"/>
      <sheetName val="提出用"/>
      <sheetName val="休日"/>
      <sheetName val="GBM見積データ"/>
      <sheetName val="DMIM品名抽出(5.19)"/>
      <sheetName val="上海DIL支給部品（'03.4月14日現在）"/>
      <sheetName val="VRV Summary "/>
      <sheetName val="SR Running"/>
      <sheetName val="VRV Working"/>
      <sheetName val="Multiplier Selection"/>
      <sheetName val="SR Summary"/>
      <sheetName val="DJ Summary"/>
      <sheetName val="All Summary"/>
      <sheetName val="VRV Running Report Apr 2020"/>
      <sheetName val="VRV Summary"/>
      <sheetName val="VRV Running Report Jan 20"/>
      <sheetName val="VRV Running Report Mar 20"/>
      <sheetName val="SR Summary "/>
      <sheetName val="VRV Running Report May 2020"/>
      <sheetName val="Consolidated List_JULY 2020"/>
      <sheetName val="Action Plan_SEP17"/>
      <sheetName val="VRV 4Q Models &amp; Quantity"/>
      <sheetName val="Inquiry Summary_JULY 2020"/>
      <sheetName val="SALES JUNE4_UNOFFICIAL"/>
      <sheetName val="Position, Level"/>
      <sheetName val="BOM"/>
      <sheetName val="Product hierarchy"/>
      <sheetName val="DPH-ukeharai(DAILY UPDATE)"/>
      <sheetName val="reports"/>
      <sheetName val="endinv"/>
      <sheetName val="forecast"/>
      <sheetName val="deliveries"/>
      <sheetName val="openso"/>
      <sheetName val="stockonhand"/>
      <sheetName val="incoming"/>
      <sheetName val="openpo@factory"/>
      <sheetName val="MF"/>
      <sheetName val="p_日バッチt.xls"/>
      <sheetName val="p_%E6%97%A5%E3%83%90%E3%83%83%E"/>
      <sheetName val="MF Dbase"/>
      <sheetName val="Stock Allocation Guide"/>
      <sheetName val="-"/>
      <sheetName val="LY-TY RESULTS"/>
      <sheetName val="VLO60"/>
      <sheetName val="TY RECEIVED"/>
      <sheetName val="MB51"/>
      <sheetName val="MO-END INV"/>
      <sheetName val="MC.9"/>
      <sheetName val="OPEN SO-INCOMING-OPEN PO"/>
      <sheetName val="OPEN SO-INCOMING"/>
      <sheetName val="RESULTS"/>
      <sheetName val="RECEIVED"/>
      <sheetName val="Detailed CMR"/>
      <sheetName val="1.FY20 TTL PJ (Jul24)"/>
      <sheetName val="2.FY20 Forecasted PJ (Jul24)"/>
      <sheetName val="Dealer List"/>
      <sheetName val="HDSD"/>
      <sheetName val="Item"/>
      <sheetName val="DSP(RH) FY19 Price List(元)"/>
      <sheetName val="DSP(RH) FY20 Price List"/>
      <sheetName val="DHOS FY20 Price List"/>
      <sheetName val="model base (FY20 OB) 7.9"/>
      <sheetName val="SBU"/>
      <sheetName val="SALES OFFICE"/>
      <sheetName val="FY19 RES"/>
      <sheetName val="FY20 RES"/>
      <sheetName val="FY20 OB"/>
      <sheetName val="FY20 RB"/>
      <sheetName val="FY20 FF"/>
      <sheetName val="FY20 YTD RES+FCT"/>
      <sheetName val="FY21 OB"/>
      <sheetName val="FY20 FORECAST"/>
      <sheetName val="Closing Report"/>
      <sheetName val="Daily Sales"/>
      <sheetName val="Completed Project List"/>
      <sheetName val="New Project List "/>
      <sheetName val="matching exclude retention"/>
      <sheetName val="DLP Maint.C status020720"/>
      <sheetName val="Project Progress Report"/>
      <sheetName val="Completed Project Report "/>
      <sheetName val="compare w sales file tally "/>
      <sheetName val="ASM - Clean Room"/>
      <sheetName val="ASM Base"/>
      <sheetName val="New List Index"/>
      <sheetName val="New Project List"/>
      <sheetName val="BMS DraftRB"/>
      <sheetName val="BMS Propose PRB"/>
      <sheetName val="BMS FY20"/>
      <sheetName val="FY20 OB - Covid Impact"/>
      <sheetName val="Apr PL"/>
      <sheetName val="May PL"/>
      <sheetName val="May Project Progress Billing"/>
      <sheetName val="Jun PL"/>
      <sheetName val="Progress Billing Jun"/>
      <sheetName val="Valve costing"/>
      <sheetName val="Labour Cost-Jun"/>
      <sheetName val="Apr Project Progress Billing"/>
      <sheetName val="DLP for Rahul Maint Contract"/>
      <sheetName val="New Project List-Local"/>
      <sheetName val="New Project List-Brunei"/>
      <sheetName val="ADD PO OCT"/>
      <sheetName val="SUMMARY SF"/>
      <sheetName val="DAMA INCOMING"/>
      <sheetName val="DHOS"/>
      <sheetName val="FORECAST AND MASTER PLAN"/>
      <sheetName val="SF"/>
      <sheetName val="Model CONVERTER"/>
      <sheetName val="FORECAST TEMPLATE"/>
      <sheetName val="FY20OB"/>
      <sheetName val="FY20RB"/>
      <sheetName val="ROUTE SALES SUMMARY"/>
      <sheetName val="FOR PRESENTATION"/>
      <sheetName val="SLOW"/>
      <sheetName val="JUNE PROBLEM ODD STOCK"/>
      <sheetName val="BW NEW"/>
      <sheetName val="PRODUCT MASTER SAP"/>
      <sheetName val="VRV ID"/>
      <sheetName val="INDOOR VS CONTROLLER"/>
      <sheetName val="Ukeharai by Type"/>
      <sheetName val="Ukeharai by Models"/>
      <sheetName val="DIF (OH vs SAP) Meaning"/>
      <sheetName val="Stock Measurements"/>
      <sheetName val="Ukeharai Logic (Fixed Aserral)"/>
      <sheetName val="Ukeharai Logic (Current)"/>
      <sheetName val="DIF Meaning"/>
      <sheetName val="Ukeharai Logic (Old Draft)"/>
      <sheetName val="Ukeharai Logic (Aserr Draft)"/>
      <sheetName val="Ukeharai Type A,B,C,D"/>
      <sheetName val="OS"/>
      <sheetName val="F4"/>
      <sheetName val="F6"/>
      <sheetName val="I4"/>
      <sheetName val="I4-1"/>
      <sheetName val="I6"/>
      <sheetName val="I7"/>
      <sheetName val="I7-1"/>
      <sheetName val="I7-2"/>
      <sheetName val="J4"/>
      <sheetName val="J4-1"/>
      <sheetName val="J4-2"/>
      <sheetName val="J6"/>
      <sheetName val="JA1"/>
      <sheetName val="K3"/>
      <sheetName val="O4"/>
      <sheetName val="&lt;2&gt;"/>
      <sheetName val="&lt;3  &gt;"/>
      <sheetName val="6-1"/>
      <sheetName val="6-2"/>
      <sheetName val="8-1"/>
      <sheetName val="9-1"/>
      <sheetName val="9-2"/>
      <sheetName val="L4"/>
      <sheetName val="LA1"/>
      <sheetName val="LA1-1"/>
      <sheetName val="LA7"/>
      <sheetName val="R4"/>
      <sheetName val="R4-1"/>
      <sheetName val="R4-1-1"/>
      <sheetName val="R5"/>
      <sheetName val="RB2"/>
      <sheetName val="RB2-1"/>
      <sheetName val="RB2-1-1"/>
      <sheetName val="RB3"/>
      <sheetName val="RA6"/>
      <sheetName val="RC2"/>
      <sheetName val="RC2-1"/>
      <sheetName val="RC4"/>
      <sheetName val="RC5"/>
      <sheetName val="RC6"/>
      <sheetName val="RC7"/>
      <sheetName val="RC8"/>
      <sheetName val="RC9"/>
      <sheetName val="RC10"/>
      <sheetName val="RC11"/>
      <sheetName val="RC12"/>
      <sheetName val="Z2-1"/>
      <sheetName val="Z2.3"/>
      <sheetName val="Z2.6"/>
      <sheetName val="Z2.6-1"/>
      <sheetName val="Z2.7"/>
      <sheetName val="Z2.3 ss"/>
      <sheetName val="Z2-1 ss"/>
      <sheetName val="HLK FC"/>
      <sheetName val="DENV FC"/>
      <sheetName val="DAS FC"/>
      <sheetName val="DHOS FC"/>
      <sheetName val="ABC Report raw"/>
      <sheetName val="Upload FC"/>
      <sheetName val="."/>
      <sheetName val="Series Capacity"/>
      <sheetName val="Working"/>
      <sheetName val="Tsumiage"/>
      <sheetName val="DENV Final buy"/>
      <sheetName val="ACCs Ratio"/>
      <sheetName val="Review"/>
      <sheetName val="Data from Qlik"/>
      <sheetName val="Index_instructions"/>
      <sheetName val="DAS P&amp;Ls  Company"/>
      <sheetName val="Head Office Allocation"/>
      <sheetName val="P&amp;Ls NZD Branch"/>
      <sheetName val="P&amp;Ls Service"/>
      <sheetName val="P&amp;Ls NB"/>
      <sheetName val="P&amp;Ls NZD country"/>
      <sheetName val="P&amp;Ls Dist'n Only"/>
      <sheetName val="prod summary LY"/>
      <sheetName val="Traffic Light Report"/>
      <sheetName val="Traffic Light Data"/>
      <sheetName val="Labour Graphs"/>
      <sheetName val="LY Headcount"/>
      <sheetName val="NZ"/>
      <sheetName val="Service"/>
      <sheetName val="Non-Branch"/>
      <sheetName val="Labour Analysis MTH"/>
      <sheetName val="Turnover per Head"/>
      <sheetName val="Labour workings"/>
      <sheetName val="Distribution"/>
      <sheetName val="Data - Dist'n Budget V7"/>
      <sheetName val="Labour Analysis YTD"/>
      <sheetName val="O-B Trading"/>
      <sheetName val="GP Variance"/>
      <sheetName val="GP Variance YTD"/>
      <sheetName val="GP Variance by Branch ALL"/>
      <sheetName val="Price_Qty var"/>
      <sheetName val="Branch SBU v bud"/>
      <sheetName val="Branch SBU v LY"/>
      <sheetName val="State Volume Graphs Mth"/>
      <sheetName val="SBU Volume Graph"/>
      <sheetName val="Initiatives v LY"/>
      <sheetName val="State Volume Graphs YTD"/>
      <sheetName val="Pivots Inbound Handling by PC"/>
      <sheetName val="Pivots Inbound Hand SBU"/>
      <sheetName val="Inbound handling data"/>
      <sheetName val="Material  SBU and PC"/>
      <sheetName val="FTB Credit"/>
      <sheetName val="NZ comparative"/>
      <sheetName val="NZD Country CY"/>
      <sheetName val="Actual Mth"/>
      <sheetName val="Budget Mth"/>
      <sheetName val="Actual YTD"/>
      <sheetName val="Budget YTD"/>
      <sheetName val="Actual by month"/>
      <sheetName val="MQA YTD CY"/>
      <sheetName val="LY Mth"/>
      <sheetName val="LY YTD"/>
      <sheetName val="NZD Branch CY"/>
      <sheetName val="NZD Country LY"/>
      <sheetName val="NZD Branch LY"/>
      <sheetName val="Service Centres"/>
      <sheetName val="Chart of Accounts"/>
      <sheetName val="Cost Centres"/>
      <sheetName val="LY by Month"/>
      <sheetName val="Trading"/>
      <sheetName val="Acerno_Cache_XXXXX"/>
      <sheetName val="PL Detail"/>
      <sheetName val="PL Detail 2000and3000"/>
      <sheetName val="PL Detail OB"/>
      <sheetName val="PL Detail FY15 (last year)"/>
      <sheetName val="PL comparatives Oct"/>
      <sheetName val="Monthly Balance sheet"/>
      <sheetName val="Collections"/>
      <sheetName val="SmartView4"/>
      <sheetName val="SmartView5"/>
      <sheetName val="SmartView6A"/>
      <sheetName val="SmartView6B"/>
      <sheetName val="SmartView6C"/>
      <sheetName val="SmartView7A"/>
      <sheetName val="SmartView7B"/>
      <sheetName val="SmartView8"/>
      <sheetName val="SmartView11A"/>
      <sheetName val="SmartView11B"/>
      <sheetName val="SmartView11C"/>
      <sheetName val="Form07"/>
      <sheetName val="Debtor days aging"/>
      <sheetName val="Purch est"/>
      <sheetName val="Form5_ifrs"/>
      <sheetName val="SGA form_ifrs"/>
      <sheetName val="NEW SGA form_ifrs"/>
      <sheetName val="Form(6)_ifrs"/>
      <sheetName val="11_H1_con_ifrs"/>
      <sheetName val="11_H2_con_ifrs"/>
      <sheetName val="11_form_con_ifrs"/>
      <sheetName val="Form12_ifrs"/>
      <sheetName val="Form12_ifrs_rounded"/>
      <sheetName val="Common PL detail DIT format"/>
      <sheetName val="Common PL DIT format"/>
      <sheetName val="Common BS detail DIT format"/>
      <sheetName val="Common BS DIT format"/>
      <sheetName val="Common Mgmt index DIT format"/>
      <sheetName val="Check List"/>
      <sheetName val="DIS FCST"/>
      <sheetName val="DIT FCST"/>
      <sheetName val="DIL FCST"/>
      <sheetName val="DHS FCST"/>
      <sheetName val="DENV FCST"/>
      <sheetName val="PO Support sheet"/>
      <sheetName val="DIS PO"/>
      <sheetName val="DIT PO"/>
      <sheetName val="DIL PO"/>
      <sheetName val="DHP PO"/>
      <sheetName val="DENV PO"/>
      <sheetName val="MONTHLY Report"/>
      <sheetName val="UKEHARAI (MONTHLY)"/>
      <sheetName val="On Hand"/>
      <sheetName val="IT-PO DATA"/>
      <sheetName val="90 Days FCST"/>
      <sheetName val="BLOG-HJ DATA"/>
      <sheetName val="SF DATA"/>
      <sheetName val="FY18 RES"/>
      <sheetName val="FY17 RES"/>
      <sheetName val="HIST FY14-16 RES"/>
      <sheetName val="FY19 OB (IN)"/>
      <sheetName val="FY18 OB (Out)"/>
      <sheetName val="NEW LP GOD"/>
      <sheetName val="SAPBEXqueriesDefunct"/>
      <sheetName val="SAPBEXfiltersDefunct"/>
      <sheetName val="Master Frame2"/>
      <sheetName val="BExRepositorySheet"/>
      <sheetName val="Master Frame1"/>
      <sheetName val="SNP Req Plan ETD(W)"/>
      <sheetName val="Prio Data"/>
      <sheetName val="Master Sheet"/>
      <sheetName val="Master Data"/>
      <sheetName val="Applied_DAMA Pvs"/>
      <sheetName val="DSZ Pvs"/>
      <sheetName val="Heating_IG Pvs"/>
      <sheetName val="Applied DIL Pvs"/>
      <sheetName val="COMM_GREE Pvs"/>
      <sheetName val="COMM_DIL AL Pvs"/>
      <sheetName val="COMM_DAMA Pvs"/>
      <sheetName val="COMM_DIT Pvs"/>
      <sheetName val="COMM_DIL Pvs"/>
      <sheetName val="Res DIL Pvs"/>
      <sheetName val="Res DIT Pvs"/>
      <sheetName val="Pvs Reply"/>
      <sheetName val="Res DIT Req"/>
      <sheetName val="Res DIL Req"/>
      <sheetName val="COMM_DIL Req"/>
      <sheetName val="COMM_DIT Req"/>
      <sheetName val="COMM_DAMA Req"/>
      <sheetName val="COMM_DIL AL Req"/>
      <sheetName val="COMM_GREE Req"/>
      <sheetName val="Applied DIL Req"/>
      <sheetName val="Heating_IG Req"/>
      <sheetName val="DSZ Req"/>
      <sheetName val="Applied_DAMA Req"/>
      <sheetName val="Reply DENV format"/>
      <sheetName val="REPLY"/>
      <sheetName val="Purch_Request"/>
      <sheetName val="DMB購入進捗(20190408)"/>
      <sheetName val="DMB購入進捗(20190412)"/>
      <sheetName val="DMB購入進捗(20190517)"/>
      <sheetName val="DMB購入進捗(20190605) "/>
      <sheetName val="DMB購入進捗(0614)"/>
      <sheetName val="DMB購入進捗(0614新)"/>
      <sheetName val="DMB購入進捗(20190704)"/>
      <sheetName val="DMB購入進捗(20190823)"/>
      <sheetName val="製品ﾏｽﾀ全件"/>
      <sheetName val="予算大分類名称"/>
      <sheetName val="DHOS Order"/>
      <sheetName val="DID"/>
      <sheetName val="DMSS"/>
      <sheetName val="DID-2"/>
      <sheetName val="DAMX"/>
      <sheetName val="DNZ"/>
      <sheetName val="DALA"/>
      <sheetName val="DEC"/>
      <sheetName val="APRIL"/>
      <sheetName val="Ukeharai"/>
      <sheetName val="NOV NOT IN OS"/>
      <sheetName val="Company Details"/>
      <sheetName val="Company Inventory"/>
      <sheetName val="Refrigeration &amp; Airconditioning"/>
      <sheetName val="Open Cell Foam"/>
      <sheetName val="Fire Suppression"/>
      <sheetName val="Aerosols"/>
      <sheetName val="Solvents"/>
      <sheetName val="List of HFCs"/>
      <sheetName val="Order Sheet"/>
      <sheetName val="SALES_PLAN"/>
      <sheetName val="Ukekahai_Plan"/>
      <sheetName val="Ukekahai_Plan (3)"/>
      <sheetName val="9月回答"/>
      <sheetName val="Form 1-A"/>
      <sheetName val="Form 1-B"/>
      <sheetName val="Form 2 (ETD base)"/>
      <sheetName val="FY20-21 MP Sales"/>
      <sheetName val="End Mar Stock ETA"/>
      <sheetName val="INPUT 03"/>
      <sheetName val="INPUT FORCAST"/>
      <sheetName val="F2003_DIL"/>
      <sheetName val="FC2003_DIL"/>
      <sheetName val="F2003_REVBUDGET"/>
      <sheetName val="balans F2003 DIL"/>
      <sheetName val="balans FC2003 DIL"/>
      <sheetName val="Raw Data"/>
      <sheetName val="BEx"/>
      <sheetName val="BExStyles"/>
      <sheetName val="BExAnalyzer"/>
      <sheetName val="Standard Pricing"/>
      <sheetName val="Applied $1"/>
      <sheetName val="changes to file"/>
      <sheetName val="Ringi SCE"/>
      <sheetName val="DIT"/>
      <sheetName val="DIL"/>
      <sheetName val="DAMA rooftop post 20180801"/>
      <sheetName val="DAMA Chilled water"/>
      <sheetName val="DENV map to base model"/>
      <sheetName val="DNZ pricelist as at 20190401"/>
      <sheetName val="Freight assumptions"/>
      <sheetName val="Duty assumptions"/>
      <sheetName val="FC assumptions"/>
      <sheetName val="1Non current"/>
      <sheetName val="2Non current"/>
      <sheetName val="3Non current"/>
      <sheetName val="4Non current"/>
      <sheetName val="ZHAN_local freight assumption"/>
      <sheetName val="test std reval impact"/>
      <sheetName val="VRV IDU-Export"/>
      <sheetName val="VRV IDU"/>
      <sheetName val="VRV Sales Ratio"/>
      <sheetName val="Summary-Series Wise"/>
      <sheetName val="Accesories"/>
      <sheetName val="OK KIZAI FC"/>
      <sheetName val="Contact List"/>
      <sheetName val="RAW Price list"/>
      <sheetName val="HOTAI1912"/>
      <sheetName val="DACL1912"/>
      <sheetName val="DMBR1912BRL"/>
      <sheetName val="DMBR1912USD"/>
      <sheetName val="DENV1912"/>
      <sheetName val="DAV1912"/>
      <sheetName val="DAMA2001"/>
      <sheetName val="DMSS2001"/>
      <sheetName val="DENV(FOB)"/>
      <sheetName val="DENV R2 "/>
      <sheetName val="DENV R2 (FOB)"/>
      <sheetName val="DID R2"/>
      <sheetName val="HOTAIR2"/>
      <sheetName val="DAMA"/>
      <sheetName val="DARGR2"/>
      <sheetName val="DARG"/>
      <sheetName val="DMBR1909(USD)"/>
      <sheetName val="DMBR1909V2"/>
      <sheetName val="DMBR"/>
      <sheetName val="DALAR2"/>
      <sheetName val="DAMXv2"/>
      <sheetName val="DASR2"/>
      <sheetName val="DNZR2"/>
      <sheetName val="DAIPL"/>
      <sheetName val="DAIPLR2"/>
      <sheetName val="DAVr2"/>
      <sheetName val="DAVR2V2"/>
      <sheetName val="RA-NonPJ-Dealer"/>
      <sheetName val="RA-PJ-Dealer"/>
      <sheetName val="RA-NonPJ-Trade"/>
      <sheetName val="RA-PJ-Trade"/>
      <sheetName val="SKY-Dealer"/>
      <sheetName val="YTD SKY-Dealer"/>
      <sheetName val="SKY-Trade"/>
      <sheetName val="VRV-Dealer"/>
      <sheetName val="VRV-Trade"/>
      <sheetName val="Links"/>
      <sheetName val="Valuation - Sample Design "/>
      <sheetName val="Stock in transit"/>
      <sheetName val="Valuation - wAvg Test"/>
      <sheetName val="Aging Test"/>
      <sheetName val="Provision Testing"/>
      <sheetName val="XREF"/>
      <sheetName val="AS2Lead"/>
      <sheetName val="WIP Testing "/>
      <sheetName val="Stock in transit (Finals)"/>
      <sheetName val="Provision Testing (Finals)"/>
      <sheetName val="Budget Process"/>
      <sheetName val="Sample Design &amp; Audit Procedure"/>
      <sheetName val="Project Testing &amp; Analysis-Oct"/>
      <sheetName val="Project Income TOD-Oct"/>
      <sheetName val="Project Testing &amp; Analysis-Dec"/>
      <sheetName val="Project Income TOD-Dec"/>
      <sheetName val="Project COS TOD"/>
      <sheetName val="Note for auditors"/>
      <sheetName val="JDE system"/>
      <sheetName val="Project closure form"/>
      <sheetName val="Determination of Threshold"/>
      <sheetName val="Data Sheet"/>
      <sheetName val="Threshold Table"/>
      <sheetName val="Worksheet in     Substantive An"/>
      <sheetName val="Threshold"/>
      <sheetName val="Determination of Threshold (2)"/>
      <sheetName val="Threshold Table (2)"/>
      <sheetName val="Determination of Threshold 1"/>
      <sheetName val="Threshold (Mgmt Fee)"/>
      <sheetName val="Threshold (Rental)"/>
      <sheetName val="Dashboard"/>
      <sheetName val="Overview by Product"/>
      <sheetName val="Sales &amp; GP"/>
      <sheetName val="Sales &amp; GP (2)"/>
      <sheetName val="GP"/>
      <sheetName val="Overview by Country"/>
      <sheetName val="RH_ Cost"/>
      <sheetName val="DHOS_ Cost"/>
      <sheetName val="8000 - Monthly"/>
      <sheetName val="8000 - Weekly"/>
      <sheetName val="8000 (qty)"/>
      <sheetName val="8000 - Weekly (GP)"/>
      <sheetName val="8000 - Weekly (Qty)"/>
      <sheetName val="1500 - Monthly"/>
      <sheetName val="1500 - Weekly"/>
      <sheetName val="Finals"/>
      <sheetName val="DGT&amp;HP"/>
      <sheetName val="SD"/>
      <sheetName val="Customer DSP-RH"/>
      <sheetName val="Model DSP-RH"/>
      <sheetName val="Model DHOS"/>
      <sheetName val="OS Sales"/>
      <sheetName val="Monthly Budget vs OS (GP)"/>
      <sheetName val="Monthly Budget vs OS (GP) DIL"/>
      <sheetName val="3 mths vs OS (GP) DIL Sales"/>
      <sheetName val="3 mths vs OS (GP) DIL Qty"/>
      <sheetName val="Monthly Budget vs OS (C)"/>
      <sheetName val="Monthly Budget vs OS (C) DIL"/>
      <sheetName val="Data - Apr 17 OS Sale"/>
      <sheetName val="DSP Costing"/>
      <sheetName val="DSP Past Sales"/>
      <sheetName val="DSP Stock on hand 9 Apr"/>
      <sheetName val="DSP True Cost"/>
      <sheetName val="SVM"/>
      <sheetName val="DHOS Stock on hand 10 mar"/>
      <sheetName val="OH stock 060320"/>
      <sheetName val="Mar 10 OS Sales"/>
      <sheetName val="SO"/>
      <sheetName val="PO REMAINING PIVOT"/>
      <sheetName val="PO REMAINNING"/>
      <sheetName val="ESTKFEB"/>
      <sheetName val="DHOS Order - JUN20"/>
      <sheetName val="May20 DIL Reply"/>
      <sheetName val="DHOS Order - MAY20"/>
      <sheetName val="Apr20 DIL Reply"/>
      <sheetName val="DHOS Order - APR20"/>
      <sheetName val="Mar20 DIL Reply"/>
      <sheetName val="DHOS Order - MAR20"/>
      <sheetName val="Feb20 DIL Reply"/>
      <sheetName val="DHOS Order - Feb20"/>
      <sheetName val="Jan20 DIL Reply"/>
      <sheetName val="DHOS Order - Jan20"/>
      <sheetName val="Ukeharai Request"/>
      <sheetName val="DAV Forecast (Refnet)"/>
      <sheetName val="Ukeharai Review"/>
      <sheetName val="Sales order"/>
      <sheetName val="CALENDARIO CICLO VRV"/>
      <sheetName val="Susurros Analysis"/>
      <sheetName val="DHOS FCST"/>
      <sheetName val="DAMA FCST"/>
      <sheetName val="Stock FCST"/>
      <sheetName val="DHOS PO"/>
      <sheetName val="DAMA PO"/>
      <sheetName val="FY20 OB (IN)"/>
      <sheetName val="Introductory Notes"/>
      <sheetName val="Declaration"/>
      <sheetName val="Aircon"/>
      <sheetName val="Portable Aircon"/>
      <sheetName val="VRF Aircon"/>
      <sheetName val="Refrigerator"/>
      <sheetName val="Clothes dryer "/>
      <sheetName val="Television"/>
      <sheetName val="Washing machine"/>
      <sheetName val="Water heater"/>
      <sheetName val="Lamps - Regulated"/>
      <sheetName val="Lamps - Non-Regulated"/>
      <sheetName val="Ballast"/>
      <sheetName val="Sheet 1"/>
      <sheetName val="Sheet 2"/>
      <sheetName val="DHOS Order - JUL20"/>
      <sheetName val="Jun20 DIL Reply"/>
      <sheetName val="8CURR"/>
      <sheetName val="4CURR"/>
      <sheetName val="JPY-BEF"/>
      <sheetName val="GBP-BEF"/>
      <sheetName val="DEM-BEF"/>
      <sheetName val="USD-BEF"/>
      <sheetName val="ESP-BEF"/>
      <sheetName val="GRD-BEF"/>
      <sheetName val="FRF-BEF"/>
      <sheetName val="ITL-BEF"/>
      <sheetName val="FRF-JPY"/>
      <sheetName val="ESP-JPY"/>
      <sheetName val="GRD-JPY"/>
      <sheetName val="USD-JPY"/>
      <sheetName val="print"/>
      <sheetName val="cfl"/>
      <sheetName val="INT"/>
      <sheetName val="sal"/>
      <sheetName val="coll"/>
      <sheetName val="sal-col"/>
      <sheetName val="par"/>
      <sheetName val="paycond"/>
      <sheetName val="cr-insur"/>
      <sheetName val="spec it."/>
      <sheetName val="dil-gal"/>
      <sheetName val="duties"/>
      <sheetName val="purchase"/>
      <sheetName val="exp-inv"/>
      <sheetName val=" vat"/>
      <sheetName val="JPYinp"/>
      <sheetName val="JPY inp (2)"/>
      <sheetName val="JPYoutp"/>
      <sheetName val="JPY Options "/>
      <sheetName val="jpyC"/>
      <sheetName val="jpyS"/>
      <sheetName val="jpyFX"/>
      <sheetName val="jpyB"/>
      <sheetName val="GBPinp"/>
      <sheetName val="GBPinp(2)"/>
      <sheetName val="GBPoutp"/>
      <sheetName val="GBP Options"/>
      <sheetName val="gbpC"/>
      <sheetName val="gbpS"/>
      <sheetName val="gbp FX"/>
      <sheetName val="gbpB"/>
      <sheetName val="USDinp"/>
      <sheetName val="USDinp(2)"/>
      <sheetName val="USDoutp"/>
      <sheetName val="usdC"/>
      <sheetName val="usdS"/>
      <sheetName val="usd FX"/>
      <sheetName val="usdB"/>
      <sheetName val="THBinp"/>
      <sheetName val="THBoutp"/>
      <sheetName val="thbC"/>
      <sheetName val="thbS"/>
      <sheetName val="thbB"/>
      <sheetName val="THB-USD"/>
      <sheetName val="disc"/>
      <sheetName val="SALforecast"/>
      <sheetName val="salbudget"/>
      <sheetName val="salbudget -orig"/>
      <sheetName val="1. Target setting"/>
      <sheetName val="2. Countermeasures"/>
      <sheetName val="Input Send Data"/>
      <sheetName val="PL Overview"/>
      <sheetName val="Consolidated sales"/>
      <sheetName val="Cons.PL &amp; BS"/>
      <sheetName val="Details consolidated stock"/>
      <sheetName val="Consolidated Stock Overview"/>
      <sheetName val="CF RB05"/>
      <sheetName val="AR AP"/>
      <sheetName val="Details AR"/>
      <sheetName val="Short term loans receivable"/>
      <sheetName val="Participation"/>
      <sheetName val="Interco PL"/>
      <sheetName val="Interco BS"/>
      <sheetName val="Prist DENV units"/>
      <sheetName val="Prist DICZ units"/>
      <sheetName val="Split up stock by source"/>
      <sheetName val="NETGM%"/>
      <sheetName val="Overview FY04-B05"/>
      <sheetName val="空"/>
      <sheetName val="A2. Version overview (COMP)"/>
      <sheetName val="A1. Comparison sheet"/>
      <sheetName val="A2. Version overview"/>
      <sheetName val="A3. Comparison sheet (2)"/>
      <sheetName val="Transaction"/>
      <sheetName val="Sales Plan HLG"/>
      <sheetName val="GBP-USD-JPY-GRD"/>
      <sheetName val="GBP-USD-JPY-GRD(2)"/>
      <sheetName val="THB"/>
      <sheetName val="Graphs"/>
      <sheetName val="Lookup Budget rates"/>
      <sheetName val="Stock"/>
      <sheetName val="INTRO TO COMQUEST"/>
      <sheetName val="COMQUEST ESTIMATE"/>
      <sheetName val="COMQUEST QUOTE"/>
      <sheetName val="MASTER PRICE DATA"/>
      <sheetName val="PRICE CATAGORIES"/>
      <sheetName val="Difference on sales"/>
      <sheetName val="GM% per country"/>
      <sheetName val="CONS"/>
      <sheetName val="RB DENV"/>
      <sheetName val="prist DEU"/>
      <sheetName val="Inventory Plan"/>
      <sheetName val="GM %"/>
      <sheetName val="Att 2 GM% Prist"/>
      <sheetName val="C PL"/>
      <sheetName val="External PBT"/>
      <sheetName val="External Stock"/>
      <sheetName val="trans PL Q3"/>
      <sheetName val="trans PL Q4"/>
      <sheetName val="Selection Sheet"/>
      <sheetName val="GUIDELINE"/>
      <sheetName val="PL BDG F2002 DIL"/>
      <sheetName val="GM CORRECTIONS"/>
      <sheetName val="Retrieve Expenses"/>
      <sheetName val="Retrieve Labour"/>
      <sheetName val="Retrieve Other Non Op 25th ANNI"/>
      <sheetName val="Retrieve Other Non Operating"/>
      <sheetName val="Other Non Operating"/>
      <sheetName val="Retrieve Non Operating Fin."/>
      <sheetName val="Retrieve Interest"/>
      <sheetName val="Retrieve Exceptions"/>
      <sheetName val="Inventory DENV"/>
      <sheetName val="Data for trans PL"/>
      <sheetName val="Data for trans BS"/>
      <sheetName val="NET INCOME"/>
      <sheetName val="BSdetail"/>
      <sheetName val="ASSTS"/>
      <sheetName val="LIABLTS"/>
      <sheetName val="==&gt;"/>
      <sheetName val="INVEST"/>
      <sheetName val="BALANCE"/>
      <sheetName val="S.G.A."/>
      <sheetName val="MANUF"/>
      <sheetName val="PL ANALYSIS"/>
      <sheetName val="INVENT PLAN Sep"/>
      <sheetName val="INVENT PLAN"/>
      <sheetName val="INVENT CONTROL"/>
      <sheetName val="INVESTMENT"/>
      <sheetName val="-OTH"/>
      <sheetName val="PERSONNEL"/>
      <sheetName val="MANAG"/>
      <sheetName val="TRANS 1 HALF"/>
      <sheetName val="TRANS END"/>
      <sheetName val="&lt;=="/>
      <sheetName val="ASSETS(old)"/>
      <sheetName val="LIABILITIES(old)"/>
      <sheetName val="MFG"/>
      <sheetName val="S.G.A. (old)"/>
      <sheetName val="SAL_PROD"/>
      <sheetName val="SAL_COUNTRY"/>
      <sheetName val="INV"/>
      <sheetName val="Loan"/>
      <sheetName val="INVESTMENT_AFFIL"/>
      <sheetName val="INV_PLAN MARCH F2000"/>
      <sheetName val="INV_PLAN SEPT F2001"/>
      <sheetName val="INV_PLAN MARCH F2001"/>
      <sheetName val="TRANSACTION B F2001"/>
      <sheetName val="TRANS FCF SEPT (old)"/>
      <sheetName val="TRANS FCF (old)"/>
      <sheetName val="PERSONNEL_PLAN (old)"/>
      <sheetName val="Forecast F01"/>
      <sheetName val="P&amp;L FCF"/>
      <sheetName val="BALANCE-"/>
      <sheetName val="S.G.A. FCF"/>
      <sheetName val="VAR FCF"/>
      <sheetName val="PL ANALSYSIS FCF"/>
      <sheetName val="INVENT PLAN FCF"/>
      <sheetName val="INVENT CONTROL FCF"/>
      <sheetName val="INVEST OTHERS FCF"/>
      <sheetName val="PERSONNEL FCF"/>
      <sheetName val="TRANSACTION LIST FCF"/>
      <sheetName val="MAN. INDIC FCF"/>
      <sheetName val="TRANS NEW"/>
      <sheetName val="Price Data (do not change)"/>
      <sheetName val="Internal Quotation Sheet"/>
      <sheetName val="Auto Enquiry Sheet"/>
      <sheetName val="Auto External Quote"/>
      <sheetName val="Read me first!"/>
      <sheetName val="Ukeharai HLG"/>
      <sheetName val="Ukeharai Comp Group"/>
      <sheetName val="Free Pivot"/>
      <sheetName val="Overview (2)"/>
      <sheetName val="単独売上粗利シート"/>
      <sheetName val="為替入力用シート"/>
      <sheetName val="July UKEHARAI"/>
      <sheetName val="YTD+BACKLOG+FCST"/>
      <sheetName val="MARCH STOCK"/>
      <sheetName val="ZMMR013_20190830_071503"/>
      <sheetName val="P&amp;L April Detail"/>
      <sheetName val="P&amp;L Detail May "/>
      <sheetName val="P&amp;L Detail June"/>
      <sheetName val="P&amp;L Detail July"/>
      <sheetName val="P&amp;L Detail Aug"/>
      <sheetName val="P&amp;L Detail Sept"/>
      <sheetName val="P&amp;L Detail Oct"/>
      <sheetName val="P&amp;L Detail Nov"/>
      <sheetName val="P&amp;L Detail Dec"/>
      <sheetName val="P&amp;L Detail Jan 20"/>
      <sheetName val="P&amp;L Detail Feb"/>
      <sheetName val="P&amp;L Detail Mar"/>
      <sheetName val="FF19"/>
      <sheetName val="FY19 Breakdown"/>
      <sheetName val="FY19Budget vs Actual"/>
      <sheetName val="YOY"/>
      <sheetName val="YOY Actual"/>
      <sheetName val="OH STOCK DHOS 310820"/>
      <sheetName val="TOUCHDOWN"/>
      <sheetName val="ROUTE SALES SUMMARY AUG"/>
      <sheetName val="Ukeharai by amount"/>
      <sheetName val="New Project List-checking"/>
      <sheetName val="Asumsi"/>
      <sheetName val="Transfer Dokumen"/>
      <sheetName val="Informasi Pribadi"/>
      <sheetName val="Profil Resiko"/>
      <sheetName val="Net Worth"/>
      <sheetName val="NW"/>
      <sheetName val="NW Pivot"/>
      <sheetName val="CF-renov"/>
      <sheetName val="CF"/>
      <sheetName val="Tujuan Finansial"/>
      <sheetName val="Darurat"/>
      <sheetName val="Pensiun"/>
      <sheetName val="Pendidikan"/>
      <sheetName val="Pend1"/>
      <sheetName val="Pend2"/>
      <sheetName val="AloPend"/>
      <sheetName val="Tujuan Lain"/>
      <sheetName val="Proteksi"/>
      <sheetName val="Asuransi Jiwa"/>
      <sheetName val="Asuransi Lain"/>
      <sheetName val="Produk"/>
      <sheetName val="Rekomendasi"/>
      <sheetName val="Implementasi"/>
      <sheetName val="Implementasi (2)"/>
      <sheetName val="Panduan"/>
      <sheetName val="Resume"/>
      <sheetName val="Langkah"/>
      <sheetName val="Pivot1"/>
      <sheetName val="PivotMI"/>
      <sheetName val="PPT1"/>
      <sheetName val="PPT2"/>
      <sheetName val="Chart3"/>
      <sheetName val="Chart4"/>
      <sheetName val="Chart5"/>
      <sheetName val="Chart6"/>
      <sheetName val="Chart7"/>
      <sheetName val="Chart8"/>
      <sheetName val="Chart9"/>
      <sheetName val="CFProMo"/>
      <sheetName val="CFProYr"/>
      <sheetName val="Informasi Pribadi "/>
      <sheetName val="BP MDC"/>
      <sheetName val="BP PER CHANNEL"/>
      <sheetName val="1.PL Statement"/>
      <sheetName val="2.PL Statement"/>
      <sheetName val="DIF"/>
      <sheetName val="All"/>
      <sheetName val="work_1"/>
      <sheetName val="work_2"/>
      <sheetName val="work_All"/>
      <sheetName val="APMarket"/>
      <sheetName val="Manpower Comparison"/>
      <sheetName val="SalesProgress"/>
      <sheetName val="OB18Forecast"/>
      <sheetName val="ByProduct"/>
      <sheetName val="ActionPlanReview"/>
      <sheetName val="EnquirySummary(R1)"/>
      <sheetName val="ByFactory"/>
      <sheetName val="ActionPlanSummery"/>
      <sheetName val="ManpowerPlan"/>
      <sheetName val="Total Sales FY19  "/>
      <sheetName val="by Customer"/>
      <sheetName val="Backlog"/>
      <sheetName val="Mar20"/>
      <sheetName val="Feb20"/>
      <sheetName val="Jan20"/>
      <sheetName val="Nov"/>
      <sheetName val="June"/>
      <sheetName val="Quote"/>
      <sheetName val="Workings"/>
      <sheetName val="Logistics"/>
      <sheetName val="Startup,Maintenance&amp;SiteWork"/>
      <sheetName val="Order Acceptance Gate Check"/>
      <sheetName val="Request for PO"/>
      <sheetName val="Acknowledgement"/>
      <sheetName val="FY19 TTL Sales Turnover"/>
      <sheetName val="WC Screw"/>
      <sheetName val="AC Screw"/>
      <sheetName val="Scroll Rotary"/>
      <sheetName val="FY20 TTL Sales Turnover"/>
      <sheetName val="Project Billing"/>
      <sheetName val="Study0809"/>
      <sheetName val="RB Summary"/>
      <sheetName val="FY20"/>
      <sheetName val="FY20 Q1 Summary"/>
      <sheetName val="Enquiry_Analysis"/>
      <sheetName val="FY20_Sales_Result"/>
      <sheetName val="Pivot_table_EA"/>
      <sheetName val="FY20_Forecast_PT"/>
      <sheetName val="FY20_Billing_Forecast"/>
      <sheetName val="FY20_Booking_Forecast"/>
      <sheetName val="FY20_Yrly_Fcast_Value"/>
      <sheetName val="FY20_Billing_Flow_Value"/>
      <sheetName val="FY20_Yrly_Booking_Fcast_Value"/>
      <sheetName val="FY20_Yrly_Fcast_Qty"/>
      <sheetName val="FY20_Billing_Flow_Qty"/>
      <sheetName val="FY20_Yrly_Booking_Fcast_Qty"/>
      <sheetName val="6.AP"/>
      <sheetName val="List Product DAMA report"/>
      <sheetName val="by Model 07.20"/>
      <sheetName val="by Model 04.20"/>
      <sheetName val="Factory"/>
      <sheetName val="Market FY20"/>
      <sheetName val="TTL by rank"/>
      <sheetName val="Sales Performance"/>
      <sheetName val="Market Share graph"/>
      <sheetName val="FY20 SDS Sales Tracking_Aug20 2"/>
      <sheetName val="reval rates"/>
      <sheetName val="データ"/>
      <sheetName val="【SGA・合計】"/>
      <sheetName val="ＤＥＮＶ連結"/>
      <sheetName val="ＤＤＣＺ"/>
      <sheetName val="ACE(S)"/>
      <sheetName val="DAAL"/>
      <sheetName val="DAT"/>
      <sheetName val="DCI"/>
      <sheetName val="上海＋総合"/>
      <sheetName val="中央空調上海"/>
      <sheetName val="恵州製造"/>
      <sheetName val="西安"/>
      <sheetName val="機電"/>
      <sheetName val="電器"/>
      <sheetName val="香港"/>
      <sheetName val="DASA"/>
      <sheetName val="DACA"/>
      <sheetName val="DACM"/>
      <sheetName val="期末"/>
      <sheetName val="1Q"/>
      <sheetName val="上期"/>
      <sheetName val="合計-1Q"/>
      <sheetName val="PL(上期）"/>
      <sheetName val="PL(年間）"/>
      <sheetName val="SVCONST"/>
      <sheetName val="換算レート表"/>
      <sheetName val="Result (2)"/>
      <sheetName val="Input R18 (2)"/>
      <sheetName val="Ex) VRV New MC Inquiry (2)"/>
      <sheetName val="Ex) VRV New MC Inquiry"/>
      <sheetName val="INPUT_VRV New MC Inquiry"/>
      <sheetName val="INPUT_RA, SA, PA New MC Inquiry"/>
      <sheetName val="INPUT_AP New MC Inquiry"/>
      <sheetName val="Requirement"/>
      <sheetName val="Definition ①"/>
      <sheetName val="Definition ②"/>
      <sheetName val="Definition ③"/>
      <sheetName val="&lt;Input&gt;Budget and Result"/>
      <sheetName val="&lt;Input&gt; value of Quotations"/>
      <sheetName val="Action Plan in FY19"/>
      <sheetName val="1. INPUT_AP MC Inquiry"/>
      <sheetName val="2. INPUT_VRV MC Inquiry"/>
      <sheetName val="3. INPUT_RA, SA, PA MC Inquiry"/>
      <sheetName val="4.3. INPUT_Action Plan Progress"/>
      <sheetName val="sample"/>
      <sheetName val="Details-Sales Group-FY19"/>
      <sheetName val="Details-Material Group-FY19"/>
      <sheetName val="Chart-SP Wty-FY19"/>
      <sheetName val="2020-01 WtyLbr-Candy"/>
      <sheetName val="#2020-01 WtyLbr"/>
      <sheetName val="Wty Lbr-FY19"/>
      <sheetName val="Wty Lbr-Details"/>
      <sheetName val="FY19 WtyLbr-Details-MTH,TEAM"/>
      <sheetName val="Job Attendance-FY19"/>
      <sheetName val="ok-Pivot - WtyLbr"/>
      <sheetName val="Waiver by Sales"/>
      <sheetName val="VRV Coverage (pend)"/>
      <sheetName val="Summary-FY19 (KE30)"/>
      <sheetName val="2-Svc S.C.GP"/>
      <sheetName val="2-SP S.C.GP"/>
      <sheetName val="Summary-WaiverbySales"/>
      <sheetName val="Pivot-WaiverbySales"/>
      <sheetName val="SVC &amp; SB-Xiayu-06.12.19"/>
      <sheetName val="SVC &amp; SB-Xiayu-6.11.19"/>
      <sheetName val="SVC &amp; SB-Xiayu-7.10.19"/>
      <sheetName val="XiaYu-11.9.19"/>
      <sheetName val="SVC &amp; SB-Xiayu-6.9.19"/>
      <sheetName val="OLD SCOPE 1"/>
      <sheetName val="SVT368 NEW SCOPE 2"/>
      <sheetName val="SVT368 NEW SCOPE 3"/>
      <sheetName val="Master list"/>
      <sheetName val="Problem scope list"/>
      <sheetName val="Shipment"/>
      <sheetName val="T36801 Labour"/>
      <sheetName val="SWG &amp; T-Parts (MAR '20- APR'20)"/>
      <sheetName val="SWG &amp; T-Parts (mar'20- apr'20)"/>
      <sheetName val="1-1 DIT-Summary"/>
      <sheetName val="1-2 DIT-Summary"/>
      <sheetName val="2. DIT-Definition"/>
      <sheetName val="3. DIT-Master checking"/>
      <sheetName val="4. DIT-Checking result"/>
      <sheetName val="5. DIT-Checking result PIVOT"/>
      <sheetName val="Ref. DITSCM"/>
      <sheetName val="【AFF】 (1 P&amp;L)"/>
      <sheetName val="【AFF】（１Wty Cost Re-invoice )"/>
      <sheetName val="【AFF】 (2　KPI-1)"/>
      <sheetName val="【AFF】 (2　KPI-2)"/>
      <sheetName val="【AFF】 (3　Infra+HR Plan）"/>
      <sheetName val="【AFF】 (4 SBU Sales+DK MKTStock)"/>
      <sheetName val="【販社】月次定型帳票（５　抜粋）"/>
      <sheetName val="【販社】月次定型帳票（６　月次）"/>
      <sheetName val="DSP_FY20OB monthly"/>
      <sheetName val="DSP_FY20OB monthly (2)"/>
      <sheetName val="DSP_FY20OB monthly (3)"/>
      <sheetName val="DSP_FY20OB monthly (4)"/>
      <sheetName val="SERVICE &amp; SOLUTION"/>
      <sheetName val="Hotai_FY20OB monthly"/>
      <sheetName val="Models"/>
      <sheetName val="Price data"/>
      <sheetName val="UAA-UAY"/>
      <sheetName val="CUWD Daikin Malaysia"/>
      <sheetName val="Carrier"/>
      <sheetName val="York"/>
      <sheetName val="TRANE"/>
      <sheetName val="SMARDT"/>
      <sheetName val="CLIMAVENETA"/>
      <sheetName val="Dunham-bush"/>
      <sheetName val="MQ"/>
      <sheetName val="Screw chiller"/>
      <sheetName val="Screw HP"/>
      <sheetName val="Scroll chiller"/>
      <sheetName val="YVAA&amp;YLAA"/>
      <sheetName val="Key in Model"/>
      <sheetName val="Comp and Tube Cost"/>
      <sheetName val="Master Price List"/>
      <sheetName val="Vessel Calculation"/>
      <sheetName val="Currency and Ratio"/>
      <sheetName val="Exchange"/>
      <sheetName val="Mkt Data"/>
      <sheetName val="Qty Cost Down"/>
      <sheetName val="作業用"/>
      <sheetName val="Shipping"/>
      <sheetName val="Question Response"/>
      <sheetName val="Table Response"/>
      <sheetName val="QuestionSelectionList"/>
      <sheetName val="BID_RFP"/>
      <sheetName val="BidFieldSelectionList"/>
      <sheetName val="CurrencySelectionList"/>
      <sheetName val="1. Contents"/>
      <sheetName val="2. Introduction"/>
      <sheetName val="3. Volume &amp; Locations"/>
      <sheetName val="4. Price &amp; Spec  (AP Proposed)"/>
      <sheetName val="4. Price &amp; Spec USD"/>
      <sheetName val="5.Product Information"/>
      <sheetName val="6. Discounts and Rebates"/>
      <sheetName val="7. Delivery and Installation"/>
      <sheetName val="8.Exchange rate"/>
      <sheetName val="9.Performance Spec"/>
      <sheetName val="Haworth"/>
      <sheetName val="Order approval"/>
      <sheetName val="QTN"/>
      <sheetName val="Specification"/>
      <sheetName val="Finish Chart"/>
      <sheetName val="Transfer1"/>
      <sheetName val="BJ"/>
      <sheetName val="Beijing&amp;SurroundingAreas"/>
      <sheetName val="Pricing Analysia Beijing"/>
      <sheetName val="China Remote Area 1"/>
      <sheetName val="Pricing Analysis RM 1"/>
      <sheetName val="China Remote Area 2"/>
      <sheetName val="Pricing Analysis RM 2"/>
      <sheetName val="SSA"/>
      <sheetName val="Shanghai&amp;SurroundingAreas"/>
      <sheetName val="Pricing Analysis Shanghai"/>
      <sheetName val="FTZ"/>
      <sheetName val="FreeTradeZone"/>
      <sheetName val="Pricing Analysis FTZ"/>
      <sheetName val="instructions (read_only)"/>
      <sheetName val="1.GENERAL INSTRUCTIONS"/>
      <sheetName val="2.COMPANY INFORMATION"/>
      <sheetName val="table 2.3"/>
      <sheetName val="table 2.5"/>
      <sheetName val="table 2.8"/>
      <sheetName val="table 2.9"/>
      <sheetName val="table 2.14"/>
      <sheetName val="table 2.15"/>
      <sheetName val="table 2.20"/>
      <sheetName val="table 2.21"/>
      <sheetName val="3.FINANCIALS"/>
      <sheetName val="table 3.1"/>
      <sheetName val="table 3.2"/>
      <sheetName val="4.HSE"/>
      <sheetName val="table 4.1"/>
      <sheetName val="5.SERVICE CAPABILITIES"/>
      <sheetName val="table 5.1"/>
      <sheetName val="table 5.2"/>
      <sheetName val="table 5.3"/>
      <sheetName val="table 5.4"/>
      <sheetName val="table 5.5"/>
      <sheetName val="table 5.6"/>
      <sheetName val="6.KPI TRACKING"/>
      <sheetName val="table 6.1"/>
      <sheetName val="7.TALENT POOL"/>
      <sheetName val="table 7.10"/>
      <sheetName val="table 7.13"/>
      <sheetName val="8.TECHNOLOGY"/>
      <sheetName val="9.CORPORATE RESPONSIBILITY"/>
      <sheetName val="10_COMMERCIAL PROPOSAL"/>
      <sheetName val="table 10.1"/>
      <sheetName val="table 10.2"/>
      <sheetName val="11_REFERENCES"/>
      <sheetName val="table 11.1"/>
      <sheetName val="table 11.2"/>
      <sheetName val="table 11.3"/>
      <sheetName val="table 11.4"/>
      <sheetName val="table 11.5"/>
      <sheetName val="OSSalespv"/>
      <sheetName val="from catie"/>
      <sheetName val="TEAM"/>
      <sheetName val="15 UNITS ABOVE"/>
      <sheetName val="DEALER QTY"/>
      <sheetName val="SALESMAN LOOKUP"/>
      <sheetName val="VRV_QTY"/>
      <sheetName val="S4 HANA"/>
      <sheetName val="YUMI REPORT"/>
      <sheetName val="E STATUS"/>
      <sheetName val="CLEEAN E"/>
      <sheetName val="E STATUS PER MONTH"/>
      <sheetName val="DPH Report"/>
      <sheetName val="NEW INQUIRIES"/>
      <sheetName val="FY19 MONITORING"/>
      <sheetName val="FY20 MONITORING"/>
      <sheetName val="DETAILED NOV"/>
      <sheetName val="NEW INQ"/>
      <sheetName val="NOT PCN NUMBER"/>
      <sheetName val="FOR DELETION"/>
      <sheetName val="DETAIL FY 19"/>
      <sheetName val="NEW INQUIRY"/>
      <sheetName val="MISSING INQUIRY FROM JULY"/>
      <sheetName val="F20"/>
      <sheetName val="APR'21 - MAR'22"/>
      <sheetName val="APRIL 22 ONWARDS"/>
      <sheetName val="Data - Mar 27 OS Sale"/>
      <sheetName val="DSP Stock on hand 10 Mar"/>
      <sheetName val="製品マスタ全件"/>
      <sheetName val="Overview by Country v1"/>
      <sheetName val="Full Year"/>
      <sheetName val="Full Year (C)"/>
      <sheetName val="DGTHP"/>
      <sheetName val="8000 - Full Year"/>
      <sheetName val="8000 - Weekly (DGTHP)"/>
      <sheetName val="DGT"/>
      <sheetName val="RefnetSol"/>
      <sheetName val="Sheet3 (2)"/>
      <sheetName val="Weekly Report"/>
      <sheetName val="Budget calculation"/>
      <sheetName val="Copper"/>
      <sheetName val="DGT and HP"/>
      <sheetName val="1500 + 8000 SV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/>
      <sheetData sheetId="83"/>
      <sheetData sheetId="84"/>
      <sheetData sheetId="85"/>
      <sheetData sheetId="86" refreshError="1"/>
      <sheetData sheetId="87"/>
      <sheetData sheetId="88"/>
      <sheetData sheetId="89" refreshError="1"/>
      <sheetData sheetId="90" refreshError="1"/>
      <sheetData sheetId="91"/>
      <sheetData sheetId="92"/>
      <sheetData sheetId="93" refreshError="1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/>
      <sheetData sheetId="123"/>
      <sheetData sheetId="124" refreshError="1"/>
      <sheetData sheetId="125"/>
      <sheetData sheetId="126"/>
      <sheetData sheetId="127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 refreshError="1"/>
      <sheetData sheetId="161"/>
      <sheetData sheetId="162" refreshError="1"/>
      <sheetData sheetId="163" refreshError="1"/>
      <sheetData sheetId="164" refreshError="1"/>
      <sheetData sheetId="165" refreshError="1"/>
      <sheetData sheetId="166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/>
      <sheetData sheetId="319" refreshError="1"/>
      <sheetData sheetId="320" refreshError="1"/>
      <sheetData sheetId="32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/>
      <sheetData sheetId="348"/>
      <sheetData sheetId="349"/>
      <sheetData sheetId="350"/>
      <sheetData sheetId="351" refreshError="1"/>
      <sheetData sheetId="352"/>
      <sheetData sheetId="353"/>
      <sheetData sheetId="354"/>
      <sheetData sheetId="355"/>
      <sheetData sheetId="356" refreshError="1"/>
      <sheetData sheetId="357"/>
      <sheetData sheetId="358" refreshError="1"/>
      <sheetData sheetId="359"/>
      <sheetData sheetId="360"/>
      <sheetData sheetId="361"/>
      <sheetData sheetId="362"/>
      <sheetData sheetId="363"/>
      <sheetData sheetId="364"/>
      <sheetData sheetId="365" refreshError="1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 refreshError="1"/>
      <sheetData sheetId="377"/>
      <sheetData sheetId="378"/>
      <sheetData sheetId="379"/>
      <sheetData sheetId="380" refreshError="1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 refreshError="1"/>
      <sheetData sheetId="395" refreshError="1"/>
      <sheetData sheetId="396"/>
      <sheetData sheetId="397" refreshError="1"/>
      <sheetData sheetId="398"/>
      <sheetData sheetId="399"/>
      <sheetData sheetId="400" refreshError="1"/>
      <sheetData sheetId="401" refreshError="1"/>
      <sheetData sheetId="402" refreshError="1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 refreshError="1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 refreshError="1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/>
      <sheetData sheetId="526"/>
      <sheetData sheetId="527" refreshError="1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 refreshError="1"/>
      <sheetData sheetId="640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 refreshError="1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 refreshError="1"/>
      <sheetData sheetId="678" refreshError="1"/>
      <sheetData sheetId="679" refreshError="1"/>
      <sheetData sheetId="680" refreshError="1"/>
      <sheetData sheetId="681"/>
      <sheetData sheetId="682"/>
      <sheetData sheetId="683"/>
      <sheetData sheetId="684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/>
      <sheetData sheetId="791" refreshError="1"/>
      <sheetData sheetId="792"/>
      <sheetData sheetId="793" refreshError="1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/>
      <sheetData sheetId="1335"/>
      <sheetData sheetId="1336"/>
      <sheetData sheetId="1337"/>
      <sheetData sheetId="1338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 refreshError="1"/>
      <sheetData sheetId="1517" refreshError="1"/>
      <sheetData sheetId="1518" refreshError="1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/>
      <sheetData sheetId="1675"/>
      <sheetData sheetId="1676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 refreshError="1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 refreshError="1"/>
      <sheetData sheetId="3931"/>
      <sheetData sheetId="3932" refreshError="1"/>
      <sheetData sheetId="3933" refreshError="1"/>
      <sheetData sheetId="3934" refreshError="1"/>
      <sheetData sheetId="3935"/>
      <sheetData sheetId="3936" refreshError="1"/>
      <sheetData sheetId="3937" refreshError="1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 refreshError="1"/>
      <sheetData sheetId="3985"/>
      <sheetData sheetId="3986"/>
      <sheetData sheetId="3987" refreshError="1"/>
      <sheetData sheetId="3988" refreshError="1"/>
      <sheetData sheetId="3989" refreshError="1"/>
      <sheetData sheetId="3990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/>
      <sheetData sheetId="4002" refreshError="1"/>
      <sheetData sheetId="4003" refreshError="1"/>
      <sheetData sheetId="4004" refreshError="1"/>
      <sheetData sheetId="4005"/>
      <sheetData sheetId="4006" refreshError="1"/>
      <sheetData sheetId="4007" refreshError="1"/>
      <sheetData sheetId="4008" refreshError="1"/>
      <sheetData sheetId="4009" refreshError="1"/>
      <sheetData sheetId="4010"/>
      <sheetData sheetId="4011" refreshError="1"/>
      <sheetData sheetId="4012" refreshError="1"/>
      <sheetData sheetId="4013" refreshError="1"/>
      <sheetData sheetId="4014" refreshError="1"/>
      <sheetData sheetId="4015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/>
      <sheetData sheetId="4023" refreshError="1"/>
      <sheetData sheetId="4024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/>
      <sheetData sheetId="4051"/>
      <sheetData sheetId="4052"/>
      <sheetData sheetId="4053"/>
      <sheetData sheetId="4054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/>
      <sheetData sheetId="4065"/>
      <sheetData sheetId="4066"/>
      <sheetData sheetId="4067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/>
      <sheetData sheetId="4102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/>
      <sheetData sheetId="4115" refreshError="1"/>
      <sheetData sheetId="4116"/>
      <sheetData sheetId="4117"/>
      <sheetData sheetId="4118"/>
      <sheetData sheetId="4119" refreshError="1"/>
      <sheetData sheetId="4120" refreshError="1"/>
      <sheetData sheetId="4121" refreshError="1"/>
      <sheetData sheetId="4122"/>
      <sheetData sheetId="4123" refreshError="1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 refreshError="1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 refreshError="1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/>
      <sheetData sheetId="6402"/>
      <sheetData sheetId="6403"/>
      <sheetData sheetId="6404"/>
      <sheetData sheetId="6405"/>
      <sheetData sheetId="6406" refreshError="1"/>
      <sheetData sheetId="6407" refreshError="1"/>
      <sheetData sheetId="6408" refreshError="1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 refreshError="1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 refreshError="1"/>
      <sheetData sheetId="6447"/>
      <sheetData sheetId="6448"/>
      <sheetData sheetId="6449"/>
      <sheetData sheetId="6450" refreshError="1"/>
      <sheetData sheetId="6451" refreshError="1"/>
      <sheetData sheetId="6452"/>
      <sheetData sheetId="6453"/>
      <sheetData sheetId="6454"/>
      <sheetData sheetId="6455"/>
      <sheetData sheetId="6456"/>
      <sheetData sheetId="6457"/>
      <sheetData sheetId="6458" refreshError="1"/>
      <sheetData sheetId="6459"/>
      <sheetData sheetId="6460"/>
      <sheetData sheetId="6461"/>
      <sheetData sheetId="6462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 refreshError="1"/>
      <sheetData sheetId="6495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 refreshError="1"/>
      <sheetData sheetId="6528" refreshError="1"/>
      <sheetData sheetId="6529" refreshError="1"/>
      <sheetData sheetId="6530"/>
      <sheetData sheetId="6531"/>
      <sheetData sheetId="6532"/>
      <sheetData sheetId="6533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/>
      <sheetData sheetId="6543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/>
      <sheetData sheetId="6562" refreshError="1"/>
      <sheetData sheetId="6563" refreshError="1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 refreshError="1"/>
      <sheetData sheetId="6576" refreshError="1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 refreshError="1"/>
      <sheetData sheetId="6588" refreshError="1"/>
      <sheetData sheetId="6589" refreshError="1"/>
      <sheetData sheetId="6590" refreshError="1"/>
      <sheetData sheetId="6591"/>
      <sheetData sheetId="6592"/>
      <sheetData sheetId="6593" refreshError="1"/>
      <sheetData sheetId="6594" refreshError="1"/>
      <sheetData sheetId="6595" refreshError="1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 refreshError="1"/>
      <sheetData sheetId="6715" refreshError="1"/>
      <sheetData sheetId="6716"/>
      <sheetData sheetId="6717" refreshError="1"/>
      <sheetData sheetId="6718" refreshError="1"/>
      <sheetData sheetId="6719" refreshError="1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 refreshError="1"/>
      <sheetData sheetId="6733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/>
      <sheetData sheetId="6902" refreshError="1"/>
      <sheetData sheetId="6903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/>
      <sheetData sheetId="6921"/>
      <sheetData sheetId="6922"/>
      <sheetData sheetId="6923"/>
      <sheetData sheetId="6924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/>
      <sheetData sheetId="6934"/>
      <sheetData sheetId="6935" refreshError="1"/>
      <sheetData sheetId="6936"/>
      <sheetData sheetId="6937"/>
      <sheetData sheetId="6938"/>
      <sheetData sheetId="6939"/>
      <sheetData sheetId="6940" refreshError="1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 refreshError="1"/>
      <sheetData sheetId="6979"/>
      <sheetData sheetId="6980"/>
      <sheetData sheetId="6981"/>
      <sheetData sheetId="6982"/>
      <sheetData sheetId="6983"/>
      <sheetData sheetId="6984"/>
      <sheetData sheetId="6985"/>
      <sheetData sheetId="6986" refreshError="1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 refreshError="1"/>
      <sheetData sheetId="7009"/>
      <sheetData sheetId="7010" refreshError="1"/>
      <sheetData sheetId="7011"/>
      <sheetData sheetId="7012" refreshError="1"/>
      <sheetData sheetId="7013"/>
      <sheetData sheetId="7014" refreshError="1"/>
      <sheetData sheetId="7015" refreshError="1"/>
      <sheetData sheetId="7016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/>
      <sheetData sheetId="7027" refreshError="1"/>
      <sheetData sheetId="7028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/>
      <sheetData sheetId="7035" refreshError="1"/>
      <sheetData sheetId="7036" refreshError="1"/>
      <sheetData sheetId="7037" refreshError="1"/>
      <sheetData sheetId="7038"/>
      <sheetData sheetId="7039"/>
      <sheetData sheetId="7040" refreshError="1"/>
      <sheetData sheetId="7041"/>
      <sheetData sheetId="7042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 refreshError="1"/>
      <sheetData sheetId="7095" refreshError="1"/>
      <sheetData sheetId="7096" refreshError="1"/>
      <sheetData sheetId="7097" refreshError="1"/>
      <sheetData sheetId="7098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/>
      <sheetData sheetId="7109"/>
      <sheetData sheetId="7110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/>
      <sheetData sheetId="7174"/>
      <sheetData sheetId="7175" refreshError="1"/>
      <sheetData sheetId="7176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/>
      <sheetData sheetId="7189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/>
      <sheetData sheetId="7202" refreshError="1"/>
      <sheetData sheetId="7203"/>
      <sheetData sheetId="7204" refreshError="1"/>
      <sheetData sheetId="7205" refreshError="1"/>
      <sheetData sheetId="7206"/>
      <sheetData sheetId="7207"/>
      <sheetData sheetId="7208"/>
      <sheetData sheetId="7209"/>
      <sheetData sheetId="7210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/>
      <sheetData sheetId="7289" refreshError="1"/>
      <sheetData sheetId="7290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/>
      <sheetData sheetId="7298"/>
      <sheetData sheetId="7299"/>
      <sheetData sheetId="7300"/>
      <sheetData sheetId="7301"/>
      <sheetData sheetId="7302" refreshError="1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 refreshError="1"/>
      <sheetData sheetId="7325"/>
      <sheetData sheetId="7326" refreshError="1"/>
      <sheetData sheetId="7327" refreshError="1"/>
      <sheetData sheetId="7328" refreshError="1"/>
      <sheetData sheetId="7329" refreshError="1"/>
      <sheetData sheetId="7330"/>
      <sheetData sheetId="7331"/>
      <sheetData sheetId="7332"/>
      <sheetData sheetId="7333"/>
      <sheetData sheetId="7334" refreshError="1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/>
      <sheetData sheetId="7364"/>
      <sheetData sheetId="7365" refreshError="1"/>
      <sheetData sheetId="7366" refreshError="1"/>
      <sheetData sheetId="7367"/>
      <sheetData sheetId="7368"/>
      <sheetData sheetId="7369"/>
      <sheetData sheetId="7370"/>
      <sheetData sheetId="7371" refreshError="1"/>
      <sheetData sheetId="7372"/>
      <sheetData sheetId="7373"/>
      <sheetData sheetId="7374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/>
      <sheetData sheetId="7458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 refreshError="1"/>
      <sheetData sheetId="7546" refreshError="1"/>
      <sheetData sheetId="7547" refreshError="1"/>
      <sheetData sheetId="7548" refreshError="1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 refreshError="1"/>
      <sheetData sheetId="7630"/>
      <sheetData sheetId="7631"/>
      <sheetData sheetId="7632"/>
      <sheetData sheetId="7633"/>
      <sheetData sheetId="7634"/>
      <sheetData sheetId="7635"/>
      <sheetData sheetId="7636" refreshError="1"/>
      <sheetData sheetId="7637"/>
      <sheetData sheetId="7638"/>
      <sheetData sheetId="7639"/>
      <sheetData sheetId="7640"/>
      <sheetData sheetId="7641"/>
      <sheetData sheetId="7642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/>
      <sheetData sheetId="7650"/>
      <sheetData sheetId="7651"/>
      <sheetData sheetId="7652"/>
      <sheetData sheetId="7653"/>
      <sheetData sheetId="7654"/>
      <sheetData sheetId="7655" refreshError="1"/>
      <sheetData sheetId="7656" refreshError="1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DEF"/>
      <sheetName val="COVER"/>
      <sheetName val="CONTENTS"/>
      <sheetName val="Matching"/>
      <sheetName val="A1"/>
      <sheetName val="A2"/>
      <sheetName val="A3"/>
      <sheetName val="A4"/>
      <sheetName val="A5"/>
      <sheetName val="A6"/>
      <sheetName val="A7"/>
      <sheetName val="DAIKIN GROUP"/>
      <sheetName val="OYL GROUP"/>
      <sheetName val="SALES to OYL"/>
      <sheetName val="PURCHASE from OYL"/>
      <sheetName val="PURCHASE fromDAIKIN"/>
      <sheetName val="SALES to DAIKIN"/>
      <sheetName val="B1"/>
      <sheetName val="B2"/>
      <sheetName val="B3"/>
      <sheetName val="B4"/>
      <sheetName val="B5-1"/>
      <sheetName val="B5-2"/>
      <sheetName val="B6"/>
      <sheetName val="B7"/>
      <sheetName val="B9-5"/>
      <sheetName val="B9-6"/>
      <sheetName val="B9-7"/>
      <sheetName val="C1"/>
      <sheetName val="C2"/>
      <sheetName val="C3"/>
      <sheetName val="C4"/>
      <sheetName val="C5"/>
      <sheetName val="C6"/>
      <sheetName val="C7"/>
      <sheetName val="C8-1"/>
      <sheetName val="C8-2"/>
      <sheetName val="C9"/>
      <sheetName val="C10"/>
      <sheetName val="C11"/>
      <sheetName val="C12-1"/>
      <sheetName val="C12-2"/>
      <sheetName val="C13-1"/>
      <sheetName val="C13-2"/>
      <sheetName val="C13-3"/>
      <sheetName val="C13-4"/>
      <sheetName val="D1"/>
      <sheetName val="D2"/>
      <sheetName val="D3"/>
      <sheetName val="D4"/>
      <sheetName val="D9"/>
      <sheetName val="Company"/>
      <sheetName val="Definition"/>
      <sheetName val="DAIKIN_GROUP"/>
      <sheetName val="OYL_GROUP"/>
      <sheetName val="SALES_to_OYL"/>
      <sheetName val="PURCHASE_from_OYL"/>
      <sheetName val="PURCHASE_fromDAIKIN"/>
      <sheetName val="SALES_to_DAIKIN"/>
      <sheetName val="DAIKIN_GROUP1"/>
      <sheetName val="OYL_GROUP1"/>
      <sheetName val="SALES_to_OYL1"/>
      <sheetName val="PURCHASE_from_OYL1"/>
      <sheetName val="PURCHASE_fromDAIKIN1"/>
      <sheetName val="SALES_to_DAIKIN1"/>
      <sheetName val="DAIKIN_GROUP2"/>
      <sheetName val="OYL_GROUP2"/>
      <sheetName val="SALES_to_OYL2"/>
      <sheetName val="PURCHASE_from_OYL2"/>
      <sheetName val="PURCHASE_fromDAIKIN2"/>
      <sheetName val="SALES_to_DAIKIN2"/>
      <sheetName val="DAIKIN_GROUP3"/>
      <sheetName val="OYL_GROUP3"/>
      <sheetName val="SALES_to_OYL3"/>
      <sheetName val="PURCHASE_from_OYL3"/>
      <sheetName val="PURCHASE_fromDAIKIN3"/>
      <sheetName val="SALES_to_DAIKIN3"/>
      <sheetName val="DAIKIN_GROUP4"/>
      <sheetName val="OYL_GROUP4"/>
      <sheetName val="SALES_to_OYL4"/>
      <sheetName val="PURCHASE_from_OYL4"/>
      <sheetName val="PURCHASE_fromDAIKIN4"/>
      <sheetName val="SALES_to_DAIKIN4"/>
      <sheetName val="DAIKIN_GROUP5"/>
      <sheetName val="OYL_GROUP5"/>
      <sheetName val="SALES_to_OYL5"/>
      <sheetName val="PURCHASE_from_OYL5"/>
      <sheetName val="PURCHASE_fromDAIKIN5"/>
      <sheetName val="SALES_to_DAIKIN5"/>
      <sheetName val="DAIKIN_GROUP6"/>
      <sheetName val="OYL_GROUP6"/>
      <sheetName val="SALES_to_OYL6"/>
      <sheetName val="PURCHASE_from_OYL6"/>
      <sheetName val="PURCHASE_fromDAIKIN6"/>
      <sheetName val="SALES_to_DAIKIN6"/>
      <sheetName val="DAIKIN_GROUP7"/>
      <sheetName val="OYL_GROUP7"/>
      <sheetName val="SALES_to_OYL7"/>
      <sheetName val="PURCHASE_from_OYL7"/>
      <sheetName val="PURCHASE_fromDAIKIN7"/>
      <sheetName val="SALES_to_DAIKIN7"/>
      <sheetName val="DAIKIN_GROUP8"/>
      <sheetName val="OYL_GROUP8"/>
      <sheetName val="SALES_to_OYL8"/>
      <sheetName val="PURCHASE_from_OYL8"/>
      <sheetName val="PURCHASE_fromDAIKIN8"/>
      <sheetName val="SALES_to_DAIKIN8"/>
      <sheetName val="DAIKIN_GROUP16"/>
      <sheetName val="OYL_GROUP16"/>
      <sheetName val="SALES_to_OYL16"/>
      <sheetName val="PURCHASE_from_OYL16"/>
      <sheetName val="PURCHASE_fromDAIKIN16"/>
      <sheetName val="SALES_to_DAIKIN16"/>
      <sheetName val="DAIKIN_GROUP10"/>
      <sheetName val="OYL_GROUP10"/>
      <sheetName val="SALES_to_OYL10"/>
      <sheetName val="PURCHASE_from_OYL10"/>
      <sheetName val="PURCHASE_fromDAIKIN10"/>
      <sheetName val="SALES_to_DAIKIN10"/>
      <sheetName val="DAIKIN_GROUP9"/>
      <sheetName val="OYL_GROUP9"/>
      <sheetName val="SALES_to_OYL9"/>
      <sheetName val="PURCHASE_from_OYL9"/>
      <sheetName val="PURCHASE_fromDAIKIN9"/>
      <sheetName val="SALES_to_DAIKIN9"/>
      <sheetName val="DAIKIN_GROUP11"/>
      <sheetName val="OYL_GROUP11"/>
      <sheetName val="SALES_to_OYL11"/>
      <sheetName val="PURCHASE_from_OYL11"/>
      <sheetName val="PURCHASE_fromDAIKIN11"/>
      <sheetName val="SALES_to_DAIKIN11"/>
      <sheetName val="DAIKIN_GROUP12"/>
      <sheetName val="OYL_GROUP12"/>
      <sheetName val="SALES_to_OYL12"/>
      <sheetName val="PURCHASE_from_OYL12"/>
      <sheetName val="PURCHASE_fromDAIKIN12"/>
      <sheetName val="SALES_to_DAIKIN12"/>
      <sheetName val="DAIKIN_GROUP15"/>
      <sheetName val="OYL_GROUP15"/>
      <sheetName val="SALES_to_OYL15"/>
      <sheetName val="PURCHASE_from_OYL15"/>
      <sheetName val="PURCHASE_fromDAIKIN15"/>
      <sheetName val="SALES_to_DAIKIN15"/>
      <sheetName val="DAIKIN_GROUP13"/>
      <sheetName val="OYL_GROUP13"/>
      <sheetName val="SALES_to_OYL13"/>
      <sheetName val="PURCHASE_from_OYL13"/>
      <sheetName val="PURCHASE_fromDAIKIN13"/>
      <sheetName val="SALES_to_DAIKIN13"/>
      <sheetName val="DAIKIN_GROUP14"/>
      <sheetName val="OYL_GROUP14"/>
      <sheetName val="SALES_to_OYL14"/>
      <sheetName val="PURCHASE_from_OYL14"/>
      <sheetName val="PURCHASE_fromDAIKIN14"/>
      <sheetName val="SALES_to_DAIKIN14"/>
      <sheetName val="DAIKIN_GROUP17"/>
      <sheetName val="OYL_GROUP17"/>
      <sheetName val="SALES_to_OYL17"/>
      <sheetName val="PURCHASE_from_OYL17"/>
      <sheetName val="PURCHASE_fromDAIKIN17"/>
      <sheetName val="SALES_to_DAIKIN17"/>
      <sheetName val="DAIKIN_GROUP18"/>
      <sheetName val="OYL_GROUP18"/>
      <sheetName val="SALES_to_OYL18"/>
      <sheetName val="PURCHASE_from_OYL18"/>
      <sheetName val="PURCHASE_fromDAIKIN18"/>
      <sheetName val="SALES_to_DAIKIN18"/>
      <sheetName val="DAIKIN_GROUP19"/>
      <sheetName val="OYL_GROUP19"/>
      <sheetName val="SALES_to_OYL19"/>
      <sheetName val="PURCHASE_from_OYL19"/>
      <sheetName val="PURCHASE_fromDAIKIN19"/>
      <sheetName val="SALES_to_DAIKIN19"/>
      <sheetName val="DAIKIN_GROUP20"/>
      <sheetName val="OYL_GROUP20"/>
      <sheetName val="SALES_to_OYL20"/>
      <sheetName val="PURCHASE_from_OYL20"/>
      <sheetName val="PURCHASE_fromDAIKIN20"/>
      <sheetName val="SALES_to_DAIKIN20"/>
      <sheetName val="DAIKIN_GROUP21"/>
      <sheetName val="OYL_GROUP21"/>
      <sheetName val="SALES_to_OYL21"/>
      <sheetName val="PURCHASE_from_OYL21"/>
      <sheetName val="PURCHASE_fromDAIKIN21"/>
      <sheetName val="SALES_to_DAIKIN21"/>
      <sheetName val="DAIKIN_GROUP22"/>
      <sheetName val="OYL_GROUP22"/>
      <sheetName val="SALES_to_OYL22"/>
      <sheetName val="PURCHASE_from_OYL22"/>
      <sheetName val="PURCHASE_fromDAIKIN22"/>
      <sheetName val="SALES_to_DAIKIN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params"/>
      <sheetName val="Master"/>
      <sheetName val="Budget_params"/>
      <sheetName val="Budget_params1"/>
      <sheetName val="Budget_params2"/>
      <sheetName val="Budget_params3"/>
      <sheetName val="Budget_params4"/>
      <sheetName val="Budget_params5"/>
      <sheetName val="Budget_params6"/>
      <sheetName val="Budget_params7"/>
      <sheetName val="Budget_params12"/>
      <sheetName val="Budget_params8"/>
      <sheetName val="Budget_params10"/>
      <sheetName val="Budget_params9"/>
      <sheetName val="Budget_params11"/>
      <sheetName val="Budget_params14"/>
      <sheetName val="Budget_params13"/>
      <sheetName val="Budget_params15"/>
      <sheetName val="Budget_params16"/>
      <sheetName val="Budget_params17"/>
      <sheetName val="Budget_params18"/>
      <sheetName val="Budget_params19"/>
      <sheetName val="Budget_params20"/>
      <sheetName val="Budget_params21"/>
      <sheetName val="Detail"/>
      <sheetName val="XL4Test5"/>
      <sheetName val="Box"/>
      <sheetName val="Cover"/>
      <sheetName val="ＷＣ"/>
      <sheetName val="費目"/>
      <sheetName val="Budget_params22"/>
      <sheetName val="Budget_params23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/>
      <sheetData sheetId="3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to OYL"/>
      <sheetName val="PURCHASE from OYL"/>
      <sheetName val="LIST"/>
      <sheetName val="(1) BS1"/>
      <sheetName val="(2) BS2"/>
      <sheetName val="(3) PL"/>
      <sheetName val="(4) CREDITS to DAIKIN "/>
      <sheetName val="(5) DEBTS FROM DAIKIN"/>
      <sheetName val="(6) SALES to DAIKIN"/>
      <sheetName val="(7) PURCHASE from DAIKIN"/>
      <sheetName val="(8) Credits to OYL"/>
      <sheetName val="(9) DEBTS FROM OYL"/>
      <sheetName val="(10) SALES to OYL"/>
      <sheetName val="(11) PURCHASE FROM OYL"/>
      <sheetName val="(12) ROYALTIES FROM OYL"/>
      <sheetName val="(13) ROYALTIES TO OYL"/>
      <sheetName val="(14) NON OP INCOME"/>
      <sheetName val="(15) NON OP EXPENSE"/>
      <sheetName val="(16) Sales by Countries"/>
      <sheetName val="(17) SGA"/>
      <sheetName val="(18) CASH EQUIVALENT"/>
      <sheetName val="(19) TANGIBLE ASSETS"/>
      <sheetName val="(20) LONG TERM RECEIVABLE"/>
      <sheetName val="(21) ALLOWANCE FOR BAD DEBT"/>
      <sheetName val="(22) WARRANTY"/>
      <sheetName val="(23) OTHER CURRENT ASSETS"/>
      <sheetName val="(24) PREPAID EXPENSES"/>
      <sheetName val="(25) OTHER LONG TERM ASSETS"/>
      <sheetName val="(26) OTHER ACCRUED EXPENSES"/>
      <sheetName val="(27) OTHER LONGTERM LIABILITIES"/>
      <sheetName val="(28) COLLATERAL"/>
      <sheetName val="(29) GUARANTEES"/>
      <sheetName val="(30) EMPLOYEE"/>
      <sheetName val="(31) DAIKIN GROUP"/>
      <sheetName val="(32) OYL GROUP"/>
      <sheetName val="Company"/>
      <sheetName val="SALES_to_OYL"/>
      <sheetName val="PURCHASE_from_OYL"/>
      <sheetName val="(1)_BS1"/>
      <sheetName val="(2)_BS2"/>
      <sheetName val="(3)_PL"/>
      <sheetName val="(4)_CREDITS_to_DAIKIN_"/>
      <sheetName val="(5)_DEBTS_FROM_DAIKIN"/>
      <sheetName val="(6)_SALES_to_DAIKIN"/>
      <sheetName val="(7)_PURCHASE_from_DAIKIN"/>
      <sheetName val="(8)_Credits_to_OYL"/>
      <sheetName val="(9)_DEBTS_FROM_OYL"/>
      <sheetName val="(10)_SALES_to_OYL"/>
      <sheetName val="(11)_PURCHASE_FROM_OYL"/>
      <sheetName val="(12)_ROYALTIES_FROM_OYL"/>
      <sheetName val="(13)_ROYALTIES_TO_OYL"/>
      <sheetName val="(14)_NON_OP_INCOME"/>
      <sheetName val="(15)_NON_OP_EXPENSE"/>
      <sheetName val="(16)_Sales_by_Countries"/>
      <sheetName val="(17)_SGA"/>
      <sheetName val="(18)_CASH_EQUIVALENT"/>
      <sheetName val="(19)_TANGIBLE_ASSETS"/>
      <sheetName val="(20)_LONG_TERM_RECEIVABLE"/>
      <sheetName val="(21)_ALLOWANCE_FOR_BAD_DEBT"/>
      <sheetName val="(22)_WARRANTY"/>
      <sheetName val="(23)_OTHER_CURRENT_ASSETS"/>
      <sheetName val="(24)_PREPAID_EXPENSES"/>
      <sheetName val="(25)_OTHER_LONG_TERM_ASSETS"/>
      <sheetName val="(26)_OTHER_ACCRUED_EXPENSES"/>
      <sheetName val="(27)_OTHER_LONGTERM_LIABILITIES"/>
      <sheetName val="(28)_COLLATERAL"/>
      <sheetName val="(29)_GUARANTEES"/>
      <sheetName val="(30)_EMPLOYEE"/>
      <sheetName val="(31)_DAIKIN_GROUP"/>
      <sheetName val="(32)_OYL_GROUP"/>
      <sheetName val="SALES_to_OYL1"/>
      <sheetName val="PURCHASE_from_OYL1"/>
      <sheetName val="(1)_BS11"/>
      <sheetName val="(2)_BS21"/>
      <sheetName val="(3)_PL1"/>
      <sheetName val="(4)_CREDITS_to_DAIKIN_1"/>
      <sheetName val="(5)_DEBTS_FROM_DAIKIN1"/>
      <sheetName val="(6)_SALES_to_DAIKIN1"/>
      <sheetName val="(7)_PURCHASE_from_DAIKIN1"/>
      <sheetName val="(8)_Credits_to_OYL1"/>
      <sheetName val="(9)_DEBTS_FROM_OYL1"/>
      <sheetName val="(10)_SALES_to_OYL1"/>
      <sheetName val="(11)_PURCHASE_FROM_OYL1"/>
      <sheetName val="(12)_ROYALTIES_FROM_OYL1"/>
      <sheetName val="(13)_ROYALTIES_TO_OYL1"/>
      <sheetName val="(14)_NON_OP_INCOME1"/>
      <sheetName val="(15)_NON_OP_EXPENSE1"/>
      <sheetName val="(16)_Sales_by_Countries1"/>
      <sheetName val="(17)_SGA1"/>
      <sheetName val="(18)_CASH_EQUIVALENT1"/>
      <sheetName val="(19)_TANGIBLE_ASSETS1"/>
      <sheetName val="(20)_LONG_TERM_RECEIVABLE1"/>
      <sheetName val="(21)_ALLOWANCE_FOR_BAD_DEBT1"/>
      <sheetName val="(22)_WARRANTY1"/>
      <sheetName val="(23)_OTHER_CURRENT_ASSETS1"/>
      <sheetName val="(24)_PREPAID_EXPENSES1"/>
      <sheetName val="(25)_OTHER_LONG_TERM_ASSETS1"/>
      <sheetName val="(26)_OTHER_ACCRUED_EXPENSES1"/>
      <sheetName val="(27)_OTHER_LONGTERM_LIABILITIE1"/>
      <sheetName val="(28)_COLLATERAL1"/>
      <sheetName val="(29)_GUARANTEES1"/>
      <sheetName val="(30)_EMPLOYEE1"/>
      <sheetName val="(31)_DAIKIN_GROUP1"/>
      <sheetName val="(32)_OYL_GROUP1"/>
      <sheetName val="SALES_to_OYL2"/>
      <sheetName val="PURCHASE_from_OYL2"/>
      <sheetName val="(1)_BS12"/>
      <sheetName val="(2)_BS22"/>
      <sheetName val="(3)_PL2"/>
      <sheetName val="(4)_CREDITS_to_DAIKIN_2"/>
      <sheetName val="(5)_DEBTS_FROM_DAIKIN2"/>
      <sheetName val="(6)_SALES_to_DAIKIN2"/>
      <sheetName val="(7)_PURCHASE_from_DAIKIN2"/>
      <sheetName val="(8)_Credits_to_OYL2"/>
      <sheetName val="(9)_DEBTS_FROM_OYL2"/>
      <sheetName val="(10)_SALES_to_OYL2"/>
      <sheetName val="(11)_PURCHASE_FROM_OYL2"/>
      <sheetName val="(12)_ROYALTIES_FROM_OYL2"/>
      <sheetName val="(13)_ROYALTIES_TO_OYL2"/>
      <sheetName val="(14)_NON_OP_INCOME2"/>
      <sheetName val="(15)_NON_OP_EXPENSE2"/>
      <sheetName val="(16)_Sales_by_Countries2"/>
      <sheetName val="(17)_SGA2"/>
      <sheetName val="(18)_CASH_EQUIVALENT2"/>
      <sheetName val="(19)_TANGIBLE_ASSETS2"/>
      <sheetName val="(20)_LONG_TERM_RECEIVABLE2"/>
      <sheetName val="(21)_ALLOWANCE_FOR_BAD_DEBT2"/>
      <sheetName val="(22)_WARRANTY2"/>
      <sheetName val="(23)_OTHER_CURRENT_ASSETS2"/>
      <sheetName val="(24)_PREPAID_EXPENSES2"/>
      <sheetName val="(25)_OTHER_LONG_TERM_ASSETS2"/>
      <sheetName val="(26)_OTHER_ACCRUED_EXPENSES2"/>
      <sheetName val="(27)_OTHER_LONGTERM_LIABILITIE2"/>
      <sheetName val="(28)_COLLATERAL2"/>
      <sheetName val="(29)_GUARANTEES2"/>
      <sheetName val="(30)_EMPLOYEE2"/>
      <sheetName val="(31)_DAIKIN_GROUP2"/>
      <sheetName val="(32)_OYL_GROUP2"/>
      <sheetName val="SALES_to_OYL3"/>
      <sheetName val="PURCHASE_from_OYL3"/>
      <sheetName val="(1)_BS13"/>
      <sheetName val="(2)_BS23"/>
      <sheetName val="(3)_PL3"/>
      <sheetName val="(4)_CREDITS_to_DAIKIN_3"/>
      <sheetName val="(5)_DEBTS_FROM_DAIKIN3"/>
      <sheetName val="(6)_SALES_to_DAIKIN3"/>
      <sheetName val="(7)_PURCHASE_from_DAIKIN3"/>
      <sheetName val="(8)_Credits_to_OYL3"/>
      <sheetName val="(9)_DEBTS_FROM_OYL3"/>
      <sheetName val="(10)_SALES_to_OYL3"/>
      <sheetName val="(11)_PURCHASE_FROM_OYL3"/>
      <sheetName val="(12)_ROYALTIES_FROM_OYL3"/>
      <sheetName val="(13)_ROYALTIES_TO_OYL3"/>
      <sheetName val="(14)_NON_OP_INCOME3"/>
      <sheetName val="(15)_NON_OP_EXPENSE3"/>
      <sheetName val="(16)_Sales_by_Countries3"/>
      <sheetName val="(17)_SGA3"/>
      <sheetName val="(18)_CASH_EQUIVALENT3"/>
      <sheetName val="(19)_TANGIBLE_ASSETS3"/>
      <sheetName val="(20)_LONG_TERM_RECEIVABLE3"/>
      <sheetName val="(21)_ALLOWANCE_FOR_BAD_DEBT3"/>
      <sheetName val="(22)_WARRANTY3"/>
      <sheetName val="(23)_OTHER_CURRENT_ASSETS3"/>
      <sheetName val="(24)_PREPAID_EXPENSES3"/>
      <sheetName val="(25)_OTHER_LONG_TERM_ASSETS3"/>
      <sheetName val="(26)_OTHER_ACCRUED_EXPENSES3"/>
      <sheetName val="(27)_OTHER_LONGTERM_LIABILITIE3"/>
      <sheetName val="(28)_COLLATERAL3"/>
      <sheetName val="(29)_GUARANTEES3"/>
      <sheetName val="(30)_EMPLOYEE3"/>
      <sheetName val="(31)_DAIKIN_GROUP3"/>
      <sheetName val="(32)_OYL_GROUP3"/>
      <sheetName val="SALES_to_OYL4"/>
      <sheetName val="PURCHASE_from_OYL4"/>
      <sheetName val="(1)_BS14"/>
      <sheetName val="(2)_BS24"/>
      <sheetName val="(3)_PL4"/>
      <sheetName val="(4)_CREDITS_to_DAIKIN_4"/>
      <sheetName val="(5)_DEBTS_FROM_DAIKIN4"/>
      <sheetName val="(6)_SALES_to_DAIKIN4"/>
      <sheetName val="(7)_PURCHASE_from_DAIKIN4"/>
      <sheetName val="(8)_Credits_to_OYL4"/>
      <sheetName val="(9)_DEBTS_FROM_OYL4"/>
      <sheetName val="(10)_SALES_to_OYL4"/>
      <sheetName val="(11)_PURCHASE_FROM_OYL4"/>
      <sheetName val="(12)_ROYALTIES_FROM_OYL4"/>
      <sheetName val="(13)_ROYALTIES_TO_OYL4"/>
      <sheetName val="(14)_NON_OP_INCOME4"/>
      <sheetName val="(15)_NON_OP_EXPENSE4"/>
      <sheetName val="(16)_Sales_by_Countries4"/>
      <sheetName val="(17)_SGA4"/>
      <sheetName val="(18)_CASH_EQUIVALENT4"/>
      <sheetName val="(19)_TANGIBLE_ASSETS4"/>
      <sheetName val="(20)_LONG_TERM_RECEIVABLE4"/>
      <sheetName val="(21)_ALLOWANCE_FOR_BAD_DEBT4"/>
      <sheetName val="(22)_WARRANTY4"/>
      <sheetName val="(23)_OTHER_CURRENT_ASSETS4"/>
      <sheetName val="(24)_PREPAID_EXPENSES4"/>
      <sheetName val="(25)_OTHER_LONG_TERM_ASSETS4"/>
      <sheetName val="(26)_OTHER_ACCRUED_EXPENSES4"/>
      <sheetName val="(27)_OTHER_LONGTERM_LIABILITIE4"/>
      <sheetName val="(28)_COLLATERAL4"/>
      <sheetName val="(29)_GUARANTEES4"/>
      <sheetName val="(30)_EMPLOYEE4"/>
      <sheetName val="(31)_DAIKIN_GROUP4"/>
      <sheetName val="(32)_OYL_GROUP4"/>
      <sheetName val="SALES_to_OYL5"/>
      <sheetName val="PURCHASE_from_OYL5"/>
      <sheetName val="(1)_BS15"/>
      <sheetName val="(2)_BS25"/>
      <sheetName val="(3)_PL5"/>
      <sheetName val="(4)_CREDITS_to_DAIKIN_5"/>
      <sheetName val="(5)_DEBTS_FROM_DAIKIN5"/>
      <sheetName val="(6)_SALES_to_DAIKIN5"/>
      <sheetName val="(7)_PURCHASE_from_DAIKIN5"/>
      <sheetName val="(8)_Credits_to_OYL5"/>
      <sheetName val="(9)_DEBTS_FROM_OYL5"/>
      <sheetName val="(10)_SALES_to_OYL5"/>
      <sheetName val="(11)_PURCHASE_FROM_OYL5"/>
      <sheetName val="(12)_ROYALTIES_FROM_OYL5"/>
      <sheetName val="(13)_ROYALTIES_TO_OYL5"/>
      <sheetName val="(14)_NON_OP_INCOME5"/>
      <sheetName val="(15)_NON_OP_EXPENSE5"/>
      <sheetName val="(16)_Sales_by_Countries5"/>
      <sheetName val="(17)_SGA5"/>
      <sheetName val="(18)_CASH_EQUIVALENT5"/>
      <sheetName val="(19)_TANGIBLE_ASSETS5"/>
      <sheetName val="(20)_LONG_TERM_RECEIVABLE5"/>
      <sheetName val="(21)_ALLOWANCE_FOR_BAD_DEBT5"/>
      <sheetName val="(22)_WARRANTY5"/>
      <sheetName val="(23)_OTHER_CURRENT_ASSETS5"/>
      <sheetName val="(24)_PREPAID_EXPENSES5"/>
      <sheetName val="(25)_OTHER_LONG_TERM_ASSETS5"/>
      <sheetName val="(26)_OTHER_ACCRUED_EXPENSES5"/>
      <sheetName val="(27)_OTHER_LONGTERM_LIABILITIE5"/>
      <sheetName val="(28)_COLLATERAL5"/>
      <sheetName val="(29)_GUARANTEES5"/>
      <sheetName val="(30)_EMPLOYEE5"/>
      <sheetName val="(31)_DAIKIN_GROUP5"/>
      <sheetName val="(32)_OYL_GROUP5"/>
      <sheetName val="SALES_to_OYL6"/>
      <sheetName val="PURCHASE_from_OYL6"/>
      <sheetName val="(1)_BS16"/>
      <sheetName val="(2)_BS26"/>
      <sheetName val="(3)_PL6"/>
      <sheetName val="(4)_CREDITS_to_DAIKIN_6"/>
      <sheetName val="(5)_DEBTS_FROM_DAIKIN6"/>
      <sheetName val="(6)_SALES_to_DAIKIN6"/>
      <sheetName val="(7)_PURCHASE_from_DAIKIN6"/>
      <sheetName val="(8)_Credits_to_OYL6"/>
      <sheetName val="(9)_DEBTS_FROM_OYL6"/>
      <sheetName val="(10)_SALES_to_OYL6"/>
      <sheetName val="(11)_PURCHASE_FROM_OYL6"/>
      <sheetName val="(12)_ROYALTIES_FROM_OYL6"/>
      <sheetName val="(13)_ROYALTIES_TO_OYL6"/>
      <sheetName val="(14)_NON_OP_INCOME6"/>
      <sheetName val="(15)_NON_OP_EXPENSE6"/>
      <sheetName val="(16)_Sales_by_Countries6"/>
      <sheetName val="(17)_SGA6"/>
      <sheetName val="(18)_CASH_EQUIVALENT6"/>
      <sheetName val="(19)_TANGIBLE_ASSETS6"/>
      <sheetName val="(20)_LONG_TERM_RECEIVABLE6"/>
      <sheetName val="(21)_ALLOWANCE_FOR_BAD_DEBT6"/>
      <sheetName val="(22)_WARRANTY6"/>
      <sheetName val="(23)_OTHER_CURRENT_ASSETS6"/>
      <sheetName val="(24)_PREPAID_EXPENSES6"/>
      <sheetName val="(25)_OTHER_LONG_TERM_ASSETS6"/>
      <sheetName val="(26)_OTHER_ACCRUED_EXPENSES6"/>
      <sheetName val="(27)_OTHER_LONGTERM_LIABILITIE6"/>
      <sheetName val="(28)_COLLATERAL6"/>
      <sheetName val="(29)_GUARANTEES6"/>
      <sheetName val="(30)_EMPLOYEE6"/>
      <sheetName val="(31)_DAIKIN_GROUP6"/>
      <sheetName val="(32)_OYL_GROUP6"/>
      <sheetName val="SALES_to_OYL7"/>
      <sheetName val="PURCHASE_from_OYL7"/>
      <sheetName val="(1)_BS17"/>
      <sheetName val="(2)_BS27"/>
      <sheetName val="(3)_PL7"/>
      <sheetName val="(4)_CREDITS_to_DAIKIN_7"/>
      <sheetName val="(5)_DEBTS_FROM_DAIKIN7"/>
      <sheetName val="(6)_SALES_to_DAIKIN7"/>
      <sheetName val="(7)_PURCHASE_from_DAIKIN7"/>
      <sheetName val="(8)_Credits_to_OYL7"/>
      <sheetName val="(9)_DEBTS_FROM_OYL7"/>
      <sheetName val="(10)_SALES_to_OYL7"/>
      <sheetName val="(11)_PURCHASE_FROM_OYL7"/>
      <sheetName val="(12)_ROYALTIES_FROM_OYL7"/>
      <sheetName val="(13)_ROYALTIES_TO_OYL7"/>
      <sheetName val="(14)_NON_OP_INCOME7"/>
      <sheetName val="(15)_NON_OP_EXPENSE7"/>
      <sheetName val="(16)_Sales_by_Countries7"/>
      <sheetName val="(17)_SGA7"/>
      <sheetName val="(18)_CASH_EQUIVALENT7"/>
      <sheetName val="(19)_TANGIBLE_ASSETS7"/>
      <sheetName val="(20)_LONG_TERM_RECEIVABLE7"/>
      <sheetName val="(21)_ALLOWANCE_FOR_BAD_DEBT7"/>
      <sheetName val="(22)_WARRANTY7"/>
      <sheetName val="(23)_OTHER_CURRENT_ASSETS7"/>
      <sheetName val="(24)_PREPAID_EXPENSES7"/>
      <sheetName val="(25)_OTHER_LONG_TERM_ASSETS7"/>
      <sheetName val="(26)_OTHER_ACCRUED_EXPENSES7"/>
      <sheetName val="(27)_OTHER_LONGTERM_LIABILITIE7"/>
      <sheetName val="(28)_COLLATERAL7"/>
      <sheetName val="(29)_GUARANTEES7"/>
      <sheetName val="(30)_EMPLOYEE7"/>
      <sheetName val="(31)_DAIKIN_GROUP7"/>
      <sheetName val="(32)_OYL_GROUP7"/>
      <sheetName val="SALES_to_OYL8"/>
      <sheetName val="PURCHASE_from_OYL8"/>
      <sheetName val="(1)_BS18"/>
      <sheetName val="(2)_BS28"/>
      <sheetName val="(3)_PL8"/>
      <sheetName val="(4)_CREDITS_to_DAIKIN_8"/>
      <sheetName val="(5)_DEBTS_FROM_DAIKIN8"/>
      <sheetName val="(6)_SALES_to_DAIKIN8"/>
      <sheetName val="(7)_PURCHASE_from_DAIKIN8"/>
      <sheetName val="(8)_Credits_to_OYL8"/>
      <sheetName val="(9)_DEBTS_FROM_OYL8"/>
      <sheetName val="(10)_SALES_to_OYL8"/>
      <sheetName val="(11)_PURCHASE_FROM_OYL8"/>
      <sheetName val="(12)_ROYALTIES_FROM_OYL8"/>
      <sheetName val="(13)_ROYALTIES_TO_OYL8"/>
      <sheetName val="(14)_NON_OP_INCOME8"/>
      <sheetName val="(15)_NON_OP_EXPENSE8"/>
      <sheetName val="(16)_Sales_by_Countries8"/>
      <sheetName val="(17)_SGA8"/>
      <sheetName val="(18)_CASH_EQUIVALENT8"/>
      <sheetName val="(19)_TANGIBLE_ASSETS8"/>
      <sheetName val="(20)_LONG_TERM_RECEIVABLE8"/>
      <sheetName val="(21)_ALLOWANCE_FOR_BAD_DEBT8"/>
      <sheetName val="(22)_WARRANTY8"/>
      <sheetName val="(23)_OTHER_CURRENT_ASSETS8"/>
      <sheetName val="(24)_PREPAID_EXPENSES8"/>
      <sheetName val="(25)_OTHER_LONG_TERM_ASSETS8"/>
      <sheetName val="(26)_OTHER_ACCRUED_EXPENSES8"/>
      <sheetName val="(27)_OTHER_LONGTERM_LIABILITIE8"/>
      <sheetName val="(28)_COLLATERAL8"/>
      <sheetName val="(29)_GUARANTEES8"/>
      <sheetName val="(30)_EMPLOYEE8"/>
      <sheetName val="(31)_DAIKIN_GROUP8"/>
      <sheetName val="(32)_OYL_GROUP8"/>
      <sheetName val="SALES_to_OYL16"/>
      <sheetName val="PURCHASE_from_OYL16"/>
      <sheetName val="(1)_BS116"/>
      <sheetName val="(2)_BS216"/>
      <sheetName val="(3)_PL16"/>
      <sheetName val="(4)_CREDITS_to_DAIKIN_16"/>
      <sheetName val="(5)_DEBTS_FROM_DAIKIN16"/>
      <sheetName val="(6)_SALES_to_DAIKIN16"/>
      <sheetName val="(7)_PURCHASE_from_DAIKIN16"/>
      <sheetName val="(8)_Credits_to_OYL16"/>
      <sheetName val="(9)_DEBTS_FROM_OYL16"/>
      <sheetName val="(10)_SALES_to_OYL16"/>
      <sheetName val="(11)_PURCHASE_FROM_OYL16"/>
      <sheetName val="(12)_ROYALTIES_FROM_OYL16"/>
      <sheetName val="(13)_ROYALTIES_TO_OYL16"/>
      <sheetName val="(14)_NON_OP_INCOME16"/>
      <sheetName val="(15)_NON_OP_EXPENSE16"/>
      <sheetName val="(16)_Sales_by_Countries16"/>
      <sheetName val="(17)_SGA16"/>
      <sheetName val="(18)_CASH_EQUIVALENT16"/>
      <sheetName val="(19)_TANGIBLE_ASSETS16"/>
      <sheetName val="(20)_LONG_TERM_RECEIVABLE16"/>
      <sheetName val="(21)_ALLOWANCE_FOR_BAD_DEBT16"/>
      <sheetName val="(22)_WARRANTY16"/>
      <sheetName val="(23)_OTHER_CURRENT_ASSETS16"/>
      <sheetName val="(24)_PREPAID_EXPENSES16"/>
      <sheetName val="(25)_OTHER_LONG_TERM_ASSETS16"/>
      <sheetName val="(26)_OTHER_ACCRUED_EXPENSES16"/>
      <sheetName val="(27)_OTHER_LONGTERM_LIABILITI16"/>
      <sheetName val="(28)_COLLATERAL16"/>
      <sheetName val="(29)_GUARANTEES16"/>
      <sheetName val="(30)_EMPLOYEE16"/>
      <sheetName val="(31)_DAIKIN_GROUP16"/>
      <sheetName val="(32)_OYL_GROUP16"/>
      <sheetName val="SALES_to_OYL10"/>
      <sheetName val="PURCHASE_from_OYL10"/>
      <sheetName val="(1)_BS110"/>
      <sheetName val="(2)_BS210"/>
      <sheetName val="(3)_PL10"/>
      <sheetName val="(4)_CREDITS_to_DAIKIN_10"/>
      <sheetName val="(5)_DEBTS_FROM_DAIKIN10"/>
      <sheetName val="(6)_SALES_to_DAIKIN10"/>
      <sheetName val="(7)_PURCHASE_from_DAIKIN10"/>
      <sheetName val="(8)_Credits_to_OYL10"/>
      <sheetName val="(9)_DEBTS_FROM_OYL10"/>
      <sheetName val="(10)_SALES_to_OYL10"/>
      <sheetName val="(11)_PURCHASE_FROM_OYL10"/>
      <sheetName val="(12)_ROYALTIES_FROM_OYL10"/>
      <sheetName val="(13)_ROYALTIES_TO_OYL10"/>
      <sheetName val="(14)_NON_OP_INCOME10"/>
      <sheetName val="(15)_NON_OP_EXPENSE10"/>
      <sheetName val="(16)_Sales_by_Countries10"/>
      <sheetName val="(17)_SGA10"/>
      <sheetName val="(18)_CASH_EQUIVALENT10"/>
      <sheetName val="(19)_TANGIBLE_ASSETS10"/>
      <sheetName val="(20)_LONG_TERM_RECEIVABLE10"/>
      <sheetName val="(21)_ALLOWANCE_FOR_BAD_DEBT10"/>
      <sheetName val="(22)_WARRANTY10"/>
      <sheetName val="(23)_OTHER_CURRENT_ASSETS10"/>
      <sheetName val="(24)_PREPAID_EXPENSES10"/>
      <sheetName val="(25)_OTHER_LONG_TERM_ASSETS10"/>
      <sheetName val="(26)_OTHER_ACCRUED_EXPENSES10"/>
      <sheetName val="(27)_OTHER_LONGTERM_LIABILITI10"/>
      <sheetName val="(28)_COLLATERAL10"/>
      <sheetName val="(29)_GUARANTEES10"/>
      <sheetName val="(30)_EMPLOYEE10"/>
      <sheetName val="(31)_DAIKIN_GROUP10"/>
      <sheetName val="(32)_OYL_GROUP10"/>
      <sheetName val="SALES_to_OYL9"/>
      <sheetName val="PURCHASE_from_OYL9"/>
      <sheetName val="(1)_BS19"/>
      <sheetName val="(2)_BS29"/>
      <sheetName val="(3)_PL9"/>
      <sheetName val="(4)_CREDITS_to_DAIKIN_9"/>
      <sheetName val="(5)_DEBTS_FROM_DAIKIN9"/>
      <sheetName val="(6)_SALES_to_DAIKIN9"/>
      <sheetName val="(7)_PURCHASE_from_DAIKIN9"/>
      <sheetName val="(8)_Credits_to_OYL9"/>
      <sheetName val="(9)_DEBTS_FROM_OYL9"/>
      <sheetName val="(10)_SALES_to_OYL9"/>
      <sheetName val="(11)_PURCHASE_FROM_OYL9"/>
      <sheetName val="(12)_ROYALTIES_FROM_OYL9"/>
      <sheetName val="(13)_ROYALTIES_TO_OYL9"/>
      <sheetName val="(14)_NON_OP_INCOME9"/>
      <sheetName val="(15)_NON_OP_EXPENSE9"/>
      <sheetName val="(16)_Sales_by_Countries9"/>
      <sheetName val="(17)_SGA9"/>
      <sheetName val="(18)_CASH_EQUIVALENT9"/>
      <sheetName val="(19)_TANGIBLE_ASSETS9"/>
      <sheetName val="(20)_LONG_TERM_RECEIVABLE9"/>
      <sheetName val="(21)_ALLOWANCE_FOR_BAD_DEBT9"/>
      <sheetName val="(22)_WARRANTY9"/>
      <sheetName val="(23)_OTHER_CURRENT_ASSETS9"/>
      <sheetName val="(24)_PREPAID_EXPENSES9"/>
      <sheetName val="(25)_OTHER_LONG_TERM_ASSETS9"/>
      <sheetName val="(26)_OTHER_ACCRUED_EXPENSES9"/>
      <sheetName val="(27)_OTHER_LONGTERM_LIABILITIE9"/>
      <sheetName val="(28)_COLLATERAL9"/>
      <sheetName val="(29)_GUARANTEES9"/>
      <sheetName val="(30)_EMPLOYEE9"/>
      <sheetName val="(31)_DAIKIN_GROUP9"/>
      <sheetName val="(32)_OYL_GROUP9"/>
      <sheetName val="SALES_to_OYL11"/>
      <sheetName val="PURCHASE_from_OYL11"/>
      <sheetName val="(1)_BS111"/>
      <sheetName val="(2)_BS211"/>
      <sheetName val="(3)_PL11"/>
      <sheetName val="(4)_CREDITS_to_DAIKIN_11"/>
      <sheetName val="(5)_DEBTS_FROM_DAIKIN11"/>
      <sheetName val="(6)_SALES_to_DAIKIN11"/>
      <sheetName val="(7)_PURCHASE_from_DAIKIN11"/>
      <sheetName val="(8)_Credits_to_OYL11"/>
      <sheetName val="(9)_DEBTS_FROM_OYL11"/>
      <sheetName val="(10)_SALES_to_OYL11"/>
      <sheetName val="(11)_PURCHASE_FROM_OYL11"/>
      <sheetName val="(12)_ROYALTIES_FROM_OYL11"/>
      <sheetName val="(13)_ROYALTIES_TO_OYL11"/>
      <sheetName val="(14)_NON_OP_INCOME11"/>
      <sheetName val="(15)_NON_OP_EXPENSE11"/>
      <sheetName val="(16)_Sales_by_Countries11"/>
      <sheetName val="(17)_SGA11"/>
      <sheetName val="(18)_CASH_EQUIVALENT11"/>
      <sheetName val="(19)_TANGIBLE_ASSETS11"/>
      <sheetName val="(20)_LONG_TERM_RECEIVABLE11"/>
      <sheetName val="(21)_ALLOWANCE_FOR_BAD_DEBT11"/>
      <sheetName val="(22)_WARRANTY11"/>
      <sheetName val="(23)_OTHER_CURRENT_ASSETS11"/>
      <sheetName val="(24)_PREPAID_EXPENSES11"/>
      <sheetName val="(25)_OTHER_LONG_TERM_ASSETS11"/>
      <sheetName val="(26)_OTHER_ACCRUED_EXPENSES11"/>
      <sheetName val="(27)_OTHER_LONGTERM_LIABILITI11"/>
      <sheetName val="(28)_COLLATERAL11"/>
      <sheetName val="(29)_GUARANTEES11"/>
      <sheetName val="(30)_EMPLOYEE11"/>
      <sheetName val="(31)_DAIKIN_GROUP11"/>
      <sheetName val="(32)_OYL_GROUP11"/>
      <sheetName val="SALES_to_OYL12"/>
      <sheetName val="PURCHASE_from_OYL12"/>
      <sheetName val="(1)_BS112"/>
      <sheetName val="(2)_BS212"/>
      <sheetName val="(3)_PL12"/>
      <sheetName val="(4)_CREDITS_to_DAIKIN_12"/>
      <sheetName val="(5)_DEBTS_FROM_DAIKIN12"/>
      <sheetName val="(6)_SALES_to_DAIKIN12"/>
      <sheetName val="(7)_PURCHASE_from_DAIKIN12"/>
      <sheetName val="(8)_Credits_to_OYL12"/>
      <sheetName val="(9)_DEBTS_FROM_OYL12"/>
      <sheetName val="(10)_SALES_to_OYL12"/>
      <sheetName val="(11)_PURCHASE_FROM_OYL12"/>
      <sheetName val="(12)_ROYALTIES_FROM_OYL12"/>
      <sheetName val="(13)_ROYALTIES_TO_OYL12"/>
      <sheetName val="(14)_NON_OP_INCOME12"/>
      <sheetName val="(15)_NON_OP_EXPENSE12"/>
      <sheetName val="(16)_Sales_by_Countries12"/>
      <sheetName val="(17)_SGA12"/>
      <sheetName val="(18)_CASH_EQUIVALENT12"/>
      <sheetName val="(19)_TANGIBLE_ASSETS12"/>
      <sheetName val="(20)_LONG_TERM_RECEIVABLE12"/>
      <sheetName val="(21)_ALLOWANCE_FOR_BAD_DEBT12"/>
      <sheetName val="(22)_WARRANTY12"/>
      <sheetName val="(23)_OTHER_CURRENT_ASSETS12"/>
      <sheetName val="(24)_PREPAID_EXPENSES12"/>
      <sheetName val="(25)_OTHER_LONG_TERM_ASSETS12"/>
      <sheetName val="(26)_OTHER_ACCRUED_EXPENSES12"/>
      <sheetName val="(27)_OTHER_LONGTERM_LIABILITI12"/>
      <sheetName val="(28)_COLLATERAL12"/>
      <sheetName val="(29)_GUARANTEES12"/>
      <sheetName val="(30)_EMPLOYEE12"/>
      <sheetName val="(31)_DAIKIN_GROUP12"/>
      <sheetName val="(32)_OYL_GROUP12"/>
      <sheetName val="SALES_to_OYL15"/>
      <sheetName val="PURCHASE_from_OYL15"/>
      <sheetName val="(1)_BS115"/>
      <sheetName val="(2)_BS215"/>
      <sheetName val="(3)_PL15"/>
      <sheetName val="(4)_CREDITS_to_DAIKIN_15"/>
      <sheetName val="(5)_DEBTS_FROM_DAIKIN15"/>
      <sheetName val="(6)_SALES_to_DAIKIN15"/>
      <sheetName val="(7)_PURCHASE_from_DAIKIN15"/>
      <sheetName val="(8)_Credits_to_OYL15"/>
      <sheetName val="(9)_DEBTS_FROM_OYL15"/>
      <sheetName val="(10)_SALES_to_OYL15"/>
      <sheetName val="(11)_PURCHASE_FROM_OYL15"/>
      <sheetName val="(12)_ROYALTIES_FROM_OYL15"/>
      <sheetName val="(13)_ROYALTIES_TO_OYL15"/>
      <sheetName val="(14)_NON_OP_INCOME15"/>
      <sheetName val="(15)_NON_OP_EXPENSE15"/>
      <sheetName val="(16)_Sales_by_Countries15"/>
      <sheetName val="(17)_SGA15"/>
      <sheetName val="(18)_CASH_EQUIVALENT15"/>
      <sheetName val="(19)_TANGIBLE_ASSETS15"/>
      <sheetName val="(20)_LONG_TERM_RECEIVABLE15"/>
      <sheetName val="(21)_ALLOWANCE_FOR_BAD_DEBT15"/>
      <sheetName val="(22)_WARRANTY15"/>
      <sheetName val="(23)_OTHER_CURRENT_ASSETS15"/>
      <sheetName val="(24)_PREPAID_EXPENSES15"/>
      <sheetName val="(25)_OTHER_LONG_TERM_ASSETS15"/>
      <sheetName val="(26)_OTHER_ACCRUED_EXPENSES15"/>
      <sheetName val="(27)_OTHER_LONGTERM_LIABILITI15"/>
      <sheetName val="(28)_COLLATERAL15"/>
      <sheetName val="(29)_GUARANTEES15"/>
      <sheetName val="(30)_EMPLOYEE15"/>
      <sheetName val="(31)_DAIKIN_GROUP15"/>
      <sheetName val="(32)_OYL_GROUP15"/>
      <sheetName val="SALES_to_OYL13"/>
      <sheetName val="PURCHASE_from_OYL13"/>
      <sheetName val="(1)_BS113"/>
      <sheetName val="(2)_BS213"/>
      <sheetName val="(3)_PL13"/>
      <sheetName val="(4)_CREDITS_to_DAIKIN_13"/>
      <sheetName val="(5)_DEBTS_FROM_DAIKIN13"/>
      <sheetName val="(6)_SALES_to_DAIKIN13"/>
      <sheetName val="(7)_PURCHASE_from_DAIKIN13"/>
      <sheetName val="(8)_Credits_to_OYL13"/>
      <sheetName val="(9)_DEBTS_FROM_OYL13"/>
      <sheetName val="(10)_SALES_to_OYL13"/>
      <sheetName val="(11)_PURCHASE_FROM_OYL13"/>
      <sheetName val="(12)_ROYALTIES_FROM_OYL13"/>
      <sheetName val="(13)_ROYALTIES_TO_OYL13"/>
      <sheetName val="(14)_NON_OP_INCOME13"/>
      <sheetName val="(15)_NON_OP_EXPENSE13"/>
      <sheetName val="(16)_Sales_by_Countries13"/>
      <sheetName val="(17)_SGA13"/>
      <sheetName val="(18)_CASH_EQUIVALENT13"/>
      <sheetName val="(19)_TANGIBLE_ASSETS13"/>
      <sheetName val="(20)_LONG_TERM_RECEIVABLE13"/>
      <sheetName val="(21)_ALLOWANCE_FOR_BAD_DEBT13"/>
      <sheetName val="(22)_WARRANTY13"/>
      <sheetName val="(23)_OTHER_CURRENT_ASSETS13"/>
      <sheetName val="(24)_PREPAID_EXPENSES13"/>
      <sheetName val="(25)_OTHER_LONG_TERM_ASSETS13"/>
      <sheetName val="(26)_OTHER_ACCRUED_EXPENSES13"/>
      <sheetName val="(27)_OTHER_LONGTERM_LIABILITI13"/>
      <sheetName val="(28)_COLLATERAL13"/>
      <sheetName val="(29)_GUARANTEES13"/>
      <sheetName val="(30)_EMPLOYEE13"/>
      <sheetName val="(31)_DAIKIN_GROUP13"/>
      <sheetName val="(32)_OYL_GROUP13"/>
      <sheetName val="SALES_to_OYL14"/>
      <sheetName val="PURCHASE_from_OYL14"/>
      <sheetName val="(1)_BS114"/>
      <sheetName val="(2)_BS214"/>
      <sheetName val="(3)_PL14"/>
      <sheetName val="(4)_CREDITS_to_DAIKIN_14"/>
      <sheetName val="(5)_DEBTS_FROM_DAIKIN14"/>
      <sheetName val="(6)_SALES_to_DAIKIN14"/>
      <sheetName val="(7)_PURCHASE_from_DAIKIN14"/>
      <sheetName val="(8)_Credits_to_OYL14"/>
      <sheetName val="(9)_DEBTS_FROM_OYL14"/>
      <sheetName val="(10)_SALES_to_OYL14"/>
      <sheetName val="(11)_PURCHASE_FROM_OYL14"/>
      <sheetName val="(12)_ROYALTIES_FROM_OYL14"/>
      <sheetName val="(13)_ROYALTIES_TO_OYL14"/>
      <sheetName val="(14)_NON_OP_INCOME14"/>
      <sheetName val="(15)_NON_OP_EXPENSE14"/>
      <sheetName val="(16)_Sales_by_Countries14"/>
      <sheetName val="(17)_SGA14"/>
      <sheetName val="(18)_CASH_EQUIVALENT14"/>
      <sheetName val="(19)_TANGIBLE_ASSETS14"/>
      <sheetName val="(20)_LONG_TERM_RECEIVABLE14"/>
      <sheetName val="(21)_ALLOWANCE_FOR_BAD_DEBT14"/>
      <sheetName val="(22)_WARRANTY14"/>
      <sheetName val="(23)_OTHER_CURRENT_ASSETS14"/>
      <sheetName val="(24)_PREPAID_EXPENSES14"/>
      <sheetName val="(25)_OTHER_LONG_TERM_ASSETS14"/>
      <sheetName val="(26)_OTHER_ACCRUED_EXPENSES14"/>
      <sheetName val="(27)_OTHER_LONGTERM_LIABILITI14"/>
      <sheetName val="(28)_COLLATERAL14"/>
      <sheetName val="(29)_GUARANTEES14"/>
      <sheetName val="(30)_EMPLOYEE14"/>
      <sheetName val="(31)_DAIKIN_GROUP14"/>
      <sheetName val="(32)_OYL_GROUP14"/>
      <sheetName val="SALES_to_OYL17"/>
      <sheetName val="PURCHASE_from_OYL17"/>
      <sheetName val="(1)_BS117"/>
      <sheetName val="(2)_BS217"/>
      <sheetName val="(3)_PL17"/>
      <sheetName val="(4)_CREDITS_to_DAIKIN_17"/>
      <sheetName val="(5)_DEBTS_FROM_DAIKIN17"/>
      <sheetName val="(6)_SALES_to_DAIKIN17"/>
      <sheetName val="(7)_PURCHASE_from_DAIKIN17"/>
      <sheetName val="(8)_Credits_to_OYL17"/>
      <sheetName val="(9)_DEBTS_FROM_OYL17"/>
      <sheetName val="(10)_SALES_to_OYL17"/>
      <sheetName val="(11)_PURCHASE_FROM_OYL17"/>
      <sheetName val="(12)_ROYALTIES_FROM_OYL17"/>
      <sheetName val="(13)_ROYALTIES_TO_OYL17"/>
      <sheetName val="(14)_NON_OP_INCOME17"/>
      <sheetName val="(15)_NON_OP_EXPENSE17"/>
      <sheetName val="(16)_Sales_by_Countries17"/>
      <sheetName val="(17)_SGA17"/>
      <sheetName val="(18)_CASH_EQUIVALENT17"/>
      <sheetName val="(19)_TANGIBLE_ASSETS17"/>
      <sheetName val="(20)_LONG_TERM_RECEIVABLE17"/>
      <sheetName val="(21)_ALLOWANCE_FOR_BAD_DEBT17"/>
      <sheetName val="(22)_WARRANTY17"/>
      <sheetName val="(23)_OTHER_CURRENT_ASSETS17"/>
      <sheetName val="(24)_PREPAID_EXPENSES17"/>
      <sheetName val="(25)_OTHER_LONG_TERM_ASSETS17"/>
      <sheetName val="(26)_OTHER_ACCRUED_EXPENSES17"/>
      <sheetName val="(27)_OTHER_LONGTERM_LIABILITI17"/>
      <sheetName val="(28)_COLLATERAL17"/>
      <sheetName val="(29)_GUARANTEES17"/>
      <sheetName val="(30)_EMPLOYEE17"/>
      <sheetName val="(31)_DAIKIN_GROUP17"/>
      <sheetName val="(32)_OYL_GROUP17"/>
      <sheetName val="SALES_to_OYL18"/>
      <sheetName val="PURCHASE_from_OYL18"/>
      <sheetName val="(1)_BS118"/>
      <sheetName val="(2)_BS218"/>
      <sheetName val="(3)_PL18"/>
      <sheetName val="(4)_CREDITS_to_DAIKIN_18"/>
      <sheetName val="(5)_DEBTS_FROM_DAIKIN18"/>
      <sheetName val="(6)_SALES_to_DAIKIN18"/>
      <sheetName val="(7)_PURCHASE_from_DAIKIN18"/>
      <sheetName val="(8)_Credits_to_OYL18"/>
      <sheetName val="(9)_DEBTS_FROM_OYL18"/>
      <sheetName val="(10)_SALES_to_OYL18"/>
      <sheetName val="(11)_PURCHASE_FROM_OYL18"/>
      <sheetName val="(12)_ROYALTIES_FROM_OYL18"/>
      <sheetName val="(13)_ROYALTIES_TO_OYL18"/>
      <sheetName val="(14)_NON_OP_INCOME18"/>
      <sheetName val="(15)_NON_OP_EXPENSE18"/>
      <sheetName val="(16)_Sales_by_Countries18"/>
      <sheetName val="(17)_SGA18"/>
      <sheetName val="(18)_CASH_EQUIVALENT18"/>
      <sheetName val="(19)_TANGIBLE_ASSETS18"/>
      <sheetName val="(20)_LONG_TERM_RECEIVABLE18"/>
      <sheetName val="(21)_ALLOWANCE_FOR_BAD_DEBT18"/>
      <sheetName val="(22)_WARRANTY18"/>
      <sheetName val="(23)_OTHER_CURRENT_ASSETS18"/>
      <sheetName val="(24)_PREPAID_EXPENSES18"/>
      <sheetName val="(25)_OTHER_LONG_TERM_ASSETS18"/>
      <sheetName val="(26)_OTHER_ACCRUED_EXPENSES18"/>
      <sheetName val="(27)_OTHER_LONGTERM_LIABILITI18"/>
      <sheetName val="(28)_COLLATERAL18"/>
      <sheetName val="(29)_GUARANTEES18"/>
      <sheetName val="(30)_EMPLOYEE18"/>
      <sheetName val="(31)_DAIKIN_GROUP18"/>
      <sheetName val="(32)_OYL_GROUP18"/>
      <sheetName val="SALES_to_OYL19"/>
      <sheetName val="PURCHASE_from_OYL19"/>
      <sheetName val="(1)_BS119"/>
      <sheetName val="(2)_BS219"/>
      <sheetName val="(3)_PL19"/>
      <sheetName val="(4)_CREDITS_to_DAIKIN_19"/>
      <sheetName val="(5)_DEBTS_FROM_DAIKIN19"/>
      <sheetName val="(6)_SALES_to_DAIKIN19"/>
      <sheetName val="(7)_PURCHASE_from_DAIKIN19"/>
      <sheetName val="(8)_Credits_to_OYL19"/>
      <sheetName val="(9)_DEBTS_FROM_OYL19"/>
      <sheetName val="(10)_SALES_to_OYL19"/>
      <sheetName val="(11)_PURCHASE_FROM_OYL19"/>
      <sheetName val="(12)_ROYALTIES_FROM_OYL19"/>
      <sheetName val="(13)_ROYALTIES_TO_OYL19"/>
      <sheetName val="(14)_NON_OP_INCOME19"/>
      <sheetName val="(15)_NON_OP_EXPENSE19"/>
      <sheetName val="(16)_Sales_by_Countries19"/>
      <sheetName val="(17)_SGA19"/>
      <sheetName val="(18)_CASH_EQUIVALENT19"/>
      <sheetName val="(19)_TANGIBLE_ASSETS19"/>
      <sheetName val="(20)_LONG_TERM_RECEIVABLE19"/>
      <sheetName val="(21)_ALLOWANCE_FOR_BAD_DEBT19"/>
      <sheetName val="(22)_WARRANTY19"/>
      <sheetName val="(23)_OTHER_CURRENT_ASSETS19"/>
      <sheetName val="(24)_PREPAID_EXPENSES19"/>
      <sheetName val="(25)_OTHER_LONG_TERM_ASSETS19"/>
      <sheetName val="(26)_OTHER_ACCRUED_EXPENSES19"/>
      <sheetName val="(27)_OTHER_LONGTERM_LIABILITI19"/>
      <sheetName val="(28)_COLLATERAL19"/>
      <sheetName val="(29)_GUARANTEES19"/>
      <sheetName val="(30)_EMPLOYEE19"/>
      <sheetName val="(31)_DAIKIN_GROUP19"/>
      <sheetName val="(32)_OYL_GROUP19"/>
      <sheetName val="SALES_to_OYL20"/>
      <sheetName val="PURCHASE_from_OYL20"/>
      <sheetName val="(1)_BS120"/>
      <sheetName val="(2)_BS220"/>
      <sheetName val="(3)_PL20"/>
      <sheetName val="(4)_CREDITS_to_DAIKIN_20"/>
      <sheetName val="(5)_DEBTS_FROM_DAIKIN20"/>
      <sheetName val="(6)_SALES_to_DAIKIN20"/>
      <sheetName val="(7)_PURCHASE_from_DAIKIN20"/>
      <sheetName val="(8)_Credits_to_OYL20"/>
      <sheetName val="(9)_DEBTS_FROM_OYL20"/>
      <sheetName val="(10)_SALES_to_OYL20"/>
      <sheetName val="(11)_PURCHASE_FROM_OYL20"/>
      <sheetName val="(12)_ROYALTIES_FROM_OYL20"/>
      <sheetName val="(13)_ROYALTIES_TO_OYL20"/>
      <sheetName val="(14)_NON_OP_INCOME20"/>
      <sheetName val="(15)_NON_OP_EXPENSE20"/>
      <sheetName val="(16)_Sales_by_Countries20"/>
      <sheetName val="(17)_SGA20"/>
      <sheetName val="(18)_CASH_EQUIVALENT20"/>
      <sheetName val="(19)_TANGIBLE_ASSETS20"/>
      <sheetName val="(20)_LONG_TERM_RECEIVABLE20"/>
      <sheetName val="(21)_ALLOWANCE_FOR_BAD_DEBT20"/>
      <sheetName val="(22)_WARRANTY20"/>
      <sheetName val="(23)_OTHER_CURRENT_ASSETS20"/>
      <sheetName val="(24)_PREPAID_EXPENSES20"/>
      <sheetName val="(25)_OTHER_LONG_TERM_ASSETS20"/>
      <sheetName val="(26)_OTHER_ACCRUED_EXPENSES20"/>
      <sheetName val="(27)_OTHER_LONGTERM_LIABILITI20"/>
      <sheetName val="(28)_COLLATERAL20"/>
      <sheetName val="(29)_GUARANTEES20"/>
      <sheetName val="(30)_EMPLOYEE20"/>
      <sheetName val="(31)_DAIKIN_GROUP20"/>
      <sheetName val="(32)_OYL_GROUP20"/>
      <sheetName val="SALES_to_OYL21"/>
      <sheetName val="PURCHASE_from_OYL21"/>
      <sheetName val="(1)_BS121"/>
      <sheetName val="(2)_BS221"/>
      <sheetName val="(3)_PL21"/>
      <sheetName val="(4)_CREDITS_to_DAIKIN_21"/>
      <sheetName val="(5)_DEBTS_FROM_DAIKIN21"/>
      <sheetName val="(6)_SALES_to_DAIKIN21"/>
      <sheetName val="(7)_PURCHASE_from_DAIKIN21"/>
      <sheetName val="(8)_Credits_to_OYL21"/>
      <sheetName val="(9)_DEBTS_FROM_OYL21"/>
      <sheetName val="(10)_SALES_to_OYL21"/>
      <sheetName val="(11)_PURCHASE_FROM_OYL21"/>
      <sheetName val="(12)_ROYALTIES_FROM_OYL21"/>
      <sheetName val="(13)_ROYALTIES_TO_OYL21"/>
      <sheetName val="(14)_NON_OP_INCOME21"/>
      <sheetName val="(15)_NON_OP_EXPENSE21"/>
      <sheetName val="(16)_Sales_by_Countries21"/>
      <sheetName val="(17)_SGA21"/>
      <sheetName val="(18)_CASH_EQUIVALENT21"/>
      <sheetName val="(19)_TANGIBLE_ASSETS21"/>
      <sheetName val="(20)_LONG_TERM_RECEIVABLE21"/>
      <sheetName val="(21)_ALLOWANCE_FOR_BAD_DEBT21"/>
      <sheetName val="(22)_WARRANTY21"/>
      <sheetName val="(23)_OTHER_CURRENT_ASSETS21"/>
      <sheetName val="(24)_PREPAID_EXPENSES21"/>
      <sheetName val="(25)_OTHER_LONG_TERM_ASSETS21"/>
      <sheetName val="(26)_OTHER_ACCRUED_EXPENSES21"/>
      <sheetName val="(27)_OTHER_LONGTERM_LIABILITI21"/>
      <sheetName val="(28)_COLLATERAL21"/>
      <sheetName val="(29)_GUARANTEES21"/>
      <sheetName val="(30)_EMPLOYEE21"/>
      <sheetName val="(31)_DAIKIN_GROUP21"/>
      <sheetName val="(32)_OYL_GROUP21"/>
      <sheetName val="SALES_to_OYL22"/>
      <sheetName val="PURCHASE_from_OYL22"/>
      <sheetName val="(1)_BS122"/>
      <sheetName val="(2)_BS222"/>
      <sheetName val="(3)_PL22"/>
      <sheetName val="(4)_CREDITS_to_DAIKIN_22"/>
      <sheetName val="(5)_DEBTS_FROM_DAIKIN22"/>
      <sheetName val="(6)_SALES_to_DAIKIN22"/>
      <sheetName val="(7)_PURCHASE_from_DAIKIN22"/>
      <sheetName val="(8)_Credits_to_OYL22"/>
      <sheetName val="(9)_DEBTS_FROM_OYL22"/>
      <sheetName val="(10)_SALES_to_OYL22"/>
      <sheetName val="(11)_PURCHASE_FROM_OYL22"/>
      <sheetName val="(12)_ROYALTIES_FROM_OYL22"/>
      <sheetName val="(13)_ROYALTIES_TO_OYL22"/>
      <sheetName val="(14)_NON_OP_INCOME22"/>
      <sheetName val="(15)_NON_OP_EXPENSE22"/>
      <sheetName val="(16)_Sales_by_Countries22"/>
      <sheetName val="(17)_SGA22"/>
      <sheetName val="(18)_CASH_EQUIVALENT22"/>
      <sheetName val="(19)_TANGIBLE_ASSETS22"/>
      <sheetName val="(20)_LONG_TERM_RECEIVABLE22"/>
      <sheetName val="(21)_ALLOWANCE_FOR_BAD_DEBT22"/>
      <sheetName val="(22)_WARRANTY22"/>
      <sheetName val="(23)_OTHER_CURRENT_ASSETS22"/>
      <sheetName val="(24)_PREPAID_EXPENSES22"/>
      <sheetName val="(25)_OTHER_LONG_TERM_ASSETS22"/>
      <sheetName val="(26)_OTHER_ACCRUED_EXPENSES22"/>
      <sheetName val="(27)_OTHER_LONGTERM_LIABILITI22"/>
      <sheetName val="(28)_COLLATERAL22"/>
      <sheetName val="(29)_GUARANTEES22"/>
      <sheetName val="(30)_EMPLOYEE22"/>
      <sheetName val="(31)_DAIKIN_GROUP22"/>
      <sheetName val="(32)_OYL_GROUP22"/>
      <sheetName val="SALES_to_OYL23"/>
      <sheetName val="PURCHASE_from_OYL23"/>
      <sheetName val="(1)_BS123"/>
      <sheetName val="(2)_BS223"/>
      <sheetName val="(3)_PL23"/>
      <sheetName val="(4)_CREDITS_to_DAIKIN_23"/>
      <sheetName val="(5)_DEBTS_FROM_DAIKIN23"/>
      <sheetName val="(6)_SALES_to_DAIKIN23"/>
      <sheetName val="(7)_PURCHASE_from_DAIKIN23"/>
      <sheetName val="(8)_Credits_to_OYL23"/>
      <sheetName val="(9)_DEBTS_FROM_OYL23"/>
      <sheetName val="(10)_SALES_to_OYL23"/>
      <sheetName val="(11)_PURCHASE_FROM_OYL23"/>
      <sheetName val="(12)_ROYALTIES_FROM_OYL23"/>
      <sheetName val="(13)_ROYALTIES_TO_OYL23"/>
      <sheetName val="(14)_NON_OP_INCOME23"/>
      <sheetName val="(15)_NON_OP_EXPENSE23"/>
      <sheetName val="(16)_Sales_by_Countries23"/>
      <sheetName val="(17)_SGA23"/>
      <sheetName val="(18)_CASH_EQUIVALENT23"/>
      <sheetName val="(19)_TANGIBLE_ASSETS23"/>
      <sheetName val="(20)_LONG_TERM_RECEIVABLE23"/>
      <sheetName val="(21)_ALLOWANCE_FOR_BAD_DEBT23"/>
      <sheetName val="(22)_WARRANTY23"/>
      <sheetName val="(23)_OTHER_CURRENT_ASSETS23"/>
      <sheetName val="(24)_PREPAID_EXPENSES23"/>
      <sheetName val="(25)_OTHER_LONG_TERM_ASSETS23"/>
      <sheetName val="(26)_OTHER_ACCRUED_EXPENSES23"/>
      <sheetName val="(27)_OTHER_LONGTERM_LIABILITI23"/>
      <sheetName val="(28)_COLLATERAL23"/>
      <sheetName val="(29)_GUARANTEES23"/>
      <sheetName val="(30)_EMPLOYEE23"/>
      <sheetName val="(31)_DAIKIN_GROUP23"/>
      <sheetName val="(32)_OYL_GROUP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NF"/>
      <sheetName val="Report"/>
      <sheetName val="Company"/>
      <sheetName val="NEW-PANE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_日バッチt"/>
      <sheetName val="p_日バッチt.xls"/>
      <sheetName val="p_%E6%97%A5%E3%83%90%E3%83%83%E"/>
      <sheetName val="MODELNF"/>
    </sheetNames>
    <definedNames>
      <definedName name="Main_R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inf"/>
      <sheetName val="portal"/>
      <sheetName val="2008 U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_日バッチt"/>
      <sheetName val="DI-ESTI"/>
    </sheetNames>
    <definedNames>
      <definedName name="Main_R"/>
    </definedNames>
    <sheetDataSet>
      <sheetData sheetId="0" refreshError="1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_日バッチt"/>
      <sheetName val="p_日バッチt.xls"/>
      <sheetName val="p_%E6%97%A5%E3%83%90%E3%83%83%E"/>
      <sheetName val="TRAILREV"/>
    </sheetNames>
    <definedNames>
      <definedName name="Main_R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ry Gunawan (DASI)" refreshedDate="46224.493274537039" createdVersion="8" refreshedVersion="8" minRefreshableVersion="3" recordCount="378" xr:uid="{1EAA1CD9-661D-467A-A4D4-8EFCDB250DB2}">
  <cacheSource type="worksheet">
    <worksheetSource name="Table2"/>
  </cacheSource>
  <cacheFields count="17">
    <cacheField name="Klien Name" numFmtId="0">
      <sharedItems count="288">
        <s v="RS Columbia Asia Medan"/>
        <s v="Plaza Indonesia"/>
        <s v="FX Sudirman"/>
        <s v="GS Battery-Audit System"/>
        <s v="PT. Gita Persada Mandiri"/>
        <s v="PT Wisana Matra Karya"/>
        <s v="PT. Cental Global"/>
        <s v="Patra Jasa"/>
        <s v="PT. Fajar Kreasindo"/>
        <s v="PT. Wahana Teknik"/>
        <s v="PT. Tecotama Mitra Sarana Elektrisindo"/>
        <s v="PT. Kencana Sejuk Abadi Sunter"/>
        <s v="PT. Dwiarta Teknologi Internasional"/>
        <s v="Vision Ease"/>
        <s v="PT. Sarana Tunggal Mulia"/>
        <s v="PT. YKK Zipco 5"/>
        <s v="PT. Sumco Indonesia"/>
        <s v="Oakwood Tower Tenant Burgreens"/>
        <s v="PT. Pillar Ekatama"/>
        <s v="Aryaduta Hotel Menteng"/>
        <s v="PT. Central Global"/>
        <s v="Star Energy "/>
        <s v="Novell Pharmaceutical"/>
        <s v="PT. Daya Parama Intraguna"/>
        <s v="BRIN gd 11"/>
        <s v="TD Automotive Compressore Indonesia"/>
        <s v="RS Premier"/>
        <s v="DIC Astra"/>
        <s v="Lion Wings"/>
        <s v="Tirta Investama (Aqua) Subang"/>
        <s v="Tirta Sibayakindo(Aqua) Berastagi"/>
        <s v="PT. Deltamas Solusindo"/>
        <s v="PT Indocool"/>
        <s v="Parker Engineering"/>
        <s v="PT. Senayan Trikarya Sempana"/>
        <s v="PT Sakatama"/>
        <s v="BNI Banjarmasin"/>
        <s v="ASTON Manado Hotel"/>
        <s v="Aqua Klaten Mizone"/>
        <s v="TD Automotive Compressor Indonesia "/>
        <s v="PT Tirta Investama (Aqua) Plant Cianjur"/>
        <s v="CV Dian Mandiri"/>
        <s v="RS Ciputra Banjarmasin"/>
        <s v="Aryaduta Semanggi (EPL Aryaduta Semanggi)"/>
        <s v="Hotel Golden Tulip"/>
        <s v="Danone Prambanan"/>
        <s v="Gress Mall"/>
        <s v="Sequis"/>
        <s v="KAER (RC Chiller Sheraton Bali)"/>
        <s v="Improvement SPS 1 dan 2"/>
        <s v="RS Suriansyah"/>
        <s v="PT Hopak (Davindo)"/>
        <s v="CJ Jombang"/>
        <s v="PT Indo Cipta"/>
        <s v="Aqua Sambung Gede"/>
        <s v="RS Unair"/>
        <s v="Aqua Mambal installasi"/>
        <s v="VES Filler"/>
        <s v="Indofood gempol"/>
        <s v="IGD RSUD Dr Soetomo "/>
        <s v="Atria Tower"/>
        <s v="RS KARIADI "/>
        <s v="YEMI (YAMAHA ELECTRONIC)"/>
        <s v="GUMAYA TOWER"/>
        <s v="PT. Colombia Asia Medan"/>
        <s v="PT Nippon Paint Ancol Jakarta (EPL NP Ancol)"/>
        <s v="Ambarrukmo Plaza"/>
        <s v="Santika Hotel Semarang"/>
        <s v="RSUD AWS"/>
        <s v="Linde Indonesia "/>
        <s v="PT Jaya Sakti Mulia (RC AHU Tunjungan Plaza Sby)"/>
        <s v="PT. Master Tritunggal Pratama"/>
        <s v="Wilmar Ruang Filling "/>
        <s v="CV Davindo Anugrah Unggul (RC FCU Nestle)"/>
        <s v="Aneka Tuna "/>
        <s v="Wilmar FRA Building Project "/>
        <s v="PT Gita Persada Mandiri"/>
        <s v="PT. Jawa Power"/>
        <s v="PT. Bukit Asam"/>
        <s v="Pertamina Balongan "/>
        <s v="Petrolab"/>
        <s v="CAP"/>
        <s v="Airnav"/>
        <s v="PT Nippon Paint (EPL NP Ancol Lab Labour Technical)"/>
        <s v="BADAK LNG "/>
        <s v="Tradco "/>
        <s v="Astro "/>
        <s v="TPPI "/>
        <s v="Doubel Tree "/>
        <s v="PT. Global Integrasi Solusi"/>
        <s v="Pertamina Geothermal Karaha"/>
        <s v="PT Novell Pharmaceutical Laboratories"/>
        <s v="PT. Mattel Indonesia"/>
        <s v="CAP CCR Room"/>
        <s v="CAP SMI Plant"/>
        <s v="CV. Global System Mandiri"/>
        <s v="PT Tirta Investama"/>
        <s v="PT. Wahana Teknik -  Project Preangger Hotel - Bandung "/>
        <s v="PT. Sanghiang Perkasa"/>
        <s v="CV. Abuputra"/>
        <s v="PT. ZTT Cable Indonesia"/>
        <s v="PT. Graha Santika Dyandra (hotel santika medan)"/>
        <s v="PT. Master Tritunggal Pratama - PT. Meij Rubber Cikarang - David"/>
        <s v="PT Surteckariya"/>
        <s v="PT Cira"/>
        <s v="Teruna Perkasa Optimal"/>
        <s v="PT. Sahabat Kota Wisata"/>
        <s v="PT Deltamas - David - Samuel"/>
        <s v="Metropolitan Mall"/>
        <s v="PT. Gita Mandiri Persada - RS Hasan Sadikin Bandung "/>
        <s v="PT VNLPE"/>
        <s v="DJK"/>
        <s v="LOC"/>
        <s v="Asttra Otoparts"/>
        <s v="RS Premier Bintaro"/>
        <s v="KOITO"/>
        <s v="Lintec Indonesia"/>
        <s v="Samator"/>
        <s v="PT. Gita Mandiri Persada -  RS Siloam Hospital "/>
        <s v="PT Tirta Fresindo Jaya Pasuruan (EPL Ruang Trafo dan Ruang LVMDP)"/>
        <s v="POSA GROUP (RC Ambon City Center)"/>
        <s v="PT Venindo (RC Verwood Hotel Surabaya)"/>
        <s v="PT Airtech (RC AHU Ritamall Purwokerto)-David"/>
        <s v="PT Sarana Nikoteknik (RC Chiller Pentacity Balikpapan)-David"/>
        <s v="CV Manado Inti Perkasa (RC Chiller GKN Manado)-David"/>
        <s v="PT Immanuel Solusi Sejahtera (RC FCU FWW300VC)"/>
        <s v="PT Nipsea Paint and Chemical (EPL HVAC Ruang Laboratorium)"/>
        <s v="PT Nipsea Paint and Chemical (EPL HVAC Ruang Hardener)"/>
        <s v="PT Hamparan Daya Cipta (RC FCU Grand Mirage)"/>
        <s v="PT Hamparan Daya Cipta (RC FCU FWW1400VC Beachwalk)"/>
        <s v="PT Hamparan Daya Cipta (RC FCU Harris POP Denpasar)"/>
        <s v="CV Davindo Anugrah Unggul (RC WCPU PGS Surabaya)"/>
        <s v="PT Cheil Jedang Pasuruan (EPL Filter AHU)"/>
        <s v="PT Immanuel Solusi Sejahtera (RC FCU Hotel Melia Bali)"/>
        <s v="CV Davindo Anugrah Unggul (RC Petronika Gresik)"/>
        <s v="Mitra Medica (HVAC Rumah Sakit)"/>
        <s v="PT Fujitron (RC AHU GMF Jakarta)"/>
        <s v="PT CEO Internusa Aircon (RC Chiller PT BKP Bekasi)"/>
        <s v="PT Dian Mandiri (RC FCU Hotel Ayana Bali)"/>
        <s v="PT Dita Utama (RC Chiller Plaza Balikpapan)"/>
        <s v="CV DOB karunia (RC FCU Intiland Sby)"/>
        <s v="PT Unilever Tbk (EPL HVAC Unilever)"/>
        <s v="PT Hamparan Daya Cipta Infinity / Megamall Manado (RC Chiller Megamall Manado)"/>
        <s v="PT Canada Green Gate"/>
        <s v="PT Smart Tbk (EPL HVAC Menara Meeting Room)"/>
        <s v="PT. Global Central"/>
        <s v="BADAK LNG - N2 B39"/>
        <s v="Niko Teknik "/>
        <s v="Revorma "/>
        <s v="Pupuk Indonesia "/>
        <s v="TCCC  - Pupuk Kaltim"/>
        <s v="Aryaduta Manado (RC AHU-FCU Aryaduta Manado)"/>
        <s v="Hotel Surya Prigen"/>
        <s v="Hotel Malyabhara Jogjakarta"/>
        <s v="Greeefield"/>
        <s v="PT Cahaya Parama Niscala (RC FCU 10 PK Cirebon Superblok Mall)"/>
        <s v="Kaer Pte Ltd Singapore (RC Chiller Galaxy Mall Surabaya)"/>
        <s v="PT BSD Medica"/>
        <s v="PT Syakha Cakra Buana"/>
        <s v="Bandara Lombok"/>
        <s v="PT. Master Tri Tunggal Pratama - David - Samuel"/>
        <s v="Santos jaya Abadi"/>
        <s v="Teluk Lamong"/>
        <s v="HeatPump Aqua Wonosobo"/>
        <s v="HeatPump Aqua Mambal"/>
        <s v="Aqua Wonosobo"/>
        <s v="Aqua Mambal"/>
        <s v="Aqua Wonosobo Installasi Haetpump"/>
        <s v="RS Ciputra jakarta"/>
        <s v="PT Emart - David"/>
        <s v="PT Bintang Kreasi Aroma"/>
        <s v="PT AVI - David"/>
        <s v="PT Trisun Techiques Mandiri - David"/>
        <s v="CV. Sarana Air Cool - David"/>
        <s v="CV Gentraco - David"/>
        <s v="PT Deltamas - David"/>
        <s v="IHF"/>
        <s v="PT. Central Global "/>
        <s v="PT Immanuel Solusi Sejahtera - David"/>
        <s v="Indah Kiat Pulp and Paper"/>
        <s v="PT. Gita Persada Mandiri- David - Samuel"/>
        <s v="PT Evo Manufacturing Indonesia"/>
        <s v="CV. Permata Tehnik - David - Samuel"/>
        <s v="PT. Wahana Teknik - David - Samuel"/>
        <s v="PT. Central Global -   David Samuel"/>
        <s v="KAER (RC Chiller Lippo Mall Kemang Jkt)"/>
        <s v="PT. AC Wahana - David Samuel"/>
        <s v="PT. Pillar Ekatama - David Samuel"/>
        <s v="PT Cilikon Tata Udara Indonesia"/>
        <s v=" PT.ANEKA SOLUSI ENGINEERING - David - Samuel"/>
        <s v="PT. Denki Engineering "/>
        <s v="PT. Dian Mandiri - David - Samuel"/>
        <s v="PT. Dover Chemical Merak"/>
        <s v="PT. Hanei Indonesia - David"/>
        <s v="PT. Janur Teknik Mandiri - David"/>
        <s v="PT. Sampoerna Tritunggal Pratama"/>
        <s v="PT. Candi Toba, Anugerah, Trihaga"/>
        <s v="PT. Cipta Kreasindo Teknika  - David"/>
        <s v="PT. Graha Nusa Raya"/>
        <s v="MNC Tower"/>
        <s v="Mitra Anda Pontianak"/>
        <s v="CV Davindo Anugrah Unggul (RC-FCU Campina)"/>
        <s v="PJB Gresik"/>
        <s v="PT Indofood Pasuruan"/>
        <s v="PT. Pilar Ekatama - David - Samuel"/>
        <s v="TPO "/>
        <s v="Unilever"/>
        <s v="Hilton Bali"/>
        <s v="PT. Prima Totech"/>
        <s v="Krakatau Properti"/>
        <s v="TJB Power"/>
        <s v="RS Unhas"/>
        <s v="Hotel Royal Cilegon"/>
        <s v="PT Itama Rayonara"/>
        <s v="PT Toka Tindung"/>
        <s v="Sotis Kemang Hotel"/>
        <s v="n "/>
        <s v="PT Petrosea by Como"/>
        <s v="Senayan Trikarya Sempana"/>
        <s v="RS Muhamadiah"/>
        <s v="Squencing Chiller SS 1"/>
        <s v="Control Ruang OK RS. EMC"/>
        <s v="Sansho Rubber Indonesia"/>
        <s v="Indocement Tbk"/>
        <s v="PT Corteva - David"/>
        <s v="PT Tumantiis Budi Mandiri - David"/>
        <s v="PT. Imecon Anugerah Perkasa"/>
        <s v="PT. KANSAI PAINT INDONESIA"/>
        <s v="PT. Sarana Tunggal Mulia - David - Samuel"/>
        <s v="PT Samudra Mas Nusantara"/>
        <s v="PT. WMK - Lanud Pekanbaru"/>
        <s v="THAMRIN CITY UOB -  Syakha Cakra  Buana"/>
        <s v="Primatekarsindo"/>
        <s v="Universitas Tarumanegara"/>
        <s v="YKK ZIPCO 5"/>
        <s v="Panasonic Industrial Component Indonesia"/>
        <s v="MM"/>
        <s v="Lion Wings "/>
        <s v="Emblem Asia"/>
        <s v="Oakwood Chopstick"/>
        <s v="CV. Hardikarya Nusantara binjai"/>
        <s v="Jakarta Aquarium Safari-PT PT Wahid Mandiri Sejahtera"/>
        <s v="WILMAR "/>
        <s v="CV Bintang (RC-Best Western Palu)"/>
        <s v="PT Nippon Paint (RC Chiller NP Purwakarta)"/>
        <s v="PT Smart Tbk (EPL Cold Storage)"/>
        <s v="PT Eterindo Nusa Graha"/>
        <s v="PT Batara Elok Semesta Terpadu (BEST Gresik)"/>
        <s v="PT Unilever"/>
        <s v="Bernofarm"/>
        <s v="UPA Sby"/>
        <s v="PT Smoore"/>
        <s v="JOTR "/>
        <s v="Project Bahana - SDA"/>
        <s v="Grage Mall Cirebon"/>
        <s v="Project JICT - PT Awan Integrasi Sandidata"/>
        <s v="Project Indolakto"/>
        <s v="Project Sulfindo Merak ( PT. Gecko Indonesia)"/>
        <s v="CV Dian Mandiri Project W Bali"/>
        <s v="PT. Caterison Sukses  Project Japanese Resto Hilton Bali"/>
        <s v="PT Firmenich Indonesia"/>
        <s v="PT Rumakita Kreasi"/>
        <s v="PT Ichikoh Indonesia"/>
        <s v="PT Ichikoh Indoensia"/>
        <s v="PT. Gita Persada Mandiri -  Project RC Colombia Asia "/>
        <s v="Kavana Interior"/>
        <s v="PT Tirta Investama Plant SOlok"/>
        <s v="PT Tirta Investama Plant Citereup"/>
        <s v="Biofarma Bandung"/>
        <s v="AHM Plant 3 MM2100"/>
        <s v="Sarihusada Generasi Mahardika (SGM)"/>
        <s v="Berkah Maharta "/>
        <s v="PT. Taiyo Sinar Project Control AHU PICID"/>
        <s v="PT. Coca cola Europasific Indonesia"/>
        <s v="PT. Senayan Trikarya Sempana Project Replacment Control Chiller SS1"/>
        <s v="PT. Sarana Teknik Wiratama"/>
        <s v="PT. Panja CIpta Utama"/>
        <s v="Matahari Daan Mogot"/>
        <s v="PT. Coca cola Europasific Indonesia Project Syrup"/>
        <s v="PT. Unilever Indonesia Plant Bango"/>
        <s v="YKK ZIPER - PT PUTRA MANDIRI AIRCON"/>
        <s v="WISMA ASIA 2 Kencana Sejuk Abadi"/>
        <s v="Heartology"/>
        <s v="PT Sukacita Teknologi Indonesia"/>
        <s v="PT Pratama Amerta Solusi"/>
        <s v="RS Columbia Asia Medan (david)"/>
        <s v="Morrissey Hotel Jakarta"/>
        <s v="Umara Group"/>
      </sharedItems>
    </cacheField>
    <cacheField name="Area" numFmtId="0">
      <sharedItems containsBlank="1" count="23">
        <m/>
        <s v="Channel"/>
        <s v="Hokben"/>
        <s v="Binus"/>
        <s v="KPI"/>
        <s v="L3"/>
        <s v="Masjid P4"/>
        <s v="Channel-L2"/>
        <s v="Grand Hyatt"/>
        <s v="Sunstar"/>
        <s v="Hagendaz"/>
        <s v="Pastriella"/>
        <s v="Torenda"/>
        <s v="Lanore"/>
        <s v="Atria Tower"/>
        <s v="Residential"/>
        <s v="L3-Breakup"/>
        <s v="GHJ"/>
        <s v="Sate Senayan"/>
        <s v="PJOT"/>
        <s v="Patra Residential"/>
        <s v="Graha Pertamina"/>
        <s v="Lift Diffable"/>
      </sharedItems>
    </cacheField>
    <cacheField name="Project &amp; Bill Material" numFmtId="0">
      <sharedItems containsBlank="1" count="275">
        <s v="RC UAA204ST3"/>
        <s v="VES"/>
        <s v="Pengadaan FCU 2026-Phase II"/>
        <s v="Instalasi Channel"/>
        <s v="Blower AHU"/>
        <s v="Blower Binus"/>
        <s v="EPL"/>
        <s v="RC Project PT. Sinergi Bandung"/>
        <s v="VES "/>
        <s v="RC Project PT. Alcon Batam 402"/>
        <s v="KPI Asset"/>
        <s v="Project Mall Park Pejanten Village Jakarta"/>
        <s v="RC Project Hotel Prangger Bandung"/>
        <s v="RC Project Main Office Indah Kiat "/>
        <s v="Breakup-L3"/>
        <s v="RC Project Wisma BCA Part 2"/>
        <s v="RC Project RS Jantung Medan"/>
        <s v="Pemasangan Valve"/>
        <s v="Project RC Mall Gandaria City - FCU DDB75BW"/>
        <s v="RC-Chiller"/>
        <s v="Project RC Project Castrol"/>
        <s v="EPL -Installation Chiller"/>
        <s v="EPL-Installasi Chiller"/>
        <s v="FCU DDB100BW + Installation"/>
        <s v="Project Replacement Chiller Bethsaida Hospitals Gading Serpong"/>
        <s v="RC Project Japfa Lamongan"/>
        <s v="Project Replacement Chiller RS Mandaya Royal Puri"/>
        <s v="EPL RC AHU dan FCU"/>
        <s v="RC Project PT. Sammyung Precision Batam"/>
        <s v="EPL "/>
        <s v="UAA110CV"/>
        <s v="RC Project Filter"/>
        <s v="UAA125ST3"/>
        <s v="Modular Chiller-UAL230E5"/>
        <s v="RC Project MRI RS BHCC Bogor "/>
        <s v="UAL230"/>
        <s v="UAL450"/>
        <s v="UAL450 &amp; FCU"/>
        <s v="Heat Pump + Shell and tube"/>
        <s v="Cooling Tower"/>
        <s v="Installasi Chiller "/>
        <s v="RC Project Matahari Bimasakti PIK"/>
        <s v="Kerja Tambah"/>
        <s v="Channel"/>
        <s v="Calorifier"/>
        <s v="FCU New 2026"/>
        <s v="Sunstar"/>
        <s v="Masjid Q9 &amp; Q15"/>
        <s v="EPL- Control Chiller 1"/>
        <s v="ZUWY"/>
        <s v="UAA125ST3-FBB"/>
        <s v="Replacement Chiller WC 180 TR"/>
        <s v="RC"/>
        <s v="EPL-Insulation Ducting AC Assy TACI Fase 08"/>
        <s v="EPL-Jasa Pekerjaan Insulation Ducting AC Assy Fase 08"/>
        <s v="Instalasi Sistem Remote Chiller Sequencer"/>
        <s v="Project W Hotel Bali -  FWW1200VC"/>
        <s v="EPL HVAC"/>
        <s v="EPL- Insulation Pipa Refrigerant AC Assy Fase 3"/>
        <s v="EPL- Insulation Pipa Refrigerant AC Assy Fase 4"/>
        <s v="EPL- Insulation Pipa Refrigerant AC Assy Fase 5"/>
        <s v="EPL- Insulation Pipa Refrigerant AC Assy Fase 6"/>
        <s v="EPL- Insulation Pipa Refrigerant AC Assy Fase 7"/>
        <s v="EPL- Insulation Pipa Refrigerant AC Assy Fase 8"/>
        <s v="EPL- Installation Kabel Power Ac ASSY Fase 1"/>
        <s v="HXEV490 "/>
        <s v="Ruang Trafo"/>
        <s v="RC HXEV700"/>
        <s v="AHU"/>
        <s v="HeatPump"/>
        <s v="AHU - CHILLER "/>
        <s v="Audit Grand Hyatt"/>
        <m/>
        <s v="Maintenance"/>
        <s v="Torenda"/>
        <s v="Bongkar Ducting"/>
        <s v="Correvtive Maintenance April 2026"/>
        <s v="Atria Tower"/>
        <s v="RC - UHA100"/>
        <s v="UHAS 100 "/>
        <s v="New Skyline Kitchen"/>
        <s v="RC Chiller UAL150ER5 "/>
        <s v="EPL HVAC Labour Room"/>
        <s v="RC Chiller ZUWS"/>
        <s v="RC UAA150"/>
        <s v="EPL Ruang Panel "/>
        <s v="RC AHU Tunjungan Plaza"/>
        <s v="RC Grand Indonesia"/>
        <s v="Filling Room "/>
        <s v="RC DDBBW"/>
        <s v="Production Room "/>
        <s v="AHU - DM1"/>
        <s v="Filter -IAQ"/>
        <s v="IAQ"/>
        <s v="EPL UAL-DDB"/>
        <s v="RC "/>
        <s v="Control "/>
        <s v="AHU DX"/>
        <s v="UAL"/>
        <s v="Control Softwater"/>
        <s v="RC Project IRIS-3 STT Telemedia - Filter AHU"/>
        <s v="fIler - IAQ"/>
        <s v="Relokasi Unit"/>
        <s v="Instalasi Unit DX"/>
        <s v="Additional Work"/>
        <s v="Punch Through"/>
        <s v="Additional Work-Phase 1"/>
        <s v="Additional Work-Phase 2"/>
        <s v="Hot Tapping Pipa-Sate Senayan"/>
        <s v="Penggantian Pipa 5 inch"/>
        <s v="Kedubes Malaysia"/>
        <s v="Living World Kota Wisata Cibubur - Filter -IAQ"/>
        <s v="Project PT. Vaksindo Bogor"/>
        <s v="GES4222"/>
        <s v="Instalasi Chiller"/>
        <s v="UAL090"/>
        <s v="UAL450D"/>
        <s v="MUWD080"/>
        <s v="RC Nitrogen system"/>
        <s v="UAL230 ER"/>
        <s v="EPL Ruang Trafo dan Ruang LVMDP"/>
        <s v="RC UAA125ST3M-FBBA"/>
        <s v="RC ZUWY6P2OSF"/>
        <s v="RC DDB150BWDS x 12 Unit"/>
        <s v="RC HTS100 x 1 Unit"/>
        <s v="RC UAA175ST3"/>
        <s v="RC FCU FWW300VC x 1 Unit"/>
        <s v="EPL SDMC85 x 2 Unit"/>
        <s v="EPL SDMC85 x 1 Unit"/>
        <s v="RC FWWVC x 17 Unit"/>
        <s v="RC FWW1400VC x 2 Unit"/>
        <s v="RC DDB075BW x 2 Unit"/>
        <s v="RC UCCP210BP x 1 Unit"/>
        <s v="EPL Filter AHU AAF"/>
        <s v="RC FCU FWWVC x 4 Unit"/>
        <s v="RC UAL450D5"/>
        <s v="EPL SBFC100"/>
        <s v="RC DDBBWDS"/>
        <s v="RC UAL070ER5"/>
        <s v="RC FCU FWW600VC x 131 Unit"/>
        <s v="RC UAA380ST3M"/>
        <s v="RC FCU DDB"/>
        <s v="EPL SVC125AYL"/>
        <s v="RC HTS113"/>
        <s v="RC UAL230 x 1 Unit Low Leaving Water Temp"/>
        <s v="EPL Menara Meeting Room SVC125AYL"/>
        <s v="RC Project PT. Alcon Batam"/>
        <s v="ok"/>
        <s v="RC FWWVC+DDBBWDS"/>
        <s v="RC FCU Hotel Surya FWW600"/>
        <s v="RC Chiller UAA150ST3M x 1 Unit"/>
        <s v="RC AHU Chiller Butter"/>
        <s v="RC DDB100 BW"/>
        <s v="RC Chiller HTS113 x 2 Unit"/>
        <s v="RC-UAA245 &amp; Installation"/>
        <s v="RC-PT LEN Bandung"/>
        <s v="RC UAA245ST3M"/>
        <s v="Project Plaza Indonesia - FCU DDB75BW"/>
        <s v="UAL450 x 3"/>
        <s v="VES Ducting"/>
        <s v="RC Heatpump"/>
        <s v="RC UAL340*2 + installasi"/>
        <s v="Project Brine Chiller PT Dover Chemical"/>
        <s v="EPL-Split Duct 5PK"/>
        <s v="Project Royal Medicalink Pharmalab"/>
        <s v="Project PSUGI"/>
        <s v="Project Gula Putih Mataram"/>
        <s v="Project PT Indofood Palembang"/>
        <s v="Project PT Sinde"/>
        <s v="RC Project RS POLRI"/>
        <s v="1 UAL 230, 1 UAL070, Standing DFS 2"/>
        <s v="RC Project Batam Karya"/>
        <s v="UAL450 x 3 - PT Plasindo"/>
        <s v="RC-Project Ovindo Metaltama Tehnik"/>
        <s v="AHU 7 Unit"/>
        <s v="RC Project PT. Narumi Indonesia Cikarang ; _x000a_UAL450D5 (2), DDB040BW(1), DDM2-1013B (1) "/>
        <s v="RC-Cooling Sistem"/>
        <s v="RC Project MTP"/>
        <s v="RC Project EJIP Cikarang "/>
        <s v="RSBP Batam"/>
        <s v="Project Flex - industry clean room"/>
        <s v="RC HXEV700Q"/>
        <s v="Gedung Arinav"/>
        <s v="RC Project RSUD Muara Dua Sumsel"/>
        <s v="EPL- RSUD Kanujoso Balikpapan"/>
        <s v="Genebank Bogor"/>
        <s v="Project PT. Braja Mukti Cakra "/>
        <s v="RC Project PLTA Saguling"/>
        <s v="RC Project DNP Karawang (1)"/>
        <s v="RC Project The Laguna Nusa Dua Bali"/>
        <s v="RC Project St. Regis"/>
        <s v="C Project PT. Dover Chemical - Merak "/>
        <s v="RC Project IKPP Perawang"/>
        <s v="RC Project CCO Factory Palembang "/>
        <s v="RC Project Garuda Food "/>
        <s v="“Daikin China”  Fan Coil Unit (10)"/>
        <s v="Indonesia Power Pangkalan susu Medan"/>
        <s v="RC Project Indolakto Cicurug"/>
        <s v="UCCP170BP (1)"/>
        <s v="Project Filling room C3 – Indolakto"/>
        <s v="MNC"/>
        <s v="RC UAL"/>
        <s v="RC FCU Campina FWW-L 06L x 5 Unit Wall Mounted"/>
        <s v="CT"/>
        <s v="Filter-IAQ"/>
        <s v="EPL-Motirized"/>
        <s v="EPL-RC AHU Kitchen"/>
        <s v="EPL-Pintu AHU"/>
        <s v="EPL-Mobdemob"/>
        <s v="HVAC System"/>
        <s v="RC Project Bandara Soeta 1B"/>
        <s v="EPL - AHU BSL, ICU, General Room"/>
        <s v="EPL - Repalacment AC VRV "/>
        <s v="EPL-Instalasi Effice Lantai 19 ITS Tower"/>
        <s v="EPL - System Hvac for MCC Room"/>
        <s v="EPL-Cold Storage"/>
        <s v="PT. Tenaris SPIJ Cilegon"/>
        <s v="EPL- Control Office Tower 2"/>
        <s v="EPL - Isolasi Pipa CHWPp , CHWPp Plaza Senayan"/>
        <s v="EPL - Unit DX 10, 15 PK"/>
        <s v="EPL - CPOS Sentral Senayan 1"/>
        <s v="EPL - Control Ruang OK RS. EMC Sentul"/>
        <s v="EPL-Chiller"/>
        <s v="EPL- Chiller AHU"/>
        <s v="Project Corteva - Medan"/>
        <s v="HTS 800 TR - SKA Mall - Pekanbaru"/>
        <s v="RC - AHU Wisma Asia 2 jakarta"/>
        <s v="RC - FCU"/>
        <s v="Project RC Pakuwon Mall – Bekasi"/>
        <s v="AHU LT 1 &amp; 10"/>
        <s v="Pengadaan Wall Mounted"/>
        <s v="Pengadaan Split Duct"/>
        <s v="Suplly &amp; Instal FCU"/>
        <s v="Diffusser Lamoda"/>
        <s v="RC-Air Cooled Chiller 650 kW_Pertamina Hulu Kaltim"/>
        <s v="RC - FCU "/>
        <s v="RC - UCCP"/>
        <s v="RC - Chiller Air Cooled"/>
        <s v="EPL - CPOS Sentral Senayan 2"/>
        <s v="RC - AHU "/>
        <s v="EPL - Panel Power dan Control AHU"/>
        <s v="UAA125"/>
        <s v="FCU DDB"/>
        <s v="UAA110 &amp;UAL 450"/>
        <s v="Split Duct Packaged DX "/>
        <s v="RC - Split Duct "/>
        <s v="Project Hotel Mercure Pontianak "/>
        <s v="RC Chiller UAA105ST3M x 1 Unit"/>
        <s v="RC UAL "/>
        <s v="EPL LRMSS0800AXY1"/>
        <s v="RC Chiller CUWD"/>
        <s v="RC UAL450 x 1 Unit"/>
        <s v="EPL UAL-DDW"/>
        <s v="RC HTS"/>
        <s v="EPL - AC Split Wall"/>
        <s v="EPL - Unit DX "/>
        <s v="RC -Chiller &amp; AHU"/>
        <s v="RC - System HVAC "/>
        <s v="RC AHU"/>
        <s v="RC- Cassette ke Ceiling suspend unit only"/>
        <s v="EPL- Instalasi"/>
        <s v="RC-UAL150D5"/>
        <s v="RC-Unit Only system HVAC &amp; AUB"/>
        <s v="RC- HFO Chiller System"/>
        <s v="Improvement Ducting Small Sachet"/>
        <s v="RC - System HVAC (Packaged duct + cassete)"/>
        <s v="EPL - CTRL"/>
        <s v="RC Project Mayora OB Daan Mogot"/>
        <s v="EPL -Unit DX SMA Kota Bekasi"/>
        <s v="EPL - Replace inverter CHWPs Sentral Senayan 2"/>
        <s v="EPL- Ducting"/>
        <s v="Unit Dx"/>
        <s v="RC FCU lantai 6 &amp; 7 Project Columbia Asia Hospital Medan"/>
        <s v="EPL-Pengadaan dan Jasa Unit AC VRV Daikin"/>
        <s v="EPL-Unit Split Office Veteran Jaksel"/>
      </sharedItems>
    </cacheField>
    <cacheField name="Tipe" numFmtId="0">
      <sharedItems containsBlank="1"/>
    </cacheField>
    <cacheField name="Area2" numFmtId="0">
      <sharedItems containsBlank="1" count="3">
        <s v="West"/>
        <s v="East"/>
        <m/>
      </sharedItems>
    </cacheField>
    <cacheField name="Sales Planner" numFmtId="0">
      <sharedItems containsBlank="1"/>
    </cacheField>
    <cacheField name="PIC" numFmtId="0">
      <sharedItems containsBlank="1" count="12">
        <s v="Mira"/>
        <s v="Dea"/>
        <s v="Aris"/>
        <s v="Danis"/>
        <m/>
        <s v="Rangga"/>
        <s v="Faiz"/>
        <s v="Azrul"/>
        <s v="Setyo"/>
        <s v="Erik"/>
        <s v="Zaqi"/>
        <s v="Iik"/>
      </sharedItems>
    </cacheField>
    <cacheField name="Category" numFmtId="0">
      <sharedItems containsBlank="1" count="7">
        <s v="RC"/>
        <s v="EPL"/>
        <s v="VES"/>
        <s v="IAQ"/>
        <m/>
        <s v="Cont Others"/>
        <s v="Cont Inst"/>
      </sharedItems>
    </cacheField>
    <cacheField name="Sector" numFmtId="0">
      <sharedItems count="5">
        <s v="Hospital"/>
        <s v="Komersial"/>
        <s v="Industri"/>
        <s v="Government"/>
        <s v="Heavy Industri"/>
      </sharedItems>
    </cacheField>
    <cacheField name="Quotation" numFmtId="177">
      <sharedItems containsSemiMixedTypes="0" containsString="0" containsNumber="1" minValue="3000000" maxValue="22474500000"/>
    </cacheField>
    <cacheField name="Status" numFmtId="0">
      <sharedItems count="8">
        <s v="L"/>
        <s v="A"/>
        <s v="E"/>
        <s v="H"/>
        <s v="C"/>
        <s v="D"/>
        <s v="B"/>
        <s v="T"/>
      </sharedItems>
    </cacheField>
    <cacheField name="Est Booking Month" numFmtId="178">
      <sharedItems containsSemiMixedTypes="0" containsNonDate="0" containsDate="1" containsString="0" minDate="2025-11-03T00:00:00" maxDate="2027-03-02T00:00:00" count="151">
        <d v="2026-02-01T00:00:00"/>
        <d v="2026-01-18T00:00:00"/>
        <d v="2026-05-18T00:00:00"/>
        <d v="2026-01-26T00:00:00"/>
        <d v="2026-02-11T00:00:00"/>
        <d v="2026-05-13T00:00:00"/>
        <d v="2026-01-01T00:00:00"/>
        <d v="2026-10-15T00:00:00"/>
        <d v="2026-01-22T00:00:00"/>
        <d v="2026-05-01T00:00:00"/>
        <d v="2026-02-26T00:00:00"/>
        <d v="2026-06-17T00:00:00"/>
        <d v="2026-10-08T00:00:00"/>
        <d v="2026-09-01T00:00:00"/>
        <d v="2026-06-05T00:00:00"/>
        <d v="2026-07-14T00:00:00"/>
        <d v="2026-08-01T00:00:00"/>
        <d v="2025-11-21T00:00:00"/>
        <d v="2026-03-27T00:00:00"/>
        <d v="2026-09-18T00:00:00"/>
        <d v="2026-03-30T00:00:00"/>
        <d v="2026-04-01T00:00:00"/>
        <d v="2026-09-11T00:00:00"/>
        <d v="2026-06-25T00:00:00"/>
        <d v="2025-11-25T00:00:00"/>
        <d v="2025-12-20T00:00:00"/>
        <d v="2026-06-01T00:00:00"/>
        <d v="2025-11-19T00:00:00"/>
        <d v="2026-05-15T00:00:00"/>
        <d v="2026-05-21T00:00:00"/>
        <d v="2026-05-16T00:00:00"/>
        <d v="2026-03-19T00:00:00"/>
        <d v="2026-01-08T00:00:00"/>
        <d v="2026-08-07T00:00:00"/>
        <d v="2025-12-25T00:00:00"/>
        <d v="2026-02-20T00:00:00"/>
        <d v="2026-03-11T00:00:00"/>
        <d v="2026-05-04T00:00:00"/>
        <d v="2026-05-26T00:00:00"/>
        <d v="2025-12-10T00:00:00"/>
        <d v="2026-05-08T00:00:00"/>
        <d v="2025-11-07T00:00:00"/>
        <d v="2026-07-01T00:00:00"/>
        <d v="2026-11-11T00:00:00"/>
        <d v="2026-10-14T00:00:00"/>
        <d v="2026-03-26T00:00:00"/>
        <d v="2025-11-20T00:00:00"/>
        <d v="2025-12-09T00:00:00"/>
        <d v="2027-01-28T00:00:00"/>
        <d v="2026-08-14T00:00:00"/>
        <d v="2026-09-02T00:00:00"/>
        <d v="2026-04-16T00:00:00"/>
        <d v="2026-12-26T00:00:00"/>
        <d v="2026-09-03T00:00:00"/>
        <d v="2026-07-30T00:00:00"/>
        <d v="2026-01-07T00:00:00"/>
        <d v="2026-08-26T00:00:00"/>
        <d v="2026-09-26T00:00:00"/>
        <d v="2026-04-17T00:00:00"/>
        <d v="2026-04-18T00:00:00"/>
        <d v="2026-05-20T00:00:00"/>
        <d v="2026-05-07T00:00:00"/>
        <d v="2026-04-15T00:00:00"/>
        <d v="2027-03-01T00:00:00"/>
        <d v="2026-06-26T00:00:00"/>
        <d v="2026-04-26T00:00:00"/>
        <d v="2026-06-08T00:00:00"/>
        <d v="2026-10-26T00:00:00"/>
        <d v="2026-02-23T00:00:00"/>
        <d v="2026-07-16T00:00:00"/>
        <d v="2026-11-26T00:00:00"/>
        <d v="2026-07-26T00:00:00"/>
        <d v="2026-04-28T00:00:00"/>
        <d v="2026-02-12T00:00:00"/>
        <d v="2026-08-06T00:00:00"/>
        <d v="2026-08-12T00:00:00"/>
        <d v="2026-10-01T00:00:00"/>
        <d v="2026-08-19T00:00:00"/>
        <d v="2026-11-30T00:00:00"/>
        <d v="2026-03-01T00:00:00"/>
        <d v="2026-02-19T00:00:00"/>
        <d v="2026-07-02T00:00:00"/>
        <d v="2026-07-20T00:00:00"/>
        <d v="2026-07-09T00:00:00"/>
        <d v="2026-07-17T00:00:00"/>
        <d v="2026-08-13T00:00:00"/>
        <d v="2026-01-02T00:00:00"/>
        <d v="2026-05-14T00:00:00"/>
        <d v="2026-01-29T00:00:00"/>
        <d v="2026-09-17T00:00:00"/>
        <d v="2026-10-09T00:00:00"/>
        <d v="2026-07-08T00:00:00"/>
        <d v="2026-02-05T00:00:00"/>
        <d v="2025-12-26T00:00:00"/>
        <d v="2025-12-01T00:00:00"/>
        <d v="2025-12-23T00:00:00"/>
        <d v="2025-11-24T00:00:00"/>
        <d v="2025-12-24T00:00:00"/>
        <d v="2026-09-29T00:00:00"/>
        <d v="2026-08-10T00:00:00"/>
        <d v="2026-05-06T00:00:00"/>
        <d v="2026-05-25T00:00:00"/>
        <d v="2025-12-11T00:00:00"/>
        <d v="2026-06-30T00:00:00"/>
        <d v="2026-11-12T00:00:00"/>
        <d v="2026-07-29T00:00:00"/>
        <d v="2026-12-17T00:00:00"/>
        <d v="2026-12-25T00:00:00"/>
        <d v="2026-06-04T00:00:00"/>
        <d v="2026-08-20T00:00:00"/>
        <d v="2026-12-04T00:00:00"/>
        <d v="2026-12-16T00:00:00"/>
        <d v="2026-05-12T00:00:00"/>
        <d v="2026-12-24T00:00:00"/>
        <d v="2026-09-10T00:00:00"/>
        <d v="2026-04-30T00:00:00"/>
        <d v="2026-09-04T00:00:00"/>
        <d v="2026-11-14T00:00:00"/>
        <d v="2026-06-11T00:00:00"/>
        <d v="2026-10-10T00:00:00"/>
        <d v="2026-11-06T00:00:00"/>
        <d v="2026-08-25T00:00:00"/>
        <d v="2026-12-01T00:00:00"/>
        <d v="2026-10-16T00:00:00"/>
        <d v="2026-11-01T00:00:00"/>
        <d v="2026-09-12T00:00:00"/>
        <d v="2026-08-04T00:00:00"/>
        <d v="2026-11-20T00:00:00"/>
        <d v="2026-06-03T00:00:00"/>
        <d v="2026-06-29T00:00:00"/>
        <d v="2027-01-01T00:00:00"/>
        <d v="2025-11-03T00:00:00"/>
        <d v="2026-08-30T00:00:00"/>
        <d v="2026-08-31T00:00:00"/>
        <d v="2026-02-04T00:00:00"/>
        <d v="2026-02-06T00:00:00"/>
        <d v="2026-03-04T00:00:00"/>
        <d v="2026-07-12T00:00:00"/>
        <d v="2026-03-20T00:00:00"/>
        <d v="2026-07-15T00:00:00"/>
        <d v="2026-11-21T00:00:00"/>
        <d v="2026-11-15T00:00:00"/>
        <d v="2026-10-29T00:00:00"/>
        <d v="2026-08-11T00:00:00"/>
        <d v="2026-09-09T00:00:00"/>
        <d v="2026-10-12T00:00:00"/>
        <d v="2026-08-27T00:00:00"/>
        <d v="2026-06-02T00:00:00"/>
        <d v="2026-07-31T00:00:00"/>
        <d v="2026-09-14T00:00:00"/>
        <d v="2026-06-19T00:00:00"/>
      </sharedItems>
      <fieldGroup par="16"/>
    </cacheField>
    <cacheField name="booking fc" numFmtId="0">
      <sharedItems containsBlank="1" count="3">
        <m/>
        <s v="OK"/>
        <s v="-"/>
      </sharedItems>
    </cacheField>
    <cacheField name="keterangan" numFmtId="0">
      <sharedItems containsBlank="1"/>
    </cacheField>
    <cacheField name="Months (Est Booking Month)" numFmtId="0" databaseField="0">
      <fieldGroup base="11">
        <rangePr groupBy="months" startDate="2025-11-03T00:00:00" endDate="2027-03-02T00:00:00"/>
        <groupItems count="14">
          <s v="&lt;03/1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3/2027"/>
        </groupItems>
      </fieldGroup>
    </cacheField>
    <cacheField name="Quarters (Est Booking Month)" numFmtId="0" databaseField="0">
      <fieldGroup base="11">
        <rangePr groupBy="quarters" startDate="2025-11-03T00:00:00" endDate="2027-03-02T00:00:00"/>
        <groupItems count="6">
          <s v="&lt;03/11/2025"/>
          <s v="Qtr1"/>
          <s v="Qtr2"/>
          <s v="Qtr3"/>
          <s v="Qtr4"/>
          <s v="&gt;02/03/2027"/>
        </groupItems>
      </fieldGroup>
    </cacheField>
    <cacheField name="Years (Est Booking Month)" numFmtId="0" databaseField="0">
      <fieldGroup base="11">
        <rangePr groupBy="years" startDate="2025-11-03T00:00:00" endDate="2027-03-02T00:00:00"/>
        <groupItems count="5">
          <s v="&lt;03/11/2025"/>
          <s v="2025"/>
          <s v="2026"/>
          <s v="2027"/>
          <s v="&gt;02/03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8">
  <r>
    <x v="0"/>
    <x v="0"/>
    <x v="0"/>
    <m/>
    <x v="0"/>
    <m/>
    <x v="0"/>
    <x v="0"/>
    <x v="0"/>
    <n v="1369000000"/>
    <x v="0"/>
    <x v="0"/>
    <x v="0"/>
    <m/>
  </r>
  <r>
    <x v="1"/>
    <x v="0"/>
    <x v="1"/>
    <m/>
    <x v="0"/>
    <m/>
    <x v="1"/>
    <x v="1"/>
    <x v="1"/>
    <n v="490000000"/>
    <x v="1"/>
    <x v="1"/>
    <x v="1"/>
    <s v="Already PO"/>
  </r>
  <r>
    <x v="1"/>
    <x v="0"/>
    <x v="2"/>
    <m/>
    <x v="0"/>
    <m/>
    <x v="1"/>
    <x v="0"/>
    <x v="1"/>
    <n v="622485000"/>
    <x v="1"/>
    <x v="2"/>
    <x v="0"/>
    <s v="Already PO"/>
  </r>
  <r>
    <x v="1"/>
    <x v="1"/>
    <x v="3"/>
    <m/>
    <x v="0"/>
    <m/>
    <x v="1"/>
    <x v="1"/>
    <x v="1"/>
    <n v="1348000000"/>
    <x v="1"/>
    <x v="3"/>
    <x v="1"/>
    <s v="Already PO"/>
  </r>
  <r>
    <x v="2"/>
    <x v="2"/>
    <x v="4"/>
    <m/>
    <x v="0"/>
    <m/>
    <x v="1"/>
    <x v="1"/>
    <x v="1"/>
    <n v="47090700"/>
    <x v="1"/>
    <x v="4"/>
    <x v="1"/>
    <s v="Already PO"/>
  </r>
  <r>
    <x v="2"/>
    <x v="3"/>
    <x v="5"/>
    <m/>
    <x v="0"/>
    <m/>
    <x v="1"/>
    <x v="1"/>
    <x v="2"/>
    <n v="182045000"/>
    <x v="1"/>
    <x v="5"/>
    <x v="0"/>
    <m/>
  </r>
  <r>
    <x v="3"/>
    <x v="0"/>
    <x v="6"/>
    <m/>
    <x v="0"/>
    <m/>
    <x v="1"/>
    <x v="1"/>
    <x v="2"/>
    <n v="49500000"/>
    <x v="1"/>
    <x v="5"/>
    <x v="0"/>
    <m/>
  </r>
  <r>
    <x v="4"/>
    <x v="0"/>
    <x v="7"/>
    <s v="Chiller UAL100ER5"/>
    <x v="0"/>
    <s v="David"/>
    <x v="2"/>
    <x v="1"/>
    <x v="2"/>
    <n v="115000000"/>
    <x v="1"/>
    <x v="5"/>
    <x v="1"/>
    <s v="Sudah terima PO  di 20 Mei 2026"/>
  </r>
  <r>
    <x v="5"/>
    <x v="0"/>
    <x v="8"/>
    <s v="VES-Value Engineering Service Lanud TNI"/>
    <x v="0"/>
    <m/>
    <x v="3"/>
    <x v="2"/>
    <x v="3"/>
    <n v="487000000"/>
    <x v="1"/>
    <x v="6"/>
    <x v="0"/>
    <s v="Already PO"/>
  </r>
  <r>
    <x v="6"/>
    <x v="0"/>
    <x v="9"/>
    <s v="AHU DDM &amp; DXE"/>
    <x v="0"/>
    <s v="David"/>
    <x v="4"/>
    <x v="1"/>
    <x v="2"/>
    <n v="2281717980"/>
    <x v="2"/>
    <x v="7"/>
    <x v="0"/>
    <s v="ubmit penawran di 2026/06/12"/>
  </r>
  <r>
    <x v="7"/>
    <x v="4"/>
    <x v="10"/>
    <m/>
    <x v="0"/>
    <m/>
    <x v="1"/>
    <x v="1"/>
    <x v="3"/>
    <n v="61500000"/>
    <x v="1"/>
    <x v="8"/>
    <x v="1"/>
    <s v="Already PO"/>
  </r>
  <r>
    <x v="8"/>
    <x v="0"/>
    <x v="11"/>
    <m/>
    <x v="0"/>
    <s v="David"/>
    <x v="4"/>
    <x v="1"/>
    <x v="1"/>
    <n v="2978970000"/>
    <x v="2"/>
    <x v="7"/>
    <x v="0"/>
    <s v="sudah submit by email di 2026/05/12"/>
  </r>
  <r>
    <x v="9"/>
    <x v="0"/>
    <x v="12"/>
    <m/>
    <x v="0"/>
    <s v="David"/>
    <x v="4"/>
    <x v="1"/>
    <x v="1"/>
    <n v="6000000"/>
    <x v="0"/>
    <x v="9"/>
    <x v="0"/>
    <s v="Kalah karena kendala di delivery time, yang menang Fuji Air."/>
  </r>
  <r>
    <x v="10"/>
    <x v="0"/>
    <x v="13"/>
    <s v="UAA348ST3-FBD (2)"/>
    <x v="0"/>
    <s v="David"/>
    <x v="4"/>
    <x v="1"/>
    <x v="2"/>
    <n v="4750000000"/>
    <x v="2"/>
    <x v="7"/>
    <x v="0"/>
    <s v="sudah submit penawaran di 2026/07/14 oleh bapak David"/>
  </r>
  <r>
    <x v="1"/>
    <x v="5"/>
    <x v="14"/>
    <m/>
    <x v="0"/>
    <m/>
    <x v="1"/>
    <x v="1"/>
    <x v="1"/>
    <n v="927835614"/>
    <x v="1"/>
    <x v="10"/>
    <x v="1"/>
    <s v="Pekerjaan Tambah Breakup L3"/>
  </r>
  <r>
    <x v="11"/>
    <x v="0"/>
    <x v="15"/>
    <s v="DDW120DB (1)"/>
    <x v="0"/>
    <s v="David"/>
    <x v="2"/>
    <x v="1"/>
    <x v="1"/>
    <n v="60000000"/>
    <x v="1"/>
    <x v="11"/>
    <x v="1"/>
    <s v="Sudah terima PO"/>
  </r>
  <r>
    <x v="12"/>
    <x v="0"/>
    <x v="16"/>
    <m/>
    <x v="0"/>
    <s v="David"/>
    <x v="4"/>
    <x v="1"/>
    <x v="0"/>
    <n v="1126600000"/>
    <x v="2"/>
    <x v="12"/>
    <x v="0"/>
    <s v="Sudah submit penawaran di 2026/04/22"/>
  </r>
  <r>
    <x v="13"/>
    <x v="0"/>
    <x v="17"/>
    <m/>
    <x v="0"/>
    <m/>
    <x v="5"/>
    <x v="1"/>
    <x v="2"/>
    <n v="125000000"/>
    <x v="3"/>
    <x v="13"/>
    <x v="0"/>
    <m/>
  </r>
  <r>
    <x v="14"/>
    <x v="0"/>
    <x v="18"/>
    <m/>
    <x v="0"/>
    <s v="David"/>
    <x v="1"/>
    <x v="1"/>
    <x v="1"/>
    <n v="10670000"/>
    <x v="1"/>
    <x v="14"/>
    <x v="1"/>
    <m/>
  </r>
  <r>
    <x v="15"/>
    <x v="0"/>
    <x v="19"/>
    <s v="AS"/>
    <x v="0"/>
    <m/>
    <x v="6"/>
    <x v="0"/>
    <x v="2"/>
    <n v="2000000000"/>
    <x v="1"/>
    <x v="0"/>
    <x v="0"/>
    <s v="Already PO"/>
  </r>
  <r>
    <x v="14"/>
    <x v="0"/>
    <x v="20"/>
    <s v="DCC030CW - 2"/>
    <x v="0"/>
    <s v="David"/>
    <x v="3"/>
    <x v="0"/>
    <x v="2"/>
    <n v="13000000"/>
    <x v="1"/>
    <x v="15"/>
    <x v="1"/>
    <s v="Already PO"/>
  </r>
  <r>
    <x v="15"/>
    <x v="0"/>
    <x v="21"/>
    <m/>
    <x v="0"/>
    <m/>
    <x v="6"/>
    <x v="1"/>
    <x v="2"/>
    <n v="1181874600"/>
    <x v="1"/>
    <x v="0"/>
    <x v="0"/>
    <s v="Already PO"/>
  </r>
  <r>
    <x v="16"/>
    <x v="0"/>
    <x v="19"/>
    <m/>
    <x v="0"/>
    <m/>
    <x v="6"/>
    <x v="1"/>
    <x v="2"/>
    <n v="2250000000"/>
    <x v="2"/>
    <x v="16"/>
    <x v="0"/>
    <m/>
  </r>
  <r>
    <x v="16"/>
    <x v="0"/>
    <x v="22"/>
    <m/>
    <x v="0"/>
    <m/>
    <x v="6"/>
    <x v="1"/>
    <x v="2"/>
    <n v="315000000"/>
    <x v="2"/>
    <x v="16"/>
    <x v="0"/>
    <m/>
  </r>
  <r>
    <x v="17"/>
    <x v="0"/>
    <x v="23"/>
    <m/>
    <x v="0"/>
    <m/>
    <x v="7"/>
    <x v="1"/>
    <x v="1"/>
    <n v="105000000"/>
    <x v="1"/>
    <x v="17"/>
    <x v="0"/>
    <s v="PO"/>
  </r>
  <r>
    <x v="4"/>
    <x v="0"/>
    <x v="24"/>
    <m/>
    <x v="0"/>
    <s v="David"/>
    <x v="5"/>
    <x v="1"/>
    <x v="0"/>
    <n v="80000000"/>
    <x v="1"/>
    <x v="18"/>
    <x v="1"/>
    <s v="2026/04/01 Sudah menerima PO tanggal 27 Maret 2026"/>
  </r>
  <r>
    <x v="18"/>
    <x v="0"/>
    <x v="25"/>
    <m/>
    <x v="0"/>
    <s v="David"/>
    <x v="4"/>
    <x v="1"/>
    <x v="2"/>
    <n v="5416801180"/>
    <x v="2"/>
    <x v="19"/>
    <x v="0"/>
    <s v="Sudah submit penawaran di 2026/04/22"/>
  </r>
  <r>
    <x v="4"/>
    <x v="0"/>
    <x v="26"/>
    <m/>
    <x v="0"/>
    <s v="David"/>
    <x v="5"/>
    <x v="1"/>
    <x v="0"/>
    <n v="146000000"/>
    <x v="1"/>
    <x v="20"/>
    <x v="1"/>
    <s v="2026/04/01 Sudah menerima PO tanggal 30 Maret 2026"/>
  </r>
  <r>
    <x v="19"/>
    <x v="0"/>
    <x v="27"/>
    <m/>
    <x v="0"/>
    <m/>
    <x v="7"/>
    <x v="1"/>
    <x v="1"/>
    <n v="1200000000"/>
    <x v="0"/>
    <x v="21"/>
    <x v="0"/>
    <m/>
  </r>
  <r>
    <x v="20"/>
    <x v="0"/>
    <x v="28"/>
    <m/>
    <x v="0"/>
    <s v="David"/>
    <x v="4"/>
    <x v="1"/>
    <x v="2"/>
    <n v="85000000"/>
    <x v="2"/>
    <x v="22"/>
    <x v="0"/>
    <s v="Submit penawraan by email di 2026/06/25"/>
  </r>
  <r>
    <x v="14"/>
    <x v="0"/>
    <x v="6"/>
    <s v="fcu DDB75BW (2)"/>
    <x v="0"/>
    <m/>
    <x v="1"/>
    <x v="1"/>
    <x v="2"/>
    <n v="21340000"/>
    <x v="1"/>
    <x v="23"/>
    <x v="1"/>
    <s v="Sudah terima PO"/>
  </r>
  <r>
    <x v="21"/>
    <x v="0"/>
    <x v="29"/>
    <m/>
    <x v="1"/>
    <m/>
    <x v="8"/>
    <x v="1"/>
    <x v="2"/>
    <n v="7750850000"/>
    <x v="1"/>
    <x v="24"/>
    <x v="1"/>
    <s v="Waiting Management Approval "/>
  </r>
  <r>
    <x v="22"/>
    <x v="0"/>
    <x v="30"/>
    <m/>
    <x v="0"/>
    <m/>
    <x v="9"/>
    <x v="0"/>
    <x v="2"/>
    <n v="3150000000"/>
    <x v="1"/>
    <x v="25"/>
    <x v="1"/>
    <m/>
  </r>
  <r>
    <x v="23"/>
    <x v="0"/>
    <x v="31"/>
    <m/>
    <x v="0"/>
    <s v="Samuel"/>
    <x v="4"/>
    <x v="3"/>
    <x v="1"/>
    <n v="66252090"/>
    <x v="0"/>
    <x v="26"/>
    <x v="0"/>
    <s v="Harga tidak kompetitif"/>
  </r>
  <r>
    <x v="24"/>
    <x v="0"/>
    <x v="32"/>
    <s v="AS CSD"/>
    <x v="0"/>
    <m/>
    <x v="9"/>
    <x v="0"/>
    <x v="3"/>
    <n v="800000000"/>
    <x v="1"/>
    <x v="27"/>
    <x v="1"/>
    <m/>
  </r>
  <r>
    <x v="25"/>
    <x v="0"/>
    <x v="33"/>
    <s v="AL"/>
    <x v="0"/>
    <m/>
    <x v="5"/>
    <x v="0"/>
    <x v="2"/>
    <n v="1500000000"/>
    <x v="1"/>
    <x v="28"/>
    <x v="1"/>
    <s v="Nego"/>
  </r>
  <r>
    <x v="4"/>
    <x v="0"/>
    <x v="34"/>
    <s v="UAL150ER5 (3)"/>
    <x v="0"/>
    <s v="David"/>
    <x v="2"/>
    <x v="0"/>
    <x v="0"/>
    <n v="219000000"/>
    <x v="1"/>
    <x v="29"/>
    <x v="1"/>
    <s v="Sudah terima PO di 20 Mei 2026 "/>
  </r>
  <r>
    <x v="26"/>
    <x v="0"/>
    <x v="35"/>
    <s v="AS CSD"/>
    <x v="0"/>
    <m/>
    <x v="9"/>
    <x v="1"/>
    <x v="1"/>
    <n v="500000000"/>
    <x v="1"/>
    <x v="27"/>
    <x v="0"/>
    <m/>
  </r>
  <r>
    <x v="27"/>
    <x v="0"/>
    <x v="36"/>
    <s v="AS CSD"/>
    <x v="0"/>
    <m/>
    <x v="9"/>
    <x v="0"/>
    <x v="2"/>
    <n v="260000000"/>
    <x v="1"/>
    <x v="30"/>
    <x v="0"/>
    <m/>
  </r>
  <r>
    <x v="28"/>
    <x v="0"/>
    <x v="37"/>
    <s v="AS CSD"/>
    <x v="0"/>
    <m/>
    <x v="9"/>
    <x v="0"/>
    <x v="2"/>
    <n v="460500000"/>
    <x v="1"/>
    <x v="31"/>
    <x v="1"/>
    <s v="Already PO"/>
  </r>
  <r>
    <x v="29"/>
    <x v="0"/>
    <x v="38"/>
    <m/>
    <x v="0"/>
    <m/>
    <x v="5"/>
    <x v="1"/>
    <x v="2"/>
    <n v="1297780000"/>
    <x v="1"/>
    <x v="32"/>
    <x v="0"/>
    <m/>
  </r>
  <r>
    <x v="30"/>
    <x v="0"/>
    <x v="38"/>
    <m/>
    <x v="0"/>
    <m/>
    <x v="5"/>
    <x v="1"/>
    <x v="2"/>
    <n v="2659930000"/>
    <x v="1"/>
    <x v="32"/>
    <x v="0"/>
    <m/>
  </r>
  <r>
    <x v="25"/>
    <x v="0"/>
    <x v="39"/>
    <m/>
    <x v="0"/>
    <m/>
    <x v="5"/>
    <x v="1"/>
    <x v="2"/>
    <n v="695653000"/>
    <x v="4"/>
    <x v="33"/>
    <x v="0"/>
    <s v="Negosiasi"/>
  </r>
  <r>
    <x v="25"/>
    <x v="0"/>
    <x v="40"/>
    <m/>
    <x v="0"/>
    <m/>
    <x v="5"/>
    <x v="1"/>
    <x v="2"/>
    <n v="2000000000"/>
    <x v="2"/>
    <x v="16"/>
    <x v="1"/>
    <m/>
  </r>
  <r>
    <x v="31"/>
    <x v="0"/>
    <x v="41"/>
    <m/>
    <x v="0"/>
    <s v="David"/>
    <x v="4"/>
    <x v="0"/>
    <x v="1"/>
    <n v="1250000000"/>
    <x v="2"/>
    <x v="33"/>
    <x v="0"/>
    <s v="Sudah submit penawaran di 18/05/2026"/>
  </r>
  <r>
    <x v="1"/>
    <x v="6"/>
    <x v="42"/>
    <m/>
    <x v="0"/>
    <m/>
    <x v="1"/>
    <x v="1"/>
    <x v="1"/>
    <n v="21600000"/>
    <x v="1"/>
    <x v="3"/>
    <x v="1"/>
    <s v="Already PO"/>
  </r>
  <r>
    <x v="32"/>
    <x v="7"/>
    <x v="43"/>
    <m/>
    <x v="0"/>
    <m/>
    <x v="1"/>
    <x v="1"/>
    <x v="1"/>
    <n v="136616960"/>
    <x v="1"/>
    <x v="10"/>
    <x v="1"/>
    <s v="Already PO"/>
  </r>
  <r>
    <x v="1"/>
    <x v="8"/>
    <x v="44"/>
    <m/>
    <x v="0"/>
    <m/>
    <x v="1"/>
    <x v="1"/>
    <x v="1"/>
    <n v="137213000"/>
    <x v="1"/>
    <x v="3"/>
    <x v="1"/>
    <s v="Already PO"/>
  </r>
  <r>
    <x v="1"/>
    <x v="0"/>
    <x v="45"/>
    <m/>
    <x v="0"/>
    <m/>
    <x v="1"/>
    <x v="0"/>
    <x v="1"/>
    <n v="1348680000"/>
    <x v="1"/>
    <x v="4"/>
    <x v="1"/>
    <s v="Already PO"/>
  </r>
  <r>
    <x v="33"/>
    <x v="9"/>
    <x v="46"/>
    <s v="AL"/>
    <x v="0"/>
    <m/>
    <x v="1"/>
    <x v="0"/>
    <x v="2"/>
    <n v="200000000"/>
    <x v="1"/>
    <x v="3"/>
    <x v="1"/>
    <s v="Already PO"/>
  </r>
  <r>
    <x v="1"/>
    <x v="0"/>
    <x v="3"/>
    <m/>
    <x v="0"/>
    <m/>
    <x v="1"/>
    <x v="1"/>
    <x v="1"/>
    <n v="1350000000"/>
    <x v="1"/>
    <x v="34"/>
    <x v="0"/>
    <m/>
  </r>
  <r>
    <x v="1"/>
    <x v="6"/>
    <x v="47"/>
    <m/>
    <x v="0"/>
    <m/>
    <x v="1"/>
    <x v="1"/>
    <x v="1"/>
    <n v="320311759"/>
    <x v="1"/>
    <x v="35"/>
    <x v="0"/>
    <s v="Pengadaan Split Duct Masjid Q9 dan Q15"/>
  </r>
  <r>
    <x v="34"/>
    <x v="0"/>
    <x v="48"/>
    <m/>
    <x v="0"/>
    <m/>
    <x v="6"/>
    <x v="1"/>
    <x v="1"/>
    <n v="155000000"/>
    <x v="1"/>
    <x v="0"/>
    <x v="1"/>
    <s v="Already PO"/>
  </r>
  <r>
    <x v="35"/>
    <x v="0"/>
    <x v="49"/>
    <m/>
    <x v="1"/>
    <m/>
    <x v="10"/>
    <x v="0"/>
    <x v="2"/>
    <n v="1900000000"/>
    <x v="1"/>
    <x v="36"/>
    <x v="1"/>
    <m/>
  </r>
  <r>
    <x v="36"/>
    <x v="0"/>
    <x v="50"/>
    <s v="AS CSD"/>
    <x v="1"/>
    <m/>
    <x v="10"/>
    <x v="0"/>
    <x v="1"/>
    <n v="4261261261"/>
    <x v="1"/>
    <x v="31"/>
    <x v="1"/>
    <s v="Menunggu TTD 3 direksi di Jakarta"/>
  </r>
  <r>
    <x v="37"/>
    <x v="0"/>
    <x v="51"/>
    <m/>
    <x v="1"/>
    <m/>
    <x v="11"/>
    <x v="0"/>
    <x v="1"/>
    <n v="1950000000"/>
    <x v="1"/>
    <x v="37"/>
    <x v="1"/>
    <m/>
  </r>
  <r>
    <x v="38"/>
    <x v="0"/>
    <x v="52"/>
    <m/>
    <x v="1"/>
    <m/>
    <x v="10"/>
    <x v="0"/>
    <x v="2"/>
    <n v="2450000000"/>
    <x v="1"/>
    <x v="38"/>
    <x v="1"/>
    <m/>
  </r>
  <r>
    <x v="39"/>
    <x v="0"/>
    <x v="53"/>
    <m/>
    <x v="0"/>
    <m/>
    <x v="5"/>
    <x v="1"/>
    <x v="2"/>
    <n v="55320000"/>
    <x v="1"/>
    <x v="39"/>
    <x v="0"/>
    <s v="Close"/>
  </r>
  <r>
    <x v="39"/>
    <x v="0"/>
    <x v="54"/>
    <m/>
    <x v="0"/>
    <m/>
    <x v="5"/>
    <x v="1"/>
    <x v="2"/>
    <n v="42366249.5"/>
    <x v="1"/>
    <x v="39"/>
    <x v="0"/>
    <s v="Close"/>
  </r>
  <r>
    <x v="40"/>
    <x v="0"/>
    <x v="55"/>
    <m/>
    <x v="0"/>
    <m/>
    <x v="5"/>
    <x v="1"/>
    <x v="2"/>
    <n v="757926000"/>
    <x v="1"/>
    <x v="39"/>
    <x v="0"/>
    <m/>
  </r>
  <r>
    <x v="41"/>
    <x v="0"/>
    <x v="56"/>
    <m/>
    <x v="1"/>
    <m/>
    <x v="2"/>
    <x v="0"/>
    <x v="1"/>
    <n v="51000000"/>
    <x v="1"/>
    <x v="40"/>
    <x v="1"/>
    <s v="Already PO"/>
  </r>
  <r>
    <x v="42"/>
    <x v="0"/>
    <x v="35"/>
    <m/>
    <x v="1"/>
    <m/>
    <x v="10"/>
    <x v="0"/>
    <x v="0"/>
    <n v="215000000"/>
    <x v="1"/>
    <x v="10"/>
    <x v="1"/>
    <s v="Proses SO"/>
  </r>
  <r>
    <x v="43"/>
    <x v="0"/>
    <x v="57"/>
    <s v="FCU DUC"/>
    <x v="1"/>
    <m/>
    <x v="11"/>
    <x v="1"/>
    <x v="1"/>
    <n v="424500000"/>
    <x v="1"/>
    <x v="41"/>
    <x v="1"/>
    <m/>
  </r>
  <r>
    <x v="39"/>
    <x v="0"/>
    <x v="58"/>
    <m/>
    <x v="0"/>
    <m/>
    <x v="5"/>
    <x v="1"/>
    <x v="2"/>
    <n v="30270000"/>
    <x v="1"/>
    <x v="42"/>
    <x v="0"/>
    <m/>
  </r>
  <r>
    <x v="39"/>
    <x v="0"/>
    <x v="59"/>
    <m/>
    <x v="0"/>
    <m/>
    <x v="5"/>
    <x v="1"/>
    <x v="2"/>
    <n v="38234000"/>
    <x v="1"/>
    <x v="42"/>
    <x v="0"/>
    <m/>
  </r>
  <r>
    <x v="39"/>
    <x v="0"/>
    <x v="60"/>
    <m/>
    <x v="0"/>
    <m/>
    <x v="5"/>
    <x v="1"/>
    <x v="2"/>
    <n v="27425000"/>
    <x v="1"/>
    <x v="42"/>
    <x v="0"/>
    <m/>
  </r>
  <r>
    <x v="39"/>
    <x v="0"/>
    <x v="61"/>
    <m/>
    <x v="0"/>
    <m/>
    <x v="5"/>
    <x v="1"/>
    <x v="2"/>
    <n v="26200000"/>
    <x v="1"/>
    <x v="42"/>
    <x v="0"/>
    <m/>
  </r>
  <r>
    <x v="39"/>
    <x v="0"/>
    <x v="62"/>
    <m/>
    <x v="0"/>
    <m/>
    <x v="5"/>
    <x v="1"/>
    <x v="2"/>
    <n v="32815000"/>
    <x v="1"/>
    <x v="42"/>
    <x v="0"/>
    <m/>
  </r>
  <r>
    <x v="39"/>
    <x v="0"/>
    <x v="63"/>
    <m/>
    <x v="0"/>
    <m/>
    <x v="5"/>
    <x v="1"/>
    <x v="2"/>
    <n v="33550000"/>
    <x v="1"/>
    <x v="42"/>
    <x v="0"/>
    <m/>
  </r>
  <r>
    <x v="39"/>
    <x v="0"/>
    <x v="64"/>
    <m/>
    <x v="0"/>
    <m/>
    <x v="5"/>
    <x v="1"/>
    <x v="2"/>
    <n v="77150000"/>
    <x v="1"/>
    <x v="42"/>
    <x v="0"/>
    <m/>
  </r>
  <r>
    <x v="44"/>
    <x v="0"/>
    <x v="52"/>
    <m/>
    <x v="1"/>
    <m/>
    <x v="10"/>
    <x v="0"/>
    <x v="1"/>
    <n v="1400000000"/>
    <x v="2"/>
    <x v="43"/>
    <x v="0"/>
    <m/>
  </r>
  <r>
    <x v="45"/>
    <x v="0"/>
    <x v="65"/>
    <s v="WC MB"/>
    <x v="1"/>
    <m/>
    <x v="10"/>
    <x v="0"/>
    <x v="2"/>
    <n v="5000000000"/>
    <x v="2"/>
    <x v="44"/>
    <x v="1"/>
    <s v="Tunggu Hasil Sugisindo WEST"/>
  </r>
  <r>
    <x v="46"/>
    <x v="0"/>
    <x v="6"/>
    <m/>
    <x v="1"/>
    <m/>
    <x v="10"/>
    <x v="1"/>
    <x v="1"/>
    <n v="161010000"/>
    <x v="1"/>
    <x v="45"/>
    <x v="0"/>
    <m/>
  </r>
  <r>
    <x v="47"/>
    <x v="0"/>
    <x v="66"/>
    <m/>
    <x v="0"/>
    <m/>
    <x v="1"/>
    <x v="0"/>
    <x v="1"/>
    <n v="80000000"/>
    <x v="1"/>
    <x v="46"/>
    <x v="0"/>
    <m/>
  </r>
  <r>
    <x v="48"/>
    <x v="0"/>
    <x v="67"/>
    <s v="WC MB"/>
    <x v="1"/>
    <m/>
    <x v="11"/>
    <x v="0"/>
    <x v="1"/>
    <n v="11950000000"/>
    <x v="1"/>
    <x v="47"/>
    <x v="1"/>
    <m/>
  </r>
  <r>
    <x v="49"/>
    <x v="0"/>
    <x v="52"/>
    <m/>
    <x v="1"/>
    <m/>
    <x v="10"/>
    <x v="0"/>
    <x v="2"/>
    <n v="3000000000"/>
    <x v="2"/>
    <x v="48"/>
    <x v="0"/>
    <m/>
  </r>
  <r>
    <x v="50"/>
    <x v="0"/>
    <x v="6"/>
    <m/>
    <x v="1"/>
    <m/>
    <x v="10"/>
    <x v="1"/>
    <x v="0"/>
    <n v="687000000"/>
    <x v="2"/>
    <x v="49"/>
    <x v="0"/>
    <m/>
  </r>
  <r>
    <x v="51"/>
    <x v="0"/>
    <x v="52"/>
    <m/>
    <x v="1"/>
    <m/>
    <x v="10"/>
    <x v="0"/>
    <x v="2"/>
    <n v="1400000000"/>
    <x v="2"/>
    <x v="50"/>
    <x v="1"/>
    <s v="existing Mitsubishi 240TR WC Piston"/>
  </r>
  <r>
    <x v="52"/>
    <x v="0"/>
    <x v="68"/>
    <m/>
    <x v="1"/>
    <m/>
    <x v="10"/>
    <x v="0"/>
    <x v="2"/>
    <n v="350000000"/>
    <x v="3"/>
    <x v="51"/>
    <x v="0"/>
    <m/>
  </r>
  <r>
    <x v="53"/>
    <x v="0"/>
    <x v="52"/>
    <m/>
    <x v="1"/>
    <m/>
    <x v="10"/>
    <x v="0"/>
    <x v="2"/>
    <n v="1400000000"/>
    <x v="2"/>
    <x v="43"/>
    <x v="0"/>
    <m/>
  </r>
  <r>
    <x v="54"/>
    <x v="0"/>
    <x v="69"/>
    <m/>
    <x v="1"/>
    <m/>
    <x v="10"/>
    <x v="0"/>
    <x v="2"/>
    <n v="1300000000"/>
    <x v="2"/>
    <x v="52"/>
    <x v="0"/>
    <m/>
  </r>
  <r>
    <x v="55"/>
    <x v="0"/>
    <x v="6"/>
    <m/>
    <x v="1"/>
    <m/>
    <x v="10"/>
    <x v="0"/>
    <x v="3"/>
    <n v="385000000"/>
    <x v="2"/>
    <x v="53"/>
    <x v="0"/>
    <m/>
  </r>
  <r>
    <x v="56"/>
    <x v="0"/>
    <x v="6"/>
    <m/>
    <x v="1"/>
    <m/>
    <x v="10"/>
    <x v="1"/>
    <x v="2"/>
    <n v="635000000"/>
    <x v="2"/>
    <x v="54"/>
    <x v="1"/>
    <s v="Installasi Heatpump"/>
  </r>
  <r>
    <x v="57"/>
    <x v="0"/>
    <x v="8"/>
    <m/>
    <x v="1"/>
    <m/>
    <x v="10"/>
    <x v="0"/>
    <x v="2"/>
    <n v="92000000"/>
    <x v="1"/>
    <x v="55"/>
    <x v="0"/>
    <m/>
  </r>
  <r>
    <x v="58"/>
    <x v="0"/>
    <x v="52"/>
    <m/>
    <x v="1"/>
    <m/>
    <x v="10"/>
    <x v="4"/>
    <x v="2"/>
    <n v="950000000"/>
    <x v="2"/>
    <x v="56"/>
    <x v="1"/>
    <m/>
  </r>
  <r>
    <x v="59"/>
    <x v="0"/>
    <x v="70"/>
    <m/>
    <x v="1"/>
    <m/>
    <x v="8"/>
    <x v="1"/>
    <x v="1"/>
    <n v="1650000000"/>
    <x v="2"/>
    <x v="57"/>
    <x v="0"/>
    <m/>
  </r>
  <r>
    <x v="1"/>
    <x v="0"/>
    <x v="71"/>
    <m/>
    <x v="0"/>
    <m/>
    <x v="1"/>
    <x v="1"/>
    <x v="1"/>
    <n v="11400000"/>
    <x v="1"/>
    <x v="58"/>
    <x v="0"/>
    <m/>
  </r>
  <r>
    <x v="1"/>
    <x v="10"/>
    <x v="72"/>
    <m/>
    <x v="0"/>
    <m/>
    <x v="1"/>
    <x v="1"/>
    <x v="1"/>
    <n v="23965000"/>
    <x v="1"/>
    <x v="51"/>
    <x v="0"/>
    <m/>
  </r>
  <r>
    <x v="1"/>
    <x v="11"/>
    <x v="72"/>
    <m/>
    <x v="0"/>
    <m/>
    <x v="1"/>
    <x v="1"/>
    <x v="1"/>
    <n v="23965000"/>
    <x v="1"/>
    <x v="38"/>
    <x v="0"/>
    <m/>
  </r>
  <r>
    <x v="1"/>
    <x v="0"/>
    <x v="73"/>
    <m/>
    <x v="0"/>
    <m/>
    <x v="1"/>
    <x v="1"/>
    <x v="1"/>
    <n v="1551708000"/>
    <x v="1"/>
    <x v="31"/>
    <x v="1"/>
    <s v="Already PO"/>
  </r>
  <r>
    <x v="1"/>
    <x v="12"/>
    <x v="74"/>
    <m/>
    <x v="0"/>
    <m/>
    <x v="1"/>
    <x v="0"/>
    <x v="1"/>
    <n v="79949766"/>
    <x v="1"/>
    <x v="59"/>
    <x v="1"/>
    <s v="Already PO"/>
  </r>
  <r>
    <x v="1"/>
    <x v="13"/>
    <x v="75"/>
    <m/>
    <x v="0"/>
    <m/>
    <x v="1"/>
    <x v="1"/>
    <x v="1"/>
    <n v="3500000"/>
    <x v="1"/>
    <x v="60"/>
    <x v="1"/>
    <s v="Already PO"/>
  </r>
  <r>
    <x v="1"/>
    <x v="0"/>
    <x v="76"/>
    <m/>
    <x v="0"/>
    <m/>
    <x v="1"/>
    <x v="1"/>
    <x v="1"/>
    <n v="14225000"/>
    <x v="1"/>
    <x v="61"/>
    <x v="1"/>
    <s v="Already PO"/>
  </r>
  <r>
    <x v="60"/>
    <x v="14"/>
    <x v="77"/>
    <s v="WC CSD"/>
    <x v="0"/>
    <m/>
    <x v="1"/>
    <x v="0"/>
    <x v="1"/>
    <n v="3000000000"/>
    <x v="1"/>
    <x v="62"/>
    <x v="1"/>
    <s v="Already PO"/>
  </r>
  <r>
    <x v="61"/>
    <x v="0"/>
    <x v="78"/>
    <s v="AL"/>
    <x v="1"/>
    <m/>
    <x v="8"/>
    <x v="0"/>
    <x v="0"/>
    <n v="110250000"/>
    <x v="2"/>
    <x v="52"/>
    <x v="0"/>
    <s v="Update: Minta penawaran dari pihak DASI. Tender di kementrian sedang Efesiensi "/>
  </r>
  <r>
    <x v="62"/>
    <x v="0"/>
    <x v="79"/>
    <m/>
    <x v="1"/>
    <m/>
    <x v="8"/>
    <x v="0"/>
    <x v="2"/>
    <n v="1049000000"/>
    <x v="2"/>
    <x v="63"/>
    <x v="0"/>
    <s v="Proses review di management untuk dapat di lanjutkan proses lebih lanjut pada pengadaan barang "/>
  </r>
  <r>
    <x v="63"/>
    <x v="0"/>
    <x v="80"/>
    <m/>
    <x v="1"/>
    <m/>
    <x v="8"/>
    <x v="0"/>
    <x v="1"/>
    <n v="416158000"/>
    <x v="2"/>
    <x v="22"/>
    <x v="0"/>
    <s v="Supply FCU dan installasi unit menggunakan koneksi chiller existing "/>
  </r>
  <r>
    <x v="64"/>
    <x v="0"/>
    <x v="81"/>
    <m/>
    <x v="0"/>
    <m/>
    <x v="7"/>
    <x v="1"/>
    <x v="0"/>
    <n v="146000000"/>
    <x v="1"/>
    <x v="37"/>
    <x v="1"/>
    <m/>
  </r>
  <r>
    <x v="65"/>
    <x v="0"/>
    <x v="82"/>
    <s v="AL"/>
    <x v="1"/>
    <m/>
    <x v="11"/>
    <x v="1"/>
    <x v="2"/>
    <n v="687000000"/>
    <x v="1"/>
    <x v="4"/>
    <x v="1"/>
    <m/>
  </r>
  <r>
    <x v="66"/>
    <x v="0"/>
    <x v="83"/>
    <s v="WS CSD"/>
    <x v="1"/>
    <m/>
    <x v="11"/>
    <x v="0"/>
    <x v="2"/>
    <n v="1600000000"/>
    <x v="1"/>
    <x v="64"/>
    <x v="1"/>
    <m/>
  </r>
  <r>
    <x v="67"/>
    <x v="0"/>
    <x v="36"/>
    <s v="AL"/>
    <x v="1"/>
    <m/>
    <x v="8"/>
    <x v="0"/>
    <x v="1"/>
    <n v="688128000"/>
    <x v="2"/>
    <x v="57"/>
    <x v="0"/>
    <s v="Kompetitor Euroklimat, budgeting pengadaan 2025 dengan komposisi chiller UAL450 HR x 2 dan UAL450 STD x 1 "/>
  </r>
  <r>
    <x v="68"/>
    <x v="0"/>
    <x v="84"/>
    <m/>
    <x v="1"/>
    <m/>
    <x v="8"/>
    <x v="0"/>
    <x v="0"/>
    <n v="3423325000"/>
    <x v="5"/>
    <x v="57"/>
    <x v="0"/>
    <s v="Budgeting"/>
  </r>
  <r>
    <x v="69"/>
    <x v="0"/>
    <x v="85"/>
    <m/>
    <x v="1"/>
    <m/>
    <x v="8"/>
    <x v="1"/>
    <x v="2"/>
    <n v="165000000"/>
    <x v="2"/>
    <x v="52"/>
    <x v="0"/>
    <s v="Tender"/>
  </r>
  <r>
    <x v="70"/>
    <x v="0"/>
    <x v="86"/>
    <m/>
    <x v="1"/>
    <m/>
    <x v="11"/>
    <x v="0"/>
    <x v="1"/>
    <n v="498000000"/>
    <x v="1"/>
    <x v="65"/>
    <x v="1"/>
    <m/>
  </r>
  <r>
    <x v="71"/>
    <x v="0"/>
    <x v="87"/>
    <m/>
    <x v="0"/>
    <m/>
    <x v="1"/>
    <x v="0"/>
    <x v="2"/>
    <n v="15000000"/>
    <x v="1"/>
    <x v="15"/>
    <x v="1"/>
    <m/>
  </r>
  <r>
    <x v="72"/>
    <x v="0"/>
    <x v="88"/>
    <m/>
    <x v="1"/>
    <m/>
    <x v="8"/>
    <x v="1"/>
    <x v="2"/>
    <n v="647000000"/>
    <x v="2"/>
    <x v="57"/>
    <x v="0"/>
    <s v="Budgeting"/>
  </r>
  <r>
    <x v="73"/>
    <x v="0"/>
    <x v="89"/>
    <s v="FCU STD"/>
    <x v="1"/>
    <m/>
    <x v="11"/>
    <x v="0"/>
    <x v="2"/>
    <n v="19200000"/>
    <x v="1"/>
    <x v="66"/>
    <x v="1"/>
    <m/>
  </r>
  <r>
    <x v="74"/>
    <x v="0"/>
    <x v="90"/>
    <m/>
    <x v="1"/>
    <m/>
    <x v="8"/>
    <x v="1"/>
    <x v="2"/>
    <n v="1400000000"/>
    <x v="2"/>
    <x v="67"/>
    <x v="0"/>
    <s v="Budgeting"/>
  </r>
  <r>
    <x v="75"/>
    <x v="0"/>
    <x v="91"/>
    <m/>
    <x v="1"/>
    <m/>
    <x v="8"/>
    <x v="0"/>
    <x v="2"/>
    <n v="1600000000"/>
    <x v="2"/>
    <x v="67"/>
    <x v="0"/>
    <s v="Budgeting"/>
  </r>
  <r>
    <x v="76"/>
    <x v="0"/>
    <x v="52"/>
    <s v="UAL 450 D5"/>
    <x v="0"/>
    <m/>
    <x v="3"/>
    <x v="0"/>
    <x v="1"/>
    <n v="1130000000"/>
    <x v="1"/>
    <x v="68"/>
    <x v="0"/>
    <s v="Already SO"/>
  </r>
  <r>
    <x v="77"/>
    <x v="0"/>
    <x v="92"/>
    <s v="EPL"/>
    <x v="1"/>
    <s v="Samuel"/>
    <x v="8"/>
    <x v="3"/>
    <x v="2"/>
    <n v="106932000"/>
    <x v="1"/>
    <x v="65"/>
    <x v="1"/>
    <s v="Sudah submit quotation ke bu ulfah via email di 2026/03/16 dan akan di fu berkala (seminggu)"/>
  </r>
  <r>
    <x v="78"/>
    <x v="0"/>
    <x v="52"/>
    <s v="EPL"/>
    <x v="0"/>
    <s v="Samuel"/>
    <x v="7"/>
    <x v="0"/>
    <x v="2"/>
    <n v="69792000"/>
    <x v="0"/>
    <x v="42"/>
    <x v="0"/>
    <m/>
  </r>
  <r>
    <x v="23"/>
    <x v="0"/>
    <x v="93"/>
    <s v="Pre Filter"/>
    <x v="0"/>
    <s v="Samuel"/>
    <x v="4"/>
    <x v="1"/>
    <x v="2"/>
    <n v="3000000"/>
    <x v="0"/>
    <x v="21"/>
    <x v="0"/>
    <s v="Harga JAF lebih tinggi 2x dari DAF (65000) Info dari pak yudi DPI"/>
  </r>
  <r>
    <x v="77"/>
    <x v="0"/>
    <x v="92"/>
    <s v="EPL "/>
    <x v="1"/>
    <s v="Samuel"/>
    <x v="8"/>
    <x v="3"/>
    <x v="2"/>
    <n v="55062529"/>
    <x v="1"/>
    <x v="69"/>
    <x v="1"/>
    <m/>
  </r>
  <r>
    <x v="79"/>
    <x v="0"/>
    <x v="29"/>
    <m/>
    <x v="1"/>
    <m/>
    <x v="8"/>
    <x v="0"/>
    <x v="2"/>
    <n v="1385000000"/>
    <x v="4"/>
    <x v="70"/>
    <x v="0"/>
    <s v="Lost "/>
  </r>
  <r>
    <x v="80"/>
    <x v="0"/>
    <x v="29"/>
    <m/>
    <x v="1"/>
    <m/>
    <x v="8"/>
    <x v="1"/>
    <x v="2"/>
    <n v="178000000"/>
    <x v="2"/>
    <x v="57"/>
    <x v="0"/>
    <m/>
  </r>
  <r>
    <x v="81"/>
    <x v="0"/>
    <x v="93"/>
    <s v="IAQ"/>
    <x v="1"/>
    <m/>
    <x v="8"/>
    <x v="3"/>
    <x v="0"/>
    <n v="11000000"/>
    <x v="1"/>
    <x v="71"/>
    <x v="1"/>
    <m/>
  </r>
  <r>
    <x v="82"/>
    <x v="0"/>
    <x v="52"/>
    <m/>
    <x v="1"/>
    <m/>
    <x v="8"/>
    <x v="0"/>
    <x v="3"/>
    <n v="1500000000"/>
    <x v="4"/>
    <x v="71"/>
    <x v="1"/>
    <m/>
  </r>
  <r>
    <x v="83"/>
    <x v="0"/>
    <x v="94"/>
    <s v="AL"/>
    <x v="1"/>
    <m/>
    <x v="11"/>
    <x v="0"/>
    <x v="2"/>
    <n v="640000000"/>
    <x v="1"/>
    <x v="4"/>
    <x v="1"/>
    <m/>
  </r>
  <r>
    <x v="84"/>
    <x v="0"/>
    <x v="52"/>
    <s v="EWAD"/>
    <x v="1"/>
    <m/>
    <x v="8"/>
    <x v="0"/>
    <x v="2"/>
    <n v="4650000000"/>
    <x v="2"/>
    <x v="56"/>
    <x v="1"/>
    <m/>
  </r>
  <r>
    <x v="85"/>
    <x v="0"/>
    <x v="29"/>
    <s v="EPL "/>
    <x v="1"/>
    <m/>
    <x v="8"/>
    <x v="1"/>
    <x v="2"/>
    <n v="6000000000"/>
    <x v="2"/>
    <x v="67"/>
    <x v="0"/>
    <m/>
  </r>
  <r>
    <x v="86"/>
    <x v="0"/>
    <x v="95"/>
    <s v="RC "/>
    <x v="1"/>
    <m/>
    <x v="8"/>
    <x v="0"/>
    <x v="2"/>
    <n v="80000000"/>
    <x v="2"/>
    <x v="70"/>
    <x v="0"/>
    <m/>
  </r>
  <r>
    <x v="87"/>
    <x v="0"/>
    <x v="29"/>
    <s v="EPL "/>
    <x v="1"/>
    <m/>
    <x v="8"/>
    <x v="1"/>
    <x v="2"/>
    <n v="135000000"/>
    <x v="2"/>
    <x v="67"/>
    <x v="0"/>
    <m/>
  </r>
  <r>
    <x v="88"/>
    <x v="0"/>
    <x v="96"/>
    <s v="Control "/>
    <x v="1"/>
    <m/>
    <x v="8"/>
    <x v="5"/>
    <x v="1"/>
    <n v="1631073000"/>
    <x v="2"/>
    <x v="67"/>
    <x v="0"/>
    <m/>
  </r>
  <r>
    <x v="89"/>
    <x v="0"/>
    <x v="92"/>
    <s v="EPL"/>
    <x v="0"/>
    <s v="Samuel"/>
    <x v="7"/>
    <x v="3"/>
    <x v="2"/>
    <n v="11214000"/>
    <x v="0"/>
    <x v="26"/>
    <x v="0"/>
    <m/>
  </r>
  <r>
    <x v="90"/>
    <x v="0"/>
    <x v="92"/>
    <s v="EPL"/>
    <x v="0"/>
    <s v="Samuel"/>
    <x v="7"/>
    <x v="3"/>
    <x v="2"/>
    <n v="239792000"/>
    <x v="0"/>
    <x v="42"/>
    <x v="0"/>
    <m/>
  </r>
  <r>
    <x v="91"/>
    <x v="0"/>
    <x v="52"/>
    <s v="EPL"/>
    <x v="0"/>
    <s v="Samuel"/>
    <x v="9"/>
    <x v="0"/>
    <x v="2"/>
    <n v="10617396"/>
    <x v="0"/>
    <x v="9"/>
    <x v="0"/>
    <s v="Sudah submit quotation ac single split 2 PK 1 unit pada Mon 01/12/2025 1:21 PM"/>
  </r>
  <r>
    <x v="92"/>
    <x v="0"/>
    <x v="52"/>
    <s v="EPL"/>
    <x v="0"/>
    <s v="Samuel"/>
    <x v="7"/>
    <x v="3"/>
    <x v="2"/>
    <n v="23046288"/>
    <x v="0"/>
    <x v="21"/>
    <x v="0"/>
    <m/>
  </r>
  <r>
    <x v="93"/>
    <x v="0"/>
    <x v="97"/>
    <s v="EPL"/>
    <x v="0"/>
    <m/>
    <x v="9"/>
    <x v="1"/>
    <x v="2"/>
    <n v="1000000000"/>
    <x v="2"/>
    <x v="16"/>
    <x v="0"/>
    <m/>
  </r>
  <r>
    <x v="94"/>
    <x v="0"/>
    <x v="98"/>
    <s v="RC"/>
    <x v="0"/>
    <m/>
    <x v="9"/>
    <x v="0"/>
    <x v="2"/>
    <n v="2300000000"/>
    <x v="2"/>
    <x v="13"/>
    <x v="0"/>
    <m/>
  </r>
  <r>
    <x v="92"/>
    <x v="0"/>
    <x v="52"/>
    <s v="EPL"/>
    <x v="0"/>
    <s v="Samuel"/>
    <x v="7"/>
    <x v="3"/>
    <x v="2"/>
    <n v="23337600"/>
    <x v="0"/>
    <x v="42"/>
    <x v="0"/>
    <m/>
  </r>
  <r>
    <x v="90"/>
    <x v="0"/>
    <x v="92"/>
    <s v="EPL"/>
    <x v="0"/>
    <s v="Samuel"/>
    <x v="7"/>
    <x v="3"/>
    <x v="2"/>
    <n v="24688000"/>
    <x v="0"/>
    <x v="26"/>
    <x v="0"/>
    <m/>
  </r>
  <r>
    <x v="95"/>
    <x v="0"/>
    <x v="52"/>
    <s v="EPL"/>
    <x v="0"/>
    <s v="David"/>
    <x v="3"/>
    <x v="0"/>
    <x v="1"/>
    <n v="148000000"/>
    <x v="1"/>
    <x v="72"/>
    <x v="1"/>
    <m/>
  </r>
  <r>
    <x v="90"/>
    <x v="0"/>
    <x v="92"/>
    <s v="EPL"/>
    <x v="0"/>
    <s v="Samuel"/>
    <x v="7"/>
    <x v="3"/>
    <x v="2"/>
    <n v="12050000"/>
    <x v="0"/>
    <x v="9"/>
    <x v="0"/>
    <m/>
  </r>
  <r>
    <x v="96"/>
    <x v="0"/>
    <x v="99"/>
    <m/>
    <x v="0"/>
    <m/>
    <x v="5"/>
    <x v="1"/>
    <x v="2"/>
    <n v="300000000"/>
    <x v="2"/>
    <x v="16"/>
    <x v="0"/>
    <m/>
  </r>
  <r>
    <x v="97"/>
    <x v="0"/>
    <x v="52"/>
    <s v="EPL"/>
    <x v="0"/>
    <m/>
    <x v="5"/>
    <x v="0"/>
    <x v="1"/>
    <n v="11000000"/>
    <x v="1"/>
    <x v="73"/>
    <x v="0"/>
    <s v="Sudah menerima PO"/>
  </r>
  <r>
    <x v="77"/>
    <x v="0"/>
    <x v="31"/>
    <m/>
    <x v="0"/>
    <s v="Samuel"/>
    <x v="4"/>
    <x v="3"/>
    <x v="2"/>
    <n v="55062530"/>
    <x v="2"/>
    <x v="54"/>
    <x v="0"/>
    <s v="Sudah submit penawaran by email di 2026/06/19"/>
  </r>
  <r>
    <x v="98"/>
    <x v="0"/>
    <x v="31"/>
    <m/>
    <x v="0"/>
    <s v="Samuel"/>
    <x v="4"/>
    <x v="3"/>
    <x v="2"/>
    <n v="18099245"/>
    <x v="2"/>
    <x v="74"/>
    <x v="0"/>
    <m/>
  </r>
  <r>
    <x v="99"/>
    <x v="0"/>
    <x v="100"/>
    <m/>
    <x v="0"/>
    <s v="Samuel"/>
    <x v="9"/>
    <x v="3"/>
    <x v="1"/>
    <n v="4464000"/>
    <x v="2"/>
    <x v="75"/>
    <x v="0"/>
    <s v="Sudah submit penawaran di 2026/06/12"/>
  </r>
  <r>
    <x v="1"/>
    <x v="0"/>
    <x v="52"/>
    <s v="EPL"/>
    <x v="0"/>
    <s v="Samuel"/>
    <x v="1"/>
    <x v="3"/>
    <x v="1"/>
    <n v="104980000"/>
    <x v="2"/>
    <x v="76"/>
    <x v="0"/>
    <s v="Sudah submit quotation oleh mba Dea dan sedang di review  oleh internal PI."/>
  </r>
  <r>
    <x v="7"/>
    <x v="0"/>
    <x v="101"/>
    <s v="EPL"/>
    <x v="0"/>
    <s v="Samuel"/>
    <x v="1"/>
    <x v="3"/>
    <x v="1"/>
    <n v="3555400"/>
    <x v="2"/>
    <x v="75"/>
    <x v="0"/>
    <s v="2026/03/13 : Sudah di submit penawaran oleh mba Dea dan menunggu jadwal dari pihak patra untuk presentasi quotation."/>
  </r>
  <r>
    <x v="100"/>
    <x v="0"/>
    <x v="92"/>
    <s v="EPL"/>
    <x v="0"/>
    <s v="Samuel"/>
    <x v="9"/>
    <x v="3"/>
    <x v="2"/>
    <n v="100000000"/>
    <x v="2"/>
    <x v="77"/>
    <x v="0"/>
    <s v="19 Januari 2026 sudah submit quoation filter ke Bu Nina by email."/>
  </r>
  <r>
    <x v="101"/>
    <x v="0"/>
    <x v="52"/>
    <s v="EPL"/>
    <x v="0"/>
    <s v="Samuel"/>
    <x v="3"/>
    <x v="0"/>
    <x v="1"/>
    <n v="704117700"/>
    <x v="2"/>
    <x v="78"/>
    <x v="0"/>
    <s v="Sudah submit quotation project fcu resto di 2026/03/12_x000a_30/03/2026 : Quotation Minggu 1 April akan di ajukan oleh Bapak Arno ke GM dan HS Pusat"/>
  </r>
  <r>
    <x v="1"/>
    <x v="2"/>
    <x v="102"/>
    <m/>
    <x v="0"/>
    <m/>
    <x v="1"/>
    <x v="1"/>
    <x v="1"/>
    <n v="28473000"/>
    <x v="1"/>
    <x v="79"/>
    <x v="1"/>
    <s v="Already PO"/>
  </r>
  <r>
    <x v="102"/>
    <x v="0"/>
    <x v="52"/>
    <s v="EPL"/>
    <x v="0"/>
    <m/>
    <x v="1"/>
    <x v="0"/>
    <x v="2"/>
    <n v="95000000"/>
    <x v="1"/>
    <x v="80"/>
    <x v="0"/>
    <s v="Sudah menerima PO dari customer di tanggal  28 JANUARI 2026."/>
  </r>
  <r>
    <x v="103"/>
    <x v="0"/>
    <x v="52"/>
    <s v="EPL"/>
    <x v="0"/>
    <m/>
    <x v="5"/>
    <x v="0"/>
    <x v="2"/>
    <n v="153000000"/>
    <x v="1"/>
    <x v="73"/>
    <x v="0"/>
    <s v="Deliveri ke site"/>
  </r>
  <r>
    <x v="7"/>
    <x v="15"/>
    <x v="103"/>
    <m/>
    <x v="0"/>
    <m/>
    <x v="1"/>
    <x v="1"/>
    <x v="3"/>
    <n v="121734700"/>
    <x v="1"/>
    <x v="81"/>
    <x v="1"/>
    <s v="Waiting PO"/>
  </r>
  <r>
    <x v="1"/>
    <x v="16"/>
    <x v="104"/>
    <m/>
    <x v="0"/>
    <m/>
    <x v="1"/>
    <x v="1"/>
    <x v="1"/>
    <n v="300000000"/>
    <x v="6"/>
    <x v="81"/>
    <x v="1"/>
    <s v="Waiting PO"/>
  </r>
  <r>
    <x v="1"/>
    <x v="17"/>
    <x v="105"/>
    <m/>
    <x v="0"/>
    <m/>
    <x v="1"/>
    <x v="0"/>
    <x v="1"/>
    <n v="394060000"/>
    <x v="1"/>
    <x v="82"/>
    <x v="0"/>
    <m/>
  </r>
  <r>
    <x v="1"/>
    <x v="1"/>
    <x v="106"/>
    <m/>
    <x v="0"/>
    <m/>
    <x v="1"/>
    <x v="1"/>
    <x v="1"/>
    <n v="240000000"/>
    <x v="6"/>
    <x v="81"/>
    <x v="0"/>
    <s v="Waiting PO"/>
  </r>
  <r>
    <x v="1"/>
    <x v="1"/>
    <x v="107"/>
    <m/>
    <x v="0"/>
    <m/>
    <x v="1"/>
    <x v="1"/>
    <x v="1"/>
    <n v="381000000"/>
    <x v="6"/>
    <x v="83"/>
    <x v="0"/>
    <s v="Waiting PO"/>
  </r>
  <r>
    <x v="1"/>
    <x v="18"/>
    <x v="108"/>
    <m/>
    <x v="0"/>
    <m/>
    <x v="1"/>
    <x v="1"/>
    <x v="1"/>
    <n v="87454000"/>
    <x v="6"/>
    <x v="69"/>
    <x v="0"/>
    <s v="Waiting PO"/>
  </r>
  <r>
    <x v="1"/>
    <x v="1"/>
    <x v="109"/>
    <m/>
    <x v="0"/>
    <m/>
    <x v="1"/>
    <x v="1"/>
    <x v="1"/>
    <n v="287795700"/>
    <x v="6"/>
    <x v="84"/>
    <x v="0"/>
    <s v="Waiting PO"/>
  </r>
  <r>
    <x v="104"/>
    <x v="0"/>
    <x v="110"/>
    <m/>
    <x v="0"/>
    <m/>
    <x v="1"/>
    <x v="0"/>
    <x v="3"/>
    <n v="1000000000"/>
    <x v="1"/>
    <x v="85"/>
    <x v="0"/>
    <s v="Waiting PO"/>
  </r>
  <r>
    <x v="105"/>
    <x v="0"/>
    <x v="92"/>
    <s v="EPL"/>
    <x v="0"/>
    <s v="Samuel"/>
    <x v="7"/>
    <x v="3"/>
    <x v="1"/>
    <n v="26841600"/>
    <x v="1"/>
    <x v="86"/>
    <x v="1"/>
    <s v="PO"/>
  </r>
  <r>
    <x v="106"/>
    <x v="0"/>
    <x v="111"/>
    <s v="EPL "/>
    <x v="0"/>
    <s v="Samuel"/>
    <x v="3"/>
    <x v="3"/>
    <x v="2"/>
    <n v="12000000"/>
    <x v="1"/>
    <x v="69"/>
    <x v="1"/>
    <m/>
  </r>
  <r>
    <x v="91"/>
    <x v="0"/>
    <x v="52"/>
    <s v="EPL"/>
    <x v="0"/>
    <s v="Samuel"/>
    <x v="9"/>
    <x v="0"/>
    <x v="2"/>
    <n v="23278140"/>
    <x v="1"/>
    <x v="4"/>
    <x v="0"/>
    <s v="Menerima PO di 25 Februari 2026"/>
  </r>
  <r>
    <x v="107"/>
    <x v="0"/>
    <x v="112"/>
    <s v="EPL"/>
    <x v="0"/>
    <s v="David"/>
    <x v="3"/>
    <x v="0"/>
    <x v="2"/>
    <n v="1390000000"/>
    <x v="1"/>
    <x v="87"/>
    <x v="0"/>
    <s v="sudah submit quotation by email di 2026/03/05 ke didin setiyono &lt;didinsetiyono22@yahoo.com&gt;"/>
  </r>
  <r>
    <x v="108"/>
    <x v="0"/>
    <x v="52"/>
    <m/>
    <x v="0"/>
    <m/>
    <x v="9"/>
    <x v="0"/>
    <x v="2"/>
    <n v="1000000000"/>
    <x v="0"/>
    <x v="16"/>
    <x v="0"/>
    <m/>
  </r>
  <r>
    <x v="109"/>
    <x v="0"/>
    <x v="52"/>
    <s v="EPL"/>
    <x v="0"/>
    <s v="David"/>
    <x v="9"/>
    <x v="0"/>
    <x v="2"/>
    <n v="156000000"/>
    <x v="1"/>
    <x v="88"/>
    <x v="1"/>
    <s v="29 Januari submit quotation UAL450D5 2 unit untuk project RS Hasan Sadikin Bandung dan sudah trima PO"/>
  </r>
  <r>
    <x v="22"/>
    <x v="0"/>
    <x v="72"/>
    <s v="EPL"/>
    <x v="0"/>
    <m/>
    <x v="9"/>
    <x v="1"/>
    <x v="2"/>
    <n v="52000000"/>
    <x v="1"/>
    <x v="73"/>
    <x v="1"/>
    <m/>
  </r>
  <r>
    <x v="110"/>
    <x v="0"/>
    <x v="52"/>
    <s v="RC"/>
    <x v="0"/>
    <m/>
    <x v="9"/>
    <x v="0"/>
    <x v="2"/>
    <n v="2000000000"/>
    <x v="2"/>
    <x v="13"/>
    <x v="0"/>
    <m/>
  </r>
  <r>
    <x v="111"/>
    <x v="0"/>
    <x v="72"/>
    <s v="EPL"/>
    <x v="0"/>
    <m/>
    <x v="9"/>
    <x v="1"/>
    <x v="2"/>
    <n v="200000000"/>
    <x v="2"/>
    <x v="76"/>
    <x v="0"/>
    <m/>
  </r>
  <r>
    <x v="112"/>
    <x v="0"/>
    <x v="113"/>
    <s v="RC"/>
    <x v="0"/>
    <m/>
    <x v="9"/>
    <x v="1"/>
    <x v="2"/>
    <n v="2403750000"/>
    <x v="5"/>
    <x v="89"/>
    <x v="0"/>
    <m/>
  </r>
  <r>
    <x v="112"/>
    <x v="0"/>
    <x v="114"/>
    <s v="EPL"/>
    <x v="0"/>
    <m/>
    <x v="9"/>
    <x v="0"/>
    <x v="2"/>
    <n v="1000000000"/>
    <x v="2"/>
    <x v="89"/>
    <x v="0"/>
    <m/>
  </r>
  <r>
    <x v="113"/>
    <x v="0"/>
    <x v="115"/>
    <s v="RC"/>
    <x v="0"/>
    <m/>
    <x v="9"/>
    <x v="0"/>
    <x v="2"/>
    <n v="98000000"/>
    <x v="2"/>
    <x v="90"/>
    <x v="0"/>
    <m/>
  </r>
  <r>
    <x v="114"/>
    <x v="0"/>
    <x v="116"/>
    <s v="RC"/>
    <x v="0"/>
    <s v="David"/>
    <x v="9"/>
    <x v="0"/>
    <x v="0"/>
    <n v="2248000000"/>
    <x v="1"/>
    <x v="42"/>
    <x v="1"/>
    <m/>
  </r>
  <r>
    <x v="115"/>
    <x v="0"/>
    <x v="117"/>
    <s v="RC"/>
    <x v="0"/>
    <m/>
    <x v="9"/>
    <x v="0"/>
    <x v="2"/>
    <n v="1126200000"/>
    <x v="1"/>
    <x v="42"/>
    <x v="1"/>
    <m/>
  </r>
  <r>
    <x v="116"/>
    <x v="0"/>
    <x v="72"/>
    <s v="EPL"/>
    <x v="0"/>
    <m/>
    <x v="9"/>
    <x v="1"/>
    <x v="2"/>
    <n v="800000000"/>
    <x v="2"/>
    <x v="69"/>
    <x v="0"/>
    <m/>
  </r>
  <r>
    <x v="117"/>
    <x v="0"/>
    <x v="118"/>
    <s v="RC"/>
    <x v="0"/>
    <m/>
    <x v="9"/>
    <x v="0"/>
    <x v="2"/>
    <n v="1200000000"/>
    <x v="2"/>
    <x v="91"/>
    <x v="0"/>
    <m/>
  </r>
  <r>
    <x v="118"/>
    <x v="0"/>
    <x v="119"/>
    <s v="RC"/>
    <x v="0"/>
    <m/>
    <x v="9"/>
    <x v="0"/>
    <x v="2"/>
    <n v="78000000"/>
    <x v="1"/>
    <x v="73"/>
    <x v="1"/>
    <s v="29 Januari submit quotation UAL423D5 1 unit untuk project RS Siloam Hospital Jambi dan sudah trima PO"/>
  </r>
  <r>
    <x v="91"/>
    <x v="0"/>
    <x v="52"/>
    <s v="EPL"/>
    <x v="0"/>
    <s v="Samuel"/>
    <x v="9"/>
    <x v="0"/>
    <x v="2"/>
    <n v="52500000"/>
    <x v="1"/>
    <x v="92"/>
    <x v="1"/>
    <s v="Sudah menerima PO dari PT. Novel dan sudah di proses ke mba ana."/>
  </r>
  <r>
    <x v="91"/>
    <x v="0"/>
    <x v="52"/>
    <s v="EPL"/>
    <x v="0"/>
    <s v="Samuel"/>
    <x v="9"/>
    <x v="0"/>
    <x v="2"/>
    <n v="23278140"/>
    <x v="1"/>
    <x v="80"/>
    <x v="1"/>
    <s v="Sudah menerima PO dari PT. Novel dan sudah di proses ke mba ana."/>
  </r>
  <r>
    <x v="91"/>
    <x v="0"/>
    <x v="52"/>
    <s v="EPL"/>
    <x v="0"/>
    <s v="Samuel"/>
    <x v="9"/>
    <x v="0"/>
    <x v="2"/>
    <n v="42000000"/>
    <x v="1"/>
    <x v="93"/>
    <x v="1"/>
    <s v="1. Akan diplaningkan untuk eksekusi pekerjaan dan delivery unit split duct di 2 Januari 2026._x000a_2. Pekerjaan installasi sudah selesai di 4 Januari 2026, akan dikirimkan report di 6-9 Januari 2026."/>
  </r>
  <r>
    <x v="119"/>
    <x v="0"/>
    <x v="120"/>
    <s v="AL"/>
    <x v="1"/>
    <m/>
    <x v="11"/>
    <x v="1"/>
    <x v="2"/>
    <n v="699000000"/>
    <x v="7"/>
    <x v="94"/>
    <x v="2"/>
    <s v="HVAC Ruang Trafo dan Ruang LVMDP. Budget 2024 belum diapprove. Diajukan kembali di 2025"/>
  </r>
  <r>
    <x v="120"/>
    <x v="0"/>
    <x v="121"/>
    <s v="AS CSD"/>
    <x v="1"/>
    <m/>
    <x v="11"/>
    <x v="0"/>
    <x v="1"/>
    <n v="1200000000"/>
    <x v="7"/>
    <x v="34"/>
    <x v="2"/>
    <s v="Budgeting untuk penggantian Chiller matahari dan hypermart"/>
  </r>
  <r>
    <x v="121"/>
    <x v="0"/>
    <x v="122"/>
    <s v="WS CSD"/>
    <x v="1"/>
    <m/>
    <x v="11"/>
    <x v="0"/>
    <x v="1"/>
    <n v="2350000000"/>
    <x v="7"/>
    <x v="95"/>
    <x v="2"/>
    <m/>
  </r>
  <r>
    <x v="122"/>
    <x v="0"/>
    <x v="123"/>
    <s v="AHU STD"/>
    <x v="1"/>
    <m/>
    <x v="11"/>
    <x v="0"/>
    <x v="1"/>
    <n v="348000000"/>
    <x v="7"/>
    <x v="94"/>
    <x v="0"/>
    <m/>
  </r>
  <r>
    <x v="123"/>
    <x v="0"/>
    <x v="124"/>
    <s v="WC CSD"/>
    <x v="1"/>
    <m/>
    <x v="11"/>
    <x v="0"/>
    <x v="1"/>
    <n v="2800000000"/>
    <x v="7"/>
    <x v="94"/>
    <x v="0"/>
    <m/>
  </r>
  <r>
    <x v="124"/>
    <x v="0"/>
    <x v="125"/>
    <s v="AS CSD"/>
    <x v="1"/>
    <m/>
    <x v="11"/>
    <x v="0"/>
    <x v="1"/>
    <n v="1500000000"/>
    <x v="7"/>
    <x v="34"/>
    <x v="0"/>
    <m/>
  </r>
  <r>
    <x v="125"/>
    <x v="0"/>
    <x v="126"/>
    <s v="FCU DUC"/>
    <x v="1"/>
    <m/>
    <x v="11"/>
    <x v="0"/>
    <x v="1"/>
    <n v="6000000"/>
    <x v="7"/>
    <x v="94"/>
    <x v="0"/>
    <m/>
  </r>
  <r>
    <x v="126"/>
    <x v="0"/>
    <x v="127"/>
    <s v="FCU DUC"/>
    <x v="1"/>
    <m/>
    <x v="11"/>
    <x v="1"/>
    <x v="2"/>
    <n v="106559000"/>
    <x v="7"/>
    <x v="96"/>
    <x v="2"/>
    <s v="Budget diajukan untuk 2025"/>
  </r>
  <r>
    <x v="127"/>
    <x v="0"/>
    <x v="128"/>
    <s v="FCU DUC"/>
    <x v="1"/>
    <m/>
    <x v="11"/>
    <x v="1"/>
    <x v="2"/>
    <n v="62318500"/>
    <x v="7"/>
    <x v="96"/>
    <x v="2"/>
    <s v="Budget diajukan untuk 2025"/>
  </r>
  <r>
    <x v="128"/>
    <x v="0"/>
    <x v="129"/>
    <s v="FCU DUC"/>
    <x v="1"/>
    <m/>
    <x v="11"/>
    <x v="0"/>
    <x v="1"/>
    <n v="58000000"/>
    <x v="7"/>
    <x v="97"/>
    <x v="2"/>
    <m/>
  </r>
  <r>
    <x v="129"/>
    <x v="0"/>
    <x v="130"/>
    <s v="FCU DUC"/>
    <x v="1"/>
    <m/>
    <x v="11"/>
    <x v="0"/>
    <x v="1"/>
    <n v="14000000"/>
    <x v="7"/>
    <x v="97"/>
    <x v="0"/>
    <m/>
  </r>
  <r>
    <x v="130"/>
    <x v="0"/>
    <x v="131"/>
    <s v="FCU DUC"/>
    <x v="1"/>
    <m/>
    <x v="11"/>
    <x v="0"/>
    <x v="1"/>
    <n v="22000000"/>
    <x v="7"/>
    <x v="97"/>
    <x v="2"/>
    <m/>
  </r>
  <r>
    <x v="131"/>
    <x v="0"/>
    <x v="132"/>
    <s v="AL"/>
    <x v="1"/>
    <m/>
    <x v="11"/>
    <x v="0"/>
    <x v="1"/>
    <n v="280000000"/>
    <x v="7"/>
    <x v="96"/>
    <x v="0"/>
    <m/>
  </r>
  <r>
    <x v="132"/>
    <x v="0"/>
    <x v="133"/>
    <m/>
    <x v="1"/>
    <m/>
    <x v="11"/>
    <x v="1"/>
    <x v="2"/>
    <n v="11000000"/>
    <x v="7"/>
    <x v="96"/>
    <x v="0"/>
    <m/>
  </r>
  <r>
    <x v="133"/>
    <x v="0"/>
    <x v="134"/>
    <s v="FCU DUC"/>
    <x v="1"/>
    <m/>
    <x v="11"/>
    <x v="0"/>
    <x v="1"/>
    <n v="21000000"/>
    <x v="7"/>
    <x v="96"/>
    <x v="2"/>
    <m/>
  </r>
  <r>
    <x v="134"/>
    <x v="0"/>
    <x v="135"/>
    <s v="AL"/>
    <x v="1"/>
    <m/>
    <x v="11"/>
    <x v="0"/>
    <x v="2"/>
    <n v="210000000"/>
    <x v="7"/>
    <x v="96"/>
    <x v="2"/>
    <m/>
  </r>
  <r>
    <x v="135"/>
    <x v="0"/>
    <x v="136"/>
    <m/>
    <x v="1"/>
    <m/>
    <x v="11"/>
    <x v="0"/>
    <x v="0"/>
    <n v="27000000"/>
    <x v="7"/>
    <x v="96"/>
    <x v="2"/>
    <m/>
  </r>
  <r>
    <x v="136"/>
    <x v="0"/>
    <x v="137"/>
    <s v="AHU STD"/>
    <x v="1"/>
    <m/>
    <x v="11"/>
    <x v="0"/>
    <x v="1"/>
    <n v="340000000"/>
    <x v="7"/>
    <x v="24"/>
    <x v="2"/>
    <m/>
  </r>
  <r>
    <x v="137"/>
    <x v="0"/>
    <x v="138"/>
    <s v="AL"/>
    <x v="1"/>
    <m/>
    <x v="11"/>
    <x v="0"/>
    <x v="2"/>
    <n v="70000000"/>
    <x v="7"/>
    <x v="96"/>
    <x v="2"/>
    <m/>
  </r>
  <r>
    <x v="138"/>
    <x v="0"/>
    <x v="139"/>
    <s v="FCU DUC"/>
    <x v="1"/>
    <m/>
    <x v="11"/>
    <x v="0"/>
    <x v="1"/>
    <n v="298025000"/>
    <x v="7"/>
    <x v="96"/>
    <x v="2"/>
    <m/>
  </r>
  <r>
    <x v="139"/>
    <x v="0"/>
    <x v="140"/>
    <s v="AS CSD"/>
    <x v="1"/>
    <m/>
    <x v="11"/>
    <x v="0"/>
    <x v="1"/>
    <n v="2400000000"/>
    <x v="7"/>
    <x v="96"/>
    <x v="0"/>
    <m/>
  </r>
  <r>
    <x v="140"/>
    <x v="0"/>
    <x v="141"/>
    <s v="FCU DUC"/>
    <x v="1"/>
    <m/>
    <x v="11"/>
    <x v="0"/>
    <x v="2"/>
    <n v="7300000"/>
    <x v="7"/>
    <x v="96"/>
    <x v="0"/>
    <m/>
  </r>
  <r>
    <x v="141"/>
    <x v="0"/>
    <x v="142"/>
    <s v="AL"/>
    <x v="1"/>
    <m/>
    <x v="11"/>
    <x v="0"/>
    <x v="2"/>
    <n v="46000000"/>
    <x v="7"/>
    <x v="96"/>
    <x v="2"/>
    <m/>
  </r>
  <r>
    <x v="142"/>
    <x v="0"/>
    <x v="143"/>
    <s v="WC CSD"/>
    <x v="1"/>
    <m/>
    <x v="11"/>
    <x v="0"/>
    <x v="1"/>
    <n v="2250000000"/>
    <x v="7"/>
    <x v="96"/>
    <x v="2"/>
    <m/>
  </r>
  <r>
    <x v="143"/>
    <x v="0"/>
    <x v="144"/>
    <s v="AL"/>
    <x v="1"/>
    <m/>
    <x v="11"/>
    <x v="0"/>
    <x v="2"/>
    <n v="172000000"/>
    <x v="7"/>
    <x v="97"/>
    <x v="2"/>
    <m/>
  </r>
  <r>
    <x v="144"/>
    <x v="0"/>
    <x v="145"/>
    <m/>
    <x v="1"/>
    <m/>
    <x v="11"/>
    <x v="1"/>
    <x v="2"/>
    <n v="95320000"/>
    <x v="7"/>
    <x v="97"/>
    <x v="2"/>
    <m/>
  </r>
  <r>
    <x v="145"/>
    <x v="0"/>
    <x v="146"/>
    <m/>
    <x v="0"/>
    <s v="David"/>
    <x v="4"/>
    <x v="1"/>
    <x v="2"/>
    <n v="44100000"/>
    <x v="2"/>
    <x v="49"/>
    <x v="0"/>
    <s v="Sudah submit quotation di 2026/05/29"/>
  </r>
  <r>
    <x v="146"/>
    <x v="0"/>
    <x v="29"/>
    <m/>
    <x v="1"/>
    <m/>
    <x v="8"/>
    <x v="1"/>
    <x v="2"/>
    <n v="248000000"/>
    <x v="7"/>
    <x v="70"/>
    <x v="1"/>
    <m/>
  </r>
  <r>
    <x v="147"/>
    <x v="0"/>
    <x v="95"/>
    <m/>
    <x v="1"/>
    <m/>
    <x v="8"/>
    <x v="0"/>
    <x v="2"/>
    <n v="752000000"/>
    <x v="2"/>
    <x v="57"/>
    <x v="0"/>
    <m/>
  </r>
  <r>
    <x v="148"/>
    <x v="0"/>
    <x v="52"/>
    <m/>
    <x v="1"/>
    <m/>
    <x v="8"/>
    <x v="0"/>
    <x v="0"/>
    <n v="60000000"/>
    <x v="2"/>
    <x v="71"/>
    <x v="1"/>
    <m/>
  </r>
  <r>
    <x v="149"/>
    <x v="0"/>
    <x v="29"/>
    <m/>
    <x v="1"/>
    <m/>
    <x v="8"/>
    <x v="1"/>
    <x v="2"/>
    <n v="1200000000"/>
    <x v="2"/>
    <x v="56"/>
    <x v="1"/>
    <s v="Tender"/>
  </r>
  <r>
    <x v="150"/>
    <x v="0"/>
    <x v="147"/>
    <m/>
    <x v="1"/>
    <m/>
    <x v="8"/>
    <x v="1"/>
    <x v="2"/>
    <n v="9850000000"/>
    <x v="2"/>
    <x v="57"/>
    <x v="0"/>
    <s v="Tender"/>
  </r>
  <r>
    <x v="151"/>
    <x v="0"/>
    <x v="148"/>
    <s v="FCU DUC"/>
    <x v="1"/>
    <m/>
    <x v="11"/>
    <x v="0"/>
    <x v="1"/>
    <n v="1700000000"/>
    <x v="2"/>
    <x v="57"/>
    <x v="1"/>
    <m/>
  </r>
  <r>
    <x v="152"/>
    <x v="0"/>
    <x v="149"/>
    <s v="FCU DUC"/>
    <x v="1"/>
    <m/>
    <x v="11"/>
    <x v="0"/>
    <x v="1"/>
    <n v="80000000"/>
    <x v="2"/>
    <x v="98"/>
    <x v="0"/>
    <s v="Budgeting untuk Replacement FCU Kamar"/>
  </r>
  <r>
    <x v="153"/>
    <x v="0"/>
    <x v="150"/>
    <s v="AS CSD"/>
    <x v="1"/>
    <m/>
    <x v="11"/>
    <x v="0"/>
    <x v="1"/>
    <n v="1150000000"/>
    <x v="2"/>
    <x v="98"/>
    <x v="2"/>
    <m/>
  </r>
  <r>
    <x v="154"/>
    <x v="0"/>
    <x v="151"/>
    <m/>
    <x v="1"/>
    <m/>
    <x v="8"/>
    <x v="0"/>
    <x v="2"/>
    <n v="2500000000"/>
    <x v="1"/>
    <x v="65"/>
    <x v="1"/>
    <m/>
  </r>
  <r>
    <x v="155"/>
    <x v="0"/>
    <x v="152"/>
    <s v="FCU DUC"/>
    <x v="1"/>
    <m/>
    <x v="11"/>
    <x v="0"/>
    <x v="1"/>
    <n v="14000000"/>
    <x v="2"/>
    <x v="98"/>
    <x v="0"/>
    <m/>
  </r>
  <r>
    <x v="156"/>
    <x v="0"/>
    <x v="153"/>
    <s v="WC CSD"/>
    <x v="1"/>
    <m/>
    <x v="11"/>
    <x v="0"/>
    <x v="1"/>
    <n v="6800000000"/>
    <x v="2"/>
    <x v="56"/>
    <x v="1"/>
    <m/>
  </r>
  <r>
    <x v="157"/>
    <x v="0"/>
    <x v="154"/>
    <s v="UAA245"/>
    <x v="0"/>
    <s v="David"/>
    <x v="3"/>
    <x v="0"/>
    <x v="0"/>
    <n v="2172000000"/>
    <x v="1"/>
    <x v="26"/>
    <x v="1"/>
    <m/>
  </r>
  <r>
    <x v="158"/>
    <x v="0"/>
    <x v="155"/>
    <s v="UAL230D5"/>
    <x v="0"/>
    <m/>
    <x v="3"/>
    <x v="0"/>
    <x v="1"/>
    <n v="112500000"/>
    <x v="1"/>
    <x v="26"/>
    <x v="1"/>
    <m/>
  </r>
  <r>
    <x v="159"/>
    <x v="0"/>
    <x v="156"/>
    <s v="AS CSD"/>
    <x v="1"/>
    <m/>
    <x v="11"/>
    <x v="0"/>
    <x v="1"/>
    <n v="2020000000"/>
    <x v="2"/>
    <x v="99"/>
    <x v="0"/>
    <m/>
  </r>
  <r>
    <x v="160"/>
    <x v="0"/>
    <x v="157"/>
    <m/>
    <x v="0"/>
    <s v="David"/>
    <x v="1"/>
    <x v="1"/>
    <x v="1"/>
    <n v="16000000"/>
    <x v="1"/>
    <x v="100"/>
    <x v="1"/>
    <m/>
  </r>
  <r>
    <x v="161"/>
    <x v="0"/>
    <x v="158"/>
    <m/>
    <x v="1"/>
    <m/>
    <x v="10"/>
    <x v="0"/>
    <x v="2"/>
    <n v="2900000000"/>
    <x v="3"/>
    <x v="56"/>
    <x v="0"/>
    <s v="Menggantikan DX"/>
  </r>
  <r>
    <x v="162"/>
    <x v="0"/>
    <x v="1"/>
    <m/>
    <x v="1"/>
    <m/>
    <x v="10"/>
    <x v="2"/>
    <x v="1"/>
    <n v="61429000"/>
    <x v="1"/>
    <x v="9"/>
    <x v="0"/>
    <m/>
  </r>
  <r>
    <x v="55"/>
    <x v="0"/>
    <x v="159"/>
    <m/>
    <x v="1"/>
    <m/>
    <x v="10"/>
    <x v="2"/>
    <x v="0"/>
    <n v="441441441"/>
    <x v="1"/>
    <x v="38"/>
    <x v="0"/>
    <m/>
  </r>
  <r>
    <x v="55"/>
    <x v="0"/>
    <x v="1"/>
    <m/>
    <x v="1"/>
    <m/>
    <x v="10"/>
    <x v="2"/>
    <x v="0"/>
    <n v="49549549"/>
    <x v="1"/>
    <x v="101"/>
    <x v="0"/>
    <m/>
  </r>
  <r>
    <x v="163"/>
    <x v="0"/>
    <x v="52"/>
    <m/>
    <x v="1"/>
    <m/>
    <x v="10"/>
    <x v="0"/>
    <x v="2"/>
    <n v="1787420000"/>
    <x v="1"/>
    <x v="97"/>
    <x v="0"/>
    <m/>
  </r>
  <r>
    <x v="164"/>
    <x v="0"/>
    <x v="52"/>
    <m/>
    <x v="1"/>
    <m/>
    <x v="10"/>
    <x v="0"/>
    <x v="2"/>
    <n v="914870000"/>
    <x v="1"/>
    <x v="102"/>
    <x v="0"/>
    <m/>
  </r>
  <r>
    <x v="165"/>
    <x v="0"/>
    <x v="160"/>
    <s v="EWYE70"/>
    <x v="1"/>
    <m/>
    <x v="10"/>
    <x v="1"/>
    <x v="2"/>
    <n v="1787420000"/>
    <x v="1"/>
    <x v="102"/>
    <x v="1"/>
    <s v="Proses SO"/>
  </r>
  <r>
    <x v="166"/>
    <x v="0"/>
    <x v="160"/>
    <s v="EWYE70"/>
    <x v="1"/>
    <m/>
    <x v="10"/>
    <x v="1"/>
    <x v="2"/>
    <n v="914870000"/>
    <x v="1"/>
    <x v="102"/>
    <x v="1"/>
    <s v="Proses SO"/>
  </r>
  <r>
    <x v="167"/>
    <x v="0"/>
    <x v="6"/>
    <m/>
    <x v="1"/>
    <m/>
    <x v="10"/>
    <x v="1"/>
    <x v="2"/>
    <n v="858000000"/>
    <x v="1"/>
    <x v="103"/>
    <x v="1"/>
    <s v="Installasi Heatpump"/>
  </r>
  <r>
    <x v="168"/>
    <x v="0"/>
    <x v="161"/>
    <m/>
    <x v="1"/>
    <m/>
    <x v="10"/>
    <x v="0"/>
    <x v="0"/>
    <n v="586923200"/>
    <x v="1"/>
    <x v="103"/>
    <x v="1"/>
    <s v="Installasi Heatpump"/>
  </r>
  <r>
    <x v="169"/>
    <x v="0"/>
    <x v="162"/>
    <s v="EPL"/>
    <x v="0"/>
    <s v="David"/>
    <x v="9"/>
    <x v="0"/>
    <x v="2"/>
    <n v="550000000"/>
    <x v="3"/>
    <x v="104"/>
    <x v="0"/>
    <m/>
  </r>
  <r>
    <x v="170"/>
    <x v="0"/>
    <x v="163"/>
    <s v="DX"/>
    <x v="0"/>
    <m/>
    <x v="3"/>
    <x v="1"/>
    <x v="2"/>
    <n v="58000000"/>
    <x v="1"/>
    <x v="26"/>
    <x v="1"/>
    <m/>
  </r>
  <r>
    <x v="171"/>
    <x v="0"/>
    <x v="164"/>
    <s v="EPL"/>
    <x v="2"/>
    <s v="David"/>
    <x v="4"/>
    <x v="0"/>
    <x v="2"/>
    <n v="516000000"/>
    <x v="2"/>
    <x v="105"/>
    <x v="0"/>
    <m/>
  </r>
  <r>
    <x v="172"/>
    <x v="0"/>
    <x v="165"/>
    <s v="EPL"/>
    <x v="0"/>
    <s v="David"/>
    <x v="9"/>
    <x v="0"/>
    <x v="1"/>
    <n v="680000000"/>
    <x v="3"/>
    <x v="104"/>
    <x v="0"/>
    <m/>
  </r>
  <r>
    <x v="173"/>
    <x v="0"/>
    <x v="166"/>
    <s v="EPL"/>
    <x v="2"/>
    <s v="David"/>
    <x v="4"/>
    <x v="0"/>
    <x v="2"/>
    <n v="700000000"/>
    <x v="2"/>
    <x v="105"/>
    <x v="0"/>
    <m/>
  </r>
  <r>
    <x v="174"/>
    <x v="0"/>
    <x v="167"/>
    <s v="EPL"/>
    <x v="0"/>
    <s v="David"/>
    <x v="5"/>
    <x v="0"/>
    <x v="2"/>
    <n v="750000000"/>
    <x v="0"/>
    <x v="21"/>
    <x v="0"/>
    <m/>
  </r>
  <r>
    <x v="175"/>
    <x v="0"/>
    <x v="168"/>
    <s v="EPL"/>
    <x v="2"/>
    <s v="David"/>
    <x v="4"/>
    <x v="0"/>
    <x v="2"/>
    <n v="950000000"/>
    <x v="2"/>
    <x v="105"/>
    <x v="0"/>
    <m/>
  </r>
  <r>
    <x v="4"/>
    <x v="0"/>
    <x v="169"/>
    <s v="Chiller UAL230D5 (2)"/>
    <x v="0"/>
    <s v="David"/>
    <x v="3"/>
    <x v="1"/>
    <x v="0"/>
    <n v="174500000"/>
    <x v="1"/>
    <x v="11"/>
    <x v="1"/>
    <s v="Sudah terima PO"/>
  </r>
  <r>
    <x v="176"/>
    <x v="0"/>
    <x v="170"/>
    <s v="EPL"/>
    <x v="0"/>
    <s v="David"/>
    <x v="9"/>
    <x v="0"/>
    <x v="2"/>
    <n v="400000000"/>
    <x v="2"/>
    <x v="105"/>
    <x v="1"/>
    <m/>
  </r>
  <r>
    <x v="177"/>
    <x v="0"/>
    <x v="171"/>
    <s v="EPL"/>
    <x v="0"/>
    <s v="David"/>
    <x v="4"/>
    <x v="0"/>
    <x v="2"/>
    <n v="153940000"/>
    <x v="2"/>
    <x v="106"/>
    <x v="0"/>
    <s v="Sudah submit penawaran 2026/06/04"/>
  </r>
  <r>
    <x v="178"/>
    <x v="0"/>
    <x v="172"/>
    <s v="EPL"/>
    <x v="0"/>
    <s v="David"/>
    <x v="1"/>
    <x v="0"/>
    <x v="2"/>
    <n v="425000000"/>
    <x v="0"/>
    <x v="107"/>
    <x v="0"/>
    <m/>
  </r>
  <r>
    <x v="4"/>
    <x v="0"/>
    <x v="173"/>
    <s v="UAL 450 D5 &amp; UAL340D5"/>
    <x v="0"/>
    <s v="David"/>
    <x v="3"/>
    <x v="1"/>
    <x v="2"/>
    <n v="315500000"/>
    <x v="1"/>
    <x v="64"/>
    <x v="1"/>
    <s v="Already PO - SO046808"/>
  </r>
  <r>
    <x v="179"/>
    <x v="0"/>
    <x v="174"/>
    <s v="EPL"/>
    <x v="2"/>
    <s v="David"/>
    <x v="4"/>
    <x v="0"/>
    <x v="2"/>
    <n v="895000000"/>
    <x v="2"/>
    <x v="105"/>
    <x v="0"/>
    <m/>
  </r>
  <r>
    <x v="180"/>
    <x v="0"/>
    <x v="175"/>
    <s v="EPL"/>
    <x v="0"/>
    <s v="David"/>
    <x v="9"/>
    <x v="0"/>
    <x v="2"/>
    <n v="506750000"/>
    <x v="2"/>
    <x v="104"/>
    <x v="0"/>
    <s v="1. belum ada update dari Jepang, statusnya masih budgeting._x000a_2. Ada request untuk assetment chiller, solenoid valve pecah, dan bisa di kerjakan hanya di hari minggu. "/>
  </r>
  <r>
    <x v="181"/>
    <x v="0"/>
    <x v="176"/>
    <s v="Main Equipment"/>
    <x v="0"/>
    <m/>
    <x v="3"/>
    <x v="1"/>
    <x v="2"/>
    <n v="414000000"/>
    <x v="1"/>
    <x v="42"/>
    <x v="0"/>
    <m/>
  </r>
  <r>
    <x v="160"/>
    <x v="0"/>
    <x v="177"/>
    <s v="EPL"/>
    <x v="0"/>
    <s v="David"/>
    <x v="4"/>
    <x v="0"/>
    <x v="2"/>
    <n v="185000000"/>
    <x v="2"/>
    <x v="105"/>
    <x v="0"/>
    <s v="Sudah di submit quotation by email ke  hendro@stpindo.co.id  di 2026/03/12"/>
  </r>
  <r>
    <x v="182"/>
    <x v="0"/>
    <x v="178"/>
    <s v="EPL"/>
    <x v="0"/>
    <s v="David"/>
    <x v="2"/>
    <x v="0"/>
    <x v="2"/>
    <n v="136400000"/>
    <x v="2"/>
    <x v="107"/>
    <x v="0"/>
    <s v="Sudah di submit quotation by email ke  marketing@permatateknik.com   di 2026/03/12"/>
  </r>
  <r>
    <x v="177"/>
    <x v="0"/>
    <x v="146"/>
    <s v="EPL"/>
    <x v="0"/>
    <s v="David"/>
    <x v="2"/>
    <x v="0"/>
    <x v="2"/>
    <n v="29000000"/>
    <x v="1"/>
    <x v="108"/>
    <x v="1"/>
    <s v="Sudah terima PO di 2026/06/04"/>
  </r>
  <r>
    <x v="183"/>
    <x v="0"/>
    <x v="179"/>
    <s v="EPL"/>
    <x v="2"/>
    <s v="David"/>
    <x v="4"/>
    <x v="0"/>
    <x v="0"/>
    <n v="9599613600"/>
    <x v="2"/>
    <x v="105"/>
    <x v="0"/>
    <s v="1. Sudah submit penawaran 2026/02/23 by email_x000a_2. Sudah submit penawaranrevisi 1  di 2026/02/27 by email_x000a_"/>
  </r>
  <r>
    <x v="184"/>
    <x v="0"/>
    <x v="180"/>
    <s v="EPL"/>
    <x v="2"/>
    <s v="David"/>
    <x v="4"/>
    <x v="0"/>
    <x v="1"/>
    <n v="2998200000"/>
    <x v="2"/>
    <x v="109"/>
    <x v="0"/>
    <m/>
  </r>
  <r>
    <x v="185"/>
    <x v="0"/>
    <x v="181"/>
    <s v="WC MB"/>
    <x v="1"/>
    <m/>
    <x v="11"/>
    <x v="0"/>
    <x v="1"/>
    <n v="5300000000"/>
    <x v="2"/>
    <x v="12"/>
    <x v="0"/>
    <m/>
  </r>
  <r>
    <x v="186"/>
    <x v="0"/>
    <x v="182"/>
    <s v="EPL"/>
    <x v="0"/>
    <s v="David"/>
    <x v="9"/>
    <x v="0"/>
    <x v="3"/>
    <n v="2055935000"/>
    <x v="2"/>
    <x v="104"/>
    <x v="0"/>
    <s v="Sudah submit penawaran 2026/02/27by email"/>
  </r>
  <r>
    <x v="187"/>
    <x v="0"/>
    <x v="183"/>
    <s v="EPL"/>
    <x v="2"/>
    <s v="David"/>
    <x v="4"/>
    <x v="0"/>
    <x v="0"/>
    <n v="174000000"/>
    <x v="2"/>
    <x v="105"/>
    <x v="0"/>
    <s v="Sudah submit penawran ke risha@pilarekatama.com di 2026/03/17"/>
  </r>
  <r>
    <x v="188"/>
    <x v="0"/>
    <x v="184"/>
    <s v="DID - DM2TB-0510B"/>
    <x v="0"/>
    <m/>
    <x v="3"/>
    <x v="1"/>
    <x v="0"/>
    <n v="841500000"/>
    <x v="5"/>
    <x v="42"/>
    <x v="0"/>
    <s v="OKB MOT R.OK Mayor Antiradiasi"/>
  </r>
  <r>
    <x v="180"/>
    <x v="0"/>
    <x v="185"/>
    <s v="EPL"/>
    <x v="2"/>
    <s v="David"/>
    <x v="4"/>
    <x v="0"/>
    <x v="1"/>
    <n v="4123150000"/>
    <x v="2"/>
    <x v="105"/>
    <x v="0"/>
    <s v="Sudah submit ke email 'gitamandiri@gmail.com di 2026/02/24"/>
  </r>
  <r>
    <x v="160"/>
    <x v="0"/>
    <x v="186"/>
    <s v="EPL"/>
    <x v="2"/>
    <s v="David"/>
    <x v="4"/>
    <x v="0"/>
    <x v="2"/>
    <n v="200000000"/>
    <x v="2"/>
    <x v="105"/>
    <x v="0"/>
    <s v="Info dari MTP, user condong memilih york karena existing memakai york, 9:50 2026/02/19"/>
  </r>
  <r>
    <x v="189"/>
    <x v="0"/>
    <x v="187"/>
    <s v="EPL"/>
    <x v="0"/>
    <s v="David"/>
    <x v="2"/>
    <x v="0"/>
    <x v="2"/>
    <n v="1378120000"/>
    <x v="2"/>
    <x v="110"/>
    <x v="0"/>
    <m/>
  </r>
  <r>
    <x v="190"/>
    <x v="0"/>
    <x v="188"/>
    <s v="EPL"/>
    <x v="0"/>
    <s v="David"/>
    <x v="2"/>
    <x v="0"/>
    <x v="2"/>
    <n v="65750000"/>
    <x v="2"/>
    <x v="52"/>
    <x v="0"/>
    <m/>
  </r>
  <r>
    <x v="191"/>
    <x v="0"/>
    <x v="189"/>
    <s v="EPL"/>
    <x v="1"/>
    <s v="David"/>
    <x v="4"/>
    <x v="0"/>
    <x v="1"/>
    <n v="213000000"/>
    <x v="2"/>
    <x v="33"/>
    <x v="0"/>
    <m/>
  </r>
  <r>
    <x v="191"/>
    <x v="0"/>
    <x v="190"/>
    <s v="EPL"/>
    <x v="0"/>
    <s v="David"/>
    <x v="5"/>
    <x v="0"/>
    <x v="1"/>
    <n v="199020000"/>
    <x v="2"/>
    <x v="111"/>
    <x v="0"/>
    <m/>
  </r>
  <r>
    <x v="22"/>
    <x v="0"/>
    <x v="114"/>
    <s v="EPL"/>
    <x v="0"/>
    <m/>
    <x v="9"/>
    <x v="0"/>
    <x v="2"/>
    <n v="700000000"/>
    <x v="1"/>
    <x v="112"/>
    <x v="0"/>
    <m/>
  </r>
  <r>
    <x v="192"/>
    <x v="0"/>
    <x v="191"/>
    <s v="EPL"/>
    <x v="0"/>
    <s v="David"/>
    <x v="9"/>
    <x v="0"/>
    <x v="2"/>
    <n v="2598000000"/>
    <x v="2"/>
    <x v="104"/>
    <x v="0"/>
    <s v="Sudah submit quotation by email ke zuhadi@dovechem.co.id di 2026/03/10"/>
  </r>
  <r>
    <x v="183"/>
    <x v="0"/>
    <x v="192"/>
    <s v="EPL"/>
    <x v="2"/>
    <s v="David"/>
    <x v="4"/>
    <x v="0"/>
    <x v="2"/>
    <n v="935000000"/>
    <x v="2"/>
    <x v="105"/>
    <x v="0"/>
    <s v="Sudah submit by quotaiton di 2026/03/04"/>
  </r>
  <r>
    <x v="193"/>
    <x v="0"/>
    <x v="193"/>
    <s v="EPL"/>
    <x v="0"/>
    <s v="David"/>
    <x v="1"/>
    <x v="0"/>
    <x v="2"/>
    <n v="438000000"/>
    <x v="2"/>
    <x v="106"/>
    <x v="0"/>
    <s v="Submit quotation di 10 Februari 2026"/>
  </r>
  <r>
    <x v="194"/>
    <x v="0"/>
    <x v="194"/>
    <s v="EPL"/>
    <x v="0"/>
    <s v="David"/>
    <x v="1"/>
    <x v="0"/>
    <x v="2"/>
    <n v="978000000"/>
    <x v="2"/>
    <x v="113"/>
    <x v="0"/>
    <s v="Submit quotation di 10 Februari 2026"/>
  </r>
  <r>
    <x v="195"/>
    <x v="0"/>
    <x v="195"/>
    <s v="EPL"/>
    <x v="1"/>
    <s v="David"/>
    <x v="4"/>
    <x v="0"/>
    <x v="2"/>
    <n v="217540000"/>
    <x v="2"/>
    <x v="114"/>
    <x v="0"/>
    <s v="sudah submit quotation ke tikakris@stpindo.co.id di 28/03/2026"/>
  </r>
  <r>
    <x v="196"/>
    <x v="0"/>
    <x v="196"/>
    <s v="EPL"/>
    <x v="0"/>
    <s v="David"/>
    <x v="4"/>
    <x v="0"/>
    <x v="2"/>
    <n v="175000000"/>
    <x v="2"/>
    <x v="105"/>
    <x v="0"/>
    <s v="sudah submit quotation ke stogih@yahoo.co.id  di 28/03/2026"/>
  </r>
  <r>
    <x v="197"/>
    <x v="0"/>
    <x v="197"/>
    <s v="EPL"/>
    <x v="0"/>
    <s v="David"/>
    <x v="2"/>
    <x v="1"/>
    <x v="2"/>
    <n v="260000000"/>
    <x v="1"/>
    <x v="15"/>
    <x v="1"/>
    <m/>
  </r>
  <r>
    <x v="198"/>
    <x v="0"/>
    <x v="198"/>
    <s v="EPL"/>
    <x v="2"/>
    <s v="David"/>
    <x v="4"/>
    <x v="0"/>
    <x v="1"/>
    <n v="385000000"/>
    <x v="2"/>
    <x v="105"/>
    <x v="0"/>
    <s v="Submit harga di email di 2026/03/05"/>
  </r>
  <r>
    <x v="197"/>
    <x v="0"/>
    <x v="199"/>
    <s v="EPL"/>
    <x v="0"/>
    <s v="David"/>
    <x v="1"/>
    <x v="0"/>
    <x v="2"/>
    <n v="361000000"/>
    <x v="1"/>
    <x v="115"/>
    <x v="0"/>
    <s v="Submit quotation di 2026/03/02"/>
  </r>
  <r>
    <x v="199"/>
    <x v="0"/>
    <x v="200"/>
    <s v="EPL"/>
    <x v="0"/>
    <s v="David"/>
    <x v="1"/>
    <x v="0"/>
    <x v="1"/>
    <n v="2435000000"/>
    <x v="2"/>
    <x v="116"/>
    <x v="0"/>
    <s v="Submit Qou To PT Hijau"/>
  </r>
  <r>
    <x v="200"/>
    <x v="0"/>
    <x v="201"/>
    <s v="AL"/>
    <x v="1"/>
    <m/>
    <x v="11"/>
    <x v="0"/>
    <x v="1"/>
    <n v="5000000000"/>
    <x v="2"/>
    <x v="117"/>
    <x v="2"/>
    <m/>
  </r>
  <r>
    <x v="201"/>
    <x v="0"/>
    <x v="202"/>
    <s v="FCU DUC"/>
    <x v="1"/>
    <m/>
    <x v="11"/>
    <x v="0"/>
    <x v="1"/>
    <n v="39000000"/>
    <x v="2"/>
    <x v="15"/>
    <x v="2"/>
    <m/>
  </r>
  <r>
    <x v="202"/>
    <x v="0"/>
    <x v="203"/>
    <m/>
    <x v="0"/>
    <m/>
    <x v="10"/>
    <x v="0"/>
    <x v="2"/>
    <n v="1200000000"/>
    <x v="7"/>
    <x v="118"/>
    <x v="0"/>
    <m/>
  </r>
  <r>
    <x v="203"/>
    <x v="0"/>
    <x v="52"/>
    <m/>
    <x v="0"/>
    <m/>
    <x v="10"/>
    <x v="0"/>
    <x v="2"/>
    <n v="895000000"/>
    <x v="7"/>
    <x v="87"/>
    <x v="0"/>
    <m/>
  </r>
  <r>
    <x v="204"/>
    <x v="0"/>
    <x v="6"/>
    <s v="EPL"/>
    <x v="0"/>
    <m/>
    <x v="4"/>
    <x v="1"/>
    <x v="1"/>
    <n v="2908842000"/>
    <x v="2"/>
    <x v="119"/>
    <x v="0"/>
    <s v="Sudah submit quotation ke pilar ekatama di 2026/04/27"/>
  </r>
  <r>
    <x v="205"/>
    <x v="0"/>
    <x v="204"/>
    <m/>
    <x v="0"/>
    <m/>
    <x v="7"/>
    <x v="3"/>
    <x v="2"/>
    <n v="26841600"/>
    <x v="1"/>
    <x v="4"/>
    <x v="0"/>
    <s v="PO"/>
  </r>
  <r>
    <x v="206"/>
    <x v="0"/>
    <x v="205"/>
    <m/>
    <x v="0"/>
    <m/>
    <x v="7"/>
    <x v="1"/>
    <x v="2"/>
    <n v="331200000"/>
    <x v="1"/>
    <x v="10"/>
    <x v="0"/>
    <s v="PO"/>
  </r>
  <r>
    <x v="207"/>
    <x v="0"/>
    <x v="206"/>
    <m/>
    <x v="0"/>
    <m/>
    <x v="7"/>
    <x v="1"/>
    <x v="1"/>
    <n v="61200000"/>
    <x v="1"/>
    <x v="10"/>
    <x v="0"/>
    <s v="PO"/>
  </r>
  <r>
    <x v="208"/>
    <x v="0"/>
    <x v="207"/>
    <m/>
    <x v="0"/>
    <m/>
    <x v="7"/>
    <x v="1"/>
    <x v="2"/>
    <n v="46400000"/>
    <x v="1"/>
    <x v="115"/>
    <x v="1"/>
    <s v="PO"/>
  </r>
  <r>
    <x v="209"/>
    <x v="0"/>
    <x v="208"/>
    <m/>
    <x v="0"/>
    <m/>
    <x v="7"/>
    <x v="1"/>
    <x v="2"/>
    <n v="20000000"/>
    <x v="1"/>
    <x v="3"/>
    <x v="0"/>
    <s v="PO"/>
  </r>
  <r>
    <x v="210"/>
    <x v="0"/>
    <x v="209"/>
    <m/>
    <x v="0"/>
    <m/>
    <x v="7"/>
    <x v="1"/>
    <x v="2"/>
    <n v="149900000"/>
    <x v="0"/>
    <x v="42"/>
    <x v="0"/>
    <m/>
  </r>
  <r>
    <x v="204"/>
    <x v="0"/>
    <x v="210"/>
    <s v="EPL"/>
    <x v="0"/>
    <m/>
    <x v="4"/>
    <x v="1"/>
    <x v="3"/>
    <n v="22474500000"/>
    <x v="2"/>
    <x v="120"/>
    <x v="0"/>
    <s v="Sudah submit quotation by email ke bu risha di 2026/05/04"/>
  </r>
  <r>
    <x v="211"/>
    <x v="0"/>
    <x v="211"/>
    <m/>
    <x v="0"/>
    <m/>
    <x v="2"/>
    <x v="1"/>
    <x v="0"/>
    <n v="958950000"/>
    <x v="0"/>
    <x v="121"/>
    <x v="0"/>
    <s v="LOSE = =&gt; Secara Spek DID tidak bisa mengikuti dan tahap seleksi lama jadi user memutuskan untuk ganti brand"/>
  </r>
  <r>
    <x v="212"/>
    <x v="0"/>
    <x v="212"/>
    <m/>
    <x v="0"/>
    <m/>
    <x v="2"/>
    <x v="1"/>
    <x v="1"/>
    <n v="2983769100"/>
    <x v="3"/>
    <x v="122"/>
    <x v="0"/>
    <s v="Review BOD ==&gt; Belum ada update apakah proeject dilanjutkan atau tidak"/>
  </r>
  <r>
    <x v="213"/>
    <x v="0"/>
    <x v="213"/>
    <s v="VRV"/>
    <x v="0"/>
    <m/>
    <x v="3"/>
    <x v="1"/>
    <x v="1"/>
    <n v="1129500000"/>
    <x v="5"/>
    <x v="42"/>
    <x v="0"/>
    <m/>
  </r>
  <r>
    <x v="214"/>
    <x v="0"/>
    <x v="214"/>
    <s v="DX"/>
    <x v="0"/>
    <m/>
    <x v="3"/>
    <x v="1"/>
    <x v="2"/>
    <n v="4500000000"/>
    <x v="4"/>
    <x v="42"/>
    <x v="0"/>
    <s v="Capex already submitted, waiting TOKA menghubungi DASI untuk klarifikasi penawaran  pic Pak Yusuf &amp; Pak Ade Jatmika"/>
  </r>
  <r>
    <x v="215"/>
    <x v="0"/>
    <x v="6"/>
    <s v="AC Split System Cafe n Resto Lantai Roof"/>
    <x v="0"/>
    <m/>
    <x v="3"/>
    <x v="1"/>
    <x v="1"/>
    <n v="260196000"/>
    <x v="5"/>
    <x v="13"/>
    <x v="0"/>
    <s v="(09 February 2026) Revisi Penawaran Alternatif 1 &amp; 2"/>
  </r>
  <r>
    <x v="181"/>
    <x v="0"/>
    <x v="215"/>
    <s v="DX"/>
    <x v="0"/>
    <m/>
    <x v="3"/>
    <x v="1"/>
    <x v="2"/>
    <n v="2219343000"/>
    <x v="5"/>
    <x v="13"/>
    <x v="0"/>
    <m/>
  </r>
  <r>
    <x v="216"/>
    <x v="0"/>
    <x v="216"/>
    <m/>
    <x v="0"/>
    <s v="David"/>
    <x v="3"/>
    <x v="1"/>
    <x v="2"/>
    <n v="329000000"/>
    <x v="2"/>
    <x v="123"/>
    <x v="0"/>
    <s v="Submit quotation ke GPM di 2026/04/21"/>
  </r>
  <r>
    <x v="188"/>
    <x v="0"/>
    <x v="6"/>
    <s v="Pump Grunfos - Jakarta Annex Center Phase-1"/>
    <x v="0"/>
    <m/>
    <x v="3"/>
    <x v="1"/>
    <x v="1"/>
    <n v="3058200000"/>
    <x v="0"/>
    <x v="124"/>
    <x v="0"/>
    <s v="Tender"/>
  </r>
  <r>
    <x v="188"/>
    <x v="0"/>
    <x v="6"/>
    <s v="PHE - Jakarta Annex Center Phase-1"/>
    <x v="0"/>
    <m/>
    <x v="3"/>
    <x v="1"/>
    <x v="1"/>
    <n v="763470000"/>
    <x v="0"/>
    <x v="124"/>
    <x v="0"/>
    <s v="Tender"/>
  </r>
  <r>
    <x v="188"/>
    <x v="0"/>
    <x v="6"/>
    <s v="Chemical System - Jakarta Annex Center Phase-1"/>
    <x v="0"/>
    <m/>
    <x v="3"/>
    <x v="1"/>
    <x v="1"/>
    <n v="238240000"/>
    <x v="0"/>
    <x v="124"/>
    <x v="0"/>
    <s v="Tender"/>
  </r>
  <r>
    <x v="34"/>
    <x v="0"/>
    <x v="217"/>
    <m/>
    <x v="0"/>
    <m/>
    <x v="6"/>
    <x v="1"/>
    <x v="1"/>
    <n v="986387850"/>
    <x v="1"/>
    <x v="0"/>
    <x v="1"/>
    <s v="Already PO"/>
  </r>
  <r>
    <x v="217"/>
    <x v="0"/>
    <x v="209"/>
    <s v="STKH25YV"/>
    <x v="0"/>
    <m/>
    <x v="7"/>
    <x v="1"/>
    <x v="2"/>
    <n v="36000000"/>
    <x v="0"/>
    <x v="9"/>
    <x v="0"/>
    <s v="Lost "/>
  </r>
  <r>
    <x v="218"/>
    <x v="0"/>
    <x v="218"/>
    <m/>
    <x v="0"/>
    <m/>
    <x v="2"/>
    <x v="1"/>
    <x v="1"/>
    <n v="212550000"/>
    <x v="1"/>
    <x v="125"/>
    <x v="1"/>
    <s v="Already SO"/>
  </r>
  <r>
    <x v="219"/>
    <x v="0"/>
    <x v="219"/>
    <m/>
    <x v="0"/>
    <m/>
    <x v="2"/>
    <x v="1"/>
    <x v="0"/>
    <n v="56000000"/>
    <x v="2"/>
    <x v="122"/>
    <x v="0"/>
    <s v="Tender"/>
  </r>
  <r>
    <x v="220"/>
    <x v="0"/>
    <x v="220"/>
    <m/>
    <x v="0"/>
    <m/>
    <x v="2"/>
    <x v="5"/>
    <x v="1"/>
    <n v="350000000"/>
    <x v="0"/>
    <x v="126"/>
    <x v="0"/>
    <s v="Revisi Budged ==&gt; Update terbaru budged sudah di Approved akan dilakukan nego ulang menunggu dipanggil user"/>
  </r>
  <r>
    <x v="221"/>
    <x v="0"/>
    <x v="221"/>
    <m/>
    <x v="0"/>
    <m/>
    <x v="2"/>
    <x v="5"/>
    <x v="0"/>
    <n v="150000000"/>
    <x v="2"/>
    <x v="122"/>
    <x v="0"/>
    <s v="Budgeting"/>
  </r>
  <r>
    <x v="222"/>
    <x v="0"/>
    <x v="222"/>
    <m/>
    <x v="0"/>
    <m/>
    <x v="7"/>
    <x v="1"/>
    <x v="2"/>
    <n v="150000000"/>
    <x v="0"/>
    <x v="42"/>
    <x v="0"/>
    <m/>
  </r>
  <r>
    <x v="223"/>
    <x v="0"/>
    <x v="223"/>
    <m/>
    <x v="0"/>
    <m/>
    <x v="5"/>
    <x v="1"/>
    <x v="2"/>
    <n v="2000000000"/>
    <x v="2"/>
    <x v="56"/>
    <x v="0"/>
    <s v="Revisi Quote, User mau pakai system exiting "/>
  </r>
  <r>
    <x v="224"/>
    <x v="0"/>
    <x v="224"/>
    <s v="EPL"/>
    <x v="0"/>
    <s v="David"/>
    <x v="3"/>
    <x v="0"/>
    <x v="2"/>
    <n v="570000000"/>
    <x v="3"/>
    <x v="43"/>
    <x v="0"/>
    <m/>
  </r>
  <r>
    <x v="225"/>
    <x v="0"/>
    <x v="225"/>
    <s v="EPL"/>
    <x v="0"/>
    <s v="David"/>
    <x v="3"/>
    <x v="0"/>
    <x v="1"/>
    <n v="2200000000"/>
    <x v="2"/>
    <x v="104"/>
    <x v="0"/>
    <m/>
  </r>
  <r>
    <x v="187"/>
    <x v="0"/>
    <x v="185"/>
    <s v="EPL"/>
    <x v="0"/>
    <s v="David"/>
    <x v="3"/>
    <x v="0"/>
    <x v="1"/>
    <n v="4123150000"/>
    <x v="2"/>
    <x v="127"/>
    <x v="0"/>
    <s v="Sudah submit ke email 'Risha' &lt;risha@pilarekatama.com&gt; di 2026/02/24"/>
  </r>
  <r>
    <x v="226"/>
    <x v="0"/>
    <x v="226"/>
    <s v="DDW070,080"/>
    <x v="0"/>
    <s v="David"/>
    <x v="2"/>
    <x v="0"/>
    <x v="1"/>
    <n v="113000000"/>
    <x v="1"/>
    <x v="35"/>
    <x v="1"/>
    <s v="Already SO"/>
  </r>
  <r>
    <x v="227"/>
    <x v="0"/>
    <x v="227"/>
    <s v="DDW150"/>
    <x v="0"/>
    <m/>
    <x v="2"/>
    <x v="0"/>
    <x v="2"/>
    <n v="359445615"/>
    <x v="3"/>
    <x v="13"/>
    <x v="0"/>
    <s v="Tender ==&gt; Project Di hold menunggu info dari user"/>
  </r>
  <r>
    <x v="228"/>
    <x v="0"/>
    <x v="228"/>
    <s v="EPL"/>
    <x v="0"/>
    <s v="Samuel"/>
    <x v="3"/>
    <x v="0"/>
    <x v="1"/>
    <n v="76000000"/>
    <x v="1"/>
    <x v="115"/>
    <x v="1"/>
    <s v="Sudah submit penawran by email ke yonatan@saranatunggalmulia.com di 2026/03/12"/>
  </r>
  <r>
    <x v="7"/>
    <x v="19"/>
    <x v="229"/>
    <m/>
    <x v="0"/>
    <m/>
    <x v="1"/>
    <x v="0"/>
    <x v="3"/>
    <n v="1619073000"/>
    <x v="1"/>
    <x v="26"/>
    <x v="1"/>
    <s v="Already PO"/>
  </r>
  <r>
    <x v="7"/>
    <x v="20"/>
    <x v="230"/>
    <s v="DX"/>
    <x v="0"/>
    <m/>
    <x v="1"/>
    <x v="1"/>
    <x v="3"/>
    <n v="337898295"/>
    <x v="1"/>
    <x v="128"/>
    <x v="1"/>
    <s v="Already PO"/>
  </r>
  <r>
    <x v="7"/>
    <x v="21"/>
    <x v="231"/>
    <s v="DX"/>
    <x v="0"/>
    <m/>
    <x v="1"/>
    <x v="1"/>
    <x v="3"/>
    <n v="145227600"/>
    <x v="1"/>
    <x v="128"/>
    <x v="1"/>
    <s v="Already PO"/>
  </r>
  <r>
    <x v="1"/>
    <x v="22"/>
    <x v="232"/>
    <m/>
    <x v="0"/>
    <m/>
    <x v="1"/>
    <x v="0"/>
    <x v="1"/>
    <n v="117765900"/>
    <x v="1"/>
    <x v="129"/>
    <x v="1"/>
    <s v="Already PO"/>
  </r>
  <r>
    <x v="1"/>
    <x v="0"/>
    <x v="233"/>
    <m/>
    <x v="0"/>
    <m/>
    <x v="1"/>
    <x v="1"/>
    <x v="1"/>
    <n v="200687000"/>
    <x v="1"/>
    <x v="21"/>
    <x v="0"/>
    <m/>
  </r>
  <r>
    <x v="229"/>
    <x v="0"/>
    <x v="234"/>
    <s v="UAA175ST3-FDD"/>
    <x v="0"/>
    <m/>
    <x v="3"/>
    <x v="0"/>
    <x v="4"/>
    <n v="1460000000"/>
    <x v="5"/>
    <x v="130"/>
    <x v="0"/>
    <m/>
  </r>
  <r>
    <x v="230"/>
    <x v="0"/>
    <x v="52"/>
    <s v="EPL"/>
    <x v="0"/>
    <s v="Samuel"/>
    <x v="7"/>
    <x v="0"/>
    <x v="2"/>
    <n v="32000000"/>
    <x v="1"/>
    <x v="131"/>
    <x v="1"/>
    <s v="PO"/>
  </r>
  <r>
    <x v="231"/>
    <x v="0"/>
    <x v="235"/>
    <s v="FWW"/>
    <x v="0"/>
    <m/>
    <x v="2"/>
    <x v="0"/>
    <x v="1"/>
    <n v="300000000"/>
    <x v="0"/>
    <x v="132"/>
    <x v="0"/>
    <s v="LOSE ==&gt; Perubahan spek"/>
  </r>
  <r>
    <x v="232"/>
    <x v="0"/>
    <x v="236"/>
    <s v="UCCP18"/>
    <x v="0"/>
    <m/>
    <x v="2"/>
    <x v="0"/>
    <x v="1"/>
    <n v="32000000"/>
    <x v="3"/>
    <x v="16"/>
    <x v="0"/>
    <s v="Tender - Submit Quo 28-03-2026 "/>
  </r>
  <r>
    <x v="233"/>
    <x v="0"/>
    <x v="237"/>
    <s v="UAA175ST3  X2"/>
    <x v="0"/>
    <m/>
    <x v="2"/>
    <x v="0"/>
    <x v="1"/>
    <n v="1687600000"/>
    <x v="2"/>
    <x v="133"/>
    <x v="0"/>
    <s v="Budgeting ==&gt; sudah berikan penawaran saat ini info sedang pengajuan ke Yayasan"/>
  </r>
  <r>
    <x v="234"/>
    <x v="0"/>
    <x v="237"/>
    <s v="UWXA150GLDR (HEX)"/>
    <x v="0"/>
    <m/>
    <x v="2"/>
    <x v="0"/>
    <x v="2"/>
    <n v="2000000000"/>
    <x v="1"/>
    <x v="134"/>
    <x v="1"/>
    <s v="Already SO"/>
  </r>
  <r>
    <x v="234"/>
    <x v="0"/>
    <x v="237"/>
    <s v="Installation"/>
    <x v="0"/>
    <m/>
    <x v="2"/>
    <x v="1"/>
    <x v="2"/>
    <n v="1181000000"/>
    <x v="1"/>
    <x v="134"/>
    <x v="1"/>
    <s v="Already SO"/>
  </r>
  <r>
    <x v="218"/>
    <x v="0"/>
    <x v="238"/>
    <s v="Control"/>
    <x v="0"/>
    <m/>
    <x v="2"/>
    <x v="5"/>
    <x v="1"/>
    <n v="986387850"/>
    <x v="1"/>
    <x v="135"/>
    <x v="1"/>
    <s v="Already SO"/>
  </r>
  <r>
    <x v="235"/>
    <x v="0"/>
    <x v="239"/>
    <s v="DDW270DA-BMMQ0C35E"/>
    <x v="0"/>
    <m/>
    <x v="2"/>
    <x v="0"/>
    <x v="2"/>
    <n v="260005500"/>
    <x v="1"/>
    <x v="136"/>
    <x v="1"/>
    <s v="Already PO"/>
  </r>
  <r>
    <x v="235"/>
    <x v="0"/>
    <x v="240"/>
    <m/>
    <x v="0"/>
    <m/>
    <x v="2"/>
    <x v="1"/>
    <x v="2"/>
    <n v="270013800"/>
    <x v="1"/>
    <x v="136"/>
    <x v="1"/>
    <s v="Already PO"/>
  </r>
  <r>
    <x v="236"/>
    <x v="0"/>
    <x v="241"/>
    <s v="RC"/>
    <x v="0"/>
    <m/>
    <x v="9"/>
    <x v="0"/>
    <x v="2"/>
    <n v="2000000000"/>
    <x v="5"/>
    <x v="104"/>
    <x v="0"/>
    <m/>
  </r>
  <r>
    <x v="237"/>
    <x v="0"/>
    <x v="242"/>
    <s v="EPL"/>
    <x v="0"/>
    <m/>
    <x v="9"/>
    <x v="1"/>
    <x v="2"/>
    <n v="22500000"/>
    <x v="1"/>
    <x v="112"/>
    <x v="0"/>
    <m/>
  </r>
  <r>
    <x v="237"/>
    <x v="0"/>
    <x v="37"/>
    <s v="RC"/>
    <x v="0"/>
    <m/>
    <x v="9"/>
    <x v="0"/>
    <x v="2"/>
    <n v="701000000"/>
    <x v="6"/>
    <x v="137"/>
    <x v="0"/>
    <m/>
  </r>
  <r>
    <x v="22"/>
    <x v="0"/>
    <x v="243"/>
    <s v="RC"/>
    <x v="0"/>
    <m/>
    <x v="9"/>
    <x v="0"/>
    <x v="2"/>
    <n v="2750000000"/>
    <x v="1"/>
    <x v="138"/>
    <x v="1"/>
    <s v="Already PO"/>
  </r>
  <r>
    <x v="238"/>
    <x v="0"/>
    <x v="244"/>
    <s v="FDN100HV14/RN100HY14"/>
    <x v="0"/>
    <m/>
    <x v="2"/>
    <x v="1"/>
    <x v="2"/>
    <n v="62800000"/>
    <x v="1"/>
    <x v="18"/>
    <x v="1"/>
    <s v="Already PO"/>
  </r>
  <r>
    <x v="239"/>
    <x v="0"/>
    <x v="29"/>
    <s v="DDB100W"/>
    <x v="0"/>
    <m/>
    <x v="7"/>
    <x v="1"/>
    <x v="1"/>
    <n v="196000000"/>
    <x v="1"/>
    <x v="21"/>
    <x v="0"/>
    <s v="PO, Unit Ready July dan akan di install July "/>
  </r>
  <r>
    <x v="240"/>
    <x v="0"/>
    <x v="245"/>
    <s v="DDB450BW"/>
    <x v="0"/>
    <m/>
    <x v="2"/>
    <x v="1"/>
    <x v="2"/>
    <n v="95000000"/>
    <x v="3"/>
    <x v="139"/>
    <x v="0"/>
    <s v="Submit Quo tanggal 14 April 2024 - Project di hold karena perubahan Spek dari user"/>
  </r>
  <r>
    <x v="241"/>
    <x v="0"/>
    <x v="52"/>
    <s v="UAL450D5"/>
    <x v="0"/>
    <m/>
    <x v="3"/>
    <x v="0"/>
    <x v="1"/>
    <n v="598000000"/>
    <x v="0"/>
    <x v="26"/>
    <x v="0"/>
    <m/>
  </r>
  <r>
    <x v="186"/>
    <x v="0"/>
    <x v="246"/>
    <s v="EPL"/>
    <x v="1"/>
    <s v="David"/>
    <x v="11"/>
    <x v="0"/>
    <x v="1"/>
    <n v="1278900000"/>
    <x v="2"/>
    <x v="140"/>
    <x v="0"/>
    <s v="Sudah submit penawaran  2026/03/06 by email"/>
  </r>
  <r>
    <x v="242"/>
    <x v="0"/>
    <x v="29"/>
    <s v="EPL "/>
    <x v="1"/>
    <m/>
    <x v="8"/>
    <x v="1"/>
    <x v="2"/>
    <n v="57000000"/>
    <x v="1"/>
    <x v="38"/>
    <x v="1"/>
    <m/>
  </r>
  <r>
    <x v="243"/>
    <x v="0"/>
    <x v="247"/>
    <s v="AS CSD"/>
    <x v="1"/>
    <m/>
    <x v="11"/>
    <x v="0"/>
    <x v="1"/>
    <n v="1180000000"/>
    <x v="2"/>
    <x v="141"/>
    <x v="0"/>
    <m/>
  </r>
  <r>
    <x v="244"/>
    <x v="0"/>
    <x v="248"/>
    <s v="AL"/>
    <x v="1"/>
    <m/>
    <x v="11"/>
    <x v="0"/>
    <x v="2"/>
    <n v="250000000"/>
    <x v="2"/>
    <x v="67"/>
    <x v="2"/>
    <m/>
  </r>
  <r>
    <x v="245"/>
    <x v="0"/>
    <x v="249"/>
    <s v="AL"/>
    <x v="1"/>
    <m/>
    <x v="11"/>
    <x v="0"/>
    <x v="2"/>
    <n v="278500000"/>
    <x v="2"/>
    <x v="142"/>
    <x v="2"/>
    <m/>
  </r>
  <r>
    <x v="246"/>
    <x v="0"/>
    <x v="250"/>
    <s v="WS CSD"/>
    <x v="1"/>
    <m/>
    <x v="11"/>
    <x v="0"/>
    <x v="2"/>
    <n v="550000000"/>
    <x v="2"/>
    <x v="98"/>
    <x v="0"/>
    <s v="Budgeting untuk penggantian chiller existing, estimasi di bulan Jan 2024"/>
  </r>
  <r>
    <x v="247"/>
    <x v="0"/>
    <x v="251"/>
    <s v="AL"/>
    <x v="1"/>
    <m/>
    <x v="11"/>
    <x v="0"/>
    <x v="2"/>
    <n v="207000000"/>
    <x v="2"/>
    <x v="98"/>
    <x v="0"/>
    <s v="Competitor Midea, Air Cooled Scroll Chiller 130 kW with Shell and Tube Evaporator"/>
  </r>
  <r>
    <x v="65"/>
    <x v="0"/>
    <x v="252"/>
    <s v="AL"/>
    <x v="1"/>
    <m/>
    <x v="11"/>
    <x v="1"/>
    <x v="2"/>
    <n v="3000000000"/>
    <x v="2"/>
    <x v="67"/>
    <x v="1"/>
    <m/>
  </r>
  <r>
    <x v="248"/>
    <x v="0"/>
    <x v="137"/>
    <s v="AHU STD"/>
    <x v="1"/>
    <m/>
    <x v="11"/>
    <x v="0"/>
    <x v="2"/>
    <n v="160000000"/>
    <x v="2"/>
    <x v="12"/>
    <x v="0"/>
    <m/>
  </r>
  <r>
    <x v="249"/>
    <x v="0"/>
    <x v="201"/>
    <s v="AL"/>
    <x v="1"/>
    <m/>
    <x v="11"/>
    <x v="0"/>
    <x v="2"/>
    <n v="110000000"/>
    <x v="2"/>
    <x v="143"/>
    <x v="2"/>
    <m/>
  </r>
  <r>
    <x v="250"/>
    <x v="0"/>
    <x v="201"/>
    <s v="AL"/>
    <x v="1"/>
    <m/>
    <x v="11"/>
    <x v="0"/>
    <x v="2"/>
    <n v="59000000"/>
    <x v="2"/>
    <x v="44"/>
    <x v="2"/>
    <m/>
  </r>
  <r>
    <x v="251"/>
    <x v="0"/>
    <x v="253"/>
    <s v="WC CSD"/>
    <x v="1"/>
    <m/>
    <x v="11"/>
    <x v="0"/>
    <x v="2"/>
    <n v="2000000000"/>
    <x v="2"/>
    <x v="7"/>
    <x v="0"/>
    <m/>
  </r>
  <r>
    <x v="252"/>
    <x v="0"/>
    <x v="29"/>
    <m/>
    <x v="1"/>
    <m/>
    <x v="8"/>
    <x v="1"/>
    <x v="4"/>
    <n v="302000000"/>
    <x v="1"/>
    <x v="38"/>
    <x v="0"/>
    <m/>
  </r>
  <r>
    <x v="253"/>
    <x v="0"/>
    <x v="237"/>
    <s v="RC- UAL340D5"/>
    <x v="0"/>
    <m/>
    <x v="2"/>
    <x v="0"/>
    <x v="2"/>
    <n v="220000000"/>
    <x v="2"/>
    <x v="144"/>
    <x v="0"/>
    <s v="Tender - Submit Quo 22-04-2026 ==&gt; Budgeting ulang"/>
  </r>
  <r>
    <x v="254"/>
    <x v="0"/>
    <x v="237"/>
    <s v="RC- 3x UAA105ST3-FBD "/>
    <x v="0"/>
    <m/>
    <x v="2"/>
    <x v="0"/>
    <x v="1"/>
    <n v="1874000000"/>
    <x v="2"/>
    <x v="145"/>
    <x v="0"/>
    <s v="Budgeting - Submit 23-04-2026"/>
  </r>
  <r>
    <x v="255"/>
    <x v="0"/>
    <x v="254"/>
    <m/>
    <x v="0"/>
    <m/>
    <x v="2"/>
    <x v="1"/>
    <x v="1"/>
    <n v="91900000"/>
    <x v="2"/>
    <x v="16"/>
    <x v="0"/>
    <s v="Tender - Submit Quo 25-04-2026"/>
  </r>
  <r>
    <x v="256"/>
    <x v="0"/>
    <x v="239"/>
    <s v=" - DDM1113_x000a_ - DDB200BW"/>
    <x v="0"/>
    <s v="David"/>
    <x v="2"/>
    <x v="0"/>
    <x v="1"/>
    <n v="241000000"/>
    <x v="1"/>
    <x v="65"/>
    <x v="1"/>
    <s v="Already SO"/>
  </r>
  <r>
    <x v="257"/>
    <x v="0"/>
    <x v="255"/>
    <s v="S2DN200V"/>
    <x v="0"/>
    <m/>
    <x v="2"/>
    <x v="1"/>
    <x v="2"/>
    <n v="293800000"/>
    <x v="0"/>
    <x v="133"/>
    <x v="0"/>
    <s v="Submit Quo tanggal 27 April 2024 ==&gt; Tidak ada update"/>
  </r>
  <r>
    <x v="258"/>
    <x v="0"/>
    <x v="227"/>
    <s v="FWW1200VC"/>
    <x v="0"/>
    <s v="David"/>
    <x v="2"/>
    <x v="1"/>
    <x v="1"/>
    <n v="51000000"/>
    <x v="1"/>
    <x v="40"/>
    <x v="1"/>
    <s v="PO tanggal 08 Mei 2026 - Ready To SO"/>
  </r>
  <r>
    <x v="259"/>
    <x v="0"/>
    <x v="256"/>
    <s v="DDM0610,1114 &amp; UHAS200"/>
    <x v="0"/>
    <m/>
    <x v="2"/>
    <x v="1"/>
    <x v="1"/>
    <n v="740000000"/>
    <x v="1"/>
    <x v="100"/>
    <x v="1"/>
    <s v="PO tanggal 06 Mei 2026 - Ready To SO"/>
  </r>
  <r>
    <x v="260"/>
    <x v="0"/>
    <x v="257"/>
    <s v="DX"/>
    <x v="0"/>
    <m/>
    <x v="7"/>
    <x v="0"/>
    <x v="2"/>
    <n v="110593500"/>
    <x v="1"/>
    <x v="9"/>
    <x v="0"/>
    <s v="PO"/>
  </r>
  <r>
    <x v="261"/>
    <x v="0"/>
    <x v="258"/>
    <s v="DDW040DE"/>
    <x v="0"/>
    <m/>
    <x v="7"/>
    <x v="0"/>
    <x v="1"/>
    <n v="170000000"/>
    <x v="0"/>
    <x v="21"/>
    <x v="0"/>
    <s v="pakai system VRV dan pemenang vendor nya Roda Mas"/>
  </r>
  <r>
    <x v="262"/>
    <x v="0"/>
    <x v="259"/>
    <m/>
    <x v="0"/>
    <m/>
    <x v="9"/>
    <x v="0"/>
    <x v="2"/>
    <n v="2400000000"/>
    <x v="2"/>
    <x v="13"/>
    <x v="0"/>
    <s v="Budgeting"/>
  </r>
  <r>
    <x v="263"/>
    <x v="0"/>
    <x v="260"/>
    <m/>
    <x v="0"/>
    <m/>
    <x v="9"/>
    <x v="1"/>
    <x v="2"/>
    <n v="2000000000"/>
    <x v="2"/>
    <x v="13"/>
    <x v="0"/>
    <s v="Budgeting"/>
  </r>
  <r>
    <x v="241"/>
    <x v="0"/>
    <x v="6"/>
    <s v="PHE-Alfa laval PHE type T8-BFM"/>
    <x v="0"/>
    <m/>
    <x v="3"/>
    <x v="1"/>
    <x v="1"/>
    <n v="100800000"/>
    <x v="0"/>
    <x v="9"/>
    <x v="0"/>
    <m/>
  </r>
  <r>
    <x v="264"/>
    <x v="0"/>
    <x v="261"/>
    <m/>
    <x v="0"/>
    <s v="David"/>
    <x v="7"/>
    <x v="0"/>
    <x v="0"/>
    <n v="146000000"/>
    <x v="1"/>
    <x v="9"/>
    <x v="0"/>
    <s v="PO"/>
  </r>
  <r>
    <x v="265"/>
    <x v="0"/>
    <x v="262"/>
    <m/>
    <x v="0"/>
    <m/>
    <x v="7"/>
    <x v="0"/>
    <x v="1"/>
    <n v="834000000"/>
    <x v="0"/>
    <x v="26"/>
    <x v="0"/>
    <s v="Budgeting"/>
  </r>
  <r>
    <x v="266"/>
    <x v="0"/>
    <x v="52"/>
    <s v="EWAH300"/>
    <x v="0"/>
    <m/>
    <x v="5"/>
    <x v="0"/>
    <x v="2"/>
    <n v="1300000000"/>
    <x v="2"/>
    <x v="146"/>
    <x v="0"/>
    <s v="Submit Quo"/>
  </r>
  <r>
    <x v="267"/>
    <x v="0"/>
    <x v="52"/>
    <s v="EWAH350"/>
    <x v="0"/>
    <m/>
    <x v="5"/>
    <x v="0"/>
    <x v="2"/>
    <n v="1500000000"/>
    <x v="2"/>
    <x v="146"/>
    <x v="0"/>
    <s v="Submit Quo"/>
  </r>
  <r>
    <x v="268"/>
    <x v="0"/>
    <x v="52"/>
    <s v="UAA150"/>
    <x v="0"/>
    <m/>
    <x v="5"/>
    <x v="0"/>
    <x v="2"/>
    <n v="1200000000"/>
    <x v="2"/>
    <x v="146"/>
    <x v="0"/>
    <s v="Submit Quo"/>
  </r>
  <r>
    <x v="269"/>
    <x v="0"/>
    <x v="52"/>
    <s v="UAL230D5"/>
    <x v="0"/>
    <m/>
    <x v="5"/>
    <x v="0"/>
    <x v="2"/>
    <n v="675000000"/>
    <x v="2"/>
    <x v="13"/>
    <x v="0"/>
    <s v="Submit Quo"/>
  </r>
  <r>
    <x v="270"/>
    <x v="0"/>
    <x v="263"/>
    <s v="ZUWV"/>
    <x v="0"/>
    <m/>
    <x v="5"/>
    <x v="0"/>
    <x v="2"/>
    <n v="5945402000"/>
    <x v="1"/>
    <x v="42"/>
    <x v="0"/>
    <m/>
  </r>
  <r>
    <x v="270"/>
    <x v="0"/>
    <x v="264"/>
    <m/>
    <x v="0"/>
    <m/>
    <x v="5"/>
    <x v="1"/>
    <x v="2"/>
    <n v="200000000"/>
    <x v="1"/>
    <x v="26"/>
    <x v="0"/>
    <s v="Submit Quo"/>
  </r>
  <r>
    <x v="271"/>
    <x v="0"/>
    <x v="265"/>
    <s v="DX"/>
    <x v="0"/>
    <m/>
    <x v="7"/>
    <x v="0"/>
    <x v="1"/>
    <n v="107000000"/>
    <x v="0"/>
    <x v="42"/>
    <x v="0"/>
    <s v="pakai brand lokal karena budged under 80 jt"/>
  </r>
  <r>
    <x v="272"/>
    <x v="0"/>
    <x v="266"/>
    <s v="Sensor AHU"/>
    <x v="0"/>
    <m/>
    <x v="2"/>
    <x v="6"/>
    <x v="2"/>
    <n v="112000000"/>
    <x v="1"/>
    <x v="28"/>
    <x v="1"/>
    <s v="PO tanggal 13 Mei 2026 - Proses To SO (akan dikonfrimasi terlebih dahulu ke Taiyo Sinar karena antara penawran dan PO Berbeda)"/>
  </r>
  <r>
    <x v="273"/>
    <x v="0"/>
    <x v="254"/>
    <s v="Split Wall 2 Pk"/>
    <x v="0"/>
    <m/>
    <x v="2"/>
    <x v="1"/>
    <x v="2"/>
    <n v="121000000"/>
    <x v="0"/>
    <x v="126"/>
    <x v="0"/>
    <s v="Submit Quo tanggal 14 May 2026 ==&gt; LOSE kalah harga dengan competitor"/>
  </r>
  <r>
    <x v="274"/>
    <x v="0"/>
    <x v="266"/>
    <s v="Maruto"/>
    <x v="0"/>
    <m/>
    <x v="2"/>
    <x v="6"/>
    <x v="1"/>
    <n v="590000000"/>
    <x v="1"/>
    <x v="54"/>
    <x v="1"/>
    <s v="User Revisi Budged dan Info dari user budeg sudah di revisi "/>
  </r>
  <r>
    <x v="275"/>
    <x v="0"/>
    <x v="267"/>
    <s v="UAL450D5"/>
    <x v="0"/>
    <s v="David"/>
    <x v="2"/>
    <x v="1"/>
    <x v="2"/>
    <n v="180000000"/>
    <x v="1"/>
    <x v="147"/>
    <x v="1"/>
    <m/>
  </r>
  <r>
    <x v="276"/>
    <x v="0"/>
    <x v="268"/>
    <m/>
    <x v="0"/>
    <m/>
    <x v="2"/>
    <x v="1"/>
    <x v="1"/>
    <n v="123650000"/>
    <x v="1"/>
    <x v="42"/>
    <x v="0"/>
    <m/>
  </r>
  <r>
    <x v="34"/>
    <x v="0"/>
    <x v="269"/>
    <s v="Inverter Mitsubishi 55kW"/>
    <x v="0"/>
    <m/>
    <x v="2"/>
    <x v="1"/>
    <x v="1"/>
    <n v="135000000"/>
    <x v="1"/>
    <x v="148"/>
    <x v="1"/>
    <s v="Nego  tanggal 5 Juni 2025"/>
  </r>
  <r>
    <x v="277"/>
    <x v="0"/>
    <x v="237"/>
    <s v="UAA348ST3-FBD"/>
    <x v="0"/>
    <m/>
    <x v="2"/>
    <x v="0"/>
    <x v="1"/>
    <n v="2000000000"/>
    <x v="2"/>
    <x v="133"/>
    <x v="0"/>
    <s v="Submit tanggal 19 May. Kompetiror Daikin, Hitachi, York "/>
  </r>
  <r>
    <x v="278"/>
    <x v="0"/>
    <x v="256"/>
    <s v="UAL450 &amp; DDM1619"/>
    <x v="0"/>
    <m/>
    <x v="2"/>
    <x v="0"/>
    <x v="2"/>
    <n v="2023000000"/>
    <x v="2"/>
    <x v="149"/>
    <x v="0"/>
    <s v="Submit Qou tanggal 15 April , Masih tahap Awal perencanaan dan budgeting , menunggu undangan klarifikasi design dan harga dari CCEP"/>
  </r>
  <r>
    <x v="279"/>
    <x v="0"/>
    <x v="270"/>
    <m/>
    <x v="0"/>
    <m/>
    <x v="2"/>
    <x v="1"/>
    <x v="2"/>
    <n v="4954600000"/>
    <x v="1"/>
    <x v="150"/>
    <x v="1"/>
    <s v="PO tanggal 19 Juni 2026 "/>
  </r>
  <r>
    <x v="280"/>
    <x v="0"/>
    <x v="237"/>
    <s v="UAL 340D5"/>
    <x v="0"/>
    <m/>
    <x v="2"/>
    <x v="0"/>
    <x v="2"/>
    <n v="191250000"/>
    <x v="1"/>
    <x v="23"/>
    <x v="1"/>
    <s v="PO tanggal 25 Juni 2026 "/>
  </r>
  <r>
    <x v="281"/>
    <x v="0"/>
    <x v="239"/>
    <s v="DDW120DB"/>
    <x v="0"/>
    <m/>
    <x v="2"/>
    <x v="0"/>
    <x v="1"/>
    <n v="60000000"/>
    <x v="1"/>
    <x v="11"/>
    <x v="1"/>
    <s v="PO tanggal 17 Juni 2026 "/>
  </r>
  <r>
    <x v="282"/>
    <x v="0"/>
    <x v="255"/>
    <s v="VES"/>
    <x v="0"/>
    <m/>
    <x v="1"/>
    <x v="2"/>
    <x v="0"/>
    <n v="267807600"/>
    <x v="6"/>
    <x v="16"/>
    <x v="0"/>
    <s v="Negosiasi budged owner 194 jt, negosiasi internal dengan Kang Dede dan Harsindo"/>
  </r>
  <r>
    <x v="283"/>
    <x v="0"/>
    <x v="271"/>
    <s v="DX"/>
    <x v="0"/>
    <m/>
    <x v="7"/>
    <x v="1"/>
    <x v="1"/>
    <n v="169190000"/>
    <x v="2"/>
    <x v="71"/>
    <x v="0"/>
    <s v="Quote Submitted"/>
  </r>
  <r>
    <x v="284"/>
    <x v="0"/>
    <x v="8"/>
    <s v="Asessment Hall Room Hotel Mercure Jakarta Gatot Subroto"/>
    <x v="0"/>
    <m/>
    <x v="3"/>
    <x v="2"/>
    <x v="1"/>
    <n v="25000000"/>
    <x v="0"/>
    <x v="21"/>
    <x v="0"/>
    <m/>
  </r>
  <r>
    <x v="285"/>
    <x v="0"/>
    <x v="272"/>
    <m/>
    <x v="0"/>
    <m/>
    <x v="3"/>
    <x v="1"/>
    <x v="1"/>
    <n v="516000000"/>
    <x v="0"/>
    <x v="26"/>
    <x v="0"/>
    <s v="Submit Final Quotation 13 Maret 2026"/>
  </r>
  <r>
    <x v="286"/>
    <x v="0"/>
    <x v="273"/>
    <s v="VRV"/>
    <x v="0"/>
    <m/>
    <x v="3"/>
    <x v="1"/>
    <x v="1"/>
    <n v="132762350"/>
    <x v="0"/>
    <x v="9"/>
    <x v="0"/>
    <m/>
  </r>
  <r>
    <x v="287"/>
    <x v="0"/>
    <x v="274"/>
    <m/>
    <x v="0"/>
    <m/>
    <x v="3"/>
    <x v="1"/>
    <x v="1"/>
    <n v="250870400"/>
    <x v="0"/>
    <x v="42"/>
    <x v="0"/>
    <m/>
  </r>
  <r>
    <x v="55"/>
    <x v="0"/>
    <x v="6"/>
    <m/>
    <x v="1"/>
    <m/>
    <x v="10"/>
    <x v="4"/>
    <x v="0"/>
    <n v="1800000000"/>
    <x v="2"/>
    <x v="98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48DA9-956F-48AD-8335-55CA94A10DF5}" name="PivotTable3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12" firstHeaderRow="1" firstDataRow="4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axis="axisRow" showAll="0">
      <items count="9">
        <item x="1"/>
        <item x="6"/>
        <item x="4"/>
        <item x="5"/>
        <item x="2"/>
        <item h="1" x="3"/>
        <item h="1" x="0"/>
        <item h="1" x="7"/>
        <item t="default"/>
      </items>
    </pivotField>
    <pivotField axis="axisCol" numFmtId="178" showAll="0">
      <items count="152">
        <item x="131"/>
        <item x="41"/>
        <item x="27"/>
        <item x="46"/>
        <item x="17"/>
        <item x="96"/>
        <item x="24"/>
        <item x="94"/>
        <item x="47"/>
        <item x="39"/>
        <item x="102"/>
        <item x="25"/>
        <item x="95"/>
        <item x="97"/>
        <item x="34"/>
        <item x="93"/>
        <item x="6"/>
        <item x="86"/>
        <item x="55"/>
        <item x="32"/>
        <item x="1"/>
        <item x="8"/>
        <item x="3"/>
        <item x="88"/>
        <item x="0"/>
        <item x="134"/>
        <item x="92"/>
        <item x="135"/>
        <item x="4"/>
        <item x="73"/>
        <item x="80"/>
        <item x="35"/>
        <item x="68"/>
        <item x="10"/>
        <item x="79"/>
        <item x="136"/>
        <item x="36"/>
        <item x="31"/>
        <item x="138"/>
        <item x="45"/>
        <item x="18"/>
        <item x="20"/>
        <item x="21"/>
        <item x="62"/>
        <item x="51"/>
        <item x="58"/>
        <item x="59"/>
        <item x="65"/>
        <item x="72"/>
        <item x="115"/>
        <item x="9"/>
        <item x="37"/>
        <item x="100"/>
        <item x="61"/>
        <item x="40"/>
        <item x="112"/>
        <item x="5"/>
        <item x="87"/>
        <item x="28"/>
        <item x="30"/>
        <item x="2"/>
        <item x="60"/>
        <item x="29"/>
        <item x="101"/>
        <item x="38"/>
        <item x="26"/>
        <item x="147"/>
        <item x="128"/>
        <item x="108"/>
        <item x="14"/>
        <item x="66"/>
        <item x="118"/>
        <item x="11"/>
        <item x="150"/>
        <item x="23"/>
        <item x="64"/>
        <item x="129"/>
        <item x="103"/>
        <item x="42"/>
        <item x="81"/>
        <item x="91"/>
        <item x="83"/>
        <item x="137"/>
        <item x="15"/>
        <item x="139"/>
        <item x="69"/>
        <item x="84"/>
        <item x="82"/>
        <item x="71"/>
        <item x="105"/>
        <item x="54"/>
        <item x="148"/>
        <item x="16"/>
        <item x="126"/>
        <item x="74"/>
        <item x="33"/>
        <item x="99"/>
        <item x="143"/>
        <item x="75"/>
        <item x="85"/>
        <item x="49"/>
        <item x="77"/>
        <item x="109"/>
        <item x="121"/>
        <item x="56"/>
        <item x="146"/>
        <item x="132"/>
        <item x="133"/>
        <item x="13"/>
        <item x="50"/>
        <item x="53"/>
        <item x="116"/>
        <item x="144"/>
        <item x="114"/>
        <item x="22"/>
        <item x="125"/>
        <item x="149"/>
        <item x="89"/>
        <item x="19"/>
        <item x="57"/>
        <item x="98"/>
        <item x="76"/>
        <item x="12"/>
        <item x="90"/>
        <item x="119"/>
        <item x="145"/>
        <item x="44"/>
        <item x="7"/>
        <item x="123"/>
        <item x="67"/>
        <item x="142"/>
        <item x="124"/>
        <item x="120"/>
        <item x="43"/>
        <item x="104"/>
        <item x="117"/>
        <item x="141"/>
        <item x="127"/>
        <item x="140"/>
        <item x="70"/>
        <item x="78"/>
        <item x="122"/>
        <item x="110"/>
        <item x="111"/>
        <item x="106"/>
        <item x="113"/>
        <item x="107"/>
        <item x="52"/>
        <item x="130"/>
        <item x="48"/>
        <item x="63"/>
        <item t="default"/>
      </items>
    </pivotField>
    <pivotField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sd="0" x="5"/>
        <item x="0"/>
        <item t="default"/>
      </items>
    </pivotField>
    <pivotField axis="axisCol" showAll="0" defaultSubtotal="0">
      <items count="5">
        <item x="1"/>
        <item x="2"/>
        <item x="3"/>
        <item sd="0" x="4"/>
        <item x="0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16"/>
    <field x="14"/>
    <field x="11"/>
  </colFields>
  <colItems count="17">
    <i>
      <x/>
      <x v="11"/>
    </i>
    <i r="1">
      <x v="12"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3"/>
    </i>
    <i t="grand">
      <x/>
    </i>
  </colItems>
  <dataFields count="1">
    <dataField name="Sum of Quotation" fld="9" baseField="0" baseItem="0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948971-C711-4603-B323-7C199D9B91EF}" name="PivotTable4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F54" firstHeaderRow="1" firstDataRow="4" firstDataCol="1" rowPageCount="2" colPageCount="1"/>
  <pivotFields count="17">
    <pivotField axis="axisRow" showAll="0">
      <items count="289">
        <item x="189"/>
        <item x="269"/>
        <item x="82"/>
        <item x="66"/>
        <item x="74"/>
        <item x="38"/>
        <item x="166"/>
        <item x="56"/>
        <item x="54"/>
        <item x="165"/>
        <item x="167"/>
        <item x="19"/>
        <item x="151"/>
        <item x="43"/>
        <item x="37"/>
        <item x="86"/>
        <item x="113"/>
        <item x="60"/>
        <item x="84"/>
        <item x="146"/>
        <item x="159"/>
        <item x="271"/>
        <item x="249"/>
        <item x="268"/>
        <item x="36"/>
        <item x="24"/>
        <item x="81"/>
        <item x="93"/>
        <item x="94"/>
        <item x="52"/>
        <item x="221"/>
        <item x="243"/>
        <item x="73"/>
        <item x="134"/>
        <item x="131"/>
        <item x="201"/>
        <item x="41"/>
        <item x="258"/>
        <item x="140"/>
        <item x="174"/>
        <item x="124"/>
        <item x="99"/>
        <item x="95"/>
        <item x="240"/>
        <item x="182"/>
        <item x="173"/>
        <item x="45"/>
        <item x="27"/>
        <item x="111"/>
        <item x="88"/>
        <item x="238"/>
        <item x="2"/>
        <item x="254"/>
        <item x="154"/>
        <item x="46"/>
        <item x="3"/>
        <item x="63"/>
        <item x="282"/>
        <item x="164"/>
        <item x="163"/>
        <item x="207"/>
        <item x="44"/>
        <item x="153"/>
        <item x="212"/>
        <item x="152"/>
        <item x="59"/>
        <item x="176"/>
        <item x="49"/>
        <item x="179"/>
        <item x="223"/>
        <item x="58"/>
        <item x="241"/>
        <item x="252"/>
        <item x="185"/>
        <item x="48"/>
        <item x="156"/>
        <item x="265"/>
        <item x="115"/>
        <item x="209"/>
        <item x="69"/>
        <item x="116"/>
        <item x="28"/>
        <item x="237"/>
        <item x="112"/>
        <item x="277"/>
        <item x="108"/>
        <item x="200"/>
        <item x="135"/>
        <item x="236"/>
        <item x="199"/>
        <item x="286"/>
        <item x="216"/>
        <item x="147"/>
        <item x="22"/>
        <item x="239"/>
        <item x="17"/>
        <item x="235"/>
        <item x="33"/>
        <item x="7"/>
        <item x="79"/>
        <item x="90"/>
        <item x="80"/>
        <item x="202"/>
        <item x="1"/>
        <item x="120"/>
        <item x="232"/>
        <item x="253"/>
        <item x="256"/>
        <item x="255"/>
        <item x="257"/>
        <item x="122"/>
        <item x="171"/>
        <item x="247"/>
        <item x="170"/>
        <item x="157"/>
        <item x="155"/>
        <item x="143"/>
        <item x="137"/>
        <item x="132"/>
        <item x="188"/>
        <item x="104"/>
        <item x="224"/>
        <item x="175"/>
        <item x="107"/>
        <item x="138"/>
        <item x="139"/>
        <item x="169"/>
        <item x="246"/>
        <item x="181"/>
        <item x="260"/>
        <item x="136"/>
        <item x="76"/>
        <item x="129"/>
        <item x="128"/>
        <item x="130"/>
        <item x="142"/>
        <item x="51"/>
        <item x="263"/>
        <item x="262"/>
        <item x="178"/>
        <item x="125"/>
        <item x="133"/>
        <item x="53"/>
        <item x="32"/>
        <item x="203"/>
        <item x="213"/>
        <item x="70"/>
        <item x="83"/>
        <item x="244"/>
        <item x="65"/>
        <item x="127"/>
        <item x="126"/>
        <item x="91"/>
        <item x="217"/>
        <item x="284"/>
        <item x="261"/>
        <item x="35"/>
        <item x="229"/>
        <item x="123"/>
        <item x="245"/>
        <item x="144"/>
        <item x="251"/>
        <item x="283"/>
        <item x="103"/>
        <item x="158"/>
        <item x="119"/>
        <item x="96"/>
        <item x="40"/>
        <item x="267"/>
        <item x="266"/>
        <item x="214"/>
        <item x="172"/>
        <item x="225"/>
        <item x="248"/>
        <item x="141"/>
        <item x="121"/>
        <item x="110"/>
        <item x="5"/>
        <item x="186"/>
        <item x="78"/>
        <item x="196"/>
        <item x="259"/>
        <item x="6"/>
        <item x="20"/>
        <item x="177"/>
        <item x="184"/>
        <item x="197"/>
        <item x="273"/>
        <item x="278"/>
        <item x="64"/>
        <item x="23"/>
        <item x="31"/>
        <item x="190"/>
        <item x="191"/>
        <item x="192"/>
        <item x="12"/>
        <item x="8"/>
        <item x="118"/>
        <item x="109"/>
        <item x="4"/>
        <item x="264"/>
        <item x="180"/>
        <item x="145"/>
        <item x="89"/>
        <item x="198"/>
        <item x="101"/>
        <item x="193"/>
        <item x="226"/>
        <item x="194"/>
        <item x="77"/>
        <item x="227"/>
        <item x="11"/>
        <item x="160"/>
        <item x="71"/>
        <item x="102"/>
        <item x="92"/>
        <item x="276"/>
        <item x="204"/>
        <item x="18"/>
        <item x="187"/>
        <item x="208"/>
        <item x="106"/>
        <item x="195"/>
        <item x="98"/>
        <item x="275"/>
        <item x="14"/>
        <item x="228"/>
        <item x="34"/>
        <item x="274"/>
        <item x="16"/>
        <item x="272"/>
        <item x="10"/>
        <item x="279"/>
        <item x="9"/>
        <item x="97"/>
        <item x="183"/>
        <item x="230"/>
        <item x="15"/>
        <item x="100"/>
        <item x="149"/>
        <item x="148"/>
        <item x="42"/>
        <item x="168"/>
        <item x="0"/>
        <item x="285"/>
        <item x="61"/>
        <item x="219"/>
        <item x="26"/>
        <item x="114"/>
        <item x="50"/>
        <item x="55"/>
        <item x="211"/>
        <item x="68"/>
        <item x="117"/>
        <item x="222"/>
        <item x="67"/>
        <item x="161"/>
        <item x="270"/>
        <item x="218"/>
        <item x="47"/>
        <item x="215"/>
        <item x="220"/>
        <item x="21"/>
        <item x="150"/>
        <item x="39"/>
        <item x="25"/>
        <item x="162"/>
        <item x="105"/>
        <item x="231"/>
        <item x="29"/>
        <item x="30"/>
        <item x="210"/>
        <item x="205"/>
        <item x="87"/>
        <item x="85"/>
        <item x="287"/>
        <item x="206"/>
        <item x="233"/>
        <item x="250"/>
        <item x="57"/>
        <item x="13"/>
        <item x="242"/>
        <item x="75"/>
        <item x="72"/>
        <item x="281"/>
        <item x="62"/>
        <item x="234"/>
        <item x="280"/>
        <item t="default"/>
      </items>
    </pivotField>
    <pivotField showAll="0">
      <items count="24">
        <item x="14"/>
        <item x="3"/>
        <item x="1"/>
        <item x="7"/>
        <item x="17"/>
        <item x="21"/>
        <item x="8"/>
        <item x="10"/>
        <item x="2"/>
        <item x="4"/>
        <item x="5"/>
        <item x="16"/>
        <item x="13"/>
        <item x="22"/>
        <item x="6"/>
        <item x="11"/>
        <item x="20"/>
        <item x="19"/>
        <item x="15"/>
        <item x="18"/>
        <item x="9"/>
        <item x="12"/>
        <item x="0"/>
        <item t="default"/>
      </items>
    </pivotField>
    <pivotField axis="axisRow" showAll="0">
      <items count="276">
        <item x="195"/>
        <item x="170"/>
        <item x="104"/>
        <item x="106"/>
        <item x="107"/>
        <item x="68"/>
        <item x="70"/>
        <item x="91"/>
        <item x="174"/>
        <item x="97"/>
        <item x="229"/>
        <item x="77"/>
        <item x="71"/>
        <item x="4"/>
        <item x="5"/>
        <item x="75"/>
        <item x="14"/>
        <item x="191"/>
        <item x="44"/>
        <item x="43"/>
        <item x="96"/>
        <item x="99"/>
        <item x="39"/>
        <item x="76"/>
        <item x="203"/>
        <item x="233"/>
        <item x="6"/>
        <item x="29"/>
        <item x="254"/>
        <item x="211"/>
        <item x="221"/>
        <item x="220"/>
        <item x="238"/>
        <item x="266"/>
        <item x="218"/>
        <item x="240"/>
        <item x="212"/>
        <item x="269"/>
        <item x="214"/>
        <item x="255"/>
        <item x="219"/>
        <item x="223"/>
        <item x="48"/>
        <item x="217"/>
        <item x="270"/>
        <item x="133"/>
        <item x="57"/>
        <item x="82"/>
        <item x="260"/>
        <item x="21"/>
        <item x="64"/>
        <item x="58"/>
        <item x="59"/>
        <item x="60"/>
        <item x="61"/>
        <item x="62"/>
        <item x="63"/>
        <item x="249"/>
        <item x="145"/>
        <item x="27"/>
        <item x="184"/>
        <item x="85"/>
        <item x="120"/>
        <item x="136"/>
        <item x="128"/>
        <item x="127"/>
        <item x="142"/>
        <item x="94"/>
        <item x="252"/>
        <item x="268"/>
        <item x="222"/>
        <item x="215"/>
        <item x="213"/>
        <item x="22"/>
        <item x="53"/>
        <item x="54"/>
        <item x="208"/>
        <item x="205"/>
        <item x="273"/>
        <item x="207"/>
        <item x="206"/>
        <item x="163"/>
        <item x="274"/>
        <item x="242"/>
        <item x="23"/>
        <item x="45"/>
        <item x="101"/>
        <item x="88"/>
        <item x="92"/>
        <item x="204"/>
        <item x="182"/>
        <item x="185"/>
        <item x="113"/>
        <item x="38"/>
        <item x="69"/>
        <item x="108"/>
        <item x="225"/>
        <item x="209"/>
        <item x="65"/>
        <item x="93"/>
        <item x="264"/>
        <item x="196"/>
        <item x="3"/>
        <item x="114"/>
        <item x="55"/>
        <item x="103"/>
        <item x="40"/>
        <item x="110"/>
        <item x="42"/>
        <item x="10"/>
        <item x="111"/>
        <item x="73"/>
        <item x="47"/>
        <item x="200"/>
        <item x="33"/>
        <item x="117"/>
        <item x="80"/>
        <item x="147"/>
        <item x="17"/>
        <item x="2"/>
        <item x="231"/>
        <item x="230"/>
        <item x="109"/>
        <item x="90"/>
        <item x="162"/>
        <item x="224"/>
        <item x="199"/>
        <item x="180"/>
        <item x="166"/>
        <item x="246"/>
        <item x="11"/>
        <item x="157"/>
        <item x="165"/>
        <item x="167"/>
        <item x="168"/>
        <item x="186"/>
        <item x="112"/>
        <item x="18"/>
        <item x="228"/>
        <item x="20"/>
        <item x="24"/>
        <item x="26"/>
        <item x="164"/>
        <item x="56"/>
        <item x="216"/>
        <item x="105"/>
        <item x="52"/>
        <item x="95"/>
        <item x="239"/>
        <item x="226"/>
        <item x="237"/>
        <item x="227"/>
        <item x="235"/>
        <item x="245"/>
        <item x="257"/>
        <item x="265"/>
        <item x="236"/>
        <item x="78"/>
        <item x="258"/>
        <item x="151"/>
        <item x="86"/>
        <item x="259"/>
        <item x="256"/>
        <item x="250"/>
        <item x="153"/>
        <item x="247"/>
        <item x="150"/>
        <item x="81"/>
        <item x="83"/>
        <item x="131"/>
        <item x="152"/>
        <item x="123"/>
        <item x="89"/>
        <item x="137"/>
        <item x="202"/>
        <item x="141"/>
        <item x="126"/>
        <item x="139"/>
        <item x="134"/>
        <item x="149"/>
        <item x="272"/>
        <item x="130"/>
        <item x="129"/>
        <item x="148"/>
        <item x="87"/>
        <item x="160"/>
        <item x="263"/>
        <item x="253"/>
        <item x="124"/>
        <item x="143"/>
        <item x="67"/>
        <item x="181"/>
        <item x="118"/>
        <item x="210"/>
        <item x="171"/>
        <item x="193"/>
        <item x="188"/>
        <item x="178"/>
        <item x="31"/>
        <item x="194"/>
        <item x="12"/>
        <item x="192"/>
        <item x="197"/>
        <item x="100"/>
        <item x="25"/>
        <item x="13"/>
        <item x="41"/>
        <item x="267"/>
        <item x="34"/>
        <item x="177"/>
        <item x="187"/>
        <item x="146"/>
        <item x="9"/>
        <item x="175"/>
        <item x="28"/>
        <item x="7"/>
        <item x="16"/>
        <item x="169"/>
        <item x="183"/>
        <item x="190"/>
        <item x="189"/>
        <item x="15"/>
        <item x="121"/>
        <item x="84"/>
        <item x="125"/>
        <item x="0"/>
        <item x="156"/>
        <item x="140"/>
        <item x="201"/>
        <item x="248"/>
        <item x="138"/>
        <item x="144"/>
        <item x="161"/>
        <item x="251"/>
        <item x="135"/>
        <item x="132"/>
        <item x="122"/>
        <item x="234"/>
        <item x="19"/>
        <item x="176"/>
        <item x="173"/>
        <item x="155"/>
        <item x="154"/>
        <item x="261"/>
        <item x="262"/>
        <item x="102"/>
        <item x="51"/>
        <item x="179"/>
        <item x="66"/>
        <item x="244"/>
        <item x="46"/>
        <item x="232"/>
        <item x="74"/>
        <item x="243"/>
        <item x="30"/>
        <item x="241"/>
        <item x="32"/>
        <item x="50"/>
        <item x="98"/>
        <item x="115"/>
        <item x="35"/>
        <item x="119"/>
        <item x="36"/>
        <item x="37"/>
        <item x="158"/>
        <item x="172"/>
        <item x="116"/>
        <item x="198"/>
        <item x="79"/>
        <item x="271"/>
        <item x="1"/>
        <item x="8"/>
        <item x="159"/>
        <item x="49"/>
        <item x="72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Row" showAll="0">
      <items count="13">
        <item x="2"/>
        <item x="7"/>
        <item x="3"/>
        <item x="1"/>
        <item x="9"/>
        <item x="6"/>
        <item x="11"/>
        <item x="0"/>
        <item x="5"/>
        <item x="8"/>
        <item x="10"/>
        <item x="4"/>
        <item t="default"/>
      </items>
    </pivotField>
    <pivotField axis="axisRow" showAll="0">
      <items count="8">
        <item x="6"/>
        <item x="5"/>
        <item x="1"/>
        <item x="3"/>
        <item x="0"/>
        <item x="2"/>
        <item x="4"/>
        <item t="default"/>
      </items>
    </pivotField>
    <pivotField showAll="0"/>
    <pivotField dataField="1" numFmtId="177" showAll="0"/>
    <pivotField axis="axisPage" multipleItemSelectionAllowed="1" showAll="0">
      <items count="9">
        <item h="1" x="1"/>
        <item x="6"/>
        <item x="4"/>
        <item x="5"/>
        <item x="2"/>
        <item h="1" x="3"/>
        <item h="1" x="0"/>
        <item h="1" x="7"/>
        <item t="default"/>
      </items>
    </pivotField>
    <pivotField axis="axisCol" numFmtId="178" showAll="0">
      <items count="152">
        <item x="131"/>
        <item x="41"/>
        <item x="27"/>
        <item x="46"/>
        <item x="17"/>
        <item x="96"/>
        <item x="24"/>
        <item x="94"/>
        <item x="47"/>
        <item x="39"/>
        <item x="102"/>
        <item x="25"/>
        <item x="95"/>
        <item x="97"/>
        <item x="34"/>
        <item x="93"/>
        <item x="6"/>
        <item x="86"/>
        <item x="55"/>
        <item x="32"/>
        <item x="1"/>
        <item x="8"/>
        <item x="3"/>
        <item x="88"/>
        <item x="0"/>
        <item x="134"/>
        <item x="92"/>
        <item x="135"/>
        <item x="4"/>
        <item x="73"/>
        <item x="80"/>
        <item x="35"/>
        <item x="68"/>
        <item x="10"/>
        <item x="79"/>
        <item x="136"/>
        <item x="36"/>
        <item x="31"/>
        <item x="138"/>
        <item x="45"/>
        <item x="18"/>
        <item x="20"/>
        <item x="21"/>
        <item x="62"/>
        <item x="51"/>
        <item x="58"/>
        <item x="59"/>
        <item x="65"/>
        <item x="72"/>
        <item x="115"/>
        <item x="9"/>
        <item x="37"/>
        <item x="100"/>
        <item x="61"/>
        <item x="40"/>
        <item x="112"/>
        <item x="5"/>
        <item x="87"/>
        <item x="28"/>
        <item x="30"/>
        <item x="2"/>
        <item x="60"/>
        <item x="29"/>
        <item x="101"/>
        <item x="38"/>
        <item x="26"/>
        <item x="147"/>
        <item x="128"/>
        <item x="108"/>
        <item x="14"/>
        <item x="66"/>
        <item x="118"/>
        <item x="11"/>
        <item x="150"/>
        <item x="23"/>
        <item x="64"/>
        <item x="129"/>
        <item x="103"/>
        <item x="42"/>
        <item x="81"/>
        <item x="91"/>
        <item x="83"/>
        <item x="137"/>
        <item x="15"/>
        <item x="139"/>
        <item x="69"/>
        <item x="84"/>
        <item x="82"/>
        <item x="71"/>
        <item x="105"/>
        <item x="54"/>
        <item x="148"/>
        <item x="16"/>
        <item x="126"/>
        <item x="74"/>
        <item x="33"/>
        <item x="99"/>
        <item x="143"/>
        <item x="75"/>
        <item x="85"/>
        <item x="49"/>
        <item x="77"/>
        <item x="109"/>
        <item x="121"/>
        <item x="56"/>
        <item x="146"/>
        <item x="132"/>
        <item x="133"/>
        <item x="13"/>
        <item x="50"/>
        <item x="53"/>
        <item x="116"/>
        <item x="144"/>
        <item x="114"/>
        <item x="22"/>
        <item x="125"/>
        <item x="149"/>
        <item x="89"/>
        <item x="19"/>
        <item x="57"/>
        <item x="98"/>
        <item x="76"/>
        <item x="12"/>
        <item x="90"/>
        <item x="119"/>
        <item x="145"/>
        <item x="44"/>
        <item x="7"/>
        <item x="123"/>
        <item x="67"/>
        <item x="142"/>
        <item x="124"/>
        <item x="120"/>
        <item x="43"/>
        <item x="104"/>
        <item x="117"/>
        <item x="141"/>
        <item x="127"/>
        <item x="140"/>
        <item x="70"/>
        <item x="78"/>
        <item x="122"/>
        <item x="110"/>
        <item x="111"/>
        <item x="106"/>
        <item x="113"/>
        <item x="107"/>
        <item x="52"/>
        <item x="130"/>
        <item x="48"/>
        <item x="63"/>
        <item t="default"/>
      </items>
    </pivotField>
    <pivotField axis="axisPage" multipleItemSelectionAllowed="1" showAll="0">
      <items count="4">
        <item h="1" x="2"/>
        <item x="1"/>
        <item h="1" x="0"/>
        <item t="default"/>
      </items>
    </pivotField>
    <pivotField showAll="0"/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5">
        <item sd="0" x="0"/>
        <item sd="0" x="1"/>
        <item x="2"/>
        <item sd="0" x="3"/>
        <item sd="0" x="4"/>
      </items>
    </pivotField>
  </pivotFields>
  <rowFields count="5">
    <field x="4"/>
    <field x="6"/>
    <field x="7"/>
    <field x="0"/>
    <field x="2"/>
  </rowFields>
  <rowItems count="47">
    <i>
      <x/>
    </i>
    <i r="1">
      <x v="6"/>
    </i>
    <i r="2">
      <x v="2"/>
    </i>
    <i r="3">
      <x v="149"/>
    </i>
    <i r="4">
      <x v="68"/>
    </i>
    <i r="2">
      <x v="4"/>
    </i>
    <i r="3">
      <x v="12"/>
    </i>
    <i r="4">
      <x v="183"/>
    </i>
    <i r="3">
      <x v="75"/>
    </i>
    <i r="4">
      <x v="164"/>
    </i>
    <i r="1">
      <x v="9"/>
    </i>
    <i r="2">
      <x v="2"/>
    </i>
    <i r="3">
      <x v="239"/>
    </i>
    <i r="4">
      <x v="27"/>
    </i>
    <i r="2">
      <x v="4"/>
    </i>
    <i r="3">
      <x v="2"/>
    </i>
    <i r="4">
      <x v="146"/>
    </i>
    <i r="3">
      <x v="18"/>
    </i>
    <i r="4">
      <x v="146"/>
    </i>
    <i r="3">
      <x v="240"/>
    </i>
    <i r="4">
      <x v="146"/>
    </i>
    <i r="1">
      <x v="10"/>
    </i>
    <i r="2">
      <x v="2"/>
    </i>
    <i r="3">
      <x v="7"/>
    </i>
    <i r="4">
      <x v="26"/>
    </i>
    <i r="2">
      <x v="4"/>
    </i>
    <i r="3">
      <x v="46"/>
    </i>
    <i r="4">
      <x v="98"/>
    </i>
    <i r="3">
      <x v="136"/>
    </i>
    <i r="4">
      <x v="146"/>
    </i>
    <i r="2">
      <x v="6"/>
    </i>
    <i r="3">
      <x v="70"/>
    </i>
    <i r="4">
      <x v="146"/>
    </i>
    <i>
      <x v="1"/>
    </i>
    <i r="1">
      <x v="3"/>
    </i>
    <i r="2">
      <x v="2"/>
    </i>
    <i r="3">
      <x v="103"/>
    </i>
    <i r="4">
      <x v="2"/>
    </i>
    <i r="1">
      <x v="4"/>
    </i>
    <i r="2">
      <x v="4"/>
    </i>
    <i r="3">
      <x v="66"/>
    </i>
    <i r="4">
      <x v="1"/>
    </i>
    <i r="1">
      <x v="8"/>
    </i>
    <i r="2">
      <x v="2"/>
    </i>
    <i r="3">
      <x v="265"/>
    </i>
    <i r="4">
      <x v="106"/>
    </i>
    <i t="grand">
      <x/>
    </i>
  </rowItems>
  <colFields count="3">
    <field x="16"/>
    <field x="14"/>
    <field x="11"/>
  </colFields>
  <colItems count="5">
    <i>
      <x v="2"/>
      <x v="7"/>
    </i>
    <i r="1">
      <x v="8"/>
    </i>
    <i r="1">
      <x v="9"/>
    </i>
    <i r="1">
      <x v="10"/>
    </i>
    <i t="grand">
      <x/>
    </i>
  </colItems>
  <pageFields count="2">
    <pageField fld="12" hier="-1"/>
    <pageField fld="10" hier="-1"/>
  </pageFields>
  <dataFields count="1">
    <dataField name="Sum of Quotation" fld="9" baseField="0" baseItem="0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8DA78-10E1-4500-8E1E-E7EBE9E8A1DB}" name="PivotTable5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R12" firstHeaderRow="1" firstDataRow="4" firstDataCol="1" rowPageCount="1" colPageCount="1"/>
  <pivotFields count="17"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6"/>
        <item x="5"/>
        <item x="1"/>
        <item x="3"/>
        <item x="0"/>
        <item x="2"/>
        <item h="1" x="4"/>
        <item t="default"/>
      </items>
    </pivotField>
    <pivotField axis="axisPage" multipleItemSelectionAllowed="1" showAll="0">
      <items count="6">
        <item h="1" x="3"/>
        <item x="4"/>
        <item h="1" x="0"/>
        <item x="2"/>
        <item h="1" x="1"/>
        <item t="default"/>
      </items>
    </pivotField>
    <pivotField dataField="1" numFmtId="177" showAll="0"/>
    <pivotField axis="axisRow" showAll="0">
      <items count="9">
        <item sd="0" x="1"/>
        <item sd="0" x="6"/>
        <item sd="0" x="4"/>
        <item sd="0" x="5"/>
        <item sd="0" x="2"/>
        <item h="1" sd="0" x="3"/>
        <item h="1" sd="0" x="0"/>
        <item h="1" sd="0" x="7"/>
        <item t="default"/>
      </items>
    </pivotField>
    <pivotField axis="axisCol" numFmtId="178" showAll="0">
      <items count="152">
        <item x="131"/>
        <item x="41"/>
        <item x="27"/>
        <item x="46"/>
        <item x="17"/>
        <item x="96"/>
        <item x="24"/>
        <item x="94"/>
        <item x="47"/>
        <item x="39"/>
        <item x="102"/>
        <item x="25"/>
        <item x="95"/>
        <item x="97"/>
        <item x="34"/>
        <item x="93"/>
        <item x="6"/>
        <item x="86"/>
        <item x="55"/>
        <item x="32"/>
        <item x="1"/>
        <item x="8"/>
        <item x="3"/>
        <item x="88"/>
        <item x="0"/>
        <item x="134"/>
        <item x="92"/>
        <item x="135"/>
        <item x="4"/>
        <item x="73"/>
        <item x="80"/>
        <item x="35"/>
        <item x="68"/>
        <item x="10"/>
        <item x="79"/>
        <item x="136"/>
        <item x="36"/>
        <item x="31"/>
        <item x="138"/>
        <item x="45"/>
        <item x="18"/>
        <item x="20"/>
        <item x="21"/>
        <item x="62"/>
        <item x="51"/>
        <item x="58"/>
        <item x="59"/>
        <item x="65"/>
        <item x="72"/>
        <item x="115"/>
        <item x="9"/>
        <item x="37"/>
        <item x="100"/>
        <item x="61"/>
        <item x="40"/>
        <item x="112"/>
        <item x="5"/>
        <item x="87"/>
        <item x="28"/>
        <item x="30"/>
        <item x="2"/>
        <item x="60"/>
        <item x="29"/>
        <item x="101"/>
        <item x="38"/>
        <item x="26"/>
        <item x="147"/>
        <item x="128"/>
        <item x="108"/>
        <item x="14"/>
        <item x="66"/>
        <item x="118"/>
        <item x="11"/>
        <item x="150"/>
        <item x="23"/>
        <item x="64"/>
        <item x="129"/>
        <item x="103"/>
        <item x="42"/>
        <item x="81"/>
        <item x="91"/>
        <item x="83"/>
        <item x="137"/>
        <item x="15"/>
        <item x="139"/>
        <item x="69"/>
        <item x="84"/>
        <item x="82"/>
        <item x="71"/>
        <item x="105"/>
        <item x="54"/>
        <item x="148"/>
        <item x="16"/>
        <item x="126"/>
        <item x="74"/>
        <item x="33"/>
        <item x="99"/>
        <item x="143"/>
        <item x="75"/>
        <item x="85"/>
        <item x="49"/>
        <item x="77"/>
        <item x="109"/>
        <item x="121"/>
        <item x="56"/>
        <item x="146"/>
        <item x="132"/>
        <item x="133"/>
        <item x="13"/>
        <item x="50"/>
        <item x="53"/>
        <item x="116"/>
        <item x="144"/>
        <item x="114"/>
        <item x="22"/>
        <item x="125"/>
        <item x="149"/>
        <item x="89"/>
        <item x="19"/>
        <item x="57"/>
        <item x="98"/>
        <item x="76"/>
        <item x="12"/>
        <item x="90"/>
        <item x="119"/>
        <item x="145"/>
        <item x="44"/>
        <item x="7"/>
        <item x="123"/>
        <item x="67"/>
        <item x="142"/>
        <item x="124"/>
        <item x="120"/>
        <item x="43"/>
        <item x="104"/>
        <item x="117"/>
        <item x="141"/>
        <item x="127"/>
        <item x="140"/>
        <item x="70"/>
        <item x="78"/>
        <item x="122"/>
        <item x="110"/>
        <item x="111"/>
        <item x="106"/>
        <item x="113"/>
        <item x="107"/>
        <item x="52"/>
        <item x="130"/>
        <item x="48"/>
        <item x="63"/>
        <item t="default"/>
      </items>
    </pivotField>
    <pivotField showAll="0"/>
    <pivotField showAll="0"/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5">
        <item sd="0" x="0"/>
        <item x="1"/>
        <item x="2"/>
        <item x="3"/>
        <item sd="0" x="4"/>
      </items>
    </pivotField>
  </pivotFields>
  <rowFields count="2">
    <field x="10"/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16"/>
    <field x="14"/>
    <field x="11"/>
  </colFields>
  <colItems count="17">
    <i>
      <x v="1"/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3"/>
    </i>
    <i t="grand">
      <x/>
    </i>
  </colItems>
  <pageFields count="1">
    <pageField fld="8" hier="-1"/>
  </pageFields>
  <dataFields count="1">
    <dataField name="Sum of Quotation" fld="9" baseField="0" baseItem="0" numFmtId="177"/>
  </dataFields>
  <chartFormats count="32">
    <chartFormat chart="1" format="0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1"/>
          </reference>
          <reference field="16" count="1" selected="0">
            <x v="1"/>
          </reference>
        </references>
      </pivotArea>
    </chartFormat>
    <chartFormat chart="1" format="1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2"/>
          </reference>
          <reference field="16" count="1" selected="0">
            <x v="1"/>
          </reference>
        </references>
      </pivotArea>
    </chartFormat>
    <chartFormat chart="1" format="2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6" count="1" selected="0">
            <x v="2"/>
          </reference>
        </references>
      </pivotArea>
    </chartFormat>
    <chartFormat chart="1" format="3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6" count="1" selected="0">
            <x v="2"/>
          </reference>
        </references>
      </pivotArea>
    </chartFormat>
    <chartFormat chart="1" format="4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6" count="1" selected="0">
            <x v="2"/>
          </reference>
        </references>
      </pivotArea>
    </chartFormat>
    <chartFormat chart="1" format="5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4"/>
          </reference>
          <reference field="16" count="1" selected="0">
            <x v="2"/>
          </reference>
        </references>
      </pivotArea>
    </chartFormat>
    <chartFormat chart="1" format="6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5"/>
          </reference>
          <reference field="16" count="1" selected="0">
            <x v="2"/>
          </reference>
        </references>
      </pivotArea>
    </chartFormat>
    <chartFormat chart="1" format="7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6"/>
          </reference>
          <reference field="16" count="1" selected="0">
            <x v="2"/>
          </reference>
        </references>
      </pivotArea>
    </chartFormat>
    <chartFormat chart="1" format="8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7"/>
          </reference>
          <reference field="16" count="1" selected="0">
            <x v="2"/>
          </reference>
        </references>
      </pivotArea>
    </chartFormat>
    <chartFormat chart="1" format="9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8"/>
          </reference>
          <reference field="16" count="1" selected="0">
            <x v="2"/>
          </reference>
        </references>
      </pivotArea>
    </chartFormat>
    <chartFormat chart="1" format="10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9"/>
          </reference>
          <reference field="16" count="1" selected="0">
            <x v="2"/>
          </reference>
        </references>
      </pivotArea>
    </chartFormat>
    <chartFormat chart="1" format="11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0"/>
          </reference>
          <reference field="16" count="1" selected="0">
            <x v="2"/>
          </reference>
        </references>
      </pivotArea>
    </chartFormat>
    <chartFormat chart="1" format="12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1"/>
          </reference>
          <reference field="16" count="1" selected="0">
            <x v="2"/>
          </reference>
        </references>
      </pivotArea>
    </chartFormat>
    <chartFormat chart="1" format="13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2"/>
          </reference>
          <reference field="16" count="1" selected="0">
            <x v="2"/>
          </reference>
        </references>
      </pivotArea>
    </chartFormat>
    <chartFormat chart="1" format="14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6" count="1" selected="0">
            <x v="3"/>
          </reference>
        </references>
      </pivotArea>
    </chartFormat>
    <chartFormat chart="1" format="15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6" count="1" selected="0">
            <x v="3"/>
          </reference>
        </references>
      </pivotArea>
    </chartFormat>
    <chartFormat chart="4" format="0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1"/>
          </reference>
          <reference field="16" count="1" selected="0">
            <x v="1"/>
          </reference>
        </references>
      </pivotArea>
    </chartFormat>
    <chartFormat chart="4" format="1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2"/>
          </reference>
          <reference field="16" count="1" selected="0">
            <x v="1"/>
          </reference>
        </references>
      </pivotArea>
    </chartFormat>
    <chartFormat chart="4" format="2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6" count="1" selected="0">
            <x v="2"/>
          </reference>
        </references>
      </pivotArea>
    </chartFormat>
    <chartFormat chart="4" format="3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6" count="1" selected="0">
            <x v="2"/>
          </reference>
        </references>
      </pivotArea>
    </chartFormat>
    <chartFormat chart="4" format="4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6" count="1" selected="0">
            <x v="2"/>
          </reference>
        </references>
      </pivotArea>
    </chartFormat>
    <chartFormat chart="4" format="5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4"/>
          </reference>
          <reference field="16" count="1" selected="0">
            <x v="2"/>
          </reference>
        </references>
      </pivotArea>
    </chartFormat>
    <chartFormat chart="4" format="6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5"/>
          </reference>
          <reference field="16" count="1" selected="0">
            <x v="2"/>
          </reference>
        </references>
      </pivotArea>
    </chartFormat>
    <chartFormat chart="4" format="7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6"/>
          </reference>
          <reference field="16" count="1" selected="0">
            <x v="2"/>
          </reference>
        </references>
      </pivotArea>
    </chartFormat>
    <chartFormat chart="4" format="8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7"/>
          </reference>
          <reference field="16" count="1" selected="0">
            <x v="2"/>
          </reference>
        </references>
      </pivotArea>
    </chartFormat>
    <chartFormat chart="4" format="9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8"/>
          </reference>
          <reference field="16" count="1" selected="0">
            <x v="2"/>
          </reference>
        </references>
      </pivotArea>
    </chartFormat>
    <chartFormat chart="4" format="10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9"/>
          </reference>
          <reference field="16" count="1" selected="0">
            <x v="2"/>
          </reference>
        </references>
      </pivotArea>
    </chartFormat>
    <chartFormat chart="4" format="11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0"/>
          </reference>
          <reference field="16" count="1" selected="0">
            <x v="2"/>
          </reference>
        </references>
      </pivotArea>
    </chartFormat>
    <chartFormat chart="4" format="12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1"/>
          </reference>
          <reference field="16" count="1" selected="0">
            <x v="2"/>
          </reference>
        </references>
      </pivotArea>
    </chartFormat>
    <chartFormat chart="4" format="13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2"/>
          </reference>
          <reference field="16" count="1" selected="0">
            <x v="2"/>
          </reference>
        </references>
      </pivotArea>
    </chartFormat>
    <chartFormat chart="4" format="14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6" count="1" selected="0">
            <x v="3"/>
          </reference>
        </references>
      </pivotArea>
    </chartFormat>
    <chartFormat chart="4" format="15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3ECB8D-DF30-40DC-9930-487AEE153DBD}" name="PivotTable1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12" firstHeaderRow="1" firstDataRow="4" firstDataCol="1" rowPageCount="1" colPageCount="1"/>
  <pivotFields count="17"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6"/>
        <item x="5"/>
        <item x="1"/>
        <item x="3"/>
        <item x="0"/>
        <item x="2"/>
        <item x="4"/>
        <item t="default"/>
      </items>
    </pivotField>
    <pivotField axis="axisPage" multipleItemSelectionAllowed="1" showAll="0">
      <items count="6">
        <item x="3"/>
        <item h="1" x="4"/>
        <item x="0"/>
        <item h="1" x="2"/>
        <item x="1"/>
        <item t="default"/>
      </items>
    </pivotField>
    <pivotField dataField="1" numFmtId="177" showAll="0"/>
    <pivotField axis="axisRow" showAll="0">
      <items count="9">
        <item sd="0" x="1"/>
        <item sd="0" x="6"/>
        <item sd="0" x="4"/>
        <item sd="0" x="5"/>
        <item sd="0" x="2"/>
        <item h="1" sd="0" x="3"/>
        <item h="1" sd="0" x="0"/>
        <item h="1" sd="0" x="7"/>
        <item t="default"/>
      </items>
    </pivotField>
    <pivotField axis="axisCol" numFmtId="178" showAll="0">
      <items count="152">
        <item x="131"/>
        <item x="41"/>
        <item x="27"/>
        <item x="46"/>
        <item x="17"/>
        <item x="96"/>
        <item x="24"/>
        <item x="94"/>
        <item x="47"/>
        <item x="39"/>
        <item x="102"/>
        <item x="25"/>
        <item x="95"/>
        <item x="97"/>
        <item x="34"/>
        <item x="93"/>
        <item x="6"/>
        <item x="86"/>
        <item x="55"/>
        <item x="32"/>
        <item x="1"/>
        <item x="8"/>
        <item x="3"/>
        <item x="88"/>
        <item x="0"/>
        <item x="134"/>
        <item x="92"/>
        <item x="135"/>
        <item x="4"/>
        <item x="73"/>
        <item x="80"/>
        <item x="35"/>
        <item x="68"/>
        <item x="10"/>
        <item x="79"/>
        <item x="136"/>
        <item x="36"/>
        <item x="31"/>
        <item x="138"/>
        <item x="45"/>
        <item x="18"/>
        <item x="20"/>
        <item x="21"/>
        <item x="62"/>
        <item x="51"/>
        <item x="58"/>
        <item x="59"/>
        <item x="65"/>
        <item x="72"/>
        <item x="115"/>
        <item x="9"/>
        <item x="37"/>
        <item x="100"/>
        <item x="61"/>
        <item x="40"/>
        <item x="112"/>
        <item x="5"/>
        <item x="87"/>
        <item x="28"/>
        <item x="30"/>
        <item x="2"/>
        <item x="60"/>
        <item x="29"/>
        <item x="101"/>
        <item x="38"/>
        <item x="26"/>
        <item x="147"/>
        <item x="128"/>
        <item x="108"/>
        <item x="14"/>
        <item x="66"/>
        <item x="118"/>
        <item x="11"/>
        <item x="150"/>
        <item x="23"/>
        <item x="64"/>
        <item x="129"/>
        <item x="103"/>
        <item x="42"/>
        <item x="81"/>
        <item x="91"/>
        <item x="83"/>
        <item x="137"/>
        <item x="15"/>
        <item x="139"/>
        <item x="69"/>
        <item x="84"/>
        <item x="82"/>
        <item x="71"/>
        <item x="105"/>
        <item x="54"/>
        <item x="148"/>
        <item x="16"/>
        <item x="126"/>
        <item x="74"/>
        <item x="33"/>
        <item x="99"/>
        <item x="143"/>
        <item x="75"/>
        <item x="85"/>
        <item x="49"/>
        <item x="77"/>
        <item x="109"/>
        <item x="121"/>
        <item x="56"/>
        <item x="146"/>
        <item x="132"/>
        <item x="133"/>
        <item x="13"/>
        <item x="50"/>
        <item x="53"/>
        <item x="116"/>
        <item x="144"/>
        <item x="114"/>
        <item x="22"/>
        <item x="125"/>
        <item x="149"/>
        <item x="89"/>
        <item x="19"/>
        <item x="57"/>
        <item x="98"/>
        <item x="76"/>
        <item x="12"/>
        <item x="90"/>
        <item x="119"/>
        <item x="145"/>
        <item x="44"/>
        <item x="7"/>
        <item x="123"/>
        <item x="67"/>
        <item x="142"/>
        <item x="124"/>
        <item x="120"/>
        <item x="43"/>
        <item x="104"/>
        <item x="117"/>
        <item x="141"/>
        <item x="127"/>
        <item x="140"/>
        <item x="70"/>
        <item x="78"/>
        <item x="122"/>
        <item x="110"/>
        <item x="111"/>
        <item x="106"/>
        <item x="113"/>
        <item x="107"/>
        <item x="52"/>
        <item x="130"/>
        <item x="48"/>
        <item x="63"/>
        <item t="default"/>
      </items>
    </pivotField>
    <pivotField showAll="0"/>
    <pivotField showAll="0"/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5">
        <item sd="0" x="0"/>
        <item x="1"/>
        <item x="2"/>
        <item sd="0" x="3"/>
        <item sd="0" x="4"/>
      </items>
    </pivotField>
  </pivotFields>
  <rowFields count="2">
    <field x="10"/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16"/>
    <field x="14"/>
    <field x="11"/>
  </colFields>
  <colItems count="15">
    <i>
      <x v="1"/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colItems>
  <pageFields count="1">
    <pageField fld="8" hier="-1"/>
  </pageFields>
  <dataFields count="1">
    <dataField name="Sum of Quotation" fld="9" baseField="0" baseItem="0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EFBA5A-1C5F-4D3F-957E-D1CCB381E8EB}" name="PivotTable1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6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axis="axisRow" showAll="0">
      <items count="13">
        <item x="2"/>
        <item x="7"/>
        <item x="3"/>
        <item x="1"/>
        <item x="9"/>
        <item x="6"/>
        <item x="11"/>
        <item x="0"/>
        <item x="5"/>
        <item x="8"/>
        <item x="10"/>
        <item x="4"/>
        <item t="default"/>
      </items>
    </pivotField>
    <pivotField showAll="0"/>
    <pivotField showAll="0"/>
    <pivotField dataField="1" numFmtId="177" showAll="0"/>
    <pivotField axis="axisCol" showAll="0">
      <items count="9">
        <item h="1" x="1"/>
        <item x="6"/>
        <item x="4"/>
        <item x="5"/>
        <item x="2"/>
        <item h="1" x="3"/>
        <item h="1" x="0"/>
        <item h="1" x="7"/>
        <item t="default"/>
      </items>
    </pivotField>
    <pivotField numFmtId="178" showAll="0">
      <items count="152">
        <item x="131"/>
        <item x="41"/>
        <item x="27"/>
        <item x="46"/>
        <item x="17"/>
        <item x="96"/>
        <item x="24"/>
        <item x="94"/>
        <item x="47"/>
        <item x="39"/>
        <item x="102"/>
        <item x="25"/>
        <item x="95"/>
        <item x="97"/>
        <item x="34"/>
        <item x="93"/>
        <item x="6"/>
        <item x="86"/>
        <item x="55"/>
        <item x="32"/>
        <item x="1"/>
        <item x="8"/>
        <item x="3"/>
        <item x="88"/>
        <item x="0"/>
        <item x="134"/>
        <item x="92"/>
        <item x="135"/>
        <item x="4"/>
        <item x="73"/>
        <item x="80"/>
        <item x="35"/>
        <item x="68"/>
        <item x="10"/>
        <item x="79"/>
        <item x="136"/>
        <item x="36"/>
        <item x="31"/>
        <item x="138"/>
        <item x="45"/>
        <item x="18"/>
        <item x="20"/>
        <item x="21"/>
        <item x="62"/>
        <item x="51"/>
        <item x="58"/>
        <item x="59"/>
        <item x="65"/>
        <item x="72"/>
        <item x="115"/>
        <item x="9"/>
        <item x="37"/>
        <item x="100"/>
        <item x="61"/>
        <item x="40"/>
        <item x="112"/>
        <item x="5"/>
        <item x="87"/>
        <item x="28"/>
        <item x="30"/>
        <item x="2"/>
        <item x="60"/>
        <item x="29"/>
        <item x="101"/>
        <item x="38"/>
        <item x="26"/>
        <item x="147"/>
        <item x="128"/>
        <item x="108"/>
        <item x="14"/>
        <item x="66"/>
        <item x="118"/>
        <item x="11"/>
        <item x="150"/>
        <item x="23"/>
        <item x="64"/>
        <item x="129"/>
        <item x="103"/>
        <item x="42"/>
        <item x="81"/>
        <item x="91"/>
        <item x="83"/>
        <item x="137"/>
        <item x="15"/>
        <item x="139"/>
        <item x="69"/>
        <item x="84"/>
        <item x="82"/>
        <item x="71"/>
        <item x="105"/>
        <item x="54"/>
        <item x="148"/>
        <item x="16"/>
        <item x="126"/>
        <item x="74"/>
        <item x="33"/>
        <item x="99"/>
        <item x="143"/>
        <item x="75"/>
        <item x="85"/>
        <item x="49"/>
        <item x="77"/>
        <item x="109"/>
        <item x="121"/>
        <item x="56"/>
        <item x="146"/>
        <item x="132"/>
        <item x="133"/>
        <item x="13"/>
        <item x="50"/>
        <item x="53"/>
        <item x="116"/>
        <item x="144"/>
        <item x="114"/>
        <item x="22"/>
        <item x="125"/>
        <item x="149"/>
        <item x="89"/>
        <item x="19"/>
        <item x="57"/>
        <item x="98"/>
        <item x="76"/>
        <item x="12"/>
        <item x="90"/>
        <item x="119"/>
        <item x="145"/>
        <item x="44"/>
        <item x="7"/>
        <item x="123"/>
        <item x="67"/>
        <item x="142"/>
        <item x="124"/>
        <item x="120"/>
        <item x="43"/>
        <item x="104"/>
        <item x="117"/>
        <item x="141"/>
        <item x="127"/>
        <item x="140"/>
        <item x="70"/>
        <item x="78"/>
        <item x="122"/>
        <item x="110"/>
        <item x="111"/>
        <item x="106"/>
        <item x="113"/>
        <item x="107"/>
        <item x="52"/>
        <item x="130"/>
        <item x="48"/>
        <item x="63"/>
        <item t="default"/>
      </items>
    </pivotField>
    <pivotField showAll="0" defaultSubtotal="0">
      <items count="3">
        <item x="2"/>
        <item x="1"/>
        <item x="0"/>
      </items>
    </pivotField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 t="grand">
      <x/>
    </i>
  </rowItems>
  <colFields count="1">
    <field x="10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Quotation" fld="9" baseField="0" baseItem="0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04FC51-4B55-438F-948B-82D09E5AB275}" name="Table2" displayName="Table2" ref="A1:N382" totalsRowCount="1" headerRowBorderDxfId="26" tableBorderDxfId="27">
  <autoFilter ref="A1:N381" xr:uid="{F504FC51-4B55-438F-948B-82D09E5AB275}">
    <filterColumn colId="10">
      <filters>
        <filter val="E"/>
      </filters>
    </filterColumn>
  </autoFilter>
  <tableColumns count="14">
    <tableColumn id="1" xr3:uid="{64333514-ACFD-4078-9BE9-272EB6A26CF8}" name="Klien Name"/>
    <tableColumn id="2" xr3:uid="{5FAA1947-8599-4307-85C7-C3CAC623905C}" name="Area" dataDxfId="24" totalsRowDxfId="25" dataCellStyle="Normal 9"/>
    <tableColumn id="3" xr3:uid="{234F2F93-6157-4217-BDCC-26ED5C680BF2}" name="Project &amp; Bill Material" dataDxfId="22" totalsRowDxfId="23" dataCellStyle="Normal 4 2 2"/>
    <tableColumn id="4" xr3:uid="{63ACD689-AB19-49D5-8E03-DE8EC85EEDCC}" name="Tipe" dataDxfId="20" totalsRowDxfId="21" dataCellStyle="Normal 4 2 2"/>
    <tableColumn id="5" xr3:uid="{CA62DD2F-0C55-48C9-BE6C-07D00D716755}" name="Area2" dataDxfId="18" totalsRowDxfId="19" dataCellStyle="Normal 4 2 2"/>
    <tableColumn id="6" xr3:uid="{EB3EAA68-0E30-4A23-AB06-891D8F77FAF9}" name="Sales Planner" dataDxfId="16" totalsRowDxfId="17" dataCellStyle="Normal 4 2 2"/>
    <tableColumn id="7" xr3:uid="{7FDB69EB-C24B-4245-BCF9-D953B4DD9BE8}" name="PIC" dataDxfId="14" totalsRowDxfId="15" dataCellStyle="Normal 4 2 2"/>
    <tableColumn id="8" xr3:uid="{D7BF3658-9C08-4103-98B7-D80847D9FCED}" name="Category" dataDxfId="12" totalsRowDxfId="13" dataCellStyle="Normal 4 2 2"/>
    <tableColumn id="9" xr3:uid="{4D9A02EA-4E31-4DD6-919B-81D300C16A17}" name="Sector" dataDxfId="10" totalsRowDxfId="11" dataCellStyle="Normal 4 2 2"/>
    <tableColumn id="10" xr3:uid="{9A328DF0-AB02-4FD3-AA83-CABAABC861AE}" name="Quotation" totalsRowFunction="sum" dataDxfId="8" totalsRowDxfId="9" dataCellStyle="Normal 4 2 2"/>
    <tableColumn id="11" xr3:uid="{34C2F944-D5E3-43D6-A768-8575B4D74FFE}" name="Status" dataDxfId="6" totalsRowDxfId="7" dataCellStyle="Normal 4 2 2"/>
    <tableColumn id="12" xr3:uid="{ADB4FDDB-B275-466A-8920-74B1EBBE1676}" name="Est Booking Month" dataDxfId="4" totalsRowDxfId="5" dataCellStyle="Normal 9"/>
    <tableColumn id="13" xr3:uid="{04DEA466-75BC-46F2-A699-CF1D107436B8}" name="booking fc" dataDxfId="2" totalsRowDxfId="3" dataCellStyle="Normal 9"/>
    <tableColumn id="14" xr3:uid="{F7D01E41-958F-45B6-BA76-0A78A287861F}" name="keterangan" dataDxfId="0" totalsRowDxfId="1" dataCellStyle="Normal 4 2 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3DD02-B15E-4FD1-99CE-DDE8FE59C0FF}">
  <dimension ref="A1:N382"/>
  <sheetViews>
    <sheetView tabSelected="1" workbookViewId="0">
      <selection activeCell="A339" sqref="A339"/>
    </sheetView>
  </sheetViews>
  <sheetFormatPr defaultRowHeight="15"/>
  <cols>
    <col min="1" max="1" width="39.375" customWidth="1"/>
    <col min="2" max="2" width="14.75" bestFit="1" customWidth="1"/>
    <col min="3" max="3" width="31.25" bestFit="1" customWidth="1"/>
    <col min="4" max="4" width="54" bestFit="1" customWidth="1"/>
    <col min="5" max="5" width="8.375" bestFit="1" customWidth="1"/>
    <col min="6" max="6" width="15.125" bestFit="1" customWidth="1"/>
    <col min="7" max="7" width="6.75" bestFit="1" customWidth="1"/>
    <col min="8" max="8" width="11.125" bestFit="1" customWidth="1"/>
    <col min="9" max="9" width="13.875" bestFit="1" customWidth="1"/>
    <col min="10" max="10" width="15.375" bestFit="1" customWidth="1"/>
    <col min="11" max="11" width="8.75" bestFit="1" customWidth="1"/>
    <col min="12" max="12" width="20.125" bestFit="1" customWidth="1"/>
    <col min="13" max="13" width="12.375" bestFit="1" customWidth="1"/>
    <col min="14" max="14" width="111.375" bestFit="1" customWidth="1"/>
  </cols>
  <sheetData>
    <row r="1" spans="1:14">
      <c r="A1" s="159" t="s">
        <v>0</v>
      </c>
      <c r="B1" s="159" t="s">
        <v>1</v>
      </c>
      <c r="C1" s="160" t="s">
        <v>2</v>
      </c>
      <c r="D1" s="161" t="s">
        <v>3</v>
      </c>
      <c r="E1" s="161" t="s">
        <v>4</v>
      </c>
      <c r="F1" s="161" t="s">
        <v>5</v>
      </c>
      <c r="G1" s="161" t="s">
        <v>6</v>
      </c>
      <c r="H1" s="161" t="s">
        <v>7</v>
      </c>
      <c r="I1" s="161" t="s">
        <v>8</v>
      </c>
      <c r="J1" s="159" t="s">
        <v>9</v>
      </c>
      <c r="K1" s="161" t="s">
        <v>10</v>
      </c>
      <c r="L1" s="162" t="s">
        <v>11</v>
      </c>
      <c r="M1" s="161" t="s">
        <v>12</v>
      </c>
      <c r="N1" s="159" t="s">
        <v>13</v>
      </c>
    </row>
    <row r="2" spans="1:14" hidden="1">
      <c r="A2" s="30" t="s">
        <v>14</v>
      </c>
      <c r="B2" s="168"/>
      <c r="C2" s="31" t="s">
        <v>15</v>
      </c>
      <c r="D2" s="169"/>
      <c r="E2" s="32" t="s">
        <v>16</v>
      </c>
      <c r="F2" s="33"/>
      <c r="G2" s="34" t="s">
        <v>17</v>
      </c>
      <c r="H2" s="34" t="s">
        <v>18</v>
      </c>
      <c r="I2" s="33" t="s">
        <v>19</v>
      </c>
      <c r="J2" s="35">
        <v>1369000000</v>
      </c>
      <c r="K2" s="36" t="s">
        <v>20</v>
      </c>
      <c r="L2" s="37">
        <v>46054</v>
      </c>
      <c r="M2" s="38"/>
      <c r="N2" s="39"/>
    </row>
    <row r="3" spans="1:14" hidden="1">
      <c r="A3" s="40" t="s">
        <v>21</v>
      </c>
      <c r="B3" s="41"/>
      <c r="C3" s="42" t="s">
        <v>22</v>
      </c>
      <c r="D3" s="170"/>
      <c r="E3" s="43" t="s">
        <v>16</v>
      </c>
      <c r="F3" s="40"/>
      <c r="G3" s="44" t="s">
        <v>23</v>
      </c>
      <c r="H3" s="44" t="s">
        <v>24</v>
      </c>
      <c r="I3" s="170" t="s">
        <v>25</v>
      </c>
      <c r="J3" s="45">
        <v>490000000</v>
      </c>
      <c r="K3" s="46" t="s">
        <v>26</v>
      </c>
      <c r="L3" s="47">
        <v>46040</v>
      </c>
      <c r="M3" s="48" t="s">
        <v>27</v>
      </c>
      <c r="N3" s="49" t="s">
        <v>28</v>
      </c>
    </row>
    <row r="4" spans="1:14" hidden="1">
      <c r="A4" s="40" t="s">
        <v>21</v>
      </c>
      <c r="B4" s="171"/>
      <c r="C4" s="42" t="s">
        <v>29</v>
      </c>
      <c r="D4" s="170"/>
      <c r="E4" s="43" t="s">
        <v>16</v>
      </c>
      <c r="F4" s="40"/>
      <c r="G4" s="44" t="s">
        <v>23</v>
      </c>
      <c r="H4" s="44" t="s">
        <v>18</v>
      </c>
      <c r="I4" s="170" t="s">
        <v>25</v>
      </c>
      <c r="J4" s="45">
        <v>622485000</v>
      </c>
      <c r="K4" s="46" t="s">
        <v>26</v>
      </c>
      <c r="L4" s="47">
        <v>46160</v>
      </c>
      <c r="M4" s="48"/>
      <c r="N4" s="49" t="s">
        <v>28</v>
      </c>
    </row>
    <row r="5" spans="1:14" hidden="1">
      <c r="A5" s="33" t="s">
        <v>21</v>
      </c>
      <c r="B5" s="53" t="s">
        <v>30</v>
      </c>
      <c r="C5" s="31" t="s">
        <v>31</v>
      </c>
      <c r="D5" s="169"/>
      <c r="E5" s="32" t="s">
        <v>16</v>
      </c>
      <c r="F5" s="33"/>
      <c r="G5" s="34" t="s">
        <v>23</v>
      </c>
      <c r="H5" s="34" t="s">
        <v>24</v>
      </c>
      <c r="I5" s="169" t="s">
        <v>25</v>
      </c>
      <c r="J5" s="54">
        <v>1348000000</v>
      </c>
      <c r="K5" s="36" t="s">
        <v>26</v>
      </c>
      <c r="L5" s="37">
        <v>46048</v>
      </c>
      <c r="M5" s="38" t="s">
        <v>27</v>
      </c>
      <c r="N5" s="39" t="s">
        <v>28</v>
      </c>
    </row>
    <row r="6" spans="1:14" hidden="1">
      <c r="A6" s="40" t="s">
        <v>32</v>
      </c>
      <c r="B6" s="41" t="s">
        <v>33</v>
      </c>
      <c r="C6" s="42" t="s">
        <v>34</v>
      </c>
      <c r="D6" s="170"/>
      <c r="E6" s="43" t="s">
        <v>16</v>
      </c>
      <c r="F6" s="40"/>
      <c r="G6" s="44" t="s">
        <v>23</v>
      </c>
      <c r="H6" s="44" t="s">
        <v>24</v>
      </c>
      <c r="I6" s="170" t="s">
        <v>25</v>
      </c>
      <c r="J6" s="45">
        <v>47090700</v>
      </c>
      <c r="K6" s="46" t="s">
        <v>26</v>
      </c>
      <c r="L6" s="47">
        <v>46064</v>
      </c>
      <c r="M6" s="48" t="s">
        <v>27</v>
      </c>
      <c r="N6" s="49" t="s">
        <v>28</v>
      </c>
    </row>
    <row r="7" spans="1:14" hidden="1">
      <c r="A7" s="33" t="s">
        <v>32</v>
      </c>
      <c r="B7" s="168" t="s">
        <v>35</v>
      </c>
      <c r="C7" s="31" t="s">
        <v>36</v>
      </c>
      <c r="D7" s="169"/>
      <c r="E7" s="32" t="s">
        <v>16</v>
      </c>
      <c r="F7" s="33"/>
      <c r="G7" s="34" t="s">
        <v>23</v>
      </c>
      <c r="H7" s="34" t="s">
        <v>24</v>
      </c>
      <c r="I7" s="169" t="s">
        <v>37</v>
      </c>
      <c r="J7" s="54">
        <v>182045000</v>
      </c>
      <c r="K7" s="36" t="s">
        <v>26</v>
      </c>
      <c r="L7" s="37">
        <v>46155</v>
      </c>
      <c r="M7" s="38"/>
      <c r="N7" s="39"/>
    </row>
    <row r="8" spans="1:14" hidden="1">
      <c r="A8" s="40" t="s">
        <v>38</v>
      </c>
      <c r="B8" s="171"/>
      <c r="C8" s="42" t="s">
        <v>24</v>
      </c>
      <c r="D8" s="170"/>
      <c r="E8" s="43" t="s">
        <v>16</v>
      </c>
      <c r="F8" s="40"/>
      <c r="G8" s="44" t="s">
        <v>23</v>
      </c>
      <c r="H8" s="44" t="s">
        <v>24</v>
      </c>
      <c r="I8" s="170" t="s">
        <v>37</v>
      </c>
      <c r="J8" s="45">
        <v>49500000</v>
      </c>
      <c r="K8" s="46" t="s">
        <v>26</v>
      </c>
      <c r="L8" s="47">
        <v>46155</v>
      </c>
      <c r="M8" s="48"/>
      <c r="N8" s="49"/>
    </row>
    <row r="9" spans="1:14" hidden="1">
      <c r="A9" s="33" t="s">
        <v>39</v>
      </c>
      <c r="B9" s="168"/>
      <c r="C9" s="31" t="s">
        <v>40</v>
      </c>
      <c r="D9" s="55" t="s">
        <v>41</v>
      </c>
      <c r="E9" s="32" t="s">
        <v>16</v>
      </c>
      <c r="F9" s="33" t="s">
        <v>42</v>
      </c>
      <c r="G9" s="34" t="s">
        <v>43</v>
      </c>
      <c r="H9" s="34" t="s">
        <v>24</v>
      </c>
      <c r="I9" s="169" t="s">
        <v>37</v>
      </c>
      <c r="J9" s="54">
        <v>115000000</v>
      </c>
      <c r="K9" s="36" t="s">
        <v>26</v>
      </c>
      <c r="L9" s="37">
        <v>46155</v>
      </c>
      <c r="M9" s="38" t="s">
        <v>27</v>
      </c>
      <c r="N9" s="39" t="s">
        <v>44</v>
      </c>
    </row>
    <row r="10" spans="1:14" hidden="1">
      <c r="A10" s="40" t="s">
        <v>45</v>
      </c>
      <c r="B10" s="171"/>
      <c r="C10" s="42" t="s">
        <v>46</v>
      </c>
      <c r="D10" s="170" t="s">
        <v>47</v>
      </c>
      <c r="E10" s="43" t="s">
        <v>16</v>
      </c>
      <c r="F10" s="33" t="s">
        <v>42</v>
      </c>
      <c r="G10" s="44" t="s">
        <v>48</v>
      </c>
      <c r="H10" s="44" t="s">
        <v>22</v>
      </c>
      <c r="I10" s="170" t="s">
        <v>49</v>
      </c>
      <c r="J10" s="45">
        <v>487000000</v>
      </c>
      <c r="K10" s="46" t="s">
        <v>26</v>
      </c>
      <c r="L10" s="47">
        <v>46023</v>
      </c>
      <c r="M10" s="48"/>
      <c r="N10" s="49" t="s">
        <v>28</v>
      </c>
    </row>
    <row r="11" spans="1:14">
      <c r="A11" s="33" t="s">
        <v>50</v>
      </c>
      <c r="B11" s="168"/>
      <c r="C11" s="31" t="s">
        <v>51</v>
      </c>
      <c r="D11" s="169" t="s">
        <v>52</v>
      </c>
      <c r="E11" s="32" t="s">
        <v>16</v>
      </c>
      <c r="F11" s="33" t="s">
        <v>42</v>
      </c>
      <c r="G11" s="34"/>
      <c r="H11" s="34" t="s">
        <v>24</v>
      </c>
      <c r="I11" s="169" t="s">
        <v>37</v>
      </c>
      <c r="J11" s="54">
        <v>2281717980</v>
      </c>
      <c r="K11" s="36" t="s">
        <v>53</v>
      </c>
      <c r="L11" s="56">
        <v>46310</v>
      </c>
      <c r="M11" s="38"/>
      <c r="N11" s="57" t="s">
        <v>54</v>
      </c>
    </row>
    <row r="12" spans="1:14" hidden="1">
      <c r="A12" s="40" t="s">
        <v>55</v>
      </c>
      <c r="B12" s="41" t="s">
        <v>56</v>
      </c>
      <c r="C12" s="42" t="s">
        <v>57</v>
      </c>
      <c r="D12" s="170"/>
      <c r="E12" s="43" t="s">
        <v>16</v>
      </c>
      <c r="F12" s="40"/>
      <c r="G12" s="44" t="s">
        <v>23</v>
      </c>
      <c r="H12" s="44" t="s">
        <v>24</v>
      </c>
      <c r="I12" s="170" t="s">
        <v>49</v>
      </c>
      <c r="J12" s="45">
        <v>61500000</v>
      </c>
      <c r="K12" s="46" t="s">
        <v>26</v>
      </c>
      <c r="L12" s="47">
        <v>46044</v>
      </c>
      <c r="M12" s="48" t="s">
        <v>27</v>
      </c>
      <c r="N12" s="49" t="s">
        <v>28</v>
      </c>
    </row>
    <row r="13" spans="1:14" ht="24.75">
      <c r="A13" s="33" t="s">
        <v>58</v>
      </c>
      <c r="B13" s="168"/>
      <c r="C13" s="31" t="s">
        <v>59</v>
      </c>
      <c r="D13" s="169"/>
      <c r="E13" s="32" t="s">
        <v>16</v>
      </c>
      <c r="F13" s="33" t="s">
        <v>42</v>
      </c>
      <c r="G13" s="34"/>
      <c r="H13" s="34" t="s">
        <v>24</v>
      </c>
      <c r="I13" s="169" t="s">
        <v>25</v>
      </c>
      <c r="J13" s="54">
        <v>2978970000</v>
      </c>
      <c r="K13" s="36" t="s">
        <v>53</v>
      </c>
      <c r="L13" s="37">
        <v>46310</v>
      </c>
      <c r="M13" s="38"/>
      <c r="N13" s="39" t="s">
        <v>60</v>
      </c>
    </row>
    <row r="14" spans="1:14" hidden="1">
      <c r="A14" s="40" t="s">
        <v>61</v>
      </c>
      <c r="B14" s="171"/>
      <c r="C14" s="42" t="s">
        <v>62</v>
      </c>
      <c r="D14" s="170"/>
      <c r="E14" s="43" t="s">
        <v>16</v>
      </c>
      <c r="F14" s="40" t="s">
        <v>42</v>
      </c>
      <c r="G14" s="44"/>
      <c r="H14" s="44" t="s">
        <v>24</v>
      </c>
      <c r="I14" s="170" t="s">
        <v>25</v>
      </c>
      <c r="J14" s="45">
        <v>6000000</v>
      </c>
      <c r="K14" s="46" t="s">
        <v>20</v>
      </c>
      <c r="L14" s="47">
        <v>46143</v>
      </c>
      <c r="M14" s="48"/>
      <c r="N14" s="49" t="s">
        <v>63</v>
      </c>
    </row>
    <row r="15" spans="1:14">
      <c r="A15" s="33" t="s">
        <v>64</v>
      </c>
      <c r="B15" s="168"/>
      <c r="C15" s="31" t="s">
        <v>65</v>
      </c>
      <c r="D15" s="169" t="s">
        <v>66</v>
      </c>
      <c r="E15" s="32" t="s">
        <v>16</v>
      </c>
      <c r="F15" s="33" t="s">
        <v>42</v>
      </c>
      <c r="G15" s="34"/>
      <c r="H15" s="34" t="s">
        <v>24</v>
      </c>
      <c r="I15" s="169" t="s">
        <v>37</v>
      </c>
      <c r="J15" s="54">
        <v>4750000000</v>
      </c>
      <c r="K15" s="36" t="s">
        <v>53</v>
      </c>
      <c r="L15" s="37">
        <v>46310</v>
      </c>
      <c r="M15" s="38"/>
      <c r="N15" s="39" t="s">
        <v>67</v>
      </c>
    </row>
    <row r="16" spans="1:14" hidden="1">
      <c r="A16" s="40" t="s">
        <v>21</v>
      </c>
      <c r="B16" s="41" t="s">
        <v>68</v>
      </c>
      <c r="C16" s="42" t="s">
        <v>69</v>
      </c>
      <c r="D16" s="170"/>
      <c r="E16" s="43" t="s">
        <v>16</v>
      </c>
      <c r="F16" s="40"/>
      <c r="G16" s="44" t="s">
        <v>23</v>
      </c>
      <c r="H16" s="44" t="s">
        <v>24</v>
      </c>
      <c r="I16" s="170" t="s">
        <v>25</v>
      </c>
      <c r="J16" s="45">
        <f>836671614+91164000</f>
        <v>927835614</v>
      </c>
      <c r="K16" s="46" t="s">
        <v>26</v>
      </c>
      <c r="L16" s="47">
        <v>46079</v>
      </c>
      <c r="M16" s="48" t="s">
        <v>27</v>
      </c>
      <c r="N16" s="49" t="s">
        <v>70</v>
      </c>
    </row>
    <row r="17" spans="1:14" hidden="1">
      <c r="A17" s="33" t="s">
        <v>71</v>
      </c>
      <c r="B17" s="168"/>
      <c r="C17" s="50" t="s">
        <v>72</v>
      </c>
      <c r="D17" s="169" t="s">
        <v>73</v>
      </c>
      <c r="E17" s="32" t="s">
        <v>16</v>
      </c>
      <c r="F17" s="33" t="s">
        <v>42</v>
      </c>
      <c r="G17" s="34" t="s">
        <v>43</v>
      </c>
      <c r="H17" s="34" t="s">
        <v>24</v>
      </c>
      <c r="I17" s="169" t="s">
        <v>25</v>
      </c>
      <c r="J17" s="54">
        <v>60000000</v>
      </c>
      <c r="K17" s="36" t="s">
        <v>26</v>
      </c>
      <c r="L17" s="37">
        <v>46190</v>
      </c>
      <c r="M17" s="38" t="s">
        <v>27</v>
      </c>
      <c r="N17" s="39" t="s">
        <v>74</v>
      </c>
    </row>
    <row r="18" spans="1:14">
      <c r="A18" s="40" t="s">
        <v>75</v>
      </c>
      <c r="B18" s="171"/>
      <c r="C18" s="58" t="s">
        <v>76</v>
      </c>
      <c r="D18" s="170"/>
      <c r="E18" s="43" t="s">
        <v>16</v>
      </c>
      <c r="F18" s="40" t="s">
        <v>42</v>
      </c>
      <c r="G18" s="44"/>
      <c r="H18" s="44" t="s">
        <v>24</v>
      </c>
      <c r="I18" s="170" t="s">
        <v>19</v>
      </c>
      <c r="J18" s="45">
        <v>1126600000</v>
      </c>
      <c r="K18" s="46" t="s">
        <v>53</v>
      </c>
      <c r="L18" s="47">
        <v>46303</v>
      </c>
      <c r="M18" s="48"/>
      <c r="N18" s="49" t="s">
        <v>77</v>
      </c>
    </row>
    <row r="19" spans="1:14" hidden="1">
      <c r="A19" s="33" t="s">
        <v>78</v>
      </c>
      <c r="B19" s="33"/>
      <c r="C19" s="31" t="s">
        <v>79</v>
      </c>
      <c r="D19" s="33"/>
      <c r="E19" s="32" t="s">
        <v>16</v>
      </c>
      <c r="F19" s="33"/>
      <c r="G19" s="34" t="s">
        <v>80</v>
      </c>
      <c r="H19" s="59" t="s">
        <v>24</v>
      </c>
      <c r="I19" s="33" t="s">
        <v>37</v>
      </c>
      <c r="J19" s="51">
        <v>125000000</v>
      </c>
      <c r="K19" s="52" t="s">
        <v>81</v>
      </c>
      <c r="L19" s="37">
        <v>46266</v>
      </c>
      <c r="M19" s="60"/>
      <c r="N19" s="61"/>
    </row>
    <row r="20" spans="1:14" ht="24.75" hidden="1">
      <c r="A20" s="40" t="s">
        <v>82</v>
      </c>
      <c r="B20" s="171"/>
      <c r="C20" s="42" t="s">
        <v>83</v>
      </c>
      <c r="D20" s="170"/>
      <c r="E20" s="43" t="s">
        <v>16</v>
      </c>
      <c r="F20" s="40" t="s">
        <v>42</v>
      </c>
      <c r="G20" s="44" t="s">
        <v>23</v>
      </c>
      <c r="H20" s="62" t="s">
        <v>24</v>
      </c>
      <c r="I20" s="170" t="s">
        <v>25</v>
      </c>
      <c r="J20" s="63">
        <v>10670000</v>
      </c>
      <c r="K20" s="64" t="s">
        <v>26</v>
      </c>
      <c r="L20" s="47">
        <v>46178</v>
      </c>
      <c r="M20" s="65" t="s">
        <v>84</v>
      </c>
      <c r="N20" s="66"/>
    </row>
    <row r="21" spans="1:14" hidden="1">
      <c r="A21" s="67" t="s">
        <v>85</v>
      </c>
      <c r="B21" s="67"/>
      <c r="C21" s="31" t="s">
        <v>86</v>
      </c>
      <c r="D21" s="33" t="s">
        <v>87</v>
      </c>
      <c r="E21" s="32" t="s">
        <v>16</v>
      </c>
      <c r="F21" s="33"/>
      <c r="G21" s="68" t="s">
        <v>88</v>
      </c>
      <c r="H21" s="68" t="s">
        <v>18</v>
      </c>
      <c r="I21" s="33" t="s">
        <v>37</v>
      </c>
      <c r="J21" s="51">
        <v>2000000000</v>
      </c>
      <c r="K21" s="52" t="s">
        <v>26</v>
      </c>
      <c r="L21" s="37">
        <v>46054</v>
      </c>
      <c r="M21" s="60"/>
      <c r="N21" s="39" t="s">
        <v>28</v>
      </c>
    </row>
    <row r="22" spans="1:14" hidden="1">
      <c r="A22" s="40" t="s">
        <v>82</v>
      </c>
      <c r="B22" s="171"/>
      <c r="C22" s="42" t="s">
        <v>89</v>
      </c>
      <c r="D22" s="170" t="s">
        <v>90</v>
      </c>
      <c r="E22" s="43" t="s">
        <v>16</v>
      </c>
      <c r="F22" s="40" t="s">
        <v>42</v>
      </c>
      <c r="G22" s="69" t="s">
        <v>48</v>
      </c>
      <c r="H22" s="69" t="s">
        <v>18</v>
      </c>
      <c r="I22" s="170" t="s">
        <v>37</v>
      </c>
      <c r="J22" s="63">
        <v>13000000</v>
      </c>
      <c r="K22" s="64" t="s">
        <v>26</v>
      </c>
      <c r="L22" s="47">
        <v>46217</v>
      </c>
      <c r="M22" s="65" t="s">
        <v>27</v>
      </c>
      <c r="N22" s="49" t="s">
        <v>28</v>
      </c>
    </row>
    <row r="23" spans="1:14" hidden="1">
      <c r="A23" s="67" t="s">
        <v>85</v>
      </c>
      <c r="B23" s="67"/>
      <c r="C23" s="31" t="s">
        <v>91</v>
      </c>
      <c r="D23" s="33"/>
      <c r="E23" s="32" t="s">
        <v>16</v>
      </c>
      <c r="F23" s="33"/>
      <c r="G23" s="68" t="s">
        <v>88</v>
      </c>
      <c r="H23" s="68" t="s">
        <v>24</v>
      </c>
      <c r="I23" s="33" t="s">
        <v>37</v>
      </c>
      <c r="J23" s="51">
        <v>1181874600</v>
      </c>
      <c r="K23" s="52" t="s">
        <v>26</v>
      </c>
      <c r="L23" s="37">
        <v>46054</v>
      </c>
      <c r="M23" s="60"/>
      <c r="N23" s="39" t="s">
        <v>28</v>
      </c>
    </row>
    <row r="24" spans="1:14">
      <c r="A24" s="40" t="s">
        <v>92</v>
      </c>
      <c r="B24" s="171"/>
      <c r="C24" s="42" t="s">
        <v>86</v>
      </c>
      <c r="D24" s="170"/>
      <c r="E24" s="43" t="s">
        <v>16</v>
      </c>
      <c r="F24" s="40"/>
      <c r="G24" s="44" t="s">
        <v>88</v>
      </c>
      <c r="H24" s="44" t="s">
        <v>24</v>
      </c>
      <c r="I24" s="40" t="s">
        <v>37</v>
      </c>
      <c r="J24" s="45">
        <v>2250000000</v>
      </c>
      <c r="K24" s="46" t="s">
        <v>53</v>
      </c>
      <c r="L24" s="47">
        <v>46235</v>
      </c>
      <c r="M24" s="65"/>
      <c r="N24" s="49"/>
    </row>
    <row r="25" spans="1:14">
      <c r="A25" s="33" t="s">
        <v>92</v>
      </c>
      <c r="B25" s="168"/>
      <c r="C25" s="31" t="s">
        <v>93</v>
      </c>
      <c r="D25" s="169"/>
      <c r="E25" s="32" t="s">
        <v>16</v>
      </c>
      <c r="F25" s="33"/>
      <c r="G25" s="34" t="s">
        <v>88</v>
      </c>
      <c r="H25" s="34" t="s">
        <v>24</v>
      </c>
      <c r="I25" s="33" t="s">
        <v>37</v>
      </c>
      <c r="J25" s="54">
        <v>315000000</v>
      </c>
      <c r="K25" s="36" t="s">
        <v>53</v>
      </c>
      <c r="L25" s="37">
        <v>46235</v>
      </c>
      <c r="M25" s="60"/>
      <c r="N25" s="39"/>
    </row>
    <row r="26" spans="1:14" hidden="1">
      <c r="A26" s="40" t="s">
        <v>94</v>
      </c>
      <c r="B26" s="171"/>
      <c r="C26" s="42" t="s">
        <v>95</v>
      </c>
      <c r="D26" s="170"/>
      <c r="E26" s="43" t="s">
        <v>16</v>
      </c>
      <c r="F26" s="40"/>
      <c r="G26" s="44" t="s">
        <v>96</v>
      </c>
      <c r="H26" s="44" t="s">
        <v>24</v>
      </c>
      <c r="I26" s="40" t="s">
        <v>25</v>
      </c>
      <c r="J26" s="45">
        <v>105000000</v>
      </c>
      <c r="K26" s="46" t="s">
        <v>26</v>
      </c>
      <c r="L26" s="47">
        <v>45982</v>
      </c>
      <c r="M26" s="48"/>
      <c r="N26" s="49" t="s">
        <v>97</v>
      </c>
    </row>
    <row r="27" spans="1:14" ht="24.75" hidden="1">
      <c r="A27" s="33" t="s">
        <v>39</v>
      </c>
      <c r="B27" s="168"/>
      <c r="C27" s="31" t="s">
        <v>98</v>
      </c>
      <c r="D27" s="169"/>
      <c r="E27" s="32" t="s">
        <v>16</v>
      </c>
      <c r="F27" s="33" t="s">
        <v>42</v>
      </c>
      <c r="G27" s="34" t="s">
        <v>80</v>
      </c>
      <c r="H27" s="34" t="s">
        <v>24</v>
      </c>
      <c r="I27" s="169" t="s">
        <v>19</v>
      </c>
      <c r="J27" s="54">
        <v>80000000</v>
      </c>
      <c r="K27" s="36" t="s">
        <v>26</v>
      </c>
      <c r="L27" s="37">
        <v>46108</v>
      </c>
      <c r="M27" s="38" t="s">
        <v>27</v>
      </c>
      <c r="N27" s="39" t="s">
        <v>99</v>
      </c>
    </row>
    <row r="28" spans="1:14">
      <c r="A28" s="40" t="s">
        <v>100</v>
      </c>
      <c r="B28" s="171"/>
      <c r="C28" s="70" t="s">
        <v>101</v>
      </c>
      <c r="D28" s="172"/>
      <c r="E28" s="43" t="s">
        <v>16</v>
      </c>
      <c r="F28" s="71" t="s">
        <v>42</v>
      </c>
      <c r="G28" s="44"/>
      <c r="H28" s="44" t="s">
        <v>24</v>
      </c>
      <c r="I28" s="170" t="s">
        <v>37</v>
      </c>
      <c r="J28" s="45">
        <v>5416801180</v>
      </c>
      <c r="K28" s="46" t="s">
        <v>53</v>
      </c>
      <c r="L28" s="47">
        <v>46283</v>
      </c>
      <c r="M28" s="48"/>
      <c r="N28" s="49" t="s">
        <v>77</v>
      </c>
    </row>
    <row r="29" spans="1:14" ht="24.75" hidden="1">
      <c r="A29" s="33" t="s">
        <v>39</v>
      </c>
      <c r="B29" s="168"/>
      <c r="C29" s="31" t="s">
        <v>102</v>
      </c>
      <c r="D29" s="169"/>
      <c r="E29" s="32" t="s">
        <v>16</v>
      </c>
      <c r="F29" s="33" t="s">
        <v>42</v>
      </c>
      <c r="G29" s="34" t="s">
        <v>80</v>
      </c>
      <c r="H29" s="34" t="s">
        <v>24</v>
      </c>
      <c r="I29" s="169" t="s">
        <v>19</v>
      </c>
      <c r="J29" s="54">
        <v>146000000</v>
      </c>
      <c r="K29" s="36" t="s">
        <v>26</v>
      </c>
      <c r="L29" s="37">
        <v>46111</v>
      </c>
      <c r="M29" s="38" t="s">
        <v>27</v>
      </c>
      <c r="N29" s="39" t="s">
        <v>103</v>
      </c>
    </row>
    <row r="30" spans="1:14" hidden="1">
      <c r="A30" s="40" t="s">
        <v>104</v>
      </c>
      <c r="B30" s="171"/>
      <c r="C30" s="42" t="s">
        <v>105</v>
      </c>
      <c r="D30" s="170"/>
      <c r="E30" s="43" t="s">
        <v>16</v>
      </c>
      <c r="F30" s="40"/>
      <c r="G30" s="44" t="s">
        <v>96</v>
      </c>
      <c r="H30" s="44" t="s">
        <v>24</v>
      </c>
      <c r="I30" s="170" t="s">
        <v>25</v>
      </c>
      <c r="J30" s="45">
        <v>1200000000</v>
      </c>
      <c r="K30" s="46" t="s">
        <v>20</v>
      </c>
      <c r="L30" s="47">
        <v>46113</v>
      </c>
      <c r="M30" s="48"/>
      <c r="N30" s="49"/>
    </row>
    <row r="31" spans="1:14" ht="24.75">
      <c r="A31" s="67" t="s">
        <v>106</v>
      </c>
      <c r="B31" s="168"/>
      <c r="C31" s="31" t="s">
        <v>107</v>
      </c>
      <c r="D31" s="169"/>
      <c r="E31" s="32" t="s">
        <v>16</v>
      </c>
      <c r="F31" s="33" t="s">
        <v>42</v>
      </c>
      <c r="G31" s="34"/>
      <c r="H31" s="34" t="s">
        <v>24</v>
      </c>
      <c r="I31" s="169" t="s">
        <v>37</v>
      </c>
      <c r="J31" s="51">
        <v>85000000</v>
      </c>
      <c r="K31" s="52" t="s">
        <v>53</v>
      </c>
      <c r="L31" s="37">
        <v>46276</v>
      </c>
      <c r="M31" s="38"/>
      <c r="N31" s="39" t="s">
        <v>108</v>
      </c>
    </row>
    <row r="32" spans="1:14" hidden="1">
      <c r="A32" s="72" t="s">
        <v>82</v>
      </c>
      <c r="B32" s="171"/>
      <c r="C32" s="42" t="s">
        <v>24</v>
      </c>
      <c r="D32" s="170" t="s">
        <v>109</v>
      </c>
      <c r="E32" s="43" t="s">
        <v>16</v>
      </c>
      <c r="F32" s="40"/>
      <c r="G32" s="44" t="s">
        <v>23</v>
      </c>
      <c r="H32" s="44" t="s">
        <v>24</v>
      </c>
      <c r="I32" s="170" t="s">
        <v>37</v>
      </c>
      <c r="J32" s="63">
        <v>21340000</v>
      </c>
      <c r="K32" s="64" t="s">
        <v>26</v>
      </c>
      <c r="L32" s="47">
        <v>46198</v>
      </c>
      <c r="M32" s="48" t="s">
        <v>27</v>
      </c>
      <c r="N32" s="49" t="s">
        <v>74</v>
      </c>
    </row>
    <row r="33" spans="1:14" hidden="1">
      <c r="A33" s="30" t="s">
        <v>110</v>
      </c>
      <c r="B33" s="168"/>
      <c r="C33" s="73" t="s">
        <v>111</v>
      </c>
      <c r="D33" s="169"/>
      <c r="E33" s="32" t="s">
        <v>112</v>
      </c>
      <c r="F33" s="33"/>
      <c r="G33" s="34" t="s">
        <v>113</v>
      </c>
      <c r="H33" s="34" t="s">
        <v>24</v>
      </c>
      <c r="I33" s="33" t="s">
        <v>37</v>
      </c>
      <c r="J33" s="23">
        <v>7750850000</v>
      </c>
      <c r="K33" s="36" t="s">
        <v>26</v>
      </c>
      <c r="L33" s="37">
        <v>45986</v>
      </c>
      <c r="M33" s="74" t="s">
        <v>27</v>
      </c>
      <c r="N33" s="75" t="s">
        <v>114</v>
      </c>
    </row>
    <row r="34" spans="1:14" hidden="1">
      <c r="A34" s="4" t="s">
        <v>115</v>
      </c>
      <c r="B34" s="171"/>
      <c r="C34" s="42" t="s">
        <v>116</v>
      </c>
      <c r="D34" s="170"/>
      <c r="E34" s="43" t="s">
        <v>16</v>
      </c>
      <c r="F34" s="40"/>
      <c r="G34" s="44" t="s">
        <v>117</v>
      </c>
      <c r="H34" s="44" t="s">
        <v>18</v>
      </c>
      <c r="I34" s="40" t="s">
        <v>37</v>
      </c>
      <c r="J34" s="5">
        <v>3150000000</v>
      </c>
      <c r="K34" s="46" t="s">
        <v>26</v>
      </c>
      <c r="L34" s="47">
        <v>46011</v>
      </c>
      <c r="M34" s="48" t="s">
        <v>27</v>
      </c>
      <c r="N34" s="49"/>
    </row>
    <row r="35" spans="1:14" hidden="1">
      <c r="A35" s="33" t="s">
        <v>118</v>
      </c>
      <c r="B35" s="168"/>
      <c r="C35" s="31" t="s">
        <v>119</v>
      </c>
      <c r="D35" s="173"/>
      <c r="E35" s="32" t="s">
        <v>16</v>
      </c>
      <c r="F35" s="33" t="s">
        <v>120</v>
      </c>
      <c r="G35" s="34"/>
      <c r="H35" s="34" t="s">
        <v>121</v>
      </c>
      <c r="I35" s="173" t="s">
        <v>25</v>
      </c>
      <c r="J35" s="54">
        <v>66252090</v>
      </c>
      <c r="K35" s="36" t="s">
        <v>20</v>
      </c>
      <c r="L35" s="37">
        <v>46174</v>
      </c>
      <c r="M35" s="38"/>
      <c r="N35" s="39" t="s">
        <v>122</v>
      </c>
    </row>
    <row r="36" spans="1:14" hidden="1">
      <c r="A36" s="72" t="s">
        <v>123</v>
      </c>
      <c r="B36" s="72"/>
      <c r="C36" s="42" t="s">
        <v>124</v>
      </c>
      <c r="D36" s="40" t="s">
        <v>125</v>
      </c>
      <c r="E36" s="43" t="s">
        <v>16</v>
      </c>
      <c r="F36" s="40"/>
      <c r="G36" s="44" t="s">
        <v>117</v>
      </c>
      <c r="H36" s="44" t="s">
        <v>18</v>
      </c>
      <c r="I36" s="40" t="s">
        <v>49</v>
      </c>
      <c r="J36" s="63">
        <v>800000000</v>
      </c>
      <c r="K36" s="64" t="s">
        <v>26</v>
      </c>
      <c r="L36" s="47">
        <v>45980</v>
      </c>
      <c r="M36" s="48" t="s">
        <v>27</v>
      </c>
      <c r="N36" s="49"/>
    </row>
    <row r="37" spans="1:14" hidden="1">
      <c r="A37" s="30" t="s">
        <v>126</v>
      </c>
      <c r="B37" s="30"/>
      <c r="C37" s="73" t="s">
        <v>127</v>
      </c>
      <c r="D37" s="30" t="s">
        <v>128</v>
      </c>
      <c r="E37" s="32" t="s">
        <v>16</v>
      </c>
      <c r="F37" s="33"/>
      <c r="G37" s="76" t="s">
        <v>80</v>
      </c>
      <c r="H37" s="76" t="s">
        <v>18</v>
      </c>
      <c r="I37" s="33" t="s">
        <v>37</v>
      </c>
      <c r="J37" s="51">
        <v>1500000000</v>
      </c>
      <c r="K37" s="52" t="s">
        <v>26</v>
      </c>
      <c r="L37" s="37">
        <v>46157</v>
      </c>
      <c r="M37" s="37" t="s">
        <v>27</v>
      </c>
      <c r="N37" s="30" t="s">
        <v>129</v>
      </c>
    </row>
    <row r="38" spans="1:14" hidden="1">
      <c r="A38" s="4" t="s">
        <v>39</v>
      </c>
      <c r="B38" s="171"/>
      <c r="C38" s="21" t="s">
        <v>130</v>
      </c>
      <c r="D38" s="77" t="s">
        <v>131</v>
      </c>
      <c r="E38" s="43" t="s">
        <v>16</v>
      </c>
      <c r="F38" s="40" t="s">
        <v>42</v>
      </c>
      <c r="G38" s="44" t="s">
        <v>43</v>
      </c>
      <c r="H38" s="44" t="s">
        <v>18</v>
      </c>
      <c r="I38" s="170" t="s">
        <v>19</v>
      </c>
      <c r="J38" s="5">
        <v>219000000</v>
      </c>
      <c r="K38" s="46" t="s">
        <v>26</v>
      </c>
      <c r="L38" s="47">
        <v>46163</v>
      </c>
      <c r="M38" s="6" t="s">
        <v>27</v>
      </c>
      <c r="N38" s="15" t="s">
        <v>132</v>
      </c>
    </row>
    <row r="39" spans="1:14" hidden="1">
      <c r="A39" s="67" t="s">
        <v>133</v>
      </c>
      <c r="B39" s="67"/>
      <c r="C39" s="31" t="s">
        <v>134</v>
      </c>
      <c r="D39" s="33" t="s">
        <v>125</v>
      </c>
      <c r="E39" s="32" t="s">
        <v>16</v>
      </c>
      <c r="F39" s="33"/>
      <c r="G39" s="34" t="s">
        <v>117</v>
      </c>
      <c r="H39" s="34" t="s">
        <v>24</v>
      </c>
      <c r="I39" s="33" t="s">
        <v>25</v>
      </c>
      <c r="J39" s="51">
        <v>500000000</v>
      </c>
      <c r="K39" s="52" t="s">
        <v>26</v>
      </c>
      <c r="L39" s="37">
        <v>45980</v>
      </c>
      <c r="M39" s="38"/>
      <c r="N39" s="78"/>
    </row>
    <row r="40" spans="1:14" hidden="1">
      <c r="A40" s="72" t="s">
        <v>135</v>
      </c>
      <c r="B40" s="72"/>
      <c r="C40" s="42" t="s">
        <v>136</v>
      </c>
      <c r="D40" s="40" t="s">
        <v>125</v>
      </c>
      <c r="E40" s="43" t="s">
        <v>16</v>
      </c>
      <c r="F40" s="40"/>
      <c r="G40" s="44" t="s">
        <v>117</v>
      </c>
      <c r="H40" s="44" t="s">
        <v>18</v>
      </c>
      <c r="I40" s="40" t="s">
        <v>37</v>
      </c>
      <c r="J40" s="63">
        <v>260000000</v>
      </c>
      <c r="K40" s="64" t="s">
        <v>26</v>
      </c>
      <c r="L40" s="47">
        <v>46158</v>
      </c>
      <c r="M40" s="48"/>
      <c r="N40" s="49"/>
    </row>
    <row r="41" spans="1:14" hidden="1">
      <c r="A41" s="33" t="s">
        <v>137</v>
      </c>
      <c r="B41" s="168"/>
      <c r="C41" s="31" t="s">
        <v>138</v>
      </c>
      <c r="D41" s="33" t="s">
        <v>125</v>
      </c>
      <c r="E41" s="32" t="s">
        <v>16</v>
      </c>
      <c r="F41" s="33"/>
      <c r="G41" s="34" t="s">
        <v>117</v>
      </c>
      <c r="H41" s="34" t="s">
        <v>18</v>
      </c>
      <c r="I41" s="169" t="s">
        <v>37</v>
      </c>
      <c r="J41" s="54">
        <f>330000000+130500000</f>
        <v>460500000</v>
      </c>
      <c r="K41" s="36" t="s">
        <v>26</v>
      </c>
      <c r="L41" s="37">
        <v>46100</v>
      </c>
      <c r="M41" s="38" t="s">
        <v>27</v>
      </c>
      <c r="N41" s="39" t="s">
        <v>28</v>
      </c>
    </row>
    <row r="42" spans="1:14" hidden="1">
      <c r="A42" s="4" t="s">
        <v>139</v>
      </c>
      <c r="B42" s="171"/>
      <c r="C42" s="42" t="s">
        <v>140</v>
      </c>
      <c r="D42" s="170"/>
      <c r="E42" s="43" t="s">
        <v>16</v>
      </c>
      <c r="F42" s="40"/>
      <c r="G42" s="18" t="s">
        <v>80</v>
      </c>
      <c r="H42" s="62" t="s">
        <v>24</v>
      </c>
      <c r="I42" s="40" t="s">
        <v>37</v>
      </c>
      <c r="J42" s="5">
        <v>1297780000</v>
      </c>
      <c r="K42" s="46" t="s">
        <v>26</v>
      </c>
      <c r="L42" s="47">
        <v>46030</v>
      </c>
      <c r="M42" s="48"/>
      <c r="N42" s="49"/>
    </row>
    <row r="43" spans="1:14" hidden="1">
      <c r="A43" s="30" t="s">
        <v>141</v>
      </c>
      <c r="B43" s="168"/>
      <c r="C43" s="31" t="s">
        <v>140</v>
      </c>
      <c r="D43" s="169"/>
      <c r="E43" s="32" t="s">
        <v>16</v>
      </c>
      <c r="F43" s="33"/>
      <c r="G43" s="76" t="s">
        <v>80</v>
      </c>
      <c r="H43" s="59" t="s">
        <v>24</v>
      </c>
      <c r="I43" s="33" t="s">
        <v>37</v>
      </c>
      <c r="J43" s="35">
        <v>2659930000</v>
      </c>
      <c r="K43" s="36" t="s">
        <v>26</v>
      </c>
      <c r="L43" s="37">
        <v>46030</v>
      </c>
      <c r="M43" s="38"/>
      <c r="N43" s="39"/>
    </row>
    <row r="44" spans="1:14" hidden="1">
      <c r="A44" s="4" t="s">
        <v>126</v>
      </c>
      <c r="B44" s="171"/>
      <c r="C44" s="42" t="s">
        <v>142</v>
      </c>
      <c r="D44" s="170"/>
      <c r="E44" s="43" t="s">
        <v>16</v>
      </c>
      <c r="F44" s="40"/>
      <c r="G44" s="18" t="s">
        <v>80</v>
      </c>
      <c r="H44" s="62" t="s">
        <v>24</v>
      </c>
      <c r="I44" s="40" t="s">
        <v>37</v>
      </c>
      <c r="J44" s="5">
        <v>695653000</v>
      </c>
      <c r="K44" s="46" t="s">
        <v>143</v>
      </c>
      <c r="L44" s="47">
        <v>46241</v>
      </c>
      <c r="M44" s="48"/>
      <c r="N44" s="49" t="s">
        <v>144</v>
      </c>
    </row>
    <row r="45" spans="1:14">
      <c r="A45" s="30" t="s">
        <v>126</v>
      </c>
      <c r="B45" s="67"/>
      <c r="C45" s="31" t="s">
        <v>145</v>
      </c>
      <c r="D45" s="33"/>
      <c r="E45" s="32" t="s">
        <v>16</v>
      </c>
      <c r="F45" s="33"/>
      <c r="G45" s="76" t="s">
        <v>80</v>
      </c>
      <c r="H45" s="34" t="s">
        <v>24</v>
      </c>
      <c r="I45" s="33" t="s">
        <v>37</v>
      </c>
      <c r="J45" s="51">
        <v>2000000000</v>
      </c>
      <c r="K45" s="52" t="s">
        <v>53</v>
      </c>
      <c r="L45" s="37">
        <v>46235</v>
      </c>
      <c r="M45" s="37" t="s">
        <v>27</v>
      </c>
      <c r="N45" s="39"/>
    </row>
    <row r="46" spans="1:14">
      <c r="A46" s="4" t="s">
        <v>146</v>
      </c>
      <c r="B46" s="171"/>
      <c r="C46" s="29" t="s">
        <v>147</v>
      </c>
      <c r="D46" s="170"/>
      <c r="E46" s="43" t="s">
        <v>16</v>
      </c>
      <c r="F46" s="40" t="s">
        <v>42</v>
      </c>
      <c r="G46" s="44"/>
      <c r="H46" s="44" t="s">
        <v>18</v>
      </c>
      <c r="I46" s="170" t="s">
        <v>25</v>
      </c>
      <c r="J46" s="5">
        <v>1250000000</v>
      </c>
      <c r="K46" s="46" t="s">
        <v>53</v>
      </c>
      <c r="L46" s="47">
        <v>46241</v>
      </c>
      <c r="M46" s="6"/>
      <c r="N46" s="15" t="s">
        <v>148</v>
      </c>
    </row>
    <row r="47" spans="1:14" hidden="1">
      <c r="A47" s="30" t="s">
        <v>21</v>
      </c>
      <c r="B47" s="53" t="s">
        <v>149</v>
      </c>
      <c r="C47" s="73" t="s">
        <v>150</v>
      </c>
      <c r="D47" s="169"/>
      <c r="E47" s="32" t="s">
        <v>16</v>
      </c>
      <c r="F47" s="33"/>
      <c r="G47" s="34" t="s">
        <v>23</v>
      </c>
      <c r="H47" s="34" t="s">
        <v>24</v>
      </c>
      <c r="I47" s="169" t="s">
        <v>25</v>
      </c>
      <c r="J47" s="35">
        <v>21600000</v>
      </c>
      <c r="K47" s="36" t="s">
        <v>26</v>
      </c>
      <c r="L47" s="37">
        <v>46048</v>
      </c>
      <c r="M47" s="38" t="s">
        <v>27</v>
      </c>
      <c r="N47" s="39" t="s">
        <v>28</v>
      </c>
    </row>
    <row r="48" spans="1:14" hidden="1">
      <c r="A48" s="4" t="s">
        <v>151</v>
      </c>
      <c r="B48" s="41" t="s">
        <v>152</v>
      </c>
      <c r="C48" s="21" t="s">
        <v>30</v>
      </c>
      <c r="D48" s="170"/>
      <c r="E48" s="43" t="s">
        <v>16</v>
      </c>
      <c r="F48" s="40"/>
      <c r="G48" s="44" t="s">
        <v>23</v>
      </c>
      <c r="H48" s="44" t="s">
        <v>24</v>
      </c>
      <c r="I48" s="170" t="s">
        <v>25</v>
      </c>
      <c r="J48" s="5">
        <v>136616960</v>
      </c>
      <c r="K48" s="46" t="s">
        <v>26</v>
      </c>
      <c r="L48" s="47">
        <v>46079</v>
      </c>
      <c r="M48" s="48" t="s">
        <v>27</v>
      </c>
      <c r="N48" s="49" t="s">
        <v>28</v>
      </c>
    </row>
    <row r="49" spans="1:14" hidden="1">
      <c r="A49" s="30" t="s">
        <v>21</v>
      </c>
      <c r="B49" s="53" t="s">
        <v>153</v>
      </c>
      <c r="C49" s="73" t="s">
        <v>154</v>
      </c>
      <c r="D49" s="169"/>
      <c r="E49" s="32" t="s">
        <v>16</v>
      </c>
      <c r="F49" s="33"/>
      <c r="G49" s="34" t="s">
        <v>23</v>
      </c>
      <c r="H49" s="34" t="s">
        <v>24</v>
      </c>
      <c r="I49" s="169" t="s">
        <v>25</v>
      </c>
      <c r="J49" s="35">
        <v>137213000</v>
      </c>
      <c r="K49" s="36" t="s">
        <v>26</v>
      </c>
      <c r="L49" s="37">
        <v>46048</v>
      </c>
      <c r="M49" s="38" t="s">
        <v>27</v>
      </c>
      <c r="N49" s="39" t="s">
        <v>28</v>
      </c>
    </row>
    <row r="50" spans="1:14" hidden="1">
      <c r="A50" s="4" t="s">
        <v>21</v>
      </c>
      <c r="B50" s="41"/>
      <c r="C50" s="21" t="s">
        <v>155</v>
      </c>
      <c r="D50" s="170"/>
      <c r="E50" s="43" t="s">
        <v>16</v>
      </c>
      <c r="F50" s="40"/>
      <c r="G50" s="44" t="s">
        <v>23</v>
      </c>
      <c r="H50" s="44" t="s">
        <v>18</v>
      </c>
      <c r="I50" s="170" t="s">
        <v>25</v>
      </c>
      <c r="J50" s="5">
        <v>1348680000</v>
      </c>
      <c r="K50" s="46" t="s">
        <v>26</v>
      </c>
      <c r="L50" s="47">
        <v>46064</v>
      </c>
      <c r="M50" s="48" t="s">
        <v>27</v>
      </c>
      <c r="N50" s="49" t="s">
        <v>28</v>
      </c>
    </row>
    <row r="51" spans="1:14" hidden="1">
      <c r="A51" s="30" t="s">
        <v>156</v>
      </c>
      <c r="B51" s="53" t="s">
        <v>157</v>
      </c>
      <c r="C51" s="73" t="s">
        <v>157</v>
      </c>
      <c r="D51" s="169" t="s">
        <v>128</v>
      </c>
      <c r="E51" s="32" t="s">
        <v>16</v>
      </c>
      <c r="F51" s="33"/>
      <c r="G51" s="34" t="s">
        <v>23</v>
      </c>
      <c r="H51" s="34" t="s">
        <v>18</v>
      </c>
      <c r="I51" s="169" t="s">
        <v>37</v>
      </c>
      <c r="J51" s="35">
        <v>200000000</v>
      </c>
      <c r="K51" s="36" t="s">
        <v>26</v>
      </c>
      <c r="L51" s="37">
        <v>46048</v>
      </c>
      <c r="M51" s="38" t="s">
        <v>27</v>
      </c>
      <c r="N51" s="39" t="s">
        <v>28</v>
      </c>
    </row>
    <row r="52" spans="1:14" hidden="1">
      <c r="A52" s="4" t="s">
        <v>21</v>
      </c>
      <c r="B52" s="171"/>
      <c r="C52" s="21" t="s">
        <v>31</v>
      </c>
      <c r="D52" s="170"/>
      <c r="E52" s="43" t="s">
        <v>16</v>
      </c>
      <c r="F52" s="40"/>
      <c r="G52" s="44" t="s">
        <v>23</v>
      </c>
      <c r="H52" s="44" t="s">
        <v>24</v>
      </c>
      <c r="I52" s="170" t="s">
        <v>25</v>
      </c>
      <c r="J52" s="5">
        <v>1350000000</v>
      </c>
      <c r="K52" s="46" t="s">
        <v>26</v>
      </c>
      <c r="L52" s="47">
        <v>46016</v>
      </c>
      <c r="M52" s="6"/>
      <c r="N52" s="15"/>
    </row>
    <row r="53" spans="1:14" hidden="1">
      <c r="A53" s="30" t="s">
        <v>21</v>
      </c>
      <c r="B53" s="53" t="s">
        <v>149</v>
      </c>
      <c r="C53" s="73" t="s">
        <v>158</v>
      </c>
      <c r="D53" s="169"/>
      <c r="E53" s="32" t="s">
        <v>16</v>
      </c>
      <c r="F53" s="33"/>
      <c r="G53" s="34" t="s">
        <v>23</v>
      </c>
      <c r="H53" s="34" t="s">
        <v>24</v>
      </c>
      <c r="I53" s="169" t="s">
        <v>25</v>
      </c>
      <c r="J53" s="35">
        <f>54000000+266311759</f>
        <v>320311759</v>
      </c>
      <c r="K53" s="36" t="s">
        <v>26</v>
      </c>
      <c r="L53" s="37">
        <v>46073</v>
      </c>
      <c r="M53" s="74"/>
      <c r="N53" s="75" t="s">
        <v>159</v>
      </c>
    </row>
    <row r="54" spans="1:14" hidden="1">
      <c r="A54" s="40" t="s">
        <v>160</v>
      </c>
      <c r="B54" s="171"/>
      <c r="C54" s="42" t="s">
        <v>161</v>
      </c>
      <c r="D54" s="170"/>
      <c r="E54" s="43" t="s">
        <v>16</v>
      </c>
      <c r="F54" s="40"/>
      <c r="G54" s="44" t="s">
        <v>88</v>
      </c>
      <c r="H54" s="44" t="s">
        <v>24</v>
      </c>
      <c r="I54" s="40" t="s">
        <v>25</v>
      </c>
      <c r="J54" s="45">
        <v>155000000</v>
      </c>
      <c r="K54" s="46" t="s">
        <v>26</v>
      </c>
      <c r="L54" s="47">
        <v>46054</v>
      </c>
      <c r="M54" s="48" t="s">
        <v>27</v>
      </c>
      <c r="N54" s="49" t="s">
        <v>28</v>
      </c>
    </row>
    <row r="55" spans="1:14" hidden="1">
      <c r="A55" s="67" t="s">
        <v>162</v>
      </c>
      <c r="B55" s="67"/>
      <c r="C55" s="83" t="s">
        <v>163</v>
      </c>
      <c r="D55" s="33"/>
      <c r="E55" s="32" t="s">
        <v>112</v>
      </c>
      <c r="F55" s="33"/>
      <c r="G55" s="34" t="s">
        <v>164</v>
      </c>
      <c r="H55" s="59" t="s">
        <v>18</v>
      </c>
      <c r="I55" s="33" t="s">
        <v>37</v>
      </c>
      <c r="J55" s="51">
        <v>1900000000</v>
      </c>
      <c r="K55" s="36" t="s">
        <v>26</v>
      </c>
      <c r="L55" s="37">
        <v>46092</v>
      </c>
      <c r="M55" s="38" t="s">
        <v>27</v>
      </c>
      <c r="N55" s="82"/>
    </row>
    <row r="56" spans="1:14" hidden="1">
      <c r="A56" s="72" t="s">
        <v>165</v>
      </c>
      <c r="B56" s="72"/>
      <c r="C56" s="84" t="s">
        <v>166</v>
      </c>
      <c r="D56" s="44" t="s">
        <v>125</v>
      </c>
      <c r="E56" s="43" t="s">
        <v>112</v>
      </c>
      <c r="F56" s="40"/>
      <c r="G56" s="44" t="s">
        <v>164</v>
      </c>
      <c r="H56" s="62" t="s">
        <v>18</v>
      </c>
      <c r="I56" s="40" t="s">
        <v>25</v>
      </c>
      <c r="J56" s="63">
        <v>4261261261</v>
      </c>
      <c r="K56" s="46" t="s">
        <v>26</v>
      </c>
      <c r="L56" s="47">
        <v>46100</v>
      </c>
      <c r="M56" s="48" t="s">
        <v>27</v>
      </c>
      <c r="N56" s="85" t="s">
        <v>167</v>
      </c>
    </row>
    <row r="57" spans="1:14" hidden="1">
      <c r="A57" s="40" t="s">
        <v>168</v>
      </c>
      <c r="B57" s="40"/>
      <c r="C57" s="42" t="s">
        <v>169</v>
      </c>
      <c r="D57" s="40"/>
      <c r="E57" s="43" t="s">
        <v>112</v>
      </c>
      <c r="F57" s="40"/>
      <c r="G57" s="40" t="s">
        <v>170</v>
      </c>
      <c r="H57" s="40" t="s">
        <v>18</v>
      </c>
      <c r="I57" s="40" t="s">
        <v>25</v>
      </c>
      <c r="J57" s="45">
        <v>1950000000</v>
      </c>
      <c r="K57" s="46" t="s">
        <v>26</v>
      </c>
      <c r="L57" s="47">
        <v>46146</v>
      </c>
      <c r="M57" s="48" t="s">
        <v>27</v>
      </c>
      <c r="N57" s="80"/>
    </row>
    <row r="58" spans="1:14" hidden="1">
      <c r="A58" s="33" t="s">
        <v>171</v>
      </c>
      <c r="B58" s="168"/>
      <c r="C58" s="31" t="s">
        <v>18</v>
      </c>
      <c r="D58" s="169"/>
      <c r="E58" s="32" t="s">
        <v>112</v>
      </c>
      <c r="F58" s="33"/>
      <c r="G58" s="33" t="s">
        <v>164</v>
      </c>
      <c r="H58" s="33" t="s">
        <v>18</v>
      </c>
      <c r="I58" s="169" t="s">
        <v>37</v>
      </c>
      <c r="J58" s="54">
        <v>2450000000</v>
      </c>
      <c r="K58" s="86" t="s">
        <v>26</v>
      </c>
      <c r="L58" s="87">
        <v>46168</v>
      </c>
      <c r="M58" s="38" t="s">
        <v>27</v>
      </c>
      <c r="N58" s="78"/>
    </row>
    <row r="59" spans="1:14" ht="24.75" hidden="1">
      <c r="A59" s="30" t="s">
        <v>172</v>
      </c>
      <c r="B59" s="67"/>
      <c r="C59" s="73" t="s">
        <v>173</v>
      </c>
      <c r="D59" s="33"/>
      <c r="E59" s="32" t="s">
        <v>16</v>
      </c>
      <c r="F59" s="33"/>
      <c r="G59" s="33" t="s">
        <v>80</v>
      </c>
      <c r="H59" s="33" t="s">
        <v>24</v>
      </c>
      <c r="I59" s="33" t="s">
        <v>37</v>
      </c>
      <c r="J59" s="35">
        <v>55320000</v>
      </c>
      <c r="K59" s="86" t="s">
        <v>26</v>
      </c>
      <c r="L59" s="37">
        <v>46001</v>
      </c>
      <c r="M59" s="74"/>
      <c r="N59" s="89" t="s">
        <v>174</v>
      </c>
    </row>
    <row r="60" spans="1:14" ht="24.75" hidden="1">
      <c r="A60" s="4" t="s">
        <v>172</v>
      </c>
      <c r="B60" s="72"/>
      <c r="C60" s="21" t="s">
        <v>175</v>
      </c>
      <c r="D60" s="40"/>
      <c r="E60" s="43" t="s">
        <v>16</v>
      </c>
      <c r="F60" s="40"/>
      <c r="G60" s="40" t="s">
        <v>80</v>
      </c>
      <c r="H60" s="40" t="s">
        <v>24</v>
      </c>
      <c r="I60" s="40" t="s">
        <v>37</v>
      </c>
      <c r="J60" s="5">
        <v>42366249.5</v>
      </c>
      <c r="K60" s="88" t="s">
        <v>26</v>
      </c>
      <c r="L60" s="47">
        <v>46001</v>
      </c>
      <c r="M60" s="6"/>
      <c r="N60" s="17" t="s">
        <v>174</v>
      </c>
    </row>
    <row r="61" spans="1:14" ht="24.75" hidden="1">
      <c r="A61" s="4" t="s">
        <v>176</v>
      </c>
      <c r="B61" s="171"/>
      <c r="C61" s="21" t="s">
        <v>177</v>
      </c>
      <c r="D61" s="170"/>
      <c r="E61" s="43" t="s">
        <v>16</v>
      </c>
      <c r="F61" s="40"/>
      <c r="G61" s="40" t="s">
        <v>80</v>
      </c>
      <c r="H61" s="40" t="s">
        <v>24</v>
      </c>
      <c r="I61" s="40" t="s">
        <v>37</v>
      </c>
      <c r="J61" s="45">
        <v>757926000</v>
      </c>
      <c r="K61" s="88" t="s">
        <v>26</v>
      </c>
      <c r="L61" s="47">
        <v>46001</v>
      </c>
      <c r="M61" s="48"/>
      <c r="N61" s="80"/>
    </row>
    <row r="62" spans="1:14" hidden="1">
      <c r="A62" s="30" t="s">
        <v>178</v>
      </c>
      <c r="B62" s="168"/>
      <c r="C62" s="73" t="s">
        <v>179</v>
      </c>
      <c r="D62" s="169"/>
      <c r="E62" s="32" t="s">
        <v>112</v>
      </c>
      <c r="F62" s="33"/>
      <c r="G62" s="34" t="s">
        <v>43</v>
      </c>
      <c r="H62" s="34" t="s">
        <v>18</v>
      </c>
      <c r="I62" s="169" t="s">
        <v>25</v>
      </c>
      <c r="J62" s="35">
        <v>51000000</v>
      </c>
      <c r="K62" s="86" t="s">
        <v>26</v>
      </c>
      <c r="L62" s="37">
        <v>46150</v>
      </c>
      <c r="M62" s="74" t="s">
        <v>27</v>
      </c>
      <c r="N62" s="78" t="s">
        <v>28</v>
      </c>
    </row>
    <row r="63" spans="1:14" hidden="1">
      <c r="A63" s="40" t="s">
        <v>180</v>
      </c>
      <c r="B63" s="171"/>
      <c r="C63" s="42" t="s">
        <v>134</v>
      </c>
      <c r="D63" s="170"/>
      <c r="E63" s="43" t="s">
        <v>112</v>
      </c>
      <c r="F63" s="40"/>
      <c r="G63" s="44" t="s">
        <v>164</v>
      </c>
      <c r="H63" s="44" t="s">
        <v>18</v>
      </c>
      <c r="I63" s="170" t="s">
        <v>19</v>
      </c>
      <c r="J63" s="45">
        <v>215000000</v>
      </c>
      <c r="K63" s="88" t="s">
        <v>26</v>
      </c>
      <c r="L63" s="47">
        <v>46079</v>
      </c>
      <c r="M63" s="48" t="s">
        <v>27</v>
      </c>
      <c r="N63" s="80" t="s">
        <v>181</v>
      </c>
    </row>
    <row r="64" spans="1:14" hidden="1">
      <c r="A64" s="33" t="s">
        <v>182</v>
      </c>
      <c r="B64" s="67"/>
      <c r="C64" s="31" t="s">
        <v>183</v>
      </c>
      <c r="D64" s="33" t="s">
        <v>184</v>
      </c>
      <c r="E64" s="32" t="s">
        <v>112</v>
      </c>
      <c r="F64" s="33"/>
      <c r="G64" s="34" t="s">
        <v>170</v>
      </c>
      <c r="H64" s="34" t="s">
        <v>24</v>
      </c>
      <c r="I64" s="33" t="s">
        <v>25</v>
      </c>
      <c r="J64" s="54">
        <v>424500000</v>
      </c>
      <c r="K64" s="86" t="s">
        <v>26</v>
      </c>
      <c r="L64" s="37">
        <v>45968</v>
      </c>
      <c r="M64" s="37" t="s">
        <v>27</v>
      </c>
      <c r="N64" s="82"/>
    </row>
    <row r="65" spans="1:14" ht="24.75" hidden="1">
      <c r="A65" s="4" t="s">
        <v>172</v>
      </c>
      <c r="B65" s="72"/>
      <c r="C65" s="21" t="s">
        <v>185</v>
      </c>
      <c r="D65" s="40"/>
      <c r="E65" s="43" t="s">
        <v>16</v>
      </c>
      <c r="F65" s="40"/>
      <c r="G65" s="40" t="s">
        <v>80</v>
      </c>
      <c r="H65" s="40" t="s">
        <v>24</v>
      </c>
      <c r="I65" s="40" t="s">
        <v>37</v>
      </c>
      <c r="J65" s="45">
        <v>30270000</v>
      </c>
      <c r="K65" s="88" t="s">
        <v>26</v>
      </c>
      <c r="L65" s="47">
        <v>46204</v>
      </c>
      <c r="M65" s="47"/>
      <c r="N65" s="85"/>
    </row>
    <row r="66" spans="1:14" ht="24.75" hidden="1">
      <c r="A66" s="30" t="s">
        <v>172</v>
      </c>
      <c r="B66" s="67"/>
      <c r="C66" s="73" t="s">
        <v>186</v>
      </c>
      <c r="D66" s="33"/>
      <c r="E66" s="32" t="s">
        <v>16</v>
      </c>
      <c r="F66" s="33"/>
      <c r="G66" s="33" t="s">
        <v>80</v>
      </c>
      <c r="H66" s="33" t="s">
        <v>24</v>
      </c>
      <c r="I66" s="33" t="s">
        <v>37</v>
      </c>
      <c r="J66" s="54">
        <v>38234000</v>
      </c>
      <c r="K66" s="86" t="s">
        <v>26</v>
      </c>
      <c r="L66" s="37">
        <v>46204</v>
      </c>
      <c r="M66" s="37"/>
      <c r="N66" s="82"/>
    </row>
    <row r="67" spans="1:14" ht="24.75" hidden="1">
      <c r="A67" s="4" t="s">
        <v>172</v>
      </c>
      <c r="B67" s="72"/>
      <c r="C67" s="21" t="s">
        <v>187</v>
      </c>
      <c r="D67" s="40"/>
      <c r="E67" s="43" t="s">
        <v>16</v>
      </c>
      <c r="F67" s="40"/>
      <c r="G67" s="40" t="s">
        <v>80</v>
      </c>
      <c r="H67" s="40" t="s">
        <v>24</v>
      </c>
      <c r="I67" s="40" t="s">
        <v>37</v>
      </c>
      <c r="J67" s="45">
        <v>27425000</v>
      </c>
      <c r="K67" s="88" t="s">
        <v>26</v>
      </c>
      <c r="L67" s="47">
        <v>46204</v>
      </c>
      <c r="M67" s="47"/>
      <c r="N67" s="85"/>
    </row>
    <row r="68" spans="1:14" ht="24.75" hidden="1">
      <c r="A68" s="30" t="s">
        <v>172</v>
      </c>
      <c r="B68" s="67"/>
      <c r="C68" s="73" t="s">
        <v>188</v>
      </c>
      <c r="D68" s="33"/>
      <c r="E68" s="32" t="s">
        <v>16</v>
      </c>
      <c r="F68" s="33"/>
      <c r="G68" s="33" t="s">
        <v>80</v>
      </c>
      <c r="H68" s="33" t="s">
        <v>24</v>
      </c>
      <c r="I68" s="33" t="s">
        <v>37</v>
      </c>
      <c r="J68" s="54">
        <v>26200000</v>
      </c>
      <c r="K68" s="86" t="s">
        <v>26</v>
      </c>
      <c r="L68" s="37">
        <v>46204</v>
      </c>
      <c r="M68" s="37"/>
      <c r="N68" s="82"/>
    </row>
    <row r="69" spans="1:14" ht="24.75" hidden="1">
      <c r="A69" s="4" t="s">
        <v>172</v>
      </c>
      <c r="B69" s="72"/>
      <c r="C69" s="21" t="s">
        <v>189</v>
      </c>
      <c r="D69" s="40"/>
      <c r="E69" s="43" t="s">
        <v>16</v>
      </c>
      <c r="F69" s="40"/>
      <c r="G69" s="40" t="s">
        <v>80</v>
      </c>
      <c r="H69" s="40" t="s">
        <v>24</v>
      </c>
      <c r="I69" s="40" t="s">
        <v>37</v>
      </c>
      <c r="J69" s="45">
        <v>32815000</v>
      </c>
      <c r="K69" s="88" t="s">
        <v>26</v>
      </c>
      <c r="L69" s="47">
        <v>46204</v>
      </c>
      <c r="M69" s="47"/>
      <c r="N69" s="85"/>
    </row>
    <row r="70" spans="1:14" ht="24.75" hidden="1">
      <c r="A70" s="30" t="s">
        <v>172</v>
      </c>
      <c r="B70" s="67"/>
      <c r="C70" s="73" t="s">
        <v>190</v>
      </c>
      <c r="D70" s="33"/>
      <c r="E70" s="32" t="s">
        <v>16</v>
      </c>
      <c r="F70" s="33"/>
      <c r="G70" s="33" t="s">
        <v>80</v>
      </c>
      <c r="H70" s="33" t="s">
        <v>24</v>
      </c>
      <c r="I70" s="33" t="s">
        <v>37</v>
      </c>
      <c r="J70" s="54">
        <v>33550000</v>
      </c>
      <c r="K70" s="86" t="s">
        <v>26</v>
      </c>
      <c r="L70" s="37">
        <v>46204</v>
      </c>
      <c r="M70" s="37"/>
      <c r="N70" s="82"/>
    </row>
    <row r="71" spans="1:14" ht="24.75" hidden="1">
      <c r="A71" s="4" t="s">
        <v>172</v>
      </c>
      <c r="B71" s="72"/>
      <c r="C71" s="21" t="s">
        <v>191</v>
      </c>
      <c r="D71" s="40"/>
      <c r="E71" s="43" t="s">
        <v>16</v>
      </c>
      <c r="F71" s="40"/>
      <c r="G71" s="40" t="s">
        <v>80</v>
      </c>
      <c r="H71" s="40" t="s">
        <v>24</v>
      </c>
      <c r="I71" s="40" t="s">
        <v>37</v>
      </c>
      <c r="J71" s="45">
        <v>77150000</v>
      </c>
      <c r="K71" s="88" t="s">
        <v>26</v>
      </c>
      <c r="L71" s="47">
        <v>46204</v>
      </c>
      <c r="M71" s="47"/>
      <c r="N71" s="85"/>
    </row>
    <row r="72" spans="1:14">
      <c r="A72" s="33" t="s">
        <v>192</v>
      </c>
      <c r="B72" s="168"/>
      <c r="C72" s="31" t="s">
        <v>18</v>
      </c>
      <c r="D72" s="169"/>
      <c r="E72" s="32" t="s">
        <v>112</v>
      </c>
      <c r="F72" s="33"/>
      <c r="G72" s="33" t="s">
        <v>164</v>
      </c>
      <c r="H72" s="33" t="s">
        <v>18</v>
      </c>
      <c r="I72" s="169" t="s">
        <v>25</v>
      </c>
      <c r="J72" s="54">
        <v>1400000000</v>
      </c>
      <c r="K72" s="86" t="s">
        <v>53</v>
      </c>
      <c r="L72" s="87">
        <v>46337</v>
      </c>
      <c r="M72" s="38"/>
      <c r="N72" s="78"/>
    </row>
    <row r="73" spans="1:14">
      <c r="A73" s="40" t="s">
        <v>193</v>
      </c>
      <c r="B73" s="40"/>
      <c r="C73" s="42" t="s">
        <v>194</v>
      </c>
      <c r="D73" s="40" t="s">
        <v>195</v>
      </c>
      <c r="E73" s="43" t="s">
        <v>112</v>
      </c>
      <c r="F73" s="40"/>
      <c r="G73" s="40" t="s">
        <v>164</v>
      </c>
      <c r="H73" s="40" t="s">
        <v>18</v>
      </c>
      <c r="I73" s="40" t="s">
        <v>37</v>
      </c>
      <c r="J73" s="45">
        <v>5000000000</v>
      </c>
      <c r="K73" s="88" t="s">
        <v>53</v>
      </c>
      <c r="L73" s="90">
        <v>46309</v>
      </c>
      <c r="M73" s="47" t="s">
        <v>27</v>
      </c>
      <c r="N73" s="80" t="s">
        <v>196</v>
      </c>
    </row>
    <row r="74" spans="1:14" hidden="1">
      <c r="A74" s="33" t="s">
        <v>197</v>
      </c>
      <c r="B74" s="168"/>
      <c r="C74" s="31" t="s">
        <v>24</v>
      </c>
      <c r="D74" s="169"/>
      <c r="E74" s="32" t="s">
        <v>112</v>
      </c>
      <c r="F74" s="33"/>
      <c r="G74" s="33" t="s">
        <v>164</v>
      </c>
      <c r="H74" s="33" t="s">
        <v>24</v>
      </c>
      <c r="I74" s="169" t="s">
        <v>25</v>
      </c>
      <c r="J74" s="54">
        <v>161010000</v>
      </c>
      <c r="K74" s="86" t="s">
        <v>26</v>
      </c>
      <c r="L74" s="37">
        <v>46107</v>
      </c>
      <c r="M74" s="38"/>
      <c r="N74" s="78"/>
    </row>
    <row r="75" spans="1:14" hidden="1">
      <c r="A75" s="4" t="s">
        <v>198</v>
      </c>
      <c r="B75" s="171"/>
      <c r="C75" s="21" t="s">
        <v>199</v>
      </c>
      <c r="D75" s="170"/>
      <c r="E75" s="43" t="s">
        <v>16</v>
      </c>
      <c r="F75" s="40"/>
      <c r="G75" s="40" t="s">
        <v>23</v>
      </c>
      <c r="H75" s="40" t="s">
        <v>18</v>
      </c>
      <c r="I75" s="170" t="s">
        <v>25</v>
      </c>
      <c r="J75" s="5">
        <v>80000000</v>
      </c>
      <c r="K75" s="88" t="s">
        <v>26</v>
      </c>
      <c r="L75" s="47">
        <v>45981</v>
      </c>
      <c r="M75" s="6"/>
      <c r="N75" s="17"/>
    </row>
    <row r="76" spans="1:14" hidden="1">
      <c r="A76" s="33" t="s">
        <v>200</v>
      </c>
      <c r="B76" s="67"/>
      <c r="C76" s="31" t="s">
        <v>201</v>
      </c>
      <c r="D76" s="33" t="s">
        <v>195</v>
      </c>
      <c r="E76" s="32" t="s">
        <v>112</v>
      </c>
      <c r="F76" s="33"/>
      <c r="G76" s="33" t="s">
        <v>170</v>
      </c>
      <c r="H76" s="33" t="s">
        <v>18</v>
      </c>
      <c r="I76" s="33" t="s">
        <v>25</v>
      </c>
      <c r="J76" s="54">
        <v>11950000000</v>
      </c>
      <c r="K76" s="86" t="s">
        <v>26</v>
      </c>
      <c r="L76" s="37">
        <v>46000</v>
      </c>
      <c r="M76" s="37" t="s">
        <v>27</v>
      </c>
      <c r="N76" s="82"/>
    </row>
    <row r="77" spans="1:14">
      <c r="A77" s="40" t="s">
        <v>202</v>
      </c>
      <c r="B77" s="171"/>
      <c r="C77" s="42" t="s">
        <v>18</v>
      </c>
      <c r="D77" s="170"/>
      <c r="E77" s="43" t="s">
        <v>112</v>
      </c>
      <c r="F77" s="40"/>
      <c r="G77" s="40" t="s">
        <v>164</v>
      </c>
      <c r="H77" s="40" t="s">
        <v>18</v>
      </c>
      <c r="I77" s="170" t="s">
        <v>37</v>
      </c>
      <c r="J77" s="45">
        <v>3000000000</v>
      </c>
      <c r="K77" s="88" t="s">
        <v>53</v>
      </c>
      <c r="L77" s="90">
        <v>46415</v>
      </c>
      <c r="M77" s="91"/>
      <c r="N77" s="80"/>
    </row>
    <row r="78" spans="1:14">
      <c r="A78" s="33" t="s">
        <v>203</v>
      </c>
      <c r="B78" s="168"/>
      <c r="C78" s="31" t="s">
        <v>24</v>
      </c>
      <c r="D78" s="169"/>
      <c r="E78" s="32" t="s">
        <v>112</v>
      </c>
      <c r="F78" s="33"/>
      <c r="G78" s="33" t="s">
        <v>164</v>
      </c>
      <c r="H78" s="33" t="s">
        <v>24</v>
      </c>
      <c r="I78" s="169" t="s">
        <v>19</v>
      </c>
      <c r="J78" s="54">
        <v>687000000</v>
      </c>
      <c r="K78" s="86" t="s">
        <v>53</v>
      </c>
      <c r="L78" s="87">
        <v>46248</v>
      </c>
      <c r="M78" s="38"/>
      <c r="N78" s="78"/>
    </row>
    <row r="79" spans="1:14">
      <c r="A79" s="72" t="s">
        <v>204</v>
      </c>
      <c r="B79" s="72"/>
      <c r="C79" s="42" t="s">
        <v>18</v>
      </c>
      <c r="D79" s="40"/>
      <c r="E79" s="43" t="s">
        <v>112</v>
      </c>
      <c r="F79" s="40"/>
      <c r="G79" s="40" t="s">
        <v>164</v>
      </c>
      <c r="H79" s="40" t="s">
        <v>18</v>
      </c>
      <c r="I79" s="40" t="s">
        <v>37</v>
      </c>
      <c r="J79" s="63">
        <v>1400000000</v>
      </c>
      <c r="K79" s="48" t="s">
        <v>53</v>
      </c>
      <c r="L79" s="90">
        <v>46267</v>
      </c>
      <c r="M79" s="88" t="s">
        <v>27</v>
      </c>
      <c r="N79" s="80" t="s">
        <v>205</v>
      </c>
    </row>
    <row r="80" spans="1:14" hidden="1">
      <c r="A80" s="33" t="s">
        <v>206</v>
      </c>
      <c r="B80" s="168"/>
      <c r="C80" s="31" t="s">
        <v>207</v>
      </c>
      <c r="D80" s="169"/>
      <c r="E80" s="32" t="s">
        <v>112</v>
      </c>
      <c r="F80" s="33"/>
      <c r="G80" s="33" t="s">
        <v>164</v>
      </c>
      <c r="H80" s="33" t="s">
        <v>18</v>
      </c>
      <c r="I80" s="169" t="s">
        <v>37</v>
      </c>
      <c r="J80" s="54">
        <v>350000000</v>
      </c>
      <c r="K80" s="86" t="s">
        <v>81</v>
      </c>
      <c r="L80" s="87">
        <v>46128</v>
      </c>
      <c r="M80" s="38"/>
      <c r="N80" s="78"/>
    </row>
    <row r="81" spans="1:14">
      <c r="A81" s="40" t="s">
        <v>208</v>
      </c>
      <c r="B81" s="171"/>
      <c r="C81" s="42" t="s">
        <v>18</v>
      </c>
      <c r="D81" s="170"/>
      <c r="E81" s="43" t="s">
        <v>112</v>
      </c>
      <c r="F81" s="40"/>
      <c r="G81" s="40" t="s">
        <v>164</v>
      </c>
      <c r="H81" s="40" t="s">
        <v>18</v>
      </c>
      <c r="I81" s="170" t="s">
        <v>37</v>
      </c>
      <c r="J81" s="45">
        <v>1400000000</v>
      </c>
      <c r="K81" s="88" t="s">
        <v>53</v>
      </c>
      <c r="L81" s="90">
        <v>46337</v>
      </c>
      <c r="M81" s="48"/>
      <c r="N81" s="80"/>
    </row>
    <row r="82" spans="1:14">
      <c r="A82" s="33" t="s">
        <v>209</v>
      </c>
      <c r="B82" s="168"/>
      <c r="C82" s="31" t="s">
        <v>210</v>
      </c>
      <c r="D82" s="169"/>
      <c r="E82" s="32" t="s">
        <v>112</v>
      </c>
      <c r="F82" s="33"/>
      <c r="G82" s="33" t="s">
        <v>164</v>
      </c>
      <c r="H82" s="33" t="s">
        <v>18</v>
      </c>
      <c r="I82" s="169" t="s">
        <v>37</v>
      </c>
      <c r="J82" s="54">
        <v>1300000000</v>
      </c>
      <c r="K82" s="86" t="s">
        <v>53</v>
      </c>
      <c r="L82" s="87">
        <v>46382</v>
      </c>
      <c r="M82" s="38"/>
      <c r="N82" s="78"/>
    </row>
    <row r="83" spans="1:14">
      <c r="A83" s="40" t="s">
        <v>211</v>
      </c>
      <c r="B83" s="171"/>
      <c r="C83" s="42" t="s">
        <v>24</v>
      </c>
      <c r="D83" s="170"/>
      <c r="E83" s="43" t="s">
        <v>112</v>
      </c>
      <c r="F83" s="40"/>
      <c r="G83" s="40" t="s">
        <v>164</v>
      </c>
      <c r="H83" s="40" t="s">
        <v>18</v>
      </c>
      <c r="I83" s="170" t="s">
        <v>49</v>
      </c>
      <c r="J83" s="45">
        <v>385000000</v>
      </c>
      <c r="K83" s="88" t="s">
        <v>53</v>
      </c>
      <c r="L83" s="90">
        <v>46268</v>
      </c>
      <c r="M83" s="48"/>
      <c r="N83" s="80"/>
    </row>
    <row r="84" spans="1:14">
      <c r="A84" s="33" t="s">
        <v>212</v>
      </c>
      <c r="B84" s="168"/>
      <c r="C84" s="31" t="s">
        <v>24</v>
      </c>
      <c r="D84" s="169"/>
      <c r="E84" s="32" t="s">
        <v>112</v>
      </c>
      <c r="F84" s="33"/>
      <c r="G84" s="33" t="s">
        <v>164</v>
      </c>
      <c r="H84" s="33" t="s">
        <v>24</v>
      </c>
      <c r="I84" s="169" t="s">
        <v>37</v>
      </c>
      <c r="J84" s="54">
        <v>635000000</v>
      </c>
      <c r="K84" s="86" t="s">
        <v>53</v>
      </c>
      <c r="L84" s="87">
        <v>46233</v>
      </c>
      <c r="M84" s="38" t="s">
        <v>27</v>
      </c>
      <c r="N84" s="78" t="s">
        <v>213</v>
      </c>
    </row>
    <row r="85" spans="1:14" hidden="1">
      <c r="A85" s="40" t="s">
        <v>214</v>
      </c>
      <c r="B85" s="171"/>
      <c r="C85" s="42" t="s">
        <v>46</v>
      </c>
      <c r="D85" s="170"/>
      <c r="E85" s="43" t="s">
        <v>112</v>
      </c>
      <c r="F85" s="40"/>
      <c r="G85" s="40" t="s">
        <v>164</v>
      </c>
      <c r="H85" s="40" t="s">
        <v>18</v>
      </c>
      <c r="I85" s="170" t="s">
        <v>37</v>
      </c>
      <c r="J85" s="45">
        <v>92000000</v>
      </c>
      <c r="K85" s="88" t="s">
        <v>26</v>
      </c>
      <c r="L85" s="47">
        <v>46029</v>
      </c>
      <c r="M85" s="48"/>
      <c r="N85" s="80"/>
    </row>
    <row r="86" spans="1:14">
      <c r="A86" s="33" t="s">
        <v>215</v>
      </c>
      <c r="B86" s="168"/>
      <c r="C86" s="31" t="s">
        <v>18</v>
      </c>
      <c r="D86" s="169"/>
      <c r="E86" s="32" t="s">
        <v>112</v>
      </c>
      <c r="F86" s="33"/>
      <c r="G86" s="33" t="s">
        <v>164</v>
      </c>
      <c r="H86" s="33"/>
      <c r="I86" s="169" t="s">
        <v>37</v>
      </c>
      <c r="J86" s="54">
        <v>950000000</v>
      </c>
      <c r="K86" s="86" t="s">
        <v>53</v>
      </c>
      <c r="L86" s="87">
        <v>46260</v>
      </c>
      <c r="M86" s="38" t="s">
        <v>27</v>
      </c>
      <c r="N86" s="78"/>
    </row>
    <row r="87" spans="1:14">
      <c r="A87" s="72" t="s">
        <v>216</v>
      </c>
      <c r="B87" s="72"/>
      <c r="C87" s="42" t="s">
        <v>217</v>
      </c>
      <c r="D87" s="40"/>
      <c r="E87" s="43" t="s">
        <v>112</v>
      </c>
      <c r="F87" s="40"/>
      <c r="G87" s="40" t="s">
        <v>113</v>
      </c>
      <c r="H87" s="40" t="s">
        <v>24</v>
      </c>
      <c r="I87" s="40" t="s">
        <v>25</v>
      </c>
      <c r="J87" s="63">
        <v>1650000000</v>
      </c>
      <c r="K87" s="48" t="s">
        <v>53</v>
      </c>
      <c r="L87" s="90">
        <v>46291</v>
      </c>
      <c r="M87" s="48"/>
      <c r="N87" s="80"/>
    </row>
    <row r="88" spans="1:14" hidden="1">
      <c r="A88" s="30" t="s">
        <v>21</v>
      </c>
      <c r="B88" s="168"/>
      <c r="C88" s="73" t="s">
        <v>218</v>
      </c>
      <c r="D88" s="169"/>
      <c r="E88" s="32" t="s">
        <v>16</v>
      </c>
      <c r="F88" s="33"/>
      <c r="G88" s="33" t="s">
        <v>23</v>
      </c>
      <c r="H88" s="33" t="s">
        <v>24</v>
      </c>
      <c r="I88" s="169" t="s">
        <v>25</v>
      </c>
      <c r="J88" s="35">
        <v>11400000</v>
      </c>
      <c r="K88" s="86" t="s">
        <v>26</v>
      </c>
      <c r="L88" s="37">
        <v>46129</v>
      </c>
      <c r="M88" s="74"/>
      <c r="N88" s="89"/>
    </row>
    <row r="89" spans="1:14" hidden="1">
      <c r="A89" s="4" t="s">
        <v>21</v>
      </c>
      <c r="B89" s="41" t="s">
        <v>219</v>
      </c>
      <c r="C89" s="21"/>
      <c r="D89" s="170"/>
      <c r="E89" s="43" t="s">
        <v>16</v>
      </c>
      <c r="F89" s="40"/>
      <c r="G89" s="40" t="s">
        <v>23</v>
      </c>
      <c r="H89" s="40" t="s">
        <v>24</v>
      </c>
      <c r="I89" s="170" t="s">
        <v>25</v>
      </c>
      <c r="J89" s="5">
        <v>23965000</v>
      </c>
      <c r="K89" s="88" t="s">
        <v>26</v>
      </c>
      <c r="L89" s="47">
        <v>46128</v>
      </c>
      <c r="M89" s="6"/>
      <c r="N89" s="15"/>
    </row>
    <row r="90" spans="1:14" hidden="1">
      <c r="A90" s="30" t="s">
        <v>21</v>
      </c>
      <c r="B90" s="53" t="s">
        <v>220</v>
      </c>
      <c r="C90" s="73"/>
      <c r="D90" s="169"/>
      <c r="E90" s="32" t="s">
        <v>16</v>
      </c>
      <c r="F90" s="33"/>
      <c r="G90" s="33" t="s">
        <v>23</v>
      </c>
      <c r="H90" s="33" t="s">
        <v>24</v>
      </c>
      <c r="I90" s="169" t="s">
        <v>25</v>
      </c>
      <c r="J90" s="35">
        <v>23965000</v>
      </c>
      <c r="K90" s="86" t="s">
        <v>26</v>
      </c>
      <c r="L90" s="37">
        <v>46168</v>
      </c>
      <c r="M90" s="74"/>
      <c r="N90" s="75"/>
    </row>
    <row r="91" spans="1:14" hidden="1">
      <c r="A91" s="4" t="s">
        <v>21</v>
      </c>
      <c r="B91" s="171"/>
      <c r="C91" s="21" t="s">
        <v>221</v>
      </c>
      <c r="D91" s="170"/>
      <c r="E91" s="43" t="s">
        <v>16</v>
      </c>
      <c r="F91" s="40"/>
      <c r="G91" s="40" t="s">
        <v>23</v>
      </c>
      <c r="H91" s="40" t="s">
        <v>24</v>
      </c>
      <c r="I91" s="170" t="s">
        <v>25</v>
      </c>
      <c r="J91" s="5">
        <v>1551708000</v>
      </c>
      <c r="K91" s="88" t="s">
        <v>26</v>
      </c>
      <c r="L91" s="47">
        <v>46100</v>
      </c>
      <c r="M91" s="48" t="s">
        <v>27</v>
      </c>
      <c r="N91" s="49" t="s">
        <v>28</v>
      </c>
    </row>
    <row r="92" spans="1:14" hidden="1">
      <c r="A92" s="30" t="s">
        <v>21</v>
      </c>
      <c r="B92" s="53" t="s">
        <v>222</v>
      </c>
      <c r="C92" s="73" t="s">
        <v>222</v>
      </c>
      <c r="D92" s="169"/>
      <c r="E92" s="32" t="s">
        <v>16</v>
      </c>
      <c r="F92" s="33"/>
      <c r="G92" s="33" t="s">
        <v>23</v>
      </c>
      <c r="H92" s="33" t="s">
        <v>18</v>
      </c>
      <c r="I92" s="169" t="s">
        <v>25</v>
      </c>
      <c r="J92" s="35">
        <f>18290000+45435000+16224766</f>
        <v>79949766</v>
      </c>
      <c r="K92" s="86" t="s">
        <v>26</v>
      </c>
      <c r="L92" s="37">
        <v>46130</v>
      </c>
      <c r="M92" s="38" t="s">
        <v>27</v>
      </c>
      <c r="N92" s="39" t="s">
        <v>28</v>
      </c>
    </row>
    <row r="93" spans="1:14" hidden="1">
      <c r="A93" s="4" t="s">
        <v>21</v>
      </c>
      <c r="B93" s="41" t="s">
        <v>223</v>
      </c>
      <c r="C93" s="21" t="s">
        <v>224</v>
      </c>
      <c r="D93" s="170"/>
      <c r="E93" s="43" t="s">
        <v>16</v>
      </c>
      <c r="F93" s="40"/>
      <c r="G93" s="40" t="s">
        <v>23</v>
      </c>
      <c r="H93" s="40" t="s">
        <v>24</v>
      </c>
      <c r="I93" s="170" t="s">
        <v>25</v>
      </c>
      <c r="J93" s="5">
        <v>3500000</v>
      </c>
      <c r="K93" s="88" t="s">
        <v>26</v>
      </c>
      <c r="L93" s="47">
        <v>46162</v>
      </c>
      <c r="M93" s="48" t="s">
        <v>27</v>
      </c>
      <c r="N93" s="49" t="s">
        <v>28</v>
      </c>
    </row>
    <row r="94" spans="1:14" hidden="1">
      <c r="A94" s="30" t="s">
        <v>21</v>
      </c>
      <c r="B94" s="168"/>
      <c r="C94" s="73" t="s">
        <v>225</v>
      </c>
      <c r="D94" s="169"/>
      <c r="E94" s="32" t="s">
        <v>16</v>
      </c>
      <c r="F94" s="33"/>
      <c r="G94" s="33" t="s">
        <v>23</v>
      </c>
      <c r="H94" s="33" t="s">
        <v>24</v>
      </c>
      <c r="I94" s="169" t="s">
        <v>25</v>
      </c>
      <c r="J94" s="35">
        <v>14225000</v>
      </c>
      <c r="K94" s="86" t="s">
        <v>26</v>
      </c>
      <c r="L94" s="37">
        <v>46149</v>
      </c>
      <c r="M94" s="38" t="s">
        <v>27</v>
      </c>
      <c r="N94" s="39" t="s">
        <v>28</v>
      </c>
    </row>
    <row r="95" spans="1:14" hidden="1">
      <c r="A95" s="72" t="s">
        <v>226</v>
      </c>
      <c r="B95" s="72" t="s">
        <v>226</v>
      </c>
      <c r="C95" s="84" t="s">
        <v>226</v>
      </c>
      <c r="D95" s="40" t="s">
        <v>227</v>
      </c>
      <c r="E95" s="43" t="s">
        <v>16</v>
      </c>
      <c r="F95" s="40"/>
      <c r="G95" s="40" t="s">
        <v>23</v>
      </c>
      <c r="H95" s="79" t="s">
        <v>18</v>
      </c>
      <c r="I95" s="40" t="s">
        <v>25</v>
      </c>
      <c r="J95" s="63">
        <v>3000000000</v>
      </c>
      <c r="K95" s="88" t="s">
        <v>26</v>
      </c>
      <c r="L95" s="47">
        <v>46127</v>
      </c>
      <c r="M95" s="48" t="s">
        <v>27</v>
      </c>
      <c r="N95" s="85" t="s">
        <v>28</v>
      </c>
    </row>
    <row r="96" spans="1:14">
      <c r="A96" s="33" t="s">
        <v>228</v>
      </c>
      <c r="B96" s="67"/>
      <c r="C96" s="31" t="s">
        <v>229</v>
      </c>
      <c r="D96" s="33" t="s">
        <v>128</v>
      </c>
      <c r="E96" s="32" t="s">
        <v>112</v>
      </c>
      <c r="F96" s="33"/>
      <c r="G96" s="33" t="s">
        <v>113</v>
      </c>
      <c r="H96" s="33" t="s">
        <v>18</v>
      </c>
      <c r="I96" s="33" t="s">
        <v>19</v>
      </c>
      <c r="J96" s="54">
        <v>110250000</v>
      </c>
      <c r="K96" s="86" t="s">
        <v>53</v>
      </c>
      <c r="L96" s="87">
        <v>46382</v>
      </c>
      <c r="M96" s="37"/>
      <c r="N96" s="82" t="s">
        <v>230</v>
      </c>
    </row>
    <row r="97" spans="1:14">
      <c r="A97" s="33" t="s">
        <v>231</v>
      </c>
      <c r="B97" s="67"/>
      <c r="C97" s="92" t="s">
        <v>232</v>
      </c>
      <c r="D97" s="33"/>
      <c r="E97" s="32" t="s">
        <v>112</v>
      </c>
      <c r="F97" s="33"/>
      <c r="G97" s="33" t="s">
        <v>113</v>
      </c>
      <c r="H97" s="33" t="s">
        <v>18</v>
      </c>
      <c r="I97" s="33" t="s">
        <v>37</v>
      </c>
      <c r="J97" s="51">
        <v>1049000000</v>
      </c>
      <c r="K97" s="38" t="s">
        <v>53</v>
      </c>
      <c r="L97" s="87">
        <v>46447</v>
      </c>
      <c r="M97" s="37"/>
      <c r="N97" s="78" t="s">
        <v>233</v>
      </c>
    </row>
    <row r="98" spans="1:14">
      <c r="A98" s="40" t="s">
        <v>234</v>
      </c>
      <c r="B98" s="72"/>
      <c r="C98" s="42" t="s">
        <v>235</v>
      </c>
      <c r="D98" s="40"/>
      <c r="E98" s="43" t="s">
        <v>112</v>
      </c>
      <c r="F98" s="40"/>
      <c r="G98" s="40" t="s">
        <v>113</v>
      </c>
      <c r="H98" s="40" t="s">
        <v>18</v>
      </c>
      <c r="I98" s="40" t="s">
        <v>25</v>
      </c>
      <c r="J98" s="45">
        <v>416158000</v>
      </c>
      <c r="K98" s="88" t="s">
        <v>53</v>
      </c>
      <c r="L98" s="90">
        <v>46276</v>
      </c>
      <c r="M98" s="66"/>
      <c r="N98" s="85" t="s">
        <v>236</v>
      </c>
    </row>
    <row r="99" spans="1:14" hidden="1">
      <c r="A99" s="33" t="s">
        <v>237</v>
      </c>
      <c r="B99" s="168"/>
      <c r="C99" s="31" t="s">
        <v>238</v>
      </c>
      <c r="D99" s="169"/>
      <c r="E99" s="32" t="s">
        <v>16</v>
      </c>
      <c r="F99" s="33"/>
      <c r="G99" s="33" t="s">
        <v>96</v>
      </c>
      <c r="H99" s="33" t="s">
        <v>24</v>
      </c>
      <c r="I99" s="169" t="s">
        <v>19</v>
      </c>
      <c r="J99" s="54">
        <v>146000000</v>
      </c>
      <c r="K99" s="86" t="s">
        <v>26</v>
      </c>
      <c r="L99" s="87">
        <v>46146</v>
      </c>
      <c r="M99" s="37" t="s">
        <v>27</v>
      </c>
      <c r="N99" s="82"/>
    </row>
    <row r="100" spans="1:14" hidden="1">
      <c r="A100" s="40" t="s">
        <v>239</v>
      </c>
      <c r="B100" s="72"/>
      <c r="C100" s="42" t="s">
        <v>240</v>
      </c>
      <c r="D100" s="40" t="s">
        <v>128</v>
      </c>
      <c r="E100" s="43" t="s">
        <v>112</v>
      </c>
      <c r="F100" s="40"/>
      <c r="G100" s="40" t="s">
        <v>170</v>
      </c>
      <c r="H100" s="40" t="s">
        <v>24</v>
      </c>
      <c r="I100" s="40" t="s">
        <v>37</v>
      </c>
      <c r="J100" s="45">
        <v>687000000</v>
      </c>
      <c r="K100" s="88" t="s">
        <v>26</v>
      </c>
      <c r="L100" s="47">
        <v>46064</v>
      </c>
      <c r="M100" s="47" t="s">
        <v>27</v>
      </c>
      <c r="N100" s="85"/>
    </row>
    <row r="101" spans="1:14" hidden="1">
      <c r="A101" s="33" t="s">
        <v>241</v>
      </c>
      <c r="B101" s="33"/>
      <c r="C101" s="31" t="s">
        <v>242</v>
      </c>
      <c r="D101" s="33" t="s">
        <v>243</v>
      </c>
      <c r="E101" s="32" t="s">
        <v>112</v>
      </c>
      <c r="F101" s="33"/>
      <c r="G101" s="33" t="s">
        <v>170</v>
      </c>
      <c r="H101" s="33" t="s">
        <v>18</v>
      </c>
      <c r="I101" s="33" t="s">
        <v>37</v>
      </c>
      <c r="J101" s="54">
        <v>1600000000</v>
      </c>
      <c r="K101" s="86" t="s">
        <v>26</v>
      </c>
      <c r="L101" s="87">
        <v>46199</v>
      </c>
      <c r="M101" s="38" t="s">
        <v>27</v>
      </c>
      <c r="N101" s="78"/>
    </row>
    <row r="102" spans="1:14">
      <c r="A102" s="40" t="s">
        <v>244</v>
      </c>
      <c r="B102" s="40"/>
      <c r="C102" s="22" t="s">
        <v>136</v>
      </c>
      <c r="D102" s="40" t="s">
        <v>128</v>
      </c>
      <c r="E102" s="43" t="s">
        <v>112</v>
      </c>
      <c r="F102" s="40"/>
      <c r="G102" s="44" t="s">
        <v>113</v>
      </c>
      <c r="H102" s="44" t="s">
        <v>18</v>
      </c>
      <c r="I102" s="40" t="s">
        <v>25</v>
      </c>
      <c r="J102" s="63">
        <v>688128000</v>
      </c>
      <c r="K102" s="48" t="s">
        <v>53</v>
      </c>
      <c r="L102" s="90">
        <v>46291</v>
      </c>
      <c r="M102" s="47"/>
      <c r="N102" s="80" t="s">
        <v>245</v>
      </c>
    </row>
    <row r="103" spans="1:14" hidden="1">
      <c r="A103" s="33" t="s">
        <v>246</v>
      </c>
      <c r="B103" s="67"/>
      <c r="C103" s="31" t="s">
        <v>247</v>
      </c>
      <c r="D103" s="33"/>
      <c r="E103" s="32" t="s">
        <v>112</v>
      </c>
      <c r="F103" s="33"/>
      <c r="G103" s="34" t="s">
        <v>113</v>
      </c>
      <c r="H103" s="34" t="s">
        <v>18</v>
      </c>
      <c r="I103" s="33" t="s">
        <v>19</v>
      </c>
      <c r="J103" s="54">
        <v>3423325000</v>
      </c>
      <c r="K103" s="86" t="s">
        <v>248</v>
      </c>
      <c r="L103" s="87">
        <v>46291</v>
      </c>
      <c r="M103" s="38"/>
      <c r="N103" s="82" t="s">
        <v>249</v>
      </c>
    </row>
    <row r="104" spans="1:14">
      <c r="A104" s="72" t="s">
        <v>250</v>
      </c>
      <c r="B104" s="171"/>
      <c r="C104" s="42" t="s">
        <v>251</v>
      </c>
      <c r="D104" s="170"/>
      <c r="E104" s="43" t="s">
        <v>112</v>
      </c>
      <c r="F104" s="40"/>
      <c r="G104" s="44" t="s">
        <v>113</v>
      </c>
      <c r="H104" s="44" t="s">
        <v>24</v>
      </c>
      <c r="I104" s="170" t="s">
        <v>37</v>
      </c>
      <c r="J104" s="63">
        <v>165000000</v>
      </c>
      <c r="K104" s="48" t="s">
        <v>53</v>
      </c>
      <c r="L104" s="90">
        <v>46382</v>
      </c>
      <c r="M104" s="48"/>
      <c r="N104" s="80" t="s">
        <v>252</v>
      </c>
    </row>
    <row r="105" spans="1:14" hidden="1">
      <c r="A105" s="33" t="s">
        <v>253</v>
      </c>
      <c r="B105" s="168"/>
      <c r="C105" s="31" t="s">
        <v>254</v>
      </c>
      <c r="D105" s="169"/>
      <c r="E105" s="32" t="s">
        <v>112</v>
      </c>
      <c r="F105" s="33"/>
      <c r="G105" s="33" t="s">
        <v>170</v>
      </c>
      <c r="H105" s="33" t="s">
        <v>18</v>
      </c>
      <c r="I105" s="81" t="s">
        <v>25</v>
      </c>
      <c r="J105" s="54">
        <v>498000000</v>
      </c>
      <c r="K105" s="86" t="s">
        <v>26</v>
      </c>
      <c r="L105" s="87">
        <v>46138</v>
      </c>
      <c r="M105" s="37" t="s">
        <v>27</v>
      </c>
      <c r="N105" s="82"/>
    </row>
    <row r="106" spans="1:14" hidden="1">
      <c r="A106" s="40" t="s">
        <v>255</v>
      </c>
      <c r="B106" s="171"/>
      <c r="C106" s="42" t="s">
        <v>256</v>
      </c>
      <c r="D106" s="170"/>
      <c r="E106" s="43" t="s">
        <v>16</v>
      </c>
      <c r="F106" s="40"/>
      <c r="G106" s="40" t="s">
        <v>23</v>
      </c>
      <c r="H106" s="40" t="s">
        <v>18</v>
      </c>
      <c r="I106" s="170" t="s">
        <v>37</v>
      </c>
      <c r="J106" s="45">
        <v>15000000</v>
      </c>
      <c r="K106" s="88" t="s">
        <v>26</v>
      </c>
      <c r="L106" s="90">
        <v>46217</v>
      </c>
      <c r="M106" s="47" t="s">
        <v>27</v>
      </c>
      <c r="N106" s="85"/>
    </row>
    <row r="107" spans="1:14">
      <c r="A107" s="67" t="s">
        <v>257</v>
      </c>
      <c r="B107" s="168"/>
      <c r="C107" s="31" t="s">
        <v>258</v>
      </c>
      <c r="D107" s="169"/>
      <c r="E107" s="32" t="s">
        <v>112</v>
      </c>
      <c r="F107" s="33"/>
      <c r="G107" s="33" t="s">
        <v>113</v>
      </c>
      <c r="H107" s="33" t="s">
        <v>24</v>
      </c>
      <c r="I107" s="169" t="s">
        <v>37</v>
      </c>
      <c r="J107" s="51">
        <v>647000000</v>
      </c>
      <c r="K107" s="38" t="s">
        <v>53</v>
      </c>
      <c r="L107" s="87">
        <v>46291</v>
      </c>
      <c r="M107" s="38"/>
      <c r="N107" s="78" t="s">
        <v>249</v>
      </c>
    </row>
    <row r="108" spans="1:14" hidden="1">
      <c r="A108" s="40" t="s">
        <v>259</v>
      </c>
      <c r="B108" s="171"/>
      <c r="C108" s="42" t="s">
        <v>260</v>
      </c>
      <c r="D108" s="40" t="s">
        <v>261</v>
      </c>
      <c r="E108" s="43" t="s">
        <v>112</v>
      </c>
      <c r="F108" s="40"/>
      <c r="G108" s="40" t="s">
        <v>170</v>
      </c>
      <c r="H108" s="40" t="s">
        <v>18</v>
      </c>
      <c r="I108" s="40" t="s">
        <v>37</v>
      </c>
      <c r="J108" s="45">
        <v>19200000</v>
      </c>
      <c r="K108" s="88" t="s">
        <v>26</v>
      </c>
      <c r="L108" s="90">
        <v>46181</v>
      </c>
      <c r="M108" s="47" t="s">
        <v>27</v>
      </c>
      <c r="N108" s="85"/>
    </row>
    <row r="109" spans="1:14">
      <c r="A109" s="67" t="s">
        <v>262</v>
      </c>
      <c r="B109" s="168"/>
      <c r="C109" s="31" t="s">
        <v>263</v>
      </c>
      <c r="D109" s="169"/>
      <c r="E109" s="32" t="s">
        <v>112</v>
      </c>
      <c r="F109" s="33"/>
      <c r="G109" s="33" t="s">
        <v>113</v>
      </c>
      <c r="H109" s="33" t="s">
        <v>24</v>
      </c>
      <c r="I109" s="169" t="s">
        <v>37</v>
      </c>
      <c r="J109" s="51">
        <v>1400000000</v>
      </c>
      <c r="K109" s="38" t="s">
        <v>53</v>
      </c>
      <c r="L109" s="87">
        <v>46321</v>
      </c>
      <c r="M109" s="38"/>
      <c r="N109" s="78" t="s">
        <v>249</v>
      </c>
    </row>
    <row r="110" spans="1:14">
      <c r="A110" s="72" t="s">
        <v>264</v>
      </c>
      <c r="B110" s="171"/>
      <c r="C110" s="42" t="s">
        <v>265</v>
      </c>
      <c r="D110" s="170"/>
      <c r="E110" s="43" t="s">
        <v>112</v>
      </c>
      <c r="F110" s="40"/>
      <c r="G110" s="40" t="s">
        <v>113</v>
      </c>
      <c r="H110" s="40" t="s">
        <v>18</v>
      </c>
      <c r="I110" s="170" t="s">
        <v>37</v>
      </c>
      <c r="J110" s="63">
        <v>1600000000</v>
      </c>
      <c r="K110" s="48" t="s">
        <v>53</v>
      </c>
      <c r="L110" s="90">
        <v>46321</v>
      </c>
      <c r="M110" s="48"/>
      <c r="N110" s="80" t="s">
        <v>249</v>
      </c>
    </row>
    <row r="111" spans="1:14" hidden="1">
      <c r="A111" s="33" t="s">
        <v>266</v>
      </c>
      <c r="B111" s="168"/>
      <c r="C111" s="31" t="s">
        <v>18</v>
      </c>
      <c r="D111" s="169" t="s">
        <v>267</v>
      </c>
      <c r="E111" s="32" t="s">
        <v>16</v>
      </c>
      <c r="F111" s="33"/>
      <c r="G111" s="33" t="s">
        <v>48</v>
      </c>
      <c r="H111" s="33" t="s">
        <v>18</v>
      </c>
      <c r="I111" s="173" t="s">
        <v>25</v>
      </c>
      <c r="J111" s="54">
        <v>1130000000</v>
      </c>
      <c r="K111" s="86" t="s">
        <v>26</v>
      </c>
      <c r="L111" s="37">
        <v>46076</v>
      </c>
      <c r="M111" s="38"/>
      <c r="N111" s="78" t="s">
        <v>268</v>
      </c>
    </row>
    <row r="112" spans="1:14" hidden="1">
      <c r="A112" s="93" t="s">
        <v>269</v>
      </c>
      <c r="B112" s="174"/>
      <c r="C112" s="58" t="s">
        <v>270</v>
      </c>
      <c r="D112" s="175" t="s">
        <v>24</v>
      </c>
      <c r="E112" s="43" t="s">
        <v>112</v>
      </c>
      <c r="F112" s="93" t="s">
        <v>120</v>
      </c>
      <c r="G112" s="93" t="s">
        <v>113</v>
      </c>
      <c r="H112" s="93" t="s">
        <v>121</v>
      </c>
      <c r="I112" s="94" t="s">
        <v>37</v>
      </c>
      <c r="J112" s="95">
        <v>106932000</v>
      </c>
      <c r="K112" s="96" t="s">
        <v>26</v>
      </c>
      <c r="L112" s="90">
        <v>46138</v>
      </c>
      <c r="M112" s="90" t="s">
        <v>27</v>
      </c>
      <c r="N112" s="97" t="s">
        <v>271</v>
      </c>
    </row>
    <row r="113" spans="1:14" hidden="1">
      <c r="A113" s="98" t="s">
        <v>272</v>
      </c>
      <c r="B113" s="176"/>
      <c r="C113" s="50" t="s">
        <v>18</v>
      </c>
      <c r="D113" s="99" t="s">
        <v>24</v>
      </c>
      <c r="E113" s="100" t="s">
        <v>16</v>
      </c>
      <c r="F113" s="99" t="s">
        <v>120</v>
      </c>
      <c r="G113" s="99" t="s">
        <v>96</v>
      </c>
      <c r="H113" s="99" t="s">
        <v>18</v>
      </c>
      <c r="I113" s="99" t="s">
        <v>37</v>
      </c>
      <c r="J113" s="101">
        <v>69792000</v>
      </c>
      <c r="K113" s="102" t="s">
        <v>20</v>
      </c>
      <c r="L113" s="87">
        <v>46204</v>
      </c>
      <c r="M113" s="87"/>
      <c r="N113" s="103"/>
    </row>
    <row r="114" spans="1:14" hidden="1">
      <c r="A114" s="104" t="s">
        <v>118</v>
      </c>
      <c r="B114" s="171"/>
      <c r="C114" s="58" t="s">
        <v>121</v>
      </c>
      <c r="D114" s="177" t="s">
        <v>273</v>
      </c>
      <c r="E114" s="94" t="s">
        <v>16</v>
      </c>
      <c r="F114" s="40" t="s">
        <v>120</v>
      </c>
      <c r="G114" s="105"/>
      <c r="H114" s="93" t="s">
        <v>24</v>
      </c>
      <c r="I114" s="177" t="s">
        <v>37</v>
      </c>
      <c r="J114" s="106">
        <v>3000000</v>
      </c>
      <c r="K114" s="107" t="s">
        <v>20</v>
      </c>
      <c r="L114" s="90">
        <v>46113</v>
      </c>
      <c r="M114" s="90"/>
      <c r="N114" s="108" t="s">
        <v>274</v>
      </c>
    </row>
    <row r="115" spans="1:14" hidden="1">
      <c r="A115" s="99" t="s">
        <v>269</v>
      </c>
      <c r="B115" s="168"/>
      <c r="C115" s="50" t="s">
        <v>270</v>
      </c>
      <c r="D115" s="169" t="s">
        <v>111</v>
      </c>
      <c r="E115" s="100" t="s">
        <v>112</v>
      </c>
      <c r="F115" s="33" t="s">
        <v>120</v>
      </c>
      <c r="G115" s="99" t="s">
        <v>113</v>
      </c>
      <c r="H115" s="99" t="s">
        <v>121</v>
      </c>
      <c r="I115" s="169" t="s">
        <v>37</v>
      </c>
      <c r="J115" s="109">
        <v>55062529</v>
      </c>
      <c r="K115" s="102" t="s">
        <v>26</v>
      </c>
      <c r="L115" s="87">
        <v>46219</v>
      </c>
      <c r="M115" s="87" t="s">
        <v>27</v>
      </c>
      <c r="N115" s="103"/>
    </row>
    <row r="116" spans="1:14" hidden="1">
      <c r="A116" s="72" t="s">
        <v>275</v>
      </c>
      <c r="B116" s="171"/>
      <c r="C116" s="42" t="s">
        <v>111</v>
      </c>
      <c r="D116" s="170"/>
      <c r="E116" s="43" t="s">
        <v>112</v>
      </c>
      <c r="F116" s="40"/>
      <c r="G116" s="40" t="s">
        <v>113</v>
      </c>
      <c r="H116" s="40" t="s">
        <v>18</v>
      </c>
      <c r="I116" s="170" t="s">
        <v>37</v>
      </c>
      <c r="J116" s="63">
        <v>1385000000</v>
      </c>
      <c r="K116" s="48" t="s">
        <v>143</v>
      </c>
      <c r="L116" s="90">
        <v>46352</v>
      </c>
      <c r="M116" s="48"/>
      <c r="N116" s="80" t="s">
        <v>276</v>
      </c>
    </row>
    <row r="117" spans="1:14">
      <c r="A117" s="67" t="s">
        <v>277</v>
      </c>
      <c r="B117" s="168"/>
      <c r="C117" s="31" t="s">
        <v>111</v>
      </c>
      <c r="D117" s="169"/>
      <c r="E117" s="32" t="s">
        <v>112</v>
      </c>
      <c r="F117" s="33"/>
      <c r="G117" s="33" t="s">
        <v>113</v>
      </c>
      <c r="H117" s="33" t="s">
        <v>24</v>
      </c>
      <c r="I117" s="169" t="s">
        <v>37</v>
      </c>
      <c r="J117" s="51">
        <v>178000000</v>
      </c>
      <c r="K117" s="38" t="s">
        <v>53</v>
      </c>
      <c r="L117" s="87">
        <v>46291</v>
      </c>
      <c r="M117" s="38"/>
      <c r="N117" s="78"/>
    </row>
    <row r="118" spans="1:14" hidden="1">
      <c r="A118" s="20" t="s">
        <v>278</v>
      </c>
      <c r="B118" s="171"/>
      <c r="C118" s="42" t="s">
        <v>121</v>
      </c>
      <c r="D118" s="79" t="s">
        <v>121</v>
      </c>
      <c r="E118" s="43" t="s">
        <v>112</v>
      </c>
      <c r="F118" s="40"/>
      <c r="G118" s="40" t="s">
        <v>113</v>
      </c>
      <c r="H118" s="40" t="s">
        <v>121</v>
      </c>
      <c r="I118" s="170" t="s">
        <v>19</v>
      </c>
      <c r="J118" s="45">
        <v>11000000</v>
      </c>
      <c r="K118" s="88" t="s">
        <v>26</v>
      </c>
      <c r="L118" s="47">
        <v>46229</v>
      </c>
      <c r="M118" s="48" t="s">
        <v>27</v>
      </c>
      <c r="N118" s="80"/>
    </row>
    <row r="119" spans="1:14" hidden="1">
      <c r="A119" s="110" t="s">
        <v>279</v>
      </c>
      <c r="B119" s="168"/>
      <c r="C119" s="31" t="s">
        <v>18</v>
      </c>
      <c r="D119" s="169"/>
      <c r="E119" s="32" t="s">
        <v>112</v>
      </c>
      <c r="F119" s="33"/>
      <c r="G119" s="33" t="s">
        <v>113</v>
      </c>
      <c r="H119" s="33" t="s">
        <v>18</v>
      </c>
      <c r="I119" s="169" t="s">
        <v>49</v>
      </c>
      <c r="J119" s="54">
        <v>1500000000</v>
      </c>
      <c r="K119" s="86" t="s">
        <v>143</v>
      </c>
      <c r="L119" s="37">
        <v>46229</v>
      </c>
      <c r="M119" s="38" t="s">
        <v>27</v>
      </c>
      <c r="N119" s="78"/>
    </row>
    <row r="120" spans="1:14" hidden="1">
      <c r="A120" s="40" t="s">
        <v>280</v>
      </c>
      <c r="B120" s="171"/>
      <c r="C120" s="42" t="s">
        <v>281</v>
      </c>
      <c r="D120" s="40" t="s">
        <v>128</v>
      </c>
      <c r="E120" s="43" t="s">
        <v>112</v>
      </c>
      <c r="F120" s="40"/>
      <c r="G120" s="40" t="s">
        <v>170</v>
      </c>
      <c r="H120" s="40" t="s">
        <v>18</v>
      </c>
      <c r="I120" s="40" t="s">
        <v>37</v>
      </c>
      <c r="J120" s="45">
        <v>640000000</v>
      </c>
      <c r="K120" s="88" t="s">
        <v>26</v>
      </c>
      <c r="L120" s="47">
        <v>46064</v>
      </c>
      <c r="M120" s="47" t="s">
        <v>27</v>
      </c>
      <c r="N120" s="85"/>
    </row>
    <row r="121" spans="1:14">
      <c r="A121" s="110" t="s">
        <v>282</v>
      </c>
      <c r="B121" s="168"/>
      <c r="C121" s="31" t="s">
        <v>18</v>
      </c>
      <c r="D121" s="81" t="s">
        <v>283</v>
      </c>
      <c r="E121" s="32" t="s">
        <v>112</v>
      </c>
      <c r="F121" s="33"/>
      <c r="G121" s="33" t="s">
        <v>113</v>
      </c>
      <c r="H121" s="33" t="s">
        <v>18</v>
      </c>
      <c r="I121" s="169" t="s">
        <v>37</v>
      </c>
      <c r="J121" s="54">
        <v>4650000000</v>
      </c>
      <c r="K121" s="86" t="s">
        <v>53</v>
      </c>
      <c r="L121" s="37">
        <v>46260</v>
      </c>
      <c r="M121" s="38" t="s">
        <v>27</v>
      </c>
      <c r="N121" s="78"/>
    </row>
    <row r="122" spans="1:14">
      <c r="A122" s="20" t="s">
        <v>284</v>
      </c>
      <c r="B122" s="171"/>
      <c r="C122" s="42" t="s">
        <v>111</v>
      </c>
      <c r="D122" s="79" t="s">
        <v>111</v>
      </c>
      <c r="E122" s="43" t="s">
        <v>112</v>
      </c>
      <c r="F122" s="40"/>
      <c r="G122" s="40" t="s">
        <v>113</v>
      </c>
      <c r="H122" s="40" t="s">
        <v>24</v>
      </c>
      <c r="I122" s="170" t="s">
        <v>37</v>
      </c>
      <c r="J122" s="45">
        <v>6000000000</v>
      </c>
      <c r="K122" s="88" t="s">
        <v>53</v>
      </c>
      <c r="L122" s="47">
        <v>46321</v>
      </c>
      <c r="M122" s="48"/>
      <c r="N122" s="80"/>
    </row>
    <row r="123" spans="1:14">
      <c r="A123" s="110" t="s">
        <v>285</v>
      </c>
      <c r="B123" s="168"/>
      <c r="C123" s="31" t="s">
        <v>286</v>
      </c>
      <c r="D123" s="81" t="s">
        <v>286</v>
      </c>
      <c r="E123" s="32" t="s">
        <v>112</v>
      </c>
      <c r="F123" s="33"/>
      <c r="G123" s="33" t="s">
        <v>113</v>
      </c>
      <c r="H123" s="33" t="s">
        <v>18</v>
      </c>
      <c r="I123" s="169" t="s">
        <v>37</v>
      </c>
      <c r="J123" s="54">
        <v>80000000</v>
      </c>
      <c r="K123" s="86" t="s">
        <v>53</v>
      </c>
      <c r="L123" s="37">
        <v>46352</v>
      </c>
      <c r="M123" s="38"/>
      <c r="N123" s="78"/>
    </row>
    <row r="124" spans="1:14">
      <c r="A124" s="20" t="s">
        <v>287</v>
      </c>
      <c r="B124" s="171"/>
      <c r="C124" s="42" t="s">
        <v>111</v>
      </c>
      <c r="D124" s="79" t="s">
        <v>111</v>
      </c>
      <c r="E124" s="43" t="s">
        <v>112</v>
      </c>
      <c r="F124" s="40"/>
      <c r="G124" s="40" t="s">
        <v>113</v>
      </c>
      <c r="H124" s="40" t="s">
        <v>24</v>
      </c>
      <c r="I124" s="170" t="s">
        <v>37</v>
      </c>
      <c r="J124" s="45">
        <v>135000000</v>
      </c>
      <c r="K124" s="88" t="s">
        <v>53</v>
      </c>
      <c r="L124" s="47">
        <v>46321</v>
      </c>
      <c r="M124" s="48"/>
      <c r="N124" s="80"/>
    </row>
    <row r="125" spans="1:14">
      <c r="A125" s="110" t="s">
        <v>288</v>
      </c>
      <c r="B125" s="168"/>
      <c r="C125" s="31" t="s">
        <v>289</v>
      </c>
      <c r="D125" s="169" t="s">
        <v>289</v>
      </c>
      <c r="E125" s="32" t="s">
        <v>112</v>
      </c>
      <c r="F125" s="33"/>
      <c r="G125" s="33" t="s">
        <v>113</v>
      </c>
      <c r="H125" s="33" t="s">
        <v>290</v>
      </c>
      <c r="I125" s="169" t="s">
        <v>25</v>
      </c>
      <c r="J125" s="54">
        <v>1631073000</v>
      </c>
      <c r="K125" s="86" t="s">
        <v>53</v>
      </c>
      <c r="L125" s="37">
        <v>46321</v>
      </c>
      <c r="M125" s="38"/>
      <c r="N125" s="78"/>
    </row>
    <row r="126" spans="1:14" hidden="1">
      <c r="A126" s="93" t="s">
        <v>291</v>
      </c>
      <c r="B126" s="174"/>
      <c r="C126" s="58" t="s">
        <v>270</v>
      </c>
      <c r="D126" s="94" t="s">
        <v>24</v>
      </c>
      <c r="E126" s="94" t="s">
        <v>16</v>
      </c>
      <c r="F126" s="93" t="s">
        <v>120</v>
      </c>
      <c r="G126" s="105" t="s">
        <v>96</v>
      </c>
      <c r="H126" s="93" t="s">
        <v>121</v>
      </c>
      <c r="I126" s="94" t="s">
        <v>37</v>
      </c>
      <c r="J126" s="106">
        <v>11214000</v>
      </c>
      <c r="K126" s="107" t="s">
        <v>20</v>
      </c>
      <c r="L126" s="90">
        <v>46174</v>
      </c>
      <c r="M126" s="96"/>
      <c r="N126" s="111"/>
    </row>
    <row r="127" spans="1:14" hidden="1">
      <c r="A127" s="98" t="s">
        <v>292</v>
      </c>
      <c r="B127" s="176"/>
      <c r="C127" s="50" t="s">
        <v>270</v>
      </c>
      <c r="D127" s="100" t="s">
        <v>24</v>
      </c>
      <c r="E127" s="100" t="s">
        <v>16</v>
      </c>
      <c r="F127" s="99" t="s">
        <v>120</v>
      </c>
      <c r="G127" s="112" t="s">
        <v>96</v>
      </c>
      <c r="H127" s="99" t="s">
        <v>121</v>
      </c>
      <c r="I127" s="100" t="s">
        <v>37</v>
      </c>
      <c r="J127" s="101">
        <v>239792000</v>
      </c>
      <c r="K127" s="102" t="s">
        <v>20</v>
      </c>
      <c r="L127" s="87">
        <v>46204</v>
      </c>
      <c r="M127" s="87"/>
      <c r="N127" s="103"/>
    </row>
    <row r="128" spans="1:14" hidden="1">
      <c r="A128" s="104" t="s">
        <v>293</v>
      </c>
      <c r="B128" s="174"/>
      <c r="C128" s="58" t="s">
        <v>18</v>
      </c>
      <c r="D128" s="94" t="s">
        <v>24</v>
      </c>
      <c r="E128" s="94" t="s">
        <v>16</v>
      </c>
      <c r="F128" s="93" t="s">
        <v>120</v>
      </c>
      <c r="G128" s="105" t="s">
        <v>117</v>
      </c>
      <c r="H128" s="93" t="s">
        <v>18</v>
      </c>
      <c r="I128" s="94" t="s">
        <v>37</v>
      </c>
      <c r="J128" s="106">
        <v>10617396</v>
      </c>
      <c r="K128" s="107" t="s">
        <v>20</v>
      </c>
      <c r="L128" s="90">
        <v>46143</v>
      </c>
      <c r="M128" s="90"/>
      <c r="N128" s="108" t="s">
        <v>294</v>
      </c>
    </row>
    <row r="129" spans="1:14" hidden="1">
      <c r="A129" s="98" t="s">
        <v>295</v>
      </c>
      <c r="B129" s="176"/>
      <c r="C129" s="50" t="s">
        <v>18</v>
      </c>
      <c r="D129" s="100" t="s">
        <v>24</v>
      </c>
      <c r="E129" s="100" t="s">
        <v>16</v>
      </c>
      <c r="F129" s="99" t="s">
        <v>120</v>
      </c>
      <c r="G129" s="112" t="s">
        <v>96</v>
      </c>
      <c r="H129" s="99" t="s">
        <v>121</v>
      </c>
      <c r="I129" s="100" t="s">
        <v>37</v>
      </c>
      <c r="J129" s="101">
        <v>23046288</v>
      </c>
      <c r="K129" s="102" t="s">
        <v>20</v>
      </c>
      <c r="L129" s="87">
        <v>46113</v>
      </c>
      <c r="M129" s="87"/>
      <c r="N129" s="103"/>
    </row>
    <row r="130" spans="1:14">
      <c r="A130" s="71" t="s">
        <v>296</v>
      </c>
      <c r="B130" s="171"/>
      <c r="C130" s="42" t="s">
        <v>297</v>
      </c>
      <c r="D130" s="170" t="s">
        <v>24</v>
      </c>
      <c r="E130" s="43" t="s">
        <v>16</v>
      </c>
      <c r="F130" s="40"/>
      <c r="G130" s="40" t="s">
        <v>117</v>
      </c>
      <c r="H130" s="40" t="s">
        <v>24</v>
      </c>
      <c r="I130" s="170" t="s">
        <v>37</v>
      </c>
      <c r="J130" s="45">
        <v>1000000000</v>
      </c>
      <c r="K130" s="88" t="s">
        <v>53</v>
      </c>
      <c r="L130" s="47">
        <v>46235</v>
      </c>
      <c r="M130" s="47"/>
      <c r="N130" s="113"/>
    </row>
    <row r="131" spans="1:14">
      <c r="A131" s="114" t="s">
        <v>298</v>
      </c>
      <c r="B131" s="168"/>
      <c r="C131" s="31" t="s">
        <v>299</v>
      </c>
      <c r="D131" s="169" t="s">
        <v>18</v>
      </c>
      <c r="E131" s="32" t="s">
        <v>16</v>
      </c>
      <c r="F131" s="33"/>
      <c r="G131" s="33" t="s">
        <v>117</v>
      </c>
      <c r="H131" s="33" t="s">
        <v>18</v>
      </c>
      <c r="I131" s="169" t="s">
        <v>37</v>
      </c>
      <c r="J131" s="54">
        <v>2300000000</v>
      </c>
      <c r="K131" s="86" t="s">
        <v>53</v>
      </c>
      <c r="L131" s="37">
        <v>46266</v>
      </c>
      <c r="M131" s="37"/>
      <c r="N131" s="115"/>
    </row>
    <row r="132" spans="1:14" hidden="1">
      <c r="A132" s="104" t="s">
        <v>295</v>
      </c>
      <c r="B132" s="174"/>
      <c r="C132" s="58" t="s">
        <v>18</v>
      </c>
      <c r="D132" s="94" t="s">
        <v>24</v>
      </c>
      <c r="E132" s="94" t="s">
        <v>16</v>
      </c>
      <c r="F132" s="93" t="s">
        <v>120</v>
      </c>
      <c r="G132" s="93" t="s">
        <v>96</v>
      </c>
      <c r="H132" s="93" t="s">
        <v>121</v>
      </c>
      <c r="I132" s="94" t="s">
        <v>37</v>
      </c>
      <c r="J132" s="106">
        <v>23337600</v>
      </c>
      <c r="K132" s="107" t="s">
        <v>20</v>
      </c>
      <c r="L132" s="90">
        <v>46204</v>
      </c>
      <c r="M132" s="90"/>
      <c r="N132" s="108"/>
    </row>
    <row r="133" spans="1:14" hidden="1">
      <c r="A133" s="98" t="s">
        <v>292</v>
      </c>
      <c r="B133" s="176"/>
      <c r="C133" s="50" t="s">
        <v>270</v>
      </c>
      <c r="D133" s="100" t="s">
        <v>24</v>
      </c>
      <c r="E133" s="100" t="s">
        <v>16</v>
      </c>
      <c r="F133" s="99" t="s">
        <v>120</v>
      </c>
      <c r="G133" s="99" t="s">
        <v>96</v>
      </c>
      <c r="H133" s="99" t="s">
        <v>121</v>
      </c>
      <c r="I133" s="100" t="s">
        <v>37</v>
      </c>
      <c r="J133" s="101">
        <v>24688000</v>
      </c>
      <c r="K133" s="102" t="s">
        <v>20</v>
      </c>
      <c r="L133" s="87">
        <v>46174</v>
      </c>
      <c r="M133" s="87"/>
      <c r="N133" s="103"/>
    </row>
    <row r="134" spans="1:14" hidden="1">
      <c r="A134" s="104" t="s">
        <v>300</v>
      </c>
      <c r="B134" s="171"/>
      <c r="C134" s="58" t="s">
        <v>18</v>
      </c>
      <c r="D134" s="170" t="s">
        <v>24</v>
      </c>
      <c r="E134" s="94" t="s">
        <v>16</v>
      </c>
      <c r="F134" s="40" t="s">
        <v>42</v>
      </c>
      <c r="G134" s="93" t="s">
        <v>48</v>
      </c>
      <c r="H134" s="93" t="s">
        <v>18</v>
      </c>
      <c r="I134" s="177" t="s">
        <v>25</v>
      </c>
      <c r="J134" s="106">
        <v>148000000</v>
      </c>
      <c r="K134" s="107" t="s">
        <v>26</v>
      </c>
      <c r="L134" s="90">
        <v>46140</v>
      </c>
      <c r="M134" s="90" t="s">
        <v>27</v>
      </c>
      <c r="N134" s="108"/>
    </row>
    <row r="135" spans="1:14" hidden="1">
      <c r="A135" s="98" t="s">
        <v>292</v>
      </c>
      <c r="B135" s="176"/>
      <c r="C135" s="50" t="s">
        <v>270</v>
      </c>
      <c r="D135" s="100" t="s">
        <v>24</v>
      </c>
      <c r="E135" s="100" t="s">
        <v>16</v>
      </c>
      <c r="F135" s="99" t="s">
        <v>120</v>
      </c>
      <c r="G135" s="99" t="s">
        <v>96</v>
      </c>
      <c r="H135" s="99" t="s">
        <v>121</v>
      </c>
      <c r="I135" s="100" t="s">
        <v>37</v>
      </c>
      <c r="J135" s="101">
        <v>12050000</v>
      </c>
      <c r="K135" s="102" t="s">
        <v>20</v>
      </c>
      <c r="L135" s="87">
        <v>46143</v>
      </c>
      <c r="M135" s="87"/>
      <c r="N135" s="103"/>
    </row>
    <row r="136" spans="1:14">
      <c r="A136" s="71" t="s">
        <v>301</v>
      </c>
      <c r="B136" s="171"/>
      <c r="C136" s="42" t="s">
        <v>302</v>
      </c>
      <c r="D136" s="170"/>
      <c r="E136" s="43" t="s">
        <v>16</v>
      </c>
      <c r="F136" s="40"/>
      <c r="G136" s="18" t="s">
        <v>80</v>
      </c>
      <c r="H136" s="44" t="s">
        <v>24</v>
      </c>
      <c r="I136" s="40" t="s">
        <v>37</v>
      </c>
      <c r="J136" s="45">
        <v>300000000</v>
      </c>
      <c r="K136" s="88" t="s">
        <v>53</v>
      </c>
      <c r="L136" s="47">
        <v>46235</v>
      </c>
      <c r="M136" s="47"/>
      <c r="N136" s="113"/>
    </row>
    <row r="137" spans="1:14" hidden="1">
      <c r="A137" s="114" t="s">
        <v>303</v>
      </c>
      <c r="B137" s="168"/>
      <c r="C137" s="31" t="s">
        <v>18</v>
      </c>
      <c r="D137" s="169" t="s">
        <v>24</v>
      </c>
      <c r="E137" s="32" t="s">
        <v>16</v>
      </c>
      <c r="F137" s="33"/>
      <c r="G137" s="33" t="s">
        <v>80</v>
      </c>
      <c r="H137" s="33" t="s">
        <v>18</v>
      </c>
      <c r="I137" s="169" t="s">
        <v>25</v>
      </c>
      <c r="J137" s="54">
        <v>11000000</v>
      </c>
      <c r="K137" s="86" t="s">
        <v>26</v>
      </c>
      <c r="L137" s="37">
        <v>46065</v>
      </c>
      <c r="M137" s="37"/>
      <c r="N137" s="115" t="s">
        <v>304</v>
      </c>
    </row>
    <row r="138" spans="1:14">
      <c r="A138" s="40" t="s">
        <v>269</v>
      </c>
      <c r="B138" s="171"/>
      <c r="C138" s="42" t="s">
        <v>119</v>
      </c>
      <c r="D138" s="177"/>
      <c r="E138" s="43" t="s">
        <v>16</v>
      </c>
      <c r="F138" s="40" t="s">
        <v>120</v>
      </c>
      <c r="G138" s="40"/>
      <c r="H138" s="40" t="s">
        <v>121</v>
      </c>
      <c r="I138" s="177" t="s">
        <v>37</v>
      </c>
      <c r="J138" s="45">
        <v>55062530</v>
      </c>
      <c r="K138" s="88" t="s">
        <v>53</v>
      </c>
      <c r="L138" s="47">
        <v>46233</v>
      </c>
      <c r="M138" s="48"/>
      <c r="N138" s="80" t="s">
        <v>305</v>
      </c>
    </row>
    <row r="139" spans="1:14">
      <c r="A139" s="33" t="s">
        <v>306</v>
      </c>
      <c r="B139" s="168"/>
      <c r="C139" s="31" t="s">
        <v>119</v>
      </c>
      <c r="D139" s="173"/>
      <c r="E139" s="32" t="s">
        <v>16</v>
      </c>
      <c r="F139" s="33" t="s">
        <v>120</v>
      </c>
      <c r="G139" s="33"/>
      <c r="H139" s="33" t="s">
        <v>121</v>
      </c>
      <c r="I139" s="173" t="s">
        <v>37</v>
      </c>
      <c r="J139" s="54">
        <v>18099245</v>
      </c>
      <c r="K139" s="86" t="s">
        <v>53</v>
      </c>
      <c r="L139" s="37">
        <v>46240</v>
      </c>
      <c r="M139" s="38"/>
      <c r="N139" s="78"/>
    </row>
    <row r="140" spans="1:14" ht="24.75">
      <c r="A140" s="40" t="s">
        <v>307</v>
      </c>
      <c r="B140" s="171"/>
      <c r="C140" s="42" t="s">
        <v>308</v>
      </c>
      <c r="D140" s="177"/>
      <c r="E140" s="43" t="s">
        <v>16</v>
      </c>
      <c r="F140" s="40" t="s">
        <v>120</v>
      </c>
      <c r="G140" s="40" t="s">
        <v>117</v>
      </c>
      <c r="H140" s="40" t="s">
        <v>121</v>
      </c>
      <c r="I140" s="177" t="s">
        <v>25</v>
      </c>
      <c r="J140" s="45">
        <v>4464000</v>
      </c>
      <c r="K140" s="88" t="s">
        <v>53</v>
      </c>
      <c r="L140" s="47">
        <v>46246</v>
      </c>
      <c r="M140" s="48"/>
      <c r="N140" s="80" t="s">
        <v>309</v>
      </c>
    </row>
    <row r="141" spans="1:14">
      <c r="A141" s="98" t="s">
        <v>21</v>
      </c>
      <c r="B141" s="176"/>
      <c r="C141" s="50" t="s">
        <v>18</v>
      </c>
      <c r="D141" s="178" t="s">
        <v>24</v>
      </c>
      <c r="E141" s="100" t="s">
        <v>16</v>
      </c>
      <c r="F141" s="99" t="s">
        <v>120</v>
      </c>
      <c r="G141" s="99" t="s">
        <v>23</v>
      </c>
      <c r="H141" s="99" t="s">
        <v>121</v>
      </c>
      <c r="I141" s="100" t="s">
        <v>25</v>
      </c>
      <c r="J141" s="101">
        <v>104980000</v>
      </c>
      <c r="K141" s="102" t="s">
        <v>53</v>
      </c>
      <c r="L141" s="87">
        <v>46296</v>
      </c>
      <c r="M141" s="87"/>
      <c r="N141" s="103" t="s">
        <v>310</v>
      </c>
    </row>
    <row r="142" spans="1:14">
      <c r="A142" s="104" t="s">
        <v>311</v>
      </c>
      <c r="B142" s="174"/>
      <c r="C142" s="58" t="s">
        <v>312</v>
      </c>
      <c r="D142" s="175" t="s">
        <v>24</v>
      </c>
      <c r="E142" s="94" t="s">
        <v>16</v>
      </c>
      <c r="F142" s="93" t="s">
        <v>120</v>
      </c>
      <c r="G142" s="93" t="s">
        <v>23</v>
      </c>
      <c r="H142" s="93" t="s">
        <v>121</v>
      </c>
      <c r="I142" s="175" t="s">
        <v>25</v>
      </c>
      <c r="J142" s="106">
        <v>3555400</v>
      </c>
      <c r="K142" s="107" t="s">
        <v>53</v>
      </c>
      <c r="L142" s="90">
        <v>46246</v>
      </c>
      <c r="M142" s="90"/>
      <c r="N142" s="108" t="s">
        <v>313</v>
      </c>
    </row>
    <row r="143" spans="1:14">
      <c r="A143" s="98" t="s">
        <v>314</v>
      </c>
      <c r="B143" s="176"/>
      <c r="C143" s="50" t="s">
        <v>270</v>
      </c>
      <c r="D143" s="100" t="s">
        <v>24</v>
      </c>
      <c r="E143" s="100" t="s">
        <v>16</v>
      </c>
      <c r="F143" s="99" t="s">
        <v>120</v>
      </c>
      <c r="G143" s="99" t="s">
        <v>117</v>
      </c>
      <c r="H143" s="99" t="s">
        <v>121</v>
      </c>
      <c r="I143" s="100" t="s">
        <v>37</v>
      </c>
      <c r="J143" s="101">
        <v>100000000</v>
      </c>
      <c r="K143" s="102" t="s">
        <v>53</v>
      </c>
      <c r="L143" s="87">
        <v>46253</v>
      </c>
      <c r="M143" s="87"/>
      <c r="N143" s="103" t="s">
        <v>315</v>
      </c>
    </row>
    <row r="144" spans="1:14" ht="24">
      <c r="A144" s="104" t="s">
        <v>316</v>
      </c>
      <c r="B144" s="174"/>
      <c r="C144" s="58" t="s">
        <v>18</v>
      </c>
      <c r="D144" s="179" t="s">
        <v>24</v>
      </c>
      <c r="E144" s="94" t="s">
        <v>16</v>
      </c>
      <c r="F144" s="93" t="s">
        <v>120</v>
      </c>
      <c r="G144" s="93" t="s">
        <v>48</v>
      </c>
      <c r="H144" s="93" t="s">
        <v>18</v>
      </c>
      <c r="I144" s="179" t="s">
        <v>25</v>
      </c>
      <c r="J144" s="106">
        <v>704117700</v>
      </c>
      <c r="K144" s="107" t="s">
        <v>53</v>
      </c>
      <c r="L144" s="90">
        <v>46356</v>
      </c>
      <c r="M144" s="90"/>
      <c r="N144" s="108" t="s">
        <v>317</v>
      </c>
    </row>
    <row r="145" spans="1:14" hidden="1">
      <c r="A145" s="98" t="s">
        <v>21</v>
      </c>
      <c r="B145" s="53" t="s">
        <v>33</v>
      </c>
      <c r="C145" s="31" t="s">
        <v>318</v>
      </c>
      <c r="D145" s="169"/>
      <c r="E145" s="32" t="s">
        <v>16</v>
      </c>
      <c r="F145" s="33"/>
      <c r="G145" s="33" t="s">
        <v>23</v>
      </c>
      <c r="H145" s="33" t="s">
        <v>24</v>
      </c>
      <c r="I145" s="169" t="s">
        <v>25</v>
      </c>
      <c r="J145" s="54">
        <v>28473000</v>
      </c>
      <c r="K145" s="86" t="s">
        <v>26</v>
      </c>
      <c r="L145" s="37">
        <v>46082</v>
      </c>
      <c r="M145" s="38" t="s">
        <v>27</v>
      </c>
      <c r="N145" s="39" t="s">
        <v>28</v>
      </c>
    </row>
    <row r="146" spans="1:14" ht="24" hidden="1">
      <c r="A146" s="116" t="s">
        <v>319</v>
      </c>
      <c r="B146" s="180"/>
      <c r="C146" s="117" t="s">
        <v>18</v>
      </c>
      <c r="D146" s="181" t="s">
        <v>24</v>
      </c>
      <c r="E146" s="43" t="s">
        <v>16</v>
      </c>
      <c r="F146" s="40"/>
      <c r="G146" s="118" t="s">
        <v>23</v>
      </c>
      <c r="H146" s="118" t="s">
        <v>18</v>
      </c>
      <c r="I146" s="181" t="s">
        <v>37</v>
      </c>
      <c r="J146" s="119">
        <v>95000000</v>
      </c>
      <c r="K146" s="120" t="s">
        <v>26</v>
      </c>
      <c r="L146" s="121">
        <v>46072</v>
      </c>
      <c r="M146" s="121"/>
      <c r="N146" s="122" t="s">
        <v>320</v>
      </c>
    </row>
    <row r="147" spans="1:14" hidden="1">
      <c r="A147" s="114" t="s">
        <v>321</v>
      </c>
      <c r="B147" s="168"/>
      <c r="C147" s="31" t="s">
        <v>18</v>
      </c>
      <c r="D147" s="169" t="s">
        <v>24</v>
      </c>
      <c r="E147" s="32" t="s">
        <v>16</v>
      </c>
      <c r="F147" s="33"/>
      <c r="G147" s="33" t="s">
        <v>80</v>
      </c>
      <c r="H147" s="33" t="s">
        <v>18</v>
      </c>
      <c r="I147" s="169" t="s">
        <v>37</v>
      </c>
      <c r="J147" s="54">
        <v>153000000</v>
      </c>
      <c r="K147" s="86" t="s">
        <v>26</v>
      </c>
      <c r="L147" s="37">
        <v>46065</v>
      </c>
      <c r="M147" s="37"/>
      <c r="N147" s="115" t="s">
        <v>322</v>
      </c>
    </row>
    <row r="148" spans="1:14" hidden="1">
      <c r="A148" s="71" t="s">
        <v>311</v>
      </c>
      <c r="B148" s="171" t="s">
        <v>323</v>
      </c>
      <c r="C148" s="42" t="s">
        <v>324</v>
      </c>
      <c r="D148" s="170"/>
      <c r="E148" s="43" t="s">
        <v>16</v>
      </c>
      <c r="F148" s="40"/>
      <c r="G148" s="40" t="s">
        <v>23</v>
      </c>
      <c r="H148" s="40" t="s">
        <v>24</v>
      </c>
      <c r="I148" s="170" t="s">
        <v>49</v>
      </c>
      <c r="J148" s="45">
        <v>121734700</v>
      </c>
      <c r="K148" s="88" t="s">
        <v>26</v>
      </c>
      <c r="L148" s="47">
        <v>46205</v>
      </c>
      <c r="M148" s="47" t="s">
        <v>27</v>
      </c>
      <c r="N148" s="113" t="s">
        <v>325</v>
      </c>
    </row>
    <row r="149" spans="1:14" hidden="1">
      <c r="A149" s="114" t="s">
        <v>21</v>
      </c>
      <c r="B149" s="168" t="s">
        <v>326</v>
      </c>
      <c r="C149" s="31" t="s">
        <v>327</v>
      </c>
      <c r="D149" s="169"/>
      <c r="E149" s="32" t="s">
        <v>16</v>
      </c>
      <c r="F149" s="33"/>
      <c r="G149" s="33" t="s">
        <v>23</v>
      </c>
      <c r="H149" s="33" t="s">
        <v>24</v>
      </c>
      <c r="I149" s="169" t="s">
        <v>25</v>
      </c>
      <c r="J149" s="54">
        <v>300000000</v>
      </c>
      <c r="K149" s="86" t="s">
        <v>328</v>
      </c>
      <c r="L149" s="37">
        <v>46205</v>
      </c>
      <c r="M149" s="37" t="s">
        <v>27</v>
      </c>
      <c r="N149" s="115" t="s">
        <v>325</v>
      </c>
    </row>
    <row r="150" spans="1:14" hidden="1">
      <c r="A150" s="71" t="s">
        <v>21</v>
      </c>
      <c r="B150" s="171" t="s">
        <v>329</v>
      </c>
      <c r="C150" s="42" t="s">
        <v>330</v>
      </c>
      <c r="D150" s="170"/>
      <c r="E150" s="43" t="s">
        <v>16</v>
      </c>
      <c r="F150" s="40"/>
      <c r="G150" s="40" t="s">
        <v>23</v>
      </c>
      <c r="H150" s="40" t="s">
        <v>18</v>
      </c>
      <c r="I150" s="170" t="s">
        <v>25</v>
      </c>
      <c r="J150" s="45">
        <v>394060000</v>
      </c>
      <c r="K150" s="88" t="s">
        <v>26</v>
      </c>
      <c r="L150" s="47">
        <v>46223</v>
      </c>
      <c r="M150" s="47"/>
      <c r="N150" s="113"/>
    </row>
    <row r="151" spans="1:14" hidden="1">
      <c r="A151" s="114" t="s">
        <v>21</v>
      </c>
      <c r="B151" s="168" t="s">
        <v>30</v>
      </c>
      <c r="C151" s="31" t="s">
        <v>331</v>
      </c>
      <c r="D151" s="169"/>
      <c r="E151" s="32" t="s">
        <v>16</v>
      </c>
      <c r="F151" s="33"/>
      <c r="G151" s="33" t="s">
        <v>23</v>
      </c>
      <c r="H151" s="33" t="s">
        <v>24</v>
      </c>
      <c r="I151" s="169" t="s">
        <v>25</v>
      </c>
      <c r="J151" s="54">
        <v>240000000</v>
      </c>
      <c r="K151" s="86" t="s">
        <v>328</v>
      </c>
      <c r="L151" s="37">
        <v>46205</v>
      </c>
      <c r="M151" s="37"/>
      <c r="N151" s="115" t="s">
        <v>325</v>
      </c>
    </row>
    <row r="152" spans="1:14" hidden="1">
      <c r="A152" s="71" t="s">
        <v>21</v>
      </c>
      <c r="B152" s="171" t="s">
        <v>30</v>
      </c>
      <c r="C152" s="42" t="s">
        <v>332</v>
      </c>
      <c r="D152" s="170"/>
      <c r="E152" s="43" t="s">
        <v>16</v>
      </c>
      <c r="F152" s="40"/>
      <c r="G152" s="40" t="s">
        <v>23</v>
      </c>
      <c r="H152" s="40" t="s">
        <v>24</v>
      </c>
      <c r="I152" s="170" t="s">
        <v>25</v>
      </c>
      <c r="J152" s="45">
        <v>381000000</v>
      </c>
      <c r="K152" s="88" t="s">
        <v>328</v>
      </c>
      <c r="L152" s="47">
        <v>46212</v>
      </c>
      <c r="M152" s="47"/>
      <c r="N152" s="113" t="s">
        <v>325</v>
      </c>
    </row>
    <row r="153" spans="1:14" hidden="1">
      <c r="A153" s="114" t="s">
        <v>21</v>
      </c>
      <c r="B153" s="168" t="s">
        <v>333</v>
      </c>
      <c r="C153" s="31" t="s">
        <v>334</v>
      </c>
      <c r="D153" s="169"/>
      <c r="E153" s="32" t="s">
        <v>16</v>
      </c>
      <c r="F153" s="33"/>
      <c r="G153" s="33" t="s">
        <v>23</v>
      </c>
      <c r="H153" s="33" t="s">
        <v>24</v>
      </c>
      <c r="I153" s="169" t="s">
        <v>25</v>
      </c>
      <c r="J153" s="54">
        <v>87454000</v>
      </c>
      <c r="K153" s="86" t="s">
        <v>328</v>
      </c>
      <c r="L153" s="37">
        <v>46219</v>
      </c>
      <c r="M153" s="37"/>
      <c r="N153" s="115" t="s">
        <v>325</v>
      </c>
    </row>
    <row r="154" spans="1:14" hidden="1">
      <c r="A154" s="71" t="s">
        <v>21</v>
      </c>
      <c r="B154" s="171" t="s">
        <v>30</v>
      </c>
      <c r="C154" s="42" t="s">
        <v>335</v>
      </c>
      <c r="D154" s="170"/>
      <c r="E154" s="43" t="s">
        <v>16</v>
      </c>
      <c r="F154" s="40"/>
      <c r="G154" s="40" t="s">
        <v>23</v>
      </c>
      <c r="H154" s="40" t="s">
        <v>24</v>
      </c>
      <c r="I154" s="170" t="s">
        <v>25</v>
      </c>
      <c r="J154" s="45">
        <v>287795700</v>
      </c>
      <c r="K154" s="88" t="s">
        <v>328</v>
      </c>
      <c r="L154" s="47">
        <v>46220</v>
      </c>
      <c r="M154" s="47"/>
      <c r="N154" s="113" t="s">
        <v>325</v>
      </c>
    </row>
    <row r="155" spans="1:14" hidden="1">
      <c r="A155" s="114" t="s">
        <v>336</v>
      </c>
      <c r="B155" s="168"/>
      <c r="C155" s="31" t="s">
        <v>337</v>
      </c>
      <c r="D155" s="169"/>
      <c r="E155" s="32" t="s">
        <v>16</v>
      </c>
      <c r="F155" s="33"/>
      <c r="G155" s="33" t="s">
        <v>23</v>
      </c>
      <c r="H155" s="33" t="s">
        <v>18</v>
      </c>
      <c r="I155" s="169" t="s">
        <v>49</v>
      </c>
      <c r="J155" s="54">
        <v>1000000000</v>
      </c>
      <c r="K155" s="86" t="s">
        <v>26</v>
      </c>
      <c r="L155" s="37">
        <v>46247</v>
      </c>
      <c r="M155" s="37"/>
      <c r="N155" s="115" t="s">
        <v>325</v>
      </c>
    </row>
    <row r="156" spans="1:14" hidden="1">
      <c r="A156" s="40" t="s">
        <v>338</v>
      </c>
      <c r="B156" s="171"/>
      <c r="C156" s="58" t="s">
        <v>270</v>
      </c>
      <c r="D156" s="170" t="s">
        <v>24</v>
      </c>
      <c r="E156" s="43" t="s">
        <v>16</v>
      </c>
      <c r="F156" s="40" t="s">
        <v>120</v>
      </c>
      <c r="G156" s="40" t="s">
        <v>96</v>
      </c>
      <c r="H156" s="40" t="s">
        <v>121</v>
      </c>
      <c r="I156" s="170" t="s">
        <v>25</v>
      </c>
      <c r="J156" s="45">
        <v>26841600</v>
      </c>
      <c r="K156" s="88" t="s">
        <v>26</v>
      </c>
      <c r="L156" s="47">
        <v>46024</v>
      </c>
      <c r="M156" s="48" t="s">
        <v>27</v>
      </c>
      <c r="N156" s="80" t="s">
        <v>97</v>
      </c>
    </row>
    <row r="157" spans="1:14" ht="24" hidden="1">
      <c r="A157" s="99" t="s">
        <v>339</v>
      </c>
      <c r="B157" s="168"/>
      <c r="C157" s="50" t="s">
        <v>340</v>
      </c>
      <c r="D157" s="173" t="s">
        <v>111</v>
      </c>
      <c r="E157" s="32" t="s">
        <v>16</v>
      </c>
      <c r="F157" s="33" t="s">
        <v>120</v>
      </c>
      <c r="G157" s="99" t="s">
        <v>48</v>
      </c>
      <c r="H157" s="99" t="s">
        <v>121</v>
      </c>
      <c r="I157" s="173" t="s">
        <v>37</v>
      </c>
      <c r="J157" s="123">
        <v>12000000</v>
      </c>
      <c r="K157" s="124" t="s">
        <v>26</v>
      </c>
      <c r="L157" s="87">
        <v>46219</v>
      </c>
      <c r="M157" s="87" t="s">
        <v>27</v>
      </c>
      <c r="N157" s="125"/>
    </row>
    <row r="158" spans="1:14" hidden="1">
      <c r="A158" s="71" t="s">
        <v>293</v>
      </c>
      <c r="B158" s="171"/>
      <c r="C158" s="42" t="s">
        <v>18</v>
      </c>
      <c r="D158" s="43" t="s">
        <v>24</v>
      </c>
      <c r="E158" s="43" t="s">
        <v>16</v>
      </c>
      <c r="F158" s="40" t="s">
        <v>120</v>
      </c>
      <c r="G158" s="40" t="s">
        <v>117</v>
      </c>
      <c r="H158" s="40" t="s">
        <v>18</v>
      </c>
      <c r="I158" s="43" t="s">
        <v>37</v>
      </c>
      <c r="J158" s="45">
        <v>23278140</v>
      </c>
      <c r="K158" s="88" t="s">
        <v>26</v>
      </c>
      <c r="L158" s="47">
        <v>46064</v>
      </c>
      <c r="M158" s="47"/>
      <c r="N158" s="113" t="s">
        <v>341</v>
      </c>
    </row>
    <row r="159" spans="1:14" hidden="1">
      <c r="A159" s="114" t="s">
        <v>342</v>
      </c>
      <c r="B159" s="182"/>
      <c r="C159" s="126" t="s">
        <v>343</v>
      </c>
      <c r="D159" s="183" t="s">
        <v>24</v>
      </c>
      <c r="E159" s="127" t="s">
        <v>16</v>
      </c>
      <c r="F159" s="114" t="s">
        <v>42</v>
      </c>
      <c r="G159" s="98" t="s">
        <v>48</v>
      </c>
      <c r="H159" s="114" t="s">
        <v>18</v>
      </c>
      <c r="I159" s="184" t="s">
        <v>37</v>
      </c>
      <c r="J159" s="101">
        <v>1390000000</v>
      </c>
      <c r="K159" s="102" t="s">
        <v>26</v>
      </c>
      <c r="L159" s="87">
        <v>46156</v>
      </c>
      <c r="M159" s="128"/>
      <c r="N159" s="129" t="s">
        <v>344</v>
      </c>
    </row>
    <row r="160" spans="1:14" hidden="1">
      <c r="A160" s="71" t="s">
        <v>345</v>
      </c>
      <c r="B160" s="171"/>
      <c r="C160" s="42" t="s">
        <v>18</v>
      </c>
      <c r="D160" s="170"/>
      <c r="E160" s="43" t="s">
        <v>16</v>
      </c>
      <c r="F160" s="40"/>
      <c r="G160" s="40" t="s">
        <v>117</v>
      </c>
      <c r="H160" s="40" t="s">
        <v>18</v>
      </c>
      <c r="I160" s="170" t="s">
        <v>37</v>
      </c>
      <c r="J160" s="45">
        <v>1000000000</v>
      </c>
      <c r="K160" s="88" t="s">
        <v>20</v>
      </c>
      <c r="L160" s="47">
        <v>46235</v>
      </c>
      <c r="M160" s="47"/>
      <c r="N160" s="113"/>
    </row>
    <row r="161" spans="1:14" hidden="1">
      <c r="A161" s="99" t="s">
        <v>346</v>
      </c>
      <c r="B161" s="168"/>
      <c r="C161" s="31" t="s">
        <v>18</v>
      </c>
      <c r="D161" s="169" t="s">
        <v>24</v>
      </c>
      <c r="E161" s="32" t="s">
        <v>16</v>
      </c>
      <c r="F161" s="33" t="s">
        <v>42</v>
      </c>
      <c r="G161" s="33" t="s">
        <v>117</v>
      </c>
      <c r="H161" s="33" t="s">
        <v>18</v>
      </c>
      <c r="I161" s="32" t="s">
        <v>37</v>
      </c>
      <c r="J161" s="54">
        <v>156000000</v>
      </c>
      <c r="K161" s="86" t="s">
        <v>26</v>
      </c>
      <c r="L161" s="37">
        <v>46051</v>
      </c>
      <c r="M161" s="37" t="s">
        <v>27</v>
      </c>
      <c r="N161" s="115" t="s">
        <v>347</v>
      </c>
    </row>
    <row r="162" spans="1:14" hidden="1">
      <c r="A162" s="93" t="s">
        <v>115</v>
      </c>
      <c r="B162" s="171"/>
      <c r="C162" s="42"/>
      <c r="D162" s="170" t="s">
        <v>24</v>
      </c>
      <c r="E162" s="43" t="s">
        <v>16</v>
      </c>
      <c r="F162" s="40"/>
      <c r="G162" s="40" t="s">
        <v>117</v>
      </c>
      <c r="H162" s="40" t="s">
        <v>24</v>
      </c>
      <c r="I162" s="170" t="s">
        <v>37</v>
      </c>
      <c r="J162" s="45">
        <v>52000000</v>
      </c>
      <c r="K162" s="88" t="s">
        <v>26</v>
      </c>
      <c r="L162" s="47">
        <v>46065</v>
      </c>
      <c r="M162" s="47" t="s">
        <v>27</v>
      </c>
      <c r="N162" s="113"/>
    </row>
    <row r="163" spans="1:14">
      <c r="A163" s="99" t="s">
        <v>348</v>
      </c>
      <c r="B163" s="168"/>
      <c r="C163" s="31" t="s">
        <v>18</v>
      </c>
      <c r="D163" s="169" t="s">
        <v>18</v>
      </c>
      <c r="E163" s="32" t="s">
        <v>16</v>
      </c>
      <c r="F163" s="33"/>
      <c r="G163" s="33" t="s">
        <v>117</v>
      </c>
      <c r="H163" s="33" t="s">
        <v>18</v>
      </c>
      <c r="I163" s="169" t="s">
        <v>37</v>
      </c>
      <c r="J163" s="54">
        <v>2000000000</v>
      </c>
      <c r="K163" s="86" t="s">
        <v>53</v>
      </c>
      <c r="L163" s="37">
        <v>46266</v>
      </c>
      <c r="M163" s="37"/>
      <c r="N163" s="115"/>
    </row>
    <row r="164" spans="1:14">
      <c r="A164" s="93" t="s">
        <v>349</v>
      </c>
      <c r="B164" s="171"/>
      <c r="C164" s="42"/>
      <c r="D164" s="170" t="s">
        <v>24</v>
      </c>
      <c r="E164" s="43" t="s">
        <v>16</v>
      </c>
      <c r="F164" s="40"/>
      <c r="G164" s="40" t="s">
        <v>117</v>
      </c>
      <c r="H164" s="40" t="s">
        <v>24</v>
      </c>
      <c r="I164" s="170" t="s">
        <v>37</v>
      </c>
      <c r="J164" s="45">
        <v>200000000</v>
      </c>
      <c r="K164" s="88" t="s">
        <v>53</v>
      </c>
      <c r="L164" s="47">
        <v>46296</v>
      </c>
      <c r="M164" s="47"/>
      <c r="N164" s="113"/>
    </row>
    <row r="165" spans="1:14" hidden="1">
      <c r="A165" s="99" t="s">
        <v>350</v>
      </c>
      <c r="B165" s="168"/>
      <c r="C165" s="31" t="s">
        <v>351</v>
      </c>
      <c r="D165" s="169" t="s">
        <v>18</v>
      </c>
      <c r="E165" s="32" t="s">
        <v>16</v>
      </c>
      <c r="F165" s="33"/>
      <c r="G165" s="33" t="s">
        <v>117</v>
      </c>
      <c r="H165" s="33" t="s">
        <v>24</v>
      </c>
      <c r="I165" s="169" t="s">
        <v>37</v>
      </c>
      <c r="J165" s="54">
        <f>3205000000*0.75</f>
        <v>2403750000</v>
      </c>
      <c r="K165" s="86" t="s">
        <v>248</v>
      </c>
      <c r="L165" s="37">
        <v>46282</v>
      </c>
      <c r="M165" s="37"/>
      <c r="N165" s="115"/>
    </row>
    <row r="166" spans="1:14">
      <c r="A166" s="93" t="s">
        <v>350</v>
      </c>
      <c r="B166" s="171"/>
      <c r="C166" s="42" t="s">
        <v>352</v>
      </c>
      <c r="D166" s="170" t="s">
        <v>24</v>
      </c>
      <c r="E166" s="43" t="s">
        <v>16</v>
      </c>
      <c r="F166" s="40"/>
      <c r="G166" s="40" t="s">
        <v>117</v>
      </c>
      <c r="H166" s="40" t="s">
        <v>18</v>
      </c>
      <c r="I166" s="170" t="s">
        <v>37</v>
      </c>
      <c r="J166" s="45">
        <v>1000000000</v>
      </c>
      <c r="K166" s="88" t="s">
        <v>53</v>
      </c>
      <c r="L166" s="47">
        <v>46282</v>
      </c>
      <c r="M166" s="47"/>
      <c r="N166" s="113"/>
    </row>
    <row r="167" spans="1:14">
      <c r="A167" s="99" t="s">
        <v>353</v>
      </c>
      <c r="B167" s="168"/>
      <c r="C167" s="31" t="s">
        <v>354</v>
      </c>
      <c r="D167" s="169" t="s">
        <v>18</v>
      </c>
      <c r="E167" s="32" t="s">
        <v>16</v>
      </c>
      <c r="F167" s="33"/>
      <c r="G167" s="33" t="s">
        <v>117</v>
      </c>
      <c r="H167" s="33" t="s">
        <v>18</v>
      </c>
      <c r="I167" s="169" t="s">
        <v>37</v>
      </c>
      <c r="J167" s="54">
        <v>98000000</v>
      </c>
      <c r="K167" s="86" t="s">
        <v>53</v>
      </c>
      <c r="L167" s="37">
        <v>46304</v>
      </c>
      <c r="M167" s="37"/>
      <c r="N167" s="115"/>
    </row>
    <row r="168" spans="1:14" hidden="1">
      <c r="A168" s="93" t="s">
        <v>355</v>
      </c>
      <c r="B168" s="171"/>
      <c r="C168" s="42" t="s">
        <v>356</v>
      </c>
      <c r="D168" s="170" t="s">
        <v>18</v>
      </c>
      <c r="E168" s="43" t="s">
        <v>16</v>
      </c>
      <c r="F168" s="40" t="s">
        <v>42</v>
      </c>
      <c r="G168" s="40" t="s">
        <v>117</v>
      </c>
      <c r="H168" s="40" t="s">
        <v>18</v>
      </c>
      <c r="I168" s="170" t="s">
        <v>19</v>
      </c>
      <c r="J168" s="45">
        <v>2248000000</v>
      </c>
      <c r="K168" s="88" t="s">
        <v>26</v>
      </c>
      <c r="L168" s="47">
        <v>46204</v>
      </c>
      <c r="M168" s="47" t="s">
        <v>27</v>
      </c>
      <c r="N168" s="113"/>
    </row>
    <row r="169" spans="1:14" hidden="1">
      <c r="A169" s="99" t="s">
        <v>357</v>
      </c>
      <c r="B169" s="168"/>
      <c r="C169" s="31" t="s">
        <v>358</v>
      </c>
      <c r="D169" s="169" t="s">
        <v>18</v>
      </c>
      <c r="E169" s="32" t="s">
        <v>16</v>
      </c>
      <c r="F169" s="33"/>
      <c r="G169" s="33" t="s">
        <v>117</v>
      </c>
      <c r="H169" s="33" t="s">
        <v>18</v>
      </c>
      <c r="I169" s="169" t="s">
        <v>37</v>
      </c>
      <c r="J169" s="54">
        <v>1126200000</v>
      </c>
      <c r="K169" s="86" t="s">
        <v>26</v>
      </c>
      <c r="L169" s="37">
        <v>46204</v>
      </c>
      <c r="M169" s="37" t="s">
        <v>27</v>
      </c>
      <c r="N169" s="115"/>
    </row>
    <row r="170" spans="1:14">
      <c r="A170" s="93" t="s">
        <v>359</v>
      </c>
      <c r="B170" s="171"/>
      <c r="C170" s="42"/>
      <c r="D170" s="170" t="s">
        <v>24</v>
      </c>
      <c r="E170" s="43" t="s">
        <v>16</v>
      </c>
      <c r="F170" s="40"/>
      <c r="G170" s="40" t="s">
        <v>117</v>
      </c>
      <c r="H170" s="40" t="s">
        <v>24</v>
      </c>
      <c r="I170" s="170" t="s">
        <v>37</v>
      </c>
      <c r="J170" s="45">
        <v>800000000</v>
      </c>
      <c r="K170" s="88" t="s">
        <v>53</v>
      </c>
      <c r="L170" s="47">
        <v>46219</v>
      </c>
      <c r="M170" s="47"/>
      <c r="N170" s="113"/>
    </row>
    <row r="171" spans="1:14">
      <c r="A171" s="99" t="s">
        <v>360</v>
      </c>
      <c r="B171" s="168"/>
      <c r="C171" s="31" t="s">
        <v>361</v>
      </c>
      <c r="D171" s="169" t="s">
        <v>18</v>
      </c>
      <c r="E171" s="32" t="s">
        <v>16</v>
      </c>
      <c r="F171" s="33"/>
      <c r="G171" s="33" t="s">
        <v>117</v>
      </c>
      <c r="H171" s="33" t="s">
        <v>18</v>
      </c>
      <c r="I171" s="169" t="s">
        <v>37</v>
      </c>
      <c r="J171" s="54">
        <v>1200000000</v>
      </c>
      <c r="K171" s="86" t="s">
        <v>53</v>
      </c>
      <c r="L171" s="37">
        <v>46211</v>
      </c>
      <c r="M171" s="37"/>
      <c r="N171" s="115"/>
    </row>
    <row r="172" spans="1:14" hidden="1">
      <c r="A172" s="93" t="s">
        <v>362</v>
      </c>
      <c r="B172" s="171"/>
      <c r="C172" s="42" t="s">
        <v>363</v>
      </c>
      <c r="D172" s="170" t="s">
        <v>18</v>
      </c>
      <c r="E172" s="43" t="s">
        <v>16</v>
      </c>
      <c r="F172" s="40"/>
      <c r="G172" s="40" t="s">
        <v>117</v>
      </c>
      <c r="H172" s="40" t="s">
        <v>18</v>
      </c>
      <c r="I172" s="43" t="s">
        <v>37</v>
      </c>
      <c r="J172" s="45">
        <v>78000000</v>
      </c>
      <c r="K172" s="88" t="s">
        <v>26</v>
      </c>
      <c r="L172" s="47">
        <v>46065</v>
      </c>
      <c r="M172" s="47" t="s">
        <v>27</v>
      </c>
      <c r="N172" s="113" t="s">
        <v>364</v>
      </c>
    </row>
    <row r="173" spans="1:14" hidden="1">
      <c r="A173" s="114" t="s">
        <v>293</v>
      </c>
      <c r="B173" s="168"/>
      <c r="C173" s="31" t="s">
        <v>18</v>
      </c>
      <c r="D173" s="33" t="s">
        <v>24</v>
      </c>
      <c r="E173" s="32" t="s">
        <v>16</v>
      </c>
      <c r="F173" s="33" t="s">
        <v>120</v>
      </c>
      <c r="G173" s="33" t="s">
        <v>117</v>
      </c>
      <c r="H173" s="33" t="s">
        <v>18</v>
      </c>
      <c r="I173" s="33" t="s">
        <v>37</v>
      </c>
      <c r="J173" s="54">
        <v>52500000</v>
      </c>
      <c r="K173" s="86" t="s">
        <v>26</v>
      </c>
      <c r="L173" s="37">
        <v>46058</v>
      </c>
      <c r="M173" s="37" t="s">
        <v>27</v>
      </c>
      <c r="N173" s="115" t="s">
        <v>365</v>
      </c>
    </row>
    <row r="174" spans="1:14" hidden="1">
      <c r="A174" s="71" t="s">
        <v>293</v>
      </c>
      <c r="B174" s="171"/>
      <c r="C174" s="42" t="s">
        <v>18</v>
      </c>
      <c r="D174" s="43" t="s">
        <v>24</v>
      </c>
      <c r="E174" s="43" t="s">
        <v>16</v>
      </c>
      <c r="F174" s="40" t="s">
        <v>120</v>
      </c>
      <c r="G174" s="40" t="s">
        <v>117</v>
      </c>
      <c r="H174" s="40" t="s">
        <v>18</v>
      </c>
      <c r="I174" s="43" t="s">
        <v>37</v>
      </c>
      <c r="J174" s="45">
        <v>23278140</v>
      </c>
      <c r="K174" s="88" t="s">
        <v>26</v>
      </c>
      <c r="L174" s="47">
        <v>46072</v>
      </c>
      <c r="M174" s="47" t="s">
        <v>27</v>
      </c>
      <c r="N174" s="113" t="s">
        <v>365</v>
      </c>
    </row>
    <row r="175" spans="1:14" ht="24.75" hidden="1">
      <c r="A175" s="114" t="s">
        <v>293</v>
      </c>
      <c r="B175" s="168"/>
      <c r="C175" s="31" t="s">
        <v>18</v>
      </c>
      <c r="D175" s="32" t="s">
        <v>24</v>
      </c>
      <c r="E175" s="32" t="s">
        <v>16</v>
      </c>
      <c r="F175" s="33" t="s">
        <v>120</v>
      </c>
      <c r="G175" s="33" t="s">
        <v>117</v>
      </c>
      <c r="H175" s="33" t="s">
        <v>18</v>
      </c>
      <c r="I175" s="32" t="s">
        <v>37</v>
      </c>
      <c r="J175" s="54">
        <v>42000000</v>
      </c>
      <c r="K175" s="86" t="s">
        <v>26</v>
      </c>
      <c r="L175" s="37">
        <v>46017</v>
      </c>
      <c r="M175" s="37" t="s">
        <v>27</v>
      </c>
      <c r="N175" s="115" t="s">
        <v>366</v>
      </c>
    </row>
    <row r="176" spans="1:14" hidden="1">
      <c r="A176" s="40" t="s">
        <v>367</v>
      </c>
      <c r="B176" s="40"/>
      <c r="C176" s="42" t="s">
        <v>368</v>
      </c>
      <c r="D176" s="40" t="s">
        <v>128</v>
      </c>
      <c r="E176" s="43" t="s">
        <v>112</v>
      </c>
      <c r="F176" s="40"/>
      <c r="G176" s="40" t="s">
        <v>170</v>
      </c>
      <c r="H176" s="79" t="s">
        <v>24</v>
      </c>
      <c r="I176" s="40" t="s">
        <v>37</v>
      </c>
      <c r="J176" s="45">
        <v>699000000</v>
      </c>
      <c r="K176" s="88" t="s">
        <v>369</v>
      </c>
      <c r="L176" s="47">
        <v>45992</v>
      </c>
      <c r="M176" s="48" t="s">
        <v>370</v>
      </c>
      <c r="N176" s="80" t="s">
        <v>371</v>
      </c>
    </row>
    <row r="177" spans="1:14" hidden="1">
      <c r="A177" s="33" t="s">
        <v>372</v>
      </c>
      <c r="B177" s="33"/>
      <c r="C177" s="31" t="s">
        <v>373</v>
      </c>
      <c r="D177" s="33" t="s">
        <v>125</v>
      </c>
      <c r="E177" s="32" t="s">
        <v>112</v>
      </c>
      <c r="F177" s="33"/>
      <c r="G177" s="33" t="s">
        <v>170</v>
      </c>
      <c r="H177" s="33" t="s">
        <v>18</v>
      </c>
      <c r="I177" s="33" t="s">
        <v>25</v>
      </c>
      <c r="J177" s="54">
        <v>1200000000</v>
      </c>
      <c r="K177" s="86" t="s">
        <v>369</v>
      </c>
      <c r="L177" s="37">
        <v>46016</v>
      </c>
      <c r="M177" s="38" t="s">
        <v>370</v>
      </c>
      <c r="N177" s="78" t="s">
        <v>374</v>
      </c>
    </row>
    <row r="178" spans="1:14" hidden="1">
      <c r="A178" s="40" t="s">
        <v>375</v>
      </c>
      <c r="B178" s="40"/>
      <c r="C178" s="42" t="s">
        <v>376</v>
      </c>
      <c r="D178" s="40" t="s">
        <v>243</v>
      </c>
      <c r="E178" s="43" t="s">
        <v>112</v>
      </c>
      <c r="F178" s="40"/>
      <c r="G178" s="40" t="s">
        <v>170</v>
      </c>
      <c r="H178" s="40" t="s">
        <v>18</v>
      </c>
      <c r="I178" s="40" t="s">
        <v>25</v>
      </c>
      <c r="J178" s="45">
        <v>2350000000</v>
      </c>
      <c r="K178" s="88" t="s">
        <v>369</v>
      </c>
      <c r="L178" s="47">
        <v>46014</v>
      </c>
      <c r="M178" s="48" t="s">
        <v>370</v>
      </c>
      <c r="N178" s="80"/>
    </row>
    <row r="179" spans="1:14" hidden="1">
      <c r="A179" s="33" t="s">
        <v>377</v>
      </c>
      <c r="B179" s="67"/>
      <c r="C179" s="31" t="s">
        <v>378</v>
      </c>
      <c r="D179" s="33" t="s">
        <v>379</v>
      </c>
      <c r="E179" s="32" t="s">
        <v>112</v>
      </c>
      <c r="F179" s="33"/>
      <c r="G179" s="33" t="s">
        <v>170</v>
      </c>
      <c r="H179" s="33" t="s">
        <v>18</v>
      </c>
      <c r="I179" s="33" t="s">
        <v>25</v>
      </c>
      <c r="J179" s="54">
        <v>348000000</v>
      </c>
      <c r="K179" s="86" t="s">
        <v>369</v>
      </c>
      <c r="L179" s="37">
        <v>45992</v>
      </c>
      <c r="M179" s="37"/>
      <c r="N179" s="82"/>
    </row>
    <row r="180" spans="1:14" hidden="1">
      <c r="A180" s="40" t="s">
        <v>380</v>
      </c>
      <c r="B180" s="72"/>
      <c r="C180" s="42" t="s">
        <v>381</v>
      </c>
      <c r="D180" s="40" t="s">
        <v>227</v>
      </c>
      <c r="E180" s="43" t="s">
        <v>112</v>
      </c>
      <c r="F180" s="40"/>
      <c r="G180" s="40" t="s">
        <v>170</v>
      </c>
      <c r="H180" s="40" t="s">
        <v>18</v>
      </c>
      <c r="I180" s="40" t="s">
        <v>25</v>
      </c>
      <c r="J180" s="45">
        <v>2800000000</v>
      </c>
      <c r="K180" s="88" t="s">
        <v>369</v>
      </c>
      <c r="L180" s="47">
        <v>45992</v>
      </c>
      <c r="M180" s="47"/>
      <c r="N180" s="85"/>
    </row>
    <row r="181" spans="1:14" hidden="1">
      <c r="A181" s="33" t="s">
        <v>382</v>
      </c>
      <c r="B181" s="67"/>
      <c r="C181" s="31" t="s">
        <v>383</v>
      </c>
      <c r="D181" s="33" t="s">
        <v>125</v>
      </c>
      <c r="E181" s="32" t="s">
        <v>112</v>
      </c>
      <c r="F181" s="33"/>
      <c r="G181" s="33" t="s">
        <v>170</v>
      </c>
      <c r="H181" s="33" t="s">
        <v>18</v>
      </c>
      <c r="I181" s="33" t="s">
        <v>25</v>
      </c>
      <c r="J181" s="54">
        <v>1500000000</v>
      </c>
      <c r="K181" s="86" t="s">
        <v>369</v>
      </c>
      <c r="L181" s="37">
        <v>46016</v>
      </c>
      <c r="M181" s="37"/>
      <c r="N181" s="82"/>
    </row>
    <row r="182" spans="1:14" hidden="1">
      <c r="A182" s="40" t="s">
        <v>384</v>
      </c>
      <c r="B182" s="72"/>
      <c r="C182" s="42" t="s">
        <v>385</v>
      </c>
      <c r="D182" s="40" t="s">
        <v>184</v>
      </c>
      <c r="E182" s="43" t="s">
        <v>112</v>
      </c>
      <c r="F182" s="40"/>
      <c r="G182" s="40" t="s">
        <v>170</v>
      </c>
      <c r="H182" s="40" t="s">
        <v>18</v>
      </c>
      <c r="I182" s="40" t="s">
        <v>25</v>
      </c>
      <c r="J182" s="45">
        <v>6000000</v>
      </c>
      <c r="K182" s="88" t="s">
        <v>369</v>
      </c>
      <c r="L182" s="47">
        <v>45992</v>
      </c>
      <c r="M182" s="47"/>
      <c r="N182" s="85"/>
    </row>
    <row r="183" spans="1:14" hidden="1">
      <c r="A183" s="33" t="s">
        <v>386</v>
      </c>
      <c r="B183" s="67"/>
      <c r="C183" s="31" t="s">
        <v>387</v>
      </c>
      <c r="D183" s="33" t="s">
        <v>184</v>
      </c>
      <c r="E183" s="32" t="s">
        <v>112</v>
      </c>
      <c r="F183" s="33"/>
      <c r="G183" s="33" t="s">
        <v>170</v>
      </c>
      <c r="H183" s="33" t="s">
        <v>24</v>
      </c>
      <c r="I183" s="33" t="s">
        <v>37</v>
      </c>
      <c r="J183" s="54">
        <v>106559000</v>
      </c>
      <c r="K183" s="86" t="s">
        <v>369</v>
      </c>
      <c r="L183" s="37">
        <v>45985</v>
      </c>
      <c r="M183" s="37" t="s">
        <v>370</v>
      </c>
      <c r="N183" s="82" t="s">
        <v>388</v>
      </c>
    </row>
    <row r="184" spans="1:14" hidden="1">
      <c r="A184" s="40" t="s">
        <v>389</v>
      </c>
      <c r="B184" s="72"/>
      <c r="C184" s="42" t="s">
        <v>390</v>
      </c>
      <c r="D184" s="40" t="s">
        <v>184</v>
      </c>
      <c r="E184" s="43" t="s">
        <v>112</v>
      </c>
      <c r="F184" s="40"/>
      <c r="G184" s="40" t="s">
        <v>170</v>
      </c>
      <c r="H184" s="40" t="s">
        <v>24</v>
      </c>
      <c r="I184" s="40" t="s">
        <v>37</v>
      </c>
      <c r="J184" s="45">
        <v>62318500</v>
      </c>
      <c r="K184" s="88" t="s">
        <v>369</v>
      </c>
      <c r="L184" s="47">
        <v>45985</v>
      </c>
      <c r="M184" s="47" t="s">
        <v>370</v>
      </c>
      <c r="N184" s="85" t="s">
        <v>388</v>
      </c>
    </row>
    <row r="185" spans="1:14" hidden="1">
      <c r="A185" s="33" t="s">
        <v>391</v>
      </c>
      <c r="B185" s="67"/>
      <c r="C185" s="31" t="s">
        <v>392</v>
      </c>
      <c r="D185" s="33" t="s">
        <v>184</v>
      </c>
      <c r="E185" s="32" t="s">
        <v>112</v>
      </c>
      <c r="F185" s="33"/>
      <c r="G185" s="33" t="s">
        <v>170</v>
      </c>
      <c r="H185" s="33" t="s">
        <v>18</v>
      </c>
      <c r="I185" s="33" t="s">
        <v>25</v>
      </c>
      <c r="J185" s="54">
        <v>58000000</v>
      </c>
      <c r="K185" s="86" t="s">
        <v>369</v>
      </c>
      <c r="L185" s="37">
        <v>46015</v>
      </c>
      <c r="M185" s="37" t="s">
        <v>370</v>
      </c>
      <c r="N185" s="82"/>
    </row>
    <row r="186" spans="1:14" hidden="1">
      <c r="A186" s="40" t="s">
        <v>393</v>
      </c>
      <c r="B186" s="72"/>
      <c r="C186" s="42" t="s">
        <v>394</v>
      </c>
      <c r="D186" s="40" t="s">
        <v>184</v>
      </c>
      <c r="E186" s="43" t="s">
        <v>112</v>
      </c>
      <c r="F186" s="40"/>
      <c r="G186" s="40" t="s">
        <v>170</v>
      </c>
      <c r="H186" s="40" t="s">
        <v>18</v>
      </c>
      <c r="I186" s="40" t="s">
        <v>25</v>
      </c>
      <c r="J186" s="45">
        <v>14000000</v>
      </c>
      <c r="K186" s="88" t="s">
        <v>369</v>
      </c>
      <c r="L186" s="47">
        <v>46015</v>
      </c>
      <c r="M186" s="47"/>
      <c r="N186" s="85"/>
    </row>
    <row r="187" spans="1:14" hidden="1">
      <c r="A187" s="33" t="s">
        <v>395</v>
      </c>
      <c r="B187" s="67"/>
      <c r="C187" s="31" t="s">
        <v>396</v>
      </c>
      <c r="D187" s="33" t="s">
        <v>184</v>
      </c>
      <c r="E187" s="32" t="s">
        <v>112</v>
      </c>
      <c r="F187" s="33"/>
      <c r="G187" s="33" t="s">
        <v>170</v>
      </c>
      <c r="H187" s="33" t="s">
        <v>18</v>
      </c>
      <c r="I187" s="33" t="s">
        <v>25</v>
      </c>
      <c r="J187" s="54">
        <v>22000000</v>
      </c>
      <c r="K187" s="86" t="s">
        <v>369</v>
      </c>
      <c r="L187" s="37">
        <v>46015</v>
      </c>
      <c r="M187" s="37" t="s">
        <v>370</v>
      </c>
      <c r="N187" s="82"/>
    </row>
    <row r="188" spans="1:14" hidden="1">
      <c r="A188" s="40" t="s">
        <v>397</v>
      </c>
      <c r="B188" s="40"/>
      <c r="C188" s="42" t="s">
        <v>398</v>
      </c>
      <c r="D188" s="40" t="s">
        <v>128</v>
      </c>
      <c r="E188" s="43" t="s">
        <v>112</v>
      </c>
      <c r="F188" s="40"/>
      <c r="G188" s="40" t="s">
        <v>170</v>
      </c>
      <c r="H188" s="79" t="s">
        <v>18</v>
      </c>
      <c r="I188" s="40" t="s">
        <v>25</v>
      </c>
      <c r="J188" s="45">
        <v>280000000</v>
      </c>
      <c r="K188" s="88" t="s">
        <v>369</v>
      </c>
      <c r="L188" s="47">
        <v>45985</v>
      </c>
      <c r="M188" s="48"/>
      <c r="N188" s="85"/>
    </row>
    <row r="189" spans="1:14" hidden="1">
      <c r="A189" s="33" t="s">
        <v>399</v>
      </c>
      <c r="B189" s="67"/>
      <c r="C189" s="31" t="s">
        <v>400</v>
      </c>
      <c r="D189" s="33"/>
      <c r="E189" s="32" t="s">
        <v>112</v>
      </c>
      <c r="F189" s="33"/>
      <c r="G189" s="33" t="s">
        <v>170</v>
      </c>
      <c r="H189" s="33" t="s">
        <v>24</v>
      </c>
      <c r="I189" s="33" t="s">
        <v>37</v>
      </c>
      <c r="J189" s="54">
        <v>11000000</v>
      </c>
      <c r="K189" s="86" t="s">
        <v>369</v>
      </c>
      <c r="L189" s="37">
        <v>45985</v>
      </c>
      <c r="M189" s="37"/>
      <c r="N189" s="82"/>
    </row>
    <row r="190" spans="1:14" hidden="1">
      <c r="A190" s="40" t="s">
        <v>401</v>
      </c>
      <c r="B190" s="72"/>
      <c r="C190" s="42" t="s">
        <v>402</v>
      </c>
      <c r="D190" s="40" t="s">
        <v>184</v>
      </c>
      <c r="E190" s="43" t="s">
        <v>112</v>
      </c>
      <c r="F190" s="40"/>
      <c r="G190" s="40" t="s">
        <v>170</v>
      </c>
      <c r="H190" s="40" t="s">
        <v>18</v>
      </c>
      <c r="I190" s="40" t="s">
        <v>25</v>
      </c>
      <c r="J190" s="45">
        <v>21000000</v>
      </c>
      <c r="K190" s="88" t="s">
        <v>369</v>
      </c>
      <c r="L190" s="47">
        <v>45985</v>
      </c>
      <c r="M190" s="47" t="s">
        <v>370</v>
      </c>
      <c r="N190" s="85"/>
    </row>
    <row r="191" spans="1:14" hidden="1">
      <c r="A191" s="33" t="s">
        <v>403</v>
      </c>
      <c r="B191" s="67"/>
      <c r="C191" s="31" t="s">
        <v>404</v>
      </c>
      <c r="D191" s="33" t="s">
        <v>128</v>
      </c>
      <c r="E191" s="32" t="s">
        <v>112</v>
      </c>
      <c r="F191" s="33"/>
      <c r="G191" s="33" t="s">
        <v>170</v>
      </c>
      <c r="H191" s="33" t="s">
        <v>18</v>
      </c>
      <c r="I191" s="33" t="s">
        <v>37</v>
      </c>
      <c r="J191" s="54">
        <v>210000000</v>
      </c>
      <c r="K191" s="86" t="s">
        <v>369</v>
      </c>
      <c r="L191" s="37">
        <v>45985</v>
      </c>
      <c r="M191" s="37" t="s">
        <v>370</v>
      </c>
      <c r="N191" s="82"/>
    </row>
    <row r="192" spans="1:14" hidden="1">
      <c r="A192" s="40" t="s">
        <v>405</v>
      </c>
      <c r="B192" s="72"/>
      <c r="C192" s="42" t="s">
        <v>406</v>
      </c>
      <c r="D192" s="40"/>
      <c r="E192" s="43" t="s">
        <v>112</v>
      </c>
      <c r="F192" s="40"/>
      <c r="G192" s="40" t="s">
        <v>170</v>
      </c>
      <c r="H192" s="40" t="s">
        <v>18</v>
      </c>
      <c r="I192" s="40" t="s">
        <v>19</v>
      </c>
      <c r="J192" s="45">
        <v>27000000</v>
      </c>
      <c r="K192" s="88" t="s">
        <v>369</v>
      </c>
      <c r="L192" s="47">
        <v>45985</v>
      </c>
      <c r="M192" s="47" t="s">
        <v>370</v>
      </c>
      <c r="N192" s="85"/>
    </row>
    <row r="193" spans="1:14" hidden="1">
      <c r="A193" s="33" t="s">
        <v>407</v>
      </c>
      <c r="B193" s="67"/>
      <c r="C193" s="31" t="s">
        <v>408</v>
      </c>
      <c r="D193" s="33" t="s">
        <v>379</v>
      </c>
      <c r="E193" s="32" t="s">
        <v>112</v>
      </c>
      <c r="F193" s="33"/>
      <c r="G193" s="33" t="s">
        <v>170</v>
      </c>
      <c r="H193" s="33" t="s">
        <v>18</v>
      </c>
      <c r="I193" s="33" t="s">
        <v>25</v>
      </c>
      <c r="J193" s="54">
        <v>340000000</v>
      </c>
      <c r="K193" s="86" t="s">
        <v>369</v>
      </c>
      <c r="L193" s="37">
        <v>45986</v>
      </c>
      <c r="M193" s="37" t="s">
        <v>370</v>
      </c>
      <c r="N193" s="82"/>
    </row>
    <row r="194" spans="1:14" hidden="1">
      <c r="A194" s="40" t="s">
        <v>409</v>
      </c>
      <c r="B194" s="72"/>
      <c r="C194" s="42" t="s">
        <v>410</v>
      </c>
      <c r="D194" s="40" t="s">
        <v>128</v>
      </c>
      <c r="E194" s="43" t="s">
        <v>112</v>
      </c>
      <c r="F194" s="40"/>
      <c r="G194" s="40" t="s">
        <v>170</v>
      </c>
      <c r="H194" s="40" t="s">
        <v>18</v>
      </c>
      <c r="I194" s="40" t="s">
        <v>37</v>
      </c>
      <c r="J194" s="45">
        <v>70000000</v>
      </c>
      <c r="K194" s="88" t="s">
        <v>369</v>
      </c>
      <c r="L194" s="47">
        <v>45985</v>
      </c>
      <c r="M194" s="47" t="s">
        <v>370</v>
      </c>
      <c r="N194" s="85"/>
    </row>
    <row r="195" spans="1:14" hidden="1">
      <c r="A195" s="33" t="s">
        <v>411</v>
      </c>
      <c r="B195" s="67"/>
      <c r="C195" s="31" t="s">
        <v>412</v>
      </c>
      <c r="D195" s="33" t="s">
        <v>184</v>
      </c>
      <c r="E195" s="32" t="s">
        <v>112</v>
      </c>
      <c r="F195" s="33"/>
      <c r="G195" s="33" t="s">
        <v>170</v>
      </c>
      <c r="H195" s="33" t="s">
        <v>18</v>
      </c>
      <c r="I195" s="33" t="s">
        <v>25</v>
      </c>
      <c r="J195" s="54">
        <v>298025000</v>
      </c>
      <c r="K195" s="86" t="s">
        <v>369</v>
      </c>
      <c r="L195" s="37">
        <v>45985</v>
      </c>
      <c r="M195" s="37" t="s">
        <v>370</v>
      </c>
      <c r="N195" s="82"/>
    </row>
    <row r="196" spans="1:14" hidden="1">
      <c r="A196" s="40" t="s">
        <v>413</v>
      </c>
      <c r="B196" s="72"/>
      <c r="C196" s="42" t="s">
        <v>414</v>
      </c>
      <c r="D196" s="40" t="s">
        <v>125</v>
      </c>
      <c r="E196" s="43" t="s">
        <v>112</v>
      </c>
      <c r="F196" s="40"/>
      <c r="G196" s="40" t="s">
        <v>170</v>
      </c>
      <c r="H196" s="40" t="s">
        <v>18</v>
      </c>
      <c r="I196" s="40" t="s">
        <v>25</v>
      </c>
      <c r="J196" s="45">
        <v>2400000000</v>
      </c>
      <c r="K196" s="88" t="s">
        <v>369</v>
      </c>
      <c r="L196" s="47">
        <v>45985</v>
      </c>
      <c r="M196" s="47"/>
      <c r="N196" s="85"/>
    </row>
    <row r="197" spans="1:14" hidden="1">
      <c r="A197" s="33" t="s">
        <v>415</v>
      </c>
      <c r="B197" s="67"/>
      <c r="C197" s="31" t="s">
        <v>416</v>
      </c>
      <c r="D197" s="33" t="s">
        <v>184</v>
      </c>
      <c r="E197" s="32" t="s">
        <v>112</v>
      </c>
      <c r="F197" s="33"/>
      <c r="G197" s="33" t="s">
        <v>170</v>
      </c>
      <c r="H197" s="33" t="s">
        <v>18</v>
      </c>
      <c r="I197" s="33" t="s">
        <v>37</v>
      </c>
      <c r="J197" s="54">
        <v>7300000</v>
      </c>
      <c r="K197" s="86" t="s">
        <v>369</v>
      </c>
      <c r="L197" s="37">
        <v>45985</v>
      </c>
      <c r="M197" s="37"/>
      <c r="N197" s="82"/>
    </row>
    <row r="198" spans="1:14" hidden="1">
      <c r="A198" s="40" t="s">
        <v>417</v>
      </c>
      <c r="B198" s="72"/>
      <c r="C198" s="42" t="s">
        <v>418</v>
      </c>
      <c r="D198" s="40" t="s">
        <v>128</v>
      </c>
      <c r="E198" s="40" t="s">
        <v>112</v>
      </c>
      <c r="F198" s="40"/>
      <c r="G198" s="40" t="s">
        <v>170</v>
      </c>
      <c r="H198" s="40" t="s">
        <v>18</v>
      </c>
      <c r="I198" s="40" t="s">
        <v>37</v>
      </c>
      <c r="J198" s="45">
        <v>46000000</v>
      </c>
      <c r="K198" s="88" t="s">
        <v>369</v>
      </c>
      <c r="L198" s="47">
        <v>45985</v>
      </c>
      <c r="M198" s="47" t="s">
        <v>370</v>
      </c>
      <c r="N198" s="85"/>
    </row>
    <row r="199" spans="1:14" hidden="1">
      <c r="A199" s="33" t="s">
        <v>419</v>
      </c>
      <c r="B199" s="67"/>
      <c r="C199" s="31" t="s">
        <v>420</v>
      </c>
      <c r="D199" s="33" t="s">
        <v>227</v>
      </c>
      <c r="E199" s="33" t="s">
        <v>112</v>
      </c>
      <c r="F199" s="33"/>
      <c r="G199" s="33" t="s">
        <v>170</v>
      </c>
      <c r="H199" s="33" t="s">
        <v>18</v>
      </c>
      <c r="I199" s="33" t="s">
        <v>25</v>
      </c>
      <c r="J199" s="54">
        <v>2250000000</v>
      </c>
      <c r="K199" s="86" t="s">
        <v>369</v>
      </c>
      <c r="L199" s="37">
        <v>45985</v>
      </c>
      <c r="M199" s="37" t="s">
        <v>370</v>
      </c>
      <c r="N199" s="82"/>
    </row>
    <row r="200" spans="1:14" ht="24.75" hidden="1">
      <c r="A200" s="33" t="s">
        <v>421</v>
      </c>
      <c r="B200" s="67"/>
      <c r="C200" s="31" t="s">
        <v>422</v>
      </c>
      <c r="D200" s="33" t="s">
        <v>128</v>
      </c>
      <c r="E200" s="33" t="s">
        <v>112</v>
      </c>
      <c r="F200" s="33"/>
      <c r="G200" s="33" t="s">
        <v>170</v>
      </c>
      <c r="H200" s="33" t="s">
        <v>18</v>
      </c>
      <c r="I200" s="33" t="s">
        <v>37</v>
      </c>
      <c r="J200" s="54">
        <v>172000000</v>
      </c>
      <c r="K200" s="86" t="s">
        <v>369</v>
      </c>
      <c r="L200" s="37">
        <v>46015</v>
      </c>
      <c r="M200" s="37" t="s">
        <v>370</v>
      </c>
      <c r="N200" s="82"/>
    </row>
    <row r="201" spans="1:14" hidden="1">
      <c r="A201" s="40" t="s">
        <v>423</v>
      </c>
      <c r="B201" s="72"/>
      <c r="C201" s="42" t="s">
        <v>424</v>
      </c>
      <c r="D201" s="40"/>
      <c r="E201" s="40" t="s">
        <v>112</v>
      </c>
      <c r="F201" s="40"/>
      <c r="G201" s="40" t="s">
        <v>170</v>
      </c>
      <c r="H201" s="40" t="s">
        <v>24</v>
      </c>
      <c r="I201" s="40" t="s">
        <v>37</v>
      </c>
      <c r="J201" s="45">
        <v>95320000</v>
      </c>
      <c r="K201" s="88" t="s">
        <v>369</v>
      </c>
      <c r="L201" s="47">
        <v>46015</v>
      </c>
      <c r="M201" s="47" t="s">
        <v>370</v>
      </c>
      <c r="N201" s="85"/>
    </row>
    <row r="202" spans="1:14">
      <c r="A202" s="33" t="s">
        <v>425</v>
      </c>
      <c r="B202" s="168"/>
      <c r="C202" s="31" t="s">
        <v>426</v>
      </c>
      <c r="D202" s="169"/>
      <c r="E202" s="33" t="s">
        <v>16</v>
      </c>
      <c r="F202" s="33" t="s">
        <v>42</v>
      </c>
      <c r="G202" s="33"/>
      <c r="H202" s="33" t="s">
        <v>24</v>
      </c>
      <c r="I202" s="169" t="s">
        <v>37</v>
      </c>
      <c r="J202" s="54">
        <v>44100000</v>
      </c>
      <c r="K202" s="86" t="s">
        <v>53</v>
      </c>
      <c r="L202" s="37">
        <v>46248</v>
      </c>
      <c r="M202" s="38"/>
      <c r="N202" s="78" t="s">
        <v>427</v>
      </c>
    </row>
    <row r="203" spans="1:14" hidden="1">
      <c r="A203" s="72" t="s">
        <v>428</v>
      </c>
      <c r="B203" s="171"/>
      <c r="C203" s="42" t="s">
        <v>111</v>
      </c>
      <c r="D203" s="170"/>
      <c r="E203" s="43" t="s">
        <v>112</v>
      </c>
      <c r="F203" s="40"/>
      <c r="G203" s="40" t="s">
        <v>113</v>
      </c>
      <c r="H203" s="40" t="s">
        <v>24</v>
      </c>
      <c r="I203" s="170" t="s">
        <v>37</v>
      </c>
      <c r="J203" s="63">
        <v>248000000</v>
      </c>
      <c r="K203" s="48" t="s">
        <v>369</v>
      </c>
      <c r="L203" s="47">
        <v>46352</v>
      </c>
      <c r="M203" s="48" t="s">
        <v>27</v>
      </c>
      <c r="N203" s="80"/>
    </row>
    <row r="204" spans="1:14">
      <c r="A204" s="110" t="s">
        <v>429</v>
      </c>
      <c r="B204" s="168"/>
      <c r="C204" s="31" t="s">
        <v>286</v>
      </c>
      <c r="D204" s="169"/>
      <c r="E204" s="32" t="s">
        <v>112</v>
      </c>
      <c r="F204" s="33"/>
      <c r="G204" s="33" t="s">
        <v>113</v>
      </c>
      <c r="H204" s="33" t="s">
        <v>18</v>
      </c>
      <c r="I204" s="169" t="s">
        <v>37</v>
      </c>
      <c r="J204" s="54">
        <v>752000000</v>
      </c>
      <c r="K204" s="86" t="s">
        <v>53</v>
      </c>
      <c r="L204" s="37">
        <v>46291</v>
      </c>
      <c r="M204" s="38"/>
      <c r="N204" s="78"/>
    </row>
    <row r="205" spans="1:14">
      <c r="A205" s="20" t="s">
        <v>430</v>
      </c>
      <c r="B205" s="171"/>
      <c r="C205" s="42" t="s">
        <v>18</v>
      </c>
      <c r="D205" s="170"/>
      <c r="E205" s="43" t="s">
        <v>112</v>
      </c>
      <c r="F205" s="40"/>
      <c r="G205" s="40" t="s">
        <v>113</v>
      </c>
      <c r="H205" s="40" t="s">
        <v>18</v>
      </c>
      <c r="I205" s="170" t="s">
        <v>19</v>
      </c>
      <c r="J205" s="45">
        <v>60000000</v>
      </c>
      <c r="K205" s="88" t="s">
        <v>53</v>
      </c>
      <c r="L205" s="47">
        <v>46229</v>
      </c>
      <c r="M205" s="48" t="s">
        <v>27</v>
      </c>
      <c r="N205" s="80"/>
    </row>
    <row r="206" spans="1:14">
      <c r="A206" s="110" t="s">
        <v>431</v>
      </c>
      <c r="B206" s="168"/>
      <c r="C206" s="31" t="s">
        <v>111</v>
      </c>
      <c r="D206" s="169"/>
      <c r="E206" s="32" t="s">
        <v>112</v>
      </c>
      <c r="F206" s="33"/>
      <c r="G206" s="33" t="s">
        <v>113</v>
      </c>
      <c r="H206" s="33" t="s">
        <v>24</v>
      </c>
      <c r="I206" s="169" t="s">
        <v>37</v>
      </c>
      <c r="J206" s="54">
        <v>1200000000</v>
      </c>
      <c r="K206" s="86" t="s">
        <v>53</v>
      </c>
      <c r="L206" s="37">
        <v>46260</v>
      </c>
      <c r="M206" s="38" t="s">
        <v>27</v>
      </c>
      <c r="N206" s="78" t="s">
        <v>252</v>
      </c>
    </row>
    <row r="207" spans="1:14">
      <c r="A207" s="20" t="s">
        <v>432</v>
      </c>
      <c r="B207" s="171"/>
      <c r="C207" s="42" t="s">
        <v>84</v>
      </c>
      <c r="D207" s="170"/>
      <c r="E207" s="43" t="s">
        <v>112</v>
      </c>
      <c r="F207" s="40"/>
      <c r="G207" s="40" t="s">
        <v>113</v>
      </c>
      <c r="H207" s="40" t="s">
        <v>24</v>
      </c>
      <c r="I207" s="170" t="s">
        <v>37</v>
      </c>
      <c r="J207" s="45">
        <v>9850000000</v>
      </c>
      <c r="K207" s="88" t="s">
        <v>53</v>
      </c>
      <c r="L207" s="47">
        <v>46291</v>
      </c>
      <c r="M207" s="48"/>
      <c r="N207" s="80" t="s">
        <v>252</v>
      </c>
    </row>
    <row r="208" spans="1:14">
      <c r="A208" s="33" t="s">
        <v>433</v>
      </c>
      <c r="B208" s="67"/>
      <c r="C208" s="31" t="s">
        <v>434</v>
      </c>
      <c r="D208" s="33" t="s">
        <v>184</v>
      </c>
      <c r="E208" s="32" t="s">
        <v>112</v>
      </c>
      <c r="F208" s="33"/>
      <c r="G208" s="33" t="s">
        <v>170</v>
      </c>
      <c r="H208" s="33" t="s">
        <v>18</v>
      </c>
      <c r="I208" s="33" t="s">
        <v>25</v>
      </c>
      <c r="J208" s="54">
        <v>1700000000</v>
      </c>
      <c r="K208" s="86" t="s">
        <v>53</v>
      </c>
      <c r="L208" s="87">
        <v>46321</v>
      </c>
      <c r="M208" s="37" t="s">
        <v>27</v>
      </c>
      <c r="N208" s="82"/>
    </row>
    <row r="209" spans="1:14">
      <c r="A209" s="40" t="s">
        <v>435</v>
      </c>
      <c r="B209" s="40"/>
      <c r="C209" s="42" t="s">
        <v>436</v>
      </c>
      <c r="D209" s="40" t="s">
        <v>184</v>
      </c>
      <c r="E209" s="43" t="s">
        <v>112</v>
      </c>
      <c r="F209" s="40"/>
      <c r="G209" s="40" t="s">
        <v>170</v>
      </c>
      <c r="H209" s="40" t="s">
        <v>18</v>
      </c>
      <c r="I209" s="40" t="s">
        <v>25</v>
      </c>
      <c r="J209" s="45">
        <v>80000000</v>
      </c>
      <c r="K209" s="88" t="s">
        <v>53</v>
      </c>
      <c r="L209" s="90">
        <v>46294</v>
      </c>
      <c r="M209" s="48"/>
      <c r="N209" s="80" t="s">
        <v>437</v>
      </c>
    </row>
    <row r="210" spans="1:14">
      <c r="A210" s="33" t="s">
        <v>438</v>
      </c>
      <c r="B210" s="67"/>
      <c r="C210" s="31" t="s">
        <v>439</v>
      </c>
      <c r="D210" s="33" t="s">
        <v>125</v>
      </c>
      <c r="E210" s="33" t="s">
        <v>112</v>
      </c>
      <c r="F210" s="33"/>
      <c r="G210" s="33" t="s">
        <v>170</v>
      </c>
      <c r="H210" s="33" t="s">
        <v>18</v>
      </c>
      <c r="I210" s="33" t="s">
        <v>25</v>
      </c>
      <c r="J210" s="54">
        <v>1150000000</v>
      </c>
      <c r="K210" s="86" t="s">
        <v>53</v>
      </c>
      <c r="L210" s="87">
        <v>46294</v>
      </c>
      <c r="M210" s="37" t="s">
        <v>370</v>
      </c>
      <c r="N210" s="82"/>
    </row>
    <row r="211" spans="1:14" hidden="1">
      <c r="A211" s="72" t="s">
        <v>440</v>
      </c>
      <c r="B211" s="171"/>
      <c r="C211" s="42" t="s">
        <v>441</v>
      </c>
      <c r="D211" s="170"/>
      <c r="E211" s="40" t="s">
        <v>112</v>
      </c>
      <c r="F211" s="40"/>
      <c r="G211" s="40" t="s">
        <v>113</v>
      </c>
      <c r="H211" s="40" t="s">
        <v>18</v>
      </c>
      <c r="I211" s="170" t="s">
        <v>37</v>
      </c>
      <c r="J211" s="63">
        <v>2500000000</v>
      </c>
      <c r="K211" s="48" t="s">
        <v>26</v>
      </c>
      <c r="L211" s="90">
        <v>46138</v>
      </c>
      <c r="M211" s="48" t="s">
        <v>27</v>
      </c>
      <c r="N211" s="80"/>
    </row>
    <row r="212" spans="1:14">
      <c r="A212" s="33" t="s">
        <v>442</v>
      </c>
      <c r="B212" s="67"/>
      <c r="C212" s="31" t="s">
        <v>443</v>
      </c>
      <c r="D212" s="33" t="s">
        <v>184</v>
      </c>
      <c r="E212" s="33" t="s">
        <v>112</v>
      </c>
      <c r="F212" s="33"/>
      <c r="G212" s="33" t="s">
        <v>170</v>
      </c>
      <c r="H212" s="33" t="s">
        <v>18</v>
      </c>
      <c r="I212" s="33" t="s">
        <v>25</v>
      </c>
      <c r="J212" s="54">
        <v>14000000</v>
      </c>
      <c r="K212" s="86" t="s">
        <v>53</v>
      </c>
      <c r="L212" s="87">
        <v>46294</v>
      </c>
      <c r="M212" s="37"/>
      <c r="N212" s="82"/>
    </row>
    <row r="213" spans="1:14">
      <c r="A213" s="40" t="s">
        <v>444</v>
      </c>
      <c r="B213" s="72"/>
      <c r="C213" s="42" t="s">
        <v>445</v>
      </c>
      <c r="D213" s="40" t="s">
        <v>227</v>
      </c>
      <c r="E213" s="40" t="s">
        <v>112</v>
      </c>
      <c r="F213" s="40"/>
      <c r="G213" s="40" t="s">
        <v>170</v>
      </c>
      <c r="H213" s="40" t="s">
        <v>18</v>
      </c>
      <c r="I213" s="40" t="s">
        <v>25</v>
      </c>
      <c r="J213" s="45">
        <f>3400000000*2</f>
        <v>6800000000</v>
      </c>
      <c r="K213" s="88" t="s">
        <v>53</v>
      </c>
      <c r="L213" s="90">
        <v>46291</v>
      </c>
      <c r="M213" s="47" t="s">
        <v>27</v>
      </c>
      <c r="N213" s="85"/>
    </row>
    <row r="214" spans="1:14" hidden="1">
      <c r="A214" s="110" t="s">
        <v>446</v>
      </c>
      <c r="B214" s="168"/>
      <c r="C214" s="31" t="s">
        <v>447</v>
      </c>
      <c r="D214" s="169" t="s">
        <v>448</v>
      </c>
      <c r="E214" s="33" t="s">
        <v>16</v>
      </c>
      <c r="F214" s="33" t="s">
        <v>42</v>
      </c>
      <c r="G214" s="33" t="s">
        <v>48</v>
      </c>
      <c r="H214" s="33" t="s">
        <v>18</v>
      </c>
      <c r="I214" s="169" t="s">
        <v>19</v>
      </c>
      <c r="J214" s="54">
        <v>2172000000</v>
      </c>
      <c r="K214" s="86" t="s">
        <v>26</v>
      </c>
      <c r="L214" s="37">
        <v>46174</v>
      </c>
      <c r="M214" s="38" t="s">
        <v>27</v>
      </c>
      <c r="N214" s="78"/>
    </row>
    <row r="215" spans="1:14" hidden="1">
      <c r="A215" s="20" t="s">
        <v>449</v>
      </c>
      <c r="B215" s="171"/>
      <c r="C215" s="42" t="s">
        <v>450</v>
      </c>
      <c r="D215" s="170" t="s">
        <v>451</v>
      </c>
      <c r="E215" s="40" t="s">
        <v>16</v>
      </c>
      <c r="F215" s="40"/>
      <c r="G215" s="40" t="s">
        <v>48</v>
      </c>
      <c r="H215" s="40" t="s">
        <v>18</v>
      </c>
      <c r="I215" s="170" t="s">
        <v>25</v>
      </c>
      <c r="J215" s="45">
        <v>112500000</v>
      </c>
      <c r="K215" s="88" t="s">
        <v>26</v>
      </c>
      <c r="L215" s="47">
        <v>46174</v>
      </c>
      <c r="M215" s="48" t="s">
        <v>27</v>
      </c>
      <c r="N215" s="80"/>
    </row>
    <row r="216" spans="1:14">
      <c r="A216" s="33" t="s">
        <v>452</v>
      </c>
      <c r="B216" s="67"/>
      <c r="C216" s="31" t="s">
        <v>453</v>
      </c>
      <c r="D216" s="33" t="s">
        <v>125</v>
      </c>
      <c r="E216" s="33" t="s">
        <v>112</v>
      </c>
      <c r="F216" s="33"/>
      <c r="G216" s="33" t="s">
        <v>170</v>
      </c>
      <c r="H216" s="33" t="s">
        <v>18</v>
      </c>
      <c r="I216" s="33" t="s">
        <v>25</v>
      </c>
      <c r="J216" s="54">
        <v>2020000000</v>
      </c>
      <c r="K216" s="86" t="s">
        <v>53</v>
      </c>
      <c r="L216" s="87">
        <v>46244</v>
      </c>
      <c r="M216" s="37"/>
      <c r="N216" s="82"/>
    </row>
    <row r="217" spans="1:14" ht="24.75" hidden="1">
      <c r="A217" s="40" t="s">
        <v>454</v>
      </c>
      <c r="B217" s="171"/>
      <c r="C217" s="42" t="s">
        <v>455</v>
      </c>
      <c r="D217" s="170"/>
      <c r="E217" s="40" t="s">
        <v>16</v>
      </c>
      <c r="F217" s="40" t="s">
        <v>42</v>
      </c>
      <c r="G217" s="40" t="s">
        <v>23</v>
      </c>
      <c r="H217" s="40" t="s">
        <v>24</v>
      </c>
      <c r="I217" s="170" t="s">
        <v>25</v>
      </c>
      <c r="J217" s="45">
        <v>16000000</v>
      </c>
      <c r="K217" s="88" t="s">
        <v>26</v>
      </c>
      <c r="L217" s="47">
        <v>46148</v>
      </c>
      <c r="M217" s="48" t="s">
        <v>27</v>
      </c>
      <c r="N217" s="80"/>
    </row>
    <row r="218" spans="1:14" hidden="1">
      <c r="A218" s="33" t="s">
        <v>456</v>
      </c>
      <c r="B218" s="33"/>
      <c r="C218" s="31" t="s">
        <v>457</v>
      </c>
      <c r="D218" s="33"/>
      <c r="E218" s="33" t="s">
        <v>112</v>
      </c>
      <c r="F218" s="33"/>
      <c r="G218" s="33" t="s">
        <v>164</v>
      </c>
      <c r="H218" s="33" t="s">
        <v>18</v>
      </c>
      <c r="I218" s="33" t="s">
        <v>37</v>
      </c>
      <c r="J218" s="51">
        <v>2900000000</v>
      </c>
      <c r="K218" s="38" t="s">
        <v>81</v>
      </c>
      <c r="L218" s="87">
        <v>46260</v>
      </c>
      <c r="M218" s="37"/>
      <c r="N218" s="78" t="s">
        <v>458</v>
      </c>
    </row>
    <row r="219" spans="1:14" hidden="1">
      <c r="A219" s="40" t="s">
        <v>459</v>
      </c>
      <c r="B219" s="171"/>
      <c r="C219" s="42" t="s">
        <v>22</v>
      </c>
      <c r="D219" s="170"/>
      <c r="E219" s="40" t="s">
        <v>112</v>
      </c>
      <c r="F219" s="40"/>
      <c r="G219" s="40" t="s">
        <v>164</v>
      </c>
      <c r="H219" s="40" t="s">
        <v>22</v>
      </c>
      <c r="I219" s="170" t="s">
        <v>25</v>
      </c>
      <c r="J219" s="45">
        <v>61429000</v>
      </c>
      <c r="K219" s="88" t="s">
        <v>26</v>
      </c>
      <c r="L219" s="47">
        <v>46143</v>
      </c>
      <c r="M219" s="48"/>
      <c r="N219" s="80"/>
    </row>
    <row r="220" spans="1:14" hidden="1">
      <c r="A220" s="33" t="s">
        <v>211</v>
      </c>
      <c r="B220" s="168"/>
      <c r="C220" s="31" t="s">
        <v>460</v>
      </c>
      <c r="D220" s="169"/>
      <c r="E220" s="33" t="s">
        <v>112</v>
      </c>
      <c r="F220" s="33"/>
      <c r="G220" s="33" t="s">
        <v>164</v>
      </c>
      <c r="H220" s="33" t="s">
        <v>22</v>
      </c>
      <c r="I220" s="169" t="s">
        <v>19</v>
      </c>
      <c r="J220" s="54">
        <v>441441441</v>
      </c>
      <c r="K220" s="86" t="s">
        <v>26</v>
      </c>
      <c r="L220" s="37">
        <v>46168</v>
      </c>
      <c r="M220" s="38"/>
      <c r="N220" s="78"/>
    </row>
    <row r="221" spans="1:14" hidden="1">
      <c r="A221" s="40" t="s">
        <v>211</v>
      </c>
      <c r="B221" s="171"/>
      <c r="C221" s="42" t="s">
        <v>22</v>
      </c>
      <c r="D221" s="170"/>
      <c r="E221" s="40" t="s">
        <v>112</v>
      </c>
      <c r="F221" s="40"/>
      <c r="G221" s="40" t="s">
        <v>164</v>
      </c>
      <c r="H221" s="40" t="s">
        <v>22</v>
      </c>
      <c r="I221" s="170" t="s">
        <v>19</v>
      </c>
      <c r="J221" s="45">
        <v>49549549</v>
      </c>
      <c r="K221" s="88" t="s">
        <v>26</v>
      </c>
      <c r="L221" s="47">
        <v>46167</v>
      </c>
      <c r="M221" s="48"/>
      <c r="N221" s="80"/>
    </row>
    <row r="222" spans="1:14" hidden="1">
      <c r="A222" s="33" t="s">
        <v>461</v>
      </c>
      <c r="B222" s="168"/>
      <c r="C222" s="31" t="s">
        <v>18</v>
      </c>
      <c r="D222" s="169"/>
      <c r="E222" s="33" t="s">
        <v>112</v>
      </c>
      <c r="F222" s="33"/>
      <c r="G222" s="33" t="s">
        <v>164</v>
      </c>
      <c r="H222" s="33" t="s">
        <v>18</v>
      </c>
      <c r="I222" s="169" t="s">
        <v>37</v>
      </c>
      <c r="J222" s="54">
        <v>1787420000</v>
      </c>
      <c r="K222" s="86" t="s">
        <v>26</v>
      </c>
      <c r="L222" s="37">
        <v>46015</v>
      </c>
      <c r="M222" s="38"/>
      <c r="N222" s="78"/>
    </row>
    <row r="223" spans="1:14" hidden="1">
      <c r="A223" s="40" t="s">
        <v>462</v>
      </c>
      <c r="B223" s="171"/>
      <c r="C223" s="42" t="s">
        <v>18</v>
      </c>
      <c r="D223" s="170"/>
      <c r="E223" s="40" t="s">
        <v>112</v>
      </c>
      <c r="F223" s="40"/>
      <c r="G223" s="40" t="s">
        <v>164</v>
      </c>
      <c r="H223" s="40" t="s">
        <v>18</v>
      </c>
      <c r="I223" s="170" t="s">
        <v>37</v>
      </c>
      <c r="J223" s="45">
        <v>914870000</v>
      </c>
      <c r="K223" s="88" t="s">
        <v>26</v>
      </c>
      <c r="L223" s="47">
        <v>46002</v>
      </c>
      <c r="M223" s="48"/>
      <c r="N223" s="80"/>
    </row>
    <row r="224" spans="1:14" hidden="1">
      <c r="A224" s="33" t="s">
        <v>463</v>
      </c>
      <c r="B224" s="168"/>
      <c r="C224" s="31" t="s">
        <v>464</v>
      </c>
      <c r="D224" s="169" t="s">
        <v>465</v>
      </c>
      <c r="E224" s="33" t="s">
        <v>112</v>
      </c>
      <c r="F224" s="33"/>
      <c r="G224" s="33" t="s">
        <v>164</v>
      </c>
      <c r="H224" s="33" t="s">
        <v>24</v>
      </c>
      <c r="I224" s="169" t="s">
        <v>37</v>
      </c>
      <c r="J224" s="54">
        <v>1787420000</v>
      </c>
      <c r="K224" s="86" t="s">
        <v>26</v>
      </c>
      <c r="L224" s="37">
        <v>46002</v>
      </c>
      <c r="M224" s="38" t="s">
        <v>27</v>
      </c>
      <c r="N224" s="78" t="s">
        <v>181</v>
      </c>
    </row>
    <row r="225" spans="1:14" hidden="1">
      <c r="A225" s="40" t="s">
        <v>466</v>
      </c>
      <c r="B225" s="171"/>
      <c r="C225" s="42" t="s">
        <v>464</v>
      </c>
      <c r="D225" s="170" t="s">
        <v>465</v>
      </c>
      <c r="E225" s="40" t="s">
        <v>112</v>
      </c>
      <c r="F225" s="40"/>
      <c r="G225" s="40" t="s">
        <v>164</v>
      </c>
      <c r="H225" s="40" t="s">
        <v>24</v>
      </c>
      <c r="I225" s="170" t="s">
        <v>37</v>
      </c>
      <c r="J225" s="45">
        <v>914870000</v>
      </c>
      <c r="K225" s="88" t="s">
        <v>26</v>
      </c>
      <c r="L225" s="47">
        <v>46002</v>
      </c>
      <c r="M225" s="48" t="s">
        <v>27</v>
      </c>
      <c r="N225" s="80" t="s">
        <v>181</v>
      </c>
    </row>
    <row r="226" spans="1:14" hidden="1">
      <c r="A226" s="33" t="s">
        <v>467</v>
      </c>
      <c r="B226" s="168"/>
      <c r="C226" s="31" t="s">
        <v>24</v>
      </c>
      <c r="D226" s="169"/>
      <c r="E226" s="33" t="s">
        <v>112</v>
      </c>
      <c r="F226" s="33"/>
      <c r="G226" s="33" t="s">
        <v>164</v>
      </c>
      <c r="H226" s="33" t="s">
        <v>24</v>
      </c>
      <c r="I226" s="169" t="s">
        <v>37</v>
      </c>
      <c r="J226" s="54">
        <v>858000000</v>
      </c>
      <c r="K226" s="86" t="s">
        <v>26</v>
      </c>
      <c r="L226" s="87">
        <v>46203</v>
      </c>
      <c r="M226" s="38" t="s">
        <v>27</v>
      </c>
      <c r="N226" s="78" t="s">
        <v>213</v>
      </c>
    </row>
    <row r="227" spans="1:14" hidden="1">
      <c r="A227" s="40" t="s">
        <v>468</v>
      </c>
      <c r="B227" s="171"/>
      <c r="C227" s="42" t="s">
        <v>469</v>
      </c>
      <c r="D227" s="170"/>
      <c r="E227" s="40" t="s">
        <v>112</v>
      </c>
      <c r="F227" s="40"/>
      <c r="G227" s="40" t="s">
        <v>164</v>
      </c>
      <c r="H227" s="40" t="s">
        <v>18</v>
      </c>
      <c r="I227" s="170" t="s">
        <v>19</v>
      </c>
      <c r="J227" s="45">
        <v>586923200</v>
      </c>
      <c r="K227" s="88" t="s">
        <v>26</v>
      </c>
      <c r="L227" s="90">
        <v>46203</v>
      </c>
      <c r="M227" s="48" t="s">
        <v>27</v>
      </c>
      <c r="N227" s="80" t="s">
        <v>213</v>
      </c>
    </row>
    <row r="228" spans="1:14" ht="24" hidden="1">
      <c r="A228" s="114" t="s">
        <v>470</v>
      </c>
      <c r="B228" s="182"/>
      <c r="C228" s="126" t="s">
        <v>471</v>
      </c>
      <c r="D228" s="183" t="s">
        <v>24</v>
      </c>
      <c r="E228" s="98" t="s">
        <v>16</v>
      </c>
      <c r="F228" s="114" t="s">
        <v>42</v>
      </c>
      <c r="G228" s="98" t="s">
        <v>117</v>
      </c>
      <c r="H228" s="114" t="s">
        <v>18</v>
      </c>
      <c r="I228" s="184" t="s">
        <v>37</v>
      </c>
      <c r="J228" s="101">
        <v>550000000</v>
      </c>
      <c r="K228" s="102" t="s">
        <v>81</v>
      </c>
      <c r="L228" s="87">
        <v>46338</v>
      </c>
      <c r="M228" s="128"/>
      <c r="N228" s="129"/>
    </row>
    <row r="229" spans="1:14" hidden="1">
      <c r="A229" s="20" t="s">
        <v>472</v>
      </c>
      <c r="B229" s="171"/>
      <c r="C229" s="42" t="s">
        <v>473</v>
      </c>
      <c r="D229" s="170" t="s">
        <v>474</v>
      </c>
      <c r="E229" s="40" t="s">
        <v>16</v>
      </c>
      <c r="F229" s="40"/>
      <c r="G229" s="40" t="s">
        <v>48</v>
      </c>
      <c r="H229" s="40" t="s">
        <v>24</v>
      </c>
      <c r="I229" s="170" t="s">
        <v>37</v>
      </c>
      <c r="J229" s="45">
        <v>58000000</v>
      </c>
      <c r="K229" s="88" t="s">
        <v>26</v>
      </c>
      <c r="L229" s="47">
        <v>46174</v>
      </c>
      <c r="M229" s="48" t="s">
        <v>27</v>
      </c>
      <c r="N229" s="80"/>
    </row>
    <row r="230" spans="1:14">
      <c r="A230" s="114" t="s">
        <v>475</v>
      </c>
      <c r="B230" s="182"/>
      <c r="C230" s="126" t="s">
        <v>476</v>
      </c>
      <c r="D230" s="183" t="s">
        <v>24</v>
      </c>
      <c r="E230" s="98"/>
      <c r="F230" s="114" t="s">
        <v>42</v>
      </c>
      <c r="G230" s="98"/>
      <c r="H230" s="114" t="s">
        <v>18</v>
      </c>
      <c r="I230" s="184" t="s">
        <v>37</v>
      </c>
      <c r="J230" s="101">
        <v>516000000</v>
      </c>
      <c r="K230" s="102" t="s">
        <v>53</v>
      </c>
      <c r="L230" s="87">
        <v>46232</v>
      </c>
      <c r="M230" s="128"/>
      <c r="N230" s="129"/>
    </row>
    <row r="231" spans="1:14" hidden="1">
      <c r="A231" s="71" t="s">
        <v>477</v>
      </c>
      <c r="B231" s="185"/>
      <c r="C231" s="70" t="s">
        <v>478</v>
      </c>
      <c r="D231" s="186" t="s">
        <v>24</v>
      </c>
      <c r="E231" s="130" t="s">
        <v>16</v>
      </c>
      <c r="F231" s="71" t="s">
        <v>42</v>
      </c>
      <c r="G231" s="104" t="s">
        <v>117</v>
      </c>
      <c r="H231" s="71" t="s">
        <v>18</v>
      </c>
      <c r="I231" s="187" t="s">
        <v>25</v>
      </c>
      <c r="J231" s="106">
        <v>680000000</v>
      </c>
      <c r="K231" s="107" t="s">
        <v>81</v>
      </c>
      <c r="L231" s="90">
        <v>46338</v>
      </c>
      <c r="M231" s="131"/>
      <c r="N231" s="132"/>
    </row>
    <row r="232" spans="1:14">
      <c r="A232" s="114" t="s">
        <v>479</v>
      </c>
      <c r="B232" s="182"/>
      <c r="C232" s="126" t="s">
        <v>480</v>
      </c>
      <c r="D232" s="183" t="s">
        <v>24</v>
      </c>
      <c r="E232" s="98"/>
      <c r="F232" s="114" t="s">
        <v>42</v>
      </c>
      <c r="G232" s="98"/>
      <c r="H232" s="114" t="s">
        <v>18</v>
      </c>
      <c r="I232" s="184" t="s">
        <v>37</v>
      </c>
      <c r="J232" s="101">
        <v>700000000</v>
      </c>
      <c r="K232" s="102" t="s">
        <v>53</v>
      </c>
      <c r="L232" s="87">
        <v>46232</v>
      </c>
      <c r="M232" s="128"/>
      <c r="N232" s="129"/>
    </row>
    <row r="233" spans="1:14" hidden="1">
      <c r="A233" s="71" t="s">
        <v>481</v>
      </c>
      <c r="B233" s="185"/>
      <c r="C233" s="70" t="s">
        <v>482</v>
      </c>
      <c r="D233" s="186" t="s">
        <v>24</v>
      </c>
      <c r="E233" s="130" t="s">
        <v>16</v>
      </c>
      <c r="F233" s="71" t="s">
        <v>42</v>
      </c>
      <c r="G233" s="104" t="s">
        <v>80</v>
      </c>
      <c r="H233" s="71" t="s">
        <v>18</v>
      </c>
      <c r="I233" s="187" t="s">
        <v>37</v>
      </c>
      <c r="J233" s="106">
        <v>750000000</v>
      </c>
      <c r="K233" s="107" t="s">
        <v>20</v>
      </c>
      <c r="L233" s="90">
        <v>46113</v>
      </c>
      <c r="M233" s="131"/>
      <c r="N233" s="132"/>
    </row>
    <row r="234" spans="1:14">
      <c r="A234" s="114" t="s">
        <v>483</v>
      </c>
      <c r="B234" s="182"/>
      <c r="C234" s="126" t="s">
        <v>484</v>
      </c>
      <c r="D234" s="183" t="s">
        <v>24</v>
      </c>
      <c r="E234" s="98"/>
      <c r="F234" s="114" t="s">
        <v>42</v>
      </c>
      <c r="G234" s="98"/>
      <c r="H234" s="114" t="s">
        <v>18</v>
      </c>
      <c r="I234" s="184" t="s">
        <v>37</v>
      </c>
      <c r="J234" s="101">
        <v>950000000</v>
      </c>
      <c r="K234" s="102" t="s">
        <v>53</v>
      </c>
      <c r="L234" s="87">
        <v>46232</v>
      </c>
      <c r="M234" s="128"/>
      <c r="N234" s="129"/>
    </row>
    <row r="235" spans="1:14" hidden="1">
      <c r="A235" s="40" t="s">
        <v>39</v>
      </c>
      <c r="B235" s="171"/>
      <c r="C235" s="42" t="s">
        <v>485</v>
      </c>
      <c r="D235" s="170" t="s">
        <v>486</v>
      </c>
      <c r="E235" s="43" t="s">
        <v>16</v>
      </c>
      <c r="F235" s="40" t="s">
        <v>42</v>
      </c>
      <c r="G235" s="40" t="s">
        <v>48</v>
      </c>
      <c r="H235" s="40" t="s">
        <v>24</v>
      </c>
      <c r="I235" s="170" t="s">
        <v>19</v>
      </c>
      <c r="J235" s="45">
        <v>174500000</v>
      </c>
      <c r="K235" s="88" t="s">
        <v>26</v>
      </c>
      <c r="L235" s="47">
        <v>46190</v>
      </c>
      <c r="M235" s="48" t="s">
        <v>27</v>
      </c>
      <c r="N235" s="80" t="s">
        <v>74</v>
      </c>
    </row>
    <row r="236" spans="1:14">
      <c r="A236" s="114" t="s">
        <v>487</v>
      </c>
      <c r="B236" s="182"/>
      <c r="C236" s="126" t="s">
        <v>488</v>
      </c>
      <c r="D236" s="183" t="s">
        <v>24</v>
      </c>
      <c r="E236" s="127" t="s">
        <v>16</v>
      </c>
      <c r="F236" s="114" t="s">
        <v>42</v>
      </c>
      <c r="G236" s="98" t="s">
        <v>117</v>
      </c>
      <c r="H236" s="114" t="s">
        <v>18</v>
      </c>
      <c r="I236" s="184" t="s">
        <v>37</v>
      </c>
      <c r="J236" s="101">
        <v>400000000</v>
      </c>
      <c r="K236" s="102" t="s">
        <v>53</v>
      </c>
      <c r="L236" s="87">
        <v>46232</v>
      </c>
      <c r="M236" s="128" t="s">
        <v>27</v>
      </c>
      <c r="N236" s="129"/>
    </row>
    <row r="237" spans="1:14">
      <c r="A237" s="71" t="s">
        <v>489</v>
      </c>
      <c r="B237" s="171"/>
      <c r="C237" s="70" t="s">
        <v>490</v>
      </c>
      <c r="D237" s="170" t="s">
        <v>24</v>
      </c>
      <c r="E237" s="130" t="s">
        <v>16</v>
      </c>
      <c r="F237" s="40" t="s">
        <v>42</v>
      </c>
      <c r="G237" s="104"/>
      <c r="H237" s="71" t="s">
        <v>18</v>
      </c>
      <c r="I237" s="170" t="s">
        <v>37</v>
      </c>
      <c r="J237" s="106">
        <v>153940000</v>
      </c>
      <c r="K237" s="107" t="s">
        <v>53</v>
      </c>
      <c r="L237" s="90">
        <v>46373</v>
      </c>
      <c r="M237" s="131"/>
      <c r="N237" s="132" t="s">
        <v>491</v>
      </c>
    </row>
    <row r="238" spans="1:14" hidden="1">
      <c r="A238" s="114" t="s">
        <v>492</v>
      </c>
      <c r="B238" s="182"/>
      <c r="C238" s="126" t="s">
        <v>493</v>
      </c>
      <c r="D238" s="183" t="s">
        <v>24</v>
      </c>
      <c r="E238" s="127" t="s">
        <v>16</v>
      </c>
      <c r="F238" s="114" t="s">
        <v>42</v>
      </c>
      <c r="G238" s="98" t="s">
        <v>23</v>
      </c>
      <c r="H238" s="114" t="s">
        <v>18</v>
      </c>
      <c r="I238" s="184" t="s">
        <v>37</v>
      </c>
      <c r="J238" s="101">
        <v>425000000</v>
      </c>
      <c r="K238" s="102" t="s">
        <v>20</v>
      </c>
      <c r="L238" s="87">
        <v>46381</v>
      </c>
      <c r="M238" s="128"/>
      <c r="N238" s="129"/>
    </row>
    <row r="239" spans="1:14" hidden="1">
      <c r="A239" s="20" t="s">
        <v>494</v>
      </c>
      <c r="B239" s="171"/>
      <c r="C239" s="42" t="s">
        <v>495</v>
      </c>
      <c r="D239" s="170" t="s">
        <v>496</v>
      </c>
      <c r="E239" s="43" t="s">
        <v>16</v>
      </c>
      <c r="F239" s="40" t="s">
        <v>42</v>
      </c>
      <c r="G239" s="40" t="s">
        <v>48</v>
      </c>
      <c r="H239" s="40" t="s">
        <v>24</v>
      </c>
      <c r="I239" s="170" t="s">
        <v>37</v>
      </c>
      <c r="J239" s="45">
        <v>315500000</v>
      </c>
      <c r="K239" s="88" t="s">
        <v>26</v>
      </c>
      <c r="L239" s="47">
        <v>46199</v>
      </c>
      <c r="M239" s="48" t="s">
        <v>27</v>
      </c>
      <c r="N239" s="80" t="s">
        <v>497</v>
      </c>
    </row>
    <row r="240" spans="1:14">
      <c r="A240" s="114" t="s">
        <v>498</v>
      </c>
      <c r="B240" s="182"/>
      <c r="C240" s="126" t="s">
        <v>499</v>
      </c>
      <c r="D240" s="183" t="s">
        <v>24</v>
      </c>
      <c r="E240" s="98"/>
      <c r="F240" s="114" t="s">
        <v>42</v>
      </c>
      <c r="G240" s="98"/>
      <c r="H240" s="114" t="s">
        <v>18</v>
      </c>
      <c r="I240" s="184" t="s">
        <v>37</v>
      </c>
      <c r="J240" s="101">
        <v>895000000</v>
      </c>
      <c r="K240" s="102" t="s">
        <v>53</v>
      </c>
      <c r="L240" s="87">
        <v>46232</v>
      </c>
      <c r="M240" s="128"/>
      <c r="N240" s="129"/>
    </row>
    <row r="241" spans="1:14" ht="48">
      <c r="A241" s="71" t="s">
        <v>500</v>
      </c>
      <c r="B241" s="185"/>
      <c r="C241" s="70" t="s">
        <v>501</v>
      </c>
      <c r="D241" s="186" t="s">
        <v>24</v>
      </c>
      <c r="E241" s="130" t="s">
        <v>16</v>
      </c>
      <c r="F241" s="71" t="s">
        <v>42</v>
      </c>
      <c r="G241" s="104" t="s">
        <v>117</v>
      </c>
      <c r="H241" s="71" t="s">
        <v>18</v>
      </c>
      <c r="I241" s="187" t="s">
        <v>37</v>
      </c>
      <c r="J241" s="106">
        <v>506750000</v>
      </c>
      <c r="K241" s="107" t="s">
        <v>53</v>
      </c>
      <c r="L241" s="90">
        <v>46338</v>
      </c>
      <c r="M241" s="131"/>
      <c r="N241" s="132" t="s">
        <v>502</v>
      </c>
    </row>
    <row r="242" spans="1:14" hidden="1">
      <c r="A242" s="110" t="s">
        <v>503</v>
      </c>
      <c r="B242" s="168"/>
      <c r="C242" s="31" t="s">
        <v>504</v>
      </c>
      <c r="D242" s="169" t="s">
        <v>505</v>
      </c>
      <c r="E242" s="32" t="s">
        <v>16</v>
      </c>
      <c r="F242" s="33"/>
      <c r="G242" s="33" t="s">
        <v>48</v>
      </c>
      <c r="H242" s="33" t="s">
        <v>24</v>
      </c>
      <c r="I242" s="169" t="s">
        <v>37</v>
      </c>
      <c r="J242" s="54">
        <v>414000000</v>
      </c>
      <c r="K242" s="86" t="s">
        <v>26</v>
      </c>
      <c r="L242" s="37">
        <v>46204</v>
      </c>
      <c r="M242" s="38"/>
      <c r="N242" s="78"/>
    </row>
    <row r="243" spans="1:14">
      <c r="A243" s="71" t="s">
        <v>454</v>
      </c>
      <c r="B243" s="185"/>
      <c r="C243" s="70" t="s">
        <v>506</v>
      </c>
      <c r="D243" s="186" t="s">
        <v>24</v>
      </c>
      <c r="E243" s="104" t="s">
        <v>16</v>
      </c>
      <c r="F243" s="71" t="s">
        <v>42</v>
      </c>
      <c r="G243" s="104"/>
      <c r="H243" s="71" t="s">
        <v>18</v>
      </c>
      <c r="I243" s="187" t="s">
        <v>37</v>
      </c>
      <c r="J243" s="106">
        <v>185000000</v>
      </c>
      <c r="K243" s="107" t="s">
        <v>53</v>
      </c>
      <c r="L243" s="90">
        <v>46232</v>
      </c>
      <c r="M243" s="131"/>
      <c r="N243" s="132" t="s">
        <v>507</v>
      </c>
    </row>
    <row r="244" spans="1:14">
      <c r="A244" s="114" t="s">
        <v>508</v>
      </c>
      <c r="B244" s="182"/>
      <c r="C244" s="126" t="s">
        <v>509</v>
      </c>
      <c r="D244" s="183" t="s">
        <v>24</v>
      </c>
      <c r="E244" s="127" t="s">
        <v>16</v>
      </c>
      <c r="F244" s="114" t="s">
        <v>42</v>
      </c>
      <c r="G244" s="98" t="s">
        <v>43</v>
      </c>
      <c r="H244" s="114" t="s">
        <v>18</v>
      </c>
      <c r="I244" s="184" t="s">
        <v>37</v>
      </c>
      <c r="J244" s="101">
        <v>136400000</v>
      </c>
      <c r="K244" s="102" t="s">
        <v>53</v>
      </c>
      <c r="L244" s="87">
        <v>46381</v>
      </c>
      <c r="M244" s="128"/>
      <c r="N244" s="129" t="s">
        <v>510</v>
      </c>
    </row>
    <row r="245" spans="1:14" hidden="1">
      <c r="A245" s="133" t="s">
        <v>489</v>
      </c>
      <c r="B245" s="171"/>
      <c r="C245" s="70" t="s">
        <v>426</v>
      </c>
      <c r="D245" s="77" t="s">
        <v>24</v>
      </c>
      <c r="E245" s="104" t="s">
        <v>16</v>
      </c>
      <c r="F245" s="40" t="s">
        <v>42</v>
      </c>
      <c r="G245" s="104" t="s">
        <v>43</v>
      </c>
      <c r="H245" s="71" t="s">
        <v>18</v>
      </c>
      <c r="I245" s="170" t="s">
        <v>37</v>
      </c>
      <c r="J245" s="106">
        <v>29000000</v>
      </c>
      <c r="K245" s="107" t="s">
        <v>26</v>
      </c>
      <c r="L245" s="90">
        <v>46177</v>
      </c>
      <c r="M245" s="131" t="s">
        <v>27</v>
      </c>
      <c r="N245" s="132" t="s">
        <v>511</v>
      </c>
    </row>
    <row r="246" spans="1:14" ht="36">
      <c r="A246" s="114" t="s">
        <v>512</v>
      </c>
      <c r="B246" s="182"/>
      <c r="C246" s="126" t="s">
        <v>513</v>
      </c>
      <c r="D246" s="183" t="s">
        <v>24</v>
      </c>
      <c r="E246" s="98"/>
      <c r="F246" s="114" t="s">
        <v>42</v>
      </c>
      <c r="G246" s="98"/>
      <c r="H246" s="114" t="s">
        <v>18</v>
      </c>
      <c r="I246" s="184" t="s">
        <v>19</v>
      </c>
      <c r="J246" s="101">
        <v>9599613600</v>
      </c>
      <c r="K246" s="102" t="s">
        <v>53</v>
      </c>
      <c r="L246" s="87">
        <v>46232</v>
      </c>
      <c r="M246" s="128"/>
      <c r="N246" s="129" t="s">
        <v>514</v>
      </c>
    </row>
    <row r="247" spans="1:14">
      <c r="A247" s="71" t="s">
        <v>515</v>
      </c>
      <c r="B247" s="185"/>
      <c r="C247" s="70" t="s">
        <v>516</v>
      </c>
      <c r="D247" s="186" t="s">
        <v>24</v>
      </c>
      <c r="E247" s="104"/>
      <c r="F247" s="71" t="s">
        <v>42</v>
      </c>
      <c r="G247" s="104"/>
      <c r="H247" s="71" t="s">
        <v>18</v>
      </c>
      <c r="I247" s="187" t="s">
        <v>25</v>
      </c>
      <c r="J247" s="106">
        <v>2998200000</v>
      </c>
      <c r="K247" s="107" t="s">
        <v>53</v>
      </c>
      <c r="L247" s="90">
        <v>46254</v>
      </c>
      <c r="M247" s="131"/>
      <c r="N247" s="132"/>
    </row>
    <row r="248" spans="1:14">
      <c r="A248" s="33" t="s">
        <v>517</v>
      </c>
      <c r="B248" s="67"/>
      <c r="C248" s="31" t="s">
        <v>518</v>
      </c>
      <c r="D248" s="33" t="s">
        <v>195</v>
      </c>
      <c r="E248" s="33" t="s">
        <v>112</v>
      </c>
      <c r="F248" s="33"/>
      <c r="G248" s="33" t="s">
        <v>170</v>
      </c>
      <c r="H248" s="33" t="s">
        <v>18</v>
      </c>
      <c r="I248" s="33" t="s">
        <v>25</v>
      </c>
      <c r="J248" s="54">
        <v>5300000000</v>
      </c>
      <c r="K248" s="86" t="s">
        <v>53</v>
      </c>
      <c r="L248" s="87">
        <v>46303</v>
      </c>
      <c r="M248" s="37"/>
      <c r="N248" s="82"/>
    </row>
    <row r="249" spans="1:14">
      <c r="A249" s="71" t="s">
        <v>519</v>
      </c>
      <c r="B249" s="185"/>
      <c r="C249" s="70" t="s">
        <v>520</v>
      </c>
      <c r="D249" s="186" t="s">
        <v>24</v>
      </c>
      <c r="E249" s="130" t="s">
        <v>16</v>
      </c>
      <c r="F249" s="71" t="s">
        <v>42</v>
      </c>
      <c r="G249" s="104" t="s">
        <v>117</v>
      </c>
      <c r="H249" s="71" t="s">
        <v>18</v>
      </c>
      <c r="I249" s="187" t="s">
        <v>49</v>
      </c>
      <c r="J249" s="106">
        <v>2055935000</v>
      </c>
      <c r="K249" s="107" t="s">
        <v>53</v>
      </c>
      <c r="L249" s="90">
        <v>46338</v>
      </c>
      <c r="M249" s="131"/>
      <c r="N249" s="132" t="s">
        <v>521</v>
      </c>
    </row>
    <row r="250" spans="1:14">
      <c r="A250" s="114" t="s">
        <v>522</v>
      </c>
      <c r="B250" s="182"/>
      <c r="C250" s="126" t="s">
        <v>523</v>
      </c>
      <c r="D250" s="188" t="s">
        <v>24</v>
      </c>
      <c r="E250" s="98"/>
      <c r="F250" s="114" t="s">
        <v>42</v>
      </c>
      <c r="G250" s="98"/>
      <c r="H250" s="114" t="s">
        <v>18</v>
      </c>
      <c r="I250" s="184" t="s">
        <v>19</v>
      </c>
      <c r="J250" s="101">
        <v>174000000</v>
      </c>
      <c r="K250" s="102" t="s">
        <v>53</v>
      </c>
      <c r="L250" s="87">
        <v>46232</v>
      </c>
      <c r="M250" s="128"/>
      <c r="N250" s="129" t="s">
        <v>524</v>
      </c>
    </row>
    <row r="251" spans="1:14" hidden="1">
      <c r="A251" s="40" t="s">
        <v>525</v>
      </c>
      <c r="B251" s="171"/>
      <c r="C251" s="42" t="s">
        <v>526</v>
      </c>
      <c r="D251" s="170" t="s">
        <v>527</v>
      </c>
      <c r="E251" s="43" t="s">
        <v>16</v>
      </c>
      <c r="F251" s="40"/>
      <c r="G251" s="40" t="s">
        <v>48</v>
      </c>
      <c r="H251" s="40" t="s">
        <v>24</v>
      </c>
      <c r="I251" s="170" t="s">
        <v>19</v>
      </c>
      <c r="J251" s="45">
        <f>990000000*0.85</f>
        <v>841500000</v>
      </c>
      <c r="K251" s="88" t="s">
        <v>248</v>
      </c>
      <c r="L251" s="47">
        <v>46204</v>
      </c>
      <c r="M251" s="48"/>
      <c r="N251" s="80" t="s">
        <v>528</v>
      </c>
    </row>
    <row r="252" spans="1:14">
      <c r="A252" s="114" t="s">
        <v>500</v>
      </c>
      <c r="B252" s="182"/>
      <c r="C252" s="126" t="s">
        <v>529</v>
      </c>
      <c r="D252" s="183" t="s">
        <v>24</v>
      </c>
      <c r="E252" s="98"/>
      <c r="F252" s="114" t="s">
        <v>42</v>
      </c>
      <c r="G252" s="98"/>
      <c r="H252" s="114" t="s">
        <v>18</v>
      </c>
      <c r="I252" s="184" t="s">
        <v>25</v>
      </c>
      <c r="J252" s="101">
        <v>4123150000</v>
      </c>
      <c r="K252" s="102" t="s">
        <v>53</v>
      </c>
      <c r="L252" s="87">
        <v>46232</v>
      </c>
      <c r="M252" s="128"/>
      <c r="N252" s="129" t="s">
        <v>530</v>
      </c>
    </row>
    <row r="253" spans="1:14">
      <c r="A253" s="71" t="s">
        <v>454</v>
      </c>
      <c r="B253" s="185"/>
      <c r="C253" s="70" t="s">
        <v>531</v>
      </c>
      <c r="D253" s="186" t="s">
        <v>24</v>
      </c>
      <c r="E253" s="104"/>
      <c r="F253" s="71" t="s">
        <v>42</v>
      </c>
      <c r="G253" s="104"/>
      <c r="H253" s="71" t="s">
        <v>18</v>
      </c>
      <c r="I253" s="187" t="s">
        <v>37</v>
      </c>
      <c r="J253" s="106">
        <v>200000000</v>
      </c>
      <c r="K253" s="107" t="s">
        <v>53</v>
      </c>
      <c r="L253" s="90">
        <v>46232</v>
      </c>
      <c r="M253" s="131"/>
      <c r="N253" s="132" t="s">
        <v>532</v>
      </c>
    </row>
    <row r="254" spans="1:14">
      <c r="A254" s="114" t="s">
        <v>533</v>
      </c>
      <c r="B254" s="182"/>
      <c r="C254" s="126" t="s">
        <v>534</v>
      </c>
      <c r="D254" s="183" t="s">
        <v>24</v>
      </c>
      <c r="E254" s="127" t="s">
        <v>16</v>
      </c>
      <c r="F254" s="114" t="s">
        <v>42</v>
      </c>
      <c r="G254" s="98" t="s">
        <v>43</v>
      </c>
      <c r="H254" s="114" t="s">
        <v>18</v>
      </c>
      <c r="I254" s="184" t="s">
        <v>37</v>
      </c>
      <c r="J254" s="101">
        <v>1378120000</v>
      </c>
      <c r="K254" s="102" t="s">
        <v>53</v>
      </c>
      <c r="L254" s="87">
        <v>46360</v>
      </c>
      <c r="M254" s="128"/>
      <c r="N254" s="129"/>
    </row>
    <row r="255" spans="1:14">
      <c r="A255" s="71" t="s">
        <v>535</v>
      </c>
      <c r="B255" s="185"/>
      <c r="C255" s="70" t="s">
        <v>536</v>
      </c>
      <c r="D255" s="186" t="s">
        <v>24</v>
      </c>
      <c r="E255" s="130" t="s">
        <v>16</v>
      </c>
      <c r="F255" s="71" t="s">
        <v>42</v>
      </c>
      <c r="G255" s="104" t="s">
        <v>43</v>
      </c>
      <c r="H255" s="71" t="s">
        <v>18</v>
      </c>
      <c r="I255" s="187" t="s">
        <v>37</v>
      </c>
      <c r="J255" s="106">
        <v>65750000</v>
      </c>
      <c r="K255" s="107" t="s">
        <v>53</v>
      </c>
      <c r="L255" s="90">
        <v>46382</v>
      </c>
      <c r="M255" s="131"/>
      <c r="N255" s="132"/>
    </row>
    <row r="256" spans="1:14">
      <c r="A256" s="114" t="s">
        <v>537</v>
      </c>
      <c r="B256" s="182"/>
      <c r="C256" s="126" t="s">
        <v>538</v>
      </c>
      <c r="D256" s="183" t="s">
        <v>24</v>
      </c>
      <c r="E256" s="98" t="s">
        <v>112</v>
      </c>
      <c r="F256" s="114" t="s">
        <v>42</v>
      </c>
      <c r="G256" s="98"/>
      <c r="H256" s="114" t="s">
        <v>18</v>
      </c>
      <c r="I256" s="184" t="s">
        <v>25</v>
      </c>
      <c r="J256" s="101">
        <v>213000000</v>
      </c>
      <c r="K256" s="102" t="s">
        <v>53</v>
      </c>
      <c r="L256" s="87">
        <v>46241</v>
      </c>
      <c r="M256" s="128"/>
      <c r="N256" s="129"/>
    </row>
    <row r="257" spans="1:14">
      <c r="A257" s="71" t="s">
        <v>537</v>
      </c>
      <c r="B257" s="185"/>
      <c r="C257" s="70" t="s">
        <v>539</v>
      </c>
      <c r="D257" s="186" t="s">
        <v>24</v>
      </c>
      <c r="E257" s="130" t="s">
        <v>16</v>
      </c>
      <c r="F257" s="71" t="s">
        <v>42</v>
      </c>
      <c r="G257" s="104" t="s">
        <v>80</v>
      </c>
      <c r="H257" s="71" t="s">
        <v>18</v>
      </c>
      <c r="I257" s="187" t="s">
        <v>25</v>
      </c>
      <c r="J257" s="106">
        <v>199020000</v>
      </c>
      <c r="K257" s="107" t="s">
        <v>53</v>
      </c>
      <c r="L257" s="90">
        <v>46372</v>
      </c>
      <c r="M257" s="131"/>
      <c r="N257" s="132"/>
    </row>
    <row r="258" spans="1:14" hidden="1">
      <c r="A258" s="114" t="s">
        <v>115</v>
      </c>
      <c r="B258" s="168"/>
      <c r="C258" s="126" t="s">
        <v>352</v>
      </c>
      <c r="D258" s="169" t="s">
        <v>24</v>
      </c>
      <c r="E258" s="127" t="s">
        <v>16</v>
      </c>
      <c r="F258" s="33"/>
      <c r="G258" s="98" t="s">
        <v>117</v>
      </c>
      <c r="H258" s="114" t="s">
        <v>18</v>
      </c>
      <c r="I258" s="169" t="s">
        <v>37</v>
      </c>
      <c r="J258" s="101">
        <v>700000000</v>
      </c>
      <c r="K258" s="102" t="s">
        <v>26</v>
      </c>
      <c r="L258" s="87">
        <v>46154</v>
      </c>
      <c r="M258" s="128"/>
      <c r="N258" s="129"/>
    </row>
    <row r="259" spans="1:14">
      <c r="A259" s="71" t="s">
        <v>540</v>
      </c>
      <c r="B259" s="185"/>
      <c r="C259" s="70" t="s">
        <v>541</v>
      </c>
      <c r="D259" s="186" t="s">
        <v>24</v>
      </c>
      <c r="E259" s="130" t="s">
        <v>16</v>
      </c>
      <c r="F259" s="71" t="s">
        <v>42</v>
      </c>
      <c r="G259" s="104" t="s">
        <v>117</v>
      </c>
      <c r="H259" s="71" t="s">
        <v>18</v>
      </c>
      <c r="I259" s="187" t="s">
        <v>37</v>
      </c>
      <c r="J259" s="106">
        <v>2598000000</v>
      </c>
      <c r="K259" s="107" t="s">
        <v>53</v>
      </c>
      <c r="L259" s="90">
        <v>46338</v>
      </c>
      <c r="M259" s="131"/>
      <c r="N259" s="132" t="s">
        <v>542</v>
      </c>
    </row>
    <row r="260" spans="1:14">
      <c r="A260" s="114" t="s">
        <v>512</v>
      </c>
      <c r="B260" s="182"/>
      <c r="C260" s="126" t="s">
        <v>543</v>
      </c>
      <c r="D260" s="183" t="s">
        <v>24</v>
      </c>
      <c r="E260" s="98"/>
      <c r="F260" s="114" t="s">
        <v>42</v>
      </c>
      <c r="G260" s="98"/>
      <c r="H260" s="114" t="s">
        <v>18</v>
      </c>
      <c r="I260" s="184" t="s">
        <v>37</v>
      </c>
      <c r="J260" s="101">
        <v>935000000</v>
      </c>
      <c r="K260" s="102" t="s">
        <v>53</v>
      </c>
      <c r="L260" s="87">
        <v>46232</v>
      </c>
      <c r="M260" s="128"/>
      <c r="N260" s="129" t="s">
        <v>544</v>
      </c>
    </row>
    <row r="261" spans="1:14">
      <c r="A261" s="71" t="s">
        <v>545</v>
      </c>
      <c r="B261" s="185"/>
      <c r="C261" s="70" t="s">
        <v>546</v>
      </c>
      <c r="D261" s="186" t="s">
        <v>24</v>
      </c>
      <c r="E261" s="130" t="s">
        <v>16</v>
      </c>
      <c r="F261" s="71" t="s">
        <v>42</v>
      </c>
      <c r="G261" s="104" t="s">
        <v>23</v>
      </c>
      <c r="H261" s="71" t="s">
        <v>18</v>
      </c>
      <c r="I261" s="187" t="s">
        <v>37</v>
      </c>
      <c r="J261" s="106">
        <v>438000000</v>
      </c>
      <c r="K261" s="107" t="s">
        <v>53</v>
      </c>
      <c r="L261" s="90">
        <v>46373</v>
      </c>
      <c r="M261" s="131"/>
      <c r="N261" s="132" t="s">
        <v>547</v>
      </c>
    </row>
    <row r="262" spans="1:14">
      <c r="A262" s="114" t="s">
        <v>548</v>
      </c>
      <c r="B262" s="182"/>
      <c r="C262" s="126" t="s">
        <v>549</v>
      </c>
      <c r="D262" s="183" t="s">
        <v>24</v>
      </c>
      <c r="E262" s="127" t="s">
        <v>16</v>
      </c>
      <c r="F262" s="114" t="s">
        <v>42</v>
      </c>
      <c r="G262" s="98" t="s">
        <v>23</v>
      </c>
      <c r="H262" s="114" t="s">
        <v>18</v>
      </c>
      <c r="I262" s="184" t="s">
        <v>37</v>
      </c>
      <c r="J262" s="101">
        <v>978000000</v>
      </c>
      <c r="K262" s="102" t="s">
        <v>53</v>
      </c>
      <c r="L262" s="87">
        <v>46380</v>
      </c>
      <c r="M262" s="128"/>
      <c r="N262" s="129" t="s">
        <v>547</v>
      </c>
    </row>
    <row r="263" spans="1:14">
      <c r="A263" s="71" t="s">
        <v>550</v>
      </c>
      <c r="B263" s="185"/>
      <c r="C263" s="70" t="s">
        <v>551</v>
      </c>
      <c r="D263" s="186" t="s">
        <v>24</v>
      </c>
      <c r="E263" s="104" t="s">
        <v>112</v>
      </c>
      <c r="F263" s="71" t="s">
        <v>42</v>
      </c>
      <c r="G263" s="104"/>
      <c r="H263" s="71" t="s">
        <v>18</v>
      </c>
      <c r="I263" s="187" t="s">
        <v>37</v>
      </c>
      <c r="J263" s="106">
        <v>217540000</v>
      </c>
      <c r="K263" s="107" t="s">
        <v>53</v>
      </c>
      <c r="L263" s="90">
        <v>46275</v>
      </c>
      <c r="M263" s="131"/>
      <c r="N263" s="134" t="s">
        <v>552</v>
      </c>
    </row>
    <row r="264" spans="1:14" ht="24">
      <c r="A264" s="114" t="s">
        <v>553</v>
      </c>
      <c r="B264" s="182"/>
      <c r="C264" s="126" t="s">
        <v>554</v>
      </c>
      <c r="D264" s="183" t="s">
        <v>24</v>
      </c>
      <c r="E264" s="98" t="s">
        <v>16</v>
      </c>
      <c r="F264" s="114" t="s">
        <v>42</v>
      </c>
      <c r="G264" s="98"/>
      <c r="H264" s="114" t="s">
        <v>18</v>
      </c>
      <c r="I264" s="184" t="s">
        <v>37</v>
      </c>
      <c r="J264" s="101">
        <v>175000000</v>
      </c>
      <c r="K264" s="102" t="s">
        <v>53</v>
      </c>
      <c r="L264" s="87">
        <v>46232</v>
      </c>
      <c r="M264" s="128"/>
      <c r="N264" s="135" t="s">
        <v>555</v>
      </c>
    </row>
    <row r="265" spans="1:14" hidden="1">
      <c r="A265" s="71" t="s">
        <v>556</v>
      </c>
      <c r="B265" s="171"/>
      <c r="C265" s="70" t="s">
        <v>557</v>
      </c>
      <c r="D265" s="170" t="s">
        <v>24</v>
      </c>
      <c r="E265" s="104" t="s">
        <v>16</v>
      </c>
      <c r="F265" s="40" t="s">
        <v>42</v>
      </c>
      <c r="G265" s="104" t="s">
        <v>43</v>
      </c>
      <c r="H265" s="71" t="s">
        <v>24</v>
      </c>
      <c r="I265" s="170" t="s">
        <v>37</v>
      </c>
      <c r="J265" s="106">
        <v>260000000</v>
      </c>
      <c r="K265" s="107" t="s">
        <v>26</v>
      </c>
      <c r="L265" s="90">
        <v>46217</v>
      </c>
      <c r="M265" s="131" t="s">
        <v>27</v>
      </c>
      <c r="N265" s="134"/>
    </row>
    <row r="266" spans="1:14">
      <c r="A266" s="114" t="s">
        <v>558</v>
      </c>
      <c r="B266" s="182"/>
      <c r="C266" s="126" t="s">
        <v>559</v>
      </c>
      <c r="D266" s="183" t="s">
        <v>24</v>
      </c>
      <c r="E266" s="98"/>
      <c r="F266" s="114" t="s">
        <v>42</v>
      </c>
      <c r="G266" s="98"/>
      <c r="H266" s="114" t="s">
        <v>18</v>
      </c>
      <c r="I266" s="184" t="s">
        <v>25</v>
      </c>
      <c r="J266" s="101">
        <v>385000000</v>
      </c>
      <c r="K266" s="102" t="s">
        <v>53</v>
      </c>
      <c r="L266" s="87">
        <v>46232</v>
      </c>
      <c r="M266" s="128"/>
      <c r="N266" s="136" t="s">
        <v>560</v>
      </c>
    </row>
    <row r="267" spans="1:14" hidden="1">
      <c r="A267" s="71" t="s">
        <v>556</v>
      </c>
      <c r="B267" s="185"/>
      <c r="C267" s="70" t="s">
        <v>561</v>
      </c>
      <c r="D267" s="186" t="s">
        <v>24</v>
      </c>
      <c r="E267" s="130" t="s">
        <v>16</v>
      </c>
      <c r="F267" s="71" t="s">
        <v>42</v>
      </c>
      <c r="G267" s="104" t="s">
        <v>23</v>
      </c>
      <c r="H267" s="71" t="s">
        <v>18</v>
      </c>
      <c r="I267" s="187" t="s">
        <v>37</v>
      </c>
      <c r="J267" s="106">
        <v>361000000</v>
      </c>
      <c r="K267" s="107" t="s">
        <v>26</v>
      </c>
      <c r="L267" s="90">
        <v>46142</v>
      </c>
      <c r="M267" s="131"/>
      <c r="N267" s="132" t="s">
        <v>562</v>
      </c>
    </row>
    <row r="268" spans="1:14">
      <c r="A268" s="137" t="s">
        <v>563</v>
      </c>
      <c r="B268" s="189"/>
      <c r="C268" s="116" t="s">
        <v>564</v>
      </c>
      <c r="D268" s="190" t="s">
        <v>24</v>
      </c>
      <c r="E268" s="127" t="s">
        <v>16</v>
      </c>
      <c r="F268" s="137" t="s">
        <v>42</v>
      </c>
      <c r="G268" s="138" t="s">
        <v>23</v>
      </c>
      <c r="H268" s="137" t="s">
        <v>18</v>
      </c>
      <c r="I268" s="191" t="s">
        <v>25</v>
      </c>
      <c r="J268" s="139">
        <v>2435000000</v>
      </c>
      <c r="K268" s="140" t="s">
        <v>53</v>
      </c>
      <c r="L268" s="141">
        <v>46269</v>
      </c>
      <c r="M268" s="142"/>
      <c r="N268" s="143" t="s">
        <v>565</v>
      </c>
    </row>
    <row r="269" spans="1:14">
      <c r="A269" s="40" t="s">
        <v>566</v>
      </c>
      <c r="B269" s="171"/>
      <c r="C269" s="42" t="s">
        <v>567</v>
      </c>
      <c r="D269" s="40" t="s">
        <v>128</v>
      </c>
      <c r="E269" s="40" t="s">
        <v>112</v>
      </c>
      <c r="F269" s="40"/>
      <c r="G269" s="40" t="s">
        <v>170</v>
      </c>
      <c r="H269" s="40" t="s">
        <v>18</v>
      </c>
      <c r="I269" s="40" t="s">
        <v>25</v>
      </c>
      <c r="J269" s="45">
        <v>5000000000</v>
      </c>
      <c r="K269" s="88" t="s">
        <v>53</v>
      </c>
      <c r="L269" s="90">
        <v>46340</v>
      </c>
      <c r="M269" s="47" t="s">
        <v>370</v>
      </c>
      <c r="N269" s="85"/>
    </row>
    <row r="270" spans="1:14" ht="24.75">
      <c r="A270" s="33" t="s">
        <v>568</v>
      </c>
      <c r="B270" s="168"/>
      <c r="C270" s="31" t="s">
        <v>569</v>
      </c>
      <c r="D270" s="33" t="s">
        <v>184</v>
      </c>
      <c r="E270" s="33" t="s">
        <v>112</v>
      </c>
      <c r="F270" s="33"/>
      <c r="G270" s="33" t="s">
        <v>170</v>
      </c>
      <c r="H270" s="33" t="s">
        <v>18</v>
      </c>
      <c r="I270" s="33" t="s">
        <v>25</v>
      </c>
      <c r="J270" s="54">
        <v>39000000</v>
      </c>
      <c r="K270" s="86" t="s">
        <v>53</v>
      </c>
      <c r="L270" s="87">
        <v>46217</v>
      </c>
      <c r="M270" s="37" t="s">
        <v>370</v>
      </c>
      <c r="N270" s="82"/>
    </row>
    <row r="271" spans="1:14" hidden="1">
      <c r="A271" s="72" t="s">
        <v>570</v>
      </c>
      <c r="B271" s="72"/>
      <c r="C271" s="42" t="s">
        <v>571</v>
      </c>
      <c r="D271" s="40"/>
      <c r="E271" s="40" t="s">
        <v>16</v>
      </c>
      <c r="F271" s="40"/>
      <c r="G271" s="40" t="s">
        <v>164</v>
      </c>
      <c r="H271" s="40" t="s">
        <v>18</v>
      </c>
      <c r="I271" s="40" t="s">
        <v>37</v>
      </c>
      <c r="J271" s="63">
        <v>1200000000</v>
      </c>
      <c r="K271" s="48" t="s">
        <v>369</v>
      </c>
      <c r="L271" s="47">
        <v>46184</v>
      </c>
      <c r="M271" s="88"/>
      <c r="N271" s="80"/>
    </row>
    <row r="272" spans="1:14" hidden="1">
      <c r="A272" s="67" t="s">
        <v>572</v>
      </c>
      <c r="B272" s="67"/>
      <c r="C272" s="31" t="s">
        <v>18</v>
      </c>
      <c r="D272" s="33"/>
      <c r="E272" s="33" t="s">
        <v>16</v>
      </c>
      <c r="F272" s="33"/>
      <c r="G272" s="33" t="s">
        <v>164</v>
      </c>
      <c r="H272" s="33" t="s">
        <v>18</v>
      </c>
      <c r="I272" s="33" t="s">
        <v>37</v>
      </c>
      <c r="J272" s="51">
        <v>895000000</v>
      </c>
      <c r="K272" s="38" t="s">
        <v>369</v>
      </c>
      <c r="L272" s="37">
        <v>46156</v>
      </c>
      <c r="M272" s="86"/>
      <c r="N272" s="78"/>
    </row>
    <row r="273" spans="1:14">
      <c r="A273" s="40" t="s">
        <v>573</v>
      </c>
      <c r="B273" s="171"/>
      <c r="C273" s="70" t="s">
        <v>24</v>
      </c>
      <c r="D273" s="192" t="s">
        <v>24</v>
      </c>
      <c r="E273" s="40" t="s">
        <v>16</v>
      </c>
      <c r="F273" s="71"/>
      <c r="G273" s="40"/>
      <c r="H273" s="40" t="s">
        <v>24</v>
      </c>
      <c r="I273" s="170" t="s">
        <v>25</v>
      </c>
      <c r="J273" s="45">
        <v>2908842000</v>
      </c>
      <c r="K273" s="88" t="s">
        <v>53</v>
      </c>
      <c r="L273" s="47">
        <v>46305</v>
      </c>
      <c r="M273" s="48"/>
      <c r="N273" s="80" t="s">
        <v>574</v>
      </c>
    </row>
    <row r="274" spans="1:14" hidden="1">
      <c r="A274" s="33" t="s">
        <v>575</v>
      </c>
      <c r="B274" s="168"/>
      <c r="C274" s="31" t="s">
        <v>576</v>
      </c>
      <c r="D274" s="169"/>
      <c r="E274" s="33" t="s">
        <v>16</v>
      </c>
      <c r="F274" s="33"/>
      <c r="G274" s="33" t="s">
        <v>96</v>
      </c>
      <c r="H274" s="33" t="s">
        <v>121</v>
      </c>
      <c r="I274" s="169" t="s">
        <v>37</v>
      </c>
      <c r="J274" s="54">
        <v>26841600</v>
      </c>
      <c r="K274" s="86" t="s">
        <v>26</v>
      </c>
      <c r="L274" s="37">
        <v>46064</v>
      </c>
      <c r="M274" s="38"/>
      <c r="N274" s="78" t="s">
        <v>97</v>
      </c>
    </row>
    <row r="275" spans="1:14" hidden="1">
      <c r="A275" s="40" t="s">
        <v>577</v>
      </c>
      <c r="B275" s="171"/>
      <c r="C275" s="42" t="s">
        <v>578</v>
      </c>
      <c r="D275" s="170"/>
      <c r="E275" s="40" t="s">
        <v>16</v>
      </c>
      <c r="F275" s="40"/>
      <c r="G275" s="40" t="s">
        <v>96</v>
      </c>
      <c r="H275" s="40" t="s">
        <v>24</v>
      </c>
      <c r="I275" s="170" t="s">
        <v>37</v>
      </c>
      <c r="J275" s="45">
        <v>331200000</v>
      </c>
      <c r="K275" s="88" t="s">
        <v>26</v>
      </c>
      <c r="L275" s="47">
        <v>46079</v>
      </c>
      <c r="M275" s="48"/>
      <c r="N275" s="80" t="s">
        <v>97</v>
      </c>
    </row>
    <row r="276" spans="1:14" hidden="1">
      <c r="A276" s="33" t="s">
        <v>579</v>
      </c>
      <c r="B276" s="168"/>
      <c r="C276" s="31" t="s">
        <v>580</v>
      </c>
      <c r="D276" s="169"/>
      <c r="E276" s="33" t="s">
        <v>16</v>
      </c>
      <c r="F276" s="33"/>
      <c r="G276" s="33" t="s">
        <v>96</v>
      </c>
      <c r="H276" s="33" t="s">
        <v>24</v>
      </c>
      <c r="I276" s="169" t="s">
        <v>25</v>
      </c>
      <c r="J276" s="54">
        <v>61200000</v>
      </c>
      <c r="K276" s="86" t="s">
        <v>26</v>
      </c>
      <c r="L276" s="37">
        <v>46079</v>
      </c>
      <c r="M276" s="38"/>
      <c r="N276" s="78" t="s">
        <v>97</v>
      </c>
    </row>
    <row r="277" spans="1:14" hidden="1">
      <c r="A277" s="40" t="s">
        <v>581</v>
      </c>
      <c r="B277" s="171"/>
      <c r="C277" s="42" t="s">
        <v>582</v>
      </c>
      <c r="D277" s="170"/>
      <c r="E277" s="40" t="s">
        <v>16</v>
      </c>
      <c r="F277" s="40"/>
      <c r="G277" s="40" t="s">
        <v>96</v>
      </c>
      <c r="H277" s="40" t="s">
        <v>24</v>
      </c>
      <c r="I277" s="170" t="s">
        <v>37</v>
      </c>
      <c r="J277" s="45">
        <v>46400000</v>
      </c>
      <c r="K277" s="88" t="s">
        <v>26</v>
      </c>
      <c r="L277" s="47">
        <v>46142</v>
      </c>
      <c r="M277" s="48" t="s">
        <v>27</v>
      </c>
      <c r="N277" s="49" t="s">
        <v>97</v>
      </c>
    </row>
    <row r="278" spans="1:14" hidden="1">
      <c r="A278" s="33" t="s">
        <v>583</v>
      </c>
      <c r="B278" s="168"/>
      <c r="C278" s="31" t="s">
        <v>584</v>
      </c>
      <c r="D278" s="169"/>
      <c r="E278" s="33" t="s">
        <v>16</v>
      </c>
      <c r="F278" s="33"/>
      <c r="G278" s="33" t="s">
        <v>96</v>
      </c>
      <c r="H278" s="33" t="s">
        <v>24</v>
      </c>
      <c r="I278" s="169" t="s">
        <v>37</v>
      </c>
      <c r="J278" s="54">
        <v>20000000</v>
      </c>
      <c r="K278" s="86" t="s">
        <v>26</v>
      </c>
      <c r="L278" s="37">
        <v>46048</v>
      </c>
      <c r="M278" s="38"/>
      <c r="N278" s="78" t="s">
        <v>97</v>
      </c>
    </row>
    <row r="279" spans="1:14" hidden="1">
      <c r="A279" s="40" t="s">
        <v>585</v>
      </c>
      <c r="B279" s="171"/>
      <c r="C279" s="42" t="s">
        <v>586</v>
      </c>
      <c r="D279" s="170"/>
      <c r="E279" s="40" t="s">
        <v>16</v>
      </c>
      <c r="F279" s="40"/>
      <c r="G279" s="40" t="s">
        <v>96</v>
      </c>
      <c r="H279" s="40" t="s">
        <v>24</v>
      </c>
      <c r="I279" s="170" t="s">
        <v>37</v>
      </c>
      <c r="J279" s="45">
        <v>149900000</v>
      </c>
      <c r="K279" s="88" t="s">
        <v>20</v>
      </c>
      <c r="L279" s="47">
        <v>46204</v>
      </c>
      <c r="M279" s="48"/>
      <c r="N279" s="80"/>
    </row>
    <row r="280" spans="1:14">
      <c r="A280" s="33" t="s">
        <v>573</v>
      </c>
      <c r="B280" s="168"/>
      <c r="C280" s="126" t="s">
        <v>587</v>
      </c>
      <c r="D280" s="188" t="s">
        <v>24</v>
      </c>
      <c r="E280" s="33" t="s">
        <v>16</v>
      </c>
      <c r="F280" s="114"/>
      <c r="G280" s="33"/>
      <c r="H280" s="33" t="s">
        <v>24</v>
      </c>
      <c r="I280" s="169" t="s">
        <v>49</v>
      </c>
      <c r="J280" s="54">
        <v>22474500000</v>
      </c>
      <c r="K280" s="86" t="s">
        <v>53</v>
      </c>
      <c r="L280" s="37">
        <v>46332</v>
      </c>
      <c r="M280" s="38"/>
      <c r="N280" s="78" t="s">
        <v>588</v>
      </c>
    </row>
    <row r="281" spans="1:14" hidden="1">
      <c r="A281" s="40" t="s">
        <v>589</v>
      </c>
      <c r="B281" s="171"/>
      <c r="C281" s="42" t="s">
        <v>590</v>
      </c>
      <c r="D281" s="170"/>
      <c r="E281" s="40" t="s">
        <v>16</v>
      </c>
      <c r="F281" s="40"/>
      <c r="G281" s="40" t="s">
        <v>43</v>
      </c>
      <c r="H281" s="40" t="s">
        <v>24</v>
      </c>
      <c r="I281" s="170" t="s">
        <v>19</v>
      </c>
      <c r="J281" s="45">
        <v>958950000</v>
      </c>
      <c r="K281" s="88" t="s">
        <v>20</v>
      </c>
      <c r="L281" s="47">
        <v>46259</v>
      </c>
      <c r="M281" s="48"/>
      <c r="N281" s="80" t="s">
        <v>591</v>
      </c>
    </row>
    <row r="282" spans="1:14" hidden="1">
      <c r="A282" s="33" t="s">
        <v>592</v>
      </c>
      <c r="B282" s="168"/>
      <c r="C282" s="31" t="s">
        <v>593</v>
      </c>
      <c r="D282" s="169"/>
      <c r="E282" s="33" t="s">
        <v>16</v>
      </c>
      <c r="F282" s="33"/>
      <c r="G282" s="33" t="s">
        <v>43</v>
      </c>
      <c r="H282" s="33" t="s">
        <v>24</v>
      </c>
      <c r="I282" s="169" t="s">
        <v>25</v>
      </c>
      <c r="J282" s="54">
        <v>2983769100</v>
      </c>
      <c r="K282" s="86" t="s">
        <v>81</v>
      </c>
      <c r="L282" s="37">
        <v>46357</v>
      </c>
      <c r="M282" s="38"/>
      <c r="N282" s="78" t="s">
        <v>594</v>
      </c>
    </row>
    <row r="283" spans="1:14" ht="24.75" hidden="1">
      <c r="A283" s="20" t="s">
        <v>595</v>
      </c>
      <c r="B283" s="171"/>
      <c r="C283" s="42" t="s">
        <v>596</v>
      </c>
      <c r="D283" s="170" t="s">
        <v>597</v>
      </c>
      <c r="E283" s="40" t="s">
        <v>16</v>
      </c>
      <c r="F283" s="40"/>
      <c r="G283" s="40" t="s">
        <v>48</v>
      </c>
      <c r="H283" s="40" t="s">
        <v>24</v>
      </c>
      <c r="I283" s="170" t="s">
        <v>25</v>
      </c>
      <c r="J283" s="45">
        <f>1506000000*0.75</f>
        <v>1129500000</v>
      </c>
      <c r="K283" s="88" t="s">
        <v>248</v>
      </c>
      <c r="L283" s="47">
        <v>46204</v>
      </c>
      <c r="M283" s="48"/>
      <c r="N283" s="80"/>
    </row>
    <row r="284" spans="1:14" hidden="1">
      <c r="A284" s="110" t="s">
        <v>598</v>
      </c>
      <c r="B284" s="168"/>
      <c r="C284" s="31" t="s">
        <v>599</v>
      </c>
      <c r="D284" s="169" t="s">
        <v>474</v>
      </c>
      <c r="E284" s="33" t="s">
        <v>16</v>
      </c>
      <c r="F284" s="33"/>
      <c r="G284" s="33" t="s">
        <v>48</v>
      </c>
      <c r="H284" s="33" t="s">
        <v>24</v>
      </c>
      <c r="I284" s="169" t="s">
        <v>37</v>
      </c>
      <c r="J284" s="54">
        <v>4500000000</v>
      </c>
      <c r="K284" s="86" t="s">
        <v>143</v>
      </c>
      <c r="L284" s="37">
        <v>46204</v>
      </c>
      <c r="M284" s="38"/>
      <c r="N284" s="78" t="s">
        <v>600</v>
      </c>
    </row>
    <row r="285" spans="1:14" hidden="1">
      <c r="A285" s="40" t="s">
        <v>601</v>
      </c>
      <c r="B285" s="171"/>
      <c r="C285" s="42" t="s">
        <v>24</v>
      </c>
      <c r="D285" s="170" t="s">
        <v>602</v>
      </c>
      <c r="E285" s="40" t="s">
        <v>16</v>
      </c>
      <c r="F285" s="40"/>
      <c r="G285" s="40" t="s">
        <v>48</v>
      </c>
      <c r="H285" s="40" t="s">
        <v>24</v>
      </c>
      <c r="I285" s="170" t="s">
        <v>25</v>
      </c>
      <c r="J285" s="45">
        <f>346928000*0.75</f>
        <v>260196000</v>
      </c>
      <c r="K285" s="88" t="s">
        <v>248</v>
      </c>
      <c r="L285" s="47">
        <v>46266</v>
      </c>
      <c r="M285" s="48"/>
      <c r="N285" s="80" t="s">
        <v>603</v>
      </c>
    </row>
    <row r="286" spans="1:14" hidden="1">
      <c r="A286" s="110" t="s">
        <v>503</v>
      </c>
      <c r="B286" s="168"/>
      <c r="C286" s="31" t="s">
        <v>604</v>
      </c>
      <c r="D286" s="169" t="s">
        <v>474</v>
      </c>
      <c r="E286" s="33" t="s">
        <v>16</v>
      </c>
      <c r="F286" s="33"/>
      <c r="G286" s="33" t="s">
        <v>48</v>
      </c>
      <c r="H286" s="33" t="s">
        <v>24</v>
      </c>
      <c r="I286" s="169" t="s">
        <v>37</v>
      </c>
      <c r="J286" s="54">
        <f>3170490000*0.7</f>
        <v>2219343000</v>
      </c>
      <c r="K286" s="86" t="s">
        <v>248</v>
      </c>
      <c r="L286" s="37">
        <v>46266</v>
      </c>
      <c r="M286" s="38"/>
      <c r="N286" s="78"/>
    </row>
    <row r="287" spans="1:14">
      <c r="A287" s="40" t="s">
        <v>605</v>
      </c>
      <c r="B287" s="171"/>
      <c r="C287" s="42" t="s">
        <v>606</v>
      </c>
      <c r="D287" s="170"/>
      <c r="E287" s="40" t="s">
        <v>16</v>
      </c>
      <c r="F287" s="71" t="s">
        <v>42</v>
      </c>
      <c r="G287" s="40" t="s">
        <v>48</v>
      </c>
      <c r="H287" s="40" t="s">
        <v>24</v>
      </c>
      <c r="I287" s="170" t="s">
        <v>37</v>
      </c>
      <c r="J287" s="45">
        <v>329000000</v>
      </c>
      <c r="K287" s="88" t="s">
        <v>53</v>
      </c>
      <c r="L287" s="47">
        <v>46311</v>
      </c>
      <c r="M287" s="48"/>
      <c r="N287" s="80" t="s">
        <v>607</v>
      </c>
    </row>
    <row r="288" spans="1:14" hidden="1">
      <c r="A288" s="33" t="s">
        <v>525</v>
      </c>
      <c r="B288" s="168"/>
      <c r="C288" s="31" t="s">
        <v>24</v>
      </c>
      <c r="D288" s="169" t="s">
        <v>608</v>
      </c>
      <c r="E288" s="33" t="s">
        <v>16</v>
      </c>
      <c r="F288" s="33"/>
      <c r="G288" s="33" t="s">
        <v>48</v>
      </c>
      <c r="H288" s="33" t="s">
        <v>24</v>
      </c>
      <c r="I288" s="169" t="s">
        <v>25</v>
      </c>
      <c r="J288" s="54">
        <f>3398000000*0.9</f>
        <v>3058200000</v>
      </c>
      <c r="K288" s="86" t="s">
        <v>20</v>
      </c>
      <c r="L288" s="37">
        <v>46327</v>
      </c>
      <c r="M288" s="38"/>
      <c r="N288" s="78" t="s">
        <v>252</v>
      </c>
    </row>
    <row r="289" spans="1:14" hidden="1">
      <c r="A289" s="40" t="s">
        <v>525</v>
      </c>
      <c r="B289" s="171"/>
      <c r="C289" s="42" t="s">
        <v>24</v>
      </c>
      <c r="D289" s="170" t="s">
        <v>609</v>
      </c>
      <c r="E289" s="40" t="s">
        <v>16</v>
      </c>
      <c r="F289" s="40"/>
      <c r="G289" s="40" t="s">
        <v>48</v>
      </c>
      <c r="H289" s="40" t="s">
        <v>24</v>
      </c>
      <c r="I289" s="170" t="s">
        <v>25</v>
      </c>
      <c r="J289" s="45">
        <f>848300000*0.9</f>
        <v>763470000</v>
      </c>
      <c r="K289" s="88" t="s">
        <v>20</v>
      </c>
      <c r="L289" s="47">
        <v>46327</v>
      </c>
      <c r="M289" s="48"/>
      <c r="N289" s="80" t="s">
        <v>252</v>
      </c>
    </row>
    <row r="290" spans="1:14" hidden="1">
      <c r="A290" s="33" t="s">
        <v>525</v>
      </c>
      <c r="B290" s="168"/>
      <c r="C290" s="31" t="s">
        <v>24</v>
      </c>
      <c r="D290" s="169" t="s">
        <v>610</v>
      </c>
      <c r="E290" s="33" t="s">
        <v>16</v>
      </c>
      <c r="F290" s="33"/>
      <c r="G290" s="33" t="s">
        <v>48</v>
      </c>
      <c r="H290" s="33" t="s">
        <v>24</v>
      </c>
      <c r="I290" s="169" t="s">
        <v>25</v>
      </c>
      <c r="J290" s="54">
        <f>297800000*0.8</f>
        <v>238240000</v>
      </c>
      <c r="K290" s="86" t="s">
        <v>20</v>
      </c>
      <c r="L290" s="37">
        <v>46327</v>
      </c>
      <c r="M290" s="38"/>
      <c r="N290" s="78" t="s">
        <v>252</v>
      </c>
    </row>
    <row r="291" spans="1:14" hidden="1">
      <c r="A291" s="40" t="s">
        <v>160</v>
      </c>
      <c r="B291" s="171"/>
      <c r="C291" s="42" t="s">
        <v>611</v>
      </c>
      <c r="D291" s="170"/>
      <c r="E291" s="43" t="s">
        <v>16</v>
      </c>
      <c r="F291" s="40"/>
      <c r="G291" s="44" t="s">
        <v>88</v>
      </c>
      <c r="H291" s="44" t="s">
        <v>24</v>
      </c>
      <c r="I291" s="40" t="s">
        <v>25</v>
      </c>
      <c r="J291" s="45">
        <v>986387850</v>
      </c>
      <c r="K291" s="46" t="s">
        <v>26</v>
      </c>
      <c r="L291" s="47">
        <v>46054</v>
      </c>
      <c r="M291" s="48" t="s">
        <v>27</v>
      </c>
      <c r="N291" s="49" t="s">
        <v>28</v>
      </c>
    </row>
    <row r="292" spans="1:14" hidden="1">
      <c r="A292" s="33" t="s">
        <v>612</v>
      </c>
      <c r="B292" s="168"/>
      <c r="C292" s="31" t="s">
        <v>586</v>
      </c>
      <c r="D292" s="100" t="s">
        <v>613</v>
      </c>
      <c r="E292" s="33" t="s">
        <v>16</v>
      </c>
      <c r="F292" s="33"/>
      <c r="G292" s="33" t="s">
        <v>96</v>
      </c>
      <c r="H292" s="33" t="s">
        <v>24</v>
      </c>
      <c r="I292" s="169" t="s">
        <v>37</v>
      </c>
      <c r="J292" s="54">
        <v>36000000</v>
      </c>
      <c r="K292" s="86" t="s">
        <v>20</v>
      </c>
      <c r="L292" s="37">
        <v>46143</v>
      </c>
      <c r="M292" s="38"/>
      <c r="N292" s="39" t="s">
        <v>276</v>
      </c>
    </row>
    <row r="293" spans="1:14" ht="24" hidden="1">
      <c r="A293" s="93" t="s">
        <v>614</v>
      </c>
      <c r="B293" s="174"/>
      <c r="C293" s="58" t="s">
        <v>615</v>
      </c>
      <c r="D293" s="144"/>
      <c r="E293" s="93" t="s">
        <v>16</v>
      </c>
      <c r="F293" s="93"/>
      <c r="G293" s="93" t="s">
        <v>43</v>
      </c>
      <c r="H293" s="93" t="s">
        <v>24</v>
      </c>
      <c r="I293" s="175" t="s">
        <v>25</v>
      </c>
      <c r="J293" s="106">
        <v>212550000</v>
      </c>
      <c r="K293" s="107" t="s">
        <v>26</v>
      </c>
      <c r="L293" s="90">
        <v>46277</v>
      </c>
      <c r="M293" s="96" t="s">
        <v>27</v>
      </c>
      <c r="N293" s="49" t="s">
        <v>268</v>
      </c>
    </row>
    <row r="294" spans="1:14">
      <c r="A294" s="33" t="s">
        <v>616</v>
      </c>
      <c r="B294" s="168"/>
      <c r="C294" s="31" t="s">
        <v>617</v>
      </c>
      <c r="D294" s="169"/>
      <c r="E294" s="33" t="s">
        <v>16</v>
      </c>
      <c r="F294" s="33"/>
      <c r="G294" s="33" t="s">
        <v>43</v>
      </c>
      <c r="H294" s="33" t="s">
        <v>24</v>
      </c>
      <c r="I294" s="169" t="s">
        <v>19</v>
      </c>
      <c r="J294" s="54">
        <v>56000000</v>
      </c>
      <c r="K294" s="86" t="s">
        <v>53</v>
      </c>
      <c r="L294" s="37">
        <v>46357</v>
      </c>
      <c r="M294" s="38"/>
      <c r="N294" s="39" t="s">
        <v>252</v>
      </c>
    </row>
    <row r="295" spans="1:14" hidden="1">
      <c r="A295" s="93" t="s">
        <v>618</v>
      </c>
      <c r="B295" s="171"/>
      <c r="C295" s="42" t="s">
        <v>619</v>
      </c>
      <c r="D295" s="170"/>
      <c r="E295" s="40" t="s">
        <v>16</v>
      </c>
      <c r="F295" s="40"/>
      <c r="G295" s="40" t="s">
        <v>43</v>
      </c>
      <c r="H295" s="40" t="s">
        <v>290</v>
      </c>
      <c r="I295" s="170" t="s">
        <v>25</v>
      </c>
      <c r="J295" s="45">
        <v>350000000</v>
      </c>
      <c r="K295" s="88" t="s">
        <v>20</v>
      </c>
      <c r="L295" s="47">
        <v>46238</v>
      </c>
      <c r="M295" s="48"/>
      <c r="N295" s="104" t="s">
        <v>620</v>
      </c>
    </row>
    <row r="296" spans="1:14">
      <c r="A296" s="33" t="s">
        <v>621</v>
      </c>
      <c r="B296" s="168"/>
      <c r="C296" s="31" t="s">
        <v>622</v>
      </c>
      <c r="D296" s="169"/>
      <c r="E296" s="33" t="s">
        <v>16</v>
      </c>
      <c r="F296" s="33"/>
      <c r="G296" s="33" t="s">
        <v>43</v>
      </c>
      <c r="H296" s="33" t="s">
        <v>290</v>
      </c>
      <c r="I296" s="169" t="s">
        <v>19</v>
      </c>
      <c r="J296" s="54">
        <v>150000000</v>
      </c>
      <c r="K296" s="86" t="s">
        <v>53</v>
      </c>
      <c r="L296" s="37">
        <v>46357</v>
      </c>
      <c r="M296" s="38"/>
      <c r="N296" s="39" t="s">
        <v>249</v>
      </c>
    </row>
    <row r="297" spans="1:14" hidden="1">
      <c r="A297" s="40" t="s">
        <v>623</v>
      </c>
      <c r="B297" s="171"/>
      <c r="C297" s="42" t="s">
        <v>624</v>
      </c>
      <c r="D297" s="94"/>
      <c r="E297" s="40" t="s">
        <v>16</v>
      </c>
      <c r="F297" s="40"/>
      <c r="G297" s="40" t="s">
        <v>96</v>
      </c>
      <c r="H297" s="40" t="s">
        <v>24</v>
      </c>
      <c r="I297" s="170" t="s">
        <v>37</v>
      </c>
      <c r="J297" s="45">
        <v>150000000</v>
      </c>
      <c r="K297" s="88" t="s">
        <v>20</v>
      </c>
      <c r="L297" s="47">
        <v>46204</v>
      </c>
      <c r="M297" s="48"/>
      <c r="N297" s="49"/>
    </row>
    <row r="298" spans="1:14">
      <c r="A298" s="33" t="s">
        <v>625</v>
      </c>
      <c r="B298" s="168"/>
      <c r="C298" s="31" t="s">
        <v>626</v>
      </c>
      <c r="D298" s="100"/>
      <c r="E298" s="33" t="s">
        <v>16</v>
      </c>
      <c r="F298" s="33"/>
      <c r="G298" s="33" t="s">
        <v>80</v>
      </c>
      <c r="H298" s="33" t="s">
        <v>24</v>
      </c>
      <c r="I298" s="169" t="s">
        <v>37</v>
      </c>
      <c r="J298" s="54">
        <v>2000000000</v>
      </c>
      <c r="K298" s="86" t="s">
        <v>53</v>
      </c>
      <c r="L298" s="37">
        <v>46260</v>
      </c>
      <c r="M298" s="38"/>
      <c r="N298" s="39" t="s">
        <v>627</v>
      </c>
    </row>
    <row r="299" spans="1:14" hidden="1">
      <c r="A299" s="71" t="s">
        <v>628</v>
      </c>
      <c r="B299" s="185"/>
      <c r="C299" s="70" t="s">
        <v>629</v>
      </c>
      <c r="D299" s="186" t="s">
        <v>24</v>
      </c>
      <c r="E299" s="104" t="s">
        <v>16</v>
      </c>
      <c r="F299" s="71" t="s">
        <v>42</v>
      </c>
      <c r="G299" s="104" t="s">
        <v>48</v>
      </c>
      <c r="H299" s="71" t="s">
        <v>18</v>
      </c>
      <c r="I299" s="187" t="s">
        <v>37</v>
      </c>
      <c r="J299" s="106">
        <v>570000000</v>
      </c>
      <c r="K299" s="107" t="s">
        <v>81</v>
      </c>
      <c r="L299" s="90">
        <v>46337</v>
      </c>
      <c r="M299" s="131"/>
      <c r="N299" s="70"/>
    </row>
    <row r="300" spans="1:14">
      <c r="A300" s="114" t="s">
        <v>630</v>
      </c>
      <c r="B300" s="182"/>
      <c r="C300" s="126" t="s">
        <v>631</v>
      </c>
      <c r="D300" s="183" t="s">
        <v>24</v>
      </c>
      <c r="E300" s="98" t="s">
        <v>16</v>
      </c>
      <c r="F300" s="114" t="s">
        <v>42</v>
      </c>
      <c r="G300" s="98" t="s">
        <v>48</v>
      </c>
      <c r="H300" s="114" t="s">
        <v>18</v>
      </c>
      <c r="I300" s="184" t="s">
        <v>25</v>
      </c>
      <c r="J300" s="101">
        <v>2200000000</v>
      </c>
      <c r="K300" s="102" t="s">
        <v>53</v>
      </c>
      <c r="L300" s="87">
        <v>46338</v>
      </c>
      <c r="M300" s="128"/>
      <c r="N300" s="126"/>
    </row>
    <row r="301" spans="1:14">
      <c r="A301" s="71" t="s">
        <v>522</v>
      </c>
      <c r="B301" s="185"/>
      <c r="C301" s="70" t="s">
        <v>529</v>
      </c>
      <c r="D301" s="192" t="s">
        <v>24</v>
      </c>
      <c r="E301" s="104" t="s">
        <v>16</v>
      </c>
      <c r="F301" s="71" t="s">
        <v>42</v>
      </c>
      <c r="G301" s="104" t="s">
        <v>48</v>
      </c>
      <c r="H301" s="71" t="s">
        <v>18</v>
      </c>
      <c r="I301" s="187" t="s">
        <v>25</v>
      </c>
      <c r="J301" s="106">
        <v>4123150000</v>
      </c>
      <c r="K301" s="107" t="s">
        <v>53</v>
      </c>
      <c r="L301" s="90">
        <v>46346</v>
      </c>
      <c r="M301" s="131"/>
      <c r="N301" s="70" t="s">
        <v>632</v>
      </c>
    </row>
    <row r="302" spans="1:14" hidden="1">
      <c r="A302" s="33" t="s">
        <v>633</v>
      </c>
      <c r="B302" s="168"/>
      <c r="C302" s="31" t="s">
        <v>634</v>
      </c>
      <c r="D302" s="55" t="s">
        <v>635</v>
      </c>
      <c r="E302" s="33" t="s">
        <v>16</v>
      </c>
      <c r="F302" s="33" t="s">
        <v>42</v>
      </c>
      <c r="G302" s="33" t="s">
        <v>43</v>
      </c>
      <c r="H302" s="33" t="s">
        <v>18</v>
      </c>
      <c r="I302" s="169" t="s">
        <v>25</v>
      </c>
      <c r="J302" s="54">
        <v>113000000</v>
      </c>
      <c r="K302" s="86" t="s">
        <v>26</v>
      </c>
      <c r="L302" s="37">
        <v>46073</v>
      </c>
      <c r="M302" s="38" t="s">
        <v>27</v>
      </c>
      <c r="N302" s="39" t="s">
        <v>268</v>
      </c>
    </row>
    <row r="303" spans="1:14" hidden="1">
      <c r="A303" s="40" t="s">
        <v>636</v>
      </c>
      <c r="B303" s="171"/>
      <c r="C303" s="42" t="s">
        <v>637</v>
      </c>
      <c r="D303" s="145" t="s">
        <v>638</v>
      </c>
      <c r="E303" s="40" t="s">
        <v>16</v>
      </c>
      <c r="F303" s="40"/>
      <c r="G303" s="40" t="s">
        <v>43</v>
      </c>
      <c r="H303" s="40" t="s">
        <v>18</v>
      </c>
      <c r="I303" s="170" t="s">
        <v>37</v>
      </c>
      <c r="J303" s="45">
        <v>359445615</v>
      </c>
      <c r="K303" s="88" t="s">
        <v>81</v>
      </c>
      <c r="L303" s="47">
        <v>46266</v>
      </c>
      <c r="M303" s="48"/>
      <c r="N303" s="49" t="s">
        <v>639</v>
      </c>
    </row>
    <row r="304" spans="1:14" hidden="1">
      <c r="A304" s="114" t="s">
        <v>640</v>
      </c>
      <c r="B304" s="182"/>
      <c r="C304" s="126" t="s">
        <v>641</v>
      </c>
      <c r="D304" s="183" t="s">
        <v>24</v>
      </c>
      <c r="E304" s="98" t="s">
        <v>16</v>
      </c>
      <c r="F304" s="114" t="s">
        <v>120</v>
      </c>
      <c r="G304" s="98" t="s">
        <v>48</v>
      </c>
      <c r="H304" s="114" t="s">
        <v>18</v>
      </c>
      <c r="I304" s="184" t="s">
        <v>25</v>
      </c>
      <c r="J304" s="101">
        <v>76000000</v>
      </c>
      <c r="K304" s="102" t="s">
        <v>26</v>
      </c>
      <c r="L304" s="87">
        <v>46142</v>
      </c>
      <c r="M304" s="128" t="s">
        <v>27</v>
      </c>
      <c r="N304" s="126" t="s">
        <v>642</v>
      </c>
    </row>
    <row r="305" spans="1:14" hidden="1">
      <c r="A305" s="104" t="s">
        <v>55</v>
      </c>
      <c r="B305" s="41" t="s">
        <v>643</v>
      </c>
      <c r="C305" s="58" t="s">
        <v>644</v>
      </c>
      <c r="D305" s="170"/>
      <c r="E305" s="93" t="s">
        <v>16</v>
      </c>
      <c r="F305" s="40"/>
      <c r="G305" s="93" t="s">
        <v>23</v>
      </c>
      <c r="H305" s="93" t="s">
        <v>18</v>
      </c>
      <c r="I305" s="170" t="s">
        <v>49</v>
      </c>
      <c r="J305" s="106">
        <v>1619073000</v>
      </c>
      <c r="K305" s="107" t="s">
        <v>26</v>
      </c>
      <c r="L305" s="90">
        <v>46174</v>
      </c>
      <c r="M305" s="90" t="s">
        <v>27</v>
      </c>
      <c r="N305" s="49" t="s">
        <v>28</v>
      </c>
    </row>
    <row r="306" spans="1:14" hidden="1">
      <c r="A306" s="33" t="s">
        <v>55</v>
      </c>
      <c r="B306" s="67" t="s">
        <v>645</v>
      </c>
      <c r="C306" s="31" t="s">
        <v>646</v>
      </c>
      <c r="D306" s="169" t="s">
        <v>474</v>
      </c>
      <c r="E306" s="33" t="s">
        <v>16</v>
      </c>
      <c r="F306" s="33"/>
      <c r="G306" s="33" t="s">
        <v>23</v>
      </c>
      <c r="H306" s="33" t="s">
        <v>24</v>
      </c>
      <c r="I306" s="169" t="s">
        <v>49</v>
      </c>
      <c r="J306" s="54">
        <v>337898295</v>
      </c>
      <c r="K306" s="86" t="s">
        <v>26</v>
      </c>
      <c r="L306" s="37">
        <v>46176</v>
      </c>
      <c r="M306" s="38" t="s">
        <v>27</v>
      </c>
      <c r="N306" s="39" t="s">
        <v>28</v>
      </c>
    </row>
    <row r="307" spans="1:14" hidden="1">
      <c r="A307" s="40" t="s">
        <v>55</v>
      </c>
      <c r="B307" s="72" t="s">
        <v>647</v>
      </c>
      <c r="C307" s="42" t="s">
        <v>648</v>
      </c>
      <c r="D307" s="170" t="s">
        <v>474</v>
      </c>
      <c r="E307" s="40" t="s">
        <v>16</v>
      </c>
      <c r="F307" s="40"/>
      <c r="G307" s="40" t="s">
        <v>23</v>
      </c>
      <c r="H307" s="40" t="s">
        <v>24</v>
      </c>
      <c r="I307" s="170" t="s">
        <v>49</v>
      </c>
      <c r="J307" s="45">
        <v>145227600</v>
      </c>
      <c r="K307" s="88" t="s">
        <v>26</v>
      </c>
      <c r="L307" s="47">
        <v>46176</v>
      </c>
      <c r="M307" s="48" t="s">
        <v>27</v>
      </c>
      <c r="N307" s="49" t="s">
        <v>28</v>
      </c>
    </row>
    <row r="308" spans="1:14" hidden="1">
      <c r="A308" s="33" t="s">
        <v>21</v>
      </c>
      <c r="B308" s="67" t="s">
        <v>649</v>
      </c>
      <c r="C308" s="31" t="s">
        <v>650</v>
      </c>
      <c r="D308" s="169"/>
      <c r="E308" s="33" t="s">
        <v>16</v>
      </c>
      <c r="F308" s="33"/>
      <c r="G308" s="33" t="s">
        <v>23</v>
      </c>
      <c r="H308" s="33" t="s">
        <v>18</v>
      </c>
      <c r="I308" s="169" t="s">
        <v>25</v>
      </c>
      <c r="J308" s="54">
        <f>47930000+69835900</f>
        <v>117765900</v>
      </c>
      <c r="K308" s="86" t="s">
        <v>26</v>
      </c>
      <c r="L308" s="37">
        <v>46202</v>
      </c>
      <c r="M308" s="38" t="s">
        <v>27</v>
      </c>
      <c r="N308" s="39" t="s">
        <v>28</v>
      </c>
    </row>
    <row r="309" spans="1:14" hidden="1">
      <c r="A309" s="16" t="s">
        <v>21</v>
      </c>
      <c r="B309" s="171"/>
      <c r="C309" s="42" t="s">
        <v>651</v>
      </c>
      <c r="D309" s="170"/>
      <c r="E309" s="40" t="s">
        <v>16</v>
      </c>
      <c r="F309" s="40"/>
      <c r="G309" s="40" t="s">
        <v>23</v>
      </c>
      <c r="H309" s="40" t="s">
        <v>24</v>
      </c>
      <c r="I309" s="170" t="s">
        <v>25</v>
      </c>
      <c r="J309" s="45">
        <v>200687000</v>
      </c>
      <c r="K309" s="88" t="s">
        <v>26</v>
      </c>
      <c r="L309" s="47">
        <v>46113</v>
      </c>
      <c r="M309" s="48"/>
      <c r="N309" s="49"/>
    </row>
    <row r="310" spans="1:14" ht="24.75" hidden="1">
      <c r="A310" s="146" t="s">
        <v>652</v>
      </c>
      <c r="B310" s="168"/>
      <c r="C310" s="31" t="s">
        <v>653</v>
      </c>
      <c r="D310" s="169" t="s">
        <v>654</v>
      </c>
      <c r="E310" s="33" t="s">
        <v>16</v>
      </c>
      <c r="F310" s="33"/>
      <c r="G310" s="33" t="s">
        <v>48</v>
      </c>
      <c r="H310" s="33" t="s">
        <v>18</v>
      </c>
      <c r="I310" s="169" t="s">
        <v>655</v>
      </c>
      <c r="J310" s="54">
        <f>1825000000*0.8</f>
        <v>1460000000</v>
      </c>
      <c r="K310" s="86" t="s">
        <v>248</v>
      </c>
      <c r="L310" s="37">
        <v>46388</v>
      </c>
      <c r="M310" s="38"/>
      <c r="N310" s="39"/>
    </row>
    <row r="311" spans="1:14" hidden="1">
      <c r="A311" s="71" t="s">
        <v>656</v>
      </c>
      <c r="B311" s="171"/>
      <c r="C311" s="42" t="s">
        <v>18</v>
      </c>
      <c r="D311" s="170" t="s">
        <v>24</v>
      </c>
      <c r="E311" s="40" t="s">
        <v>16</v>
      </c>
      <c r="F311" s="40" t="s">
        <v>120</v>
      </c>
      <c r="G311" s="40" t="s">
        <v>96</v>
      </c>
      <c r="H311" s="40" t="s">
        <v>18</v>
      </c>
      <c r="I311" s="170" t="s">
        <v>37</v>
      </c>
      <c r="J311" s="45">
        <v>32000000</v>
      </c>
      <c r="K311" s="88" t="s">
        <v>26</v>
      </c>
      <c r="L311" s="47">
        <v>45964</v>
      </c>
      <c r="M311" s="47" t="s">
        <v>27</v>
      </c>
      <c r="N311" s="147" t="s">
        <v>97</v>
      </c>
    </row>
    <row r="312" spans="1:14" hidden="1">
      <c r="A312" s="148" t="s">
        <v>657</v>
      </c>
      <c r="B312" s="193"/>
      <c r="C312" s="149" t="s">
        <v>658</v>
      </c>
      <c r="D312" s="150" t="s">
        <v>659</v>
      </c>
      <c r="E312" s="98" t="s">
        <v>16</v>
      </c>
      <c r="F312" s="33"/>
      <c r="G312" s="98" t="s">
        <v>43</v>
      </c>
      <c r="H312" s="98" t="s">
        <v>18</v>
      </c>
      <c r="I312" s="184" t="s">
        <v>25</v>
      </c>
      <c r="J312" s="151">
        <v>300000000</v>
      </c>
      <c r="K312" s="102" t="s">
        <v>20</v>
      </c>
      <c r="L312" s="87">
        <v>46264</v>
      </c>
      <c r="M312" s="152"/>
      <c r="N312" s="98" t="s">
        <v>660</v>
      </c>
    </row>
    <row r="313" spans="1:14" hidden="1">
      <c r="A313" s="19" t="s">
        <v>661</v>
      </c>
      <c r="B313" s="171"/>
      <c r="C313" s="153" t="s">
        <v>662</v>
      </c>
      <c r="D313" s="145" t="s">
        <v>663</v>
      </c>
      <c r="E313" s="104" t="s">
        <v>16</v>
      </c>
      <c r="F313" s="40"/>
      <c r="G313" s="104" t="s">
        <v>43</v>
      </c>
      <c r="H313" s="104" t="s">
        <v>18</v>
      </c>
      <c r="I313" s="170" t="s">
        <v>25</v>
      </c>
      <c r="J313" s="154">
        <v>32000000</v>
      </c>
      <c r="K313" s="107" t="s">
        <v>81</v>
      </c>
      <c r="L313" s="90">
        <v>46235</v>
      </c>
      <c r="M313" s="155"/>
      <c r="N313" s="104" t="s">
        <v>664</v>
      </c>
    </row>
    <row r="314" spans="1:14">
      <c r="A314" s="110" t="s">
        <v>665</v>
      </c>
      <c r="B314" s="176"/>
      <c r="C314" s="50" t="s">
        <v>666</v>
      </c>
      <c r="D314" s="156" t="s">
        <v>667</v>
      </c>
      <c r="E314" s="99" t="s">
        <v>16</v>
      </c>
      <c r="F314" s="33"/>
      <c r="G314" s="99" t="s">
        <v>43</v>
      </c>
      <c r="H314" s="99" t="s">
        <v>18</v>
      </c>
      <c r="I314" s="178" t="s">
        <v>25</v>
      </c>
      <c r="J314" s="101">
        <v>1687600000</v>
      </c>
      <c r="K314" s="102" t="s">
        <v>53</v>
      </c>
      <c r="L314" s="87">
        <v>46265</v>
      </c>
      <c r="M314" s="124"/>
      <c r="N314" s="98" t="s">
        <v>668</v>
      </c>
    </row>
    <row r="315" spans="1:14" hidden="1">
      <c r="A315" s="16" t="s">
        <v>669</v>
      </c>
      <c r="B315" s="171"/>
      <c r="C315" s="42" t="s">
        <v>666</v>
      </c>
      <c r="D315" s="77" t="s">
        <v>670</v>
      </c>
      <c r="E315" s="40" t="s">
        <v>16</v>
      </c>
      <c r="F315" s="40"/>
      <c r="G315" s="40" t="s">
        <v>43</v>
      </c>
      <c r="H315" s="40" t="s">
        <v>18</v>
      </c>
      <c r="I315" s="170" t="s">
        <v>37</v>
      </c>
      <c r="J315" s="45">
        <v>2000000000</v>
      </c>
      <c r="K315" s="88" t="s">
        <v>26</v>
      </c>
      <c r="L315" s="47">
        <v>46057</v>
      </c>
      <c r="M315" s="48" t="s">
        <v>27</v>
      </c>
      <c r="N315" s="49" t="s">
        <v>268</v>
      </c>
    </row>
    <row r="316" spans="1:14" hidden="1">
      <c r="A316" s="146" t="s">
        <v>669</v>
      </c>
      <c r="B316" s="168"/>
      <c r="C316" s="31" t="s">
        <v>666</v>
      </c>
      <c r="D316" s="55" t="s">
        <v>671</v>
      </c>
      <c r="E316" s="33" t="s">
        <v>16</v>
      </c>
      <c r="F316" s="33"/>
      <c r="G316" s="33" t="s">
        <v>43</v>
      </c>
      <c r="H316" s="33" t="s">
        <v>24</v>
      </c>
      <c r="I316" s="169" t="s">
        <v>37</v>
      </c>
      <c r="J316" s="54">
        <v>1181000000</v>
      </c>
      <c r="K316" s="86" t="s">
        <v>26</v>
      </c>
      <c r="L316" s="37">
        <v>46057</v>
      </c>
      <c r="M316" s="38" t="s">
        <v>27</v>
      </c>
      <c r="N316" s="39" t="s">
        <v>268</v>
      </c>
    </row>
    <row r="317" spans="1:14" hidden="1">
      <c r="A317" s="16" t="s">
        <v>614</v>
      </c>
      <c r="B317" s="171"/>
      <c r="C317" s="42" t="s">
        <v>672</v>
      </c>
      <c r="D317" s="77" t="s">
        <v>673</v>
      </c>
      <c r="E317" s="40" t="s">
        <v>16</v>
      </c>
      <c r="F317" s="40"/>
      <c r="G317" s="40" t="s">
        <v>43</v>
      </c>
      <c r="H317" s="40" t="s">
        <v>290</v>
      </c>
      <c r="I317" s="170" t="s">
        <v>25</v>
      </c>
      <c r="J317" s="45">
        <v>986387850</v>
      </c>
      <c r="K317" s="88" t="s">
        <v>26</v>
      </c>
      <c r="L317" s="47">
        <v>46059</v>
      </c>
      <c r="M317" s="48" t="s">
        <v>27</v>
      </c>
      <c r="N317" s="49" t="s">
        <v>268</v>
      </c>
    </row>
    <row r="318" spans="1:14" hidden="1">
      <c r="A318" s="110" t="s">
        <v>674</v>
      </c>
      <c r="B318" s="176"/>
      <c r="C318" s="50" t="s">
        <v>675</v>
      </c>
      <c r="D318" s="157" t="s">
        <v>676</v>
      </c>
      <c r="E318" s="99" t="s">
        <v>16</v>
      </c>
      <c r="F318" s="33"/>
      <c r="G318" s="99" t="s">
        <v>43</v>
      </c>
      <c r="H318" s="99" t="s">
        <v>18</v>
      </c>
      <c r="I318" s="178" t="s">
        <v>37</v>
      </c>
      <c r="J318" s="101">
        <v>260005500</v>
      </c>
      <c r="K318" s="102" t="s">
        <v>26</v>
      </c>
      <c r="L318" s="87">
        <v>46085</v>
      </c>
      <c r="M318" s="38" t="s">
        <v>27</v>
      </c>
      <c r="N318" s="39" t="s">
        <v>28</v>
      </c>
    </row>
    <row r="319" spans="1:14" hidden="1">
      <c r="A319" s="20" t="s">
        <v>674</v>
      </c>
      <c r="B319" s="171"/>
      <c r="C319" s="42" t="s">
        <v>677</v>
      </c>
      <c r="D319" s="77"/>
      <c r="E319" s="40" t="s">
        <v>16</v>
      </c>
      <c r="F319" s="40"/>
      <c r="G319" s="40" t="s">
        <v>43</v>
      </c>
      <c r="H319" s="40" t="s">
        <v>24</v>
      </c>
      <c r="I319" s="170" t="s">
        <v>37</v>
      </c>
      <c r="J319" s="45">
        <v>270013800</v>
      </c>
      <c r="K319" s="88" t="s">
        <v>26</v>
      </c>
      <c r="L319" s="47">
        <v>46085</v>
      </c>
      <c r="M319" s="48" t="s">
        <v>27</v>
      </c>
      <c r="N319" s="49" t="s">
        <v>28</v>
      </c>
    </row>
    <row r="320" spans="1:14" hidden="1">
      <c r="A320" s="110" t="s">
        <v>678</v>
      </c>
      <c r="B320" s="168"/>
      <c r="C320" s="31" t="s">
        <v>679</v>
      </c>
      <c r="D320" s="169" t="s">
        <v>18</v>
      </c>
      <c r="E320" s="33" t="s">
        <v>16</v>
      </c>
      <c r="F320" s="33"/>
      <c r="G320" s="33" t="s">
        <v>117</v>
      </c>
      <c r="H320" s="33" t="s">
        <v>18</v>
      </c>
      <c r="I320" s="169" t="s">
        <v>37</v>
      </c>
      <c r="J320" s="54">
        <v>2000000000</v>
      </c>
      <c r="K320" s="86" t="s">
        <v>248</v>
      </c>
      <c r="L320" s="87">
        <v>46338</v>
      </c>
      <c r="M320" s="38"/>
      <c r="N320" s="39"/>
    </row>
    <row r="321" spans="1:14" hidden="1">
      <c r="A321" s="20" t="s">
        <v>680</v>
      </c>
      <c r="B321" s="171"/>
      <c r="C321" s="42" t="s">
        <v>681</v>
      </c>
      <c r="D321" s="170" t="s">
        <v>24</v>
      </c>
      <c r="E321" s="40" t="s">
        <v>16</v>
      </c>
      <c r="F321" s="40"/>
      <c r="G321" s="40" t="s">
        <v>117</v>
      </c>
      <c r="H321" s="40" t="s">
        <v>24</v>
      </c>
      <c r="I321" s="170" t="s">
        <v>37</v>
      </c>
      <c r="J321" s="45">
        <v>22500000</v>
      </c>
      <c r="K321" s="88" t="s">
        <v>26</v>
      </c>
      <c r="L321" s="90">
        <v>46154</v>
      </c>
      <c r="M321" s="48"/>
      <c r="N321" s="49"/>
    </row>
    <row r="322" spans="1:14" hidden="1">
      <c r="A322" s="110" t="s">
        <v>680</v>
      </c>
      <c r="B322" s="168"/>
      <c r="C322" s="31" t="s">
        <v>138</v>
      </c>
      <c r="D322" s="169" t="s">
        <v>18</v>
      </c>
      <c r="E322" s="33" t="s">
        <v>16</v>
      </c>
      <c r="F322" s="33"/>
      <c r="G322" s="33" t="s">
        <v>117</v>
      </c>
      <c r="H322" s="33" t="s">
        <v>18</v>
      </c>
      <c r="I322" s="169" t="s">
        <v>37</v>
      </c>
      <c r="J322" s="54">
        <v>701000000</v>
      </c>
      <c r="K322" s="86" t="s">
        <v>328</v>
      </c>
      <c r="L322" s="87">
        <v>46215</v>
      </c>
      <c r="M322" s="38"/>
      <c r="N322" s="39"/>
    </row>
    <row r="323" spans="1:14" hidden="1">
      <c r="A323" s="20" t="s">
        <v>115</v>
      </c>
      <c r="B323" s="171"/>
      <c r="C323" s="42" t="s">
        <v>682</v>
      </c>
      <c r="D323" s="170" t="s">
        <v>18</v>
      </c>
      <c r="E323" s="40" t="s">
        <v>16</v>
      </c>
      <c r="F323" s="40"/>
      <c r="G323" s="40" t="s">
        <v>117</v>
      </c>
      <c r="H323" s="40" t="s">
        <v>18</v>
      </c>
      <c r="I323" s="170" t="s">
        <v>37</v>
      </c>
      <c r="J323" s="45">
        <v>2750000000</v>
      </c>
      <c r="K323" s="88" t="s">
        <v>26</v>
      </c>
      <c r="L323" s="47">
        <v>46101</v>
      </c>
      <c r="M323" s="48" t="s">
        <v>27</v>
      </c>
      <c r="N323" s="49" t="s">
        <v>28</v>
      </c>
    </row>
    <row r="324" spans="1:14" hidden="1">
      <c r="A324" s="110" t="s">
        <v>683</v>
      </c>
      <c r="B324" s="168"/>
      <c r="C324" s="31" t="s">
        <v>684</v>
      </c>
      <c r="D324" s="55" t="s">
        <v>685</v>
      </c>
      <c r="E324" s="33" t="s">
        <v>16</v>
      </c>
      <c r="F324" s="33"/>
      <c r="G324" s="33" t="s">
        <v>43</v>
      </c>
      <c r="H324" s="33" t="s">
        <v>24</v>
      </c>
      <c r="I324" s="169" t="s">
        <v>37</v>
      </c>
      <c r="J324" s="54">
        <v>62800000</v>
      </c>
      <c r="K324" s="86" t="s">
        <v>26</v>
      </c>
      <c r="L324" s="37">
        <v>46108</v>
      </c>
      <c r="M324" s="38" t="s">
        <v>27</v>
      </c>
      <c r="N324" s="39" t="s">
        <v>28</v>
      </c>
    </row>
    <row r="325" spans="1:14" hidden="1">
      <c r="A325" s="20" t="s">
        <v>686</v>
      </c>
      <c r="B325" s="171"/>
      <c r="C325" s="42" t="s">
        <v>111</v>
      </c>
      <c r="D325" s="170" t="s">
        <v>687</v>
      </c>
      <c r="E325" s="40" t="s">
        <v>16</v>
      </c>
      <c r="F325" s="40"/>
      <c r="G325" s="40" t="s">
        <v>96</v>
      </c>
      <c r="H325" s="40" t="s">
        <v>24</v>
      </c>
      <c r="I325" s="170" t="s">
        <v>25</v>
      </c>
      <c r="J325" s="45">
        <v>196000000</v>
      </c>
      <c r="K325" s="88" t="s">
        <v>26</v>
      </c>
      <c r="L325" s="47">
        <v>46113</v>
      </c>
      <c r="M325" s="48"/>
      <c r="N325" s="49" t="s">
        <v>688</v>
      </c>
    </row>
    <row r="326" spans="1:14" hidden="1">
      <c r="A326" s="110" t="s">
        <v>689</v>
      </c>
      <c r="B326" s="168"/>
      <c r="C326" s="31" t="s">
        <v>690</v>
      </c>
      <c r="D326" s="81" t="s">
        <v>691</v>
      </c>
      <c r="E326" s="33" t="s">
        <v>16</v>
      </c>
      <c r="F326" s="33"/>
      <c r="G326" s="33" t="s">
        <v>43</v>
      </c>
      <c r="H326" s="33" t="s">
        <v>24</v>
      </c>
      <c r="I326" s="169" t="s">
        <v>37</v>
      </c>
      <c r="J326" s="54">
        <v>95000000</v>
      </c>
      <c r="K326" s="86" t="s">
        <v>81</v>
      </c>
      <c r="L326" s="37">
        <v>46218</v>
      </c>
      <c r="M326" s="38"/>
      <c r="N326" s="39" t="s">
        <v>692</v>
      </c>
    </row>
    <row r="327" spans="1:14" hidden="1">
      <c r="A327" s="40" t="s">
        <v>693</v>
      </c>
      <c r="B327" s="171"/>
      <c r="C327" s="42" t="s">
        <v>18</v>
      </c>
      <c r="D327" s="170" t="s">
        <v>694</v>
      </c>
      <c r="E327" s="40" t="s">
        <v>16</v>
      </c>
      <c r="F327" s="40"/>
      <c r="G327" s="40" t="s">
        <v>48</v>
      </c>
      <c r="H327" s="40" t="s">
        <v>18</v>
      </c>
      <c r="I327" s="170" t="s">
        <v>25</v>
      </c>
      <c r="J327" s="45">
        <f>747500000*0.8</f>
        <v>598000000</v>
      </c>
      <c r="K327" s="88" t="s">
        <v>20</v>
      </c>
      <c r="L327" s="47">
        <v>46174</v>
      </c>
      <c r="M327" s="48"/>
      <c r="N327" s="49"/>
    </row>
    <row r="328" spans="1:14">
      <c r="A328" s="114" t="s">
        <v>519</v>
      </c>
      <c r="B328" s="182"/>
      <c r="C328" s="126" t="s">
        <v>695</v>
      </c>
      <c r="D328" s="183" t="s">
        <v>24</v>
      </c>
      <c r="E328" s="98" t="s">
        <v>112</v>
      </c>
      <c r="F328" s="114" t="s">
        <v>42</v>
      </c>
      <c r="G328" s="98" t="s">
        <v>170</v>
      </c>
      <c r="H328" s="114" t="s">
        <v>18</v>
      </c>
      <c r="I328" s="33" t="s">
        <v>25</v>
      </c>
      <c r="J328" s="101">
        <v>1278900000</v>
      </c>
      <c r="K328" s="102" t="s">
        <v>53</v>
      </c>
      <c r="L328" s="87">
        <v>46347</v>
      </c>
      <c r="M328" s="128"/>
      <c r="N328" s="126" t="s">
        <v>696</v>
      </c>
    </row>
    <row r="329" spans="1:14" hidden="1">
      <c r="A329" s="20" t="s">
        <v>697</v>
      </c>
      <c r="B329" s="171"/>
      <c r="C329" s="42" t="s">
        <v>111</v>
      </c>
      <c r="D329" s="79" t="s">
        <v>111</v>
      </c>
      <c r="E329" s="40" t="s">
        <v>112</v>
      </c>
      <c r="F329" s="40"/>
      <c r="G329" s="40" t="s">
        <v>113</v>
      </c>
      <c r="H329" s="40" t="s">
        <v>24</v>
      </c>
      <c r="I329" s="170" t="s">
        <v>37</v>
      </c>
      <c r="J329" s="45">
        <v>57000000</v>
      </c>
      <c r="K329" s="88" t="s">
        <v>26</v>
      </c>
      <c r="L329" s="47">
        <v>46168</v>
      </c>
      <c r="M329" s="48" t="s">
        <v>27</v>
      </c>
      <c r="N329" s="49"/>
    </row>
    <row r="330" spans="1:14">
      <c r="A330" s="33" t="s">
        <v>698</v>
      </c>
      <c r="B330" s="168"/>
      <c r="C330" s="31" t="s">
        <v>699</v>
      </c>
      <c r="D330" s="169" t="s">
        <v>125</v>
      </c>
      <c r="E330" s="33" t="s">
        <v>112</v>
      </c>
      <c r="F330" s="33"/>
      <c r="G330" s="33" t="s">
        <v>170</v>
      </c>
      <c r="H330" s="33" t="s">
        <v>18</v>
      </c>
      <c r="I330" s="169" t="s">
        <v>25</v>
      </c>
      <c r="J330" s="54">
        <v>1180000000</v>
      </c>
      <c r="K330" s="86" t="s">
        <v>53</v>
      </c>
      <c r="L330" s="87">
        <v>46341</v>
      </c>
      <c r="M330" s="37"/>
      <c r="N330" s="61"/>
    </row>
    <row r="331" spans="1:14">
      <c r="A331" s="40" t="s">
        <v>700</v>
      </c>
      <c r="B331" s="171"/>
      <c r="C331" s="42" t="s">
        <v>701</v>
      </c>
      <c r="D331" s="40" t="s">
        <v>128</v>
      </c>
      <c r="E331" s="40" t="s">
        <v>112</v>
      </c>
      <c r="F331" s="40"/>
      <c r="G331" s="40" t="s">
        <v>170</v>
      </c>
      <c r="H331" s="40" t="s">
        <v>18</v>
      </c>
      <c r="I331" s="40" t="s">
        <v>37</v>
      </c>
      <c r="J331" s="45">
        <v>250000000</v>
      </c>
      <c r="K331" s="88" t="s">
        <v>53</v>
      </c>
      <c r="L331" s="90">
        <v>46321</v>
      </c>
      <c r="M331" s="47" t="s">
        <v>370</v>
      </c>
      <c r="N331" s="66"/>
    </row>
    <row r="332" spans="1:14">
      <c r="A332" s="33" t="s">
        <v>702</v>
      </c>
      <c r="B332" s="67"/>
      <c r="C332" s="31" t="s">
        <v>703</v>
      </c>
      <c r="D332" s="33" t="s">
        <v>128</v>
      </c>
      <c r="E332" s="33" t="s">
        <v>112</v>
      </c>
      <c r="F332" s="33"/>
      <c r="G332" s="33" t="s">
        <v>170</v>
      </c>
      <c r="H332" s="33" t="s">
        <v>18</v>
      </c>
      <c r="I332" s="33" t="s">
        <v>37</v>
      </c>
      <c r="J332" s="54">
        <v>278500000</v>
      </c>
      <c r="K332" s="86" t="s">
        <v>53</v>
      </c>
      <c r="L332" s="87">
        <v>46324</v>
      </c>
      <c r="M332" s="37" t="s">
        <v>370</v>
      </c>
      <c r="N332" s="61"/>
    </row>
    <row r="333" spans="1:14">
      <c r="A333" s="40" t="s">
        <v>704</v>
      </c>
      <c r="B333" s="40"/>
      <c r="C333" s="42" t="s">
        <v>705</v>
      </c>
      <c r="D333" s="40" t="s">
        <v>243</v>
      </c>
      <c r="E333" s="40" t="s">
        <v>112</v>
      </c>
      <c r="F333" s="40"/>
      <c r="G333" s="40" t="s">
        <v>170</v>
      </c>
      <c r="H333" s="40" t="s">
        <v>18</v>
      </c>
      <c r="I333" s="40" t="s">
        <v>37</v>
      </c>
      <c r="J333" s="45">
        <v>550000000</v>
      </c>
      <c r="K333" s="88" t="s">
        <v>53</v>
      </c>
      <c r="L333" s="90">
        <v>46294</v>
      </c>
      <c r="M333" s="48"/>
      <c r="N333" s="49" t="s">
        <v>706</v>
      </c>
    </row>
    <row r="334" spans="1:14">
      <c r="A334" s="33" t="s">
        <v>707</v>
      </c>
      <c r="B334" s="67"/>
      <c r="C334" s="31" t="s">
        <v>708</v>
      </c>
      <c r="D334" s="33" t="s">
        <v>128</v>
      </c>
      <c r="E334" s="33" t="s">
        <v>112</v>
      </c>
      <c r="F334" s="33"/>
      <c r="G334" s="33" t="s">
        <v>170</v>
      </c>
      <c r="H334" s="33" t="s">
        <v>18</v>
      </c>
      <c r="I334" s="33" t="s">
        <v>37</v>
      </c>
      <c r="J334" s="54">
        <v>207000000</v>
      </c>
      <c r="K334" s="86" t="s">
        <v>53</v>
      </c>
      <c r="L334" s="87">
        <v>46294</v>
      </c>
      <c r="M334" s="37"/>
      <c r="N334" s="61" t="s">
        <v>709</v>
      </c>
    </row>
    <row r="335" spans="1:14">
      <c r="A335" s="40" t="s">
        <v>239</v>
      </c>
      <c r="B335" s="72"/>
      <c r="C335" s="42" t="s">
        <v>710</v>
      </c>
      <c r="D335" s="40" t="s">
        <v>128</v>
      </c>
      <c r="E335" s="40" t="s">
        <v>112</v>
      </c>
      <c r="F335" s="40"/>
      <c r="G335" s="40" t="s">
        <v>170</v>
      </c>
      <c r="H335" s="40" t="s">
        <v>24</v>
      </c>
      <c r="I335" s="40" t="s">
        <v>37</v>
      </c>
      <c r="J335" s="45">
        <v>3000000000</v>
      </c>
      <c r="K335" s="88" t="s">
        <v>53</v>
      </c>
      <c r="L335" s="90">
        <v>46352</v>
      </c>
      <c r="M335" s="47" t="s">
        <v>27</v>
      </c>
      <c r="N335" s="66"/>
    </row>
    <row r="336" spans="1:14">
      <c r="A336" s="33" t="s">
        <v>711</v>
      </c>
      <c r="B336" s="168"/>
      <c r="C336" s="31" t="s">
        <v>408</v>
      </c>
      <c r="D336" s="33" t="s">
        <v>379</v>
      </c>
      <c r="E336" s="33" t="s">
        <v>112</v>
      </c>
      <c r="F336" s="33"/>
      <c r="G336" s="33" t="s">
        <v>170</v>
      </c>
      <c r="H336" s="33" t="s">
        <v>18</v>
      </c>
      <c r="I336" s="33" t="s">
        <v>37</v>
      </c>
      <c r="J336" s="54">
        <v>160000000</v>
      </c>
      <c r="K336" s="86" t="s">
        <v>53</v>
      </c>
      <c r="L336" s="87">
        <v>46303</v>
      </c>
      <c r="M336" s="37"/>
      <c r="N336" s="61"/>
    </row>
    <row r="337" spans="1:14">
      <c r="A337" s="40" t="s">
        <v>712</v>
      </c>
      <c r="B337" s="171"/>
      <c r="C337" s="42" t="s">
        <v>567</v>
      </c>
      <c r="D337" s="40" t="s">
        <v>128</v>
      </c>
      <c r="E337" s="40" t="s">
        <v>112</v>
      </c>
      <c r="F337" s="40"/>
      <c r="G337" s="40" t="s">
        <v>170</v>
      </c>
      <c r="H337" s="40" t="s">
        <v>18</v>
      </c>
      <c r="I337" s="40" t="s">
        <v>37</v>
      </c>
      <c r="J337" s="45">
        <v>110000000</v>
      </c>
      <c r="K337" s="88" t="s">
        <v>53</v>
      </c>
      <c r="L337" s="90">
        <v>46245</v>
      </c>
      <c r="M337" s="47" t="s">
        <v>370</v>
      </c>
      <c r="N337" s="66"/>
    </row>
    <row r="338" spans="1:14">
      <c r="A338" s="40" t="s">
        <v>713</v>
      </c>
      <c r="B338" s="171"/>
      <c r="C338" s="42" t="s">
        <v>714</v>
      </c>
      <c r="D338" s="170" t="s">
        <v>184</v>
      </c>
      <c r="E338" s="40" t="s">
        <v>112</v>
      </c>
      <c r="F338" s="40"/>
      <c r="G338" s="40" t="s">
        <v>170</v>
      </c>
      <c r="H338" s="40" t="s">
        <v>18</v>
      </c>
      <c r="I338" s="40" t="s">
        <v>37</v>
      </c>
      <c r="J338" s="45">
        <v>12200000</v>
      </c>
      <c r="K338" s="88" t="s">
        <v>53</v>
      </c>
      <c r="L338" s="90">
        <v>46214</v>
      </c>
      <c r="M338" s="47" t="s">
        <v>27</v>
      </c>
      <c r="N338" s="49"/>
    </row>
    <row r="339" spans="1:14">
      <c r="A339" s="40" t="s">
        <v>715</v>
      </c>
      <c r="B339" s="171"/>
      <c r="C339" s="42" t="s">
        <v>716</v>
      </c>
      <c r="D339" s="170" t="s">
        <v>184</v>
      </c>
      <c r="E339" s="40" t="s">
        <v>112</v>
      </c>
      <c r="F339" s="40"/>
      <c r="G339" s="40" t="s">
        <v>170</v>
      </c>
      <c r="H339" s="40" t="s">
        <v>18</v>
      </c>
      <c r="I339" s="40" t="s">
        <v>19</v>
      </c>
      <c r="J339" s="45">
        <v>450000000</v>
      </c>
      <c r="K339" s="88" t="s">
        <v>53</v>
      </c>
      <c r="L339" s="90">
        <v>46245</v>
      </c>
      <c r="M339" s="47" t="s">
        <v>27</v>
      </c>
      <c r="N339" s="49"/>
    </row>
    <row r="340" spans="1:14">
      <c r="A340" s="33" t="s">
        <v>717</v>
      </c>
      <c r="B340" s="168"/>
      <c r="C340" s="31" t="s">
        <v>567</v>
      </c>
      <c r="D340" s="33" t="s">
        <v>128</v>
      </c>
      <c r="E340" s="33" t="s">
        <v>112</v>
      </c>
      <c r="F340" s="33"/>
      <c r="G340" s="33" t="s">
        <v>170</v>
      </c>
      <c r="H340" s="33" t="s">
        <v>18</v>
      </c>
      <c r="I340" s="33" t="s">
        <v>37</v>
      </c>
      <c r="J340" s="54">
        <v>59000000</v>
      </c>
      <c r="K340" s="86" t="s">
        <v>53</v>
      </c>
      <c r="L340" s="87">
        <v>46309</v>
      </c>
      <c r="M340" s="37" t="s">
        <v>370</v>
      </c>
      <c r="N340" s="61"/>
    </row>
    <row r="341" spans="1:14">
      <c r="A341" s="40" t="s">
        <v>718</v>
      </c>
      <c r="B341" s="72"/>
      <c r="C341" s="42" t="s">
        <v>719</v>
      </c>
      <c r="D341" s="40" t="s">
        <v>227</v>
      </c>
      <c r="E341" s="40" t="s">
        <v>112</v>
      </c>
      <c r="F341" s="40"/>
      <c r="G341" s="40" t="s">
        <v>170</v>
      </c>
      <c r="H341" s="40" t="s">
        <v>18</v>
      </c>
      <c r="I341" s="40" t="s">
        <v>37</v>
      </c>
      <c r="J341" s="45">
        <v>2000000000</v>
      </c>
      <c r="K341" s="88" t="s">
        <v>53</v>
      </c>
      <c r="L341" s="90">
        <v>46310</v>
      </c>
      <c r="M341" s="47"/>
      <c r="N341" s="66"/>
    </row>
    <row r="342" spans="1:14" hidden="1">
      <c r="A342" s="110" t="s">
        <v>720</v>
      </c>
      <c r="B342" s="168"/>
      <c r="C342" s="31" t="s">
        <v>111</v>
      </c>
      <c r="D342" s="169"/>
      <c r="E342" s="33" t="s">
        <v>112</v>
      </c>
      <c r="F342" s="33"/>
      <c r="G342" s="33" t="s">
        <v>113</v>
      </c>
      <c r="H342" s="33" t="s">
        <v>24</v>
      </c>
      <c r="I342" s="169" t="s">
        <v>655</v>
      </c>
      <c r="J342" s="54">
        <v>302000000</v>
      </c>
      <c r="K342" s="86" t="s">
        <v>26</v>
      </c>
      <c r="L342" s="37">
        <v>46168</v>
      </c>
      <c r="M342" s="38"/>
      <c r="N342" s="39"/>
    </row>
    <row r="343" spans="1:14">
      <c r="A343" s="20" t="s">
        <v>721</v>
      </c>
      <c r="B343" s="171"/>
      <c r="C343" s="42" t="s">
        <v>666</v>
      </c>
      <c r="D343" s="79" t="s">
        <v>722</v>
      </c>
      <c r="E343" s="40" t="s">
        <v>16</v>
      </c>
      <c r="F343" s="40"/>
      <c r="G343" s="40" t="s">
        <v>43</v>
      </c>
      <c r="H343" s="40" t="s">
        <v>18</v>
      </c>
      <c r="I343" s="170" t="s">
        <v>37</v>
      </c>
      <c r="J343" s="45">
        <v>220000000</v>
      </c>
      <c r="K343" s="88" t="s">
        <v>53</v>
      </c>
      <c r="L343" s="47">
        <v>46274</v>
      </c>
      <c r="M343" s="48"/>
      <c r="N343" s="49" t="s">
        <v>723</v>
      </c>
    </row>
    <row r="344" spans="1:14">
      <c r="A344" s="110" t="s">
        <v>724</v>
      </c>
      <c r="B344" s="168"/>
      <c r="C344" s="31" t="s">
        <v>666</v>
      </c>
      <c r="D344" s="81" t="s">
        <v>725</v>
      </c>
      <c r="E344" s="33" t="s">
        <v>16</v>
      </c>
      <c r="F344" s="33"/>
      <c r="G344" s="33" t="s">
        <v>43</v>
      </c>
      <c r="H344" s="33" t="s">
        <v>18</v>
      </c>
      <c r="I344" s="169" t="s">
        <v>25</v>
      </c>
      <c r="J344" s="54">
        <v>1874000000</v>
      </c>
      <c r="K344" s="86" t="s">
        <v>53</v>
      </c>
      <c r="L344" s="37">
        <v>46307</v>
      </c>
      <c r="M344" s="38"/>
      <c r="N344" s="39" t="s">
        <v>726</v>
      </c>
    </row>
    <row r="345" spans="1:14">
      <c r="A345" s="20" t="s">
        <v>727</v>
      </c>
      <c r="B345" s="171"/>
      <c r="C345" s="42" t="s">
        <v>728</v>
      </c>
      <c r="D345" s="170"/>
      <c r="E345" s="40" t="s">
        <v>16</v>
      </c>
      <c r="F345" s="40"/>
      <c r="G345" s="40" t="s">
        <v>43</v>
      </c>
      <c r="H345" s="40" t="s">
        <v>24</v>
      </c>
      <c r="I345" s="170" t="s">
        <v>25</v>
      </c>
      <c r="J345" s="45">
        <v>91900000</v>
      </c>
      <c r="K345" s="88" t="s">
        <v>53</v>
      </c>
      <c r="L345" s="47">
        <v>46235</v>
      </c>
      <c r="M345" s="48"/>
      <c r="N345" s="49" t="s">
        <v>729</v>
      </c>
    </row>
    <row r="346" spans="1:14" ht="25.5" hidden="1">
      <c r="A346" s="148" t="s">
        <v>730</v>
      </c>
      <c r="B346" s="193"/>
      <c r="C346" s="149" t="s">
        <v>675</v>
      </c>
      <c r="D346" s="158" t="s">
        <v>731</v>
      </c>
      <c r="E346" s="98" t="s">
        <v>16</v>
      </c>
      <c r="F346" s="98" t="s">
        <v>42</v>
      </c>
      <c r="G346" s="98" t="s">
        <v>43</v>
      </c>
      <c r="H346" s="98" t="s">
        <v>18</v>
      </c>
      <c r="I346" s="184" t="s">
        <v>25</v>
      </c>
      <c r="J346" s="151">
        <v>241000000</v>
      </c>
      <c r="K346" s="102" t="s">
        <v>26</v>
      </c>
      <c r="L346" s="87">
        <v>46138</v>
      </c>
      <c r="M346" s="124" t="s">
        <v>27</v>
      </c>
      <c r="N346" s="98" t="s">
        <v>268</v>
      </c>
    </row>
    <row r="347" spans="1:14" hidden="1">
      <c r="A347" s="19" t="s">
        <v>732</v>
      </c>
      <c r="B347" s="171"/>
      <c r="C347" s="153" t="s">
        <v>733</v>
      </c>
      <c r="D347" s="79" t="s">
        <v>734</v>
      </c>
      <c r="E347" s="104" t="s">
        <v>16</v>
      </c>
      <c r="F347" s="40"/>
      <c r="G347" s="104" t="s">
        <v>43</v>
      </c>
      <c r="H347" s="104" t="s">
        <v>24</v>
      </c>
      <c r="I347" s="170" t="s">
        <v>37</v>
      </c>
      <c r="J347" s="154">
        <v>293800000</v>
      </c>
      <c r="K347" s="107" t="s">
        <v>20</v>
      </c>
      <c r="L347" s="90">
        <v>46265</v>
      </c>
      <c r="M347" s="96"/>
      <c r="N347" s="104" t="s">
        <v>735</v>
      </c>
    </row>
    <row r="348" spans="1:14" hidden="1">
      <c r="A348" s="148" t="s">
        <v>736</v>
      </c>
      <c r="B348" s="168"/>
      <c r="C348" s="149" t="s">
        <v>637</v>
      </c>
      <c r="D348" s="55" t="s">
        <v>737</v>
      </c>
      <c r="E348" s="98" t="s">
        <v>16</v>
      </c>
      <c r="F348" s="33" t="s">
        <v>42</v>
      </c>
      <c r="G348" s="98" t="s">
        <v>43</v>
      </c>
      <c r="H348" s="98" t="s">
        <v>24</v>
      </c>
      <c r="I348" s="169" t="s">
        <v>25</v>
      </c>
      <c r="J348" s="151">
        <v>51000000</v>
      </c>
      <c r="K348" s="102" t="s">
        <v>26</v>
      </c>
      <c r="L348" s="87">
        <v>46150</v>
      </c>
      <c r="M348" s="124" t="s">
        <v>27</v>
      </c>
      <c r="N348" s="98" t="s">
        <v>738</v>
      </c>
    </row>
    <row r="349" spans="1:14" hidden="1">
      <c r="A349" s="19" t="s">
        <v>739</v>
      </c>
      <c r="B349" s="171"/>
      <c r="C349" s="153" t="s">
        <v>740</v>
      </c>
      <c r="D349" s="77" t="s">
        <v>741</v>
      </c>
      <c r="E349" s="104" t="s">
        <v>16</v>
      </c>
      <c r="F349" s="40"/>
      <c r="G349" s="104" t="s">
        <v>43</v>
      </c>
      <c r="H349" s="104" t="s">
        <v>24</v>
      </c>
      <c r="I349" s="170" t="s">
        <v>25</v>
      </c>
      <c r="J349" s="154">
        <v>740000000</v>
      </c>
      <c r="K349" s="107" t="s">
        <v>26</v>
      </c>
      <c r="L349" s="90">
        <v>46148</v>
      </c>
      <c r="M349" s="96" t="s">
        <v>27</v>
      </c>
      <c r="N349" s="104" t="s">
        <v>742</v>
      </c>
    </row>
    <row r="350" spans="1:14" hidden="1">
      <c r="A350" s="110" t="s">
        <v>743</v>
      </c>
      <c r="B350" s="168"/>
      <c r="C350" s="31" t="s">
        <v>744</v>
      </c>
      <c r="D350" s="169" t="s">
        <v>474</v>
      </c>
      <c r="E350" s="33" t="s">
        <v>16</v>
      </c>
      <c r="F350" s="33"/>
      <c r="G350" s="33" t="s">
        <v>96</v>
      </c>
      <c r="H350" s="33" t="s">
        <v>18</v>
      </c>
      <c r="I350" s="169" t="s">
        <v>37</v>
      </c>
      <c r="J350" s="54">
        <v>110593500</v>
      </c>
      <c r="K350" s="86" t="s">
        <v>26</v>
      </c>
      <c r="L350" s="37">
        <v>46143</v>
      </c>
      <c r="M350" s="38"/>
      <c r="N350" s="39" t="s">
        <v>97</v>
      </c>
    </row>
    <row r="351" spans="1:14" hidden="1">
      <c r="A351" s="20" t="s">
        <v>745</v>
      </c>
      <c r="B351" s="171"/>
      <c r="C351" s="42" t="s">
        <v>746</v>
      </c>
      <c r="D351" s="170" t="s">
        <v>747</v>
      </c>
      <c r="E351" s="40" t="s">
        <v>16</v>
      </c>
      <c r="F351" s="40"/>
      <c r="G351" s="40" t="s">
        <v>96</v>
      </c>
      <c r="H351" s="40" t="s">
        <v>18</v>
      </c>
      <c r="I351" s="170" t="s">
        <v>25</v>
      </c>
      <c r="J351" s="45">
        <v>170000000</v>
      </c>
      <c r="K351" s="88" t="s">
        <v>20</v>
      </c>
      <c r="L351" s="47">
        <v>46113</v>
      </c>
      <c r="M351" s="48"/>
      <c r="N351" s="49" t="s">
        <v>748</v>
      </c>
    </row>
    <row r="352" spans="1:14" ht="24.75">
      <c r="A352" s="110" t="s">
        <v>749</v>
      </c>
      <c r="B352" s="168"/>
      <c r="C352" s="31" t="s">
        <v>750</v>
      </c>
      <c r="D352" s="169"/>
      <c r="E352" s="33" t="s">
        <v>16</v>
      </c>
      <c r="F352" s="33"/>
      <c r="G352" s="33" t="s">
        <v>117</v>
      </c>
      <c r="H352" s="33" t="s">
        <v>18</v>
      </c>
      <c r="I352" s="169" t="s">
        <v>37</v>
      </c>
      <c r="J352" s="54">
        <v>2400000000</v>
      </c>
      <c r="K352" s="86" t="s">
        <v>53</v>
      </c>
      <c r="L352" s="37">
        <v>46266</v>
      </c>
      <c r="M352" s="38"/>
      <c r="N352" s="39" t="s">
        <v>249</v>
      </c>
    </row>
    <row r="353" spans="1:14">
      <c r="A353" s="20" t="s">
        <v>751</v>
      </c>
      <c r="B353" s="171"/>
      <c r="C353" s="42" t="s">
        <v>752</v>
      </c>
      <c r="D353" s="170"/>
      <c r="E353" s="40" t="s">
        <v>16</v>
      </c>
      <c r="F353" s="40"/>
      <c r="G353" s="40" t="s">
        <v>117</v>
      </c>
      <c r="H353" s="40" t="s">
        <v>24</v>
      </c>
      <c r="I353" s="170" t="s">
        <v>37</v>
      </c>
      <c r="J353" s="45">
        <v>2000000000</v>
      </c>
      <c r="K353" s="88" t="s">
        <v>53</v>
      </c>
      <c r="L353" s="47">
        <v>46266</v>
      </c>
      <c r="M353" s="48"/>
      <c r="N353" s="49" t="s">
        <v>249</v>
      </c>
    </row>
    <row r="354" spans="1:14" hidden="1">
      <c r="A354" s="33" t="s">
        <v>693</v>
      </c>
      <c r="B354" s="168"/>
      <c r="C354" s="31" t="s">
        <v>24</v>
      </c>
      <c r="D354" s="169" t="s">
        <v>753</v>
      </c>
      <c r="E354" s="33" t="s">
        <v>16</v>
      </c>
      <c r="F354" s="33"/>
      <c r="G354" s="33" t="s">
        <v>48</v>
      </c>
      <c r="H354" s="33" t="s">
        <v>24</v>
      </c>
      <c r="I354" s="169" t="s">
        <v>25</v>
      </c>
      <c r="J354" s="54">
        <f>126000000*0.8</f>
        <v>100800000</v>
      </c>
      <c r="K354" s="86" t="s">
        <v>20</v>
      </c>
      <c r="L354" s="37">
        <v>46143</v>
      </c>
      <c r="M354" s="38"/>
      <c r="N354" s="39"/>
    </row>
    <row r="355" spans="1:14" hidden="1">
      <c r="A355" s="20" t="s">
        <v>754</v>
      </c>
      <c r="B355" s="171"/>
      <c r="C355" s="42" t="s">
        <v>755</v>
      </c>
      <c r="D355" s="170"/>
      <c r="E355" s="40" t="s">
        <v>16</v>
      </c>
      <c r="F355" s="40" t="s">
        <v>42</v>
      </c>
      <c r="G355" s="40" t="s">
        <v>96</v>
      </c>
      <c r="H355" s="40" t="s">
        <v>18</v>
      </c>
      <c r="I355" s="170" t="s">
        <v>19</v>
      </c>
      <c r="J355" s="45">
        <v>146000000</v>
      </c>
      <c r="K355" s="88" t="s">
        <v>26</v>
      </c>
      <c r="L355" s="47">
        <v>46143</v>
      </c>
      <c r="M355" s="48"/>
      <c r="N355" s="49" t="s">
        <v>97</v>
      </c>
    </row>
    <row r="356" spans="1:14" hidden="1">
      <c r="A356" s="110" t="s">
        <v>756</v>
      </c>
      <c r="B356" s="168"/>
      <c r="C356" s="31" t="s">
        <v>757</v>
      </c>
      <c r="D356" s="169"/>
      <c r="E356" s="33" t="s">
        <v>16</v>
      </c>
      <c r="F356" s="33"/>
      <c r="G356" s="33" t="s">
        <v>96</v>
      </c>
      <c r="H356" s="33" t="s">
        <v>18</v>
      </c>
      <c r="I356" s="169" t="s">
        <v>25</v>
      </c>
      <c r="J356" s="54">
        <v>834000000</v>
      </c>
      <c r="K356" s="86" t="s">
        <v>20</v>
      </c>
      <c r="L356" s="37">
        <v>46174</v>
      </c>
      <c r="M356" s="38"/>
      <c r="N356" s="39" t="s">
        <v>249</v>
      </c>
    </row>
    <row r="357" spans="1:14">
      <c r="A357" s="20" t="s">
        <v>758</v>
      </c>
      <c r="B357" s="171"/>
      <c r="C357" s="42" t="s">
        <v>18</v>
      </c>
      <c r="D357" s="170" t="s">
        <v>759</v>
      </c>
      <c r="E357" s="40" t="s">
        <v>16</v>
      </c>
      <c r="F357" s="40"/>
      <c r="G357" s="40" t="s">
        <v>80</v>
      </c>
      <c r="H357" s="40" t="s">
        <v>18</v>
      </c>
      <c r="I357" s="170" t="s">
        <v>37</v>
      </c>
      <c r="J357" s="45">
        <v>1300000000</v>
      </c>
      <c r="K357" s="88" t="s">
        <v>53</v>
      </c>
      <c r="L357" s="47">
        <v>46261</v>
      </c>
      <c r="M357" s="48"/>
      <c r="N357" s="49" t="s">
        <v>760</v>
      </c>
    </row>
    <row r="358" spans="1:14">
      <c r="A358" s="110" t="s">
        <v>761</v>
      </c>
      <c r="B358" s="168"/>
      <c r="C358" s="31" t="s">
        <v>18</v>
      </c>
      <c r="D358" s="169" t="s">
        <v>762</v>
      </c>
      <c r="E358" s="33" t="s">
        <v>16</v>
      </c>
      <c r="F358" s="33"/>
      <c r="G358" s="33" t="s">
        <v>80</v>
      </c>
      <c r="H358" s="33" t="s">
        <v>18</v>
      </c>
      <c r="I358" s="169" t="s">
        <v>37</v>
      </c>
      <c r="J358" s="54">
        <v>1500000000</v>
      </c>
      <c r="K358" s="86" t="s">
        <v>53</v>
      </c>
      <c r="L358" s="37">
        <v>46261</v>
      </c>
      <c r="M358" s="38"/>
      <c r="N358" s="39" t="s">
        <v>760</v>
      </c>
    </row>
    <row r="359" spans="1:14">
      <c r="A359" s="20" t="s">
        <v>763</v>
      </c>
      <c r="B359" s="171"/>
      <c r="C359" s="42" t="s">
        <v>18</v>
      </c>
      <c r="D359" s="170" t="s">
        <v>764</v>
      </c>
      <c r="E359" s="40" t="s">
        <v>16</v>
      </c>
      <c r="F359" s="40"/>
      <c r="G359" s="40" t="s">
        <v>80</v>
      </c>
      <c r="H359" s="40" t="s">
        <v>18</v>
      </c>
      <c r="I359" s="170" t="s">
        <v>37</v>
      </c>
      <c r="J359" s="45">
        <v>1200000000</v>
      </c>
      <c r="K359" s="88" t="s">
        <v>53</v>
      </c>
      <c r="L359" s="47">
        <v>46261</v>
      </c>
      <c r="M359" s="48"/>
      <c r="N359" s="49" t="s">
        <v>760</v>
      </c>
    </row>
    <row r="360" spans="1:14">
      <c r="A360" s="110" t="s">
        <v>765</v>
      </c>
      <c r="B360" s="168"/>
      <c r="C360" s="31" t="s">
        <v>18</v>
      </c>
      <c r="D360" s="169" t="s">
        <v>451</v>
      </c>
      <c r="E360" s="33" t="s">
        <v>16</v>
      </c>
      <c r="F360" s="33"/>
      <c r="G360" s="33" t="s">
        <v>80</v>
      </c>
      <c r="H360" s="33" t="s">
        <v>18</v>
      </c>
      <c r="I360" s="169" t="s">
        <v>37</v>
      </c>
      <c r="J360" s="54">
        <v>675000000</v>
      </c>
      <c r="K360" s="86" t="s">
        <v>53</v>
      </c>
      <c r="L360" s="37">
        <v>46266</v>
      </c>
      <c r="M360" s="38"/>
      <c r="N360" s="39" t="s">
        <v>760</v>
      </c>
    </row>
    <row r="361" spans="1:14" hidden="1">
      <c r="A361" s="20" t="s">
        <v>766</v>
      </c>
      <c r="B361" s="171"/>
      <c r="C361" s="42" t="s">
        <v>767</v>
      </c>
      <c r="D361" s="170" t="s">
        <v>768</v>
      </c>
      <c r="E361" s="40" t="s">
        <v>16</v>
      </c>
      <c r="F361" s="40"/>
      <c r="G361" s="40" t="s">
        <v>80</v>
      </c>
      <c r="H361" s="40" t="s">
        <v>18</v>
      </c>
      <c r="I361" s="170" t="s">
        <v>37</v>
      </c>
      <c r="J361" s="45">
        <v>5945402000</v>
      </c>
      <c r="K361" s="88" t="s">
        <v>26</v>
      </c>
      <c r="L361" s="47">
        <v>46204</v>
      </c>
      <c r="M361" s="48"/>
      <c r="N361" s="49"/>
    </row>
    <row r="362" spans="1:14" hidden="1">
      <c r="A362" s="110" t="s">
        <v>766</v>
      </c>
      <c r="B362" s="168"/>
      <c r="C362" s="57" t="s">
        <v>769</v>
      </c>
      <c r="D362" s="169"/>
      <c r="E362" s="33" t="s">
        <v>16</v>
      </c>
      <c r="F362" s="33"/>
      <c r="G362" s="33" t="s">
        <v>80</v>
      </c>
      <c r="H362" s="33" t="s">
        <v>24</v>
      </c>
      <c r="I362" s="169" t="s">
        <v>37</v>
      </c>
      <c r="J362" s="54">
        <v>200000000</v>
      </c>
      <c r="K362" s="86" t="s">
        <v>26</v>
      </c>
      <c r="L362" s="37">
        <v>46174</v>
      </c>
      <c r="M362" s="38"/>
      <c r="N362" s="39" t="s">
        <v>760</v>
      </c>
    </row>
    <row r="363" spans="1:14" ht="24.75" hidden="1">
      <c r="A363" s="20" t="s">
        <v>770</v>
      </c>
      <c r="B363" s="171"/>
      <c r="C363" s="42" t="s">
        <v>771</v>
      </c>
      <c r="D363" s="170" t="s">
        <v>474</v>
      </c>
      <c r="E363" s="40" t="s">
        <v>16</v>
      </c>
      <c r="F363" s="40"/>
      <c r="G363" s="40" t="s">
        <v>96</v>
      </c>
      <c r="H363" s="40" t="s">
        <v>18</v>
      </c>
      <c r="I363" s="170" t="s">
        <v>25</v>
      </c>
      <c r="J363" s="45">
        <v>107000000</v>
      </c>
      <c r="K363" s="88" t="s">
        <v>20</v>
      </c>
      <c r="L363" s="47">
        <v>46204</v>
      </c>
      <c r="M363" s="48"/>
      <c r="N363" s="49" t="s">
        <v>772</v>
      </c>
    </row>
    <row r="364" spans="1:14" hidden="1">
      <c r="A364" s="110" t="s">
        <v>773</v>
      </c>
      <c r="B364" s="168"/>
      <c r="C364" s="31" t="s">
        <v>774</v>
      </c>
      <c r="D364" s="55" t="s">
        <v>775</v>
      </c>
      <c r="E364" s="33" t="s">
        <v>16</v>
      </c>
      <c r="F364" s="33"/>
      <c r="G364" s="33" t="s">
        <v>43</v>
      </c>
      <c r="H364" s="33" t="s">
        <v>776</v>
      </c>
      <c r="I364" s="169" t="s">
        <v>37</v>
      </c>
      <c r="J364" s="54">
        <v>112000000</v>
      </c>
      <c r="K364" s="86" t="s">
        <v>26</v>
      </c>
      <c r="L364" s="37">
        <v>46157</v>
      </c>
      <c r="M364" s="38" t="s">
        <v>27</v>
      </c>
      <c r="N364" s="98" t="s">
        <v>777</v>
      </c>
    </row>
    <row r="365" spans="1:14" hidden="1">
      <c r="A365" s="20" t="s">
        <v>778</v>
      </c>
      <c r="B365" s="171"/>
      <c r="C365" s="42" t="s">
        <v>728</v>
      </c>
      <c r="D365" s="170" t="s">
        <v>779</v>
      </c>
      <c r="E365" s="40" t="s">
        <v>16</v>
      </c>
      <c r="F365" s="40"/>
      <c r="G365" s="40" t="s">
        <v>43</v>
      </c>
      <c r="H365" s="40" t="s">
        <v>24</v>
      </c>
      <c r="I365" s="170" t="s">
        <v>37</v>
      </c>
      <c r="J365" s="45">
        <v>121000000</v>
      </c>
      <c r="K365" s="88" t="s">
        <v>20</v>
      </c>
      <c r="L365" s="47">
        <v>46238</v>
      </c>
      <c r="M365" s="48"/>
      <c r="N365" s="104" t="s">
        <v>780</v>
      </c>
    </row>
    <row r="366" spans="1:14" hidden="1">
      <c r="A366" s="110" t="s">
        <v>781</v>
      </c>
      <c r="B366" s="168"/>
      <c r="C366" s="31" t="s">
        <v>774</v>
      </c>
      <c r="D366" s="169" t="s">
        <v>782</v>
      </c>
      <c r="E366" s="33" t="s">
        <v>16</v>
      </c>
      <c r="F366" s="33"/>
      <c r="G366" s="33" t="s">
        <v>43</v>
      </c>
      <c r="H366" s="33" t="s">
        <v>776</v>
      </c>
      <c r="I366" s="169" t="s">
        <v>25</v>
      </c>
      <c r="J366" s="54">
        <v>590000000</v>
      </c>
      <c r="K366" s="86" t="s">
        <v>26</v>
      </c>
      <c r="L366" s="37">
        <v>46233</v>
      </c>
      <c r="M366" s="38" t="s">
        <v>27</v>
      </c>
      <c r="N366" s="98" t="s">
        <v>783</v>
      </c>
    </row>
    <row r="367" spans="1:14" hidden="1">
      <c r="A367" s="20" t="s">
        <v>784</v>
      </c>
      <c r="B367" s="171"/>
      <c r="C367" s="42" t="s">
        <v>785</v>
      </c>
      <c r="D367" s="77" t="s">
        <v>694</v>
      </c>
      <c r="E367" s="40" t="s">
        <v>16</v>
      </c>
      <c r="F367" s="40" t="s">
        <v>42</v>
      </c>
      <c r="G367" s="40" t="s">
        <v>43</v>
      </c>
      <c r="H367" s="40" t="s">
        <v>24</v>
      </c>
      <c r="I367" s="170" t="s">
        <v>37</v>
      </c>
      <c r="J367" s="45">
        <v>180000000</v>
      </c>
      <c r="K367" s="88" t="s">
        <v>26</v>
      </c>
      <c r="L367" s="47">
        <v>46175</v>
      </c>
      <c r="M367" s="48" t="s">
        <v>27</v>
      </c>
      <c r="N367" s="104"/>
    </row>
    <row r="368" spans="1:14" hidden="1">
      <c r="A368" s="110" t="s">
        <v>786</v>
      </c>
      <c r="B368" s="168"/>
      <c r="C368" s="31" t="s">
        <v>787</v>
      </c>
      <c r="D368" s="169"/>
      <c r="E368" s="33" t="s">
        <v>16</v>
      </c>
      <c r="F368" s="33"/>
      <c r="G368" s="33" t="s">
        <v>43</v>
      </c>
      <c r="H368" s="33" t="s">
        <v>24</v>
      </c>
      <c r="I368" s="169" t="s">
        <v>25</v>
      </c>
      <c r="J368" s="54">
        <v>123650000</v>
      </c>
      <c r="K368" s="86" t="s">
        <v>26</v>
      </c>
      <c r="L368" s="37">
        <v>46204</v>
      </c>
      <c r="M368" s="38"/>
      <c r="N368" s="98"/>
    </row>
    <row r="369" spans="1:14" ht="24.75" hidden="1">
      <c r="A369" s="20" t="s">
        <v>160</v>
      </c>
      <c r="B369" s="171"/>
      <c r="C369" s="42" t="s">
        <v>788</v>
      </c>
      <c r="D369" s="170" t="s">
        <v>789</v>
      </c>
      <c r="E369" s="40" t="s">
        <v>16</v>
      </c>
      <c r="F369" s="40"/>
      <c r="G369" s="40" t="s">
        <v>43</v>
      </c>
      <c r="H369" s="40" t="s">
        <v>24</v>
      </c>
      <c r="I369" s="170" t="s">
        <v>25</v>
      </c>
      <c r="J369" s="45">
        <v>135000000</v>
      </c>
      <c r="K369" s="88" t="s">
        <v>26</v>
      </c>
      <c r="L369" s="47">
        <v>46234</v>
      </c>
      <c r="M369" s="48" t="s">
        <v>27</v>
      </c>
      <c r="N369" s="104" t="s">
        <v>790</v>
      </c>
    </row>
    <row r="370" spans="1:14">
      <c r="A370" s="110" t="s">
        <v>791</v>
      </c>
      <c r="B370" s="168"/>
      <c r="C370" s="31" t="s">
        <v>666</v>
      </c>
      <c r="D370" s="81" t="s">
        <v>792</v>
      </c>
      <c r="E370" s="33" t="s">
        <v>16</v>
      </c>
      <c r="F370" s="33"/>
      <c r="G370" s="33" t="s">
        <v>43</v>
      </c>
      <c r="H370" s="33" t="s">
        <v>18</v>
      </c>
      <c r="I370" s="169" t="s">
        <v>25</v>
      </c>
      <c r="J370" s="54">
        <v>2000000000</v>
      </c>
      <c r="K370" s="86" t="s">
        <v>53</v>
      </c>
      <c r="L370" s="37">
        <v>46265</v>
      </c>
      <c r="M370" s="38"/>
      <c r="N370" s="98" t="s">
        <v>793</v>
      </c>
    </row>
    <row r="371" spans="1:14">
      <c r="A371" s="20" t="s">
        <v>794</v>
      </c>
      <c r="B371" s="171"/>
      <c r="C371" s="42" t="s">
        <v>740</v>
      </c>
      <c r="D371" s="79" t="s">
        <v>795</v>
      </c>
      <c r="E371" s="40" t="s">
        <v>16</v>
      </c>
      <c r="F371" s="40"/>
      <c r="G371" s="40" t="s">
        <v>43</v>
      </c>
      <c r="H371" s="40" t="s">
        <v>18</v>
      </c>
      <c r="I371" s="170" t="s">
        <v>37</v>
      </c>
      <c r="J371" s="45">
        <v>2023000000</v>
      </c>
      <c r="K371" s="88" t="s">
        <v>53</v>
      </c>
      <c r="L371" s="47">
        <v>46279</v>
      </c>
      <c r="M371" s="48"/>
      <c r="N371" s="104" t="s">
        <v>796</v>
      </c>
    </row>
    <row r="372" spans="1:14" hidden="1">
      <c r="A372" s="110" t="s">
        <v>797</v>
      </c>
      <c r="B372" s="168"/>
      <c r="C372" s="31" t="s">
        <v>798</v>
      </c>
      <c r="D372" s="169"/>
      <c r="E372" s="33" t="s">
        <v>16</v>
      </c>
      <c r="F372" s="33"/>
      <c r="G372" s="33" t="s">
        <v>43</v>
      </c>
      <c r="H372" s="33" t="s">
        <v>24</v>
      </c>
      <c r="I372" s="169" t="s">
        <v>37</v>
      </c>
      <c r="J372" s="54">
        <v>4954600000</v>
      </c>
      <c r="K372" s="86" t="s">
        <v>26</v>
      </c>
      <c r="L372" s="37">
        <v>46192</v>
      </c>
      <c r="M372" s="38" t="s">
        <v>27</v>
      </c>
      <c r="N372" s="98" t="s">
        <v>799</v>
      </c>
    </row>
    <row r="373" spans="1:14" hidden="1">
      <c r="A373" s="20" t="s">
        <v>800</v>
      </c>
      <c r="B373" s="171"/>
      <c r="C373" s="42" t="s">
        <v>666</v>
      </c>
      <c r="D373" s="170" t="s">
        <v>801</v>
      </c>
      <c r="E373" s="40" t="s">
        <v>16</v>
      </c>
      <c r="F373" s="40"/>
      <c r="G373" s="40" t="s">
        <v>43</v>
      </c>
      <c r="H373" s="40" t="s">
        <v>18</v>
      </c>
      <c r="I373" s="170" t="s">
        <v>37</v>
      </c>
      <c r="J373" s="45">
        <v>191250000</v>
      </c>
      <c r="K373" s="88" t="s">
        <v>26</v>
      </c>
      <c r="L373" s="47">
        <v>46198</v>
      </c>
      <c r="M373" s="48" t="s">
        <v>27</v>
      </c>
      <c r="N373" s="104" t="s">
        <v>802</v>
      </c>
    </row>
    <row r="374" spans="1:14" hidden="1">
      <c r="A374" s="110" t="s">
        <v>803</v>
      </c>
      <c r="B374" s="168"/>
      <c r="C374" s="31" t="s">
        <v>675</v>
      </c>
      <c r="D374" s="169" t="s">
        <v>804</v>
      </c>
      <c r="E374" s="33" t="s">
        <v>16</v>
      </c>
      <c r="F374" s="33"/>
      <c r="G374" s="33" t="s">
        <v>43</v>
      </c>
      <c r="H374" s="33" t="s">
        <v>18</v>
      </c>
      <c r="I374" s="169" t="s">
        <v>25</v>
      </c>
      <c r="J374" s="54">
        <v>60000000</v>
      </c>
      <c r="K374" s="86" t="s">
        <v>26</v>
      </c>
      <c r="L374" s="37">
        <v>46190</v>
      </c>
      <c r="M374" s="38" t="s">
        <v>27</v>
      </c>
      <c r="N374" s="98" t="s">
        <v>805</v>
      </c>
    </row>
    <row r="375" spans="1:14" hidden="1">
      <c r="A375" s="20" t="s">
        <v>806</v>
      </c>
      <c r="B375" s="171"/>
      <c r="C375" s="42" t="s">
        <v>733</v>
      </c>
      <c r="D375" s="170" t="s">
        <v>22</v>
      </c>
      <c r="E375" s="40" t="s">
        <v>16</v>
      </c>
      <c r="F375" s="40"/>
      <c r="G375" s="40" t="s">
        <v>23</v>
      </c>
      <c r="H375" s="40" t="s">
        <v>22</v>
      </c>
      <c r="I375" s="170" t="s">
        <v>19</v>
      </c>
      <c r="J375" s="45">
        <v>267807600</v>
      </c>
      <c r="K375" s="88" t="s">
        <v>328</v>
      </c>
      <c r="L375" s="47">
        <v>46235</v>
      </c>
      <c r="M375" s="48"/>
      <c r="N375" s="28" t="s">
        <v>807</v>
      </c>
    </row>
    <row r="376" spans="1:14">
      <c r="A376" s="110" t="s">
        <v>808</v>
      </c>
      <c r="B376" s="168"/>
      <c r="C376" s="31" t="s">
        <v>809</v>
      </c>
      <c r="D376" s="169" t="s">
        <v>474</v>
      </c>
      <c r="E376" s="33" t="s">
        <v>16</v>
      </c>
      <c r="F376" s="33"/>
      <c r="G376" s="33" t="s">
        <v>96</v>
      </c>
      <c r="H376" s="33" t="s">
        <v>24</v>
      </c>
      <c r="I376" s="169" t="s">
        <v>25</v>
      </c>
      <c r="J376" s="54">
        <v>169190000</v>
      </c>
      <c r="K376" s="86" t="s">
        <v>53</v>
      </c>
      <c r="L376" s="37">
        <v>46229</v>
      </c>
      <c r="M376" s="38"/>
      <c r="N376" s="39" t="s">
        <v>810</v>
      </c>
    </row>
    <row r="377" spans="1:14" hidden="1">
      <c r="A377" s="40" t="s">
        <v>811</v>
      </c>
      <c r="B377" s="171"/>
      <c r="C377" s="42" t="s">
        <v>46</v>
      </c>
      <c r="D377" s="170" t="s">
        <v>812</v>
      </c>
      <c r="E377" s="40" t="s">
        <v>16</v>
      </c>
      <c r="F377" s="40"/>
      <c r="G377" s="40" t="s">
        <v>48</v>
      </c>
      <c r="H377" s="40" t="s">
        <v>22</v>
      </c>
      <c r="I377" s="170" t="s">
        <v>25</v>
      </c>
      <c r="J377" s="45">
        <v>25000000</v>
      </c>
      <c r="K377" s="88" t="s">
        <v>20</v>
      </c>
      <c r="L377" s="47">
        <v>46113</v>
      </c>
      <c r="M377" s="48"/>
      <c r="N377" s="49"/>
    </row>
    <row r="378" spans="1:14" ht="24.75" hidden="1">
      <c r="A378" s="33" t="s">
        <v>813</v>
      </c>
      <c r="B378" s="168"/>
      <c r="C378" s="31" t="s">
        <v>814</v>
      </c>
      <c r="D378" s="169"/>
      <c r="E378" s="33" t="s">
        <v>16</v>
      </c>
      <c r="F378" s="33"/>
      <c r="G378" s="33" t="s">
        <v>48</v>
      </c>
      <c r="H378" s="33" t="s">
        <v>24</v>
      </c>
      <c r="I378" s="169" t="s">
        <v>25</v>
      </c>
      <c r="J378" s="54">
        <v>516000000</v>
      </c>
      <c r="K378" s="86" t="s">
        <v>20</v>
      </c>
      <c r="L378" s="37">
        <v>46174</v>
      </c>
      <c r="M378" s="38"/>
      <c r="N378" s="39" t="s">
        <v>815</v>
      </c>
    </row>
    <row r="379" spans="1:14" ht="24.75" hidden="1">
      <c r="A379" s="40" t="s">
        <v>816</v>
      </c>
      <c r="B379" s="171"/>
      <c r="C379" s="42" t="s">
        <v>817</v>
      </c>
      <c r="D379" s="170" t="s">
        <v>597</v>
      </c>
      <c r="E379" s="40" t="s">
        <v>16</v>
      </c>
      <c r="F379" s="40"/>
      <c r="G379" s="40" t="s">
        <v>48</v>
      </c>
      <c r="H379" s="40" t="s">
        <v>24</v>
      </c>
      <c r="I379" s="170" t="s">
        <v>25</v>
      </c>
      <c r="J379" s="45">
        <f>156191000*0.85</f>
        <v>132762350</v>
      </c>
      <c r="K379" s="88" t="s">
        <v>20</v>
      </c>
      <c r="L379" s="47">
        <v>46143</v>
      </c>
      <c r="M379" s="48"/>
      <c r="N379" s="49"/>
    </row>
    <row r="380" spans="1:14" hidden="1">
      <c r="A380" s="146" t="s">
        <v>818</v>
      </c>
      <c r="B380" s="168"/>
      <c r="C380" s="31" t="s">
        <v>819</v>
      </c>
      <c r="D380" s="169"/>
      <c r="E380" s="33" t="s">
        <v>16</v>
      </c>
      <c r="F380" s="33"/>
      <c r="G380" s="33" t="s">
        <v>48</v>
      </c>
      <c r="H380" s="33" t="s">
        <v>24</v>
      </c>
      <c r="I380" s="169" t="s">
        <v>25</v>
      </c>
      <c r="J380" s="54">
        <f>313588000*0.8</f>
        <v>250870400</v>
      </c>
      <c r="K380" s="86" t="s">
        <v>20</v>
      </c>
      <c r="L380" s="37">
        <v>46204</v>
      </c>
      <c r="M380" s="38"/>
      <c r="N380" s="39"/>
    </row>
    <row r="381" spans="1:14">
      <c r="A381" s="16" t="s">
        <v>211</v>
      </c>
      <c r="B381" s="171"/>
      <c r="C381" s="42" t="s">
        <v>24</v>
      </c>
      <c r="D381" s="170"/>
      <c r="E381" s="40" t="s">
        <v>112</v>
      </c>
      <c r="F381" s="40"/>
      <c r="G381" s="40" t="s">
        <v>164</v>
      </c>
      <c r="H381" s="40"/>
      <c r="I381" s="170" t="s">
        <v>19</v>
      </c>
      <c r="J381" s="45">
        <v>1800000000</v>
      </c>
      <c r="K381" s="88" t="s">
        <v>53</v>
      </c>
      <c r="L381" s="47">
        <v>46294</v>
      </c>
      <c r="M381" s="48"/>
      <c r="N381" s="49"/>
    </row>
    <row r="382" spans="1:14">
      <c r="B382" s="166"/>
      <c r="C382" s="21"/>
      <c r="D382" s="166"/>
      <c r="E382" s="4"/>
      <c r="F382" s="4"/>
      <c r="G382" s="4"/>
      <c r="H382" s="4"/>
      <c r="I382" s="166"/>
      <c r="J382" s="5">
        <f>SUBTOTAL(109,Table2[Quotation])</f>
        <v>199237277635</v>
      </c>
      <c r="K382" s="6"/>
      <c r="L382" s="167"/>
      <c r="M382" s="6"/>
      <c r="N382" s="15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9D7B8691-FBF1-4043-BF9A-46E115F69166}">
          <x14:formula1>
            <xm:f>DATA!$D$2:$D$5</xm:f>
          </x14:formula1>
          <xm:sqref>F145:F155 F159:F172 F176:F323 F2:F141</xm:sqref>
        </x14:dataValidation>
        <x14:dataValidation type="list" allowBlank="1" showInputMessage="1" showErrorMessage="1" xr:uid="{1A38D7BF-1F80-4550-B7CB-A17259999432}">
          <x14:formula1>
            <xm:f>DATA!$G$2:$G$14</xm:f>
          </x14:formula1>
          <xm:sqref>F142:F144 F156:F158 F173:F175 G2:G381</xm:sqref>
        </x14:dataValidation>
        <x14:dataValidation type="list" allowBlank="1" showInputMessage="1" showErrorMessage="1" xr:uid="{315E3247-274F-410F-A177-41C0B82D0B7B}">
          <x14:formula1>
            <xm:f>DATA!$L$3:$L$19</xm:f>
          </x14:formula1>
          <xm:sqref>D116:D117 D102:D106 D62:D64 D72:D76 D55:D59</xm:sqref>
        </x14:dataValidation>
        <x14:dataValidation type="list" allowBlank="1" showInputMessage="1" showErrorMessage="1" xr:uid="{737E440C-2B41-46F7-8855-3172B7EBBDBD}">
          <x14:formula1>
            <xm:f>DATA!$F$2:$F$3</xm:f>
          </x14:formula1>
          <xm:sqref>M190:M194 M102:M106 M55:M75</xm:sqref>
        </x14:dataValidation>
        <x14:dataValidation type="list" allowBlank="1" showInputMessage="1" showErrorMessage="1" xr:uid="{B705BEF0-DE3E-4A30-8082-FF320FF0E6FE}">
          <x14:formula1>
            <xm:f>DATA!$I$2:$I$9</xm:f>
          </x14:formula1>
          <xm:sqref>K291 K102:K106 K62:K64 K2:K57</xm:sqref>
        </x14:dataValidation>
        <x14:dataValidation type="list" allowBlank="1" showInputMessage="1" showErrorMessage="1" xr:uid="{FD71FAE5-E766-448C-B8AC-DD6171EF3054}">
          <x14:formula1>
            <xm:f>DATA!$J$2:$J$6</xm:f>
          </x14:formula1>
          <xm:sqref>I2:I381</xm:sqref>
        </x14:dataValidation>
        <x14:dataValidation type="list" allowBlank="1" showInputMessage="1" showErrorMessage="1" xr:uid="{1703C1CC-0FAF-4539-9A83-D354EA449C3F}">
          <x14:formula1>
            <xm:f>DATA!$H$2:$H$9</xm:f>
          </x14:formula1>
          <xm:sqref>H2:H381</xm:sqref>
        </x14:dataValidation>
        <x14:dataValidation type="list" allowBlank="1" showInputMessage="1" showErrorMessage="1" xr:uid="{C58B992C-3C53-4D38-A0D7-7239F675749F}">
          <x14:formula1>
            <xm:f>DATA!$E$2:$E$4</xm:f>
          </x14:formula1>
          <xm:sqref>E2:E381</xm:sqref>
        </x14:dataValidation>
        <x14:dataValidation type="date" allowBlank="1" showInputMessage="1" showErrorMessage="1" xr:uid="{6A36D800-3ED7-4F09-A7ED-BD0DE33B75BE}">
          <x14:formula1>
            <xm:f>DATA!D635</xm:f>
          </x14:formula1>
          <x14:formula2>
            <xm:f>DATA!D658</xm:f>
          </x14:formula2>
          <xm:sqref>L102:L103</xm:sqref>
        </x14:dataValidation>
        <x14:dataValidation type="date" allowBlank="1" showInputMessage="1" showErrorMessage="1" xr:uid="{6A2C46EC-1117-4D30-BBAE-03391BA8F0C8}">
          <x14:formula1>
            <xm:f>DATA!D645</xm:f>
          </x14:formula1>
          <x14:formula2>
            <xm:f>DATA!D668</xm:f>
          </x14:formula2>
          <xm:sqref>L105:L106</xm:sqref>
        </x14:dataValidation>
        <x14:dataValidation type="date" allowBlank="1" showInputMessage="1" showErrorMessage="1" xr:uid="{BC2390F4-422C-46DE-8C42-FEEE78396AB6}">
          <x14:formula1>
            <xm:f>DATA!D638</xm:f>
          </x14:formula1>
          <x14:formula2>
            <xm:f>DATA!D661</xm:f>
          </x14:formula2>
          <xm:sqref>L104</xm:sqref>
        </x14:dataValidation>
        <x14:dataValidation type="date" allowBlank="1" showInputMessage="1" showErrorMessage="1" xr:uid="{F7284267-DE33-4082-9BDB-77A54484FF9E}">
          <x14:formula1>
            <xm:f>DATA!D371</xm:f>
          </x14:formula1>
          <x14:formula2>
            <xm:f>DATA!D394</xm:f>
          </x14:formula2>
          <xm:sqref>L85</xm:sqref>
        </x14:dataValidation>
        <x14:dataValidation type="date" allowBlank="1" showInputMessage="1" showErrorMessage="1" xr:uid="{8E311177-A366-416D-A4C6-47BC1EE7C5BD}">
          <x14:formula1>
            <xm:f>DATA!D231</xm:f>
          </x14:formula1>
          <x14:formula2>
            <xm:f>DATA!D254</xm:f>
          </x14:formula2>
          <xm:sqref>L58</xm:sqref>
        </x14:dataValidation>
        <x14:dataValidation type="date" allowBlank="1" showInputMessage="1" showErrorMessage="1" xr:uid="{11DC45D8-0D04-44CC-A5C6-458229EE184F}">
          <x14:formula1>
            <xm:f>DATA!D167</xm:f>
          </x14:formula1>
          <x14:formula2>
            <xm:f>DATA!D190</xm:f>
          </x14:formula2>
          <xm:sqref>L55</xm:sqref>
        </x14:dataValidation>
        <x14:dataValidation type="date" allowBlank="1" showInputMessage="1" showErrorMessage="1" xr:uid="{1C892698-B8B9-4EB4-882A-F8746AEA1D3E}">
          <x14:formula1>
            <xm:f>DATA!D158</xm:f>
          </x14:formula1>
          <x14:formula2>
            <xm:f>DATA!D181</xm:f>
          </x14:formula2>
          <xm:sqref>L56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09284-AEB2-41EB-A6AF-BEC8E721846A}">
  <dimension ref="A3:R12"/>
  <sheetViews>
    <sheetView workbookViewId="0">
      <selection activeCell="F32" sqref="F32"/>
    </sheetView>
  </sheetViews>
  <sheetFormatPr defaultRowHeight="15"/>
  <cols>
    <col min="1" max="1" width="16.75" bestFit="1" customWidth="1"/>
    <col min="2" max="2" width="16.625" bestFit="1" customWidth="1"/>
    <col min="3" max="3" width="17.75" bestFit="1" customWidth="1"/>
    <col min="4" max="4" width="16.625" bestFit="1" customWidth="1"/>
    <col min="5" max="6" width="17.75" bestFit="1" customWidth="1"/>
    <col min="7" max="7" width="16.625" bestFit="1" customWidth="1"/>
    <col min="8" max="14" width="17.75" bestFit="1" customWidth="1"/>
    <col min="15" max="17" width="16.625" bestFit="1" customWidth="1"/>
    <col min="18" max="20" width="18.75" bestFit="1" customWidth="1"/>
    <col min="21" max="21" width="15" bestFit="1" customWidth="1"/>
    <col min="22" max="26" width="16.625" bestFit="1" customWidth="1"/>
    <col min="27" max="27" width="14" bestFit="1" customWidth="1"/>
    <col min="28" max="28" width="15" bestFit="1" customWidth="1"/>
    <col min="29" max="30" width="14" bestFit="1" customWidth="1"/>
    <col min="31" max="31" width="16.625" bestFit="1" customWidth="1"/>
    <col min="32" max="32" width="15" bestFit="1" customWidth="1"/>
    <col min="33" max="33" width="14" bestFit="1" customWidth="1"/>
    <col min="34" max="34" width="16.625" bestFit="1" customWidth="1"/>
    <col min="35" max="35" width="15" bestFit="1" customWidth="1"/>
    <col min="36" max="37" width="16.625" bestFit="1" customWidth="1"/>
    <col min="38" max="38" width="14" bestFit="1" customWidth="1"/>
    <col min="39" max="39" width="15" bestFit="1" customWidth="1"/>
    <col min="40" max="40" width="16.625" bestFit="1" customWidth="1"/>
    <col min="41" max="43" width="15" bestFit="1" customWidth="1"/>
    <col min="44" max="45" width="16.625" bestFit="1" customWidth="1"/>
    <col min="46" max="46" width="14" bestFit="1" customWidth="1"/>
    <col min="47" max="47" width="15" bestFit="1" customWidth="1"/>
    <col min="48" max="50" width="16.625" bestFit="1" customWidth="1"/>
    <col min="51" max="53" width="15" bestFit="1" customWidth="1"/>
    <col min="54" max="55" width="16.625" bestFit="1" customWidth="1"/>
    <col min="56" max="56" width="15" bestFit="1" customWidth="1"/>
    <col min="57" max="58" width="14" bestFit="1" customWidth="1"/>
    <col min="59" max="59" width="16.625" bestFit="1" customWidth="1"/>
    <col min="60" max="62" width="15" bestFit="1" customWidth="1"/>
    <col min="63" max="63" width="16.625" bestFit="1" customWidth="1"/>
    <col min="64" max="64" width="15" bestFit="1" customWidth="1"/>
    <col min="65" max="65" width="14" bestFit="1" customWidth="1"/>
    <col min="66" max="68" width="15" bestFit="1" customWidth="1"/>
    <col min="69" max="70" width="16.625" bestFit="1" customWidth="1"/>
    <col min="71" max="72" width="15" bestFit="1" customWidth="1"/>
    <col min="73" max="73" width="12.875" bestFit="1" customWidth="1"/>
    <col min="74" max="74" width="15" bestFit="1" customWidth="1"/>
    <col min="75" max="75" width="14" bestFit="1" customWidth="1"/>
    <col min="76" max="77" width="16.625" bestFit="1" customWidth="1"/>
    <col min="78" max="79" width="15" bestFit="1" customWidth="1"/>
    <col min="80" max="82" width="14" bestFit="1" customWidth="1"/>
    <col min="83" max="83" width="16.625" bestFit="1" customWidth="1"/>
    <col min="84" max="84" width="15" bestFit="1" customWidth="1"/>
    <col min="85" max="85" width="16.625" bestFit="1" customWidth="1"/>
    <col min="86" max="86" width="15" bestFit="1" customWidth="1"/>
    <col min="87" max="87" width="16.625" bestFit="1" customWidth="1"/>
    <col min="88" max="88" width="15" bestFit="1" customWidth="1"/>
    <col min="89" max="89" width="16.625" bestFit="1" customWidth="1"/>
    <col min="90" max="90" width="17.75" bestFit="1" customWidth="1"/>
    <col min="91" max="91" width="15" bestFit="1" customWidth="1"/>
    <col min="92" max="92" width="16.625" bestFit="1" customWidth="1"/>
    <col min="93" max="95" width="15" bestFit="1" customWidth="1"/>
    <col min="96" max="96" width="14" bestFit="1" customWidth="1"/>
    <col min="97" max="99" width="15" bestFit="1" customWidth="1"/>
    <col min="100" max="100" width="16.625" bestFit="1" customWidth="1"/>
    <col min="101" max="101" width="17.75" bestFit="1" customWidth="1"/>
    <col min="102" max="102" width="16.625" bestFit="1" customWidth="1"/>
    <col min="103" max="103" width="15" bestFit="1" customWidth="1"/>
    <col min="104" max="104" width="16.625" bestFit="1" customWidth="1"/>
    <col min="105" max="105" width="15" bestFit="1" customWidth="1"/>
    <col min="106" max="106" width="14" bestFit="1" customWidth="1"/>
    <col min="107" max="108" width="16.625" bestFit="1" customWidth="1"/>
    <col min="109" max="109" width="15" bestFit="1" customWidth="1"/>
    <col min="110" max="110" width="12.875" bestFit="1" customWidth="1"/>
    <col min="111" max="111" width="16.625" bestFit="1" customWidth="1"/>
    <col min="112" max="113" width="15" bestFit="1" customWidth="1"/>
    <col min="114" max="114" width="16.625" bestFit="1" customWidth="1"/>
    <col min="115" max="115" width="15" bestFit="1" customWidth="1"/>
    <col min="116" max="116" width="17.75" bestFit="1" customWidth="1"/>
    <col min="117" max="117" width="16.625" bestFit="1" customWidth="1"/>
    <col min="118" max="118" width="15" bestFit="1" customWidth="1"/>
    <col min="119" max="119" width="16.625" bestFit="1" customWidth="1"/>
    <col min="120" max="120" width="17.75" bestFit="1" customWidth="1"/>
    <col min="121" max="121" width="16.625" bestFit="1" customWidth="1"/>
    <col min="122" max="122" width="15" bestFit="1" customWidth="1"/>
    <col min="123" max="123" width="16.625" bestFit="1" customWidth="1"/>
    <col min="124" max="127" width="15" bestFit="1" customWidth="1"/>
    <col min="128" max="130" width="16.625" bestFit="1" customWidth="1"/>
    <col min="131" max="131" width="17.75" bestFit="1" customWidth="1"/>
    <col min="132" max="132" width="16.625" bestFit="1" customWidth="1"/>
    <col min="133" max="133" width="15" bestFit="1" customWidth="1"/>
    <col min="134" max="134" width="16.625" bestFit="1" customWidth="1"/>
    <col min="135" max="135" width="14" bestFit="1" customWidth="1"/>
    <col min="136" max="138" width="16.625" bestFit="1" customWidth="1"/>
    <col min="139" max="139" width="17.75" bestFit="1" customWidth="1"/>
    <col min="140" max="140" width="15" bestFit="1" customWidth="1"/>
    <col min="141" max="141" width="17.75" bestFit="1" customWidth="1"/>
    <col min="142" max="142" width="15" bestFit="1" customWidth="1"/>
    <col min="143" max="143" width="16.625" bestFit="1" customWidth="1"/>
    <col min="144" max="144" width="17.75" bestFit="1" customWidth="1"/>
    <col min="145" max="145" width="16.625" bestFit="1" customWidth="1"/>
    <col min="146" max="146" width="17.75" bestFit="1" customWidth="1"/>
    <col min="147" max="151" width="16.625" bestFit="1" customWidth="1"/>
    <col min="152" max="152" width="15" bestFit="1" customWidth="1"/>
    <col min="153" max="154" width="16.625" bestFit="1" customWidth="1"/>
    <col min="155" max="158" width="15" bestFit="1" customWidth="1"/>
    <col min="159" max="162" width="16.625" bestFit="1" customWidth="1"/>
    <col min="163" max="163" width="18.75" bestFit="1" customWidth="1"/>
  </cols>
  <sheetData>
    <row r="3" spans="1:18">
      <c r="A3" s="13" t="s">
        <v>820</v>
      </c>
      <c r="B3" s="13" t="s">
        <v>821</v>
      </c>
    </row>
    <row r="4" spans="1:18">
      <c r="B4" t="s">
        <v>822</v>
      </c>
      <c r="D4" t="s">
        <v>823</v>
      </c>
      <c r="P4" t="s">
        <v>824</v>
      </c>
      <c r="R4" t="s">
        <v>825</v>
      </c>
    </row>
    <row r="5" spans="1:18">
      <c r="B5" t="s">
        <v>826</v>
      </c>
      <c r="C5" t="s">
        <v>827</v>
      </c>
      <c r="D5" t="s">
        <v>828</v>
      </c>
      <c r="E5" t="s">
        <v>829</v>
      </c>
      <c r="F5" t="s">
        <v>830</v>
      </c>
      <c r="G5" t="s">
        <v>831</v>
      </c>
      <c r="H5" t="s">
        <v>832</v>
      </c>
      <c r="I5" t="s">
        <v>833</v>
      </c>
      <c r="J5" t="s">
        <v>834</v>
      </c>
      <c r="K5" t="s">
        <v>835</v>
      </c>
      <c r="L5" t="s">
        <v>836</v>
      </c>
      <c r="M5" t="s">
        <v>837</v>
      </c>
      <c r="N5" t="s">
        <v>826</v>
      </c>
      <c r="O5" t="s">
        <v>827</v>
      </c>
      <c r="P5" t="s">
        <v>828</v>
      </c>
      <c r="Q5" t="s">
        <v>830</v>
      </c>
    </row>
    <row r="6" spans="1:18">
      <c r="A6" s="13" t="s">
        <v>838</v>
      </c>
    </row>
    <row r="7" spans="1:18">
      <c r="A7" s="14" t="s">
        <v>26</v>
      </c>
      <c r="B7" s="163">
        <v>9692350000</v>
      </c>
      <c r="C7" s="163">
        <v>22752192249.5</v>
      </c>
      <c r="D7" s="163">
        <v>6997864600</v>
      </c>
      <c r="E7" s="163">
        <v>14963483213</v>
      </c>
      <c r="F7" s="163">
        <v>11931771561</v>
      </c>
      <c r="G7" s="163">
        <v>7489333766</v>
      </c>
      <c r="H7" s="163">
        <v>11786233490</v>
      </c>
      <c r="I7" s="163">
        <v>13823447995</v>
      </c>
      <c r="J7" s="163">
        <v>11729753229</v>
      </c>
      <c r="K7" s="163">
        <v>1000000000</v>
      </c>
      <c r="L7" s="163">
        <v>212550000</v>
      </c>
      <c r="M7" s="163"/>
      <c r="N7" s="163"/>
      <c r="O7" s="163"/>
      <c r="P7" s="163"/>
      <c r="Q7" s="163"/>
      <c r="R7" s="163">
        <v>112378980103.5</v>
      </c>
    </row>
    <row r="8" spans="1:18">
      <c r="A8" s="14" t="s">
        <v>328</v>
      </c>
      <c r="B8" s="163"/>
      <c r="C8" s="163"/>
      <c r="D8" s="163"/>
      <c r="E8" s="163"/>
      <c r="F8" s="163"/>
      <c r="G8" s="163"/>
      <c r="H8" s="163"/>
      <c r="I8" s="163"/>
      <c r="J8" s="163">
        <v>1997249700</v>
      </c>
      <c r="K8" s="163">
        <v>267807600</v>
      </c>
      <c r="L8" s="163"/>
      <c r="M8" s="163"/>
      <c r="N8" s="163"/>
      <c r="O8" s="163"/>
      <c r="P8" s="163"/>
      <c r="Q8" s="163"/>
      <c r="R8" s="163">
        <v>2265057300</v>
      </c>
    </row>
    <row r="9" spans="1:18">
      <c r="A9" s="14" t="s">
        <v>143</v>
      </c>
      <c r="B9" s="163"/>
      <c r="C9" s="163"/>
      <c r="D9" s="163"/>
      <c r="E9" s="163"/>
      <c r="F9" s="163"/>
      <c r="G9" s="163"/>
      <c r="H9" s="163"/>
      <c r="I9" s="163"/>
      <c r="J9" s="163">
        <v>6000000000</v>
      </c>
      <c r="K9" s="163">
        <v>695653000</v>
      </c>
      <c r="L9" s="163"/>
      <c r="M9" s="163"/>
      <c r="N9" s="163">
        <v>1385000000</v>
      </c>
      <c r="O9" s="163"/>
      <c r="P9" s="163"/>
      <c r="Q9" s="163"/>
      <c r="R9" s="163">
        <v>8080653000</v>
      </c>
    </row>
    <row r="10" spans="1:18">
      <c r="A10" s="14" t="s">
        <v>248</v>
      </c>
      <c r="B10" s="163"/>
      <c r="C10" s="163"/>
      <c r="D10" s="163"/>
      <c r="E10" s="163"/>
      <c r="F10" s="163"/>
      <c r="G10" s="163"/>
      <c r="H10" s="163"/>
      <c r="I10" s="163"/>
      <c r="J10" s="163">
        <v>1971000000</v>
      </c>
      <c r="K10" s="163"/>
      <c r="L10" s="163">
        <v>8306614000</v>
      </c>
      <c r="M10" s="163"/>
      <c r="N10" s="163">
        <v>2000000000</v>
      </c>
      <c r="O10" s="163"/>
      <c r="P10" s="163">
        <v>1460000000</v>
      </c>
      <c r="Q10" s="163"/>
      <c r="R10" s="163">
        <v>13737614000</v>
      </c>
    </row>
    <row r="11" spans="1:18">
      <c r="A11" s="14" t="s">
        <v>53</v>
      </c>
      <c r="B11" s="163"/>
      <c r="C11" s="163"/>
      <c r="D11" s="163"/>
      <c r="E11" s="163"/>
      <c r="F11" s="163"/>
      <c r="G11" s="163"/>
      <c r="H11" s="163"/>
      <c r="I11" s="163"/>
      <c r="J11" s="163">
        <v>22196016130</v>
      </c>
      <c r="K11" s="163">
        <v>36692918645</v>
      </c>
      <c r="L11" s="163">
        <v>42239627180</v>
      </c>
      <c r="M11" s="163">
        <v>43465682980</v>
      </c>
      <c r="N11" s="163">
        <v>45001352700</v>
      </c>
      <c r="O11" s="163">
        <v>5130480000</v>
      </c>
      <c r="P11" s="163">
        <v>3000000000</v>
      </c>
      <c r="Q11" s="163">
        <v>1049000000</v>
      </c>
      <c r="R11" s="163">
        <v>198775077635</v>
      </c>
    </row>
    <row r="12" spans="1:18">
      <c r="A12" s="14" t="s">
        <v>825</v>
      </c>
      <c r="B12" s="163">
        <v>9692350000</v>
      </c>
      <c r="C12" s="163">
        <v>22752192249.5</v>
      </c>
      <c r="D12" s="163">
        <v>6997864600</v>
      </c>
      <c r="E12" s="163">
        <v>14963483213</v>
      </c>
      <c r="F12" s="163">
        <v>11931771561</v>
      </c>
      <c r="G12" s="163">
        <v>7489333766</v>
      </c>
      <c r="H12" s="163">
        <v>11786233490</v>
      </c>
      <c r="I12" s="163">
        <v>13823447995</v>
      </c>
      <c r="J12" s="163">
        <v>43894019059</v>
      </c>
      <c r="K12" s="163">
        <v>38656379245</v>
      </c>
      <c r="L12" s="163">
        <v>50758791180</v>
      </c>
      <c r="M12" s="163">
        <v>43465682980</v>
      </c>
      <c r="N12" s="163">
        <v>48386352700</v>
      </c>
      <c r="O12" s="163">
        <v>5130480000</v>
      </c>
      <c r="P12" s="163">
        <v>4460000000</v>
      </c>
      <c r="Q12" s="163">
        <v>1049000000</v>
      </c>
      <c r="R12" s="163">
        <v>335237382038.5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00DB-91FC-4643-873D-163BA7DBA240}">
  <dimension ref="A1:F54"/>
  <sheetViews>
    <sheetView workbookViewId="0">
      <selection activeCell="A2" sqref="A2"/>
    </sheetView>
  </sheetViews>
  <sheetFormatPr defaultRowHeight="15"/>
  <cols>
    <col min="1" max="1" width="53" bestFit="1" customWidth="1"/>
    <col min="2" max="2" width="15.875" bestFit="1" customWidth="1"/>
    <col min="3" max="3" width="16.25" bestFit="1" customWidth="1"/>
    <col min="4" max="5" width="15.25" bestFit="1" customWidth="1"/>
    <col min="6" max="6" width="16.25" bestFit="1" customWidth="1"/>
    <col min="7" max="7" width="15.25" bestFit="1" customWidth="1"/>
    <col min="8" max="8" width="16.25" bestFit="1" customWidth="1"/>
    <col min="9" max="9" width="15.25" bestFit="1" customWidth="1"/>
    <col min="10" max="10" width="16.25" bestFit="1" customWidth="1"/>
    <col min="11" max="12" width="15.25" bestFit="1" customWidth="1"/>
    <col min="13" max="13" width="17.25" bestFit="1" customWidth="1"/>
    <col min="14" max="17" width="7" bestFit="1" customWidth="1"/>
    <col min="18" max="25" width="6.625" bestFit="1" customWidth="1"/>
    <col min="26" max="35" width="7" bestFit="1" customWidth="1"/>
    <col min="36" max="43" width="7.25" bestFit="1" customWidth="1"/>
    <col min="44" max="51" width="6.875" bestFit="1" customWidth="1"/>
    <col min="52" max="66" width="7.625" bestFit="1" customWidth="1"/>
    <col min="67" max="79" width="6.75" bestFit="1" customWidth="1"/>
    <col min="80" max="93" width="6.125" bestFit="1" customWidth="1"/>
    <col min="94" max="109" width="7.125" bestFit="1" customWidth="1"/>
    <col min="110" max="122" width="7" bestFit="1" customWidth="1"/>
    <col min="123" max="132" width="6.75" bestFit="1" customWidth="1"/>
    <col min="133" max="142" width="7.25" bestFit="1" customWidth="1"/>
    <col min="143" max="149" width="7" bestFit="1" customWidth="1"/>
    <col min="150" max="151" width="6.625" bestFit="1" customWidth="1"/>
    <col min="152" max="152" width="7.25" bestFit="1" customWidth="1"/>
    <col min="153" max="153" width="11.25" bestFit="1" customWidth="1"/>
  </cols>
  <sheetData>
    <row r="1" spans="1:6">
      <c r="A1" s="13" t="s">
        <v>12</v>
      </c>
      <c r="B1" t="s">
        <v>27</v>
      </c>
    </row>
    <row r="2" spans="1:6">
      <c r="A2" s="13" t="s">
        <v>10</v>
      </c>
      <c r="B2" t="s">
        <v>839</v>
      </c>
    </row>
    <row r="4" spans="1:6">
      <c r="A4" s="13" t="s">
        <v>820</v>
      </c>
      <c r="B4" s="13" t="s">
        <v>821</v>
      </c>
    </row>
    <row r="5" spans="1:6">
      <c r="B5" t="s">
        <v>823</v>
      </c>
      <c r="F5" t="s">
        <v>825</v>
      </c>
    </row>
    <row r="6" spans="1:6">
      <c r="B6" t="s">
        <v>834</v>
      </c>
      <c r="C6" t="s">
        <v>835</v>
      </c>
      <c r="D6" t="s">
        <v>836</v>
      </c>
      <c r="E6" t="s">
        <v>837</v>
      </c>
    </row>
    <row r="7" spans="1:6">
      <c r="A7" s="13" t="s">
        <v>838</v>
      </c>
    </row>
    <row r="8" spans="1:6">
      <c r="A8" s="14" t="s">
        <v>112</v>
      </c>
      <c r="B8" s="163">
        <v>2195000000</v>
      </c>
      <c r="C8" s="163">
        <v>13600000000</v>
      </c>
      <c r="D8" s="163">
        <v>3100000000</v>
      </c>
      <c r="E8" s="163">
        <v>8000000000</v>
      </c>
      <c r="F8" s="163">
        <v>26895000000</v>
      </c>
    </row>
    <row r="9" spans="1:6">
      <c r="A9" s="24" t="s">
        <v>170</v>
      </c>
      <c r="B9" s="163"/>
      <c r="C9" s="163">
        <v>6800000000</v>
      </c>
      <c r="D9" s="163">
        <v>1700000000</v>
      </c>
      <c r="E9" s="163">
        <v>3000000000</v>
      </c>
      <c r="F9" s="163">
        <v>11500000000</v>
      </c>
    </row>
    <row r="10" spans="1:6">
      <c r="A10" s="25" t="s">
        <v>24</v>
      </c>
      <c r="B10" s="163"/>
      <c r="C10" s="163"/>
      <c r="D10" s="163"/>
      <c r="E10" s="163">
        <v>3000000000</v>
      </c>
      <c r="F10" s="163">
        <v>3000000000</v>
      </c>
    </row>
    <row r="11" spans="1:6">
      <c r="A11" s="26" t="s">
        <v>239</v>
      </c>
      <c r="B11" s="163"/>
      <c r="C11" s="163"/>
      <c r="D11" s="163"/>
      <c r="E11" s="163">
        <v>3000000000</v>
      </c>
      <c r="F11" s="163">
        <v>3000000000</v>
      </c>
    </row>
    <row r="12" spans="1:6">
      <c r="A12" s="27" t="s">
        <v>710</v>
      </c>
      <c r="B12" s="163"/>
      <c r="C12" s="163"/>
      <c r="D12" s="163"/>
      <c r="E12" s="163">
        <v>3000000000</v>
      </c>
      <c r="F12" s="163">
        <v>3000000000</v>
      </c>
    </row>
    <row r="13" spans="1:6">
      <c r="A13" s="25" t="s">
        <v>18</v>
      </c>
      <c r="B13" s="163"/>
      <c r="C13" s="163">
        <v>6800000000</v>
      </c>
      <c r="D13" s="163">
        <v>1700000000</v>
      </c>
      <c r="E13" s="163"/>
      <c r="F13" s="163">
        <v>8500000000</v>
      </c>
    </row>
    <row r="14" spans="1:6">
      <c r="A14" s="26" t="s">
        <v>433</v>
      </c>
      <c r="B14" s="163"/>
      <c r="C14" s="163"/>
      <c r="D14" s="163">
        <v>1700000000</v>
      </c>
      <c r="E14" s="163"/>
      <c r="F14" s="163">
        <v>1700000000</v>
      </c>
    </row>
    <row r="15" spans="1:6">
      <c r="A15" s="27" t="s">
        <v>434</v>
      </c>
      <c r="B15" s="163"/>
      <c r="C15" s="163"/>
      <c r="D15" s="163">
        <v>1700000000</v>
      </c>
      <c r="E15" s="163"/>
      <c r="F15" s="163">
        <v>1700000000</v>
      </c>
    </row>
    <row r="16" spans="1:6">
      <c r="A16" s="26" t="s">
        <v>444</v>
      </c>
      <c r="B16" s="163"/>
      <c r="C16" s="163">
        <v>6800000000</v>
      </c>
      <c r="D16" s="163"/>
      <c r="E16" s="163"/>
      <c r="F16" s="163">
        <v>6800000000</v>
      </c>
    </row>
    <row r="17" spans="1:6">
      <c r="A17" s="27" t="s">
        <v>445</v>
      </c>
      <c r="B17" s="163"/>
      <c r="C17" s="163">
        <v>6800000000</v>
      </c>
      <c r="D17" s="163"/>
      <c r="E17" s="163"/>
      <c r="F17" s="163">
        <v>6800000000</v>
      </c>
    </row>
    <row r="18" spans="1:6">
      <c r="A18" s="24" t="s">
        <v>113</v>
      </c>
      <c r="B18" s="163">
        <v>1560000000</v>
      </c>
      <c r="C18" s="163">
        <v>5850000000</v>
      </c>
      <c r="D18" s="163"/>
      <c r="E18" s="163"/>
      <c r="F18" s="163">
        <v>7410000000</v>
      </c>
    </row>
    <row r="19" spans="1:6">
      <c r="A19" s="25" t="s">
        <v>24</v>
      </c>
      <c r="B19" s="163"/>
      <c r="C19" s="163">
        <v>1200000000</v>
      </c>
      <c r="D19" s="163"/>
      <c r="E19" s="163"/>
      <c r="F19" s="163">
        <v>1200000000</v>
      </c>
    </row>
    <row r="20" spans="1:6">
      <c r="A20" s="26" t="s">
        <v>431</v>
      </c>
      <c r="B20" s="163"/>
      <c r="C20" s="163">
        <v>1200000000</v>
      </c>
      <c r="D20" s="163"/>
      <c r="E20" s="163"/>
      <c r="F20" s="163">
        <v>1200000000</v>
      </c>
    </row>
    <row r="21" spans="1:6">
      <c r="A21" s="27" t="s">
        <v>111</v>
      </c>
      <c r="B21" s="163"/>
      <c r="C21" s="163">
        <v>1200000000</v>
      </c>
      <c r="D21" s="163"/>
      <c r="E21" s="163"/>
      <c r="F21" s="163">
        <v>1200000000</v>
      </c>
    </row>
    <row r="22" spans="1:6">
      <c r="A22" s="25" t="s">
        <v>18</v>
      </c>
      <c r="B22" s="163">
        <v>1560000000</v>
      </c>
      <c r="C22" s="163">
        <v>4650000000</v>
      </c>
      <c r="D22" s="163"/>
      <c r="E22" s="163"/>
      <c r="F22" s="163">
        <v>6210000000</v>
      </c>
    </row>
    <row r="23" spans="1:6">
      <c r="A23" s="26" t="s">
        <v>279</v>
      </c>
      <c r="B23" s="163">
        <v>1500000000</v>
      </c>
      <c r="C23" s="163"/>
      <c r="D23" s="163"/>
      <c r="E23" s="163"/>
      <c r="F23" s="163">
        <v>1500000000</v>
      </c>
    </row>
    <row r="24" spans="1:6">
      <c r="A24" s="27" t="s">
        <v>18</v>
      </c>
      <c r="B24" s="163">
        <v>1500000000</v>
      </c>
      <c r="C24" s="163"/>
      <c r="D24" s="163"/>
      <c r="E24" s="163"/>
      <c r="F24" s="163">
        <v>1500000000</v>
      </c>
    </row>
    <row r="25" spans="1:6">
      <c r="A25" s="26" t="s">
        <v>282</v>
      </c>
      <c r="B25" s="163"/>
      <c r="C25" s="163">
        <v>4650000000</v>
      </c>
      <c r="D25" s="163"/>
      <c r="E25" s="163"/>
      <c r="F25" s="163">
        <v>4650000000</v>
      </c>
    </row>
    <row r="26" spans="1:6">
      <c r="A26" s="27" t="s">
        <v>18</v>
      </c>
      <c r="B26" s="163"/>
      <c r="C26" s="163">
        <v>4650000000</v>
      </c>
      <c r="D26" s="163"/>
      <c r="E26" s="163"/>
      <c r="F26" s="163">
        <v>4650000000</v>
      </c>
    </row>
    <row r="27" spans="1:6">
      <c r="A27" s="26" t="s">
        <v>430</v>
      </c>
      <c r="B27" s="163">
        <v>60000000</v>
      </c>
      <c r="C27" s="163"/>
      <c r="D27" s="163"/>
      <c r="E27" s="163"/>
      <c r="F27" s="163">
        <v>60000000</v>
      </c>
    </row>
    <row r="28" spans="1:6">
      <c r="A28" s="27" t="s">
        <v>18</v>
      </c>
      <c r="B28" s="163">
        <v>60000000</v>
      </c>
      <c r="C28" s="163"/>
      <c r="D28" s="163"/>
      <c r="E28" s="163"/>
      <c r="F28" s="163">
        <v>60000000</v>
      </c>
    </row>
    <row r="29" spans="1:6">
      <c r="A29" s="24" t="s">
        <v>164</v>
      </c>
      <c r="B29" s="163">
        <v>635000000</v>
      </c>
      <c r="C29" s="163">
        <v>950000000</v>
      </c>
      <c r="D29" s="163">
        <v>1400000000</v>
      </c>
      <c r="E29" s="163">
        <v>5000000000</v>
      </c>
      <c r="F29" s="163">
        <v>7985000000</v>
      </c>
    </row>
    <row r="30" spans="1:6">
      <c r="A30" s="25" t="s">
        <v>24</v>
      </c>
      <c r="B30" s="163">
        <v>635000000</v>
      </c>
      <c r="C30" s="163"/>
      <c r="D30" s="163"/>
      <c r="E30" s="163"/>
      <c r="F30" s="163">
        <v>635000000</v>
      </c>
    </row>
    <row r="31" spans="1:6">
      <c r="A31" s="26" t="s">
        <v>212</v>
      </c>
      <c r="B31" s="163">
        <v>635000000</v>
      </c>
      <c r="C31" s="163"/>
      <c r="D31" s="163"/>
      <c r="E31" s="163"/>
      <c r="F31" s="163">
        <v>635000000</v>
      </c>
    </row>
    <row r="32" spans="1:6">
      <c r="A32" s="27" t="s">
        <v>24</v>
      </c>
      <c r="B32" s="163">
        <v>635000000</v>
      </c>
      <c r="C32" s="163"/>
      <c r="D32" s="163"/>
      <c r="E32" s="163"/>
      <c r="F32" s="163">
        <v>635000000</v>
      </c>
    </row>
    <row r="33" spans="1:6">
      <c r="A33" s="25" t="s">
        <v>18</v>
      </c>
      <c r="B33" s="163"/>
      <c r="C33" s="163"/>
      <c r="D33" s="163">
        <v>1400000000</v>
      </c>
      <c r="E33" s="163">
        <v>5000000000</v>
      </c>
      <c r="F33" s="163">
        <v>6400000000</v>
      </c>
    </row>
    <row r="34" spans="1:6">
      <c r="A34" s="26" t="s">
        <v>193</v>
      </c>
      <c r="B34" s="163"/>
      <c r="C34" s="163"/>
      <c r="D34" s="163"/>
      <c r="E34" s="163">
        <v>5000000000</v>
      </c>
      <c r="F34" s="163">
        <v>5000000000</v>
      </c>
    </row>
    <row r="35" spans="1:6">
      <c r="A35" s="27" t="s">
        <v>194</v>
      </c>
      <c r="B35" s="163"/>
      <c r="C35" s="163"/>
      <c r="D35" s="163"/>
      <c r="E35" s="163">
        <v>5000000000</v>
      </c>
      <c r="F35" s="163">
        <v>5000000000</v>
      </c>
    </row>
    <row r="36" spans="1:6">
      <c r="A36" s="26" t="s">
        <v>204</v>
      </c>
      <c r="B36" s="163"/>
      <c r="C36" s="163"/>
      <c r="D36" s="163">
        <v>1400000000</v>
      </c>
      <c r="E36" s="163"/>
      <c r="F36" s="163">
        <v>1400000000</v>
      </c>
    </row>
    <row r="37" spans="1:6">
      <c r="A37" s="27" t="s">
        <v>18</v>
      </c>
      <c r="B37" s="163"/>
      <c r="C37" s="163"/>
      <c r="D37" s="163">
        <v>1400000000</v>
      </c>
      <c r="E37" s="163"/>
      <c r="F37" s="163">
        <v>1400000000</v>
      </c>
    </row>
    <row r="38" spans="1:6">
      <c r="A38" s="25" t="s">
        <v>840</v>
      </c>
      <c r="B38" s="163"/>
      <c r="C38" s="163">
        <v>950000000</v>
      </c>
      <c r="D38" s="163"/>
      <c r="E38" s="163"/>
      <c r="F38" s="163">
        <v>950000000</v>
      </c>
    </row>
    <row r="39" spans="1:6">
      <c r="A39" s="26" t="s">
        <v>215</v>
      </c>
      <c r="B39" s="163"/>
      <c r="C39" s="163">
        <v>950000000</v>
      </c>
      <c r="D39" s="163"/>
      <c r="E39" s="163"/>
      <c r="F39" s="163">
        <v>950000000</v>
      </c>
    </row>
    <row r="40" spans="1:6">
      <c r="A40" s="27" t="s">
        <v>18</v>
      </c>
      <c r="B40" s="163"/>
      <c r="C40" s="163">
        <v>950000000</v>
      </c>
      <c r="D40" s="163"/>
      <c r="E40" s="163"/>
      <c r="F40" s="163">
        <v>950000000</v>
      </c>
    </row>
    <row r="41" spans="1:6">
      <c r="A41" s="14" t="s">
        <v>16</v>
      </c>
      <c r="B41" s="163">
        <v>700000000</v>
      </c>
      <c r="C41" s="163">
        <v>2000000000</v>
      </c>
      <c r="D41" s="163"/>
      <c r="E41" s="163"/>
      <c r="F41" s="163">
        <v>2700000000</v>
      </c>
    </row>
    <row r="42" spans="1:6">
      <c r="A42" s="24" t="s">
        <v>23</v>
      </c>
      <c r="B42" s="163">
        <v>300000000</v>
      </c>
      <c r="C42" s="163"/>
      <c r="D42" s="163"/>
      <c r="E42" s="163"/>
      <c r="F42" s="163">
        <v>300000000</v>
      </c>
    </row>
    <row r="43" spans="1:6">
      <c r="A43" s="25" t="s">
        <v>24</v>
      </c>
      <c r="B43" s="163">
        <v>300000000</v>
      </c>
      <c r="C43" s="163"/>
      <c r="D43" s="163"/>
      <c r="E43" s="163"/>
      <c r="F43" s="163">
        <v>300000000</v>
      </c>
    </row>
    <row r="44" spans="1:6">
      <c r="A44" s="26" t="s">
        <v>21</v>
      </c>
      <c r="B44" s="163">
        <v>300000000</v>
      </c>
      <c r="C44" s="163"/>
      <c r="D44" s="163"/>
      <c r="E44" s="163"/>
      <c r="F44" s="163">
        <v>300000000</v>
      </c>
    </row>
    <row r="45" spans="1:6">
      <c r="A45" s="27" t="s">
        <v>327</v>
      </c>
      <c r="B45" s="163">
        <v>300000000</v>
      </c>
      <c r="C45" s="163"/>
      <c r="D45" s="163"/>
      <c r="E45" s="163"/>
      <c r="F45" s="163">
        <v>300000000</v>
      </c>
    </row>
    <row r="46" spans="1:6">
      <c r="A46" s="24" t="s">
        <v>117</v>
      </c>
      <c r="B46" s="163">
        <v>400000000</v>
      </c>
      <c r="C46" s="163"/>
      <c r="D46" s="163"/>
      <c r="E46" s="163"/>
      <c r="F46" s="163">
        <v>400000000</v>
      </c>
    </row>
    <row r="47" spans="1:6">
      <c r="A47" s="25" t="s">
        <v>18</v>
      </c>
      <c r="B47" s="163">
        <v>400000000</v>
      </c>
      <c r="C47" s="163"/>
      <c r="D47" s="163"/>
      <c r="E47" s="163"/>
      <c r="F47" s="163">
        <v>400000000</v>
      </c>
    </row>
    <row r="48" spans="1:6">
      <c r="A48" s="26" t="s">
        <v>487</v>
      </c>
      <c r="B48" s="163">
        <v>400000000</v>
      </c>
      <c r="C48" s="163"/>
      <c r="D48" s="163"/>
      <c r="E48" s="163"/>
      <c r="F48" s="163">
        <v>400000000</v>
      </c>
    </row>
    <row r="49" spans="1:6">
      <c r="A49" s="27" t="s">
        <v>488</v>
      </c>
      <c r="B49" s="163">
        <v>400000000</v>
      </c>
      <c r="C49" s="163"/>
      <c r="D49" s="163"/>
      <c r="E49" s="163"/>
      <c r="F49" s="163">
        <v>400000000</v>
      </c>
    </row>
    <row r="50" spans="1:6">
      <c r="A50" s="24" t="s">
        <v>80</v>
      </c>
      <c r="B50" s="163"/>
      <c r="C50" s="163">
        <v>2000000000</v>
      </c>
      <c r="D50" s="163"/>
      <c r="E50" s="163"/>
      <c r="F50" s="163">
        <v>2000000000</v>
      </c>
    </row>
    <row r="51" spans="1:6">
      <c r="A51" s="25" t="s">
        <v>24</v>
      </c>
      <c r="B51" s="163"/>
      <c r="C51" s="163">
        <v>2000000000</v>
      </c>
      <c r="D51" s="163"/>
      <c r="E51" s="163"/>
      <c r="F51" s="163">
        <v>2000000000</v>
      </c>
    </row>
    <row r="52" spans="1:6">
      <c r="A52" s="26" t="s">
        <v>126</v>
      </c>
      <c r="B52" s="163"/>
      <c r="C52" s="163">
        <v>2000000000</v>
      </c>
      <c r="D52" s="163"/>
      <c r="E52" s="163"/>
      <c r="F52" s="163">
        <v>2000000000</v>
      </c>
    </row>
    <row r="53" spans="1:6">
      <c r="A53" s="27" t="s">
        <v>145</v>
      </c>
      <c r="B53" s="163"/>
      <c r="C53" s="163">
        <v>2000000000</v>
      </c>
      <c r="D53" s="163"/>
      <c r="E53" s="163"/>
      <c r="F53" s="163">
        <v>2000000000</v>
      </c>
    </row>
    <row r="54" spans="1:6">
      <c r="A54" s="14" t="s">
        <v>825</v>
      </c>
      <c r="B54" s="163">
        <v>2895000000</v>
      </c>
      <c r="C54" s="163">
        <v>15600000000</v>
      </c>
      <c r="D54" s="163">
        <v>3100000000</v>
      </c>
      <c r="E54" s="163">
        <v>8000000000</v>
      </c>
      <c r="F54" s="163">
        <v>29595000000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03B0F-A93B-4149-B6A2-C7DE84B75C60}">
  <dimension ref="A1:R22"/>
  <sheetViews>
    <sheetView workbookViewId="0">
      <selection activeCell="I20" sqref="I20"/>
    </sheetView>
  </sheetViews>
  <sheetFormatPr defaultRowHeight="15"/>
  <cols>
    <col min="1" max="1" width="16.75" bestFit="1" customWidth="1"/>
    <col min="2" max="2" width="17.875" customWidth="1"/>
    <col min="3" max="9" width="16.625" customWidth="1"/>
    <col min="10" max="13" width="17.75" customWidth="1"/>
    <col min="14" max="17" width="16.625" customWidth="1"/>
    <col min="18" max="18" width="18.75" bestFit="1" customWidth="1"/>
    <col min="19" max="20" width="14" bestFit="1" customWidth="1"/>
    <col min="21" max="21" width="16.625" bestFit="1" customWidth="1"/>
    <col min="22" max="22" width="15" bestFit="1" customWidth="1"/>
    <col min="23" max="23" width="14" bestFit="1" customWidth="1"/>
    <col min="24" max="24" width="16.625" bestFit="1" customWidth="1"/>
    <col min="25" max="25" width="15" bestFit="1" customWidth="1"/>
    <col min="26" max="27" width="16.625" bestFit="1" customWidth="1"/>
    <col min="28" max="28" width="14" bestFit="1" customWidth="1"/>
    <col min="29" max="29" width="15" bestFit="1" customWidth="1"/>
    <col min="30" max="30" width="16.625" bestFit="1" customWidth="1"/>
    <col min="31" max="33" width="15" bestFit="1" customWidth="1"/>
    <col min="34" max="35" width="16.625" bestFit="1" customWidth="1"/>
    <col min="36" max="36" width="14" bestFit="1" customWidth="1"/>
    <col min="37" max="37" width="15" bestFit="1" customWidth="1"/>
    <col min="38" max="40" width="16.625" bestFit="1" customWidth="1"/>
    <col min="41" max="43" width="15" bestFit="1" customWidth="1"/>
    <col min="44" max="45" width="16.625" bestFit="1" customWidth="1"/>
    <col min="46" max="46" width="15" bestFit="1" customWidth="1"/>
    <col min="47" max="48" width="14" bestFit="1" customWidth="1"/>
    <col min="49" max="49" width="16.625" bestFit="1" customWidth="1"/>
    <col min="50" max="52" width="15" bestFit="1" customWidth="1"/>
    <col min="53" max="53" width="16.625" bestFit="1" customWidth="1"/>
    <col min="54" max="54" width="15" bestFit="1" customWidth="1"/>
    <col min="55" max="55" width="14" bestFit="1" customWidth="1"/>
    <col min="56" max="58" width="15" bestFit="1" customWidth="1"/>
    <col min="59" max="60" width="16.625" bestFit="1" customWidth="1"/>
    <col min="61" max="62" width="15" bestFit="1" customWidth="1"/>
    <col min="63" max="63" width="12.875" bestFit="1" customWidth="1"/>
    <col min="64" max="64" width="15" bestFit="1" customWidth="1"/>
    <col min="65" max="65" width="14" bestFit="1" customWidth="1"/>
    <col min="66" max="67" width="16.625" bestFit="1" customWidth="1"/>
    <col min="68" max="69" width="15" bestFit="1" customWidth="1"/>
    <col min="70" max="72" width="14" bestFit="1" customWidth="1"/>
    <col min="73" max="73" width="16.625" bestFit="1" customWidth="1"/>
    <col min="74" max="74" width="15" bestFit="1" customWidth="1"/>
    <col min="75" max="75" width="16.625" bestFit="1" customWidth="1"/>
    <col min="76" max="76" width="15" bestFit="1" customWidth="1"/>
    <col min="77" max="77" width="16.625" bestFit="1" customWidth="1"/>
    <col min="78" max="78" width="15" bestFit="1" customWidth="1"/>
    <col min="79" max="79" width="16.625" bestFit="1" customWidth="1"/>
    <col min="80" max="80" width="17.75" bestFit="1" customWidth="1"/>
    <col min="81" max="81" width="15" bestFit="1" customWidth="1"/>
    <col min="82" max="82" width="16.625" bestFit="1" customWidth="1"/>
    <col min="83" max="85" width="15" bestFit="1" customWidth="1"/>
    <col min="86" max="86" width="14" bestFit="1" customWidth="1"/>
    <col min="87" max="89" width="15" bestFit="1" customWidth="1"/>
    <col min="90" max="90" width="16.625" bestFit="1" customWidth="1"/>
    <col min="91" max="91" width="17.75" bestFit="1" customWidth="1"/>
    <col min="92" max="92" width="16.625" bestFit="1" customWidth="1"/>
    <col min="93" max="93" width="15" bestFit="1" customWidth="1"/>
    <col min="94" max="94" width="16.625" bestFit="1" customWidth="1"/>
    <col min="95" max="95" width="15" bestFit="1" customWidth="1"/>
    <col min="96" max="96" width="14" bestFit="1" customWidth="1"/>
    <col min="97" max="98" width="16.625" bestFit="1" customWidth="1"/>
    <col min="99" max="99" width="15" bestFit="1" customWidth="1"/>
    <col min="100" max="100" width="12.875" bestFit="1" customWidth="1"/>
    <col min="101" max="101" width="16.625" bestFit="1" customWidth="1"/>
    <col min="102" max="103" width="15" bestFit="1" customWidth="1"/>
    <col min="104" max="104" width="16.625" bestFit="1" customWidth="1"/>
    <col min="105" max="105" width="15" bestFit="1" customWidth="1"/>
    <col min="106" max="106" width="17.75" bestFit="1" customWidth="1"/>
    <col min="107" max="107" width="16.625" bestFit="1" customWidth="1"/>
    <col min="108" max="108" width="15" bestFit="1" customWidth="1"/>
    <col min="109" max="109" width="16.625" bestFit="1" customWidth="1"/>
    <col min="110" max="110" width="17.75" bestFit="1" customWidth="1"/>
    <col min="111" max="111" width="16.625" bestFit="1" customWidth="1"/>
    <col min="112" max="112" width="15" bestFit="1" customWidth="1"/>
    <col min="113" max="113" width="16.625" bestFit="1" customWidth="1"/>
    <col min="114" max="117" width="15" bestFit="1" customWidth="1"/>
    <col min="118" max="120" width="16.625" bestFit="1" customWidth="1"/>
    <col min="121" max="121" width="17.75" bestFit="1" customWidth="1"/>
    <col min="122" max="122" width="16.625" bestFit="1" customWidth="1"/>
    <col min="123" max="123" width="15" bestFit="1" customWidth="1"/>
    <col min="124" max="124" width="16.625" bestFit="1" customWidth="1"/>
    <col min="125" max="125" width="14" bestFit="1" customWidth="1"/>
    <col min="126" max="128" width="16.625" bestFit="1" customWidth="1"/>
    <col min="129" max="129" width="17.75" bestFit="1" customWidth="1"/>
    <col min="130" max="130" width="15" bestFit="1" customWidth="1"/>
    <col min="131" max="131" width="17.75" bestFit="1" customWidth="1"/>
    <col min="132" max="132" width="15" bestFit="1" customWidth="1"/>
    <col min="133" max="133" width="16.625" bestFit="1" customWidth="1"/>
    <col min="134" max="134" width="17.75" bestFit="1" customWidth="1"/>
    <col min="135" max="135" width="16.625" bestFit="1" customWidth="1"/>
    <col min="136" max="136" width="17.75" bestFit="1" customWidth="1"/>
    <col min="137" max="141" width="16.625" bestFit="1" customWidth="1"/>
    <col min="142" max="142" width="15" bestFit="1" customWidth="1"/>
    <col min="143" max="144" width="16.625" bestFit="1" customWidth="1"/>
    <col min="145" max="148" width="15" bestFit="1" customWidth="1"/>
    <col min="149" max="152" width="16.625" bestFit="1" customWidth="1"/>
    <col min="153" max="153" width="18.75" bestFit="1" customWidth="1"/>
  </cols>
  <sheetData>
    <row r="1" spans="1:18">
      <c r="A1" s="13" t="s">
        <v>8</v>
      </c>
      <c r="B1" t="s">
        <v>839</v>
      </c>
    </row>
    <row r="3" spans="1:18">
      <c r="A3" s="13" t="s">
        <v>820</v>
      </c>
      <c r="B3" s="13" t="s">
        <v>821</v>
      </c>
    </row>
    <row r="4" spans="1:18">
      <c r="B4" t="s">
        <v>822</v>
      </c>
      <c r="D4" t="s">
        <v>823</v>
      </c>
      <c r="P4" t="s">
        <v>824</v>
      </c>
      <c r="R4" t="s">
        <v>825</v>
      </c>
    </row>
    <row r="5" spans="1:18">
      <c r="B5" t="s">
        <v>826</v>
      </c>
      <c r="C5" t="s">
        <v>827</v>
      </c>
      <c r="D5" t="s">
        <v>828</v>
      </c>
      <c r="E5" t="s">
        <v>829</v>
      </c>
      <c r="F5" t="s">
        <v>830</v>
      </c>
      <c r="G5" t="s">
        <v>831</v>
      </c>
      <c r="H5" t="s">
        <v>832</v>
      </c>
      <c r="I5" t="s">
        <v>833</v>
      </c>
      <c r="J5" t="s">
        <v>834</v>
      </c>
      <c r="K5" t="s">
        <v>835</v>
      </c>
      <c r="L5" t="s">
        <v>836</v>
      </c>
      <c r="M5" t="s">
        <v>837</v>
      </c>
      <c r="N5" t="s">
        <v>826</v>
      </c>
      <c r="O5" t="s">
        <v>827</v>
      </c>
      <c r="P5" t="s">
        <v>828</v>
      </c>
      <c r="Q5" t="s">
        <v>830</v>
      </c>
    </row>
    <row r="6" spans="1:18">
      <c r="A6" s="13" t="s">
        <v>838</v>
      </c>
    </row>
    <row r="7" spans="1:18">
      <c r="A7" s="14" t="s">
        <v>26</v>
      </c>
      <c r="B7" s="163">
        <v>7782850000</v>
      </c>
      <c r="C7" s="163">
        <v>9452192249.5</v>
      </c>
      <c r="D7" s="163">
        <v>4425710000</v>
      </c>
      <c r="E7" s="163">
        <v>8524972480</v>
      </c>
      <c r="F7" s="163">
        <v>5703319300</v>
      </c>
      <c r="G7" s="163">
        <v>3014332000</v>
      </c>
      <c r="H7" s="163">
        <v>7250638500</v>
      </c>
      <c r="I7" s="163">
        <v>8426890000</v>
      </c>
      <c r="J7" s="163">
        <v>8106308529</v>
      </c>
      <c r="K7" s="163"/>
      <c r="L7" s="163"/>
      <c r="M7" s="163"/>
      <c r="N7" s="163"/>
      <c r="O7" s="163"/>
      <c r="P7" s="163"/>
      <c r="Q7" s="163"/>
      <c r="R7" s="163">
        <v>62687213058.5</v>
      </c>
    </row>
    <row r="8" spans="1:18">
      <c r="A8" s="14" t="s">
        <v>328</v>
      </c>
      <c r="B8" s="163"/>
      <c r="C8" s="163"/>
      <c r="D8" s="163"/>
      <c r="E8" s="163"/>
      <c r="F8" s="163"/>
      <c r="G8" s="163"/>
      <c r="H8" s="163"/>
      <c r="I8" s="163"/>
      <c r="J8" s="163">
        <v>701000000</v>
      </c>
      <c r="K8" s="163"/>
      <c r="L8" s="163"/>
      <c r="M8" s="163"/>
      <c r="N8" s="163"/>
      <c r="O8" s="163"/>
      <c r="P8" s="163"/>
      <c r="Q8" s="163"/>
      <c r="R8" s="163">
        <v>701000000</v>
      </c>
    </row>
    <row r="9" spans="1:18">
      <c r="A9" s="14" t="s">
        <v>143</v>
      </c>
      <c r="B9" s="163"/>
      <c r="C9" s="163"/>
      <c r="D9" s="163"/>
      <c r="E9" s="163"/>
      <c r="F9" s="163"/>
      <c r="G9" s="163"/>
      <c r="H9" s="163"/>
      <c r="I9" s="163"/>
      <c r="J9" s="163">
        <v>4500000000</v>
      </c>
      <c r="K9" s="163">
        <v>695653000</v>
      </c>
      <c r="L9" s="163"/>
      <c r="M9" s="163"/>
      <c r="N9" s="163">
        <v>1385000000</v>
      </c>
      <c r="O9" s="163"/>
      <c r="P9" s="163"/>
      <c r="Q9" s="163"/>
      <c r="R9" s="163">
        <v>6580653000</v>
      </c>
    </row>
    <row r="10" spans="1:18">
      <c r="A10" s="14" t="s">
        <v>248</v>
      </c>
      <c r="B10" s="163"/>
      <c r="C10" s="163"/>
      <c r="D10" s="163"/>
      <c r="E10" s="163"/>
      <c r="F10" s="163"/>
      <c r="G10" s="163"/>
      <c r="H10" s="163"/>
      <c r="I10" s="163"/>
      <c r="J10" s="163"/>
      <c r="K10" s="163"/>
      <c r="L10" s="163">
        <v>4623093000</v>
      </c>
      <c r="M10" s="163"/>
      <c r="N10" s="163">
        <v>2000000000</v>
      </c>
      <c r="O10" s="163"/>
      <c r="P10" s="163">
        <v>1460000000</v>
      </c>
      <c r="Q10" s="163"/>
      <c r="R10" s="163">
        <v>8083093000</v>
      </c>
    </row>
    <row r="11" spans="1:18">
      <c r="A11" s="14" t="s">
        <v>53</v>
      </c>
      <c r="B11" s="163"/>
      <c r="C11" s="163"/>
      <c r="D11" s="163"/>
      <c r="E11" s="163"/>
      <c r="F11" s="163"/>
      <c r="G11" s="163"/>
      <c r="H11" s="163"/>
      <c r="I11" s="163"/>
      <c r="J11" s="163">
        <v>7646062530</v>
      </c>
      <c r="K11" s="163">
        <v>17987199245</v>
      </c>
      <c r="L11" s="163">
        <v>31921341180</v>
      </c>
      <c r="M11" s="163">
        <v>27541217980</v>
      </c>
      <c r="N11" s="163">
        <v>4584750000</v>
      </c>
      <c r="O11" s="163">
        <v>4615210000</v>
      </c>
      <c r="P11" s="163">
        <v>3000000000</v>
      </c>
      <c r="Q11" s="163">
        <v>1049000000</v>
      </c>
      <c r="R11" s="163">
        <v>98344780935</v>
      </c>
    </row>
    <row r="12" spans="1:18">
      <c r="A12" s="14" t="s">
        <v>825</v>
      </c>
      <c r="B12" s="163">
        <v>7782850000</v>
      </c>
      <c r="C12" s="163">
        <v>9452192249.5</v>
      </c>
      <c r="D12" s="163">
        <v>4425710000</v>
      </c>
      <c r="E12" s="163">
        <v>8524972480</v>
      </c>
      <c r="F12" s="163">
        <v>5703319300</v>
      </c>
      <c r="G12" s="163">
        <v>3014332000</v>
      </c>
      <c r="H12" s="163">
        <v>7250638500</v>
      </c>
      <c r="I12" s="163">
        <v>8426890000</v>
      </c>
      <c r="J12" s="163">
        <v>20953371059</v>
      </c>
      <c r="K12" s="163">
        <v>18682852245</v>
      </c>
      <c r="L12" s="163">
        <v>36544434180</v>
      </c>
      <c r="M12" s="163">
        <v>27541217980</v>
      </c>
      <c r="N12" s="163">
        <v>7969750000</v>
      </c>
      <c r="O12" s="163">
        <v>4615210000</v>
      </c>
      <c r="P12" s="163">
        <v>4460000000</v>
      </c>
      <c r="Q12" s="163">
        <v>1049000000</v>
      </c>
      <c r="R12" s="163">
        <v>176396739993.5</v>
      </c>
    </row>
    <row r="18" spans="1:2">
      <c r="A18" s="164" t="s">
        <v>26</v>
      </c>
      <c r="B18" s="165">
        <v>62687213058.5</v>
      </c>
    </row>
    <row r="19" spans="1:2">
      <c r="A19" s="164" t="s">
        <v>328</v>
      </c>
      <c r="B19" s="165">
        <v>701000000</v>
      </c>
    </row>
    <row r="20" spans="1:2">
      <c r="A20" s="164" t="s">
        <v>143</v>
      </c>
      <c r="B20" s="165">
        <v>6580653000</v>
      </c>
    </row>
    <row r="21" spans="1:2">
      <c r="A21" s="164" t="s">
        <v>248</v>
      </c>
      <c r="B21" s="165">
        <v>8083093000</v>
      </c>
    </row>
    <row r="22" spans="1:2">
      <c r="A22" s="164" t="s">
        <v>53</v>
      </c>
      <c r="B22" s="165">
        <v>98344780935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59929-905C-40A4-B9B5-55E20C692EB4}">
  <dimension ref="A1:P19"/>
  <sheetViews>
    <sheetView workbookViewId="0">
      <selection activeCell="I24" sqref="I24"/>
    </sheetView>
  </sheetViews>
  <sheetFormatPr defaultRowHeight="15"/>
  <cols>
    <col min="1" max="1" width="16.75" bestFit="1" customWidth="1"/>
    <col min="2" max="2" width="17.875" bestFit="1" customWidth="1"/>
    <col min="3" max="3" width="17.75" bestFit="1" customWidth="1"/>
    <col min="4" max="9" width="16.625" bestFit="1" customWidth="1"/>
    <col min="10" max="14" width="17.75" bestFit="1" customWidth="1"/>
    <col min="15" max="15" width="15" bestFit="1" customWidth="1"/>
    <col min="16" max="16" width="18.75" bestFit="1" customWidth="1"/>
    <col min="17" max="17" width="7" bestFit="1" customWidth="1"/>
    <col min="18" max="25" width="6.625" bestFit="1" customWidth="1"/>
    <col min="26" max="35" width="7" bestFit="1" customWidth="1"/>
    <col min="36" max="43" width="7.25" bestFit="1" customWidth="1"/>
    <col min="44" max="51" width="6.875" bestFit="1" customWidth="1"/>
    <col min="52" max="66" width="7.625" bestFit="1" customWidth="1"/>
    <col min="67" max="79" width="6.75" bestFit="1" customWidth="1"/>
    <col min="80" max="93" width="6.125" bestFit="1" customWidth="1"/>
    <col min="94" max="109" width="7.125" bestFit="1" customWidth="1"/>
    <col min="110" max="122" width="7" bestFit="1" customWidth="1"/>
    <col min="123" max="132" width="6.75" bestFit="1" customWidth="1"/>
    <col min="133" max="142" width="7.25" bestFit="1" customWidth="1"/>
    <col min="143" max="149" width="7" bestFit="1" customWidth="1"/>
    <col min="150" max="151" width="6.625" bestFit="1" customWidth="1"/>
    <col min="152" max="152" width="7.25" bestFit="1" customWidth="1"/>
    <col min="153" max="153" width="11.25" bestFit="1" customWidth="1"/>
  </cols>
  <sheetData>
    <row r="1" spans="1:16">
      <c r="A1" s="13" t="s">
        <v>8</v>
      </c>
      <c r="B1" t="s">
        <v>839</v>
      </c>
    </row>
    <row r="3" spans="1:16">
      <c r="A3" s="13" t="s">
        <v>820</v>
      </c>
      <c r="B3" s="13" t="s">
        <v>821</v>
      </c>
    </row>
    <row r="4" spans="1:16">
      <c r="B4" t="s">
        <v>822</v>
      </c>
      <c r="D4" t="s">
        <v>823</v>
      </c>
      <c r="P4" t="s">
        <v>825</v>
      </c>
    </row>
    <row r="5" spans="1:16">
      <c r="B5" t="s">
        <v>826</v>
      </c>
      <c r="C5" t="s">
        <v>827</v>
      </c>
      <c r="D5" t="s">
        <v>828</v>
      </c>
      <c r="E5" t="s">
        <v>829</v>
      </c>
      <c r="F5" t="s">
        <v>830</v>
      </c>
      <c r="G5" t="s">
        <v>831</v>
      </c>
      <c r="H5" t="s">
        <v>832</v>
      </c>
      <c r="I5" t="s">
        <v>833</v>
      </c>
      <c r="J5" t="s">
        <v>834</v>
      </c>
      <c r="K5" t="s">
        <v>835</v>
      </c>
      <c r="L5" t="s">
        <v>836</v>
      </c>
      <c r="M5" t="s">
        <v>837</v>
      </c>
      <c r="N5" t="s">
        <v>826</v>
      </c>
      <c r="O5" t="s">
        <v>827</v>
      </c>
    </row>
    <row r="6" spans="1:16">
      <c r="A6" s="13" t="s">
        <v>838</v>
      </c>
    </row>
    <row r="7" spans="1:16">
      <c r="A7" s="14" t="s">
        <v>26</v>
      </c>
      <c r="B7" s="163">
        <v>1909500000</v>
      </c>
      <c r="C7" s="163">
        <v>13300000000</v>
      </c>
      <c r="D7" s="163">
        <v>2572154600</v>
      </c>
      <c r="E7" s="163">
        <v>6438510733</v>
      </c>
      <c r="F7" s="163">
        <v>6228452261</v>
      </c>
      <c r="G7" s="163">
        <v>4475001766</v>
      </c>
      <c r="H7" s="163">
        <v>4535594990</v>
      </c>
      <c r="I7" s="163">
        <v>5396557995</v>
      </c>
      <c r="J7" s="163">
        <v>3623444700</v>
      </c>
      <c r="K7" s="163">
        <v>1000000000</v>
      </c>
      <c r="L7" s="163">
        <v>212550000</v>
      </c>
      <c r="M7" s="163"/>
      <c r="N7" s="163"/>
      <c r="O7" s="163"/>
      <c r="P7" s="163">
        <v>49691767045</v>
      </c>
    </row>
    <row r="8" spans="1:16">
      <c r="A8" s="14" t="s">
        <v>328</v>
      </c>
      <c r="B8" s="163"/>
      <c r="C8" s="163"/>
      <c r="D8" s="163"/>
      <c r="E8" s="163"/>
      <c r="F8" s="163"/>
      <c r="G8" s="163"/>
      <c r="H8" s="163"/>
      <c r="I8" s="163"/>
      <c r="J8" s="163">
        <v>1296249700</v>
      </c>
      <c r="K8" s="163">
        <v>267807600</v>
      </c>
      <c r="L8" s="163"/>
      <c r="M8" s="163"/>
      <c r="N8" s="163"/>
      <c r="O8" s="163"/>
      <c r="P8" s="163">
        <v>1564057300</v>
      </c>
    </row>
    <row r="9" spans="1:16">
      <c r="A9" s="14" t="s">
        <v>143</v>
      </c>
      <c r="B9" s="163"/>
      <c r="C9" s="163"/>
      <c r="D9" s="163"/>
      <c r="E9" s="163"/>
      <c r="F9" s="163"/>
      <c r="G9" s="163"/>
      <c r="H9" s="163"/>
      <c r="I9" s="163"/>
      <c r="J9" s="163">
        <v>1500000000</v>
      </c>
      <c r="K9" s="163"/>
      <c r="L9" s="163"/>
      <c r="M9" s="163"/>
      <c r="N9" s="163"/>
      <c r="O9" s="163"/>
      <c r="P9" s="163">
        <v>1500000000</v>
      </c>
    </row>
    <row r="10" spans="1:16">
      <c r="A10" s="14" t="s">
        <v>248</v>
      </c>
      <c r="B10" s="163"/>
      <c r="C10" s="163"/>
      <c r="D10" s="163"/>
      <c r="E10" s="163"/>
      <c r="F10" s="163"/>
      <c r="G10" s="163"/>
      <c r="H10" s="163"/>
      <c r="I10" s="163"/>
      <c r="J10" s="163">
        <v>1971000000</v>
      </c>
      <c r="K10" s="163"/>
      <c r="L10" s="163">
        <v>3683521000</v>
      </c>
      <c r="M10" s="163"/>
      <c r="N10" s="163"/>
      <c r="O10" s="163"/>
      <c r="P10" s="163">
        <v>5654521000</v>
      </c>
    </row>
    <row r="11" spans="1:16">
      <c r="A11" s="14" t="s">
        <v>53</v>
      </c>
      <c r="B11" s="163"/>
      <c r="C11" s="163"/>
      <c r="D11" s="163"/>
      <c r="E11" s="163"/>
      <c r="F11" s="163"/>
      <c r="G11" s="163"/>
      <c r="H11" s="163"/>
      <c r="I11" s="163"/>
      <c r="J11" s="163">
        <v>14549953600</v>
      </c>
      <c r="K11" s="163">
        <v>17755719400</v>
      </c>
      <c r="L11" s="163">
        <v>10318286000</v>
      </c>
      <c r="M11" s="163">
        <v>15924465000</v>
      </c>
      <c r="N11" s="163">
        <v>40416602700</v>
      </c>
      <c r="O11" s="163">
        <v>515270000</v>
      </c>
      <c r="P11" s="163">
        <v>99480296700</v>
      </c>
    </row>
    <row r="12" spans="1:16">
      <c r="A12" s="14" t="s">
        <v>825</v>
      </c>
      <c r="B12" s="163">
        <v>1909500000</v>
      </c>
      <c r="C12" s="163">
        <v>13300000000</v>
      </c>
      <c r="D12" s="163">
        <v>2572154600</v>
      </c>
      <c r="E12" s="163">
        <v>6438510733</v>
      </c>
      <c r="F12" s="163">
        <v>6228452261</v>
      </c>
      <c r="G12" s="163">
        <v>4475001766</v>
      </c>
      <c r="H12" s="163">
        <v>4535594990</v>
      </c>
      <c r="I12" s="163">
        <v>5396557995</v>
      </c>
      <c r="J12" s="163">
        <v>22940648000</v>
      </c>
      <c r="K12" s="163">
        <v>19023527000</v>
      </c>
      <c r="L12" s="163">
        <v>14214357000</v>
      </c>
      <c r="M12" s="163">
        <v>15924465000</v>
      </c>
      <c r="N12" s="163">
        <v>40416602700</v>
      </c>
      <c r="O12" s="163">
        <v>515270000</v>
      </c>
      <c r="P12" s="163">
        <v>157890642045</v>
      </c>
    </row>
    <row r="15" spans="1:16">
      <c r="A15" t="s">
        <v>26</v>
      </c>
      <c r="B15">
        <v>49691767045</v>
      </c>
    </row>
    <row r="16" spans="1:16">
      <c r="A16" t="s">
        <v>328</v>
      </c>
      <c r="B16">
        <v>1564057300</v>
      </c>
    </row>
    <row r="17" spans="1:2">
      <c r="A17" t="s">
        <v>143</v>
      </c>
      <c r="B17">
        <v>1500000000</v>
      </c>
    </row>
    <row r="18" spans="1:2">
      <c r="A18" t="s">
        <v>248</v>
      </c>
      <c r="B18">
        <v>5654521000</v>
      </c>
    </row>
    <row r="19" spans="1:2">
      <c r="A19" t="s">
        <v>53</v>
      </c>
      <c r="B19">
        <v>99480296700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D76E4-73E3-499C-B121-31D1ED8FD3A5}">
  <dimension ref="A3:F16"/>
  <sheetViews>
    <sheetView workbookViewId="0">
      <selection activeCell="G24" sqref="G24"/>
    </sheetView>
  </sheetViews>
  <sheetFormatPr defaultRowHeight="15"/>
  <cols>
    <col min="1" max="1" width="16.75" bestFit="1" customWidth="1"/>
    <col min="2" max="3" width="16.625" bestFit="1" customWidth="1"/>
    <col min="4" max="4" width="17.75" bestFit="1" customWidth="1"/>
    <col min="5" max="6" width="18.75" bestFit="1" customWidth="1"/>
    <col min="7" max="7" width="16.625" bestFit="1" customWidth="1"/>
    <col min="8" max="9" width="17.75" bestFit="1" customWidth="1"/>
    <col min="10" max="10" width="16.625" bestFit="1" customWidth="1"/>
    <col min="11" max="11" width="17.75" bestFit="1" customWidth="1"/>
    <col min="12" max="14" width="18.75" bestFit="1" customWidth="1"/>
  </cols>
  <sheetData>
    <row r="3" spans="1:6">
      <c r="A3" s="13" t="s">
        <v>820</v>
      </c>
      <c r="B3" s="13" t="s">
        <v>821</v>
      </c>
    </row>
    <row r="4" spans="1:6">
      <c r="A4" s="13" t="s">
        <v>838</v>
      </c>
      <c r="B4" t="s">
        <v>328</v>
      </c>
      <c r="C4" t="s">
        <v>143</v>
      </c>
      <c r="D4" t="s">
        <v>248</v>
      </c>
      <c r="E4" t="s">
        <v>53</v>
      </c>
      <c r="F4" t="s">
        <v>825</v>
      </c>
    </row>
    <row r="5" spans="1:6">
      <c r="A5" s="14" t="s">
        <v>43</v>
      </c>
      <c r="B5" s="163"/>
      <c r="C5" s="163"/>
      <c r="D5" s="163"/>
      <c r="E5" s="163">
        <v>9682770000</v>
      </c>
      <c r="F5" s="163">
        <v>9682770000</v>
      </c>
    </row>
    <row r="6" spans="1:6">
      <c r="A6" s="14" t="s">
        <v>96</v>
      </c>
      <c r="B6" s="163"/>
      <c r="C6" s="163"/>
      <c r="D6" s="163"/>
      <c r="E6" s="163">
        <v>169190000</v>
      </c>
      <c r="F6" s="163">
        <v>169190000</v>
      </c>
    </row>
    <row r="7" spans="1:6">
      <c r="A7" s="14" t="s">
        <v>48</v>
      </c>
      <c r="B7" s="163"/>
      <c r="C7" s="163">
        <v>4500000000</v>
      </c>
      <c r="D7" s="163">
        <v>5910539000</v>
      </c>
      <c r="E7" s="163">
        <v>7356267700</v>
      </c>
      <c r="F7" s="163">
        <v>17766806700</v>
      </c>
    </row>
    <row r="8" spans="1:6">
      <c r="A8" s="14" t="s">
        <v>23</v>
      </c>
      <c r="B8" s="163">
        <v>1564057300</v>
      </c>
      <c r="C8" s="163"/>
      <c r="D8" s="163"/>
      <c r="E8" s="163">
        <v>3959535400</v>
      </c>
      <c r="F8" s="163">
        <v>5523592700</v>
      </c>
    </row>
    <row r="9" spans="1:6">
      <c r="A9" s="14" t="s">
        <v>117</v>
      </c>
      <c r="B9" s="163">
        <v>701000000</v>
      </c>
      <c r="C9" s="163"/>
      <c r="D9" s="163">
        <v>4403750000</v>
      </c>
      <c r="E9" s="163">
        <v>18663149000</v>
      </c>
      <c r="F9" s="163">
        <v>23767899000</v>
      </c>
    </row>
    <row r="10" spans="1:6">
      <c r="A10" s="14" t="s">
        <v>88</v>
      </c>
      <c r="B10" s="163"/>
      <c r="C10" s="163"/>
      <c r="D10" s="163"/>
      <c r="E10" s="163">
        <v>2565000000</v>
      </c>
      <c r="F10" s="163">
        <v>2565000000</v>
      </c>
    </row>
    <row r="11" spans="1:6">
      <c r="A11" s="14" t="s">
        <v>170</v>
      </c>
      <c r="B11" s="163"/>
      <c r="C11" s="163"/>
      <c r="D11" s="163"/>
      <c r="E11" s="163">
        <v>31176400000</v>
      </c>
      <c r="F11" s="163">
        <v>31176400000</v>
      </c>
    </row>
    <row r="12" spans="1:6">
      <c r="A12" s="14" t="s">
        <v>80</v>
      </c>
      <c r="B12" s="163"/>
      <c r="C12" s="163">
        <v>695653000</v>
      </c>
      <c r="D12" s="163"/>
      <c r="E12" s="163">
        <v>9174020000</v>
      </c>
      <c r="F12" s="163">
        <v>9869673000</v>
      </c>
    </row>
    <row r="13" spans="1:6">
      <c r="A13" s="14" t="s">
        <v>113</v>
      </c>
      <c r="B13" s="163"/>
      <c r="C13" s="163">
        <v>2885000000</v>
      </c>
      <c r="D13" s="163">
        <v>3423325000</v>
      </c>
      <c r="E13" s="163">
        <v>32261609000</v>
      </c>
      <c r="F13" s="163">
        <v>38569934000</v>
      </c>
    </row>
    <row r="14" spans="1:6">
      <c r="A14" s="14" t="s">
        <v>164</v>
      </c>
      <c r="B14" s="163"/>
      <c r="C14" s="163"/>
      <c r="D14" s="163"/>
      <c r="E14" s="163">
        <v>17957000000</v>
      </c>
      <c r="F14" s="163">
        <v>17957000000</v>
      </c>
    </row>
    <row r="15" spans="1:6">
      <c r="A15" s="14" t="s">
        <v>840</v>
      </c>
      <c r="B15" s="163"/>
      <c r="C15" s="163"/>
      <c r="D15" s="163"/>
      <c r="E15" s="163">
        <v>65810136535</v>
      </c>
      <c r="F15" s="163">
        <v>65810136535</v>
      </c>
    </row>
    <row r="16" spans="1:6">
      <c r="A16" s="14" t="s">
        <v>825</v>
      </c>
      <c r="B16" s="163">
        <v>2265057300</v>
      </c>
      <c r="C16" s="163">
        <v>8080653000</v>
      </c>
      <c r="D16" s="163">
        <v>13737614000</v>
      </c>
      <c r="E16" s="163">
        <v>198775077635</v>
      </c>
      <c r="F16" s="163">
        <v>222858401935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2:M33"/>
  <sheetViews>
    <sheetView workbookViewId="0">
      <selection activeCell="D2" sqref="D2:D5"/>
    </sheetView>
  </sheetViews>
  <sheetFormatPr defaultColWidth="9" defaultRowHeight="15"/>
  <cols>
    <col min="8" max="8" width="11.375" bestFit="1" customWidth="1"/>
    <col min="12" max="12" width="9.125" bestFit="1" customWidth="1"/>
    <col min="13" max="13" width="35.875" bestFit="1" customWidth="1"/>
  </cols>
  <sheetData>
    <row r="2" spans="3:13">
      <c r="C2" s="1">
        <v>44562</v>
      </c>
      <c r="D2" t="s">
        <v>42</v>
      </c>
      <c r="E2" s="2" t="s">
        <v>16</v>
      </c>
      <c r="F2" s="2" t="s">
        <v>27</v>
      </c>
      <c r="G2" t="s">
        <v>23</v>
      </c>
      <c r="H2" t="s">
        <v>18</v>
      </c>
      <c r="I2" t="s">
        <v>26</v>
      </c>
      <c r="J2" t="s">
        <v>37</v>
      </c>
      <c r="L2" s="7" t="s">
        <v>841</v>
      </c>
      <c r="M2" s="8" t="s">
        <v>842</v>
      </c>
    </row>
    <row r="3" spans="3:13">
      <c r="C3" s="1">
        <f>C2+31</f>
        <v>44593</v>
      </c>
      <c r="D3" t="s">
        <v>120</v>
      </c>
      <c r="E3" s="2" t="s">
        <v>112</v>
      </c>
      <c r="F3" s="3" t="s">
        <v>370</v>
      </c>
      <c r="G3" t="s">
        <v>88</v>
      </c>
      <c r="H3" t="s">
        <v>24</v>
      </c>
      <c r="I3" t="s">
        <v>328</v>
      </c>
      <c r="J3" t="s">
        <v>25</v>
      </c>
      <c r="L3" s="9" t="s">
        <v>227</v>
      </c>
      <c r="M3" s="10" t="s">
        <v>843</v>
      </c>
    </row>
    <row r="4" spans="3:13">
      <c r="C4" s="1">
        <f t="shared" ref="C4:C25" si="0">C3+31</f>
        <v>44624</v>
      </c>
      <c r="D4" t="s">
        <v>844</v>
      </c>
      <c r="E4" t="s">
        <v>845</v>
      </c>
      <c r="G4" t="s">
        <v>80</v>
      </c>
      <c r="H4" t="s">
        <v>121</v>
      </c>
      <c r="I4" t="s">
        <v>143</v>
      </c>
      <c r="J4" t="s">
        <v>19</v>
      </c>
      <c r="L4" s="11" t="s">
        <v>846</v>
      </c>
      <c r="M4" s="12" t="s">
        <v>847</v>
      </c>
    </row>
    <row r="5" spans="3:13">
      <c r="C5" s="1">
        <f t="shared" si="0"/>
        <v>44655</v>
      </c>
      <c r="D5" t="s">
        <v>848</v>
      </c>
      <c r="G5" t="s">
        <v>113</v>
      </c>
      <c r="H5" t="s">
        <v>849</v>
      </c>
      <c r="I5" t="s">
        <v>248</v>
      </c>
      <c r="J5" t="s">
        <v>49</v>
      </c>
      <c r="L5" s="11" t="s">
        <v>195</v>
      </c>
      <c r="M5" s="12" t="s">
        <v>850</v>
      </c>
    </row>
    <row r="6" spans="3:13">
      <c r="C6" s="1">
        <f t="shared" si="0"/>
        <v>44686</v>
      </c>
      <c r="G6" t="s">
        <v>164</v>
      </c>
      <c r="H6" t="s">
        <v>776</v>
      </c>
      <c r="I6" t="s">
        <v>53</v>
      </c>
      <c r="J6" t="s">
        <v>655</v>
      </c>
      <c r="L6" s="11" t="s">
        <v>851</v>
      </c>
      <c r="M6" s="12" t="s">
        <v>852</v>
      </c>
    </row>
    <row r="7" spans="3:13">
      <c r="C7" s="1">
        <f t="shared" si="0"/>
        <v>44717</v>
      </c>
      <c r="G7" t="s">
        <v>170</v>
      </c>
      <c r="H7" t="s">
        <v>853</v>
      </c>
      <c r="I7" t="s">
        <v>81</v>
      </c>
      <c r="L7" s="11" t="s">
        <v>854</v>
      </c>
      <c r="M7" s="12" t="s">
        <v>855</v>
      </c>
    </row>
    <row r="8" spans="3:13">
      <c r="C8" s="1">
        <f t="shared" si="0"/>
        <v>44748</v>
      </c>
      <c r="G8" t="s">
        <v>117</v>
      </c>
      <c r="H8" t="s">
        <v>290</v>
      </c>
      <c r="I8" t="s">
        <v>20</v>
      </c>
      <c r="L8" s="11" t="s">
        <v>243</v>
      </c>
      <c r="M8" s="12" t="s">
        <v>856</v>
      </c>
    </row>
    <row r="9" spans="3:13">
      <c r="C9" s="1">
        <f t="shared" si="0"/>
        <v>44779</v>
      </c>
      <c r="G9" t="s">
        <v>17</v>
      </c>
      <c r="H9" t="s">
        <v>22</v>
      </c>
      <c r="I9" t="s">
        <v>369</v>
      </c>
      <c r="L9" s="11" t="s">
        <v>857</v>
      </c>
      <c r="M9" s="12" t="s">
        <v>858</v>
      </c>
    </row>
    <row r="10" spans="3:13">
      <c r="C10" s="1">
        <f t="shared" si="0"/>
        <v>44810</v>
      </c>
      <c r="G10" t="s">
        <v>96</v>
      </c>
      <c r="L10" s="11" t="s">
        <v>859</v>
      </c>
      <c r="M10" s="12" t="s">
        <v>860</v>
      </c>
    </row>
    <row r="11" spans="3:13">
      <c r="C11" s="1">
        <f t="shared" si="0"/>
        <v>44841</v>
      </c>
      <c r="G11" t="s">
        <v>120</v>
      </c>
      <c r="L11" s="11" t="s">
        <v>861</v>
      </c>
      <c r="M11" s="12" t="s">
        <v>862</v>
      </c>
    </row>
    <row r="12" spans="3:13">
      <c r="C12" s="1">
        <f t="shared" si="0"/>
        <v>44872</v>
      </c>
      <c r="G12" t="s">
        <v>863</v>
      </c>
      <c r="L12" s="11" t="s">
        <v>125</v>
      </c>
      <c r="M12" s="12" t="s">
        <v>864</v>
      </c>
    </row>
    <row r="13" spans="3:13">
      <c r="C13" s="1">
        <f t="shared" si="0"/>
        <v>44903</v>
      </c>
      <c r="G13" t="s">
        <v>48</v>
      </c>
      <c r="L13" s="11" t="s">
        <v>865</v>
      </c>
      <c r="M13" s="12" t="s">
        <v>866</v>
      </c>
    </row>
    <row r="14" spans="3:13">
      <c r="C14" s="1">
        <f t="shared" si="0"/>
        <v>44934</v>
      </c>
      <c r="G14" t="s">
        <v>43</v>
      </c>
      <c r="L14" s="11" t="s">
        <v>867</v>
      </c>
      <c r="M14" s="12" t="s">
        <v>868</v>
      </c>
    </row>
    <row r="15" spans="3:13">
      <c r="C15" s="1">
        <f t="shared" si="0"/>
        <v>44965</v>
      </c>
      <c r="L15" s="11" t="s">
        <v>128</v>
      </c>
      <c r="M15" s="12" t="s">
        <v>869</v>
      </c>
    </row>
    <row r="16" spans="3:13">
      <c r="C16" s="1">
        <f t="shared" si="0"/>
        <v>44996</v>
      </c>
      <c r="L16" s="11" t="s">
        <v>379</v>
      </c>
      <c r="M16" s="12" t="s">
        <v>870</v>
      </c>
    </row>
    <row r="17" spans="3:13">
      <c r="C17" s="1">
        <f t="shared" si="0"/>
        <v>45027</v>
      </c>
      <c r="L17" s="11" t="s">
        <v>871</v>
      </c>
      <c r="M17" s="12" t="s">
        <v>872</v>
      </c>
    </row>
    <row r="18" spans="3:13">
      <c r="C18" s="1">
        <f t="shared" si="0"/>
        <v>45058</v>
      </c>
      <c r="L18" s="11" t="s">
        <v>873</v>
      </c>
      <c r="M18" s="12" t="s">
        <v>874</v>
      </c>
    </row>
    <row r="19" spans="3:13">
      <c r="C19" s="1">
        <f t="shared" si="0"/>
        <v>45089</v>
      </c>
      <c r="L19" s="11" t="s">
        <v>184</v>
      </c>
      <c r="M19" s="12" t="s">
        <v>875</v>
      </c>
    </row>
    <row r="20" spans="3:13">
      <c r="C20" s="1">
        <f t="shared" si="0"/>
        <v>45120</v>
      </c>
    </row>
    <row r="21" spans="3:13">
      <c r="C21" s="1">
        <f t="shared" si="0"/>
        <v>45151</v>
      </c>
    </row>
    <row r="22" spans="3:13">
      <c r="C22" s="1">
        <f t="shared" si="0"/>
        <v>45182</v>
      </c>
    </row>
    <row r="23" spans="3:13">
      <c r="C23" s="1">
        <f t="shared" si="0"/>
        <v>45213</v>
      </c>
    </row>
    <row r="24" spans="3:13">
      <c r="C24" s="1">
        <f t="shared" si="0"/>
        <v>45244</v>
      </c>
    </row>
    <row r="25" spans="3:13">
      <c r="C25" s="1">
        <f t="shared" si="0"/>
        <v>45275</v>
      </c>
    </row>
    <row r="33" spans="6:6">
      <c r="F33" t="s">
        <v>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rangga.prasetya</dc:creator>
  <cp:keywords/>
  <dc:description/>
  <cp:lastModifiedBy/>
  <cp:revision/>
  <dcterms:created xsi:type="dcterms:W3CDTF">2019-03-08T07:18:00Z</dcterms:created>
  <dcterms:modified xsi:type="dcterms:W3CDTF">2026-07-24T01:24:04Z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</vt:lpwstr>
  </property>
  <property fmtid="{D5CDD505-2E9C-101B-9397-08002B2CF9AE}" pid="3" name="ICV">
    <vt:lpwstr>937971FA538E4AC4A6B68502FF996A29</vt:lpwstr>
  </property>
  <property fmtid="{D5CDD505-2E9C-101B-9397-08002B2CF9AE}" pid="4" name="KSOProductBuildVer">
    <vt:lpwstr>1033-11.2.0.11191</vt:lpwstr>
  </property>
</Properties>
</file>
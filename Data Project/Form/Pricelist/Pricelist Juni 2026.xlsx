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Form/Price List/"/>
    </mc:Choice>
  </mc:AlternateContent>
  <xr:revisionPtr revIDLastSave="0" documentId="8_{111ADFC2-23BE-4979-8365-802012356232}" xr6:coauthVersionLast="47" xr6:coauthVersionMax="47" xr10:uidLastSave="{00000000-0000-0000-0000-000000000000}"/>
  <bookViews>
    <workbookView xWindow="-108" yWindow="-108" windowWidth="23256" windowHeight="13896" xr2:uid="{31780519-9A6A-44B8-8C69-8B13A50C47A7}"/>
  </bookViews>
  <sheets>
    <sheet name="New Pricelist" sheetId="1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J">#REF!</definedName>
    <definedName name="\L">#REF!</definedName>
    <definedName name="\N">#REF!</definedName>
    <definedName name="\Q">#REF!</definedName>
    <definedName name="\R">#REF!</definedName>
    <definedName name="\S">#REF!</definedName>
    <definedName name="\V">#REF!</definedName>
    <definedName name="\X">#REF!</definedName>
    <definedName name="_\0">#REF!</definedName>
    <definedName name="_\A">#REF!</definedName>
    <definedName name="_\I">#REF!</definedName>
    <definedName name="_\K">#REF!</definedName>
    <definedName name="_\L">#REF!</definedName>
    <definedName name="_\O">#REF!</definedName>
    <definedName name="_\p">#REF!</definedName>
    <definedName name="_\Q">#REF!</definedName>
    <definedName name="_\S">#REF!</definedName>
    <definedName name="_\T">#REF!</definedName>
    <definedName name="_\U">#REF!</definedName>
    <definedName name="_\Y">#REF!</definedName>
    <definedName name="_\Z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J">#REF!</definedName>
    <definedName name="____\M">#REF!</definedName>
    <definedName name="____\N">#REF!</definedName>
    <definedName name="____\R">#REF!</definedName>
    <definedName name="____\V">#REF!</definedName>
    <definedName name="____\W">#REF!</definedName>
    <definedName name="____\WQ">#REF!</definedName>
    <definedName name="____\x">#REF!</definedName>
    <definedName name="____________________________________________________________________________________________A16500">#REF!</definedName>
    <definedName name="__________________________________________________________________________________________A16500">#REF!</definedName>
    <definedName name="________________________________________________________________________________________A16500">#REF!</definedName>
    <definedName name="______________________________________________________________________________________A16500">#REF!</definedName>
    <definedName name="____________________________________________________________________________________A16500">#REF!</definedName>
    <definedName name="__________________________________________________________________________________A16500">#REF!</definedName>
    <definedName name="________________________________________________________________________________A16500">#REF!</definedName>
    <definedName name="______________________________________________________________________________A16500">#REF!</definedName>
    <definedName name="____________________________________________________________________________A16500">#REF!</definedName>
    <definedName name="__________________________________________________________________________A16500">#REF!</definedName>
    <definedName name="___________________________________________________________________A16500">#REF!</definedName>
    <definedName name="____________________________________________________________A16500">#REF!</definedName>
    <definedName name="________________________________________________________A16500">#REF!</definedName>
    <definedName name="_____________________________________________________A16500">#REF!</definedName>
    <definedName name="_________________________________________________A16500">#REF!</definedName>
    <definedName name="___________________________________________A16500">#REF!</definedName>
    <definedName name="______________________________________A16500">#REF!</definedName>
    <definedName name="____________________________________A16500">#REF!</definedName>
    <definedName name="_______________________gk2" hidden="1">#REF!</definedName>
    <definedName name="______________________gk2" hidden="1">#REF!</definedName>
    <definedName name="_____________________gk2" hidden="1">#REF!</definedName>
    <definedName name="____________________abs100">#REF!</definedName>
    <definedName name="____________________ahu100">#REF!</definedName>
    <definedName name="____________________ahu150">#REF!</definedName>
    <definedName name="____________________ako100">#REF!</definedName>
    <definedName name="____________________ako150">#REF!</definedName>
    <definedName name="____________________ako50">#REF!</definedName>
    <definedName name="____________________ako80">#REF!</definedName>
    <definedName name="____________________aku100">#REF!</definedName>
    <definedName name="____________________aku150">#REF!</definedName>
    <definedName name="____________________bcv100">#REF!</definedName>
    <definedName name="____________________bcv150">#REF!</definedName>
    <definedName name="____________________cas80">#REF!</definedName>
    <definedName name="____________________cvd100">#REF!</definedName>
    <definedName name="____________________cvd15">#REF!</definedName>
    <definedName name="____________________cvd50">#REF!</definedName>
    <definedName name="____________________DAF10">#REF!</definedName>
    <definedName name="____________________dia6">#REF!</definedName>
    <definedName name="____________________fjd100">#REF!</definedName>
    <definedName name="____________________fjd50">#REF!</definedName>
    <definedName name="____________________fmd150">#REF!</definedName>
    <definedName name="____________________gk2" hidden="1">#REF!</definedName>
    <definedName name="____________________grc1">#REF!</definedName>
    <definedName name="____________________gvd100">#REF!</definedName>
    <definedName name="____________________gvd15">#REF!</definedName>
    <definedName name="____________________gvd25">#REF!</definedName>
    <definedName name="____________________gvd50">#REF!</definedName>
    <definedName name="____________________pab100">#REF!</definedName>
    <definedName name="____________________pab125">#REF!</definedName>
    <definedName name="____________________pab15">#REF!</definedName>
    <definedName name="____________________pab150">#REF!</definedName>
    <definedName name="____________________pab2">#REF!</definedName>
    <definedName name="____________________pab20">#REF!</definedName>
    <definedName name="____________________pab25">#REF!</definedName>
    <definedName name="____________________pab32">#REF!</definedName>
    <definedName name="____________________pab4">#REF!</definedName>
    <definedName name="____________________pab40">#REF!</definedName>
    <definedName name="____________________pab50">#REF!</definedName>
    <definedName name="____________________pab6">#REF!</definedName>
    <definedName name="____________________pab65">#REF!</definedName>
    <definedName name="____________________pab80">#REF!</definedName>
    <definedName name="____________________pah150">#REF!</definedName>
    <definedName name="____________________pak100">#REF!</definedName>
    <definedName name="____________________pak150">#REF!</definedName>
    <definedName name="____________________pak50">#REF!</definedName>
    <definedName name="____________________pak80">#REF!</definedName>
    <definedName name="____________________pbs100">#REF!</definedName>
    <definedName name="____________________pbs15">#REF!</definedName>
    <definedName name="____________________pbs50">#REF!</definedName>
    <definedName name="____________________pbs80">#REF!</definedName>
    <definedName name="____________________pc50">#REF!</definedName>
    <definedName name="____________________pc80">#REF!</definedName>
    <definedName name="____________________pcf80">#REF!</definedName>
    <definedName name="____________________ph100">#REF!</definedName>
    <definedName name="____________________ph150">#REF!</definedName>
    <definedName name="____________________phf100">#REF!</definedName>
    <definedName name="____________________phf150">#REF!</definedName>
    <definedName name="____________________pv100">#REF!</definedName>
    <definedName name="____________________pv40">#REF!</definedName>
    <definedName name="____________________pv50">#REF!</definedName>
    <definedName name="____________________pv80">#REF!</definedName>
    <definedName name="____________________pvf100">#REF!</definedName>
    <definedName name="____________________pvf80">#REF!</definedName>
    <definedName name="____________________rkl1000">#REF!</definedName>
    <definedName name="____________________rkl200">#REF!</definedName>
    <definedName name="____________________rkl300">#REF!</definedName>
    <definedName name="____________________rkl400">#REF!</definedName>
    <definedName name="____________________rkl500">#REF!</definedName>
    <definedName name="____________________rkl600">#REF!</definedName>
    <definedName name="____________________rkl700">#REF!</definedName>
    <definedName name="____________________rkl800">#REF!</definedName>
    <definedName name="____________________std100">#REF!</definedName>
    <definedName name="____________________std50">#REF!</definedName>
    <definedName name="____________________tlc20">#REF!</definedName>
    <definedName name="____________________tsv25">#REF!</definedName>
    <definedName name="____________________vnt100">#REF!</definedName>
    <definedName name="____________________vnt40">#REF!</definedName>
    <definedName name="____________________vnt50">#REF!</definedName>
    <definedName name="____________________vnt80">#REF!</definedName>
    <definedName name="___________________A16500">#REF!</definedName>
    <definedName name="___________________cod50">#REF!</definedName>
    <definedName name="___________________fdd100">#REF!</definedName>
    <definedName name="___________________fvd100">#REF!</definedName>
    <definedName name="___________________gk2" hidden="1">#REF!</definedName>
    <definedName name="___________________gvd20">#REF!</definedName>
    <definedName name="___________________gvd32">#REF!</definedName>
    <definedName name="___________________gvd40">#REF!</definedName>
    <definedName name="___________________gvd80">#REF!</definedName>
    <definedName name="___________________kr15">#REF!</definedName>
    <definedName name="___________________PL1">#REF!</definedName>
    <definedName name="___________________pvc100">#REF!</definedName>
    <definedName name="___________________pvc150">#REF!</definedName>
    <definedName name="___________________pvc20">#REF!</definedName>
    <definedName name="___________________pvc200">#REF!</definedName>
    <definedName name="___________________pvc25">#REF!</definedName>
    <definedName name="___________________pvc32">#REF!</definedName>
    <definedName name="___________________pvc40">#REF!</definedName>
    <definedName name="___________________pvc50">#REF!</definedName>
    <definedName name="___________________pvc65">#REF!</definedName>
    <definedName name="___________________pvc80">#REF!</definedName>
    <definedName name="___________________qmd15">#REF!</definedName>
    <definedName name="___________________qmd20">#REF!</definedName>
    <definedName name="___________________rdd100">#REF!</definedName>
    <definedName name="___________________rdd150">#REF!</definedName>
    <definedName name="__________________A16500">#REF!</definedName>
    <definedName name="__________________abs100">#REF!</definedName>
    <definedName name="__________________ahu100">#REF!</definedName>
    <definedName name="__________________ahu150">#REF!</definedName>
    <definedName name="__________________ako100">#REF!</definedName>
    <definedName name="__________________ako150">#REF!</definedName>
    <definedName name="__________________ako50">#REF!</definedName>
    <definedName name="__________________ako80">#REF!</definedName>
    <definedName name="__________________aku100">#REF!</definedName>
    <definedName name="__________________aku150">#REF!</definedName>
    <definedName name="__________________alt1">#REF!</definedName>
    <definedName name="__________________APP3">#REF!</definedName>
    <definedName name="__________________bcv100">#REF!</definedName>
    <definedName name="__________________bcv125">#REF!</definedName>
    <definedName name="__________________bcv150">#REF!</definedName>
    <definedName name="__________________cas80">#REF!</definedName>
    <definedName name="__________________cvd100">#REF!</definedName>
    <definedName name="__________________cvd15">#REF!</definedName>
    <definedName name="__________________cvd150">#REF!</definedName>
    <definedName name="__________________cvd50">#REF!</definedName>
    <definedName name="__________________cvd65">#REF!</definedName>
    <definedName name="__________________daf1">#REF!</definedName>
    <definedName name="__________________DAF10">#REF!</definedName>
    <definedName name="__________________daf2">#REF!</definedName>
    <definedName name="__________________daf31">#REF!</definedName>
    <definedName name="__________________daf32">#REF!</definedName>
    <definedName name="__________________daf33">#REF!</definedName>
    <definedName name="__________________dia6">#REF!</definedName>
    <definedName name="__________________fjd100">#REF!</definedName>
    <definedName name="__________________fjd150">#REF!</definedName>
    <definedName name="__________________fjd50">#REF!</definedName>
    <definedName name="__________________fjd65">#REF!</definedName>
    <definedName name="__________________fmd150">#REF!</definedName>
    <definedName name="__________________gk2" hidden="1">#REF!</definedName>
    <definedName name="__________________grc1">#REF!</definedName>
    <definedName name="__________________gti50">#REF!</definedName>
    <definedName name="__________________gti60">#REF!</definedName>
    <definedName name="__________________gvd100">#REF!</definedName>
    <definedName name="__________________gvd15">#REF!</definedName>
    <definedName name="__________________gvd150">#REF!</definedName>
    <definedName name="__________________gvd25">#REF!</definedName>
    <definedName name="__________________gvd50">#REF!</definedName>
    <definedName name="__________________gvd65">#REF!</definedName>
    <definedName name="__________________hdw1">#REF!</definedName>
    <definedName name="__________________pab100">#REF!</definedName>
    <definedName name="__________________pab125">#REF!</definedName>
    <definedName name="__________________pab15">#REF!</definedName>
    <definedName name="__________________pab150">#REF!</definedName>
    <definedName name="__________________pab2">#REF!</definedName>
    <definedName name="__________________pab20">#REF!</definedName>
    <definedName name="__________________pab25">#REF!</definedName>
    <definedName name="__________________pab32">#REF!</definedName>
    <definedName name="__________________pab4">#REF!</definedName>
    <definedName name="__________________pab40">#REF!</definedName>
    <definedName name="__________________pab50">#REF!</definedName>
    <definedName name="__________________pab6">#REF!</definedName>
    <definedName name="__________________pab65">#REF!</definedName>
    <definedName name="__________________pab80">#REF!</definedName>
    <definedName name="__________________pah150">#REF!</definedName>
    <definedName name="__________________pak100">#REF!</definedName>
    <definedName name="__________________pak150">#REF!</definedName>
    <definedName name="__________________pak50">#REF!</definedName>
    <definedName name="__________________pak80">#REF!</definedName>
    <definedName name="__________________pbs100">#REF!</definedName>
    <definedName name="__________________pbs15">#REF!</definedName>
    <definedName name="__________________pbs150">#REF!</definedName>
    <definedName name="__________________pbs40">#REF!</definedName>
    <definedName name="__________________pbs50">#REF!</definedName>
    <definedName name="__________________pbs65">#REF!</definedName>
    <definedName name="__________________pbs80">#REF!</definedName>
    <definedName name="__________________pc50">#REF!</definedName>
    <definedName name="__________________pc80">#REF!</definedName>
    <definedName name="__________________pcf80">#REF!</definedName>
    <definedName name="__________________ph100">#REF!</definedName>
    <definedName name="__________________ph150">#REF!</definedName>
    <definedName name="__________________phf100">#REF!</definedName>
    <definedName name="__________________phf150">#REF!</definedName>
    <definedName name="__________________PL1">#REF!</definedName>
    <definedName name="__________________PL2">#REF!</definedName>
    <definedName name="__________________PL3">#REF!</definedName>
    <definedName name="__________________pv100">#REF!</definedName>
    <definedName name="__________________pv40">#REF!</definedName>
    <definedName name="__________________pv50">#REF!</definedName>
    <definedName name="__________________pv80">#REF!</definedName>
    <definedName name="__________________pvf100">#REF!</definedName>
    <definedName name="__________________pvf80">#REF!</definedName>
    <definedName name="__________________rk100">#REF!</definedName>
    <definedName name="__________________rk200">#REF!</definedName>
    <definedName name="__________________rk300">#REF!</definedName>
    <definedName name="__________________rk600">#REF!</definedName>
    <definedName name="__________________rkl1000">#REF!</definedName>
    <definedName name="__________________rkl1200">#REF!</definedName>
    <definedName name="__________________rkl200">#REF!</definedName>
    <definedName name="__________________rkl300">#REF!</definedName>
    <definedName name="__________________rkl400">#REF!</definedName>
    <definedName name="__________________rkl500">#REF!</definedName>
    <definedName name="__________________rkl600">#REF!</definedName>
    <definedName name="__________________rkl700">#REF!</definedName>
    <definedName name="__________________rkl800">#REF!</definedName>
    <definedName name="__________________sfv150">#REF!</definedName>
    <definedName name="__________________std100">#REF!</definedName>
    <definedName name="__________________std150">#REF!</definedName>
    <definedName name="__________________std50">#REF!</definedName>
    <definedName name="__________________std65">#REF!</definedName>
    <definedName name="__________________tlc20">#REF!</definedName>
    <definedName name="__________________tsI3">#REF!</definedName>
    <definedName name="__________________tsv25">#REF!</definedName>
    <definedName name="__________________vnt100">#REF!</definedName>
    <definedName name="__________________vnt40">#REF!</definedName>
    <definedName name="__________________vnt50">#REF!</definedName>
    <definedName name="__________________vnt80">#REF!</definedName>
    <definedName name="_________________abs100">#REF!</definedName>
    <definedName name="_________________ahu100">#REF!</definedName>
    <definedName name="_________________ahu150">#REF!</definedName>
    <definedName name="_________________ako100">#REF!</definedName>
    <definedName name="_________________ako150">#REF!</definedName>
    <definedName name="_________________ako50">#REF!</definedName>
    <definedName name="_________________ako80">#REF!</definedName>
    <definedName name="_________________aku100">#REF!</definedName>
    <definedName name="_________________aku150">#REF!</definedName>
    <definedName name="_________________bcv100">#REF!</definedName>
    <definedName name="_________________bcv125">#REF!</definedName>
    <definedName name="_________________bcv150">#REF!</definedName>
    <definedName name="_________________cas80">#REF!</definedName>
    <definedName name="_________________cod50">#REF!</definedName>
    <definedName name="_________________cvd100">#REF!</definedName>
    <definedName name="_________________cvd15">#REF!</definedName>
    <definedName name="_________________cvd150">#REF!</definedName>
    <definedName name="_________________cvd50">#REF!</definedName>
    <definedName name="_________________cvd65">#REF!</definedName>
    <definedName name="_________________daf1">#REF!</definedName>
    <definedName name="_________________DAF10">#REF!</definedName>
    <definedName name="_________________daf2">#REF!</definedName>
    <definedName name="_________________daf31">#REF!</definedName>
    <definedName name="_________________daf32">#REF!</definedName>
    <definedName name="_________________daf33">#REF!</definedName>
    <definedName name="_________________dia6">#REF!</definedName>
    <definedName name="_________________fdd100">#REF!</definedName>
    <definedName name="_________________fjd100">#REF!</definedName>
    <definedName name="_________________fjd150">#REF!</definedName>
    <definedName name="_________________fjd50">#REF!</definedName>
    <definedName name="_________________fjd65">#REF!</definedName>
    <definedName name="_________________fmd150">#REF!</definedName>
    <definedName name="_________________fvd100">#REF!</definedName>
    <definedName name="_________________gk2" hidden="1">#REF!</definedName>
    <definedName name="_________________grc1">#REF!</definedName>
    <definedName name="_________________gti50">#REF!</definedName>
    <definedName name="_________________gti60">#REF!</definedName>
    <definedName name="_________________gvd100">#REF!</definedName>
    <definedName name="_________________gvd15">#REF!</definedName>
    <definedName name="_________________gvd150">#REF!</definedName>
    <definedName name="_________________gvd20">#REF!</definedName>
    <definedName name="_________________gvd25">#REF!</definedName>
    <definedName name="_________________gvd32">#REF!</definedName>
    <definedName name="_________________gvd40">#REF!</definedName>
    <definedName name="_________________gvd50">#REF!</definedName>
    <definedName name="_________________gvd65">#REF!</definedName>
    <definedName name="_________________gvd80">#REF!</definedName>
    <definedName name="_________________hdw1">#REF!</definedName>
    <definedName name="_________________jab1">#REF!</definedName>
    <definedName name="_________________kr15">#REF!</definedName>
    <definedName name="_________________MDE01">#REF!</definedName>
    <definedName name="_________________MDE02">#REF!</definedName>
    <definedName name="_________________MDE03">#REF!</definedName>
    <definedName name="_________________MDE04">#REF!</definedName>
    <definedName name="_________________MDE05">#REF!</definedName>
    <definedName name="_________________MDE06">#REF!</definedName>
    <definedName name="_________________MDE07">#REF!</definedName>
    <definedName name="_________________MDE08">#REF!</definedName>
    <definedName name="_________________MDE09">#REF!</definedName>
    <definedName name="_________________MDE10">#REF!</definedName>
    <definedName name="_________________MDE11">#REF!</definedName>
    <definedName name="_________________MDE12">#REF!</definedName>
    <definedName name="_________________MDE13">#REF!</definedName>
    <definedName name="_________________MDE14">#REF!</definedName>
    <definedName name="_________________MDE15">#REF!</definedName>
    <definedName name="_________________MDE16">#REF!</definedName>
    <definedName name="_________________MDE17">#REF!</definedName>
    <definedName name="_________________MDE18">#REF!</definedName>
    <definedName name="_________________MDE19">#REF!</definedName>
    <definedName name="_________________MDE20">#REF!</definedName>
    <definedName name="_________________MDE21">#REF!</definedName>
    <definedName name="_________________MDE22">#REF!</definedName>
    <definedName name="_________________MDE23">#REF!</definedName>
    <definedName name="_________________MDE24">#REF!</definedName>
    <definedName name="_________________MDE25">#REF!</definedName>
    <definedName name="_________________MDE26">#REF!</definedName>
    <definedName name="_________________MDE27">#REF!</definedName>
    <definedName name="_________________MDE28">#REF!</definedName>
    <definedName name="_________________MDE29">#REF!</definedName>
    <definedName name="_________________MDE30">#REF!</definedName>
    <definedName name="_________________MDE31">#REF!</definedName>
    <definedName name="_________________MDE32">#REF!</definedName>
    <definedName name="_________________MDE33">#REF!</definedName>
    <definedName name="_________________MDE34">#REF!</definedName>
    <definedName name="_________________ME01">#REF!</definedName>
    <definedName name="_________________ME02">#REF!</definedName>
    <definedName name="_________________ME03">#REF!</definedName>
    <definedName name="_________________ME04">#REF!</definedName>
    <definedName name="_________________ME05">#REF!</definedName>
    <definedName name="_________________ME06">#REF!</definedName>
    <definedName name="_________________ME07">#REF!</definedName>
    <definedName name="_________________ME08">#REF!</definedName>
    <definedName name="_________________ME09">#REF!</definedName>
    <definedName name="_________________ME10">#REF!</definedName>
    <definedName name="_________________ME11">#REF!</definedName>
    <definedName name="_________________ME12">#REF!</definedName>
    <definedName name="_________________ME13">#REF!</definedName>
    <definedName name="_________________ME14">#REF!</definedName>
    <definedName name="_________________ME15">#REF!</definedName>
    <definedName name="_________________ME16">#REF!</definedName>
    <definedName name="_________________ME17">#REF!</definedName>
    <definedName name="_________________ME18">#REF!</definedName>
    <definedName name="_________________ME19">#REF!</definedName>
    <definedName name="_________________ME20">#REF!</definedName>
    <definedName name="_________________ME21">#REF!</definedName>
    <definedName name="_________________ME22">#REF!</definedName>
    <definedName name="_________________ME23">#REF!</definedName>
    <definedName name="_________________ME24">#REF!</definedName>
    <definedName name="_________________ME25">#REF!</definedName>
    <definedName name="_________________ME26">#REF!</definedName>
    <definedName name="_________________ME27">#REF!</definedName>
    <definedName name="_________________ME28">#REF!</definedName>
    <definedName name="_________________ME29">#REF!</definedName>
    <definedName name="_________________ME30">#REF!</definedName>
    <definedName name="_________________ME31">#REF!</definedName>
    <definedName name="_________________ME32">#REF!</definedName>
    <definedName name="_________________ME33">#REF!</definedName>
    <definedName name="_________________ME34">#REF!</definedName>
    <definedName name="_________________pab100">#REF!</definedName>
    <definedName name="_________________pab125">#REF!</definedName>
    <definedName name="_________________pab15">#REF!</definedName>
    <definedName name="_________________pab150">#REF!</definedName>
    <definedName name="_________________pab2">#REF!</definedName>
    <definedName name="_________________pab20">#REF!</definedName>
    <definedName name="_________________pab25">#REF!</definedName>
    <definedName name="_________________pab32">#REF!</definedName>
    <definedName name="_________________pab4">#REF!</definedName>
    <definedName name="_________________pab40">#REF!</definedName>
    <definedName name="_________________pab50">#REF!</definedName>
    <definedName name="_________________pab6">#REF!</definedName>
    <definedName name="_________________pab65">#REF!</definedName>
    <definedName name="_________________pab80">#REF!</definedName>
    <definedName name="_________________pah150">#REF!</definedName>
    <definedName name="_________________pak100">#REF!</definedName>
    <definedName name="_________________pak150">#REF!</definedName>
    <definedName name="_________________pak50">#REF!</definedName>
    <definedName name="_________________pak80">#REF!</definedName>
    <definedName name="_________________pbs100">#REF!</definedName>
    <definedName name="_________________pbs15">#REF!</definedName>
    <definedName name="_________________pbs150">#REF!</definedName>
    <definedName name="_________________pbs40">#REF!</definedName>
    <definedName name="_________________pbs50">#REF!</definedName>
    <definedName name="_________________pbs65">#REF!</definedName>
    <definedName name="_________________pbs80">#REF!</definedName>
    <definedName name="_________________pc50">#REF!</definedName>
    <definedName name="_________________pc80">#REF!</definedName>
    <definedName name="_________________pcf80">#REF!</definedName>
    <definedName name="_________________ph100">#REF!</definedName>
    <definedName name="_________________ph150">#REF!</definedName>
    <definedName name="_________________phf100">#REF!</definedName>
    <definedName name="_________________phf150">#REF!</definedName>
    <definedName name="_________________PL1">#REF!</definedName>
    <definedName name="_________________PL2">#REF!</definedName>
    <definedName name="_________________PL3">#REF!</definedName>
    <definedName name="_________________pv100">#REF!</definedName>
    <definedName name="_________________pv40">#REF!</definedName>
    <definedName name="_________________pv50">#REF!</definedName>
    <definedName name="_________________pv80">#REF!</definedName>
    <definedName name="_________________pvc100">#REF!</definedName>
    <definedName name="_________________pvc150">#REF!</definedName>
    <definedName name="_________________pvc20">#REF!</definedName>
    <definedName name="_________________pvc200">#REF!</definedName>
    <definedName name="_________________pvc25">#REF!</definedName>
    <definedName name="_________________pvc32">#REF!</definedName>
    <definedName name="_________________pvc40">#REF!</definedName>
    <definedName name="_________________pvc50">#REF!</definedName>
    <definedName name="_________________pvc65">#REF!</definedName>
    <definedName name="_________________pvc80">#REF!</definedName>
    <definedName name="_________________pvf100">#REF!</definedName>
    <definedName name="_________________pvf80">#REF!</definedName>
    <definedName name="_________________qmd15">#REF!</definedName>
    <definedName name="_________________qmd20">#REF!</definedName>
    <definedName name="_________________rdd100">#REF!</definedName>
    <definedName name="_________________rdd150">#REF!</definedName>
    <definedName name="_________________rk100">#REF!</definedName>
    <definedName name="_________________rk200">#REF!</definedName>
    <definedName name="_________________rk300">#REF!</definedName>
    <definedName name="_________________rk600">#REF!</definedName>
    <definedName name="_________________rkl1000">#REF!</definedName>
    <definedName name="_________________rkl1200">#REF!</definedName>
    <definedName name="_________________rkl200">#REF!</definedName>
    <definedName name="_________________rkl300">#REF!</definedName>
    <definedName name="_________________rkl400">#REF!</definedName>
    <definedName name="_________________rkl500">#REF!</definedName>
    <definedName name="_________________rkl600">#REF!</definedName>
    <definedName name="_________________rkl700">#REF!</definedName>
    <definedName name="_________________rkl800">#REF!</definedName>
    <definedName name="_________________sfv150">#REF!</definedName>
    <definedName name="_________________std100">#REF!</definedName>
    <definedName name="_________________std150">#REF!</definedName>
    <definedName name="_________________std50">#REF!</definedName>
    <definedName name="_________________std65">#REF!</definedName>
    <definedName name="_________________tlc20">#REF!</definedName>
    <definedName name="_________________tsv25">#REF!</definedName>
    <definedName name="_________________vnt100">#REF!</definedName>
    <definedName name="_________________vnt40">#REF!</definedName>
    <definedName name="_________________vnt50">#REF!</definedName>
    <definedName name="_________________vnt80">#REF!</definedName>
    <definedName name="________________AAD3">HAJIME:OWARI</definedName>
    <definedName name="________________abs100">#REF!</definedName>
    <definedName name="________________ADD2">STOP:STOPE</definedName>
    <definedName name="________________ADD3">STOP:STOPE</definedName>
    <definedName name="________________ahu100">#REF!</definedName>
    <definedName name="________________ahu150">#REF!</definedName>
    <definedName name="________________ako100">#REF!</definedName>
    <definedName name="________________ako150">#REF!</definedName>
    <definedName name="________________ako50">#REF!</definedName>
    <definedName name="________________ako80">#REF!</definedName>
    <definedName name="________________aku100">#REF!</definedName>
    <definedName name="________________aku150">#REF!</definedName>
    <definedName name="________________alt1">#REF!</definedName>
    <definedName name="________________APP3">#REF!</definedName>
    <definedName name="________________bcv100">#REF!</definedName>
    <definedName name="________________bcv125">#REF!</definedName>
    <definedName name="________________bcv150">#REF!</definedName>
    <definedName name="________________cas80">#REF!</definedName>
    <definedName name="________________cvd100">#REF!</definedName>
    <definedName name="________________cvd15">#REF!</definedName>
    <definedName name="________________cvd150">#REF!</definedName>
    <definedName name="________________cvd50">#REF!</definedName>
    <definedName name="________________cvd65">#REF!</definedName>
    <definedName name="________________daf1">#REF!</definedName>
    <definedName name="________________DAF10">#REF!</definedName>
    <definedName name="________________daf2">#REF!</definedName>
    <definedName name="________________daf31">#REF!</definedName>
    <definedName name="________________daf32">#REF!</definedName>
    <definedName name="________________daf33">#REF!</definedName>
    <definedName name="________________dia6">#REF!</definedName>
    <definedName name="________________fjd100">#REF!</definedName>
    <definedName name="________________fjd150">#REF!</definedName>
    <definedName name="________________fjd50">#REF!</definedName>
    <definedName name="________________fjd65">#REF!</definedName>
    <definedName name="________________fmd150">#REF!</definedName>
    <definedName name="________________gk2" hidden="1">#REF!</definedName>
    <definedName name="________________grc1">#REF!</definedName>
    <definedName name="________________gti50">#REF!</definedName>
    <definedName name="________________gti60">#REF!</definedName>
    <definedName name="________________gvd100">#REF!</definedName>
    <definedName name="________________gvd15">#REF!</definedName>
    <definedName name="________________gvd150">#REF!</definedName>
    <definedName name="________________gvd25">#REF!</definedName>
    <definedName name="________________gvd50">#REF!</definedName>
    <definedName name="________________gvd65">#REF!</definedName>
    <definedName name="________________hdw1">#REF!</definedName>
    <definedName name="________________new5">HAJIME:OWARI</definedName>
    <definedName name="________________pab100">#REF!</definedName>
    <definedName name="________________pab125">#REF!</definedName>
    <definedName name="________________pab15">#REF!</definedName>
    <definedName name="________________pab150">#REF!</definedName>
    <definedName name="________________pab2">#REF!</definedName>
    <definedName name="________________pab20">#REF!</definedName>
    <definedName name="________________pab25">#REF!</definedName>
    <definedName name="________________pab32">#REF!</definedName>
    <definedName name="________________pab4">#REF!</definedName>
    <definedName name="________________pab40">#REF!</definedName>
    <definedName name="________________pab50">#REF!</definedName>
    <definedName name="________________pab6">#REF!</definedName>
    <definedName name="________________pab65">#REF!</definedName>
    <definedName name="________________pab80">#REF!</definedName>
    <definedName name="________________pah150">#REF!</definedName>
    <definedName name="________________pak100">#REF!</definedName>
    <definedName name="________________pak150">#REF!</definedName>
    <definedName name="________________pak50">#REF!</definedName>
    <definedName name="________________pak80">#REF!</definedName>
    <definedName name="________________pbs100">#REF!</definedName>
    <definedName name="________________pbs15">#REF!</definedName>
    <definedName name="________________pbs150">#REF!</definedName>
    <definedName name="________________pbs40">#REF!</definedName>
    <definedName name="________________pbs50">#REF!</definedName>
    <definedName name="________________pbs65">#REF!</definedName>
    <definedName name="________________pbs80">#REF!</definedName>
    <definedName name="________________pc50">#REF!</definedName>
    <definedName name="________________pc80">#REF!</definedName>
    <definedName name="________________pcf80">#REF!</definedName>
    <definedName name="________________ph100">#REF!</definedName>
    <definedName name="________________ph150">#REF!</definedName>
    <definedName name="________________phf100">#REF!</definedName>
    <definedName name="________________phf150">#REF!</definedName>
    <definedName name="________________PL1">#REF!</definedName>
    <definedName name="________________PL2">#REF!</definedName>
    <definedName name="________________PL3">#REF!</definedName>
    <definedName name="________________pv100">#REF!</definedName>
    <definedName name="________________pv40">#REF!</definedName>
    <definedName name="________________pv50">#REF!</definedName>
    <definedName name="________________pv80">#REF!</definedName>
    <definedName name="________________pvf100">#REF!</definedName>
    <definedName name="________________pvf80">#REF!</definedName>
    <definedName name="________________rk100">#REF!</definedName>
    <definedName name="________________rk200">#REF!</definedName>
    <definedName name="________________rk300">#REF!</definedName>
    <definedName name="________________rk600">#REF!</definedName>
    <definedName name="________________rkl1000">#REF!</definedName>
    <definedName name="________________rkl1200">#REF!</definedName>
    <definedName name="________________rkl200">#REF!</definedName>
    <definedName name="________________rkl300">#REF!</definedName>
    <definedName name="________________rkl400">#REF!</definedName>
    <definedName name="________________rkl500">#REF!</definedName>
    <definedName name="________________rkl600">#REF!</definedName>
    <definedName name="________________rkl700">#REF!</definedName>
    <definedName name="________________rkl800">#REF!</definedName>
    <definedName name="________________sfv150">#REF!</definedName>
    <definedName name="________________std100">#REF!</definedName>
    <definedName name="________________std150">#REF!</definedName>
    <definedName name="________________std50">#REF!</definedName>
    <definedName name="________________std65">#REF!</definedName>
    <definedName name="________________tlc20">#REF!</definedName>
    <definedName name="________________tsI3">#REF!</definedName>
    <definedName name="________________tsv25">#REF!</definedName>
    <definedName name="________________vnt100">#REF!</definedName>
    <definedName name="________________vnt40">#REF!</definedName>
    <definedName name="________________vnt50">#REF!</definedName>
    <definedName name="________________vnt80">#REF!</definedName>
    <definedName name="_______________abs100">#REF!</definedName>
    <definedName name="_______________ahu100">#REF!</definedName>
    <definedName name="_______________ahu150">#REF!</definedName>
    <definedName name="_______________ako100">#REF!</definedName>
    <definedName name="_______________ako150">#REF!</definedName>
    <definedName name="_______________ako50">#REF!</definedName>
    <definedName name="_______________ako80">#REF!</definedName>
    <definedName name="_______________aku100">#REF!</definedName>
    <definedName name="_______________aku150">#REF!</definedName>
    <definedName name="_______________bcv100">#REF!</definedName>
    <definedName name="_______________bcv125">#REF!</definedName>
    <definedName name="_______________bcv150">#REF!</definedName>
    <definedName name="_______________cas80">#REF!</definedName>
    <definedName name="_______________cod50">#REF!</definedName>
    <definedName name="_______________cvd100">#REF!</definedName>
    <definedName name="_______________cvd15">#REF!</definedName>
    <definedName name="_______________cvd150">#REF!</definedName>
    <definedName name="_______________cvd50">#REF!</definedName>
    <definedName name="_______________cvd65">#REF!</definedName>
    <definedName name="_______________daf1">#REF!</definedName>
    <definedName name="_______________DAF10">#REF!</definedName>
    <definedName name="_______________daf2">#REF!</definedName>
    <definedName name="_______________daf31">#REF!</definedName>
    <definedName name="_______________daf32">#REF!</definedName>
    <definedName name="_______________daf33">#REF!</definedName>
    <definedName name="_______________dia6">#REF!</definedName>
    <definedName name="_______________fdd100">#REF!</definedName>
    <definedName name="_______________fjd100">#REF!</definedName>
    <definedName name="_______________fjd150">#REF!</definedName>
    <definedName name="_______________fjd50">#REF!</definedName>
    <definedName name="_______________fjd65">#REF!</definedName>
    <definedName name="_______________fmd150">#REF!</definedName>
    <definedName name="_______________fvd100">#REF!</definedName>
    <definedName name="_______________gk2" hidden="1">#REF!</definedName>
    <definedName name="_______________grc1">#REF!</definedName>
    <definedName name="_______________gti50">#REF!</definedName>
    <definedName name="_______________gti60">#REF!</definedName>
    <definedName name="_______________gvd100">#REF!</definedName>
    <definedName name="_______________gvd15">#REF!</definedName>
    <definedName name="_______________gvd150">#REF!</definedName>
    <definedName name="_______________gvd20">#REF!</definedName>
    <definedName name="_______________gvd25">#REF!</definedName>
    <definedName name="_______________gvd32">#REF!</definedName>
    <definedName name="_______________gvd40">#REF!</definedName>
    <definedName name="_______________gvd50">#REF!</definedName>
    <definedName name="_______________gvd65">#REF!</definedName>
    <definedName name="_______________gvd80">#REF!</definedName>
    <definedName name="_______________hdw1">#REF!</definedName>
    <definedName name="_______________jab1">#REF!</definedName>
    <definedName name="_______________kr15">#REF!</definedName>
    <definedName name="_______________MDE01">#REF!</definedName>
    <definedName name="_______________MDE02">#REF!</definedName>
    <definedName name="_______________MDE03">#REF!</definedName>
    <definedName name="_______________MDE04">#REF!</definedName>
    <definedName name="_______________MDE05">#REF!</definedName>
    <definedName name="_______________MDE06">#REF!</definedName>
    <definedName name="_______________MDE07">#REF!</definedName>
    <definedName name="_______________MDE08">#REF!</definedName>
    <definedName name="_______________MDE09">#REF!</definedName>
    <definedName name="_______________MDE10">#REF!</definedName>
    <definedName name="_______________MDE11">#REF!</definedName>
    <definedName name="_______________MDE12">#REF!</definedName>
    <definedName name="_______________MDE13">#REF!</definedName>
    <definedName name="_______________MDE14">#REF!</definedName>
    <definedName name="_______________MDE15">#REF!</definedName>
    <definedName name="_______________MDE16">#REF!</definedName>
    <definedName name="_______________MDE17">#REF!</definedName>
    <definedName name="_______________MDE18">#REF!</definedName>
    <definedName name="_______________MDE19">#REF!</definedName>
    <definedName name="_______________MDE20">#REF!</definedName>
    <definedName name="_______________MDE21">#REF!</definedName>
    <definedName name="_______________MDE22">#REF!</definedName>
    <definedName name="_______________MDE23">#REF!</definedName>
    <definedName name="_______________MDE24">#REF!</definedName>
    <definedName name="_______________MDE25">#REF!</definedName>
    <definedName name="_______________MDE26">#REF!</definedName>
    <definedName name="_______________MDE27">#REF!</definedName>
    <definedName name="_______________MDE28">#REF!</definedName>
    <definedName name="_______________MDE29">#REF!</definedName>
    <definedName name="_______________MDE30">#REF!</definedName>
    <definedName name="_______________MDE31">#REF!</definedName>
    <definedName name="_______________MDE32">#REF!</definedName>
    <definedName name="_______________MDE33">#REF!</definedName>
    <definedName name="_______________MDE34">#REF!</definedName>
    <definedName name="_______________ME01">#REF!</definedName>
    <definedName name="_______________ME02">#REF!</definedName>
    <definedName name="_______________ME03">#REF!</definedName>
    <definedName name="_______________ME04">#REF!</definedName>
    <definedName name="_______________ME05">#REF!</definedName>
    <definedName name="_______________ME06">#REF!</definedName>
    <definedName name="_______________ME07">#REF!</definedName>
    <definedName name="_______________ME08">#REF!</definedName>
    <definedName name="_______________ME09">#REF!</definedName>
    <definedName name="_______________ME10">#REF!</definedName>
    <definedName name="_______________ME11">#REF!</definedName>
    <definedName name="_______________ME12">#REF!</definedName>
    <definedName name="_______________ME13">#REF!</definedName>
    <definedName name="_______________ME14">#REF!</definedName>
    <definedName name="_______________ME15">#REF!</definedName>
    <definedName name="_______________ME16">#REF!</definedName>
    <definedName name="_______________ME17">#REF!</definedName>
    <definedName name="_______________ME18">#REF!</definedName>
    <definedName name="_______________ME19">#REF!</definedName>
    <definedName name="_______________ME20">#REF!</definedName>
    <definedName name="_______________ME21">#REF!</definedName>
    <definedName name="_______________ME22">#REF!</definedName>
    <definedName name="_______________ME23">#REF!</definedName>
    <definedName name="_______________ME24">#REF!</definedName>
    <definedName name="_______________ME25">#REF!</definedName>
    <definedName name="_______________ME26">#REF!</definedName>
    <definedName name="_______________ME27">#REF!</definedName>
    <definedName name="_______________ME28">#REF!</definedName>
    <definedName name="_______________ME29">#REF!</definedName>
    <definedName name="_______________ME30">#REF!</definedName>
    <definedName name="_______________ME31">#REF!</definedName>
    <definedName name="_______________ME32">#REF!</definedName>
    <definedName name="_______________ME33">#REF!</definedName>
    <definedName name="_______________ME34">#REF!</definedName>
    <definedName name="_______________nm1">#REF!</definedName>
    <definedName name="_______________pab100">#REF!</definedName>
    <definedName name="_______________pab125">#REF!</definedName>
    <definedName name="_______________pab15">#REF!</definedName>
    <definedName name="_______________pab150">#REF!</definedName>
    <definedName name="_______________pab2">#REF!</definedName>
    <definedName name="_______________pab20">#REF!</definedName>
    <definedName name="_______________pab25">#REF!</definedName>
    <definedName name="_______________pab32">#REF!</definedName>
    <definedName name="_______________pab4">#REF!</definedName>
    <definedName name="_______________pab40">#REF!</definedName>
    <definedName name="_______________pab50">#REF!</definedName>
    <definedName name="_______________pab6">#REF!</definedName>
    <definedName name="_______________pab65">#REF!</definedName>
    <definedName name="_______________pab80">#REF!</definedName>
    <definedName name="_______________pah150">#REF!</definedName>
    <definedName name="_______________pak100">#REF!</definedName>
    <definedName name="_______________pak150">#REF!</definedName>
    <definedName name="_______________pak50">#REF!</definedName>
    <definedName name="_______________pak80">#REF!</definedName>
    <definedName name="_______________pbs100">#REF!</definedName>
    <definedName name="_______________pbs15">#REF!</definedName>
    <definedName name="_______________pbs150">#REF!</definedName>
    <definedName name="_______________pbs40">#REF!</definedName>
    <definedName name="_______________pbs50">#REF!</definedName>
    <definedName name="_______________pbs65">#REF!</definedName>
    <definedName name="_______________pbs80">#REF!</definedName>
    <definedName name="_______________pc50">#REF!</definedName>
    <definedName name="_______________pc80">#REF!</definedName>
    <definedName name="_______________pcf80">#REF!</definedName>
    <definedName name="_______________ph100">#REF!</definedName>
    <definedName name="_______________ph150">#REF!</definedName>
    <definedName name="_______________phf100">#REF!</definedName>
    <definedName name="_______________phf150">#REF!</definedName>
    <definedName name="_______________PL1">#REF!</definedName>
    <definedName name="_______________PL2">#REF!</definedName>
    <definedName name="_______________PL3">#REF!</definedName>
    <definedName name="_______________pv100">#REF!</definedName>
    <definedName name="_______________pv40">#REF!</definedName>
    <definedName name="_______________pv50">#REF!</definedName>
    <definedName name="_______________pv80">#REF!</definedName>
    <definedName name="_______________pvc100">#REF!</definedName>
    <definedName name="_______________pvc150">#REF!</definedName>
    <definedName name="_______________pvc20">#REF!</definedName>
    <definedName name="_______________pvc200">#REF!</definedName>
    <definedName name="_______________pvc25">#REF!</definedName>
    <definedName name="_______________pvc32">#REF!</definedName>
    <definedName name="_______________pvc40">#REF!</definedName>
    <definedName name="_______________pvc50">#REF!</definedName>
    <definedName name="_______________pvc65">#REF!</definedName>
    <definedName name="_______________pvc80">#REF!</definedName>
    <definedName name="_______________pvf100">#REF!</definedName>
    <definedName name="_______________pvf80">#REF!</definedName>
    <definedName name="_______________PW1">#REF!</definedName>
    <definedName name="_______________PW2">#REF!</definedName>
    <definedName name="_______________qmd15">#REF!</definedName>
    <definedName name="_______________qmd20">#REF!</definedName>
    <definedName name="_______________rdd100">#REF!</definedName>
    <definedName name="_______________rdd150">#REF!</definedName>
    <definedName name="_______________rk100">#REF!</definedName>
    <definedName name="_______________rk200">#REF!</definedName>
    <definedName name="_______________rk300">#REF!</definedName>
    <definedName name="_______________rk600">#REF!</definedName>
    <definedName name="_______________rkl1000">#REF!</definedName>
    <definedName name="_______________rkl1200">#REF!</definedName>
    <definedName name="_______________rkl200">#REF!</definedName>
    <definedName name="_______________rkl300">#REF!</definedName>
    <definedName name="_______________rkl400">#REF!</definedName>
    <definedName name="_______________rkl500">#REF!</definedName>
    <definedName name="_______________rkl600">#REF!</definedName>
    <definedName name="_______________rkl700">#REF!</definedName>
    <definedName name="_______________rkl800">#REF!</definedName>
    <definedName name="_______________sfv150">#REF!</definedName>
    <definedName name="_______________std100">#REF!</definedName>
    <definedName name="_______________std150">#REF!</definedName>
    <definedName name="_______________std50">#REF!</definedName>
    <definedName name="_______________std65">#REF!</definedName>
    <definedName name="_______________tgl1">#REF!</definedName>
    <definedName name="_______________tlc20">#REF!</definedName>
    <definedName name="_______________tsv25">#REF!</definedName>
    <definedName name="_______________vnt100">#REF!</definedName>
    <definedName name="_______________vnt40">#REF!</definedName>
    <definedName name="_______________vnt50">#REF!</definedName>
    <definedName name="_______________vnt80">#REF!</definedName>
    <definedName name="______________A16500">#REF!</definedName>
    <definedName name="______________AAD3">HAJIME:OWARI</definedName>
    <definedName name="______________abs100">#REF!</definedName>
    <definedName name="______________ADD2">STOP:STOPE</definedName>
    <definedName name="______________ADD3">STOP:STOPE</definedName>
    <definedName name="______________ahu100">#REF!</definedName>
    <definedName name="______________ahu150">#REF!</definedName>
    <definedName name="______________ako100">#REF!</definedName>
    <definedName name="______________ako150">#REF!</definedName>
    <definedName name="______________ako50">#REF!</definedName>
    <definedName name="______________ako80">#REF!</definedName>
    <definedName name="______________aku100">#REF!</definedName>
    <definedName name="______________aku150">#REF!</definedName>
    <definedName name="______________bcv100">#REF!</definedName>
    <definedName name="______________bcv125">#REF!</definedName>
    <definedName name="______________bcv150">#REF!</definedName>
    <definedName name="______________BSP3">#REF!</definedName>
    <definedName name="______________BSP4">#REF!</definedName>
    <definedName name="______________BSP5">#REF!</definedName>
    <definedName name="______________BSP6">#REF!</definedName>
    <definedName name="______________BSP8">#REF!</definedName>
    <definedName name="______________btg1">#REF!</definedName>
    <definedName name="______________btg2">#REF!</definedName>
    <definedName name="______________btg3">#REF!</definedName>
    <definedName name="______________cas80">#REF!</definedName>
    <definedName name="______________cvd100">#REF!</definedName>
    <definedName name="______________cvd15">#REF!</definedName>
    <definedName name="______________cvd150">#REF!</definedName>
    <definedName name="______________cvd50">#REF!</definedName>
    <definedName name="______________cvd65">#REF!</definedName>
    <definedName name="______________daf1">#REF!</definedName>
    <definedName name="______________DAF10">#REF!</definedName>
    <definedName name="______________daf2">#REF!</definedName>
    <definedName name="______________daf31">#REF!</definedName>
    <definedName name="______________daf32">#REF!</definedName>
    <definedName name="______________daf33">#REF!</definedName>
    <definedName name="______________dia6">#REF!</definedName>
    <definedName name="______________fcp1">#REF!</definedName>
    <definedName name="______________fjd100">#REF!</definedName>
    <definedName name="______________fjd150">#REF!</definedName>
    <definedName name="______________fjd50">#REF!</definedName>
    <definedName name="______________fjd65">#REF!</definedName>
    <definedName name="______________fmd150">#REF!</definedName>
    <definedName name="______________GIP1">#REF!</definedName>
    <definedName name="______________GIP2">#REF!</definedName>
    <definedName name="______________GIP3">#REF!</definedName>
    <definedName name="______________GIP4">#REF!</definedName>
    <definedName name="______________gk2" hidden="1">#REF!</definedName>
    <definedName name="______________grc1">#REF!</definedName>
    <definedName name="______________gti50">#REF!</definedName>
    <definedName name="______________gti60">#REF!</definedName>
    <definedName name="______________gvd100">#REF!</definedName>
    <definedName name="______________gvd15">#REF!</definedName>
    <definedName name="______________gvd150">#REF!</definedName>
    <definedName name="______________gvd25">#REF!</definedName>
    <definedName name="______________gvd50">#REF!</definedName>
    <definedName name="______________gvd65">#REF!</definedName>
    <definedName name="______________hdw1">#REF!</definedName>
    <definedName name="______________new5">HAJIME:OWARI</definedName>
    <definedName name="______________pab100">#REF!</definedName>
    <definedName name="______________pab125">#REF!</definedName>
    <definedName name="______________pab15">#REF!</definedName>
    <definedName name="______________pab150">#REF!</definedName>
    <definedName name="______________pab2">#REF!</definedName>
    <definedName name="______________pab20">#REF!</definedName>
    <definedName name="______________pab25">#REF!</definedName>
    <definedName name="______________pab32">#REF!</definedName>
    <definedName name="______________pab4">#REF!</definedName>
    <definedName name="______________pab40">#REF!</definedName>
    <definedName name="______________pab50">#REF!</definedName>
    <definedName name="______________pab6">#REF!</definedName>
    <definedName name="______________pab65">#REF!</definedName>
    <definedName name="______________pab80">#REF!</definedName>
    <definedName name="______________pah150">#REF!</definedName>
    <definedName name="______________pak100">#REF!</definedName>
    <definedName name="______________pak150">#REF!</definedName>
    <definedName name="______________pak50">#REF!</definedName>
    <definedName name="______________pak80">#REF!</definedName>
    <definedName name="______________pbs100">#REF!</definedName>
    <definedName name="______________pbs15">#REF!</definedName>
    <definedName name="______________pbs150">#REF!</definedName>
    <definedName name="______________pbs40">#REF!</definedName>
    <definedName name="______________pbs50">#REF!</definedName>
    <definedName name="______________pbs65">#REF!</definedName>
    <definedName name="______________pbs80">#REF!</definedName>
    <definedName name="______________pc50">#REF!</definedName>
    <definedName name="______________pc80">#REF!</definedName>
    <definedName name="______________pcf80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L1">#REF!</definedName>
    <definedName name="______________PL2">#REF!</definedName>
    <definedName name="______________PL3">#REF!</definedName>
    <definedName name="______________ptg1">#REF!</definedName>
    <definedName name="______________ptg2">#REF!</definedName>
    <definedName name="______________pv100">#REF!</definedName>
    <definedName name="______________pv40">#REF!</definedName>
    <definedName name="______________pv50">#REF!</definedName>
    <definedName name="______________pv80">#REF!</definedName>
    <definedName name="______________pvf100">#REF!</definedName>
    <definedName name="______________pvf80">#REF!</definedName>
    <definedName name="______________rk100">#REF!</definedName>
    <definedName name="______________rk200">#REF!</definedName>
    <definedName name="______________rk300">#REF!</definedName>
    <definedName name="______________rk600">#REF!</definedName>
    <definedName name="______________rkl1000">#REF!</definedName>
    <definedName name="______________rkl1200">#REF!</definedName>
    <definedName name="______________rkl200">#REF!</definedName>
    <definedName name="______________rkl300">#REF!</definedName>
    <definedName name="______________rkl400">#REF!</definedName>
    <definedName name="______________rkl500">#REF!</definedName>
    <definedName name="______________rkl600">#REF!</definedName>
    <definedName name="______________rkl700">#REF!</definedName>
    <definedName name="______________rkl800">#REF!</definedName>
    <definedName name="______________sfv150">#REF!</definedName>
    <definedName name="______________std100">#REF!</definedName>
    <definedName name="______________std150">#REF!</definedName>
    <definedName name="______________std50">#REF!</definedName>
    <definedName name="______________std65">#REF!</definedName>
    <definedName name="______________tlc20">#REF!</definedName>
    <definedName name="______________tp40">#REF!</definedName>
    <definedName name="______________tsv25">#REF!</definedName>
    <definedName name="______________vnt100">#REF!</definedName>
    <definedName name="______________vnt40">#REF!</definedName>
    <definedName name="______________vnt50">#REF!</definedName>
    <definedName name="______________vnt80">#REF!</definedName>
    <definedName name="_____________AAD3">HAJIME:OWARI</definedName>
    <definedName name="_____________abs100">#REF!</definedName>
    <definedName name="_____________ADD2">STOP:STOPE</definedName>
    <definedName name="_____________ADD3">STOP:STOPE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bcv100">#REF!</definedName>
    <definedName name="_____________bcv125">#REF!</definedName>
    <definedName name="_____________bcv150">#REF!</definedName>
    <definedName name="_____________CAN15">#REF!</definedName>
    <definedName name="_____________cas80">#REF!</definedName>
    <definedName name="_____________CCF2">#REF!</definedName>
    <definedName name="_____________CLP2">#REF!</definedName>
    <definedName name="_____________cod50">#REF!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af1">#REF!</definedName>
    <definedName name="_____________DAF10">#REF!</definedName>
    <definedName name="_____________daf2">#REF!</definedName>
    <definedName name="_____________daf31">#REF!</definedName>
    <definedName name="_____________daf32">#REF!</definedName>
    <definedName name="_____________daf33">#REF!</definedName>
    <definedName name="_____________dia6">#REF!</definedName>
    <definedName name="_____________fdd100">#REF!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fvd100">#REF!</definedName>
    <definedName name="_____________gk2" hidden="1">#REF!</definedName>
    <definedName name="_____________grc1">#REF!</definedName>
    <definedName name="_____________gti50">#REF!</definedName>
    <definedName name="_____________gti60">#REF!</definedName>
    <definedName name="_____________gvd100">#REF!</definedName>
    <definedName name="_____________gvd15">#REF!</definedName>
    <definedName name="_____________gvd150">#REF!</definedName>
    <definedName name="_____________gvd20">#REF!</definedName>
    <definedName name="_____________gvd25">#REF!</definedName>
    <definedName name="_____________gvd32">#REF!</definedName>
    <definedName name="_____________gvd40">#REF!</definedName>
    <definedName name="_____________gvd50">#REF!</definedName>
    <definedName name="_____________gvd65">#REF!</definedName>
    <definedName name="_____________gvd80">#REF!</definedName>
    <definedName name="_____________hdw1">#REF!</definedName>
    <definedName name="_____________jab1">#REF!</definedName>
    <definedName name="_____________k100123">#REF!</definedName>
    <definedName name="_____________kr15">#REF!</definedName>
    <definedName name="_____________MDE01">#REF!</definedName>
    <definedName name="_____________MDE02">#REF!</definedName>
    <definedName name="_____________MDE03">#REF!</definedName>
    <definedName name="_____________MDE04">#REF!</definedName>
    <definedName name="_____________MDE05">#REF!</definedName>
    <definedName name="_____________MDE06">#REF!</definedName>
    <definedName name="_____________MDE07">#REF!</definedName>
    <definedName name="_____________MDE08">#REF!</definedName>
    <definedName name="_____________MDE09">#REF!</definedName>
    <definedName name="_____________MDE10">#REF!</definedName>
    <definedName name="_____________MDE11">#REF!</definedName>
    <definedName name="_____________MDE12">#REF!</definedName>
    <definedName name="_____________MDE13">#REF!</definedName>
    <definedName name="_____________MDE14">#REF!</definedName>
    <definedName name="_____________MDE15">#REF!</definedName>
    <definedName name="_____________MDE16">#REF!</definedName>
    <definedName name="_____________MDE17">#REF!</definedName>
    <definedName name="_____________MDE18">#REF!</definedName>
    <definedName name="_____________MDE19">#REF!</definedName>
    <definedName name="_____________MDE20">#REF!</definedName>
    <definedName name="_____________MDE21">#REF!</definedName>
    <definedName name="_____________MDE22">#REF!</definedName>
    <definedName name="_____________MDE23">#REF!</definedName>
    <definedName name="_____________MDE24">#REF!</definedName>
    <definedName name="_____________MDE25">#REF!</definedName>
    <definedName name="_____________MDE26">#REF!</definedName>
    <definedName name="_____________MDE27">#REF!</definedName>
    <definedName name="_____________MDE28">#REF!</definedName>
    <definedName name="_____________MDE29">#REF!</definedName>
    <definedName name="_____________MDE30">#REF!</definedName>
    <definedName name="_____________MDE31">#REF!</definedName>
    <definedName name="_____________MDE32">#REF!</definedName>
    <definedName name="_____________MDE33">#REF!</definedName>
    <definedName name="_____________MDE34">#REF!</definedName>
    <definedName name="_____________ME01">#REF!</definedName>
    <definedName name="_____________ME02">#REF!</definedName>
    <definedName name="_____________ME03">#REF!</definedName>
    <definedName name="_____________ME04">#REF!</definedName>
    <definedName name="_____________ME05">#REF!</definedName>
    <definedName name="_____________ME06">#REF!</definedName>
    <definedName name="_____________ME07">#REF!</definedName>
    <definedName name="_____________ME08">#REF!</definedName>
    <definedName name="_____________ME09">#REF!</definedName>
    <definedName name="_____________ME10">#REF!</definedName>
    <definedName name="_____________ME11">#REF!</definedName>
    <definedName name="_____________ME12">#REF!</definedName>
    <definedName name="_____________ME13">#REF!</definedName>
    <definedName name="_____________ME14">#REF!</definedName>
    <definedName name="_____________ME15">#REF!</definedName>
    <definedName name="_____________ME16">#REF!</definedName>
    <definedName name="_____________ME17">#REF!</definedName>
    <definedName name="_____________ME18">#REF!</definedName>
    <definedName name="_____________ME19">#REF!</definedName>
    <definedName name="_____________ME20">#REF!</definedName>
    <definedName name="_____________ME21">#REF!</definedName>
    <definedName name="_____________ME22">#REF!</definedName>
    <definedName name="_____________ME23">#REF!</definedName>
    <definedName name="_____________ME24">#REF!</definedName>
    <definedName name="_____________ME25">#REF!</definedName>
    <definedName name="_____________ME26">#REF!</definedName>
    <definedName name="_____________ME27">#REF!</definedName>
    <definedName name="_____________ME28">#REF!</definedName>
    <definedName name="_____________ME29">#REF!</definedName>
    <definedName name="_____________ME30">#REF!</definedName>
    <definedName name="_____________ME31">#REF!</definedName>
    <definedName name="_____________ME32">#REF!</definedName>
    <definedName name="_____________ME33">#REF!</definedName>
    <definedName name="_____________ME34">#REF!</definedName>
    <definedName name="_____________MU380">#REF!</definedName>
    <definedName name="_____________nm1">#REF!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C012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50">#REF!</definedName>
    <definedName name="_____________pc80">#REF!</definedName>
    <definedName name="_____________pcf80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L1">#REF!</definedName>
    <definedName name="_____________PL2">#REF!</definedName>
    <definedName name="_____________PL3">#REF!</definedName>
    <definedName name="_____________PSC052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c100">#REF!</definedName>
    <definedName name="_____________pvc150">#REF!</definedName>
    <definedName name="_____________pvc20">#REF!</definedName>
    <definedName name="_____________pvc200">#REF!</definedName>
    <definedName name="_____________pvc25">#REF!</definedName>
    <definedName name="_____________pvc32">#REF!</definedName>
    <definedName name="_____________pvc40">#REF!</definedName>
    <definedName name="_____________pvc50">#REF!</definedName>
    <definedName name="_____________PVC6">#REF!</definedName>
    <definedName name="_____________pvc65">#REF!</definedName>
    <definedName name="_____________pvc80">#REF!</definedName>
    <definedName name="_____________pvf100">#REF!</definedName>
    <definedName name="_____________pvf80">#REF!</definedName>
    <definedName name="_____________PW1">#REF!</definedName>
    <definedName name="_____________PW2">#REF!</definedName>
    <definedName name="_____________qmd15">#REF!</definedName>
    <definedName name="_____________qmd20">#REF!</definedName>
    <definedName name="_____________rdd100">#REF!</definedName>
    <definedName name="_____________rdd150">#REF!</definedName>
    <definedName name="_____________rk100">#REF!</definedName>
    <definedName name="_____________rk200">#REF!</definedName>
    <definedName name="_____________rk300">#REF!</definedName>
    <definedName name="_____________rk600">#REF!</definedName>
    <definedName name="_____________rkl1000">#REF!</definedName>
    <definedName name="_____________rkl1200">#REF!</definedName>
    <definedName name="_____________rkl200">#REF!</definedName>
    <definedName name="_____________rkl300">#REF!</definedName>
    <definedName name="_____________rkl400">#REF!</definedName>
    <definedName name="_____________rkl500">#REF!</definedName>
    <definedName name="_____________rkl600">#REF!</definedName>
    <definedName name="_____________rkl700">#REF!</definedName>
    <definedName name="_____________rkl800">#REF!</definedName>
    <definedName name="_____________sfv150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tgl1">#REF!</definedName>
    <definedName name="_____________tlc20">#REF!</definedName>
    <definedName name="_____________tsv25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_WF32">#REF!</definedName>
    <definedName name="_____________WF42">#REF!</definedName>
    <definedName name="_____________WM4">#REF!</definedName>
    <definedName name="_____________WM5">#REF!</definedName>
    <definedName name="_____________WM6">#REF!</definedName>
    <definedName name="_____________WM7">#REF!</definedName>
    <definedName name="_____________WM8">#REF!</definedName>
    <definedName name="____________abs100">#REF!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ku100">#REF!</definedName>
    <definedName name="____________aku150">#REF!</definedName>
    <definedName name="____________bcv100">#REF!</definedName>
    <definedName name="____________bcv125">#REF!</definedName>
    <definedName name="____________bcv150">#REF!</definedName>
    <definedName name="____________BOX2">#REF!</definedName>
    <definedName name="____________BSP3">#REF!</definedName>
    <definedName name="____________BSP4">#REF!</definedName>
    <definedName name="____________BSP5">#REF!</definedName>
    <definedName name="____________BSP6">#REF!</definedName>
    <definedName name="____________BSP8">#REF!</definedName>
    <definedName name="____________btg1">#REF!</definedName>
    <definedName name="____________btg2">#REF!</definedName>
    <definedName name="____________btg3">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17">#REF!</definedName>
    <definedName name="____________CAL18">#REF!</definedName>
    <definedName name="____________CAL19">#REF!</definedName>
    <definedName name="____________CAL2">#REF!</definedName>
    <definedName name="____________CAL20">#REF!</definedName>
    <definedName name="____________CAL21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cas80">#REF!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af1">#REF!</definedName>
    <definedName name="____________DAF10">#REF!</definedName>
    <definedName name="____________daf2">#REF!</definedName>
    <definedName name="____________daf31">#REF!</definedName>
    <definedName name="____________daf32">#REF!</definedName>
    <definedName name="____________daf33">#REF!</definedName>
    <definedName name="____________dia6">#REF!</definedName>
    <definedName name="____________EEE08">#REF!</definedName>
    <definedName name="____________EEE09">#REF!</definedName>
    <definedName name="____________EEE10">#REF!</definedName>
    <definedName name="____________EEE15">#REF!</definedName>
    <definedName name="____________fcp1">#REF!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GIP1">#REF!</definedName>
    <definedName name="____________GIP2">#REF!</definedName>
    <definedName name="____________GIP3">#REF!</definedName>
    <definedName name="____________GIP4">#REF!</definedName>
    <definedName name="____________gk2" hidden="1">#REF!</definedName>
    <definedName name="____________grc1">#REF!</definedName>
    <definedName name="____________gti50">#REF!</definedName>
    <definedName name="____________gti60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dw1">#REF!</definedName>
    <definedName name="____________k100123">#REF!</definedName>
    <definedName name="____________MU380">#REF!</definedName>
    <definedName name="____________new5">HAJIME:OWARI</definedName>
    <definedName name="____________pab100">#REF!</definedName>
    <definedName name="____________pab125">#REF!</definedName>
    <definedName name="____________pab15">#REF!</definedName>
    <definedName name="____________pab150">#REF!</definedName>
    <definedName name="____________pab2">#REF!</definedName>
    <definedName name="____________pab20">#REF!</definedName>
    <definedName name="____________pab25">#REF!</definedName>
    <definedName name="____________pab32">#REF!</definedName>
    <definedName name="____________pab4">#REF!</definedName>
    <definedName name="____________pab40">#REF!</definedName>
    <definedName name="____________pab50">#REF!</definedName>
    <definedName name="____________pab6">#REF!</definedName>
    <definedName name="____________pab65">#REF!</definedName>
    <definedName name="____________pab80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50">#REF!</definedName>
    <definedName name="____________pc80">#REF!</definedName>
    <definedName name="____________pcf80">#REF!</definedName>
    <definedName name="____________pf15">#REF!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L1">#REF!</definedName>
    <definedName name="____________PL2">#REF!</definedName>
    <definedName name="____________PL3">#REF!</definedName>
    <definedName name="____________ptg1">#REF!</definedName>
    <definedName name="____________ptg2">#REF!</definedName>
    <definedName name="____________pv100">#REF!</definedName>
    <definedName name="____________pv40">#REF!</definedName>
    <definedName name="____________pv50">#REF!</definedName>
    <definedName name="____________pv80">#REF!</definedName>
    <definedName name="____________PVC6">#REF!</definedName>
    <definedName name="____________pvf100">#REF!</definedName>
    <definedName name="____________pvf80">#REF!</definedName>
    <definedName name="____________rk100">#REF!</definedName>
    <definedName name="____________rk200">#REF!</definedName>
    <definedName name="____________rk300">#REF!</definedName>
    <definedName name="____________rk600">#REF!</definedName>
    <definedName name="____________rkl1000">#REF!</definedName>
    <definedName name="____________rkl1200">#REF!</definedName>
    <definedName name="____________rkl200">#REF!</definedName>
    <definedName name="____________rkl300">#REF!</definedName>
    <definedName name="____________rkl400">#REF!</definedName>
    <definedName name="____________rkl500">#REF!</definedName>
    <definedName name="____________rkl600">#REF!</definedName>
    <definedName name="____________rkl700">#REF!</definedName>
    <definedName name="____________rkl800">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fv150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SUM1">#REF!</definedName>
    <definedName name="____________SUM2">#REF!</definedName>
    <definedName name="____________SUM3">#REF!</definedName>
    <definedName name="____________tlc20">#REF!</definedName>
    <definedName name="____________TOP2">#REF!</definedName>
    <definedName name="____________tp40">#REF!</definedName>
    <definedName name="____________tsv25">#REF!</definedName>
    <definedName name="____________vnt100">#REF!</definedName>
    <definedName name="____________vnt40">#REF!</definedName>
    <definedName name="____________vnt50">#REF!</definedName>
    <definedName name="____________vnt80">#REF!</definedName>
    <definedName name="___________AAD3">HAJIME:OWARI</definedName>
    <definedName name="___________abs100">#REF!</definedName>
    <definedName name="___________ADD2">STOP:STOPE</definedName>
    <definedName name="___________ADD3">STOP:STOPE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aru1">#REF!</definedName>
    <definedName name="___________bcv100">#REF!</definedName>
    <definedName name="___________bcv125">#REF!</definedName>
    <definedName name="___________bcv150">#REF!</definedName>
    <definedName name="___________BOX2">#REF!</definedName>
    <definedName name="___________BSP3">#REF!</definedName>
    <definedName name="___________BSP4">#REF!</definedName>
    <definedName name="___________BSP5">#REF!</definedName>
    <definedName name="___________BSP6">#REF!</definedName>
    <definedName name="___________BSP8">#REF!</definedName>
    <definedName name="___________btg1">#REF!</definedName>
    <definedName name="___________btg2">#REF!</definedName>
    <definedName name="___________btg3">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17">#REF!</definedName>
    <definedName name="___________CAL18">#REF!</definedName>
    <definedName name="___________CAL19">#REF!</definedName>
    <definedName name="___________CAL2">#REF!</definedName>
    <definedName name="___________CAL20">#REF!</definedName>
    <definedName name="___________CAL21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CAN15">#REF!</definedName>
    <definedName name="___________cas80">#REF!</definedName>
    <definedName name="___________cbr80">#REF!</definedName>
    <definedName name="___________CCF2">#REF!</definedName>
    <definedName name="___________CLP2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">#REF!</definedName>
    <definedName name="___________DAF10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ia6">#REF!</definedName>
    <definedName name="___________EEE08">#REF!</definedName>
    <definedName name="___________EEE09">#REF!</definedName>
    <definedName name="___________EEE10">#REF!</definedName>
    <definedName name="___________EEE15">#REF!</definedName>
    <definedName name="___________fcp1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GIP1">#REF!</definedName>
    <definedName name="___________GIP2">#REF!</definedName>
    <definedName name="___________GIP3">#REF!</definedName>
    <definedName name="___________GIP4">#REF!</definedName>
    <definedName name="___________gk2" hidden="1">#REF!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dw1">#REF!</definedName>
    <definedName name="___________HHH01">#REF!</definedName>
    <definedName name="___________jab1">#REF!</definedName>
    <definedName name="___________k100123">#REF!</definedName>
    <definedName name="___________kof1">#REF!</definedName>
    <definedName name="___________LLL01">#REF!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U301">#REF!</definedName>
    <definedName name="___________MU400">#REF!</definedName>
    <definedName name="___________MU440">#REF!</definedName>
    <definedName name="___________MU450">#REF!</definedName>
    <definedName name="___________nm1">#REF!</definedName>
    <definedName name="___________pab100">#REF!</definedName>
    <definedName name="___________pab125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65">#REF!</definedName>
    <definedName name="___________pab80">#REF!</definedName>
    <definedName name="___________PAC012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5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L2">#REF!</definedName>
    <definedName name="___________PL3">#REF!</definedName>
    <definedName name="___________PSC052">#REF!</definedName>
    <definedName name="___________ptg1">#REF!</definedName>
    <definedName name="___________ptg2">#REF!</definedName>
    <definedName name="___________pv100">#REF!</definedName>
    <definedName name="___________pv40">#REF!</definedName>
    <definedName name="___________pv50">#REF!</definedName>
    <definedName name="___________pv80">#REF!</definedName>
    <definedName name="___________PVC3">#REF!</definedName>
    <definedName name="___________PVC4">#REF!</definedName>
    <definedName name="___________PVC6">#REF!</definedName>
    <definedName name="___________pvf100">#REF!</definedName>
    <definedName name="___________pvf80">#REF!</definedName>
    <definedName name="___________PW1">#REF!</definedName>
    <definedName name="___________PW2">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fv150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SUM1">#REF!</definedName>
    <definedName name="___________SUM2">#REF!</definedName>
    <definedName name="___________SUM3">#REF!</definedName>
    <definedName name="___________tgl1">#REF!</definedName>
    <definedName name="___________tlc20">#REF!</definedName>
    <definedName name="___________TOP2">#REF!</definedName>
    <definedName name="___________tp30">#REF!</definedName>
    <definedName name="___________tp40">#REF!</definedName>
    <definedName name="___________tsv25">#REF!</definedName>
    <definedName name="___________vnt100">#REF!</definedName>
    <definedName name="___________vnt40">#REF!</definedName>
    <definedName name="___________vnt50">#REF!</definedName>
    <definedName name="___________vnt80">#REF!</definedName>
    <definedName name="___________WF32">#REF!</definedName>
    <definedName name="___________WF42">#REF!</definedName>
    <definedName name="___________WM4">#REF!</definedName>
    <definedName name="___________WM5">#REF!</definedName>
    <definedName name="___________WM6">#REF!</definedName>
    <definedName name="___________WM7">#REF!</definedName>
    <definedName name="___________WM8">#REF!</definedName>
    <definedName name="__________AAD3">HAJIME:OWARI</definedName>
    <definedName name="__________ADD2">STOP:STOPE</definedName>
    <definedName name="__________ADD3">STOP:STOPE</definedName>
    <definedName name="__________alt1">#REF!</definedName>
    <definedName name="__________APP3">#REF!</definedName>
    <definedName name="__________aru1">#REF!</definedName>
    <definedName name="__________bcv125">#REF!</definedName>
    <definedName name="__________BOX2">#REF!</definedName>
    <definedName name="__________BSP3">#REF!</definedName>
    <definedName name="__________BSP4">#REF!</definedName>
    <definedName name="__________BSP5">#REF!</definedName>
    <definedName name="__________BSP6">#REF!</definedName>
    <definedName name="__________BSP8">#REF!</definedName>
    <definedName name="__________btg1">#REF!</definedName>
    <definedName name="__________btg2">#REF!</definedName>
    <definedName name="__________btg3">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17">#REF!</definedName>
    <definedName name="__________CAL18">#REF!</definedName>
    <definedName name="__________CAL19">#REF!</definedName>
    <definedName name="__________CAL2">#REF!</definedName>
    <definedName name="__________CAL20">#REF!</definedName>
    <definedName name="__________CAL21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cbr30">#REF!</definedName>
    <definedName name="__________cbr80">#REF!</definedName>
    <definedName name="__________cor175">#REF!</definedName>
    <definedName name="__________cor225">#REF!</definedName>
    <definedName name="__________cor300">#REF!</definedName>
    <definedName name="__________cvd150">#REF!</definedName>
    <definedName name="__________cvd65">#REF!</definedName>
    <definedName name="__________daf1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EEE08">#REF!</definedName>
    <definedName name="__________EEE09">#REF!</definedName>
    <definedName name="__________EEE10">#REF!</definedName>
    <definedName name="__________EEE15">#REF!</definedName>
    <definedName name="__________EEE17">#REF!</definedName>
    <definedName name="__________fcp1">#REF!</definedName>
    <definedName name="__________fjd150">#REF!</definedName>
    <definedName name="__________fjd65">#REF!</definedName>
    <definedName name="__________GIP1">#REF!</definedName>
    <definedName name="__________GIP2">#REF!</definedName>
    <definedName name="__________GIP3">#REF!</definedName>
    <definedName name="__________GIP4">#REF!</definedName>
    <definedName name="__________gk2" hidden="1">#REF!</definedName>
    <definedName name="__________grc6">#REF!</definedName>
    <definedName name="__________grc8">#REF!</definedName>
    <definedName name="__________gti50">#REF!</definedName>
    <definedName name="__________gti60">#REF!</definedName>
    <definedName name="__________gvd150">#REF!</definedName>
    <definedName name="__________gvd65">#REF!</definedName>
    <definedName name="__________gyf9">#REF!</definedName>
    <definedName name="__________hdw1">#REF!</definedName>
    <definedName name="__________HHH01">#REF!</definedName>
    <definedName name="__________k100123">#REF!</definedName>
    <definedName name="__________kof1">#REF!</definedName>
    <definedName name="__________LLL01">#REF!</definedName>
    <definedName name="__________MU301">#REF!</definedName>
    <definedName name="__________MU380">#REF!</definedName>
    <definedName name="__________MU400">#REF!</definedName>
    <definedName name="__________MU440">#REF!</definedName>
    <definedName name="__________MU450">#REF!</definedName>
    <definedName name="__________new5">HAJIME:OWARI</definedName>
    <definedName name="__________pbs150">#REF!</definedName>
    <definedName name="__________pbs40">#REF!</definedName>
    <definedName name="__________pbs65">#REF!</definedName>
    <definedName name="__________pek2">#REF!</definedName>
    <definedName name="__________pf15">#REF!</definedName>
    <definedName name="__________PL1">#REF!</definedName>
    <definedName name="__________ptg1">#REF!</definedName>
    <definedName name="__________ptg2">#REF!</definedName>
    <definedName name="__________PVC2">#REF!</definedName>
    <definedName name="__________PVC3">#REF!</definedName>
    <definedName name="__________PVC4">#REF!</definedName>
    <definedName name="__________PVC6">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200">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fv150">#REF!</definedName>
    <definedName name="__________std150">#REF!</definedName>
    <definedName name="__________std65">#REF!</definedName>
    <definedName name="__________SUM1">#REF!</definedName>
    <definedName name="__________SUM2">#REF!</definedName>
    <definedName name="__________SUM3">#REF!</definedName>
    <definedName name="__________TOP2">#REF!</definedName>
    <definedName name="__________tp40">#REF!</definedName>
    <definedName name="__________tsI3">#REF!</definedName>
    <definedName name="_________AAD3">HAJIME:OWARI</definedName>
    <definedName name="_________abs100">#REF!</definedName>
    <definedName name="_________ADD2">STOP:STOPE</definedName>
    <definedName name="_________ADD3">STOP:STOPE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na1">#REF!</definedName>
    <definedName name="_________ana10">#REF!</definedName>
    <definedName name="_________ana100">#REF!</definedName>
    <definedName name="_________ana101">#REF!</definedName>
    <definedName name="_________ana102">#REF!</definedName>
    <definedName name="_________ana103">#REF!</definedName>
    <definedName name="_________ana104">#REF!</definedName>
    <definedName name="_________ana105">#REF!</definedName>
    <definedName name="_________ana106">#REF!</definedName>
    <definedName name="_________ana107">#REF!</definedName>
    <definedName name="_________ana108">#REF!</definedName>
    <definedName name="_________ana109">#REF!</definedName>
    <definedName name="_________ana11">#REF!</definedName>
    <definedName name="_________ana110">#REF!</definedName>
    <definedName name="_________ana111">#REF!</definedName>
    <definedName name="_________ana112">#REF!</definedName>
    <definedName name="_________ana113">#REF!</definedName>
    <definedName name="_________ana114">#REF!</definedName>
    <definedName name="_________ana115">#REF!</definedName>
    <definedName name="_________ana116">#REF!</definedName>
    <definedName name="_________ana117">#REF!</definedName>
    <definedName name="_________ana118">#REF!</definedName>
    <definedName name="_________ana119">#REF!</definedName>
    <definedName name="_________ana12">#REF!</definedName>
    <definedName name="_________ana120">#REF!</definedName>
    <definedName name="_________ana121">#REF!</definedName>
    <definedName name="_________ana122">#REF!</definedName>
    <definedName name="_________ana123">#REF!</definedName>
    <definedName name="_________ana124">#REF!</definedName>
    <definedName name="_________ana13">#REF!</definedName>
    <definedName name="_________ana14">#REF!</definedName>
    <definedName name="_________ana15">#REF!</definedName>
    <definedName name="_________ana16">#REF!</definedName>
    <definedName name="_________ana17">#REF!</definedName>
    <definedName name="_________ana18">#REF!</definedName>
    <definedName name="_________ana19">#REF!</definedName>
    <definedName name="_________ana2">#REF!</definedName>
    <definedName name="_________ana20">#REF!</definedName>
    <definedName name="_________ana21">#REF!</definedName>
    <definedName name="_________ana22">#REF!</definedName>
    <definedName name="_________ana23">#REF!</definedName>
    <definedName name="_________ana24">#REF!</definedName>
    <definedName name="_________ana25">#REF!</definedName>
    <definedName name="_________ana26">#REF!</definedName>
    <definedName name="_________ana27">#REF!</definedName>
    <definedName name="_________ana28">#REF!</definedName>
    <definedName name="_________ana29">#REF!</definedName>
    <definedName name="_________ana3">#REF!</definedName>
    <definedName name="_________ana30">#REF!</definedName>
    <definedName name="_________ana31">#REF!</definedName>
    <definedName name="_________ana32">#REF!</definedName>
    <definedName name="_________ana33">#REF!</definedName>
    <definedName name="_________ana34">#REF!</definedName>
    <definedName name="_________ana35">#REF!</definedName>
    <definedName name="_________ana36">#REF!</definedName>
    <definedName name="_________ana37">#REF!</definedName>
    <definedName name="_________ana38">#REF!</definedName>
    <definedName name="_________ana39">#REF!</definedName>
    <definedName name="_________ana4">#REF!</definedName>
    <definedName name="_________ana40">#REF!</definedName>
    <definedName name="_________ana41">#REF!</definedName>
    <definedName name="_________ana42">#REF!</definedName>
    <definedName name="_________ana43">#REF!</definedName>
    <definedName name="_________ana44">#REF!</definedName>
    <definedName name="_________ana45">#REF!</definedName>
    <definedName name="_________ana46">#REF!</definedName>
    <definedName name="_________ana47">#REF!</definedName>
    <definedName name="_________ana48">#REF!</definedName>
    <definedName name="_________ana49">#REF!</definedName>
    <definedName name="_________ana5">#REF!</definedName>
    <definedName name="_________ana50">#REF!</definedName>
    <definedName name="_________ana51">#REF!</definedName>
    <definedName name="_________ana52">#REF!</definedName>
    <definedName name="_________ana53">#REF!</definedName>
    <definedName name="_________ana54">#REF!</definedName>
    <definedName name="_________ana55">#REF!</definedName>
    <definedName name="_________ana56">#REF!</definedName>
    <definedName name="_________ana57">#REF!</definedName>
    <definedName name="_________ana58">#REF!</definedName>
    <definedName name="_________ana59">#REF!</definedName>
    <definedName name="_________ana6">#REF!</definedName>
    <definedName name="_________ana60">#REF!</definedName>
    <definedName name="_________ana61">#REF!</definedName>
    <definedName name="_________ana62">#REF!</definedName>
    <definedName name="_________ana63">#REF!</definedName>
    <definedName name="_________ana64">#REF!</definedName>
    <definedName name="_________ana65">#REF!</definedName>
    <definedName name="_________ana66">#REF!</definedName>
    <definedName name="_________ana67">#REF!</definedName>
    <definedName name="_________ana68">#REF!</definedName>
    <definedName name="_________ana69">#REF!</definedName>
    <definedName name="_________ana7">#REF!</definedName>
    <definedName name="_________ana70">#REF!</definedName>
    <definedName name="_________ana71">#REF!</definedName>
    <definedName name="_________ana72">#REF!</definedName>
    <definedName name="_________ana73">#REF!</definedName>
    <definedName name="_________ana74">#REF!</definedName>
    <definedName name="_________ana75">#REF!</definedName>
    <definedName name="_________ana76">#REF!</definedName>
    <definedName name="_________ana77">#REF!</definedName>
    <definedName name="_________ana78">#REF!</definedName>
    <definedName name="_________ana79">#REF!</definedName>
    <definedName name="_________ana80">#REF!</definedName>
    <definedName name="_________ana81">#REF!</definedName>
    <definedName name="_________ana82">#REF!</definedName>
    <definedName name="_________ana83">#REF!</definedName>
    <definedName name="_________ana84">#REF!</definedName>
    <definedName name="_________ana85">#REF!</definedName>
    <definedName name="_________ana86">#REF!</definedName>
    <definedName name="_________ana87">#REF!</definedName>
    <definedName name="_________ana88">#REF!</definedName>
    <definedName name="_________ana89">#REF!</definedName>
    <definedName name="_________ana9">#REF!</definedName>
    <definedName name="_________ana90">#REF!</definedName>
    <definedName name="_________ana91">#REF!</definedName>
    <definedName name="_________ana92">#REF!</definedName>
    <definedName name="_________ana93">#REF!</definedName>
    <definedName name="_________ana94">#REF!</definedName>
    <definedName name="_________ana95">#REF!</definedName>
    <definedName name="_________ana96">#REF!</definedName>
    <definedName name="_________ana97">#REF!</definedName>
    <definedName name="_________ana98">#REF!</definedName>
    <definedName name="_________ana99">#REF!</definedName>
    <definedName name="_________bcv100">#REF!</definedName>
    <definedName name="_________bcv125">#REF!</definedName>
    <definedName name="_________bcv150">#REF!</definedName>
    <definedName name="_________bes24">#REF!</definedName>
    <definedName name="_________bes39">#REF!</definedName>
    <definedName name="_________BOX2">#REF!</definedName>
    <definedName name="_________BSP3">#REF!</definedName>
    <definedName name="_________BSP4">#REF!</definedName>
    <definedName name="_________BSP5">#REF!</definedName>
    <definedName name="_________BSP6">#REF!</definedName>
    <definedName name="_________BSP8">#REF!</definedName>
    <definedName name="_________btg1">#REF!</definedName>
    <definedName name="_________btg2">#REF!</definedName>
    <definedName name="_________btg3">#REF!</definedName>
    <definedName name="_________C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17">#REF!</definedName>
    <definedName name="_________CAL18">#REF!</definedName>
    <definedName name="_________CAL19">#REF!</definedName>
    <definedName name="_________CAL2">#REF!</definedName>
    <definedName name="_________CAL20">#REF!</definedName>
    <definedName name="_________CAL21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CAN15">#REF!</definedName>
    <definedName name="_________cas80">#REF!</definedName>
    <definedName name="_________cat1">#REF!</definedName>
    <definedName name="_________cat2">#REF!</definedName>
    <definedName name="_________cat3">#REF!</definedName>
    <definedName name="_________cbr30">#REF!</definedName>
    <definedName name="_________cbr80">#REF!</definedName>
    <definedName name="_________CCF2">#REF!</definedName>
    <definedName name="_________cle10">#REF!</definedName>
    <definedName name="_________cle65">#REF!</definedName>
    <definedName name="_________CLP2">#REF!</definedName>
    <definedName name="_________cor175">#REF!</definedName>
    <definedName name="_________cor225">#REF!</definedName>
    <definedName name="_________cor300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10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ia6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faw10">#REF!</definedName>
    <definedName name="_________faw65">#REF!</definedName>
    <definedName name="_________fcp1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lo40">#REF!</definedName>
    <definedName name="_________fmd150">#REF!</definedName>
    <definedName name="_________gat50">#REF!</definedName>
    <definedName name="_________GID1">#REF!</definedName>
    <definedName name="_________GIP1">#REF!</definedName>
    <definedName name="_________gip15">#REF!</definedName>
    <definedName name="_________GIP2">#REF!</definedName>
    <definedName name="_________gip20">#REF!</definedName>
    <definedName name="_________gip25">#REF!</definedName>
    <definedName name="_________GIP3">#REF!</definedName>
    <definedName name="_________gip32">#REF!</definedName>
    <definedName name="_________GIP4">#REF!</definedName>
    <definedName name="_________gip40">#REF!</definedName>
    <definedName name="_________gip50">#REF!</definedName>
    <definedName name="_________gk2" hidden="1">#REF!</definedName>
    <definedName name="_________grc1">#REF!</definedName>
    <definedName name="_________grc6">#REF!</definedName>
    <definedName name="_________grc8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gyf9">#REF!</definedName>
    <definedName name="_________gyp9">#REF!</definedName>
    <definedName name="_________hdw1">#REF!</definedName>
    <definedName name="_________HHH01">#REF!</definedName>
    <definedName name="_________hpc2">#REF!</definedName>
    <definedName name="_________jab1">#REF!</definedName>
    <definedName name="_________k100123">#REF!</definedName>
    <definedName name="_________ker1020">#REF!</definedName>
    <definedName name="_________ker1030">#REF!</definedName>
    <definedName name="_________kof1">#REF!</definedName>
    <definedName name="_________LLL01">#REF!</definedName>
    <definedName name="_________LLL03">#REF!</definedName>
    <definedName name="_________MBW867">#REF!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DE35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35">#REF!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MM04">#REF!</definedName>
    <definedName name="_________MMM08">#REF!</definedName>
    <definedName name="_________MMM09">#REF!</definedName>
    <definedName name="_________MMM39">#REF!</definedName>
    <definedName name="_________mp1">#REF!</definedName>
    <definedName name="_________nm1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C012">#REF!</definedName>
    <definedName name="_________pah150">#REF!</definedName>
    <definedName name="_________PAK1">#REF!</definedName>
    <definedName name="_________pak100">#REF!</definedName>
    <definedName name="_________pak150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50">#REF!</definedName>
    <definedName name="_________PAK6">#REF!</definedName>
    <definedName name="_________pak80">#REF!</definedName>
    <definedName name="_________paw10">#REF!</definedName>
    <definedName name="_________paw25">#REF!</definedName>
    <definedName name="_________paw40">#REF!</definedName>
    <definedName name="_________paw50">#REF!</definedName>
    <definedName name="_________paw65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ek1">#REF!</definedName>
    <definedName name="_________pek2">#REF!</definedName>
    <definedName name="_________pek3">#REF!</definedName>
    <definedName name="_________pf18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L1">#REF!</definedName>
    <definedName name="_________PL2">#REF!</definedName>
    <definedName name="_________PL3">#REF!</definedName>
    <definedName name="_________PSC052">#REF!</definedName>
    <definedName name="_________ptg1">#REF!</definedName>
    <definedName name="_________ptg2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2">#REF!</definedName>
    <definedName name="_________PVC3">#REF!</definedName>
    <definedName name="_________PVC4">#REF!</definedName>
    <definedName name="_________PVC6">#REF!</definedName>
    <definedName name="_________pvf100">#REF!</definedName>
    <definedName name="_________pvf80">#REF!</definedName>
    <definedName name="_________PW1">#REF!</definedName>
    <definedName name="_________PW2">#REF!</definedName>
    <definedName name="_________REK1">#REF!</definedName>
    <definedName name="_________REK2">#REF!</definedName>
    <definedName name="_________REK3">#REF!</definedName>
    <definedName name="_________REK4">#REF!</definedName>
    <definedName name="_________REK5">#REF!</definedName>
    <definedName name="_________REK6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fv150">#REF!</definedName>
    <definedName name="_________sn1020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SUM1">#REF!</definedName>
    <definedName name="_________SUM2">#REF!</definedName>
    <definedName name="_________SUM3">#REF!</definedName>
    <definedName name="_________tgl1">#REF!</definedName>
    <definedName name="_________tlc20">#REF!</definedName>
    <definedName name="_________TOP2">#REF!</definedName>
    <definedName name="_________tp30">#REF!</definedName>
    <definedName name="_________tp40">#REF!</definedName>
    <definedName name="_________tsv25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_WF32">#REF!</definedName>
    <definedName name="_________WF42">#REF!</definedName>
    <definedName name="_________WM4">#REF!</definedName>
    <definedName name="_________WM5">#REF!</definedName>
    <definedName name="_________WM6">#REF!</definedName>
    <definedName name="_________WM7">#REF!</definedName>
    <definedName name="_________WM8">#REF!</definedName>
    <definedName name="________A16500">#REF!</definedName>
    <definedName name="________abs100">#REF!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na1">#REF!</definedName>
    <definedName name="________ana10">#REF!</definedName>
    <definedName name="________ana100">#REF!</definedName>
    <definedName name="________ana101">#REF!</definedName>
    <definedName name="________ana102">#REF!</definedName>
    <definedName name="________ana103">#REF!</definedName>
    <definedName name="________ana104">#REF!</definedName>
    <definedName name="________ana105">#REF!</definedName>
    <definedName name="________ana106">#REF!</definedName>
    <definedName name="________ana107">#REF!</definedName>
    <definedName name="________ana108">#REF!</definedName>
    <definedName name="________ana109">#REF!</definedName>
    <definedName name="________ana11">#REF!</definedName>
    <definedName name="________ana110">#REF!</definedName>
    <definedName name="________ana111">#REF!</definedName>
    <definedName name="________ana112">#REF!</definedName>
    <definedName name="________ana113">#REF!</definedName>
    <definedName name="________ana114">#REF!</definedName>
    <definedName name="________ana115">#REF!</definedName>
    <definedName name="________ana116">#REF!</definedName>
    <definedName name="________ana117">#REF!</definedName>
    <definedName name="________ana118">#REF!</definedName>
    <definedName name="________ana119">#REF!</definedName>
    <definedName name="________ana12">#REF!</definedName>
    <definedName name="________ana120">#REF!</definedName>
    <definedName name="________ana121">#REF!</definedName>
    <definedName name="________ana122">#REF!</definedName>
    <definedName name="________ana123">#REF!</definedName>
    <definedName name="________ana124">#REF!</definedName>
    <definedName name="________ana13">#REF!</definedName>
    <definedName name="________ana14">#REF!</definedName>
    <definedName name="________ana15">#REF!</definedName>
    <definedName name="________ana16">#REF!</definedName>
    <definedName name="________ana17">#REF!</definedName>
    <definedName name="________ana18">#REF!</definedName>
    <definedName name="________ana19">#REF!</definedName>
    <definedName name="________ana2">#REF!</definedName>
    <definedName name="________ana20">#REF!</definedName>
    <definedName name="________ana21">#REF!</definedName>
    <definedName name="________ana22">#REF!</definedName>
    <definedName name="________ana23">#REF!</definedName>
    <definedName name="________ana24">#REF!</definedName>
    <definedName name="________ana25">#REF!</definedName>
    <definedName name="________ana26">#REF!</definedName>
    <definedName name="________ana27">#REF!</definedName>
    <definedName name="________ana28">#REF!</definedName>
    <definedName name="________ana29">#REF!</definedName>
    <definedName name="________ana3">#REF!</definedName>
    <definedName name="________ana30">#REF!</definedName>
    <definedName name="________ana31">#REF!</definedName>
    <definedName name="________ana32">#REF!</definedName>
    <definedName name="________ana33">#REF!</definedName>
    <definedName name="________ana34">#REF!</definedName>
    <definedName name="________ana35">#REF!</definedName>
    <definedName name="________ana36">#REF!</definedName>
    <definedName name="________ana37">#REF!</definedName>
    <definedName name="________ana38">#REF!</definedName>
    <definedName name="________ana39">#REF!</definedName>
    <definedName name="________ana4">#REF!</definedName>
    <definedName name="________ana40">#REF!</definedName>
    <definedName name="________ana41">#REF!</definedName>
    <definedName name="________ana42">#REF!</definedName>
    <definedName name="________ana43">#REF!</definedName>
    <definedName name="________ana44">#REF!</definedName>
    <definedName name="________ana45">#REF!</definedName>
    <definedName name="________ana46">#REF!</definedName>
    <definedName name="________ana47">#REF!</definedName>
    <definedName name="________ana48">#REF!</definedName>
    <definedName name="________ana49">#REF!</definedName>
    <definedName name="________ana5">#REF!</definedName>
    <definedName name="________ana50">#REF!</definedName>
    <definedName name="________ana51">#REF!</definedName>
    <definedName name="________ana52">#REF!</definedName>
    <definedName name="________ana53">#REF!</definedName>
    <definedName name="________ana54">#REF!</definedName>
    <definedName name="________ana55">#REF!</definedName>
    <definedName name="________ana56">#REF!</definedName>
    <definedName name="________ana57">#REF!</definedName>
    <definedName name="________ana58">#REF!</definedName>
    <definedName name="________ana59">#REF!</definedName>
    <definedName name="________ana6">#REF!</definedName>
    <definedName name="________ana60">#REF!</definedName>
    <definedName name="________ana61">#REF!</definedName>
    <definedName name="________ana62">#REF!</definedName>
    <definedName name="________ana63">#REF!</definedName>
    <definedName name="________ana64">#REF!</definedName>
    <definedName name="________ana65">#REF!</definedName>
    <definedName name="________ana66">#REF!</definedName>
    <definedName name="________ana67">#REF!</definedName>
    <definedName name="________ana68">#REF!</definedName>
    <definedName name="________ana69">#REF!</definedName>
    <definedName name="________ana7">#REF!</definedName>
    <definedName name="________ana70">#REF!</definedName>
    <definedName name="________ana71">#REF!</definedName>
    <definedName name="________ana72">#REF!</definedName>
    <definedName name="________ana73">#REF!</definedName>
    <definedName name="________ana74">#REF!</definedName>
    <definedName name="________ana75">#REF!</definedName>
    <definedName name="________ana76">#REF!</definedName>
    <definedName name="________ana77">#REF!</definedName>
    <definedName name="________ana78">#REF!</definedName>
    <definedName name="________ana79">#REF!</definedName>
    <definedName name="________ana80">#REF!</definedName>
    <definedName name="________ana81">#REF!</definedName>
    <definedName name="________ana82">#REF!</definedName>
    <definedName name="________ana83">#REF!</definedName>
    <definedName name="________ana84">#REF!</definedName>
    <definedName name="________ana85">#REF!</definedName>
    <definedName name="________ana86">#REF!</definedName>
    <definedName name="________ana87">#REF!</definedName>
    <definedName name="________ana88">#REF!</definedName>
    <definedName name="________ana89">#REF!</definedName>
    <definedName name="________ana9">#REF!</definedName>
    <definedName name="________ana90">#REF!</definedName>
    <definedName name="________ana91">#REF!</definedName>
    <definedName name="________ana92">#REF!</definedName>
    <definedName name="________ana93">#REF!</definedName>
    <definedName name="________ana94">#REF!</definedName>
    <definedName name="________ana95">#REF!</definedName>
    <definedName name="________ana96">#REF!</definedName>
    <definedName name="________ana97">#REF!</definedName>
    <definedName name="________ana98">#REF!</definedName>
    <definedName name="________ana99">#REF!</definedName>
    <definedName name="________aru1">#REF!</definedName>
    <definedName name="________bcv100">#REF!</definedName>
    <definedName name="________bcv125">#REF!</definedName>
    <definedName name="________bcv150">#REF!</definedName>
    <definedName name="________bes24">#REF!</definedName>
    <definedName name="________bes39">#REF!</definedName>
    <definedName name="________bet350">#REF!</definedName>
    <definedName name="________bet400">#REF!</definedName>
    <definedName name="________BOX2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s80">#REF!</definedName>
    <definedName name="________cat1">#REF!</definedName>
    <definedName name="________cat2">#REF!</definedName>
    <definedName name="________cat3">#REF!</definedName>
    <definedName name="________cbr30">#REF!</definedName>
    <definedName name="________cbr80">#REF!</definedName>
    <definedName name="________cle10">#REF!</definedName>
    <definedName name="________cle65">#REF!</definedName>
    <definedName name="________cod50">#REF!</definedName>
    <definedName name="________cor175">#REF!</definedName>
    <definedName name="________cor225">#REF!</definedName>
    <definedName name="________cor300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ia6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ee34">#REF!</definedName>
    <definedName name="________EEE35">#REF!</definedName>
    <definedName name="________EEE36">#REF!</definedName>
    <definedName name="________EEE37">#REF!</definedName>
    <definedName name="________EEE38">#REF!</definedName>
    <definedName name="________EEE39">#REF!</definedName>
    <definedName name="________faw10">#REF!</definedName>
    <definedName name="________faw65">#REF!</definedName>
    <definedName name="________fdd100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lo40">#REF!</definedName>
    <definedName name="________fmd150">#REF!</definedName>
    <definedName name="________fvd100">#REF!</definedName>
    <definedName name="________gat50">#REF!</definedName>
    <definedName name="________GID1">#REF!</definedName>
    <definedName name="________gip15">#REF!</definedName>
    <definedName name="________gip20">#REF!</definedName>
    <definedName name="________gip25">#REF!</definedName>
    <definedName name="________gip32">#REF!</definedName>
    <definedName name="________gip40">#REF!</definedName>
    <definedName name="________gip50">#REF!</definedName>
    <definedName name="________gk2" hidden="1">#REF!</definedName>
    <definedName name="________grc1">#REF!</definedName>
    <definedName name="________grc6">#REF!</definedName>
    <definedName name="________grc8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0">#REF!</definedName>
    <definedName name="________gvd25">#REF!</definedName>
    <definedName name="________gvd32">#REF!</definedName>
    <definedName name="________gvd40">#REF!</definedName>
    <definedName name="________gvd50">#REF!</definedName>
    <definedName name="________gvd65">#REF!</definedName>
    <definedName name="________gvd80">#REF!</definedName>
    <definedName name="________gyf9">#REF!</definedName>
    <definedName name="________gyp9">#REF!</definedName>
    <definedName name="________hdw1">#REF!</definedName>
    <definedName name="________HHH01">#REF!</definedName>
    <definedName name="________hpc2">#REF!</definedName>
    <definedName name="________jab1">#REF!</definedName>
    <definedName name="________ker1020">#REF!</definedName>
    <definedName name="________ker1030">#REF!</definedName>
    <definedName name="________kof1">#REF!</definedName>
    <definedName name="________kr15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MBW867">#REF!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MM57">#REF!</definedName>
    <definedName name="________MMM58">#REF!</definedName>
    <definedName name="________MMM59">#REF!</definedName>
    <definedName name="________MMM60">#REF!</definedName>
    <definedName name="________MMM61">#REF!</definedName>
    <definedName name="________MMM62">#REF!</definedName>
    <definedName name="________MMM63">#REF!</definedName>
    <definedName name="________MMM64">#REF!</definedName>
    <definedName name="________MMM65">#REF!</definedName>
    <definedName name="________MMM66">#REF!</definedName>
    <definedName name="________mp1">#REF!</definedName>
    <definedName name="________MU1">#REF!</definedName>
    <definedName name="________MU301">#REF!</definedName>
    <definedName name="________MU380">#REF!</definedName>
    <definedName name="________MU400">#REF!</definedName>
    <definedName name="________MU440">#REF!</definedName>
    <definedName name="________MU450">#REF!</definedName>
    <definedName name="________new5">HAJIME:OWARI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aw10">#REF!</definedName>
    <definedName name="________paw25">#REF!</definedName>
    <definedName name="________paw40">#REF!</definedName>
    <definedName name="________paw50">#REF!</definedName>
    <definedName name="________paw65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50">#REF!</definedName>
    <definedName name="________pc80">#REF!</definedName>
    <definedName name="________pcf80">#REF!</definedName>
    <definedName name="________pek1">#REF!</definedName>
    <definedName name="________pek2">#REF!</definedName>
    <definedName name="________pek3">#REF!</definedName>
    <definedName name="________pf15">#REF!</definedName>
    <definedName name="________pf18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L1">#REF!</definedName>
    <definedName name="________PL2">#REF!</definedName>
    <definedName name="________PL3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1">#REF!</definedName>
    <definedName name="________pvc100">#REF!</definedName>
    <definedName name="________pvc15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3">#REF!</definedName>
    <definedName name="________pvc32">#REF!</definedName>
    <definedName name="________PVC4">#REF!</definedName>
    <definedName name="________pvc40">#REF!</definedName>
    <definedName name="________pvc50">#REF!</definedName>
    <definedName name="________PVC6">#REF!</definedName>
    <definedName name="________pvc65">#REF!</definedName>
    <definedName name="________PVC8">#REF!</definedName>
    <definedName name="________pvc80">#REF!</definedName>
    <definedName name="________pvf100">#REF!</definedName>
    <definedName name="________pvf80">#REF!</definedName>
    <definedName name="________qmd15">#REF!</definedName>
    <definedName name="________qmd20">#REF!</definedName>
    <definedName name="________rdd100">#REF!</definedName>
    <definedName name="________rdd150">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fv150">#REF!</definedName>
    <definedName name="________sn1020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SUM1">#REF!</definedName>
    <definedName name="________SUM2">#REF!</definedName>
    <definedName name="________SUM3">#REF!</definedName>
    <definedName name="________tlc20">#REF!</definedName>
    <definedName name="________TOP2">#REF!</definedName>
    <definedName name="________tp30">#REF!</definedName>
    <definedName name="________tsv25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AAD3">HAJIME:OWARI</definedName>
    <definedName name="_______abs100">#REF!</definedName>
    <definedName name="_______Act15">#REF!</definedName>
    <definedName name="_______ADD2">STOP:STOPE</definedName>
    <definedName name="_______ADD3">STOP:STOPE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na1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al20">#REF!</definedName>
    <definedName name="_______Bal40">#REF!</definedName>
    <definedName name="_______Bar30">#REF!</definedName>
    <definedName name="_______bcv100">#REF!</definedName>
    <definedName name="_______bcv125">#REF!</definedName>
    <definedName name="_______bcv150">#REF!</definedName>
    <definedName name="_______bes24">#REF!</definedName>
    <definedName name="_______bes39">#REF!</definedName>
    <definedName name="_______BFG66">#REF!</definedName>
    <definedName name="_______Bjl28">#REF!</definedName>
    <definedName name="_______Bjl30">#REF!</definedName>
    <definedName name="_______Bmb10">#REF!</definedName>
    <definedName name="_______Bmb57">#REF!</definedName>
    <definedName name="_______BOX2">#REF!</definedName>
    <definedName name="_______Bpl02">#REF!</definedName>
    <definedName name="_______Bpl06">#REF!</definedName>
    <definedName name="_______Bpl10">#REF!</definedName>
    <definedName name="_______BSP3">#REF!</definedName>
    <definedName name="_______BSP4">#REF!</definedName>
    <definedName name="_______BSP5">#REF!</definedName>
    <definedName name="_______BSP6">#REF!</definedName>
    <definedName name="_______BSP8">#REF!</definedName>
    <definedName name="_______Bsq24">#REF!</definedName>
    <definedName name="_______Bsq33">#REF!</definedName>
    <definedName name="_______Bsq44">#REF!</definedName>
    <definedName name="_______btg1">#REF!</definedName>
    <definedName name="_______btg2">#REF!</definedName>
    <definedName name="_______btg3">#REF!</definedName>
    <definedName name="_______BTr34">#REF!</definedName>
    <definedName name="_______Btr66">#REF!</definedName>
    <definedName name="_______Bub20">#REF!</definedName>
    <definedName name="_______Bub30">#REF!</definedName>
    <definedName name="_______Bub40">#REF!</definedName>
    <definedName name="_______Bub50">#REF!</definedName>
    <definedName name="_______Bub60">#REF!</definedName>
    <definedName name="_______Bub80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N15">#REF!</definedName>
    <definedName name="_______cas80">#REF!</definedName>
    <definedName name="_______cat1">#REF!</definedName>
    <definedName name="_______cat2">#REF!</definedName>
    <definedName name="_______cat3">#REF!</definedName>
    <definedName name="_______cbr30">#REF!</definedName>
    <definedName name="_______cbr80">#REF!</definedName>
    <definedName name="_______CCF2">#REF!</definedName>
    <definedName name="_______CDs34">#REF!</definedName>
    <definedName name="_______cle10">#REF!</definedName>
    <definedName name="_______cle65">#REF!</definedName>
    <definedName name="_______CLP2">#REF!</definedName>
    <definedName name="_______cor175">#REF!</definedName>
    <definedName name="_______cor225">#REF!</definedName>
    <definedName name="_______cor300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Cvv02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g10">#REF!</definedName>
    <definedName name="_______ddg20">#REF!</definedName>
    <definedName name="_______ddg30">#REF!</definedName>
    <definedName name="_______dia6">#REF!</definedName>
    <definedName name="_______Dlk10">#REF!</definedName>
    <definedName name="_______Dlk57">#REF!</definedName>
    <definedName name="_______DlS25">#REF!</definedName>
    <definedName name="_______Dnp02">#REF!</definedName>
    <definedName name="_______DTr35">#REF!</definedName>
    <definedName name="_______DTr50">#REF!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e34">#REF!</definedName>
    <definedName name="_______EEE35">#REF!</definedName>
    <definedName name="_______EEE36">#REF!</definedName>
    <definedName name="_______EEE37">#REF!</definedName>
    <definedName name="_______EEE38">#REF!</definedName>
    <definedName name="_______EEE39">#REF!</definedName>
    <definedName name="_______faw10">#REF!</definedName>
    <definedName name="_______faw65">#REF!</definedName>
    <definedName name="_______fcp1">#REF!</definedName>
    <definedName name="_______Fdr01">#REF!</definedName>
    <definedName name="_______Fdr02">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lo40">#REF!</definedName>
    <definedName name="_______fmd150">#REF!</definedName>
    <definedName name="_______gat50">#REF!</definedName>
    <definedName name="_______GBl22">#REF!</definedName>
    <definedName name="_______Gfu20">#REF!</definedName>
    <definedName name="_______Gfu30">#REF!</definedName>
    <definedName name="_______Gfu40">#REF!</definedName>
    <definedName name="_______GID1">#REF!</definedName>
    <definedName name="_______GiM02">#REF!</definedName>
    <definedName name="_______GiM03">#REF!</definedName>
    <definedName name="_______GiM04">#REF!</definedName>
    <definedName name="_______GiM05">#REF!</definedName>
    <definedName name="_______GiM06">#REF!</definedName>
    <definedName name="_______GiM08">#REF!</definedName>
    <definedName name="_______GiM10">#REF!</definedName>
    <definedName name="_______GiM12">#REF!</definedName>
    <definedName name="_______GiM16">#REF!</definedName>
    <definedName name="_______GIP1">#REF!</definedName>
    <definedName name="_______gip15">#REF!</definedName>
    <definedName name="_______GIP2">#REF!</definedName>
    <definedName name="_______gip20">#REF!</definedName>
    <definedName name="_______gip25">#REF!</definedName>
    <definedName name="_______GIP3">#REF!</definedName>
    <definedName name="_______gip32">#REF!</definedName>
    <definedName name="_______GIP4">#REF!</definedName>
    <definedName name="_______gip40">#REF!</definedName>
    <definedName name="_______gip50">#REF!</definedName>
    <definedName name="_______GiS02">#REF!</definedName>
    <definedName name="_______GiS03">#REF!</definedName>
    <definedName name="_______GiS04">#REF!</definedName>
    <definedName name="_______GiS05">#REF!</definedName>
    <definedName name="_______GiS06">#REF!</definedName>
    <definedName name="_______GiS07">#REF!</definedName>
    <definedName name="_______GiS08">#REF!</definedName>
    <definedName name="_______GiS10">#REF!</definedName>
    <definedName name="_______GiS12">#REF!</definedName>
    <definedName name="_______GiS16">#REF!</definedName>
    <definedName name="_______gk2" hidden="1">#REF!</definedName>
    <definedName name="_______GNB1">#REF!</definedName>
    <definedName name="_______GNB2">#REF!</definedName>
    <definedName name="_______grc1">#REF!</definedName>
    <definedName name="_______grc6">#REF!</definedName>
    <definedName name="_______grc8">#REF!</definedName>
    <definedName name="_______Grn46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5">#REF!</definedName>
    <definedName name="_______gvd50">#REF!</definedName>
    <definedName name="_______gvd65">#REF!</definedName>
    <definedName name="_______GVv02">#REF!</definedName>
    <definedName name="_______gyf9">#REF!</definedName>
    <definedName name="_______gyp9">#REF!</definedName>
    <definedName name="_______hdw1">#REF!</definedName>
    <definedName name="_______HHH01">#REF!</definedName>
    <definedName name="_______Hot10">#REF!</definedName>
    <definedName name="_______Hot15">#REF!</definedName>
    <definedName name="_______Hot20">#REF!</definedName>
    <definedName name="_______Hot25">#REF!</definedName>
    <definedName name="_______hpc2">#REF!</definedName>
    <definedName name="_______IMB01">#REF!</definedName>
    <definedName name="_______jab1">#REF!</definedName>
    <definedName name="_______k100123">#REF!</definedName>
    <definedName name="_______KAn13">#REF!</definedName>
    <definedName name="_______KAw13">#REF!</definedName>
    <definedName name="_______ker1020">#REF!</definedName>
    <definedName name="_______ker1030">#REF!</definedName>
    <definedName name="_______KLc88">#REF!</definedName>
    <definedName name="_______kof1">#REF!</definedName>
    <definedName name="_______Kpp12">#REF!</definedName>
    <definedName name="_______Kpp13">#REF!</definedName>
    <definedName name="_______KrB02">#REF!</definedName>
    <definedName name="_______KrB03">#REF!</definedName>
    <definedName name="_______KrK02">#REF!</definedName>
    <definedName name="_______Krk03">#REF!</definedName>
    <definedName name="_______Krk04">#REF!</definedName>
    <definedName name="_______Krp12">#REF!</definedName>
    <definedName name="_______Krp22">#REF!</definedName>
    <definedName name="_______Krp33">#REF!</definedName>
    <definedName name="_______KrS02">#REF!</definedName>
    <definedName name="_______KrS03">#REF!</definedName>
    <definedName name="_______Krw12">#REF!</definedName>
    <definedName name="_______Krw22">#REF!</definedName>
    <definedName name="_______Krw33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PG15">#REF!</definedName>
    <definedName name="_______Lpk01">#REF!</definedName>
    <definedName name="_______Lpk02">#REF!</definedName>
    <definedName name="_______Lpk04">#REF!</definedName>
    <definedName name="_______Lpk05">#REF!</definedName>
    <definedName name="_______Lpk10">#REF!</definedName>
    <definedName name="_______MBW867">#REF!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r80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MM57">#REF!</definedName>
    <definedName name="_______MMM58">#REF!</definedName>
    <definedName name="_______MMM59">#REF!</definedName>
    <definedName name="_______MMM60">#REF!</definedName>
    <definedName name="_______MMM61">#REF!</definedName>
    <definedName name="_______MMM62">#REF!</definedName>
    <definedName name="_______MMM63">#REF!</definedName>
    <definedName name="_______MMM64">#REF!</definedName>
    <definedName name="_______MMM65">#REF!</definedName>
    <definedName name="_______MMM66">#REF!</definedName>
    <definedName name="_______mp1">#REF!</definedName>
    <definedName name="_______Mpk12">#REF!</definedName>
    <definedName name="_______Mpk18">#REF!</definedName>
    <definedName name="_______Mpk9">#REF!</definedName>
    <definedName name="_______nm1">#REF!</definedName>
    <definedName name="_______NSF10">#REF!</definedName>
    <definedName name="_______NSF15">#REF!</definedName>
    <definedName name="_______NYA115">#REF!</definedName>
    <definedName name="_______NYA125">#REF!</definedName>
    <definedName name="_______NYM215">#REF!</definedName>
    <definedName name="_______NYM225">#REF!</definedName>
    <definedName name="_______NYM240">#REF!</definedName>
    <definedName name="_______NYM260">#REF!</definedName>
    <definedName name="_______NYM315">#REF!</definedName>
    <definedName name="_______NYM325">#REF!</definedName>
    <definedName name="_______NYM340">#REF!</definedName>
    <definedName name="_______NYM360">#REF!</definedName>
    <definedName name="_______NYM425">#REF!</definedName>
    <definedName name="_______NYM440">#REF!</definedName>
    <definedName name="_______NYM460">#REF!</definedName>
    <definedName name="_______NYY240">#REF!</definedName>
    <definedName name="_______NYY260">#REF!</definedName>
    <definedName name="_______NYY340">#REF!</definedName>
    <definedName name="_______NYY360">#REF!</definedName>
    <definedName name="_______NYY440">#REF!</definedName>
    <definedName name="_______NYY460">#REF!</definedName>
    <definedName name="_______Oks14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aw10">#REF!</definedName>
    <definedName name="_______PAw16">#REF!</definedName>
    <definedName name="_______paw25">#REF!</definedName>
    <definedName name="_______paw40">#REF!</definedName>
    <definedName name="_______paw50">#REF!</definedName>
    <definedName name="_______paw65">#REF!</definedName>
    <definedName name="_______pb1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50">#REF!</definedName>
    <definedName name="_______pc80">#REF!</definedName>
    <definedName name="_______pcf80">#REF!</definedName>
    <definedName name="_______pek1">#REF!</definedName>
    <definedName name="_______pek2">#REF!</definedName>
    <definedName name="_______pek3">#REF!</definedName>
    <definedName name="_______pf18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L1">#REF!</definedName>
    <definedName name="_______PL2">#REF!</definedName>
    <definedName name="_______PL3">#REF!</definedName>
    <definedName name="_______Plt33">#REF!</definedName>
    <definedName name="_______Plt43">#REF!</definedName>
    <definedName name="_______Pnl36">#REF!</definedName>
    <definedName name="_______PRu02">#REF!</definedName>
    <definedName name="_______PRu03">#REF!</definedName>
    <definedName name="_______PRu04">#REF!</definedName>
    <definedName name="_______PRu05">#REF!</definedName>
    <definedName name="_______PRu06">#REF!</definedName>
    <definedName name="_______PRu08">#REF!</definedName>
    <definedName name="_______PRu10">#REF!</definedName>
    <definedName name="_______PRu12">#REF!</definedName>
    <definedName name="_______PRu16">#REF!</definedName>
    <definedName name="_______PSb02">#REF!</definedName>
    <definedName name="_______PSb03">#REF!</definedName>
    <definedName name="_______PSb04">#REF!</definedName>
    <definedName name="_______PSb05">#REF!</definedName>
    <definedName name="_______PSb06">#REF!</definedName>
    <definedName name="_______PSb07">#REF!</definedName>
    <definedName name="_______PSb08">#REF!</definedName>
    <definedName name="_______Psb10">#REF!</definedName>
    <definedName name="_______PSb12">#REF!</definedName>
    <definedName name="_______PSb16">#REF!</definedName>
    <definedName name="_______PSC052">#REF!</definedName>
    <definedName name="_______PsW1">#REF!</definedName>
    <definedName name="_______ptg1">#REF!</definedName>
    <definedName name="_______ptg2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1">#REF!</definedName>
    <definedName name="_______PVC2">#REF!</definedName>
    <definedName name="_______PVC3">#REF!</definedName>
    <definedName name="_______PVC4">#REF!</definedName>
    <definedName name="_______PVC6">#REF!</definedName>
    <definedName name="_______PVC8">#REF!</definedName>
    <definedName name="_______pvf100">#REF!</definedName>
    <definedName name="_______pvf80">#REF!</definedName>
    <definedName name="_______PW1">#REF!</definedName>
    <definedName name="_______PW2">#REF!</definedName>
    <definedName name="_______Pwd18">#REF!</definedName>
    <definedName name="_______ReB23">#REF!</definedName>
    <definedName name="_______Rek23">#REF!</definedName>
    <definedName name="_______Rek34">#REF!</definedName>
    <definedName name="_______RFj05">#REF!</definedName>
    <definedName name="_______RFj10">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175">#REF!</definedName>
    <definedName name="_______Rm225">#REF!</definedName>
    <definedName name="_______Rm375">#REF!</definedName>
    <definedName name="_______Rol06">#REF!</definedName>
    <definedName name="_______Rol10">#REF!</definedName>
    <definedName name="_______SBr01">#REF!</definedName>
    <definedName name="_______SBr02">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Jd01">#REF!</definedName>
    <definedName name="_______SlP25">#REF!</definedName>
    <definedName name="_______sn1020">#REF!</definedName>
    <definedName name="_______Spl02">#REF!</definedName>
    <definedName name="_______Spl03">#REF!</definedName>
    <definedName name="_______Spl04">#REF!</definedName>
    <definedName name="_______Spl05">#REF!</definedName>
    <definedName name="_______Spl12">#REF!</definedName>
    <definedName name="_______Spl23">#REF!</definedName>
    <definedName name="_______Spl35">#REF!</definedName>
    <definedName name="_______Spl57">#REF!</definedName>
    <definedName name="_______Spt02">#REF!</definedName>
    <definedName name="_______Spt06">#REF!</definedName>
    <definedName name="_______Spt10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StK03">#REF!</definedName>
    <definedName name="_______StK04">#REF!</definedName>
    <definedName name="_______StK06">#REF!</definedName>
    <definedName name="_______StK08">#REF!</definedName>
    <definedName name="_______StK10">#REF!</definedName>
    <definedName name="_______StK12">#REF!</definedName>
    <definedName name="_______SUM1">#REF!</definedName>
    <definedName name="_______SUM2">#REF!</definedName>
    <definedName name="_______SUM3">#REF!</definedName>
    <definedName name="_______Tfp22">#REF!</definedName>
    <definedName name="_______Tfw22">#REF!</definedName>
    <definedName name="_______Tgb33">#REF!</definedName>
    <definedName name="_______tgl1">#REF!</definedName>
    <definedName name="_______Tgp22">#REF!</definedName>
    <definedName name="_______Tgp33">#REF!</definedName>
    <definedName name="_______Tgw22">#REF!</definedName>
    <definedName name="_______Tgw33">#REF!</definedName>
    <definedName name="_______THP2">STOP:STOPE</definedName>
    <definedName name="_______tlc20">#REF!</definedName>
    <definedName name="_______Tlk04">#REF!</definedName>
    <definedName name="_______Tlk05">#REF!</definedName>
    <definedName name="_______Tlk06">#REF!</definedName>
    <definedName name="_______Tlk07">#REF!</definedName>
    <definedName name="_______TlP20">#REF!</definedName>
    <definedName name="_______Tlp40">#REF!</definedName>
    <definedName name="_______TOP2">#REF!</definedName>
    <definedName name="_______tp30">#REF!</definedName>
    <definedName name="_______tp40">#REF!</definedName>
    <definedName name="_______Tpk03">#REF!</definedName>
    <definedName name="_______Tpk04">#REF!</definedName>
    <definedName name="_______Tpk06">#REF!</definedName>
    <definedName name="_______Tpk09">#REF!</definedName>
    <definedName name="_______TPp12">#REF!</definedName>
    <definedName name="_______TPp13">#REF!</definedName>
    <definedName name="_______TPw12">#REF!</definedName>
    <definedName name="_______TPw13">#REF!</definedName>
    <definedName name="_______tsv25">#REF!</definedName>
    <definedName name="_______Twd03">#REF!</definedName>
    <definedName name="_______Twd04">#REF!</definedName>
    <definedName name="_______Twd09">#REF!</definedName>
    <definedName name="_______Vib01">#REF!</definedName>
    <definedName name="_______Vib07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F32">#REF!</definedName>
    <definedName name="_______WF42">#REF!</definedName>
    <definedName name="_______WM4">#REF!</definedName>
    <definedName name="_______WM5">#REF!</definedName>
    <definedName name="_______WM6">#REF!</definedName>
    <definedName name="_______WM7">#REF!</definedName>
    <definedName name="_______WM8">#REF!</definedName>
    <definedName name="_______Wmr02">#REF!</definedName>
    <definedName name="_______WPS10">#REF!</definedName>
    <definedName name="_______WPS15">#REF!</definedName>
    <definedName name="_______WPS25">#REF!</definedName>
    <definedName name="_______WPS45">#REF!</definedName>
    <definedName name="______AAD3">HAJIME:OWARI</definedName>
    <definedName name="______abs100">#REF!</definedName>
    <definedName name="______Act15">#REF!</definedName>
    <definedName name="______ADD2">STOP:STOPE</definedName>
    <definedName name="______ADD3">STOP:STOPE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lt1">______alt1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APP3">______APP3</definedName>
    <definedName name="______aru1">#REF!</definedName>
    <definedName name="______Bal20">#REF!</definedName>
    <definedName name="______Bal40">#REF!</definedName>
    <definedName name="______Bar30">#REF!</definedName>
    <definedName name="______bcv100">#REF!</definedName>
    <definedName name="______bcv125">#REF!</definedName>
    <definedName name="______bcv150">#REF!</definedName>
    <definedName name="______bes24">#REF!</definedName>
    <definedName name="______bes39">#REF!</definedName>
    <definedName name="______bet350">#REF!</definedName>
    <definedName name="______bet400">#REF!</definedName>
    <definedName name="______BFG66">#REF!</definedName>
    <definedName name="______Bjl28">#REF!</definedName>
    <definedName name="______Bjl30">#REF!</definedName>
    <definedName name="______Bmb10">#REF!</definedName>
    <definedName name="______Bmb57">#REF!</definedName>
    <definedName name="______BOX2">#REF!</definedName>
    <definedName name="______Bpl02">#REF!</definedName>
    <definedName name="______Bpl06">#REF!</definedName>
    <definedName name="______Bpl10">#REF!</definedName>
    <definedName name="______BSP3">#REF!</definedName>
    <definedName name="______BSP4">#REF!</definedName>
    <definedName name="______BSP5">#REF!</definedName>
    <definedName name="______BSP6">#REF!</definedName>
    <definedName name="______BSP8">#REF!</definedName>
    <definedName name="______Bsq24">#REF!</definedName>
    <definedName name="______Bsq33">#REF!</definedName>
    <definedName name="______Bsq44">#REF!</definedName>
    <definedName name="______BTr34">#REF!</definedName>
    <definedName name="______Btr66">#REF!</definedName>
    <definedName name="______Bub20">#REF!</definedName>
    <definedName name="______Bub30">#REF!</definedName>
    <definedName name="______Bub40">#REF!</definedName>
    <definedName name="______Bub50">#REF!</definedName>
    <definedName name="______Bub60">#REF!</definedName>
    <definedName name="______Bub80">#REF!</definedName>
    <definedName name="______C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N15">#REF!</definedName>
    <definedName name="______cas80">#REF!</definedName>
    <definedName name="______cat1">#REF!</definedName>
    <definedName name="______cat2">#REF!</definedName>
    <definedName name="______cat3">#REF!</definedName>
    <definedName name="______cbr30">#REF!</definedName>
    <definedName name="______cbr80">#REF!</definedName>
    <definedName name="______CDs34">#REF!</definedName>
    <definedName name="______cle10">#REF!</definedName>
    <definedName name="______cle65">#REF!</definedName>
    <definedName name="______cod50">#REF!</definedName>
    <definedName name="______cor175">#REF!</definedName>
    <definedName name="______cor225">#REF!</definedName>
    <definedName name="______cor300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Cvv02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ia6">#REF!</definedName>
    <definedName name="______Dlk10">#REF!</definedName>
    <definedName name="______Dlk57">#REF!</definedName>
    <definedName name="______DlS25">#REF!</definedName>
    <definedName name="______Dnp02">#REF!</definedName>
    <definedName name="______DTr35">#REF!</definedName>
    <definedName name="______DTr50">#REF!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e34">#REF!</definedName>
    <definedName name="______EEE35">#REF!</definedName>
    <definedName name="______EEE36">#REF!</definedName>
    <definedName name="______EEE37">#REF!</definedName>
    <definedName name="______EEE38">#REF!</definedName>
    <definedName name="______EEE39">#REF!</definedName>
    <definedName name="______faw10">#REF!</definedName>
    <definedName name="______faw65">#REF!</definedName>
    <definedName name="______fcp1">#REF!</definedName>
    <definedName name="______fdd100">#REF!</definedName>
    <definedName name="______Fdr01">#REF!</definedName>
    <definedName name="______Fdr02">#REF!</definedName>
    <definedName name="______fjd100">#REF!</definedName>
    <definedName name="______fjd150">#REF!</definedName>
    <definedName name="______fjd50">#REF!</definedName>
    <definedName name="______fjd65">#REF!</definedName>
    <definedName name="______flo40">#REF!</definedName>
    <definedName name="______fmd150">#REF!</definedName>
    <definedName name="______fvd100">#REF!</definedName>
    <definedName name="______gat50">#REF!</definedName>
    <definedName name="______GBl22">#REF!</definedName>
    <definedName name="______Gfu20">#REF!</definedName>
    <definedName name="______Gfu30">#REF!</definedName>
    <definedName name="______Gfu40">#REF!</definedName>
    <definedName name="______GID1">#REF!</definedName>
    <definedName name="______GiM02">#REF!</definedName>
    <definedName name="______GiM03">#REF!</definedName>
    <definedName name="______GiM04">#REF!</definedName>
    <definedName name="______GiM05">#REF!</definedName>
    <definedName name="______GiM06">#REF!</definedName>
    <definedName name="______GiM08">#REF!</definedName>
    <definedName name="______GiM10">#REF!</definedName>
    <definedName name="______GiM12">#REF!</definedName>
    <definedName name="______GiM16">#REF!</definedName>
    <definedName name="______gip15">#REF!</definedName>
    <definedName name="______gip20">#REF!</definedName>
    <definedName name="______gip25">#REF!</definedName>
    <definedName name="______gip32">#REF!</definedName>
    <definedName name="______gip40">#REF!</definedName>
    <definedName name="______gip50">#REF!</definedName>
    <definedName name="______GiS02">#REF!</definedName>
    <definedName name="______GiS03">#REF!</definedName>
    <definedName name="______GiS04">#REF!</definedName>
    <definedName name="______GiS05">#REF!</definedName>
    <definedName name="______GiS06">#REF!</definedName>
    <definedName name="______GiS07">#REF!</definedName>
    <definedName name="______GiS08">#REF!</definedName>
    <definedName name="______GiS10">#REF!</definedName>
    <definedName name="______GiS12">#REF!</definedName>
    <definedName name="______GiS16">#REF!</definedName>
    <definedName name="______gk2" hidden="1">#REF!</definedName>
    <definedName name="______GNB1">#REF!</definedName>
    <definedName name="______GNB2">#REF!</definedName>
    <definedName name="______grc1">#REF!</definedName>
    <definedName name="______grc6">#REF!</definedName>
    <definedName name="______grc8">#REF!</definedName>
    <definedName name="______Grn46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0">#REF!</definedName>
    <definedName name="______gvd25">#REF!</definedName>
    <definedName name="______gvd32">#REF!</definedName>
    <definedName name="______gvd40">#REF!</definedName>
    <definedName name="______gvd50">#REF!</definedName>
    <definedName name="______gvd65">#REF!</definedName>
    <definedName name="______gvd80">#REF!</definedName>
    <definedName name="______GVv02">#REF!</definedName>
    <definedName name="______gyf9">#REF!</definedName>
    <definedName name="______gyp9">#REF!</definedName>
    <definedName name="______hdw1">#REF!</definedName>
    <definedName name="______HHH01">#REF!</definedName>
    <definedName name="______Hot10">#REF!</definedName>
    <definedName name="______Hot15">#REF!</definedName>
    <definedName name="______Hot20">#REF!</definedName>
    <definedName name="______Hot25">#REF!</definedName>
    <definedName name="______hpc2">#REF!</definedName>
    <definedName name="______IMB01">#REF!</definedName>
    <definedName name="______jab1">#REF!</definedName>
    <definedName name="______k100123">#REF!</definedName>
    <definedName name="______KAn13">#REF!</definedName>
    <definedName name="______KAw13">#REF!</definedName>
    <definedName name="______ker1020">#REF!</definedName>
    <definedName name="______ker1030">#REF!</definedName>
    <definedName name="______KLc88">#REF!</definedName>
    <definedName name="______kof1">#REF!</definedName>
    <definedName name="______Kpp12">#REF!</definedName>
    <definedName name="______Kpp13">#REF!</definedName>
    <definedName name="______kr15">#REF!</definedName>
    <definedName name="______KrB02">#REF!</definedName>
    <definedName name="______KrB03">#REF!</definedName>
    <definedName name="______KrK02">#REF!</definedName>
    <definedName name="______Krk03">#REF!</definedName>
    <definedName name="______Krk04">#REF!</definedName>
    <definedName name="______Krp12">#REF!</definedName>
    <definedName name="______Krp22">#REF!</definedName>
    <definedName name="______Krp33">#REF!</definedName>
    <definedName name="______KrS02">#REF!</definedName>
    <definedName name="______KrS03">#REF!</definedName>
    <definedName name="______Krw12">#REF!</definedName>
    <definedName name="______Krw22">#REF!</definedName>
    <definedName name="______Krw33">#REF!</definedName>
    <definedName name="______Lad1">#REF!</definedName>
    <definedName name="______Lad2">#REF!</definedName>
    <definedName name="______Lad3">#REF!</definedName>
    <definedName name="______LLL01">#REF!</definedName>
    <definedName name="______LLL02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PG15">#REF!</definedName>
    <definedName name="______Lpk01">#REF!</definedName>
    <definedName name="______Lpk02">#REF!</definedName>
    <definedName name="______Lpk04">#REF!</definedName>
    <definedName name="______Lpk05">#REF!</definedName>
    <definedName name="______Lpk10">#REF!</definedName>
    <definedName name="______MBW867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r80">#REF!</definedName>
    <definedName name="______MMM01">#REF!</definedName>
    <definedName name="______MMM02">#REF!</definedName>
    <definedName name="______MMM03">#REF!</definedName>
    <definedName name="______MMM05">#REF!</definedName>
    <definedName name="______MMM06">#REF!</definedName>
    <definedName name="______MMM07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MM57">#REF!</definedName>
    <definedName name="______MMM58">#REF!</definedName>
    <definedName name="______MMM59">#REF!</definedName>
    <definedName name="______MMM60">#REF!</definedName>
    <definedName name="______MMM61">#REF!</definedName>
    <definedName name="______MMM62">#REF!</definedName>
    <definedName name="______MMM63">#REF!</definedName>
    <definedName name="______MMM64">#REF!</definedName>
    <definedName name="______MMM65">#REF!</definedName>
    <definedName name="______MMM66">#REF!</definedName>
    <definedName name="______mp1">#REF!</definedName>
    <definedName name="______Mpk12">#REF!</definedName>
    <definedName name="______Mpk18">#REF!</definedName>
    <definedName name="______Mpk9">#REF!</definedName>
    <definedName name="______MU1">#REF!</definedName>
    <definedName name="______MU301">#REF!</definedName>
    <definedName name="______MU380">#REF!</definedName>
    <definedName name="______MU400">#REF!</definedName>
    <definedName name="______MU440">#REF!</definedName>
    <definedName name="______MU450">#REF!</definedName>
    <definedName name="______new5">HAJIME:OWARI</definedName>
    <definedName name="______nm1">#REF!</definedName>
    <definedName name="______NSF10">#REF!</definedName>
    <definedName name="______NSF15">#REF!</definedName>
    <definedName name="______NYA115">#REF!</definedName>
    <definedName name="______NYA125">#REF!</definedName>
    <definedName name="______NYM215">#REF!</definedName>
    <definedName name="______NYM225">#REF!</definedName>
    <definedName name="______NYM240">#REF!</definedName>
    <definedName name="______NYM260">#REF!</definedName>
    <definedName name="______NYM315">#REF!</definedName>
    <definedName name="______NYM325">#REF!</definedName>
    <definedName name="______NYM340">#REF!</definedName>
    <definedName name="______NYM360">#REF!</definedName>
    <definedName name="______NYM425">#REF!</definedName>
    <definedName name="______NYM440">#REF!</definedName>
    <definedName name="______NYM460">#REF!</definedName>
    <definedName name="______NYY240">#REF!</definedName>
    <definedName name="______NYY260">#REF!</definedName>
    <definedName name="______NYY340">#REF!</definedName>
    <definedName name="______NYY360">#REF!</definedName>
    <definedName name="______NYY440">#REF!</definedName>
    <definedName name="______NYY460">#REF!</definedName>
    <definedName name="______Oks14">#REF!</definedName>
    <definedName name="______Opa1">#REF!</definedName>
    <definedName name="______Opa2">#REF!</definedName>
    <definedName name="______pab100">#REF!</definedName>
    <definedName name="______pab125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aw10">#REF!</definedName>
    <definedName name="______PAw16">#REF!</definedName>
    <definedName name="______paw25">#REF!</definedName>
    <definedName name="______paw40">#REF!</definedName>
    <definedName name="______paw50">#REF!</definedName>
    <definedName name="______paw6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50">#REF!</definedName>
    <definedName name="______pc80">#REF!</definedName>
    <definedName name="______pcf80">#REF!</definedName>
    <definedName name="______pek1">#REF!</definedName>
    <definedName name="______pek2">#REF!</definedName>
    <definedName name="______pek3">#REF!</definedName>
    <definedName name="______pf15">#REF!</definedName>
    <definedName name="______pf18">#REF!</definedName>
    <definedName name="______ph100">#REF!</definedName>
    <definedName name="______ph150">#REF!</definedName>
    <definedName name="______phf100">#REF!</definedName>
    <definedName name="______phf150">#REF!</definedName>
    <definedName name="______PL1">#REF!</definedName>
    <definedName name="______PL2">#REF!</definedName>
    <definedName name="______PL3">#REF!</definedName>
    <definedName name="______Plt33">#REF!</definedName>
    <definedName name="______Plt43">#REF!</definedName>
    <definedName name="______Pnl36">#REF!</definedName>
    <definedName name="______PRu02">#REF!</definedName>
    <definedName name="______PRu03">#REF!</definedName>
    <definedName name="______PRu04">#REF!</definedName>
    <definedName name="______PRu05">#REF!</definedName>
    <definedName name="______PRu06">#REF!</definedName>
    <definedName name="______PRu08">#REF!</definedName>
    <definedName name="______PRu10">#REF!</definedName>
    <definedName name="______PRu12">#REF!</definedName>
    <definedName name="______PRu16">#REF!</definedName>
    <definedName name="______PSb02">#REF!</definedName>
    <definedName name="______PSb03">#REF!</definedName>
    <definedName name="______PSb04">#REF!</definedName>
    <definedName name="______PSb05">#REF!</definedName>
    <definedName name="______PSb06">#REF!</definedName>
    <definedName name="______PSb07">#REF!</definedName>
    <definedName name="______PSb08">#REF!</definedName>
    <definedName name="______Psb10">#REF!</definedName>
    <definedName name="______PSb12">#REF!</definedName>
    <definedName name="______PSb16">#REF!</definedName>
    <definedName name="______PsW1">#REF!</definedName>
    <definedName name="______pv100">#REF!</definedName>
    <definedName name="______pv40">#REF!</definedName>
    <definedName name="______pv50">#REF!</definedName>
    <definedName name="______pv80">#REF!</definedName>
    <definedName name="______pvc1">#REF!</definedName>
    <definedName name="______pvc100">#REF!</definedName>
    <definedName name="______pvc150">#REF!</definedName>
    <definedName name="______PVC2">#REF!</definedName>
    <definedName name="______pvc20">#REF!</definedName>
    <definedName name="______pvc200">#REF!</definedName>
    <definedName name="______pvc25">#REF!</definedName>
    <definedName name="______PVC3">#REF!</definedName>
    <definedName name="______pvc32">#REF!</definedName>
    <definedName name="______PVC4">#REF!</definedName>
    <definedName name="______pvc40">#REF!</definedName>
    <definedName name="______pvc50">#REF!</definedName>
    <definedName name="______PVC6">#REF!</definedName>
    <definedName name="______pvc65">#REF!</definedName>
    <definedName name="______PVC8">#REF!</definedName>
    <definedName name="______pvc80">#REF!</definedName>
    <definedName name="______pvf100">#REF!</definedName>
    <definedName name="______pvf80">#REF!</definedName>
    <definedName name="______PW1">#REF!</definedName>
    <definedName name="______PW2">#REF!</definedName>
    <definedName name="______Pwd18">#REF!</definedName>
    <definedName name="______qmd15">#REF!</definedName>
    <definedName name="______qmd20">#REF!</definedName>
    <definedName name="______rdd100">#REF!</definedName>
    <definedName name="______rdd150">#REF!</definedName>
    <definedName name="______ReB23">#REF!</definedName>
    <definedName name="______Rek23">#REF!</definedName>
    <definedName name="______Rek34">#REF!</definedName>
    <definedName name="______RFj05">#REF!</definedName>
    <definedName name="______RFj10">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m175">#REF!</definedName>
    <definedName name="______Rm225">#REF!</definedName>
    <definedName name="______Rm375">#REF!</definedName>
    <definedName name="______Rol06">#REF!</definedName>
    <definedName name="______Rol10">#REF!</definedName>
    <definedName name="______SBr01">#REF!</definedName>
    <definedName name="______SBr02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Jd01">#REF!</definedName>
    <definedName name="______SlP25">#REF!</definedName>
    <definedName name="______sn1020">#REF!</definedName>
    <definedName name="______Spl02">#REF!</definedName>
    <definedName name="______Spl03">#REF!</definedName>
    <definedName name="______Spl04">#REF!</definedName>
    <definedName name="______Spl05">#REF!</definedName>
    <definedName name="______Spl12">#REF!</definedName>
    <definedName name="______Spl23">#REF!</definedName>
    <definedName name="______Spl35">#REF!</definedName>
    <definedName name="______Spl57">#REF!</definedName>
    <definedName name="______Spt02">#REF!</definedName>
    <definedName name="______Spt06">#REF!</definedName>
    <definedName name="______Spt10">#REF!</definedName>
    <definedName name="______std100">#REF!</definedName>
    <definedName name="______std150">#REF!</definedName>
    <definedName name="______std50">#REF!</definedName>
    <definedName name="______std65">#REF!</definedName>
    <definedName name="______StK03">#REF!</definedName>
    <definedName name="______StK04">#REF!</definedName>
    <definedName name="______StK06">#REF!</definedName>
    <definedName name="______StK08">#REF!</definedName>
    <definedName name="______StK10">#REF!</definedName>
    <definedName name="______StK12">#REF!</definedName>
    <definedName name="______SUM1">#REF!</definedName>
    <definedName name="______SUM2">#REF!</definedName>
    <definedName name="______SUM3">#REF!</definedName>
    <definedName name="______Tbb1">#REF!</definedName>
    <definedName name="______Tbb2">#REF!</definedName>
    <definedName name="______Tbs1">#REF!</definedName>
    <definedName name="______Tbs2">#REF!</definedName>
    <definedName name="______Tbt1">#REF!</definedName>
    <definedName name="______Tbt2">#REF!</definedName>
    <definedName name="______TCa1">#REF!</definedName>
    <definedName name="______Tca2">#REF!</definedName>
    <definedName name="______Tfp22">#REF!</definedName>
    <definedName name="______Tfw22">#REF!</definedName>
    <definedName name="______Tgb33">#REF!</definedName>
    <definedName name="______tgl1">#REF!</definedName>
    <definedName name="______Tgp22">#REF!</definedName>
    <definedName name="______Tgp33">#REF!</definedName>
    <definedName name="______Tgw22">#REF!</definedName>
    <definedName name="______Tgw33">#REF!</definedName>
    <definedName name="______Tky1">#REF!</definedName>
    <definedName name="______Tky2">#REF!</definedName>
    <definedName name="______tlc20">#REF!</definedName>
    <definedName name="______Tlk04">#REF!</definedName>
    <definedName name="______Tlk05">#REF!</definedName>
    <definedName name="______Tlk06">#REF!</definedName>
    <definedName name="______Tlk07">#REF!</definedName>
    <definedName name="______TlP20">#REF!</definedName>
    <definedName name="______Tlp40">#REF!</definedName>
    <definedName name="______TOP2">#REF!</definedName>
    <definedName name="______Tpk03">#REF!</definedName>
    <definedName name="______Tpk04">#REF!</definedName>
    <definedName name="______Tpk06">#REF!</definedName>
    <definedName name="______Tpk09">#REF!</definedName>
    <definedName name="______TPp12">#REF!</definedName>
    <definedName name="______TPp13">#REF!</definedName>
    <definedName name="______TPw12">#REF!</definedName>
    <definedName name="______TPw13">#REF!</definedName>
    <definedName name="______tsI3">______tsI3</definedName>
    <definedName name="______tsv25">#REF!</definedName>
    <definedName name="______tv14">#REF!</definedName>
    <definedName name="______Twd03">#REF!</definedName>
    <definedName name="______Twd04">#REF!</definedName>
    <definedName name="______Twd09">#REF!</definedName>
    <definedName name="______Vib01">#REF!</definedName>
    <definedName name="______Vib07">#REF!</definedName>
    <definedName name="______vnt100">#REF!</definedName>
    <definedName name="______vnt40">#REF!</definedName>
    <definedName name="______vnt50">#REF!</definedName>
    <definedName name="______vnt80">#REF!</definedName>
    <definedName name="______WF32">#REF!</definedName>
    <definedName name="______WF42">#REF!</definedName>
    <definedName name="______Wmr02">#REF!</definedName>
    <definedName name="______WPS10">#REF!</definedName>
    <definedName name="______WPS15">#REF!</definedName>
    <definedName name="______WPS25">#REF!</definedName>
    <definedName name="______WPS45">#REF!</definedName>
    <definedName name="_____AAD3">HAJIME:OWARI</definedName>
    <definedName name="_____abb91">NA()</definedName>
    <definedName name="_____abs100">#REF!</definedName>
    <definedName name="_____Act15">#REF!</definedName>
    <definedName name="_____ADD2">STOP:STOPE</definedName>
    <definedName name="_____ADD3">STOP:STOPE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Bal20">#REF!</definedName>
    <definedName name="_____Bal40">#REF!</definedName>
    <definedName name="_____Bar30">#REF!</definedName>
    <definedName name="_____bcv100">#REF!</definedName>
    <definedName name="_____bcv125">#REF!</definedName>
    <definedName name="_____bcv150">#REF!</definedName>
    <definedName name="_____bes24">#REF!</definedName>
    <definedName name="_____bes39">#REF!</definedName>
    <definedName name="_____BFG66">#REF!</definedName>
    <definedName name="_____Bjl28">#REF!</definedName>
    <definedName name="_____Bjl30">#REF!</definedName>
    <definedName name="_____Bmb10">#REF!</definedName>
    <definedName name="_____Bmb57">#REF!</definedName>
    <definedName name="_____BOX2">#REF!</definedName>
    <definedName name="_____Bpl02">#REF!</definedName>
    <definedName name="_____Bpl06">#REF!</definedName>
    <definedName name="_____Bpl10">#REF!</definedName>
    <definedName name="_____bpl32">#REF!</definedName>
    <definedName name="_____bpl9">#REF!</definedName>
    <definedName name="_____bsd1600">#REF!</definedName>
    <definedName name="_____bsd2500">#REF!</definedName>
    <definedName name="_____bsd4000">#REF!</definedName>
    <definedName name="_____BSP3">#REF!</definedName>
    <definedName name="_____BSP4">#REF!</definedName>
    <definedName name="_____BSP5">#REF!</definedName>
    <definedName name="_____BSP6">#REF!</definedName>
    <definedName name="_____BSP8">#REF!</definedName>
    <definedName name="_____Bsq24">#REF!</definedName>
    <definedName name="_____Bsq33">#REF!</definedName>
    <definedName name="_____Bsq44">#REF!</definedName>
    <definedName name="_____btg1">#REF!</definedName>
    <definedName name="_____btg2">#REF!</definedName>
    <definedName name="_____btg3">#REF!</definedName>
    <definedName name="_____BTr34">#REF!</definedName>
    <definedName name="_____Btr66">#REF!</definedName>
    <definedName name="_____Bub20">#REF!</definedName>
    <definedName name="_____Bub30">#REF!</definedName>
    <definedName name="_____Bub40">#REF!</definedName>
    <definedName name="_____Bub50">#REF!</definedName>
    <definedName name="_____Bub60">#REF!</definedName>
    <definedName name="_____Bub80">#REF!</definedName>
    <definedName name="_____bud3500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at1">#REF!</definedName>
    <definedName name="_____cat2">#REF!</definedName>
    <definedName name="_____cat3">#REF!</definedName>
    <definedName name="_____cbr30">#REF!</definedName>
    <definedName name="_____cbr80">#REF!</definedName>
    <definedName name="_____CDs34">#REF!</definedName>
    <definedName name="_____cle10">#REF!</definedName>
    <definedName name="_____cle65">#REF!</definedName>
    <definedName name="_____cod50">#REF!</definedName>
    <definedName name="_____cor175">#REF!</definedName>
    <definedName name="_____cor225">#REF!</definedName>
    <definedName name="_____cor300">#REF!</definedName>
    <definedName name="_____CT250">NA()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Cvv02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g10">#REF!</definedName>
    <definedName name="_____ddg20">#REF!</definedName>
    <definedName name="_____ddg30">#REF!</definedName>
    <definedName name="_____ddn400">"$#REF!.$F$47"</definedName>
    <definedName name="_____ddn600">"$#REF!.$F$33"</definedName>
    <definedName name="_____dgt100">NA()</definedName>
    <definedName name="_____dia6">#REF!</definedName>
    <definedName name="_____dlh20">#REF!</definedName>
    <definedName name="_____dlh50">#REF!</definedName>
    <definedName name="_____Dlk10">#REF!</definedName>
    <definedName name="_____Dlk57">#REF!</definedName>
    <definedName name="_____DlS25">#REF!</definedName>
    <definedName name="_____Dnp02">#REF!</definedName>
    <definedName name="_____DTr35">#REF!</definedName>
    <definedName name="_____DTr50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e34">#REF!</definedName>
    <definedName name="_____EEE35">#REF!</definedName>
    <definedName name="_____EEE36">#REF!</definedName>
    <definedName name="_____EEE37">#REF!</definedName>
    <definedName name="_____EEE38">#REF!</definedName>
    <definedName name="_____EEE39">#REF!</definedName>
    <definedName name="_____Eqp1">#REF!</definedName>
    <definedName name="_____Eqp2">#REF!</definedName>
    <definedName name="_____faw10">#REF!</definedName>
    <definedName name="_____faw65">#REF!</definedName>
    <definedName name="_____fcp1">#REF!</definedName>
    <definedName name="_____fdd100">#REF!</definedName>
    <definedName name="_____Fdr01">#REF!</definedName>
    <definedName name="_____Fdr02">#REF!</definedName>
    <definedName name="_____fjd100">#REF!</definedName>
    <definedName name="_____fjd150">#REF!</definedName>
    <definedName name="_____fjd50">#REF!</definedName>
    <definedName name="_____fjd65">#REF!</definedName>
    <definedName name="_____flo40">#REF!</definedName>
    <definedName name="_____fmd150">#REF!</definedName>
    <definedName name="_____frc2495">#REF!</definedName>
    <definedName name="_____frc41010">#REF!</definedName>
    <definedName name="_____frc495">#REF!</definedName>
    <definedName name="_____fvd100">#REF!</definedName>
    <definedName name="_____gat50">#REF!</definedName>
    <definedName name="_____GBl22">#REF!</definedName>
    <definedName name="_____Gfu20">#REF!</definedName>
    <definedName name="_____Gfu30">#REF!</definedName>
    <definedName name="_____Gfu40">#REF!</definedName>
    <definedName name="_____GID1">"'file:///d:/project/energyhouse2/energyhouse2-mainkontraktor/energyhouse2-mainkontraktor-tender/energyhouse2-mainkontraktor-tender-boq/misc/congviec/tam.xls'#$'lkvl-ck-ht-gd1'.$a$4"</definedName>
    <definedName name="_____GiM02">#REF!</definedName>
    <definedName name="_____GiM03">#REF!</definedName>
    <definedName name="_____GiM04">#REF!</definedName>
    <definedName name="_____GiM05">#REF!</definedName>
    <definedName name="_____GiM06">#REF!</definedName>
    <definedName name="_____GiM08">#REF!</definedName>
    <definedName name="_____GiM10">#REF!</definedName>
    <definedName name="_____GiM12">#REF!</definedName>
    <definedName name="_____GiM16">#REF!</definedName>
    <definedName name="_____GIP1">#REF!</definedName>
    <definedName name="_____gip15">#REF!</definedName>
    <definedName name="_____GIP2">#REF!</definedName>
    <definedName name="_____gip20">#REF!</definedName>
    <definedName name="_____gip25">#REF!</definedName>
    <definedName name="_____GIP3">#REF!</definedName>
    <definedName name="_____gip32">#REF!</definedName>
    <definedName name="_____GIP4">#REF!</definedName>
    <definedName name="_____gip40">#REF!</definedName>
    <definedName name="_____gip50">#REF!</definedName>
    <definedName name="_____GiS02">#REF!</definedName>
    <definedName name="_____GiS03">#REF!</definedName>
    <definedName name="_____GiS04">#REF!</definedName>
    <definedName name="_____GiS05">#REF!</definedName>
    <definedName name="_____GiS06">#REF!</definedName>
    <definedName name="_____GiS07">#REF!</definedName>
    <definedName name="_____GiS08">#REF!</definedName>
    <definedName name="_____GiS10">#REF!</definedName>
    <definedName name="_____GiS12">#REF!</definedName>
    <definedName name="_____GiS16">#REF!</definedName>
    <definedName name="_____gk2" hidden="1">#REF!</definedName>
    <definedName name="_____GNB1">#REF!</definedName>
    <definedName name="_____GNB2">#REF!</definedName>
    <definedName name="_____grc1">#REF!</definedName>
    <definedName name="_____grc6">#REF!</definedName>
    <definedName name="_____grc8">#REF!</definedName>
    <definedName name="_____Grn46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0">#REF!</definedName>
    <definedName name="_____gvd25">#REF!</definedName>
    <definedName name="_____gvd32">#REF!</definedName>
    <definedName name="_____gvd40">#REF!</definedName>
    <definedName name="_____gvd50">#REF!</definedName>
    <definedName name="_____gvd65">#REF!</definedName>
    <definedName name="_____gvd80">#REF!</definedName>
    <definedName name="_____GVv02">#REF!</definedName>
    <definedName name="_____gyf9">#REF!</definedName>
    <definedName name="_____gyp9">#REF!</definedName>
    <definedName name="_____hdw1">#REF!</definedName>
    <definedName name="_____HHH01">#REF!</definedName>
    <definedName name="_____Hot10">#REF!</definedName>
    <definedName name="_____Hot15">#REF!</definedName>
    <definedName name="_____Hot20">#REF!</definedName>
    <definedName name="_____Hot25">#REF!</definedName>
    <definedName name="_____hpc2">#REF!</definedName>
    <definedName name="_____IMB01">#REF!</definedName>
    <definedName name="_____jab1">#REF!</definedName>
    <definedName name="_____JUM1">NA()</definedName>
    <definedName name="_____JUM10">"$#REF!.$N$2493"</definedName>
    <definedName name="_____JUM11">"$#REF!.$N$2502"</definedName>
    <definedName name="_____JUM2">NA()</definedName>
    <definedName name="_____JUM3">NA()</definedName>
    <definedName name="_____JUM6">"$#REF!.$N$2433"</definedName>
    <definedName name="_____JUM7">"$#REF!.$N$2463"</definedName>
    <definedName name="_____JUM8">"$#REF!.$N$2479"</definedName>
    <definedName name="_____JUM9">"$#REF!.$N$2484"</definedName>
    <definedName name="_____k100123">#REF!</definedName>
    <definedName name="_____KAn13">#REF!</definedName>
    <definedName name="_____KAw13">#REF!</definedName>
    <definedName name="_____kco7">#REF!</definedName>
    <definedName name="_____ker1020">#REF!</definedName>
    <definedName name="_____ker1030">#REF!</definedName>
    <definedName name="_____kht20">#REF!</definedName>
    <definedName name="_____kht40">#REF!</definedName>
    <definedName name="_____kht50">#REF!</definedName>
    <definedName name="_____kl2">#REF!</definedName>
    <definedName name="_____kl3">#REF!</definedName>
    <definedName name="_____KLc88">#REF!</definedName>
    <definedName name="_____kof1">#REF!</definedName>
    <definedName name="_____Kpp12">#REF!</definedName>
    <definedName name="_____Kpp13">#REF!</definedName>
    <definedName name="_____kr15">#REF!</definedName>
    <definedName name="_____KrB02">#REF!</definedName>
    <definedName name="_____KrB03">#REF!</definedName>
    <definedName name="_____KrK02">#REF!</definedName>
    <definedName name="_____Krk03">#REF!</definedName>
    <definedName name="_____Krk04">#REF!</definedName>
    <definedName name="_____Krp12">#REF!</definedName>
    <definedName name="_____Krp22">#REF!</definedName>
    <definedName name="_____Krp33">#REF!</definedName>
    <definedName name="_____KrS02">#REF!</definedName>
    <definedName name="_____KrS03">#REF!</definedName>
    <definedName name="_____Krw12">#REF!</definedName>
    <definedName name="_____Krw22">#REF!</definedName>
    <definedName name="_____Krw33">#REF!</definedName>
    <definedName name="_____Lad1">#REF!</definedName>
    <definedName name="_____Lad2">#REF!</definedName>
    <definedName name="_____Lad3">#REF!</definedName>
    <definedName name="_____ldp60">#REF!</definedName>
    <definedName name="_____lh5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p100">#REF!</definedName>
    <definedName name="_____lp300">#REF!</definedName>
    <definedName name="_____lp36">#REF!</definedName>
    <definedName name="_____lp500">#REF!</definedName>
    <definedName name="_____lp60">#REF!</definedName>
    <definedName name="_____LPG15">#REF!</definedName>
    <definedName name="_____Lpk01">#REF!</definedName>
    <definedName name="_____Lpk02">#REF!</definedName>
    <definedName name="_____Lpk04">#REF!</definedName>
    <definedName name="_____Lpk05">#REF!</definedName>
    <definedName name="_____Lpk10">#REF!</definedName>
    <definedName name="_____lpl11">#REF!</definedName>
    <definedName name="_____MAC12">"$#REF!.$H$6"</definedName>
    <definedName name="_____MAC46">"$#REF!.$H$61"</definedName>
    <definedName name="_____MB867">#REF!</definedName>
    <definedName name="_____MBW867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r80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MM57">#REF!</definedName>
    <definedName name="_____MMM58">#REF!</definedName>
    <definedName name="_____MMM59">#REF!</definedName>
    <definedName name="_____MMM60">#REF!</definedName>
    <definedName name="_____MMM61">#REF!</definedName>
    <definedName name="_____MMM62">#REF!</definedName>
    <definedName name="_____MMM63">#REF!</definedName>
    <definedName name="_____MMM64">#REF!</definedName>
    <definedName name="_____MMM65">#REF!</definedName>
    <definedName name="_____MMM66">#REF!</definedName>
    <definedName name="_____mp1">#REF!</definedName>
    <definedName name="_____Mpk12">#REF!</definedName>
    <definedName name="_____Mpk18">#REF!</definedName>
    <definedName name="_____Mpk9">#REF!</definedName>
    <definedName name="_____MU380">#REF!</definedName>
    <definedName name="_____NCL100">"$#REF!.$#REF!$#REF!"</definedName>
    <definedName name="_____NCL200">"$#REF!.$#REF!$#REF!"</definedName>
    <definedName name="_____NCL250">"$#REF!.$#REF!$#REF!"</definedName>
    <definedName name="_____nin190">"$#REF!.$#REF!$#REF!"</definedName>
    <definedName name="_____nm1">#REF!</definedName>
    <definedName name="_____NSF10">#REF!</definedName>
    <definedName name="_____NSF15">#REF!</definedName>
    <definedName name="_____NYA115">#REF!</definedName>
    <definedName name="_____NYA125">#REF!</definedName>
    <definedName name="_____NYM215">#REF!</definedName>
    <definedName name="_____NYM225">#REF!</definedName>
    <definedName name="_____NYM240">#REF!</definedName>
    <definedName name="_____NYM260">#REF!</definedName>
    <definedName name="_____NYM315">#REF!</definedName>
    <definedName name="_____NYM325">#REF!</definedName>
    <definedName name="_____nym34">#REF!</definedName>
    <definedName name="_____NYM340">#REF!</definedName>
    <definedName name="_____NYM360">#REF!</definedName>
    <definedName name="_____NYM425">#REF!</definedName>
    <definedName name="_____NYM440">#REF!</definedName>
    <definedName name="_____nym46">#REF!</definedName>
    <definedName name="_____NYM460">#REF!</definedName>
    <definedName name="_____NYY240">#REF!</definedName>
    <definedName name="_____nyy2416">#REF!</definedName>
    <definedName name="_____nyy244">#REF!</definedName>
    <definedName name="_____nyy246">#REF!</definedName>
    <definedName name="_____NYY260">#REF!</definedName>
    <definedName name="_____nyy34">#REF!</definedName>
    <definedName name="_____NYY340">#REF!</definedName>
    <definedName name="_____NYY360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0">#REF!</definedName>
    <definedName name="_____nyy444">#REF!</definedName>
    <definedName name="_____nyy45050">#REF!</definedName>
    <definedName name="_____nyy46">#REF!</definedName>
    <definedName name="_____NYY460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ks14">#REF!</definedName>
    <definedName name="_____Opa1">#REF!</definedName>
    <definedName name="_____Opa2">#REF!</definedName>
    <definedName name="_____PA1">#REF!</definedName>
    <definedName name="_____PA2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w10">#REF!</definedName>
    <definedName name="_____PAw16">#REF!</definedName>
    <definedName name="_____paw25">#REF!</definedName>
    <definedName name="_____paw40">#REF!</definedName>
    <definedName name="_____paw50">#REF!</definedName>
    <definedName name="_____paw65">#REF!</definedName>
    <definedName name="_____pb1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50">#REF!</definedName>
    <definedName name="_____pc80">#REF!</definedName>
    <definedName name="_____pcf80">#REF!</definedName>
    <definedName name="_____pek1">#REF!</definedName>
    <definedName name="_____pek2">#REF!</definedName>
    <definedName name="_____pek3">#REF!</definedName>
    <definedName name="_____pf18">#REF!</definedName>
    <definedName name="_____ph100">#REF!</definedName>
    <definedName name="_____ph150">#REF!</definedName>
    <definedName name="_____phf100">#REF!</definedName>
    <definedName name="_____phf150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L1">#REF!</definedName>
    <definedName name="_____PL2">#REF!</definedName>
    <definedName name="_____PL3">#REF!</definedName>
    <definedName name="_____Plt33">#REF!</definedName>
    <definedName name="_____Plt43">#REF!</definedName>
    <definedName name="_____Pnl36">#REF!</definedName>
    <definedName name="_____po1000">#REF!</definedName>
    <definedName name="_____PRC019">#REF!</definedName>
    <definedName name="_____PRu02">#REF!</definedName>
    <definedName name="_____PRu03">#REF!</definedName>
    <definedName name="_____PRu04">#REF!</definedName>
    <definedName name="_____PRu05">#REF!</definedName>
    <definedName name="_____PRu06">#REF!</definedName>
    <definedName name="_____PRu08">#REF!</definedName>
    <definedName name="_____PRu10">#REF!</definedName>
    <definedName name="_____PRu12">#REF!</definedName>
    <definedName name="_____PRu16">#REF!</definedName>
    <definedName name="_____PSb02">#REF!</definedName>
    <definedName name="_____PSb03">#REF!</definedName>
    <definedName name="_____PSb04">#REF!</definedName>
    <definedName name="_____PSb05">#REF!</definedName>
    <definedName name="_____PSb06">#REF!</definedName>
    <definedName name="_____PSb07">#REF!</definedName>
    <definedName name="_____PSb08">#REF!</definedName>
    <definedName name="_____Psb10">#REF!</definedName>
    <definedName name="_____PSb12">#REF!</definedName>
    <definedName name="_____PSb16">#REF!</definedName>
    <definedName name="_____PSC084">#REF!</definedName>
    <definedName name="_____PsW1">#REF!</definedName>
    <definedName name="_____ptg1">#REF!</definedName>
    <definedName name="_____ptg2">#REF!</definedName>
    <definedName name="_____pv100">#REF!</definedName>
    <definedName name="_____pv40">#REF!</definedName>
    <definedName name="_____pv50">#REF!</definedName>
    <definedName name="_____pv80">#REF!</definedName>
    <definedName name="_____pvc1">#REF!</definedName>
    <definedName name="_____pvc100">#REF!</definedName>
    <definedName name="_____pvc150">#REF!</definedName>
    <definedName name="_____PVC2">#REF!</definedName>
    <definedName name="_____pvc20">#REF!</definedName>
    <definedName name="_____pvc200">#REF!</definedName>
    <definedName name="_____pvc25">#REF!</definedName>
    <definedName name="_____PVC3">#REF!</definedName>
    <definedName name="_____pvc32">#REF!</definedName>
    <definedName name="_____PVC4">#REF!</definedName>
    <definedName name="_____pvc40">#REF!</definedName>
    <definedName name="_____pvc50">#REF!</definedName>
    <definedName name="_____PVC6">#REF!</definedName>
    <definedName name="_____pvc65">#REF!</definedName>
    <definedName name="_____PVC8">#REF!</definedName>
    <definedName name="_____pvc80">#REF!</definedName>
    <definedName name="_____pvf100">#REF!</definedName>
    <definedName name="_____pvf80">#REF!</definedName>
    <definedName name="_____PW1">#REF!</definedName>
    <definedName name="_____PW2">#REF!</definedName>
    <definedName name="_____Pwd18">#REF!</definedName>
    <definedName name="_____qmd15">#REF!</definedName>
    <definedName name="_____qmd20">#REF!</definedName>
    <definedName name="_____rdd100">#REF!</definedName>
    <definedName name="_____rdd150">#REF!</definedName>
    <definedName name="_____ReB23">#REF!</definedName>
    <definedName name="_____Rek23">#REF!</definedName>
    <definedName name="_____Rek34">#REF!</definedName>
    <definedName name="_____RFj05">#REF!</definedName>
    <definedName name="_____RFj10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175">#REF!</definedName>
    <definedName name="_____Rm225">#REF!</definedName>
    <definedName name="_____Rm375">#REF!</definedName>
    <definedName name="_____Rol06">#REF!</definedName>
    <definedName name="_____Rol10">#REF!</definedName>
    <definedName name="_____SBr01">#REF!</definedName>
    <definedName name="_____SBr02">#REF!</definedName>
    <definedName name="_____sc1">"$#REF!.$H$6"</definedName>
    <definedName name="_____SC2">"$#REF!.$H$9"</definedName>
    <definedName name="_____sc3">"$#REF!.$H$56"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Jd01">#REF!</definedName>
    <definedName name="_____SlP25">#REF!</definedName>
    <definedName name="_____sn1020">#REF!</definedName>
    <definedName name="_____SN3">"$#REF!.$#REF!$#REF!"</definedName>
    <definedName name="_____Spl02">#REF!</definedName>
    <definedName name="_____Spl03">#REF!</definedName>
    <definedName name="_____Spl04">#REF!</definedName>
    <definedName name="_____Spl05">#REF!</definedName>
    <definedName name="_____Spl12">#REF!</definedName>
    <definedName name="_____Spl23">#REF!</definedName>
    <definedName name="_____Spl35">#REF!</definedName>
    <definedName name="_____Spl57">#REF!</definedName>
    <definedName name="_____Spt02">#REF!</definedName>
    <definedName name="_____Spt06">#REF!</definedName>
    <definedName name="_____Spt10">#REF!</definedName>
    <definedName name="_____std100">#REF!</definedName>
    <definedName name="_____std150">#REF!</definedName>
    <definedName name="_____std50">#REF!</definedName>
    <definedName name="_____std65">#REF!</definedName>
    <definedName name="_____StK03">#REF!</definedName>
    <definedName name="_____StK04">#REF!</definedName>
    <definedName name="_____StK06">#REF!</definedName>
    <definedName name="_____StK08">#REF!</definedName>
    <definedName name="_____StK10">#REF!</definedName>
    <definedName name="_____StK12">#REF!</definedName>
    <definedName name="_____SUM1">#REF!</definedName>
    <definedName name="_____SUM2">#REF!</definedName>
    <definedName name="_____SUM3">#REF!</definedName>
    <definedName name="_____Tbb1">#REF!</definedName>
    <definedName name="_____Tbb2">#REF!</definedName>
    <definedName name="_____Tbs1">#REF!</definedName>
    <definedName name="_____Tbs2">#REF!</definedName>
    <definedName name="_____Tbt1">#REF!</definedName>
    <definedName name="_____Tbt2">#REF!</definedName>
    <definedName name="_____TCa1">#REF!</definedName>
    <definedName name="_____Tca2">#REF!</definedName>
    <definedName name="_____Tfp22">#REF!</definedName>
    <definedName name="_____Tfw22">#REF!</definedName>
    <definedName name="_____Tgb33">#REF!</definedName>
    <definedName name="_____tgl1">#REF!</definedName>
    <definedName name="_____Tgp22">#REF!</definedName>
    <definedName name="_____Tgp33">#REF!</definedName>
    <definedName name="_____Tgw22">#REF!</definedName>
    <definedName name="_____Tgw33">#REF!</definedName>
    <definedName name="_____th100">NA()</definedName>
    <definedName name="_____TH160">NA()</definedName>
    <definedName name="_____THP2">STOP:STOPE</definedName>
    <definedName name="_____Tky1">#REF!</definedName>
    <definedName name="_____Tky2">#REF!</definedName>
    <definedName name="_____TL1">"$#REF!.$C$6"</definedName>
    <definedName name="_____TL2">"$#REF!.$D$6"</definedName>
    <definedName name="_____TL3">"$#REF!.$#REF!$#REF!"</definedName>
    <definedName name="_____TLA120">"$#REF!.$B$23"</definedName>
    <definedName name="_____TLA35">"$#REF!.$B$27"</definedName>
    <definedName name="_____TLA50">"$#REF!.$B$26"</definedName>
    <definedName name="_____TLA70">"$#REF!.$B$25"</definedName>
    <definedName name="_____TLA95">"$#REF!.$B$24"</definedName>
    <definedName name="_____tlc20">#REF!</definedName>
    <definedName name="_____Tlk04">#REF!</definedName>
    <definedName name="_____Tlk05">#REF!</definedName>
    <definedName name="_____Tlk06">#REF!</definedName>
    <definedName name="_____Tlk07">#REF!</definedName>
    <definedName name="_____TlP20">#REF!</definedName>
    <definedName name="_____Tlp40">#REF!</definedName>
    <definedName name="_____TOP2">#REF!</definedName>
    <definedName name="_____tp30">#REF!</definedName>
    <definedName name="_____tp40">#REF!</definedName>
    <definedName name="_____Tpk03">#REF!</definedName>
    <definedName name="_____Tpk04">#REF!</definedName>
    <definedName name="_____Tpk06">#REF!</definedName>
    <definedName name="_____Tpk09">#REF!</definedName>
    <definedName name="_____TPp12">#REF!</definedName>
    <definedName name="_____TPp13">#REF!</definedName>
    <definedName name="_____TPw12">#REF!</definedName>
    <definedName name="_____TPw13">#REF!</definedName>
    <definedName name="_____TR250">NA()</definedName>
    <definedName name="_____tr375">NA()</definedName>
    <definedName name="_____tsv25">#REF!</definedName>
    <definedName name="_____tv14">#REF!</definedName>
    <definedName name="_____Twd03">#REF!</definedName>
    <definedName name="_____Twd04">#REF!</definedName>
    <definedName name="_____Twd09">#REF!</definedName>
    <definedName name="_____uls60">#REF!</definedName>
    <definedName name="_____UPA100">NA()</definedName>
    <definedName name="_____Vib01">#REF!</definedName>
    <definedName name="_____Vib07">#REF!</definedName>
    <definedName name="_____VL100">"$#REF!.$#REF!$#REF!"</definedName>
    <definedName name="_____VL200">"$#REF!.$#REF!$#REF!"</definedName>
    <definedName name="_____VL250">"$#REF!.$#REF!$#REF!"</definedName>
    <definedName name="_____vnt100">#REF!</definedName>
    <definedName name="_____vnt40">#REF!</definedName>
    <definedName name="_____vnt50">#REF!</definedName>
    <definedName name="_____vnt80">#REF!</definedName>
    <definedName name="_____WM420">#REF!</definedName>
    <definedName name="_____Wmr02">#REF!</definedName>
    <definedName name="_____WPS10">#REF!</definedName>
    <definedName name="_____WPS15">#REF!</definedName>
    <definedName name="_____WPS25">#REF!</definedName>
    <definedName name="_____WPS45">#REF!</definedName>
    <definedName name="____AAD3">HAJIME:OWARI</definedName>
    <definedName name="____abb91">NA()</definedName>
    <definedName name="____abs100">#REF!</definedName>
    <definedName name="____Act15">#REF!</definedName>
    <definedName name="____ADD2">STOP:STOPE</definedName>
    <definedName name="____ADD3">STOP:STOPE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ru1">#REF!</definedName>
    <definedName name="____Bal20">#REF!</definedName>
    <definedName name="____Bal40">#REF!</definedName>
    <definedName name="____Bar30">#REF!</definedName>
    <definedName name="____bcv100">#REF!</definedName>
    <definedName name="____bcv125">#REF!</definedName>
    <definedName name="____bcv150">#REF!</definedName>
    <definedName name="____bes24">#REF!</definedName>
    <definedName name="____bes39">#REF!</definedName>
    <definedName name="____bet350">#REF!</definedName>
    <definedName name="____bet400">#REF!</definedName>
    <definedName name="____BFG66">#REF!</definedName>
    <definedName name="____Bjl28">#REF!</definedName>
    <definedName name="____Bjl30">#REF!</definedName>
    <definedName name="____Bmb10">#REF!</definedName>
    <definedName name="____Bmb57">#REF!</definedName>
    <definedName name="____BOX2">#REF!</definedName>
    <definedName name="____Bpl02">#REF!</definedName>
    <definedName name="____Bpl06">#REF!</definedName>
    <definedName name="____Bpl10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SP3">#REF!</definedName>
    <definedName name="____BSP4">#REF!</definedName>
    <definedName name="____BSP5">#REF!</definedName>
    <definedName name="____BSP6">#REF!</definedName>
    <definedName name="____BSP8">#REF!</definedName>
    <definedName name="____Bsq24">#REF!</definedName>
    <definedName name="____Bsq33">#REF!</definedName>
    <definedName name="____Bsq44">#REF!</definedName>
    <definedName name="____btg1">#REF!</definedName>
    <definedName name="____btg2">#REF!</definedName>
    <definedName name="____btg3">#REF!</definedName>
    <definedName name="____BTr34">#REF!</definedName>
    <definedName name="____Btr66">#REF!</definedName>
    <definedName name="____Bub20">#REF!</definedName>
    <definedName name="____Bub30">#REF!</definedName>
    <definedName name="____Bub40">#REF!</definedName>
    <definedName name="____Bub50">#REF!</definedName>
    <definedName name="____Bub60">#REF!</definedName>
    <definedName name="____Bub8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N15">#REF!</definedName>
    <definedName name="____cas80">#REF!</definedName>
    <definedName name="____cat1">#REF!</definedName>
    <definedName name="____cat2">#REF!</definedName>
    <definedName name="____cat3">#REF!</definedName>
    <definedName name="____cbr30">#REF!</definedName>
    <definedName name="____cbr80">#REF!</definedName>
    <definedName name="____CDs34">#REF!</definedName>
    <definedName name="____CFP2">#REF!</definedName>
    <definedName name="____cle10">#REF!</definedName>
    <definedName name="____cle65">#REF!</definedName>
    <definedName name="____cod50">#REF!</definedName>
    <definedName name="____cor1">#REF!</definedName>
    <definedName name="____CT250">NA()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Cvv02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n400">"$#REF!.$F$47"</definedName>
    <definedName name="____ddn600">"$#REF!.$F$33"</definedName>
    <definedName name="____dgt100">NA()</definedName>
    <definedName name="____dia6">#REF!</definedName>
    <definedName name="____dlh20">#REF!</definedName>
    <definedName name="____dlh50">#REF!</definedName>
    <definedName name="____Dlk10">#REF!</definedName>
    <definedName name="____Dlk57">#REF!</definedName>
    <definedName name="____DlS25">#REF!</definedName>
    <definedName name="____Dnp02">#REF!</definedName>
    <definedName name="____DTr35">#REF!</definedName>
    <definedName name="____DTr50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e34">#REF!</definedName>
    <definedName name="____EEE35">#REF!</definedName>
    <definedName name="____EEE36">#REF!</definedName>
    <definedName name="____EEE37">#REF!</definedName>
    <definedName name="____EEE38">#REF!</definedName>
    <definedName name="____EEE39">#REF!</definedName>
    <definedName name="____Eqp1">#REF!</definedName>
    <definedName name="____Eqp2">#REF!</definedName>
    <definedName name="____faw10">#REF!</definedName>
    <definedName name="____faw65">#REF!</definedName>
    <definedName name="____fcp1">#REF!</definedName>
    <definedName name="____fdd100">#REF!</definedName>
    <definedName name="____Fdr01">#REF!</definedName>
    <definedName name="____Fdr02">#REF!</definedName>
    <definedName name="____fjd100">#REF!</definedName>
    <definedName name="____fjd150">#REF!</definedName>
    <definedName name="____fjd50">#REF!</definedName>
    <definedName name="____fjd65">#REF!</definedName>
    <definedName name="____flo40">#REF!</definedName>
    <definedName name="____fmd150">#REF!</definedName>
    <definedName name="____frc2495">#REF!</definedName>
    <definedName name="____frc41010">#REF!</definedName>
    <definedName name="____frc495">#REF!</definedName>
    <definedName name="____fvd100">#REF!</definedName>
    <definedName name="____gat50">#REF!</definedName>
    <definedName name="____GBl22">#REF!</definedName>
    <definedName name="____Gfu20">#REF!</definedName>
    <definedName name="____Gfu30">#REF!</definedName>
    <definedName name="____Gfu40">#REF!</definedName>
    <definedName name="____GID1">"'file:///d:/project/energyhouse2/energyhouse2-mainkontraktor/energyhouse2-mainkontraktor-tender/energyhouse2-mainkontraktor-tender-boq/misc/congviec/tam.xls'#$'lkvl-ck-ht-gd1'.$a$4"</definedName>
    <definedName name="____GiM02">#REF!</definedName>
    <definedName name="____GiM03">#REF!</definedName>
    <definedName name="____GiM04">#REF!</definedName>
    <definedName name="____GiM05">#REF!</definedName>
    <definedName name="____GiM06">#REF!</definedName>
    <definedName name="____GiM08">#REF!</definedName>
    <definedName name="____GiM10">#REF!</definedName>
    <definedName name="____GiM12">#REF!</definedName>
    <definedName name="____GiM16">#REF!</definedName>
    <definedName name="____GIP1">#REF!</definedName>
    <definedName name="____gip15">#REF!</definedName>
    <definedName name="____GIP2">#REF!</definedName>
    <definedName name="____gip20">#REF!</definedName>
    <definedName name="____gip25">#REF!</definedName>
    <definedName name="____GIP3">#REF!</definedName>
    <definedName name="____gip32">#REF!</definedName>
    <definedName name="____GIP4">#REF!</definedName>
    <definedName name="____gip40">#REF!</definedName>
    <definedName name="____gip50">#REF!</definedName>
    <definedName name="____GiS02">#REF!</definedName>
    <definedName name="____GiS03">#REF!</definedName>
    <definedName name="____GiS04">#REF!</definedName>
    <definedName name="____GiS05">#REF!</definedName>
    <definedName name="____GiS06">#REF!</definedName>
    <definedName name="____GiS07">#REF!</definedName>
    <definedName name="____GiS08">#REF!</definedName>
    <definedName name="____GiS10">#REF!</definedName>
    <definedName name="____GiS12">#REF!</definedName>
    <definedName name="____GiS16">#REF!</definedName>
    <definedName name="____gk2" hidden="1">#REF!</definedName>
    <definedName name="____GNB1">#REF!</definedName>
    <definedName name="____GNB2">#REF!</definedName>
    <definedName name="____gra6060">#REF!</definedName>
    <definedName name="____grc1">#REF!</definedName>
    <definedName name="____grc6">#REF!</definedName>
    <definedName name="____grc8">#REF!</definedName>
    <definedName name="____Grn46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0">#REF!</definedName>
    <definedName name="____gvd25">#REF!</definedName>
    <definedName name="____gvd32">#REF!</definedName>
    <definedName name="____gvd40">#REF!</definedName>
    <definedName name="____gvd50">#REF!</definedName>
    <definedName name="____gvd65">#REF!</definedName>
    <definedName name="____gvd80">#REF!</definedName>
    <definedName name="____GVv02">#REF!</definedName>
    <definedName name="____gyf9">#REF!</definedName>
    <definedName name="____gyp9">#REF!</definedName>
    <definedName name="____hdw1">#REF!</definedName>
    <definedName name="____HHH01">#REF!</definedName>
    <definedName name="____Hot10">#REF!</definedName>
    <definedName name="____Hot15">#REF!</definedName>
    <definedName name="____Hot20">#REF!</definedName>
    <definedName name="____Hot25">#REF!</definedName>
    <definedName name="____hpc2">#REF!</definedName>
    <definedName name="____IMB01">#REF!</definedName>
    <definedName name="____iv65655">#REF!</definedName>
    <definedName name="____jab1">#REF!</definedName>
    <definedName name="____JUM1">NA()</definedName>
    <definedName name="____JUM10">"$#REF!.$N$2493"</definedName>
    <definedName name="____JUM11">"$#REF!.$N$2502"</definedName>
    <definedName name="____JUM2">NA()</definedName>
    <definedName name="____JUM3">NA()</definedName>
    <definedName name="____JUM6">"$#REF!.$N$2433"</definedName>
    <definedName name="____JUM7">"$#REF!.$N$2463"</definedName>
    <definedName name="____JUM8">"$#REF!.$N$2479"</definedName>
    <definedName name="____JUM9">"$#REF!.$N$2484"</definedName>
    <definedName name="____k100123">#REF!</definedName>
    <definedName name="____KAn13">#REF!</definedName>
    <definedName name="____KAw13">#REF!</definedName>
    <definedName name="____kco7">#REF!</definedName>
    <definedName name="____ker1020">#REF!</definedName>
    <definedName name="____ker1030">#REF!</definedName>
    <definedName name="____ker2020">#REF!</definedName>
    <definedName name="____ker2530">#REF!</definedName>
    <definedName name="____ker3030">#REF!</definedName>
    <definedName name="____ker3333">#REF!</definedName>
    <definedName name="____kht20">#REF!</definedName>
    <definedName name="____kht40">#REF!</definedName>
    <definedName name="____kht50">#REF!</definedName>
    <definedName name="____kl2">#REF!</definedName>
    <definedName name="____kl3">#REF!</definedName>
    <definedName name="____KLc88">#REF!</definedName>
    <definedName name="____kof1">#REF!</definedName>
    <definedName name="____Kpp12">#REF!</definedName>
    <definedName name="____Kpp13">#REF!</definedName>
    <definedName name="____KR1">#REF!</definedName>
    <definedName name="____kr15">#REF!</definedName>
    <definedName name="____KR22">#REF!</definedName>
    <definedName name="____KR6">#REF!</definedName>
    <definedName name="____KR7">#REF!</definedName>
    <definedName name="____KR8">#REF!</definedName>
    <definedName name="____KR9">#REF!</definedName>
    <definedName name="____KrB02">#REF!</definedName>
    <definedName name="____KrB03">#REF!</definedName>
    <definedName name="____KrK02">#REF!</definedName>
    <definedName name="____Krk03">#REF!</definedName>
    <definedName name="____Krk04">#REF!</definedName>
    <definedName name="____Krp12">#REF!</definedName>
    <definedName name="____Krp22">#REF!</definedName>
    <definedName name="____Krp33">#REF!</definedName>
    <definedName name="____KrS02">#REF!</definedName>
    <definedName name="____KrS03">#REF!</definedName>
    <definedName name="____Krw12">#REF!</definedName>
    <definedName name="____Krw22">#REF!</definedName>
    <definedName name="____Krw33">#REF!</definedName>
    <definedName name="____Lad1">#REF!</definedName>
    <definedName name="____Lad2">#REF!</definedName>
    <definedName name="____Lad3">#REF!</definedName>
    <definedName name="____ldp60">#REF!</definedName>
    <definedName name="____lh5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G15">#REF!</definedName>
    <definedName name="____Lpk01">#REF!</definedName>
    <definedName name="____Lpk02">#REF!</definedName>
    <definedName name="____Lpk04">#REF!</definedName>
    <definedName name="____Lpk05">#REF!</definedName>
    <definedName name="____Lpk10">#REF!</definedName>
    <definedName name="____lpl11">#REF!</definedName>
    <definedName name="____MAC12">"$#REF!.$H$6"</definedName>
    <definedName name="____MAC46">"$#REF!.$H$61"</definedName>
    <definedName name="____MB867">#REF!</definedName>
    <definedName name="____mbe12">#REF!</definedName>
    <definedName name="____MBW867">#REF!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r80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MM57">#REF!</definedName>
    <definedName name="____MMM58">#REF!</definedName>
    <definedName name="____MMM59">#REF!</definedName>
    <definedName name="____MMM60">#REF!</definedName>
    <definedName name="____MMM61">#REF!</definedName>
    <definedName name="____MMM62">#REF!</definedName>
    <definedName name="____MMM63">#REF!</definedName>
    <definedName name="____MMM64">#REF!</definedName>
    <definedName name="____MMM65">#REF!</definedName>
    <definedName name="____MMM66">#REF!</definedName>
    <definedName name="____mp1">#REF!</definedName>
    <definedName name="____Mpk12">#REF!</definedName>
    <definedName name="____Mpk18">#REF!</definedName>
    <definedName name="____Mpk9">#REF!</definedName>
    <definedName name="____MU1">#REF!</definedName>
    <definedName name="____MU300">"$#REF!.$G$169"</definedName>
    <definedName name="____MU301">#REF!</definedName>
    <definedName name="____MU380">"$#REF!.$G$171"</definedName>
    <definedName name="____MU400">#REF!</definedName>
    <definedName name="____MU440">#REF!</definedName>
    <definedName name="____MU450">#REF!</definedName>
    <definedName name="____NCL100">"$#REF!.$#REF!$#REF!"</definedName>
    <definedName name="____NCL200">"$#REF!.$#REF!$#REF!"</definedName>
    <definedName name="____NCL250">"$#REF!.$#REF!$#REF!"</definedName>
    <definedName name="____new5">HAJIME:OWARI</definedName>
    <definedName name="____nin190">"$#REF!.$#REF!$#REF!"</definedName>
    <definedName name="____nm1">#REF!</definedName>
    <definedName name="____NSF10">#REF!</definedName>
    <definedName name="____NSF15">#REF!</definedName>
    <definedName name="____NYA115">#REF!</definedName>
    <definedName name="____NYA125">#REF!</definedName>
    <definedName name="____NYM215">#REF!</definedName>
    <definedName name="____NYM225">#REF!</definedName>
    <definedName name="____NYM240">#REF!</definedName>
    <definedName name="____NYM260">#REF!</definedName>
    <definedName name="____NYM315">#REF!</definedName>
    <definedName name="____NYM325">#REF!</definedName>
    <definedName name="____nym34">#REF!</definedName>
    <definedName name="____NYM340">#REF!</definedName>
    <definedName name="____NYM360">#REF!</definedName>
    <definedName name="____NYM425">#REF!</definedName>
    <definedName name="____NYM440">#REF!</definedName>
    <definedName name="____nym46">#REF!</definedName>
    <definedName name="____NYM460">#REF!</definedName>
    <definedName name="____NYY240">#REF!</definedName>
    <definedName name="____nyy2416">#REF!</definedName>
    <definedName name="____nyy244">#REF!</definedName>
    <definedName name="____nyy246">#REF!</definedName>
    <definedName name="____NYY260">#REF!</definedName>
    <definedName name="____nyy34">#REF!</definedName>
    <definedName name="____NYY340">#REF!</definedName>
    <definedName name="____NYY360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0">#REF!</definedName>
    <definedName name="____nyy444">#REF!</definedName>
    <definedName name="____nyy45050">#REF!</definedName>
    <definedName name="____nyy46">#REF!</definedName>
    <definedName name="____NYY460">#REF!</definedName>
    <definedName name="____nyy466">#REF!</definedName>
    <definedName name="____nyy47050">#REF!</definedName>
    <definedName name="____nyy47070">#REF!</definedName>
    <definedName name="____nyy49570">#REF!</definedName>
    <definedName name="____Oks14">#REF!</definedName>
    <definedName name="____Opa1">#REF!</definedName>
    <definedName name="____Opa2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w10">#REF!</definedName>
    <definedName name="____PAw16">#REF!</definedName>
    <definedName name="____paw25">#REF!</definedName>
    <definedName name="____paw40">#REF!</definedName>
    <definedName name="____paw50">#REF!</definedName>
    <definedName name="____paw6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ek1">#REF!</definedName>
    <definedName name="____pek2">#REF!</definedName>
    <definedName name="____pek3">#REF!</definedName>
    <definedName name="____pf18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1">#REF!</definedName>
    <definedName name="____PL2">#REF!</definedName>
    <definedName name="____PL3">#REF!</definedName>
    <definedName name="____Plt33">#REF!</definedName>
    <definedName name="____Plt43">#REF!</definedName>
    <definedName name="____Pnl36">#REF!</definedName>
    <definedName name="____po1000">#REF!</definedName>
    <definedName name="____PRC019">#REF!</definedName>
    <definedName name="____PRu02">#REF!</definedName>
    <definedName name="____PRu03">#REF!</definedName>
    <definedName name="____PRu04">#REF!</definedName>
    <definedName name="____PRu05">#REF!</definedName>
    <definedName name="____PRu06">#REF!</definedName>
    <definedName name="____PRu08">#REF!</definedName>
    <definedName name="____PRu10">#REF!</definedName>
    <definedName name="____PRu12">#REF!</definedName>
    <definedName name="____PRu16">#REF!</definedName>
    <definedName name="____PSb02">#REF!</definedName>
    <definedName name="____PSb03">#REF!</definedName>
    <definedName name="____PSb04">#REF!</definedName>
    <definedName name="____PSb05">#REF!</definedName>
    <definedName name="____PSb06">#REF!</definedName>
    <definedName name="____PSb07">#REF!</definedName>
    <definedName name="____PSb08">#REF!</definedName>
    <definedName name="____Psb10">#REF!</definedName>
    <definedName name="____PSb12">#REF!</definedName>
    <definedName name="____PSb16">#REF!</definedName>
    <definedName name="____PSC084">#REF!</definedName>
    <definedName name="____PsW1">#REF!</definedName>
    <definedName name="____ptg1">#REF!</definedName>
    <definedName name="____ptg2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50">#REF!</definedName>
    <definedName name="____PVC2">#REF!</definedName>
    <definedName name="____pvc20">#REF!</definedName>
    <definedName name="____pvc200">#REF!</definedName>
    <definedName name="____pvc25">#REF!</definedName>
    <definedName name="____PVC3">#REF!</definedName>
    <definedName name="____pvc32">#REF!</definedName>
    <definedName name="____PVC4">#REF!</definedName>
    <definedName name="____pvc40">#REF!</definedName>
    <definedName name="____pvc50">#REF!</definedName>
    <definedName name="____PVC6">#REF!</definedName>
    <definedName name="____pvc65">#REF!</definedName>
    <definedName name="____PVC8">#REF!</definedName>
    <definedName name="____pvc80">#REF!</definedName>
    <definedName name="____pvf100">#REF!</definedName>
    <definedName name="____pvf80">#REF!</definedName>
    <definedName name="____PW1">#REF!</definedName>
    <definedName name="____PW2">#REF!</definedName>
    <definedName name="____Pwd18">#REF!</definedName>
    <definedName name="____qmd15">#REF!</definedName>
    <definedName name="____qmd20">#REF!</definedName>
    <definedName name="____rdd100">#REF!</definedName>
    <definedName name="____rdd150">#REF!</definedName>
    <definedName name="____ReB23">#REF!</definedName>
    <definedName name="____Rek23">#REF!</definedName>
    <definedName name="____Rek34">#REF!</definedName>
    <definedName name="____RFj05">#REF!</definedName>
    <definedName name="____RFj1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175">#REF!</definedName>
    <definedName name="____Rm225">#REF!</definedName>
    <definedName name="____Rm375">#REF!</definedName>
    <definedName name="____Rol06">#REF!</definedName>
    <definedName name="____Rol10">#REF!</definedName>
    <definedName name="____SBr01">#REF!</definedName>
    <definedName name="____SBr02">#REF!</definedName>
    <definedName name="____sc1">"$#REF!.$H$6"</definedName>
    <definedName name="____SC2">"$#REF!.$H$9"</definedName>
    <definedName name="____sc3">"$#REF!.$H$56"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Jd01">#REF!</definedName>
    <definedName name="____SlP25">#REF!</definedName>
    <definedName name="____sn1020">#REF!</definedName>
    <definedName name="____SN3">"$#REF!.$#REF!$#REF!"</definedName>
    <definedName name="____Spl02">#REF!</definedName>
    <definedName name="____Spl03">#REF!</definedName>
    <definedName name="____Spl04">#REF!</definedName>
    <definedName name="____Spl05">#REF!</definedName>
    <definedName name="____Spl12">#REF!</definedName>
    <definedName name="____Spl23">#REF!</definedName>
    <definedName name="____Spl35">#REF!</definedName>
    <definedName name="____Spl57">#REF!</definedName>
    <definedName name="____Spt02">#REF!</definedName>
    <definedName name="____Spt06">#REF!</definedName>
    <definedName name="____Spt10">#REF!</definedName>
    <definedName name="____std100">#REF!</definedName>
    <definedName name="____std150">#REF!</definedName>
    <definedName name="____std50">#REF!</definedName>
    <definedName name="____std65">#REF!</definedName>
    <definedName name="____StK03">#REF!</definedName>
    <definedName name="____StK04">#REF!</definedName>
    <definedName name="____StK06">#REF!</definedName>
    <definedName name="____StK08">#REF!</definedName>
    <definedName name="____StK10">#REF!</definedName>
    <definedName name="____StK12">#REF!</definedName>
    <definedName name="____str94">#REF!</definedName>
    <definedName name="____SUM1">#REF!</definedName>
    <definedName name="____SUM2">#REF!</definedName>
    <definedName name="____SUM3">#REF!</definedName>
    <definedName name="____Tbb1">#REF!</definedName>
    <definedName name="____Tbb2">#REF!</definedName>
    <definedName name="____Tbs1">#REF!</definedName>
    <definedName name="____Tbs2">#REF!</definedName>
    <definedName name="____Tbt1">#REF!</definedName>
    <definedName name="____Tbt2">#REF!</definedName>
    <definedName name="____TCa1">#REF!</definedName>
    <definedName name="____Tca2">#REF!</definedName>
    <definedName name="____Tfp22">#REF!</definedName>
    <definedName name="____Tfw22">#REF!</definedName>
    <definedName name="____Tgb33">#REF!</definedName>
    <definedName name="____tgl1">#REF!</definedName>
    <definedName name="____Tgp22">#REF!</definedName>
    <definedName name="____Tgp33">#REF!</definedName>
    <definedName name="____Tgw22">#REF!</definedName>
    <definedName name="____Tgw33">#REF!</definedName>
    <definedName name="____th100">NA()</definedName>
    <definedName name="____TH160">NA()</definedName>
    <definedName name="____tk04">#REF!</definedName>
    <definedName name="____Tky1">#REF!</definedName>
    <definedName name="____Tky2">#REF!</definedName>
    <definedName name="____TL1">"$#REF!.$C$6"</definedName>
    <definedName name="____TL2">"$#REF!.$D$6"</definedName>
    <definedName name="____TL3">"$#REF!.$#REF!$#REF!"</definedName>
    <definedName name="____TLA120">"$#REF!.$B$23"</definedName>
    <definedName name="____TLA35">"$#REF!.$B$27"</definedName>
    <definedName name="____TLA50">"$#REF!.$B$26"</definedName>
    <definedName name="____TLA70">"$#REF!.$B$25"</definedName>
    <definedName name="____TLA95">"$#REF!.$B$24"</definedName>
    <definedName name="____tlc20">#REF!</definedName>
    <definedName name="____Tlk04">#REF!</definedName>
    <definedName name="____Tlk05">#REF!</definedName>
    <definedName name="____Tlk06">#REF!</definedName>
    <definedName name="____Tlk07">#REF!</definedName>
    <definedName name="____TlP20">#REF!</definedName>
    <definedName name="____Tlp40">#REF!</definedName>
    <definedName name="____TOP2">#REF!</definedName>
    <definedName name="____tp40">#REF!</definedName>
    <definedName name="____Tpk03">#REF!</definedName>
    <definedName name="____Tpk04">#REF!</definedName>
    <definedName name="____Tpk06">#REF!</definedName>
    <definedName name="____Tpk09">#REF!</definedName>
    <definedName name="____TPp12">#REF!</definedName>
    <definedName name="____TPp13">#REF!</definedName>
    <definedName name="____TPw12">#REF!</definedName>
    <definedName name="____TPw13">#REF!</definedName>
    <definedName name="____TR250">NA()</definedName>
    <definedName name="____tr375">NA()</definedName>
    <definedName name="____tsv25">#REF!</definedName>
    <definedName name="____tv14">#REF!</definedName>
    <definedName name="____Twd03">#REF!</definedName>
    <definedName name="____Twd04">#REF!</definedName>
    <definedName name="____Twd09">#REF!</definedName>
    <definedName name="____uls60">#REF!</definedName>
    <definedName name="____UPA100">NA()</definedName>
    <definedName name="____Vib01">#REF!</definedName>
    <definedName name="____Vib07">#REF!</definedName>
    <definedName name="____VL100">"$#REF!.$#REF!$#REF!"</definedName>
    <definedName name="____VL200">"$#REF!.$#REF!$#REF!"</definedName>
    <definedName name="____VL250">"$#REF!.$#REF!$#REF!"</definedName>
    <definedName name="____vnt100">#REF!</definedName>
    <definedName name="____vnt40">#REF!</definedName>
    <definedName name="____vnt50">#REF!</definedName>
    <definedName name="____vnt80">#REF!</definedName>
    <definedName name="____WF32">#REF!</definedName>
    <definedName name="____WF42">#REF!</definedName>
    <definedName name="____wf43">#REF!</definedName>
    <definedName name="____wm16">#REF!</definedName>
    <definedName name="____WM420">#REF!</definedName>
    <definedName name="____Wmr02">#REF!</definedName>
    <definedName name="____WPS10">#REF!</definedName>
    <definedName name="____WPS15">#REF!</definedName>
    <definedName name="____WPS25">#REF!</definedName>
    <definedName name="____WPS45">#REF!</definedName>
    <definedName name="___aaa1">#REF!</definedName>
    <definedName name="___AAD3">HAJIME:OWARI</definedName>
    <definedName name="___abb91">NA()</definedName>
    <definedName name="___abs100">#REF!</definedName>
    <definedName name="___Act15">#REF!</definedName>
    <definedName name="___ADD2">STOP:STOPE</definedName>
    <definedName name="___ADD3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ru1">#REF!</definedName>
    <definedName name="___Bal20">#REF!</definedName>
    <definedName name="___Bal40">#REF!</definedName>
    <definedName name="___Bar30">#REF!</definedName>
    <definedName name="___bcv100">#REF!</definedName>
    <definedName name="___bcv125">#REF!</definedName>
    <definedName name="___bcv150">#REF!</definedName>
    <definedName name="___bes24">#REF!</definedName>
    <definedName name="___bes39">#REF!</definedName>
    <definedName name="___BFG66">#REF!</definedName>
    <definedName name="___Bjl28">#REF!</definedName>
    <definedName name="___Bjl30">#REF!</definedName>
    <definedName name="___Bmb10">#REF!</definedName>
    <definedName name="___Bmb57">#REF!</definedName>
    <definedName name="___BOX2">#REF!</definedName>
    <definedName name="___Bpl02">#REF!</definedName>
    <definedName name="___Bpl06">#REF!</definedName>
    <definedName name="___Bpl10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SP3">#REF!</definedName>
    <definedName name="___BSP4">#REF!</definedName>
    <definedName name="___BSP5">#REF!</definedName>
    <definedName name="___BSP6">#REF!</definedName>
    <definedName name="___BSP8">#REF!</definedName>
    <definedName name="___Bsq24">#REF!</definedName>
    <definedName name="___Bsq33">#REF!</definedName>
    <definedName name="___Bsq44">#REF!</definedName>
    <definedName name="___btg1">#REF!</definedName>
    <definedName name="___btg2">#REF!</definedName>
    <definedName name="___btg3">#REF!</definedName>
    <definedName name="___BTr34">#REF!</definedName>
    <definedName name="___Btr66">#REF!</definedName>
    <definedName name="___Bub20">#REF!</definedName>
    <definedName name="___Bub30">#REF!</definedName>
    <definedName name="___Bub40">#REF!</definedName>
    <definedName name="___Bub50">#REF!</definedName>
    <definedName name="___Bub60">#REF!</definedName>
    <definedName name="___Bub8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at1">#REF!</definedName>
    <definedName name="___cat2">#REF!</definedName>
    <definedName name="___cat3">#REF!</definedName>
    <definedName name="___cbr30">#REF!</definedName>
    <definedName name="___cbr80">#REF!</definedName>
    <definedName name="___CDs34">#REF!</definedName>
    <definedName name="___CFP2">#REF!</definedName>
    <definedName name="___cle10">#REF!</definedName>
    <definedName name="___cle65">#REF!</definedName>
    <definedName name="___cod50">#REF!</definedName>
    <definedName name="___cor1">#REF!</definedName>
    <definedName name="___CT250">NA()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Cvv02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g10">#REF!</definedName>
    <definedName name="___ddg20">#REF!</definedName>
    <definedName name="___ddg30">#REF!</definedName>
    <definedName name="___ddn400">"$#REF!.$F$47"</definedName>
    <definedName name="___ddn600">"$#REF!.$F$33"</definedName>
    <definedName name="___dgt100">NA()</definedName>
    <definedName name="___dia6">#REF!</definedName>
    <definedName name="___dlh20">#REF!</definedName>
    <definedName name="___dlh50">#REF!</definedName>
    <definedName name="___Dlk10">#REF!</definedName>
    <definedName name="___Dlk57">#REF!</definedName>
    <definedName name="___DlS25">#REF!</definedName>
    <definedName name="___Dnp02">#REF!</definedName>
    <definedName name="___DTr35">#REF!</definedName>
    <definedName name="___DTr50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e34">#REF!</definedName>
    <definedName name="___EEE35">#REF!</definedName>
    <definedName name="___EEE36">#REF!</definedName>
    <definedName name="___EEE37">#REF!</definedName>
    <definedName name="___EEE38">#REF!</definedName>
    <definedName name="___EEE39">#REF!</definedName>
    <definedName name="___Eqp1">#REF!</definedName>
    <definedName name="___Eqp2">#REF!</definedName>
    <definedName name="___faw10">#REF!</definedName>
    <definedName name="___faw65">#REF!</definedName>
    <definedName name="___fcp1">#REF!</definedName>
    <definedName name="___fdd100">#REF!</definedName>
    <definedName name="___Fdr01">#REF!</definedName>
    <definedName name="___Fdr02">#REF!</definedName>
    <definedName name="___fjd100">#REF!</definedName>
    <definedName name="___fjd150">#REF!</definedName>
    <definedName name="___fjd50">#REF!</definedName>
    <definedName name="___fjd65">#REF!</definedName>
    <definedName name="___flo40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t50">#REF!</definedName>
    <definedName name="___GBl22">#REF!</definedName>
    <definedName name="___Gfu20">#REF!</definedName>
    <definedName name="___Gfu30">#REF!</definedName>
    <definedName name="___Gfu40">#REF!</definedName>
    <definedName name="___GID1">"'file:///d:/project/energyhouse2/energyhouse2-mainkontraktor/energyhouse2-mainkontraktor-tender/energyhouse2-mainkontraktor-tender-boq/misc/congviec/tam.xls'#$'lkvl-ck-ht-gd1'.$a$4"</definedName>
    <definedName name="___GiM02">#REF!</definedName>
    <definedName name="___GiM03">#REF!</definedName>
    <definedName name="___GiM04">#REF!</definedName>
    <definedName name="___GiM05">#REF!</definedName>
    <definedName name="___GiM06">#REF!</definedName>
    <definedName name="___GiM08">#REF!</definedName>
    <definedName name="___GiM10">#REF!</definedName>
    <definedName name="___GiM12">#REF!</definedName>
    <definedName name="___GiM16">#REF!</definedName>
    <definedName name="___GIP1">#REF!</definedName>
    <definedName name="___gip15">#REF!</definedName>
    <definedName name="___GIP2">#REF!</definedName>
    <definedName name="___gip20">#REF!</definedName>
    <definedName name="___gip25">#REF!</definedName>
    <definedName name="___GIP3">#REF!</definedName>
    <definedName name="___gip32">#REF!</definedName>
    <definedName name="___GIP4">#REF!</definedName>
    <definedName name="___gip40">#REF!</definedName>
    <definedName name="___gip50">#REF!</definedName>
    <definedName name="___GiS02">#REF!</definedName>
    <definedName name="___GiS03">#REF!</definedName>
    <definedName name="___GiS04">#REF!</definedName>
    <definedName name="___GiS05">#REF!</definedName>
    <definedName name="___GiS06">#REF!</definedName>
    <definedName name="___GiS07">#REF!</definedName>
    <definedName name="___GiS08">#REF!</definedName>
    <definedName name="___GiS10">#REF!</definedName>
    <definedName name="___GiS12">#REF!</definedName>
    <definedName name="___GiS16">#REF!</definedName>
    <definedName name="___gk2" hidden="1">#REF!</definedName>
    <definedName name="___GNB1">#REF!</definedName>
    <definedName name="___GNB2">#REF!</definedName>
    <definedName name="___gra6060">#REF!</definedName>
    <definedName name="___grc1">#REF!</definedName>
    <definedName name="___grc6">#REF!</definedName>
    <definedName name="___grc8">#REF!</definedName>
    <definedName name="___Grn46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#REF!</definedName>
    <definedName name="___gvd25">#REF!</definedName>
    <definedName name="___gvd32">#REF!</definedName>
    <definedName name="___gvd40">#REF!</definedName>
    <definedName name="___gvd50">#REF!</definedName>
    <definedName name="___gvd65">#REF!</definedName>
    <definedName name="___gvd80">#REF!</definedName>
    <definedName name="___GVv02">#REF!</definedName>
    <definedName name="___gyf9">#REF!</definedName>
    <definedName name="___gyp9">#REF!</definedName>
    <definedName name="___hdw1">#REF!</definedName>
    <definedName name="___HHH01">#REF!</definedName>
    <definedName name="___Hot10">#REF!</definedName>
    <definedName name="___Hot15">#REF!</definedName>
    <definedName name="___Hot20">#REF!</definedName>
    <definedName name="___Hot25">#REF!</definedName>
    <definedName name="___hpc2">#REF!</definedName>
    <definedName name="___Ibr1">#REF!</definedName>
    <definedName name="___IMB01">#REF!</definedName>
    <definedName name="___iv65655">#REF!</definedName>
    <definedName name="___jab1">#REF!</definedName>
    <definedName name="___JUM1">NA()</definedName>
    <definedName name="___JUM10">"$#REF!.$N$2493"</definedName>
    <definedName name="___JUM11">"$#REF!.$N$2502"</definedName>
    <definedName name="___JUM2">NA()</definedName>
    <definedName name="___JUM3">NA()</definedName>
    <definedName name="___JUM6">"$#REF!.$N$2433"</definedName>
    <definedName name="___JUM7">"$#REF!.$N$2463"</definedName>
    <definedName name="___JUM8">"$#REF!.$N$2479"</definedName>
    <definedName name="___JUM9">"$#REF!.$N$2484"</definedName>
    <definedName name="___k100123">#REF!</definedName>
    <definedName name="___KAn13">#REF!</definedName>
    <definedName name="___KAw13">#REF!</definedName>
    <definedName name="___kco7">#REF!</definedName>
    <definedName name="___ke1">#REF!</definedName>
    <definedName name="___ke2">#REF!</definedName>
    <definedName name="___ke3">#REF!</definedName>
    <definedName name="___ke4">#REF!</definedName>
    <definedName name="___ker1020">#REF!</definedName>
    <definedName name="___ker1030">#REF!</definedName>
    <definedName name="___ker2020">#REF!</definedName>
    <definedName name="___ker2530">#REF!</definedName>
    <definedName name="___ker3030">#REF!</definedName>
    <definedName name="___ker3333">#REF!</definedName>
    <definedName name="___KEY001" hidden="1">#REF!</definedName>
    <definedName name="___KEY002" hidden="1">#REF!</definedName>
    <definedName name="___KEY01" hidden="1">#REF!</definedName>
    <definedName name="___KEY02" hidden="1">#REF!</definedName>
    <definedName name="___kht20">#REF!</definedName>
    <definedName name="___kht40">#REF!</definedName>
    <definedName name="___kht50">#REF!</definedName>
    <definedName name="___kl2">#REF!</definedName>
    <definedName name="___kl3">#REF!</definedName>
    <definedName name="___KLc88">#REF!</definedName>
    <definedName name="___kof1">#REF!</definedName>
    <definedName name="___Kpp12">#REF!</definedName>
    <definedName name="___Kpp13">#REF!</definedName>
    <definedName name="___KR1">#REF!</definedName>
    <definedName name="___kr15">#REF!</definedName>
    <definedName name="___KR22">#REF!</definedName>
    <definedName name="___KR6">#REF!</definedName>
    <definedName name="___KR7">#REF!</definedName>
    <definedName name="___KR8">#REF!</definedName>
    <definedName name="___KR9">#REF!</definedName>
    <definedName name="___KrB02">#REF!</definedName>
    <definedName name="___KrB03">#REF!</definedName>
    <definedName name="___KrK02">#REF!</definedName>
    <definedName name="___Krk03">#REF!</definedName>
    <definedName name="___Krk04">#REF!</definedName>
    <definedName name="___Krp12">#REF!</definedName>
    <definedName name="___Krp22">#REF!</definedName>
    <definedName name="___Krp33">#REF!</definedName>
    <definedName name="___KrS02">#REF!</definedName>
    <definedName name="___KrS03">#REF!</definedName>
    <definedName name="___Krw12">#REF!</definedName>
    <definedName name="___Krw22">#REF!</definedName>
    <definedName name="___Krw33">#REF!</definedName>
    <definedName name="___Lad1">#REF!</definedName>
    <definedName name="___Lad2">#REF!</definedName>
    <definedName name="___Lad3">#REF!</definedName>
    <definedName name="___ldp60">#REF!</definedName>
    <definedName name="___lh5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G15">#REF!</definedName>
    <definedName name="___Lpk01">#REF!</definedName>
    <definedName name="___Lpk02">#REF!</definedName>
    <definedName name="___Lpk04">#REF!</definedName>
    <definedName name="___Lpk05">#REF!</definedName>
    <definedName name="___Lpk10">#REF!</definedName>
    <definedName name="___lpl11">#REF!</definedName>
    <definedName name="___MAC12">"$#REF!.$H$6"</definedName>
    <definedName name="___MAC46">"$#REF!.$H$61"</definedName>
    <definedName name="___MB867">#REF!</definedName>
    <definedName name="___MBW867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r80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MM57">#REF!</definedName>
    <definedName name="___MMM58">#REF!</definedName>
    <definedName name="___MMM59">#REF!</definedName>
    <definedName name="___MMM60">#REF!</definedName>
    <definedName name="___MMM61">#REF!</definedName>
    <definedName name="___MMM62">#REF!</definedName>
    <definedName name="___MMM63">#REF!</definedName>
    <definedName name="___MMM64">#REF!</definedName>
    <definedName name="___MMM65">#REF!</definedName>
    <definedName name="___MMM66">#REF!</definedName>
    <definedName name="___mp1">#REF!</definedName>
    <definedName name="___Mpk12">#REF!</definedName>
    <definedName name="___Mpk18">#REF!</definedName>
    <definedName name="___Mpk9">#REF!</definedName>
    <definedName name="___MU300">"$#REF!.$G$169"</definedName>
    <definedName name="___MU301">#REF!</definedName>
    <definedName name="___MU380">"$#REF!.$G$171"</definedName>
    <definedName name="___MU400">#REF!</definedName>
    <definedName name="___MU440">#REF!</definedName>
    <definedName name="___MU450">#REF!</definedName>
    <definedName name="___mul12">#REF!</definedName>
    <definedName name="___mul9">#REF!</definedName>
    <definedName name="___NCL100">"$#REF!.$#REF!$#REF!"</definedName>
    <definedName name="___NCL200">"$#REF!.$#REF!$#REF!"</definedName>
    <definedName name="___NCL250">"$#REF!.$#REF!$#REF!"</definedName>
    <definedName name="___nin190">"$#REF!.$#REF!$#REF!"</definedName>
    <definedName name="___nm1">#REF!</definedName>
    <definedName name="___NSF10">#REF!</definedName>
    <definedName name="___NSF15">#REF!</definedName>
    <definedName name="___NYA115">#REF!</definedName>
    <definedName name="___NYA125">#REF!</definedName>
    <definedName name="___NYM215">#REF!</definedName>
    <definedName name="___NYM225">#REF!</definedName>
    <definedName name="___NYM240">#REF!</definedName>
    <definedName name="___NYM260">#REF!</definedName>
    <definedName name="___NYM315">#REF!</definedName>
    <definedName name="___NYM325">#REF!</definedName>
    <definedName name="___nym34">#REF!</definedName>
    <definedName name="___NYM340">#REF!</definedName>
    <definedName name="___NYM360">#REF!</definedName>
    <definedName name="___NYM425">#REF!</definedName>
    <definedName name="___NYM440">#REF!</definedName>
    <definedName name="___nym46">#REF!</definedName>
    <definedName name="___NYM460">#REF!</definedName>
    <definedName name="___NYY240">#REF!</definedName>
    <definedName name="___nyy2416">#REF!</definedName>
    <definedName name="___nyy244">#REF!</definedName>
    <definedName name="___nyy246">#REF!</definedName>
    <definedName name="___NYY260">#REF!</definedName>
    <definedName name="___nyy34">#REF!</definedName>
    <definedName name="___NYY340">#REF!</definedName>
    <definedName name="___NYY360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0">#REF!</definedName>
    <definedName name="___nyy444">#REF!</definedName>
    <definedName name="___nyy45050">#REF!</definedName>
    <definedName name="___nyy46">#REF!</definedName>
    <definedName name="___NYY460">#REF!</definedName>
    <definedName name="___nyy466">#REF!</definedName>
    <definedName name="___nyy47050">#REF!</definedName>
    <definedName name="___nyy47070">#REF!</definedName>
    <definedName name="___nyy49570">#REF!</definedName>
    <definedName name="___Oks14">#REF!</definedName>
    <definedName name="___Opa1">#REF!</definedName>
    <definedName name="___Opa2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w10">#REF!</definedName>
    <definedName name="___PAw16">#REF!</definedName>
    <definedName name="___paw25">#REF!</definedName>
    <definedName name="___paw40">#REF!</definedName>
    <definedName name="___paw50">#REF!</definedName>
    <definedName name="___paw65">#REF!</definedName>
    <definedName name="___pb1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50">#REF!</definedName>
    <definedName name="___pc50">#REF!</definedName>
    <definedName name="___PC600">#REF!</definedName>
    <definedName name="___pc80">#REF!</definedName>
    <definedName name="___pcf80">#REF!</definedName>
    <definedName name="___pek1">#REF!</definedName>
    <definedName name="___pek2">#REF!</definedName>
    <definedName name="___pek3">#REF!</definedName>
    <definedName name="___pf18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1">#REF!</definedName>
    <definedName name="___PL2">#REF!</definedName>
    <definedName name="___PL3">#REF!</definedName>
    <definedName name="___Plt33">#REF!</definedName>
    <definedName name="___Plt43">#REF!</definedName>
    <definedName name="___Pnl36">#REF!</definedName>
    <definedName name="___po1000">#REF!</definedName>
    <definedName name="___PRC019">#REF!</definedName>
    <definedName name="___PRu02">#REF!</definedName>
    <definedName name="___PRu03">#REF!</definedName>
    <definedName name="___PRu04">#REF!</definedName>
    <definedName name="___PRu05">#REF!</definedName>
    <definedName name="___PRu06">#REF!</definedName>
    <definedName name="___PRu08">#REF!</definedName>
    <definedName name="___PRu10">#REF!</definedName>
    <definedName name="___PRu12">#REF!</definedName>
    <definedName name="___PRu16">#REF!</definedName>
    <definedName name="___PSb02">#REF!</definedName>
    <definedName name="___PSb03">#REF!</definedName>
    <definedName name="___PSb04">#REF!</definedName>
    <definedName name="___PSb05">#REF!</definedName>
    <definedName name="___PSb06">#REF!</definedName>
    <definedName name="___PSb07">#REF!</definedName>
    <definedName name="___PSb08">#REF!</definedName>
    <definedName name="___Psb10">#REF!</definedName>
    <definedName name="___PSb12">#REF!</definedName>
    <definedName name="___PSb16">#REF!</definedName>
    <definedName name="___PSC084">#REF!</definedName>
    <definedName name="___PsW1">#REF!</definedName>
    <definedName name="___ptg1">#REF!</definedName>
    <definedName name="___ptg2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50">#REF!</definedName>
    <definedName name="___PVC2">#REF!</definedName>
    <definedName name="___pvc20">#REF!</definedName>
    <definedName name="___pvc200">#REF!</definedName>
    <definedName name="___pvc25">#REF!</definedName>
    <definedName name="___PVC3">#REF!</definedName>
    <definedName name="___pvc32">#REF!</definedName>
    <definedName name="___PVC4">#REF!</definedName>
    <definedName name="___pvc40">#REF!</definedName>
    <definedName name="___pvc50">#REF!</definedName>
    <definedName name="___PVC6">#REF!</definedName>
    <definedName name="___pvc65">#REF!</definedName>
    <definedName name="___PVC8">#REF!</definedName>
    <definedName name="___pvc80">#REF!</definedName>
    <definedName name="___pvf100">#REF!</definedName>
    <definedName name="___pvf80">#REF!</definedName>
    <definedName name="___PW1">#REF!</definedName>
    <definedName name="___PW2">#REF!</definedName>
    <definedName name="___Pwd18">#REF!</definedName>
    <definedName name="___qmd15">#REF!</definedName>
    <definedName name="___qmd20">#REF!</definedName>
    <definedName name="___rd1">#REF!</definedName>
    <definedName name="___rd2">#REF!</definedName>
    <definedName name="___rd3">#REF!</definedName>
    <definedName name="___rdd100">#REF!</definedName>
    <definedName name="___rdd150">#REF!</definedName>
    <definedName name="___ReB23">#REF!</definedName>
    <definedName name="___Rek23">#REF!</definedName>
    <definedName name="___Rek34">#REF!</definedName>
    <definedName name="___RFj05">#REF!</definedName>
    <definedName name="___RFj1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75">#REF!</definedName>
    <definedName name="___Rm225">#REF!</definedName>
    <definedName name="___Rm375">#REF!</definedName>
    <definedName name="___Rol06">#REF!</definedName>
    <definedName name="___Rol10">#REF!</definedName>
    <definedName name="___SBr01">#REF!</definedName>
    <definedName name="___SBr02">#REF!</definedName>
    <definedName name="___sc1">"$#REF!.$H$6"</definedName>
    <definedName name="___SC2">"$#REF!.$H$9"</definedName>
    <definedName name="___sc3">"$#REF!.$H$56"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Jd01">#REF!</definedName>
    <definedName name="___SlP25">#REF!</definedName>
    <definedName name="___sn1020">#REF!</definedName>
    <definedName name="___SN3">"$#REF!.$#REF!$#REF!"</definedName>
    <definedName name="___Spl02">#REF!</definedName>
    <definedName name="___Spl03">#REF!</definedName>
    <definedName name="___Spl04">#REF!</definedName>
    <definedName name="___Spl05">#REF!</definedName>
    <definedName name="___Spl12">#REF!</definedName>
    <definedName name="___Spl23">#REF!</definedName>
    <definedName name="___Spl35">#REF!</definedName>
    <definedName name="___Spl57">#REF!</definedName>
    <definedName name="___Spt02">#REF!</definedName>
    <definedName name="___Spt06">#REF!</definedName>
    <definedName name="___Spt10">#REF!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50">#REF!</definedName>
    <definedName name="___std65">#REF!</definedName>
    <definedName name="___StK03">#REF!</definedName>
    <definedName name="___StK04">#REF!</definedName>
    <definedName name="___StK06">#REF!</definedName>
    <definedName name="___StK08">#REF!</definedName>
    <definedName name="___StK10">#REF!</definedName>
    <definedName name="___StK12">#REF!</definedName>
    <definedName name="___SUM1">#REF!</definedName>
    <definedName name="___SUM2">#REF!</definedName>
    <definedName name="___SUM3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b1">#REF!</definedName>
    <definedName name="___Tbb2">#REF!</definedName>
    <definedName name="___Tbs1">#REF!</definedName>
    <definedName name="___Tbs2">#REF!</definedName>
    <definedName name="___Tbt1">#REF!</definedName>
    <definedName name="___Tbt2">#REF!</definedName>
    <definedName name="___TCa1">#REF!</definedName>
    <definedName name="___Tca2">#REF!</definedName>
    <definedName name="___Tfp22">#REF!</definedName>
    <definedName name="___Tfw22">#REF!</definedName>
    <definedName name="___Tgb33">#REF!</definedName>
    <definedName name="___tgl1">#REF!</definedName>
    <definedName name="___Tgp22">#REF!</definedName>
    <definedName name="___Tgp33">#REF!</definedName>
    <definedName name="___Tgw22">#REF!</definedName>
    <definedName name="___Tgw33">#REF!</definedName>
    <definedName name="___th100">NA()</definedName>
    <definedName name="___TH160">NA()</definedName>
    <definedName name="___THP2">STOP:STOPE</definedName>
    <definedName name="___tk04">#REF!</definedName>
    <definedName name="___Tky1">#REF!</definedName>
    <definedName name="___Tky2">#REF!</definedName>
    <definedName name="___TL1">"$#REF!.$C$6"</definedName>
    <definedName name="___TL2">"$#REF!.$D$6"</definedName>
    <definedName name="___TL3">"$#REF!.$#REF!$#REF!"</definedName>
    <definedName name="___TLA120">"$#REF!.$B$23"</definedName>
    <definedName name="___TLA35">"$#REF!.$B$27"</definedName>
    <definedName name="___TLA50">"$#REF!.$B$26"</definedName>
    <definedName name="___TLA70">"$#REF!.$B$25"</definedName>
    <definedName name="___TLA95">"$#REF!.$B$24"</definedName>
    <definedName name="___tlc20">#REF!</definedName>
    <definedName name="___Tlk04">#REF!</definedName>
    <definedName name="___Tlk05">#REF!</definedName>
    <definedName name="___Tlk06">#REF!</definedName>
    <definedName name="___Tlk07">#REF!</definedName>
    <definedName name="___TlP20">#REF!</definedName>
    <definedName name="___Tlp40">#REF!</definedName>
    <definedName name="___TOP2">#REF!</definedName>
    <definedName name="___tp30">#REF!</definedName>
    <definedName name="___tp40">#REF!</definedName>
    <definedName name="___Tpk03">#REF!</definedName>
    <definedName name="___Tpk04">#REF!</definedName>
    <definedName name="___Tpk06">#REF!</definedName>
    <definedName name="___Tpk09">#REF!</definedName>
    <definedName name="___TPp12">#REF!</definedName>
    <definedName name="___TPp13">#REF!</definedName>
    <definedName name="___TPw12">#REF!</definedName>
    <definedName name="___TPw13">#REF!</definedName>
    <definedName name="___TR250">NA()</definedName>
    <definedName name="___tr375">NA()</definedName>
    <definedName name="___tsv25">#REF!</definedName>
    <definedName name="___tv14">#REF!</definedName>
    <definedName name="___Twd03">#REF!</definedName>
    <definedName name="___Twd04">#REF!</definedName>
    <definedName name="___Twd09">#REF!</definedName>
    <definedName name="___uls60">#REF!</definedName>
    <definedName name="___up10">"'file://SERVER3/har-data/STRUCTURE PRICE OF BQ KOMPAS GRAMEDIA.xls'#$analisa.$#REF!$#REF!"</definedName>
    <definedName name="___UPA100">NA()</definedName>
    <definedName name="___Vib01">#REF!</definedName>
    <definedName name="___Vib07">#REF!</definedName>
    <definedName name="___VL100">"$#REF!.$#REF!$#REF!"</definedName>
    <definedName name="___VL200">"$#REF!.$#REF!$#REF!"</definedName>
    <definedName name="___VL250">"$#REF!.$#REF!$#REF!"</definedName>
    <definedName name="___vnt100">#REF!</definedName>
    <definedName name="___vnt40">#REF!</definedName>
    <definedName name="___vnt50">#REF!</definedName>
    <definedName name="___vnt80">#REF!</definedName>
    <definedName name="___wm16">#REF!</definedName>
    <definedName name="___WM420">#REF!</definedName>
    <definedName name="___Wmr02">#REF!</definedName>
    <definedName name="___WPS10">#REF!</definedName>
    <definedName name="___WPS15">#REF!</definedName>
    <definedName name="___WPS25">#REF!</definedName>
    <definedName name="___WPS45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A">#REF!</definedName>
    <definedName name="__A100000">#REF!</definedName>
    <definedName name="__A16500">#REF!</definedName>
    <definedName name="__A99999">#REF!</definedName>
    <definedName name="__aaa1">#REF!</definedName>
    <definedName name="__AAD3">HAJIME:OWARI</definedName>
    <definedName name="__AAD33">#N/A</definedName>
    <definedName name="__abb91">NA()</definedName>
    <definedName name="__abs100">#REF!</definedName>
    <definedName name="__Act15">#REF!</definedName>
    <definedName name="__ADD2">STOP:STOPE</definedName>
    <definedName name="__ADD3">STOP:STOPE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1">#REF!</definedName>
    <definedName name="__ANK123">#REF!</definedName>
    <definedName name="__anK127">#REF!</definedName>
    <definedName name="__ANK128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0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6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2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K710">#REF!</definedName>
    <definedName name="__ANK715">#REF!</definedName>
    <definedName name="__ANK720">#REF!</definedName>
    <definedName name="__ANK722">#REF!</definedName>
    <definedName name="__ANK810">#REF!</definedName>
    <definedName name="__ANK880">#REF!</definedName>
    <definedName name="__aru1">#REF!</definedName>
    <definedName name="__asb5">#REF!</definedName>
    <definedName name="__Bal20">#REF!</definedName>
    <definedName name="__Bal40">#REF!</definedName>
    <definedName name="__Bar30">#REF!</definedName>
    <definedName name="__bcv100">#REF!</definedName>
    <definedName name="__bcv125">#REF!</definedName>
    <definedName name="__bcv150">#REF!</definedName>
    <definedName name="__bes24">#REF!</definedName>
    <definedName name="__bes39">#REF!</definedName>
    <definedName name="__bet350">#REF!</definedName>
    <definedName name="__bet400">#REF!</definedName>
    <definedName name="__BFG66">#REF!</definedName>
    <definedName name="__Bjl28">#REF!</definedName>
    <definedName name="__Bjl30">#REF!</definedName>
    <definedName name="__Bmb10">#REF!</definedName>
    <definedName name="__Bmb57">#REF!</definedName>
    <definedName name="__BOX2">#REF!</definedName>
    <definedName name="__Bpl02">#REF!</definedName>
    <definedName name="__Bpl06">#REF!</definedName>
    <definedName name="__Bpl10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SP3">#REF!</definedName>
    <definedName name="__BSP4">#REF!</definedName>
    <definedName name="__BSP5">#REF!</definedName>
    <definedName name="__BSP6">#REF!</definedName>
    <definedName name="__BSP8">#REF!</definedName>
    <definedName name="__Bsq24">#REF!</definedName>
    <definedName name="__Bsq33">#REF!</definedName>
    <definedName name="__Bsq44">#REF!</definedName>
    <definedName name="__btg1">#REF!</definedName>
    <definedName name="__btg2">#REF!</definedName>
    <definedName name="__btg3">#REF!</definedName>
    <definedName name="__BTr34">#REF!</definedName>
    <definedName name="__Btr66">#REF!</definedName>
    <definedName name="__Bub20">#REF!</definedName>
    <definedName name="__Bub30">#REF!</definedName>
    <definedName name="__Bub40">#REF!</definedName>
    <definedName name="__Bub50">#REF!</definedName>
    <definedName name="__Bub60">#REF!</definedName>
    <definedName name="__Bub8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N15">#REF!</definedName>
    <definedName name="__cas80">#REF!</definedName>
    <definedName name="__cat1">#REF!</definedName>
    <definedName name="__cat2">#REF!</definedName>
    <definedName name="__cat3">#REF!</definedName>
    <definedName name="__cbr30">#REF!</definedName>
    <definedName name="__cbr80">#REF!</definedName>
    <definedName name="__CCF2">#REF!</definedName>
    <definedName name="__CDs34">#REF!</definedName>
    <definedName name="__CFP2">#REF!</definedName>
    <definedName name="__cle10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NP125">#REF!</definedName>
    <definedName name="__CNP200">#REF!</definedName>
    <definedName name="__cod50">#REF!</definedName>
    <definedName name="__cor1">#REF!</definedName>
    <definedName name="__cor175">#REF!</definedName>
    <definedName name="__cor225">#REF!</definedName>
    <definedName name="__cor300">#REF!</definedName>
    <definedName name="__CT250">NA()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Cvv02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"$#REF!.$F$47"</definedName>
    <definedName name="__ddn600">"$#REF!.$F$33"</definedName>
    <definedName name="__dgt100">NA()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h20">#REF!</definedName>
    <definedName name="__dlh50">#REF!</definedName>
    <definedName name="__Dlk10">#REF!</definedName>
    <definedName name="__Dlk57">#REF!</definedName>
    <definedName name="__DlS25">#REF!</definedName>
    <definedName name="__Dnp02">#REF!</definedName>
    <definedName name="__DTr35">#REF!</definedName>
    <definedName name="__DTr50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e34">#REF!</definedName>
    <definedName name="__EEE35">#REF!</definedName>
    <definedName name="__EEE36">#REF!</definedName>
    <definedName name="__EEE37">#REF!</definedName>
    <definedName name="__EEE38">#REF!</definedName>
    <definedName name="__EEE39">#REF!</definedName>
    <definedName name="__Eqp1">#REF!</definedName>
    <definedName name="__Eqp2">#REF!</definedName>
    <definedName name="__Exc1">#REF!</definedName>
    <definedName name="__faw10">#REF!</definedName>
    <definedName name="__faw65">#REF!</definedName>
    <definedName name="__fcp1">#REF!</definedName>
    <definedName name="__fdd100">#REF!</definedName>
    <definedName name="__Fdr01">#REF!</definedName>
    <definedName name="__Fdr02">#REF!</definedName>
    <definedName name="__fjd100">#REF!</definedName>
    <definedName name="__fjd150">#REF!</definedName>
    <definedName name="__fjd50">#REF!</definedName>
    <definedName name="__fjd65">#REF!</definedName>
    <definedName name="__flo40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vd100">#REF!</definedName>
    <definedName name="__gat50">#REF!</definedName>
    <definedName name="__GBl22">#REF!</definedName>
    <definedName name="__Gfu20">#REF!</definedName>
    <definedName name="__Gfu30">#REF!</definedName>
    <definedName name="__Gfu40">#REF!</definedName>
    <definedName name="__GID1">"'file:///d:/project/energyhouse2/energyhouse2-mainkontraktor/energyhouse2-mainkontraktor-tender/energyhouse2-mainkontraktor-tender-boq/misc/congviec/tam.xls'#$'lkvl-ck-ht-gd1'.$a$4"</definedName>
    <definedName name="__GiM02">#REF!</definedName>
    <definedName name="__GiM03">#REF!</definedName>
    <definedName name="__GiM04">#REF!</definedName>
    <definedName name="__GiM05">#REF!</definedName>
    <definedName name="__GiM06">#REF!</definedName>
    <definedName name="__GiM08">#REF!</definedName>
    <definedName name="__GiM10">#REF!</definedName>
    <definedName name="__GiM12">#REF!</definedName>
    <definedName name="__GiM16">#REF!</definedName>
    <definedName name="__GIP1">#REF!</definedName>
    <definedName name="__gip15">#REF!</definedName>
    <definedName name="__GIP2">#REF!</definedName>
    <definedName name="__gip20">#REF!</definedName>
    <definedName name="__gip25">#REF!</definedName>
    <definedName name="__GIP3">#REF!</definedName>
    <definedName name="__gip32">#REF!</definedName>
    <definedName name="__GIP4">#REF!</definedName>
    <definedName name="__gip40">#REF!</definedName>
    <definedName name="__GIP4004">"'file://SERVER3/har-data/STRUCTURE PRICE OF BQ KOMPAS GRAMEDIA.xls'#$analisa.$#REF!$#REF!"</definedName>
    <definedName name="__gip50">#REF!</definedName>
    <definedName name="__GIP5004">"'file://SERVER3/har-data/STRUCTURE PRICE OF BQ KOMPAS GRAMEDIA.xls'#$analisa.$#REF!$#REF!"</definedName>
    <definedName name="__GIP6504">"'file://SERVER3/har-data/STRUCTURE PRICE OF BQ KOMPAS GRAMEDIA.xls'#$analisa.$#REF!$#REF!"</definedName>
    <definedName name="__GIP804">"'file://SERVER3/har-data/STRUCTURE PRICE OF BQ KOMPAS GRAMEDIA.xls'#$analisa.$#REF!$#REF!"</definedName>
    <definedName name="__GiS02">#REF!</definedName>
    <definedName name="__GiS03">#REF!</definedName>
    <definedName name="__GiS04">#REF!</definedName>
    <definedName name="__GiS05">#REF!</definedName>
    <definedName name="__GiS06">#REF!</definedName>
    <definedName name="__GiS07">#REF!</definedName>
    <definedName name="__GiS08">#REF!</definedName>
    <definedName name="__GiS10">#REF!</definedName>
    <definedName name="__GiS12">#REF!</definedName>
    <definedName name="__GiS16">#REF!</definedName>
    <definedName name="__giv1">#REF!</definedName>
    <definedName name="__gk2" hidden="1">#REF!</definedName>
    <definedName name="__GNB1">#REF!</definedName>
    <definedName name="__GNB2">#REF!</definedName>
    <definedName name="__gra6060">#REF!</definedName>
    <definedName name="__grc1">#REF!</definedName>
    <definedName name="__grc6">#REF!</definedName>
    <definedName name="__grc8">#REF!</definedName>
    <definedName name="__Grn46">#REF!</definedName>
    <definedName name="__grv20">#REF!</definedName>
    <definedName name="__grv30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Vv02">#REF!</definedName>
    <definedName name="__gyf9">#REF!</definedName>
    <definedName name="__gyp9">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HHH01">#REF!</definedName>
    <definedName name="__Hot10">#REF!</definedName>
    <definedName name="__Hot15">#REF!</definedName>
    <definedName name="__Hot20">#REF!</definedName>
    <definedName name="__Hot25">#REF!</definedName>
    <definedName name="__hpc2">#REF!</definedName>
    <definedName name="__Ibr1">#REF!</definedName>
    <definedName name="__IMB01">#REF!</definedName>
    <definedName name="__iv65655">#REF!</definedName>
    <definedName name="__jab1">#REF!</definedName>
    <definedName name="__JUM1">NA()</definedName>
    <definedName name="__JUM10">"$#REF!.$N$2493"</definedName>
    <definedName name="__JUM11">"$#REF!.$N$2502"</definedName>
    <definedName name="__JUM2">NA()</definedName>
    <definedName name="__JUM3">NA()</definedName>
    <definedName name="__jum4">#REF!</definedName>
    <definedName name="__jum5">#REF!</definedName>
    <definedName name="__JUM6">"$#REF!.$N$2433"</definedName>
    <definedName name="__JUM7">"$#REF!.$N$2463"</definedName>
    <definedName name="__JUM8">"$#REF!.$N$2479"</definedName>
    <definedName name="__JUM9">"$#REF!.$N$2484"</definedName>
    <definedName name="__k100123">#REF!</definedName>
    <definedName name="__KAn13">#REF!</definedName>
    <definedName name="__KAw13">#REF!</definedName>
    <definedName name="__kc3">#REF!</definedName>
    <definedName name="__kc5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r1020">#REF!</definedName>
    <definedName name="__ker1030">#REF!</definedName>
    <definedName name="__ker2020">#REF!</definedName>
    <definedName name="__ker2530">#REF!</definedName>
    <definedName name="__ker3030">#REF!</definedName>
    <definedName name="__ker3333">#REF!</definedName>
    <definedName name="__KEY001" hidden="1">#REF!</definedName>
    <definedName name="__KEY002" hidden="1">#REF!</definedName>
    <definedName name="__KEY01" hidden="1">#REF!</definedName>
    <definedName name="__KEY02" hidden="1">#REF!</definedName>
    <definedName name="__key1" hidden="1">#REF!</definedName>
    <definedName name="__kht20">#REF!</definedName>
    <definedName name="__kht40">#REF!</definedName>
    <definedName name="__kht50">#REF!</definedName>
    <definedName name="__kl2">#REF!</definedName>
    <definedName name="__kl3">#REF!</definedName>
    <definedName name="__KLc88">#REF!</definedName>
    <definedName name="__kof1">#REF!</definedName>
    <definedName name="__Kpp12">#REF!</definedName>
    <definedName name="__Kpp13">#REF!</definedName>
    <definedName name="__KR1">#REF!</definedName>
    <definedName name="__kr15">#REF!</definedName>
    <definedName name="__KR22">#REF!</definedName>
    <definedName name="__KR6">#REF!</definedName>
    <definedName name="__KR7">#REF!</definedName>
    <definedName name="__KR8">#REF!</definedName>
    <definedName name="__KR9">#REF!</definedName>
    <definedName name="__KrB02">#REF!</definedName>
    <definedName name="__KrB03">#REF!</definedName>
    <definedName name="__KrK02">#REF!</definedName>
    <definedName name="__Krk03">#REF!</definedName>
    <definedName name="__Krk04">#REF!</definedName>
    <definedName name="__Krp12">#REF!</definedName>
    <definedName name="__Krp22">#REF!</definedName>
    <definedName name="__Krp33">#REF!</definedName>
    <definedName name="__KrS02">#REF!</definedName>
    <definedName name="__KrS03">#REF!</definedName>
    <definedName name="__Krw12">#REF!</definedName>
    <definedName name="__Krw22">#REF!</definedName>
    <definedName name="__Krw33">#REF!</definedName>
    <definedName name="__Lad1">#REF!</definedName>
    <definedName name="__Lad2">#REF!</definedName>
    <definedName name="__Lad3">#REF!</definedName>
    <definedName name="__lb1">#REF!</definedName>
    <definedName name="__ldp60">#REF!</definedName>
    <definedName name="__lh50">#REF!</definedName>
    <definedName name="__LL110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G15">#REF!</definedName>
    <definedName name="__Lpk01">#REF!</definedName>
    <definedName name="__Lpk02">#REF!</definedName>
    <definedName name="__Lpk04">#REF!</definedName>
    <definedName name="__Lpk05">#REF!</definedName>
    <definedName name="__Lpk10">#REF!</definedName>
    <definedName name="__lpl11">#REF!</definedName>
    <definedName name="__LS50">#REF!</definedName>
    <definedName name="__lt1">#REF!</definedName>
    <definedName name="__lt2">#REF!</definedName>
    <definedName name="__lt3">#REF!</definedName>
    <definedName name="__lt4">#REF!</definedName>
    <definedName name="__lt5">#REF!</definedName>
    <definedName name="__lt6">#REF!</definedName>
    <definedName name="__MAC12">"$#REF!.$H$6"</definedName>
    <definedName name="__MAC46">"$#REF!.$H$61"</definedName>
    <definedName name="__MB867">#REF!</definedName>
    <definedName name="__mbe12">#REF!</definedName>
    <definedName name="__MBW867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p1">"$#REF!.$AE$70"</definedName>
    <definedName name="__Mer80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MM57">#REF!</definedName>
    <definedName name="__MMM58">#REF!</definedName>
    <definedName name="__MMM59">#REF!</definedName>
    <definedName name="__MMM60">#REF!</definedName>
    <definedName name="__MMM61">#REF!</definedName>
    <definedName name="__MMM62">#REF!</definedName>
    <definedName name="__MMM63">#REF!</definedName>
    <definedName name="__MMM64">#REF!</definedName>
    <definedName name="__MMM65">#REF!</definedName>
    <definedName name="__MMM66">#REF!</definedName>
    <definedName name="__mp1">#REF!</definedName>
    <definedName name="__Mpk12">#REF!</definedName>
    <definedName name="__Mpk18">#REF!</definedName>
    <definedName name="__Mpk9">#REF!</definedName>
    <definedName name="__mu1">#REF!</definedName>
    <definedName name="__MU200">#REF!</definedName>
    <definedName name="__mu2003">NA()</definedName>
    <definedName name="__MU270">#REF!</definedName>
    <definedName name="__mu300">#REF!</definedName>
    <definedName name="__mu30010">NA()</definedName>
    <definedName name="__MU301">#REF!</definedName>
    <definedName name="__MU380">#REF!</definedName>
    <definedName name="__MU400">#REF!</definedName>
    <definedName name="__mu4003">NA()</definedName>
    <definedName name="__mu408">#REF!</definedName>
    <definedName name="__MU440">#REF!</definedName>
    <definedName name="__MU450">#REF!</definedName>
    <definedName name="__mul12">#REF!</definedName>
    <definedName name="__mul9">#REF!</definedName>
    <definedName name="__NCL100">"$#REF!.$#REF!$#REF!"</definedName>
    <definedName name="__NCL200">"$#REF!.$#REF!$#REF!"</definedName>
    <definedName name="__NCL250">"$#REF!.$#REF!$#REF!"</definedName>
    <definedName name="__new5">HAJIME:OWARI</definedName>
    <definedName name="__nin190">"$#REF!.$#REF!$#REF!"</definedName>
    <definedName name="__nm1">#REF!</definedName>
    <definedName name="__NSF10">#REF!</definedName>
    <definedName name="__NSF15">#REF!</definedName>
    <definedName name="__NYA115">#REF!</definedName>
    <definedName name="__NYA125">#REF!</definedName>
    <definedName name="__NYM215">#REF!</definedName>
    <definedName name="__NYM225">#REF!</definedName>
    <definedName name="__NYM240">#REF!</definedName>
    <definedName name="__NYM260">#REF!</definedName>
    <definedName name="__NYM315">#REF!</definedName>
    <definedName name="__NYM325">#REF!</definedName>
    <definedName name="__nym34">#REF!</definedName>
    <definedName name="__NYM340">#REF!</definedName>
    <definedName name="__NYM360">#REF!</definedName>
    <definedName name="__NYM425">#REF!</definedName>
    <definedName name="__NYM440">#REF!</definedName>
    <definedName name="__nym46">#REF!</definedName>
    <definedName name="__NYM460">#REF!</definedName>
    <definedName name="__NYY240">#REF!</definedName>
    <definedName name="__nyy2416">#REF!</definedName>
    <definedName name="__nyy244">#REF!</definedName>
    <definedName name="__nyy246">#REF!</definedName>
    <definedName name="__NYY260">#REF!</definedName>
    <definedName name="__nyy34">#REF!</definedName>
    <definedName name="__NYY340">#REF!</definedName>
    <definedName name="__NYY360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0">#REF!</definedName>
    <definedName name="__nyy444">#REF!</definedName>
    <definedName name="__nyy45050">#REF!</definedName>
    <definedName name="__nyy46">#REF!</definedName>
    <definedName name="__NYY460">#REF!</definedName>
    <definedName name="__nyy466">#REF!</definedName>
    <definedName name="__nyy47050">#REF!</definedName>
    <definedName name="__nyy47070">#REF!</definedName>
    <definedName name="__nyy49570">#REF!</definedName>
    <definedName name="__Oks14">#REF!</definedName>
    <definedName name="__Opa1">#REF!</definedName>
    <definedName name="__Opa2">#REF!</definedName>
    <definedName name="__PA1">#REF!</definedName>
    <definedName name="__PA2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v8">"$#REF!.$G$245"</definedName>
    <definedName name="__paw10">#REF!</definedName>
    <definedName name="__PAw16">#REF!</definedName>
    <definedName name="__paw25">#REF!</definedName>
    <definedName name="__paw40">#REF!</definedName>
    <definedName name="__paw50">#REF!</definedName>
    <definedName name="__paw65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ek1">#REF!</definedName>
    <definedName name="__pek2">#REF!</definedName>
    <definedName name="__pek3">#REF!</definedName>
    <definedName name="__pf18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k13">#REF!</definedName>
    <definedName name="__pk47">#REF!</definedName>
    <definedName name="__pk8">#REF!</definedName>
    <definedName name="__PL1">#REF!</definedName>
    <definedName name="__PL2">#REF!</definedName>
    <definedName name="__PL3">#REF!</definedName>
    <definedName name="__Plt33">#REF!</definedName>
    <definedName name="__Plt43">#REF!</definedName>
    <definedName name="__Pnl36">#REF!</definedName>
    <definedName name="__po1000">#REF!</definedName>
    <definedName name="__PPN1">"$#REF!.$I$31"</definedName>
    <definedName name="__PRC019">#REF!</definedName>
    <definedName name="__PRu02">#REF!</definedName>
    <definedName name="__PRu03">#REF!</definedName>
    <definedName name="__PRu04">#REF!</definedName>
    <definedName name="__PRu05">#REF!</definedName>
    <definedName name="__PRu06">#REF!</definedName>
    <definedName name="__PRu08">#REF!</definedName>
    <definedName name="__PRu10">#REF!</definedName>
    <definedName name="__PRu12">#REF!</definedName>
    <definedName name="__PRu16">#REF!</definedName>
    <definedName name="__PSb02">#REF!</definedName>
    <definedName name="__PSb03">#REF!</definedName>
    <definedName name="__PSb04">#REF!</definedName>
    <definedName name="__PSb05">#REF!</definedName>
    <definedName name="__PSb06">#REF!</definedName>
    <definedName name="__PSb07">#REF!</definedName>
    <definedName name="__PSb08">#REF!</definedName>
    <definedName name="__Psb10">#REF!</definedName>
    <definedName name="__PSb12">#REF!</definedName>
    <definedName name="__PSb16">#REF!</definedName>
    <definedName name="__PSC052">#REF!</definedName>
    <definedName name="__PSC084">#REF!</definedName>
    <definedName name="__PsW1">#REF!</definedName>
    <definedName name="__ptg1">#REF!</definedName>
    <definedName name="__ptg2">#REF!</definedName>
    <definedName name="__pv100">#REF!</definedName>
    <definedName name="__pv40">#REF!</definedName>
    <definedName name="__pv50">#REF!</definedName>
    <definedName name="__pv80">#REF!</definedName>
    <definedName name="__pvc05">#REF!</definedName>
    <definedName name="__PVC1">#REF!</definedName>
    <definedName name="__pvc100">#REF!</definedName>
    <definedName name="__pvc150">#REF!</definedName>
    <definedName name="__PVC2">#REF!</definedName>
    <definedName name="__pvc20">#REF!</definedName>
    <definedName name="__pvc200">#REF!</definedName>
    <definedName name="__pvc25">#REF!</definedName>
    <definedName name="__PVC3">#REF!</definedName>
    <definedName name="__pvc32">#REF!</definedName>
    <definedName name="__PVC4">#REF!</definedName>
    <definedName name="__pvc40">#REF!</definedName>
    <definedName name="__pvc50">#REF!</definedName>
    <definedName name="__PVC6">#REF!</definedName>
    <definedName name="__pvc65">#REF!</definedName>
    <definedName name="__PVC8">#REF!</definedName>
    <definedName name="__pvc80">#REF!</definedName>
    <definedName name="__pvc804">"'file://SERVER3/har-data/STRUCTURE PRICE OF BQ KOMPAS GRAMEDIA.xls'#$analisa.$#REF!$#REF!"</definedName>
    <definedName name="__pvc805">"'file://SERVER3/har-data/STRUCTURE PRICE OF BQ KOMPAS GRAMEDIA.xls'#$analisa.$#REF!$#REF!"</definedName>
    <definedName name="__pvf100">#REF!</definedName>
    <definedName name="__pvf80">#REF!</definedName>
    <definedName name="__PW1">#REF!</definedName>
    <definedName name="__PW2">#REF!</definedName>
    <definedName name="__Pwd18">#REF!</definedName>
    <definedName name="__qmd15">#REF!</definedName>
    <definedName name="__qmd20">#REF!</definedName>
    <definedName name="__rd1">#REF!</definedName>
    <definedName name="__rd2">#REF!</definedName>
    <definedName name="__rd3">#REF!</definedName>
    <definedName name="__rdd100">#REF!</definedName>
    <definedName name="__rdd150">#REF!</definedName>
    <definedName name="__ReB23">#REF!</definedName>
    <definedName name="__Rek23">#REF!</definedName>
    <definedName name="__Rek34">#REF!</definedName>
    <definedName name="__RFj05">#REF!</definedName>
    <definedName name="__RFj1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75">#REF!</definedName>
    <definedName name="__Rm225">#REF!</definedName>
    <definedName name="__Rm375">#REF!</definedName>
    <definedName name="__Rol06">#REF!</definedName>
    <definedName name="__Rol10">#REF!</definedName>
    <definedName name="__rst20">#REF!</definedName>
    <definedName name="__rst30">#REF!</definedName>
    <definedName name="__SBr01">#REF!</definedName>
    <definedName name="__SBr02">#REF!</definedName>
    <definedName name="__sc1">"$#REF!.$H$6"</definedName>
    <definedName name="__SC2">"$#REF!.$H$9"</definedName>
    <definedName name="__sc3">"$#REF!.$H$56"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T2">#REF!</definedName>
    <definedName name="__SHT3">#REF!</definedName>
    <definedName name="__SJd01">#REF!</definedName>
    <definedName name="__SlP25">#REF!</definedName>
    <definedName name="__sn1020">#REF!</definedName>
    <definedName name="__SN3">"$#REF!.$#REF!$#REF!"</definedName>
    <definedName name="__Spl02">#REF!</definedName>
    <definedName name="__Spl03">#REF!</definedName>
    <definedName name="__Spl04">#REF!</definedName>
    <definedName name="__Spl05">#REF!</definedName>
    <definedName name="__Spl12">#REF!</definedName>
    <definedName name="__Spl23">#REF!</definedName>
    <definedName name="__Spl35">#REF!</definedName>
    <definedName name="__Spl57">#REF!</definedName>
    <definedName name="__Spt02">#REF!</definedName>
    <definedName name="__Spt06">#REF!</definedName>
    <definedName name="__Spt10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50">#REF!</definedName>
    <definedName name="__std65">#REF!</definedName>
    <definedName name="__StK03">#REF!</definedName>
    <definedName name="__StK04">#REF!</definedName>
    <definedName name="__StK06">#REF!</definedName>
    <definedName name="__StK08">#REF!</definedName>
    <definedName name="__StK10">#REF!</definedName>
    <definedName name="__StK12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bb1">#REF!</definedName>
    <definedName name="__Tbb2">#REF!</definedName>
    <definedName name="__Tbs1">#REF!</definedName>
    <definedName name="__Tbs2">#REF!</definedName>
    <definedName name="__tbt1">#REF!</definedName>
    <definedName name="__tbt2">#REF!</definedName>
    <definedName name="__TCa1">#REF!</definedName>
    <definedName name="__Tca2">#REF!</definedName>
    <definedName name="__Tfp22">#REF!</definedName>
    <definedName name="__Tfw22">#REF!</definedName>
    <definedName name="__tg20">#REF!</definedName>
    <definedName name="__tg30">#REF!</definedName>
    <definedName name="__Tgb33">#REF!</definedName>
    <definedName name="__tgl1">#REF!</definedName>
    <definedName name="__Tgp22">#REF!</definedName>
    <definedName name="__Tgp33">#REF!</definedName>
    <definedName name="__Tgw22">#REF!</definedName>
    <definedName name="__Tgw33">#REF!</definedName>
    <definedName name="__th100">NA()</definedName>
    <definedName name="__TH160">NA()</definedName>
    <definedName name="__THP2">STOP:STOPE</definedName>
    <definedName name="__tk04">#REF!</definedName>
    <definedName name="__Tky1">#REF!</definedName>
    <definedName name="__Tky2">#REF!</definedName>
    <definedName name="__TL1">"$#REF!.$C$6"</definedName>
    <definedName name="__TL2">"$#REF!.$D$6"</definedName>
    <definedName name="__TL3">"$#REF!.$#REF!$#REF!"</definedName>
    <definedName name="__TLA120">"$#REF!.$B$23"</definedName>
    <definedName name="__TLA35">"$#REF!.$B$27"</definedName>
    <definedName name="__TLA50">"$#REF!.$B$26"</definedName>
    <definedName name="__TLA70">"$#REF!.$B$25"</definedName>
    <definedName name="__TLA95">"$#REF!.$B$24"</definedName>
    <definedName name="__tlc20">#REF!</definedName>
    <definedName name="__Tlk04">#REF!</definedName>
    <definedName name="__Tlk05">#REF!</definedName>
    <definedName name="__Tlk06">#REF!</definedName>
    <definedName name="__Tlk07">#REF!</definedName>
    <definedName name="__TlP20">#REF!</definedName>
    <definedName name="__Tlp40">#REF!</definedName>
    <definedName name="__TOP2">#REF!</definedName>
    <definedName name="__tp30">#REF!</definedName>
    <definedName name="__tp40">#REF!</definedName>
    <definedName name="__Tpk03">#REF!</definedName>
    <definedName name="__Tpk04">#REF!</definedName>
    <definedName name="__Tpk06">#REF!</definedName>
    <definedName name="__Tpk09">#REF!</definedName>
    <definedName name="__TPp12">#REF!</definedName>
    <definedName name="__TPp13">#REF!</definedName>
    <definedName name="__TPw12">#REF!</definedName>
    <definedName name="__TPw13">#REF!</definedName>
    <definedName name="__TR250">NA()</definedName>
    <definedName name="__tr375">NA()</definedName>
    <definedName name="__tsv25">#REF!</definedName>
    <definedName name="__tv14">#REF!</definedName>
    <definedName name="__Twd03">#REF!</definedName>
    <definedName name="__Twd04">#REF!</definedName>
    <definedName name="__Twd09">#REF!</definedName>
    <definedName name="__uls60">#REF!</definedName>
    <definedName name="__up05">#N/A</definedName>
    <definedName name="__up10">"'file://SERVER3/har-data/STRUCTURE PRICE OF BQ KOMPAS GRAMEDIA.xls'#$analisa.$#REF!$#REF!"</definedName>
    <definedName name="__UP15">#N/A</definedName>
    <definedName name="__UP20">#N/A</definedName>
    <definedName name="__UPA100">NA()</definedName>
    <definedName name="__UR1">#REF!</definedName>
    <definedName name="__UR2">#REF!</definedName>
    <definedName name="__UR4">#REF!</definedName>
    <definedName name="__usd2">#REF!</definedName>
    <definedName name="__Vib01">#REF!</definedName>
    <definedName name="__Vib07">#REF!</definedName>
    <definedName name="__VL100">"$#REF!.$#REF!$#REF!"</definedName>
    <definedName name="__VL200">"$#REF!.$#REF!$#REF!"</definedName>
    <definedName name="__VL250">"$#REF!.$#REF!$#REF!"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F150">#REF!</definedName>
    <definedName name="__WF32">#REF!</definedName>
    <definedName name="__WF42">#REF!</definedName>
    <definedName name="__wf43">#REF!</definedName>
    <definedName name="__wm16">#REF!</definedName>
    <definedName name="__WM4">#REF!</definedName>
    <definedName name="__WM420">#REF!</definedName>
    <definedName name="__WM5">#REF!</definedName>
    <definedName name="__WM6">#REF!</definedName>
    <definedName name="__WM7">#REF!</definedName>
    <definedName name="__WM8">#REF!</definedName>
    <definedName name="__Wmr02">#REF!</definedName>
    <definedName name="__WPS10">#REF!</definedName>
    <definedName name="__WPS15">#REF!</definedName>
    <definedName name="__WPS25">#REF!</definedName>
    <definedName name="__WPS45">#REF!</definedName>
    <definedName name="_0">"$#REF!.$#REF!$#REF!"</definedName>
    <definedName name="_1">#N/A</definedName>
    <definedName name="_1_EUR">#REF!</definedName>
    <definedName name="_1_us">#REF!</definedName>
    <definedName name="_10">#REF!</definedName>
    <definedName name="_10000">#REF!</definedName>
    <definedName name="_10000_1">#REF!</definedName>
    <definedName name="_10000_13">#REF!</definedName>
    <definedName name="_10000_14">#REF!</definedName>
    <definedName name="_10000_22">#REF!</definedName>
    <definedName name="_106____________Excel_BuiltIn__FilterDatabase_4_1_1">#REF!</definedName>
    <definedName name="_107____________Excel_BuiltIn_Print_Area_4_1_1">#REF!</definedName>
    <definedName name="_108___________Excel_BuiltIn__FilterDatabase_4_1_1">#REF!</definedName>
    <definedName name="_109___________Excel_BuiltIn_Print_Area_4_1_1">#REF!</definedName>
    <definedName name="_11">#REF!</definedName>
    <definedName name="_110__________Excel_BuiltIn__FilterDatabase_4_1_1">#REF!</definedName>
    <definedName name="_111__________Excel_BuiltIn_Print_Area_4_1_1">#REF!</definedName>
    <definedName name="_114________Excel_BuiltIn__FilterDatabase_4_1_1">#REF!</definedName>
    <definedName name="_115________Excel_BuiltIn_Print_Area_4_1_1">#REF!</definedName>
    <definedName name="_116_______Excel_BuiltIn__FilterDatabase_4_1_1">#REF!</definedName>
    <definedName name="_117_______Excel_BuiltIn_Print_Area_4_1_1">#REF!</definedName>
    <definedName name="_12">#REF!</definedName>
    <definedName name="_120_____Excel_BuiltIn__FilterDatabase_4_1_1">#REF!</definedName>
    <definedName name="_121_____Excel_BuiltIn_Print_Area_4_1_1">#REF!</definedName>
    <definedName name="_123Graph_B" hidden="1">#REF!</definedName>
    <definedName name="_123Graph_F" hidden="1">#REF!</definedName>
    <definedName name="_124___Excel_BuiltIn__FilterDatabase_4_1_1">#REF!</definedName>
    <definedName name="_125___Excel_BuiltIn_Print_Area_4_1_1">#REF!</definedName>
    <definedName name="_126__Excel_BuiltIn__FilterDatabase_4_1_1">#REF!</definedName>
    <definedName name="_127">#REF!</definedName>
    <definedName name="_127__Excel_BuiltIn_Print_Area_4_1_1">#REF!</definedName>
    <definedName name="_13">#REF!</definedName>
    <definedName name="_130Excel_BuiltIn__FilterDatabase_4_1_1">#REF!</definedName>
    <definedName name="_131Excel_BuiltIn_Print_Area_4_1_1">#REF!</definedName>
    <definedName name="_14">#REF!</definedName>
    <definedName name="_14A">#REF!</definedName>
    <definedName name="_14B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A">#REF!</definedName>
    <definedName name="_1Excel_BuiltIn_Print_Titles_1_1">#REF!</definedName>
    <definedName name="_1K.615_SCREEN">#REF!</definedName>
    <definedName name="_1P">#REF!</definedName>
    <definedName name="_2">#N/A</definedName>
    <definedName name="_2__123Graph_ACHART_1" hidden="1">#REF!</definedName>
    <definedName name="_2_A_1_1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A">#REF!</definedName>
    <definedName name="_2Excel_BuiltIn__FilterDatabase_4_1_1">#REF!</definedName>
    <definedName name="_2K.615_SCREEN">#REF!</definedName>
    <definedName name="_2P">#REF!</definedName>
    <definedName name="_3">#REF!</definedName>
    <definedName name="_3_A_1_1">#REF!</definedName>
    <definedName name="_3A">#REF!</definedName>
    <definedName name="_3Excel_BuiltIn_Criteria_23_1">#REF!</definedName>
    <definedName name="_3Excel_BuiltIn_Print_Area_4_1_1">#REF!</definedName>
    <definedName name="_3Excel_BuiltIn_Print_Titles_1_1">#REF!</definedName>
    <definedName name="_4">#REF!</definedName>
    <definedName name="_4Excel_BuiltIn_Criteria_23_1">#REF!</definedName>
    <definedName name="_4Excel_BuiltIn_Criteria_25_1">#REF!</definedName>
    <definedName name="_4WORD_M_001_07">#REF!</definedName>
    <definedName name="_4WORD_O_005_E_">#REF!</definedName>
    <definedName name="_5">#REF!</definedName>
    <definedName name="_5000">#REF!</definedName>
    <definedName name="_5000_1">#REF!</definedName>
    <definedName name="_5000_13">#REF!</definedName>
    <definedName name="_5000_14">#REF!</definedName>
    <definedName name="_5000_22">#REF!</definedName>
    <definedName name="_59Excel_BuiltIn_Print_Area_9_1">#REF!,#REF!</definedName>
    <definedName name="_5Excel_BuiltIn_Criteria_25_1">#REF!</definedName>
    <definedName name="_6">#REF!</definedName>
    <definedName name="_685Excel_BuiltIn_Print_Area_2_1_1_1">"$#REF!.$B$2:$R$106"</definedName>
    <definedName name="_6A">#REF!</definedName>
    <definedName name="_7">#REF!</definedName>
    <definedName name="_7.1__2">#REF!</definedName>
    <definedName name="_750_KVA_X_64__">"$#REF!.$#REF!$#REF!"</definedName>
    <definedName name="_7Excel_BuiltIn_Print_Area_9_1">#REF!,#REF!</definedName>
    <definedName name="_8">#REF!</definedName>
    <definedName name="_8.1__1">#REF!</definedName>
    <definedName name="_8000">#REF!</definedName>
    <definedName name="_8000_1">#REF!</definedName>
    <definedName name="_8000_13">#REF!</definedName>
    <definedName name="_8000_14">#REF!</definedName>
    <definedName name="_8000_22">#REF!</definedName>
    <definedName name="_818FA">#REF!</definedName>
    <definedName name="_818PK">#REF!</definedName>
    <definedName name="_9">#REF!</definedName>
    <definedName name="_A">NA()</definedName>
    <definedName name="_A___0">#REF!</definedName>
    <definedName name="_A_1">NA()</definedName>
    <definedName name="_A_13">NA()</definedName>
    <definedName name="_a_13_1">NA()</definedName>
    <definedName name="_A_2">NA()</definedName>
    <definedName name="_A100000">#REF!</definedName>
    <definedName name="_A16500">#REF!</definedName>
    <definedName name="_A99999">#REF!</definedName>
    <definedName name="_aaa1">#REF!</definedName>
    <definedName name="_AAD3">HAJIME:OWARI</definedName>
    <definedName name="_AAD33">#N/A</definedName>
    <definedName name="_abb91">NA()</definedName>
    <definedName name="_abs100">#REF!</definedName>
    <definedName name="_Act15">#REF!</definedName>
    <definedName name="_ADD2">STOP:STOPE</definedName>
    <definedName name="_ADD3">STOP:STOPE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_alt1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HARGAPK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1">#REF!</definedName>
    <definedName name="_ANK123">#REF!</definedName>
    <definedName name="_anK127">#REF!</definedName>
    <definedName name="_ANK128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0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6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2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K710">#REF!</definedName>
    <definedName name="_ANK715">#REF!</definedName>
    <definedName name="_ANK720">#REF!</definedName>
    <definedName name="_ANK722">#REF!</definedName>
    <definedName name="_ANK810">#REF!</definedName>
    <definedName name="_ANK880">#REF!</definedName>
    <definedName name="_APP3">_APP3</definedName>
    <definedName name="_aru1">#REF!</definedName>
    <definedName name="_asb5">#REF!</definedName>
    <definedName name="_b">NA()</definedName>
    <definedName name="_Bal20">#REF!</definedName>
    <definedName name="_Bal40">#REF!</definedName>
    <definedName name="_Bar30">#REF!</definedName>
    <definedName name="_bcv100">#REF!</definedName>
    <definedName name="_bcv125">#REF!</definedName>
    <definedName name="_bcv150">#REF!</definedName>
    <definedName name="_bes24">#REF!</definedName>
    <definedName name="_bes39">#REF!</definedName>
    <definedName name="_bes40">#REF!</definedName>
    <definedName name="_bet350">#REF!</definedName>
    <definedName name="_bet400">#REF!</definedName>
    <definedName name="_BFG66">#REF!</definedName>
    <definedName name="_Bjl28">#REF!</definedName>
    <definedName name="_Bjl30">#REF!</definedName>
    <definedName name="_Bmb10">#REF!</definedName>
    <definedName name="_Bmb57">#REF!</definedName>
    <definedName name="_BOX2">#REF!</definedName>
    <definedName name="_Bpl02">#REF!</definedName>
    <definedName name="_Bpl06">#REF!</definedName>
    <definedName name="_Bpl10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SP3">#REF!</definedName>
    <definedName name="_BSP4">#REF!</definedName>
    <definedName name="_BSP5">#REF!</definedName>
    <definedName name="_BSP6">#REF!</definedName>
    <definedName name="_BSP8">#REF!</definedName>
    <definedName name="_Bsq24">#REF!</definedName>
    <definedName name="_Bsq33">#REF!</definedName>
    <definedName name="_Bsq44">#REF!</definedName>
    <definedName name="_btg1">#REF!</definedName>
    <definedName name="_btg2">#REF!</definedName>
    <definedName name="_btg3">#REF!</definedName>
    <definedName name="_BTr34">#REF!</definedName>
    <definedName name="_Btr66">#REF!</definedName>
    <definedName name="_Bub20">#REF!</definedName>
    <definedName name="_Bub30">#REF!</definedName>
    <definedName name="_Bub40">#REF!</definedName>
    <definedName name="_Bub50">#REF!</definedName>
    <definedName name="_Bub60">#REF!</definedName>
    <definedName name="_Bub80">#REF!</definedName>
    <definedName name="_bud3500">#REF!</definedName>
    <definedName name="_c">NA()</definedName>
    <definedName name="_c_13">NA()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#REF!</definedName>
    <definedName name="_cas80">#REF!</definedName>
    <definedName name="_cat1">#REF!</definedName>
    <definedName name="_cat2">#REF!</definedName>
    <definedName name="_cat3">#REF!</definedName>
    <definedName name="_cbr30">#REF!</definedName>
    <definedName name="_cbr80">#REF!</definedName>
    <definedName name="_CDs34">#REF!</definedName>
    <definedName name="_CFP2">#REF!</definedName>
    <definedName name="_CH1..H1___C__R">NA()</definedName>
    <definedName name="_CH11..H11___C_">NA()</definedName>
    <definedName name="_CH13..H13___C_">NA()</definedName>
    <definedName name="_CH15..H15___C_">NA()</definedName>
    <definedName name="_CH17..H17___C_">NA()</definedName>
    <definedName name="_CH19..H19___C_">NA()</definedName>
    <definedName name="_CH21..H21___C_">NA()</definedName>
    <definedName name="_CH23..H23___C_">NA()</definedName>
    <definedName name="_CH25..H25___C_">NA()</definedName>
    <definedName name="_CH27..H27___C_">NA()</definedName>
    <definedName name="_CH29..H29___C_">NA()</definedName>
    <definedName name="_CH3..H3___C__R">NA()</definedName>
    <definedName name="_CH31..H31___C_">NA()</definedName>
    <definedName name="_CH33..H33___C_">NA()</definedName>
    <definedName name="_CH35..H35___C_">NA()</definedName>
    <definedName name="_CH37..H37___C_">NA()</definedName>
    <definedName name="_CH39..H39___C_">NA()</definedName>
    <definedName name="_CH41..H41___C_">NA()</definedName>
    <definedName name="_CH43..H43___C_">NA()</definedName>
    <definedName name="_CH45..H45___C_">NA()</definedName>
    <definedName name="_CH5..H5___C__R">NA()</definedName>
    <definedName name="_CH7..H7___C__R">NA()</definedName>
    <definedName name="_CH9..H9___C__R">NA()</definedName>
    <definedName name="_cle10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NP125">#REF!</definedName>
    <definedName name="_CNP200">#REF!</definedName>
    <definedName name="_cod50">#REF!</definedName>
    <definedName name="_cor1">#REF!</definedName>
    <definedName name="_cor175">#REF!</definedName>
    <definedName name="_cor225">#REF!</definedName>
    <definedName name="_cor300">#REF!</definedName>
    <definedName name="_CT250">NA()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Cvv02">#REF!</definedName>
    <definedName name="_D">"$#REF!.$GN$8"</definedName>
    <definedName name="_D_1">#REF!</definedName>
    <definedName name="_D_13">#REF!</definedName>
    <definedName name="_D_14">#REF!</definedName>
    <definedName name="_D_2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0">#REF!</definedName>
    <definedName name="_ddg20">#REF!</definedName>
    <definedName name="_ddg30">#REF!</definedName>
    <definedName name="_ddn400">"$#REF!.$F$47"</definedName>
    <definedName name="_ddn600">"$#REF!.$F$33"</definedName>
    <definedName name="_dgt100">NA()</definedName>
    <definedName name="_dia6">#REF!</definedName>
    <definedName name="_din12">#REF!</definedName>
    <definedName name="_Dist_Bin" hidden="1">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h20">#REF!</definedName>
    <definedName name="_dlh50">#REF!</definedName>
    <definedName name="_Dlk10">#REF!</definedName>
    <definedName name="_Dlk57">#REF!</definedName>
    <definedName name="_DlS25">#REF!</definedName>
    <definedName name="_Dnp02">#REF!</definedName>
    <definedName name="_DTr35">#REF!</definedName>
    <definedName name="_DTr50">#REF!</definedName>
    <definedName name="_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qp1">#REF!</definedName>
    <definedName name="_Eqp2">#REF!</definedName>
    <definedName name="_Exc1">#REF!</definedName>
    <definedName name="_f" hidden="1">#REF!</definedName>
    <definedName name="_F_1">#REF!</definedName>
    <definedName name="_F_13">"$#REF!.$#REF!$#REF!"</definedName>
    <definedName name="_faw10">#REF!</definedName>
    <definedName name="_faw65">#REF!</definedName>
    <definedName name="_fcp1">#REF!</definedName>
    <definedName name="_fdd100">#REF!</definedName>
    <definedName name="_Fdr01">#REF!</definedName>
    <definedName name="_Fdr02">#REF!</definedName>
    <definedName name="_Fill" hidden="1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vd100">#REF!</definedName>
    <definedName name="_G">"$#REF!.$GN$13"</definedName>
    <definedName name="_gat50">#REF!</definedName>
    <definedName name="_GBl22">#REF!</definedName>
    <definedName name="_gen1000">#REF!</definedName>
    <definedName name="_Gfu20">#REF!</definedName>
    <definedName name="_Gfu30">#REF!</definedName>
    <definedName name="_Gfu40">#REF!</definedName>
    <definedName name="_GID1">"'file:///d:/project/energyhouse2/energyhouse2-mainkontraktor/energyhouse2-mainkontraktor-tender/energyhouse2-mainkontraktor-tender-boq/misc/congviec/tam.xls'#$'lkvl-ck-ht-gd1'.$a$4"</definedName>
    <definedName name="_GiM02">#REF!</definedName>
    <definedName name="_GiM03">#REF!</definedName>
    <definedName name="_GiM04">#REF!</definedName>
    <definedName name="_GiM05">#REF!</definedName>
    <definedName name="_GiM06">#REF!</definedName>
    <definedName name="_GiM08">#REF!</definedName>
    <definedName name="_GiM10">#REF!</definedName>
    <definedName name="_GiM12">#REF!</definedName>
    <definedName name="_GiM16">#REF!</definedName>
    <definedName name="_GIP1">#REF!</definedName>
    <definedName name="_gip15">#REF!</definedName>
    <definedName name="_GIP2">#REF!</definedName>
    <definedName name="_gip20">#REF!</definedName>
    <definedName name="_gip25">#REF!</definedName>
    <definedName name="_GIP3">#REF!</definedName>
    <definedName name="_gip32">#REF!</definedName>
    <definedName name="_GIP4">#REF!</definedName>
    <definedName name="_gip40">#REF!</definedName>
    <definedName name="_GIP4004">"'file://SERVER3/har-data/STRUCTURE PRICE OF BQ KOMPAS GRAMEDIA.xls'#$analisa.$#REF!$#REF!"</definedName>
    <definedName name="_gip50">#REF!</definedName>
    <definedName name="_GIP5004">"'file://SERVER3/har-data/STRUCTURE PRICE OF BQ KOMPAS GRAMEDIA.xls'#$analisa.$#REF!$#REF!"</definedName>
    <definedName name="_GIP6504">"'file://SERVER3/har-data/STRUCTURE PRICE OF BQ KOMPAS GRAMEDIA.xls'#$analisa.$#REF!$#REF!"</definedName>
    <definedName name="_GIP804">"'file://SERVER3/har-data/STRUCTURE PRICE OF BQ KOMPAS GRAMEDIA.xls'#$analisa.$#REF!$#REF!"</definedName>
    <definedName name="_GiS02">#REF!</definedName>
    <definedName name="_GiS03">#REF!</definedName>
    <definedName name="_GiS04">#REF!</definedName>
    <definedName name="_GiS05">#REF!</definedName>
    <definedName name="_GiS06">#REF!</definedName>
    <definedName name="_GiS07">#REF!</definedName>
    <definedName name="_GiS08">#REF!</definedName>
    <definedName name="_GiS10">#REF!</definedName>
    <definedName name="_GiS12">#REF!</definedName>
    <definedName name="_GiS16">#REF!</definedName>
    <definedName name="_giv1">#REF!</definedName>
    <definedName name="_gk2" hidden="1">#REF!</definedName>
    <definedName name="_GNB1">#REF!</definedName>
    <definedName name="_GNB2">#REF!</definedName>
    <definedName name="_gra6060">#REF!</definedName>
    <definedName name="_grc1">#REF!</definedName>
    <definedName name="_grc6">#REF!</definedName>
    <definedName name="_grc8">#REF!</definedName>
    <definedName name="_Grn46">#REF!</definedName>
    <definedName name="_grv20">#REF!</definedName>
    <definedName name="_grv30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v02">#REF!</definedName>
    <definedName name="_gyf9">#REF!</definedName>
    <definedName name="_gyp9">#REF!</definedName>
    <definedName name="_H">"$#REF!.$GN$17"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HH01">#REF!</definedName>
    <definedName name="_Hot10">#REF!</definedName>
    <definedName name="_Hot15">#REF!</definedName>
    <definedName name="_Hot20">#REF!</definedName>
    <definedName name="_Hot25">#REF!</definedName>
    <definedName name="_hpc2">#REF!</definedName>
    <definedName name="_i">NA()</definedName>
    <definedName name="_I_13">"$#REF!.$GN$18"</definedName>
    <definedName name="_Ibr1">#REF!</definedName>
    <definedName name="_IMB01">#REF!</definedName>
    <definedName name="_iv65655">#REF!</definedName>
    <definedName name="_J">NA()</definedName>
    <definedName name="_ja11">#REF!</definedName>
    <definedName name="_ja12">#REF!</definedName>
    <definedName name="_ja13">#REF!</definedName>
    <definedName name="_ja14">#REF!</definedName>
    <definedName name="_jab1">#REF!</definedName>
    <definedName name="_JUM1">NA()</definedName>
    <definedName name="_JUM10">"$#REF!.$N$2493"</definedName>
    <definedName name="_JUM11">"$#REF!.$N$2502"</definedName>
    <definedName name="_JUM2">NA()</definedName>
    <definedName name="_JUM3">NA()</definedName>
    <definedName name="_jum4">#REF!</definedName>
    <definedName name="_jum5">#REF!</definedName>
    <definedName name="_JUM6">"$#REF!.$N$2433"</definedName>
    <definedName name="_JUM7">"$#REF!.$N$2463"</definedName>
    <definedName name="_JUM8">"$#REF!.$N$2479"</definedName>
    <definedName name="_JUM9">"$#REF!.$N$2484"</definedName>
    <definedName name="_K">"$#REF!.$GN$21"</definedName>
    <definedName name="_k100123">#REF!</definedName>
    <definedName name="_KAn13">#REF!</definedName>
    <definedName name="_KAw13">#REF!</definedName>
    <definedName name="_kc3">#REF!</definedName>
    <definedName name="_kc5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r1020">#REF!</definedName>
    <definedName name="_ker1030">#REF!</definedName>
    <definedName name="_ker2020">#REF!</definedName>
    <definedName name="_ker2530">#REF!</definedName>
    <definedName name="_ker3030">#REF!</definedName>
    <definedName name="_ker3333">#REF!</definedName>
    <definedName name="_KEY001" hidden="1">#REF!</definedName>
    <definedName name="_KEY002" hidden="1">#REF!</definedName>
    <definedName name="_KEY01" hidden="1">#REF!</definedName>
    <definedName name="_KEY02" hidden="1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l2">#REF!</definedName>
    <definedName name="_kl3">#REF!</definedName>
    <definedName name="_KL78906">#REF!</definedName>
    <definedName name="_KLc88">#REF!</definedName>
    <definedName name="_kof1">#REF!</definedName>
    <definedName name="_Kpp12">#REF!</definedName>
    <definedName name="_Kpp13">#REF!</definedName>
    <definedName name="_KR1">#REF!</definedName>
    <definedName name="_kr15">#REF!</definedName>
    <definedName name="_KR22">#REF!</definedName>
    <definedName name="_KR6">#REF!</definedName>
    <definedName name="_KR7">#REF!</definedName>
    <definedName name="_KR8">#REF!</definedName>
    <definedName name="_KR9">#REF!</definedName>
    <definedName name="_KrB02">#REF!</definedName>
    <definedName name="_KrB03">#REF!</definedName>
    <definedName name="_KrK02">#REF!</definedName>
    <definedName name="_Krk03">#REF!</definedName>
    <definedName name="_Krk04">#REF!</definedName>
    <definedName name="_Krp12">#REF!</definedName>
    <definedName name="_Krp22">#REF!</definedName>
    <definedName name="_Krp33">#REF!</definedName>
    <definedName name="_KrS02">#REF!</definedName>
    <definedName name="_KrS03">#REF!</definedName>
    <definedName name="_Krw12">#REF!</definedName>
    <definedName name="_Krw22">#REF!</definedName>
    <definedName name="_Krw33">#REF!</definedName>
    <definedName name="_L">"$#REF!.$GN$22"</definedName>
    <definedName name="_Lad1">#REF!</definedName>
    <definedName name="_Lad2">#REF!</definedName>
    <definedName name="_Lad3">#REF!</definedName>
    <definedName name="_ldp60">#REF!</definedName>
    <definedName name="_lh50">#REF!</definedName>
    <definedName name="_lk05">#REF!</definedName>
    <definedName name="_LL110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G15">#REF!</definedName>
    <definedName name="_Lpk01">#REF!</definedName>
    <definedName name="_Lpk02">#REF!</definedName>
    <definedName name="_Lpk04">#REF!</definedName>
    <definedName name="_Lpk05">#REF!</definedName>
    <definedName name="_Lpk10">#REF!</definedName>
    <definedName name="_lpl11">#REF!</definedName>
    <definedName name="_LS50">#REF!</definedName>
    <definedName name="_M">"$#REF!.$#REF!$#REF!"</definedName>
    <definedName name="_M_1">#REF!</definedName>
    <definedName name="_MAC12">"$#REF!.$H$6"</definedName>
    <definedName name="_MAC46">"$#REF!.$H$61"</definedName>
    <definedName name="_MatMult_A" hidden="1">#REF!</definedName>
    <definedName name="_MatMult_AxB" hidden="1">#REF!</definedName>
    <definedName name="_MatMult_B" hidden="1">#REF!</definedName>
    <definedName name="_MB867">#REF!</definedName>
    <definedName name="_MBW867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p1">"$#REF!.$AE$70"</definedName>
    <definedName name="_Mer80">#REF!</definedName>
    <definedName name="_mix175">#REF!</definedName>
    <definedName name="_mix225">#REF!</definedName>
    <definedName name="_mix300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p1">#REF!</definedName>
    <definedName name="_mp3">#REF!</definedName>
    <definedName name="_Mpk12">#REF!</definedName>
    <definedName name="_Mpk18">#REF!</definedName>
    <definedName name="_Mpk9">#REF!</definedName>
    <definedName name="_mu1">#REF!</definedName>
    <definedName name="_MU200">#REF!</definedName>
    <definedName name="_mu2003">NA()</definedName>
    <definedName name="_MU270">#REF!</definedName>
    <definedName name="_mu300">#REF!</definedName>
    <definedName name="_mu30010">NA()</definedName>
    <definedName name="_MU301">#REF!</definedName>
    <definedName name="_MU380">#REF!</definedName>
    <definedName name="_MU400">#REF!</definedName>
    <definedName name="_mu4003">NA()</definedName>
    <definedName name="_mu408">#REF!</definedName>
    <definedName name="_MU440">#REF!</definedName>
    <definedName name="_MU450">#REF!</definedName>
    <definedName name="_mul12">#REF!</definedName>
    <definedName name="_mul9">#REF!</definedName>
    <definedName name="_mur10">#REF!</definedName>
    <definedName name="_mur12">#REF!</definedName>
    <definedName name="_mur8">#REF!</definedName>
    <definedName name="_N">"$#REF!.$GN$25"</definedName>
    <definedName name="_NCL100">"$#REF!.$#REF!$#REF!"</definedName>
    <definedName name="_NCL200">"$#REF!.$#REF!$#REF!"</definedName>
    <definedName name="_NCL250">"$#REF!.$#REF!$#REF!"</definedName>
    <definedName name="_new5">HAJIME:OWARI</definedName>
    <definedName name="_NFA175">#REF!</definedName>
    <definedName name="_NFA250">#REF!</definedName>
    <definedName name="_NFA300">#REF!</definedName>
    <definedName name="_NFA350">#REF!</definedName>
    <definedName name="_NFA400">#REF!</definedName>
    <definedName name="_NFA450">#REF!</definedName>
    <definedName name="_NFA500">#REF!</definedName>
    <definedName name="_nin190">"$#REF!.$#REF!$#REF!"</definedName>
    <definedName name="_nm1">#REF!</definedName>
    <definedName name="_NSF10">#REF!</definedName>
    <definedName name="_NSF15">#REF!</definedName>
    <definedName name="_NYA115">#REF!</definedName>
    <definedName name="_NYA125">#REF!</definedName>
    <definedName name="_NYM215">#REF!</definedName>
    <definedName name="_NYM225">#REF!</definedName>
    <definedName name="_NYM240">#REF!</definedName>
    <definedName name="_NYM260">#REF!</definedName>
    <definedName name="_NYM315">#REF!</definedName>
    <definedName name="_NYM325">#REF!</definedName>
    <definedName name="_nym34">#REF!</definedName>
    <definedName name="_NYM340">#REF!</definedName>
    <definedName name="_NYM360">#REF!</definedName>
    <definedName name="_NYM425">#REF!</definedName>
    <definedName name="_NYM440">#REF!</definedName>
    <definedName name="_nym46">#REF!</definedName>
    <definedName name="_NYM460">#REF!</definedName>
    <definedName name="_NYY240">#REF!</definedName>
    <definedName name="_nyy2416">#REF!</definedName>
    <definedName name="_nyy244">#REF!</definedName>
    <definedName name="_nyy246">#REF!</definedName>
    <definedName name="_NYY260">#REF!</definedName>
    <definedName name="_nyy34">#REF!</definedName>
    <definedName name="_NYY340">#REF!</definedName>
    <definedName name="_NYY360">#REF!</definedName>
    <definedName name="_nyy410">#REF!</definedName>
    <definedName name="_nyy41010">#REF!</definedName>
    <definedName name="_nyy412050">#REF!</definedName>
    <definedName name="_nyy412070">#REF!</definedName>
    <definedName name="_nyy415070">#REF!</definedName>
    <definedName name="_nyy416">#REF!</definedName>
    <definedName name="_nyy41616">#REF!</definedName>
    <definedName name="_nyy42525">#REF!</definedName>
    <definedName name="_nyy43535">#REF!</definedName>
    <definedName name="_nyy44">#REF!</definedName>
    <definedName name="_NYY440">#REF!</definedName>
    <definedName name="_nyy444">#REF!</definedName>
    <definedName name="_nyy45050">#REF!</definedName>
    <definedName name="_nyy46">#REF!</definedName>
    <definedName name="_NYY460">#REF!</definedName>
    <definedName name="_nyy466">#REF!</definedName>
    <definedName name="_nyy47050">#REF!</definedName>
    <definedName name="_nyy47070">#REF!</definedName>
    <definedName name="_nyy49570">#REF!</definedName>
    <definedName name="_O">"$#REF!.$GN$27"</definedName>
    <definedName name="_Oks14">#REF!</definedName>
    <definedName name="_Opa1">#REF!</definedName>
    <definedName name="_Opa2">#REF!</definedName>
    <definedName name="_Order1" hidden="1">255</definedName>
    <definedName name="_Order2" hidden="1">255</definedName>
    <definedName name="_p">NA()</definedName>
    <definedName name="_PA1">#REF!</definedName>
    <definedName name="_PA2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m120">#REF!</definedName>
    <definedName name="_pan2">#REF!</definedName>
    <definedName name="_Pav8">"$#REF!.$G$245"</definedName>
    <definedName name="_paw10">#REF!</definedName>
    <definedName name="_PAw16">#REF!</definedName>
    <definedName name="_paw25">#REF!</definedName>
    <definedName name="_paw40">#REF!</definedName>
    <definedName name="_paw50">#REF!</definedName>
    <definedName name="_paw65">#REF!</definedName>
    <definedName name="_pb1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ek1">#REF!</definedName>
    <definedName name="_pek2">#REF!</definedName>
    <definedName name="_pek3">#REF!</definedName>
    <definedName name="_pf18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k13">#REF!</definedName>
    <definedName name="_pk47">#REF!</definedName>
    <definedName name="_pk8">#REF!</definedName>
    <definedName name="_PL1">#REF!</definedName>
    <definedName name="_PL2">#REF!</definedName>
    <definedName name="_PL3">#REF!</definedName>
    <definedName name="_Plt33">#REF!</definedName>
    <definedName name="_Plt43">#REF!</definedName>
    <definedName name="_Pnl36">#REF!</definedName>
    <definedName name="_po1000">#REF!</definedName>
    <definedName name="_PPN1">"$#REF!.$I$31"</definedName>
    <definedName name="_PRC019">#REF!</definedName>
    <definedName name="_PRu02">#REF!</definedName>
    <definedName name="_PRu03">#REF!</definedName>
    <definedName name="_PRu04">#REF!</definedName>
    <definedName name="_PRu05">#REF!</definedName>
    <definedName name="_PRu06">#REF!</definedName>
    <definedName name="_PRu08">#REF!</definedName>
    <definedName name="_PRu10">#REF!</definedName>
    <definedName name="_PRu12">#REF!</definedName>
    <definedName name="_PRu16">#REF!</definedName>
    <definedName name="_PSb02">#REF!</definedName>
    <definedName name="_PSb03">#REF!</definedName>
    <definedName name="_PSb04">#REF!</definedName>
    <definedName name="_PSb05">#REF!</definedName>
    <definedName name="_PSb06">#REF!</definedName>
    <definedName name="_PSb07">#REF!</definedName>
    <definedName name="_PSb08">#REF!</definedName>
    <definedName name="_Psb10">#REF!</definedName>
    <definedName name="_PSb12">#REF!</definedName>
    <definedName name="_PSb16">#REF!</definedName>
    <definedName name="_PSC084">#REF!</definedName>
    <definedName name="_PsW1">#REF!</definedName>
    <definedName name="_ptg1">#REF!</definedName>
    <definedName name="_ptg2">#REF!</definedName>
    <definedName name="_pv100">#REF!</definedName>
    <definedName name="_pv40">#REF!</definedName>
    <definedName name="_pv50">#REF!</definedName>
    <definedName name="_pv80">#REF!</definedName>
    <definedName name="_pvc05">#REF!</definedName>
    <definedName name="_PVC1">#REF!</definedName>
    <definedName name="_pvc100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3">#REF!</definedName>
    <definedName name="_pvc32">#REF!</definedName>
    <definedName name="_PVC4">#REF!</definedName>
    <definedName name="_pvc40">#REF!</definedName>
    <definedName name="_pvc50">#REF!</definedName>
    <definedName name="_PVC6">#REF!</definedName>
    <definedName name="_pvc65">#REF!</definedName>
    <definedName name="_PVC8">#REF!</definedName>
    <definedName name="_pvc80">#REF!</definedName>
    <definedName name="_pvc804">"'file://SERVER3/har-data/STRUCTURE PRICE OF BQ KOMPAS GRAMEDIA.xls'#$analisa.$#REF!$#REF!"</definedName>
    <definedName name="_pvc805">"'file://SERVER3/har-data/STRUCTURE PRICE OF BQ KOMPAS GRAMEDIA.xls'#$analisa.$#REF!$#REF!"</definedName>
    <definedName name="_pvf100">#REF!</definedName>
    <definedName name="_pvf80">#REF!</definedName>
    <definedName name="_PW1">#REF!</definedName>
    <definedName name="_PW2">#REF!</definedName>
    <definedName name="_Pwd18">#REF!</definedName>
    <definedName name="_Q">#REF!</definedName>
    <definedName name="_Q_1">#REF!</definedName>
    <definedName name="_Q_13">"$#REF!.$#REF!$#REF!"</definedName>
    <definedName name="_Q_14">#REF!</definedName>
    <definedName name="_Q_22">#REF!</definedName>
    <definedName name="_qmd15">#REF!</definedName>
    <definedName name="_qmd20">#REF!</definedName>
    <definedName name="_r">NA()</definedName>
    <definedName name="_RAB1">#REF!</definedName>
    <definedName name="_rd1">#REF!</definedName>
    <definedName name="_rd2">#REF!</definedName>
    <definedName name="_rd3">#REF!</definedName>
    <definedName name="_rdd100">#REF!</definedName>
    <definedName name="_rdd150">#REF!</definedName>
    <definedName name="_ReB23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23">#REF!</definedName>
    <definedName name="_Rek34">#REF!</definedName>
    <definedName name="_RFj05">#REF!</definedName>
    <definedName name="_RFj10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75">#REF!</definedName>
    <definedName name="_Rm225">#REF!</definedName>
    <definedName name="_Rm375">#REF!</definedName>
    <definedName name="_RNCTOTVB">"$#REF!.$L$2200"</definedName>
    <definedName name="_Rol06">#REF!</definedName>
    <definedName name="_Rol10">#REF!</definedName>
    <definedName name="_rst20">#REF!</definedName>
    <definedName name="_rst30">#REF!</definedName>
    <definedName name="_S">"$#REF!.$GN$35"</definedName>
    <definedName name="_S___4_1">NA()</definedName>
    <definedName name="_S_1">#REF!</definedName>
    <definedName name="_SBr01">#REF!</definedName>
    <definedName name="_SBr02">#REF!</definedName>
    <definedName name="_sc1">"$#REF!.$H$6"</definedName>
    <definedName name="_SC2">"$#REF!.$H$9"</definedName>
    <definedName name="_sc3">"$#REF!.$H$56"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T2">#REF!</definedName>
    <definedName name="_SHT3">#REF!</definedName>
    <definedName name="_SJd01">#REF!</definedName>
    <definedName name="_SlP25">#REF!</definedName>
    <definedName name="_sn1020">#REF!</definedName>
    <definedName name="_SN3">"$#REF!.$#REF!$#REF!"</definedName>
    <definedName name="_Sort" hidden="1">#REF!</definedName>
    <definedName name="_Spl02">#REF!</definedName>
    <definedName name="_Spl03">#REF!</definedName>
    <definedName name="_Spl04">#REF!</definedName>
    <definedName name="_Spl05">#REF!</definedName>
    <definedName name="_Spl12">#REF!</definedName>
    <definedName name="_Spl23">#REF!</definedName>
    <definedName name="_Spl35">#REF!</definedName>
    <definedName name="_Spl57">#REF!</definedName>
    <definedName name="_Spt02">#REF!</definedName>
    <definedName name="_Spt06">#REF!</definedName>
    <definedName name="_Spt10">#REF!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50">#REF!</definedName>
    <definedName name="_std65">#REF!</definedName>
    <definedName name="_StK03">#REF!</definedName>
    <definedName name="_StK04">#REF!</definedName>
    <definedName name="_StK06">#REF!</definedName>
    <definedName name="_StK08">#REF!</definedName>
    <definedName name="_StK10">#REF!</definedName>
    <definedName name="_StK12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5">#REF!</definedName>
    <definedName name="_str96">#REF!</definedName>
    <definedName name="_str97">#REF!</definedName>
    <definedName name="_str98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t">NA()</definedName>
    <definedName name="_T_13">NA()</definedName>
    <definedName name="_T916889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b1">#REF!</definedName>
    <definedName name="_Tbb2">#REF!</definedName>
    <definedName name="_Tbs1">#REF!</definedName>
    <definedName name="_Tbs2">#REF!</definedName>
    <definedName name="_tbt1">#REF!</definedName>
    <definedName name="_tbt2">#REF!</definedName>
    <definedName name="_TCa1">#REF!</definedName>
    <definedName name="_Tca2">#REF!</definedName>
    <definedName name="_Tfp22">#REF!</definedName>
    <definedName name="_Tfw22">#REF!</definedName>
    <definedName name="_tg20">#REF!</definedName>
    <definedName name="_tg30">#REF!</definedName>
    <definedName name="_Tgb33">#REF!</definedName>
    <definedName name="_tgl1">#REF!</definedName>
    <definedName name="_Tgp22">#REF!</definedName>
    <definedName name="_Tgp33">#REF!</definedName>
    <definedName name="_Tgw22">#REF!</definedName>
    <definedName name="_Tgw33">#REF!</definedName>
    <definedName name="_th100">NA()</definedName>
    <definedName name="_TH160">NA()</definedName>
    <definedName name="_THP2">STOP:STOPE</definedName>
    <definedName name="_tk04">#REF!</definedName>
    <definedName name="_Tky1">#REF!</definedName>
    <definedName name="_Tky2">#REF!</definedName>
    <definedName name="_TL1">"$#REF!.$C$6"</definedName>
    <definedName name="_TL2">"$#REF!.$D$6"</definedName>
    <definedName name="_TL3">"$#REF!.$#REF!$#REF!"</definedName>
    <definedName name="_TLA120">"$#REF!.$B$23"</definedName>
    <definedName name="_TLA35">"$#REF!.$B$27"</definedName>
    <definedName name="_TLA50">"$#REF!.$B$26"</definedName>
    <definedName name="_TLA70">"$#REF!.$B$25"</definedName>
    <definedName name="_TLA95">"$#REF!.$B$24"</definedName>
    <definedName name="_tlc20">#REF!</definedName>
    <definedName name="_Tlk04">#REF!</definedName>
    <definedName name="_Tlk05">#REF!</definedName>
    <definedName name="_Tlk06">#REF!</definedName>
    <definedName name="_Tlk07">#REF!</definedName>
    <definedName name="_TlP20">#REF!</definedName>
    <definedName name="_Tlp40">#REF!</definedName>
    <definedName name="_TOP2">#REF!</definedName>
    <definedName name="_tp30">#REF!</definedName>
    <definedName name="_tp40">#REF!</definedName>
    <definedName name="_Tpk03">#REF!</definedName>
    <definedName name="_Tpk04">#REF!</definedName>
    <definedName name="_Tpk06">#REF!</definedName>
    <definedName name="_Tpk09">#REF!</definedName>
    <definedName name="_TPp12">#REF!</definedName>
    <definedName name="_TPp13">#REF!</definedName>
    <definedName name="_TPw12">#REF!</definedName>
    <definedName name="_TPw13">#REF!</definedName>
    <definedName name="_TR250">NA()</definedName>
    <definedName name="_tr375">NA()</definedName>
    <definedName name="_tsI3">_tsI3</definedName>
    <definedName name="_tsv25">#REF!</definedName>
    <definedName name="_tv14">#REF!</definedName>
    <definedName name="_Twd03">#REF!</definedName>
    <definedName name="_Twd04">#REF!</definedName>
    <definedName name="_Twd09">#REF!</definedName>
    <definedName name="_U">"$#REF!.$GN$39"</definedName>
    <definedName name="_uls60">#REF!</definedName>
    <definedName name="_up05">#N/A</definedName>
    <definedName name="_up10">"'file://SERVER3/har-data/STRUCTURE PRICE OF BQ KOMPAS GRAMEDIA.xls'#$analisa.$#REF!$#REF!"</definedName>
    <definedName name="_UP15">#N/A</definedName>
    <definedName name="_UP20">#N/A</definedName>
    <definedName name="_UPA100">NA()</definedName>
    <definedName name="_ups10">#REF!</definedName>
    <definedName name="_UR1">#REF!</definedName>
    <definedName name="_UR2">#REF!</definedName>
    <definedName name="_UR4">#REF!</definedName>
    <definedName name="_usd2">#REF!</definedName>
    <definedName name="_v">NA()</definedName>
    <definedName name="_Vib01">#REF!</definedName>
    <definedName name="_Vib07">#REF!</definedName>
    <definedName name="_VL100">"$#REF!.$#REF!$#REF!"</definedName>
    <definedName name="_VL200">"$#REF!.$#REF!$#REF!"</definedName>
    <definedName name="_VL250">"$#REF!.$#REF!$#REF!"</definedName>
    <definedName name="_vnt100">#REF!</definedName>
    <definedName name="_vnt40">#REF!</definedName>
    <definedName name="_vnt50">#REF!</definedName>
    <definedName name="_vnt80">#REF!</definedName>
    <definedName name="_w">NA()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F150">#REF!</definedName>
    <definedName name="_WF32">#REF!</definedName>
    <definedName name="_WF42">#REF!</definedName>
    <definedName name="_wf43">#REF!</definedName>
    <definedName name="_wm16">#REF!</definedName>
    <definedName name="_WM420">#REF!</definedName>
    <definedName name="_Wmr02">#REF!</definedName>
    <definedName name="_wpc1015">#REF!</definedName>
    <definedName name="_WPS10">#REF!</definedName>
    <definedName name="_WPS15">#REF!</definedName>
    <definedName name="_WPS25">#REF!</definedName>
    <definedName name="_WPS45">#REF!</definedName>
    <definedName name="_WQ">#REF!</definedName>
    <definedName name="_x">NA()</definedName>
    <definedName name="_X_13">"$#REF!.$#REF!$#REF!"</definedName>
    <definedName name="_Y">NA()</definedName>
    <definedName name="_z">NA()</definedName>
    <definedName name="_z_13">NA()</definedName>
    <definedName name="A" hidden="1">#REF!</definedName>
    <definedName name="a.004">#REF!</definedName>
    <definedName name="A.005">#REF!</definedName>
    <definedName name="a.007">#REF!</definedName>
    <definedName name="a.01.06">#REF!</definedName>
    <definedName name="a.01.07">#REF!</definedName>
    <definedName name="a.01.16">#REF!</definedName>
    <definedName name="a.017">#REF!</definedName>
    <definedName name="a.02.01">#REF!</definedName>
    <definedName name="a.02.11">#REF!</definedName>
    <definedName name="a.02.12">#REF!</definedName>
    <definedName name="a.02.13">#REF!</definedName>
    <definedName name="a.022">#REF!</definedName>
    <definedName name="a.027">#REF!</definedName>
    <definedName name="a.027rob">#REF!</definedName>
    <definedName name="a.028">#REF!</definedName>
    <definedName name="a.03.05">#REF!</definedName>
    <definedName name="A.03.13">#REF!</definedName>
    <definedName name="a.049">#REF!</definedName>
    <definedName name="a.05.05">#REF!</definedName>
    <definedName name="a.05.35">#REF!</definedName>
    <definedName name="a.050">#REF!</definedName>
    <definedName name="a.054a">#REF!</definedName>
    <definedName name="a.063">#REF!</definedName>
    <definedName name="a.064">#REF!</definedName>
    <definedName name="a.065">#REF!</definedName>
    <definedName name="a.065b">#REF!</definedName>
    <definedName name="a.07.01">#REF!</definedName>
    <definedName name="a.07.75">#REF!</definedName>
    <definedName name="a.07.77">#REF!</definedName>
    <definedName name="a.072">#REF!</definedName>
    <definedName name="a.074">#REF!</definedName>
    <definedName name="a.074a">#REF!</definedName>
    <definedName name="a.076">#REF!</definedName>
    <definedName name="a.079">#REF!</definedName>
    <definedName name="a.087">#REF!</definedName>
    <definedName name="a.088">#REF!</definedName>
    <definedName name="a.089">#REF!</definedName>
    <definedName name="a.097a">#REF!</definedName>
    <definedName name="A.1">#REF!</definedName>
    <definedName name="A.10">#REF!</definedName>
    <definedName name="a.100">#REF!</definedName>
    <definedName name="A.100.01">#REF!</definedName>
    <definedName name="A.100.01.4">#REF!</definedName>
    <definedName name="A.100.01.5">#REF!</definedName>
    <definedName name="A.100.02">#REF!</definedName>
    <definedName name="A.100.03">#REF!</definedName>
    <definedName name="A.100.04">#REF!</definedName>
    <definedName name="A.100.05">#REF!</definedName>
    <definedName name="A.100.06">#REF!</definedName>
    <definedName name="A.100.07">#REF!</definedName>
    <definedName name="A.100.08">#REF!</definedName>
    <definedName name="A.101">#REF!</definedName>
    <definedName name="A.101.1">#REF!</definedName>
    <definedName name="A.101.10">#REF!</definedName>
    <definedName name="A.101.10B">#REF!</definedName>
    <definedName name="A.101.10E">#REF!</definedName>
    <definedName name="A.101.11">#REF!</definedName>
    <definedName name="A.101.11B">#REF!</definedName>
    <definedName name="A.101.11E">#REF!</definedName>
    <definedName name="A.101.12">#REF!</definedName>
    <definedName name="A.101.12B">#REF!</definedName>
    <definedName name="A.101.12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7">#REF!</definedName>
    <definedName name="A.101.17B">#REF!</definedName>
    <definedName name="A.101.17E">#REF!</definedName>
    <definedName name="A.101.18">#REF!</definedName>
    <definedName name="A.101.18B">#REF!</definedName>
    <definedName name="A.101.18E">#REF!</definedName>
    <definedName name="A.101.19">#REF!</definedName>
    <definedName name="A.101.19B">#REF!</definedName>
    <definedName name="A.101.19E">#REF!</definedName>
    <definedName name="A.101.1B">#REF!</definedName>
    <definedName name="A.101.1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2">#REF!</definedName>
    <definedName name="A.101.22B">#REF!</definedName>
    <definedName name="A.101.22E">#REF!</definedName>
    <definedName name="A.101.23">#REF!</definedName>
    <definedName name="A.101.23B">#REF!</definedName>
    <definedName name="A.101.23E">#REF!</definedName>
    <definedName name="A.101.24">#REF!</definedName>
    <definedName name="A.101.24B">#REF!</definedName>
    <definedName name="A.101.24E">#REF!</definedName>
    <definedName name="A.101.2B">#REF!</definedName>
    <definedName name="A.101.2E">#REF!</definedName>
    <definedName name="A.101.3">#REF!</definedName>
    <definedName name="A.101.3B">#REF!</definedName>
    <definedName name="A.101.3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3">#REF!</definedName>
    <definedName name="A.102.13B">#REF!</definedName>
    <definedName name="A.102.13E">#REF!</definedName>
    <definedName name="A.102.14">#REF!</definedName>
    <definedName name="A.102.14B">#REF!</definedName>
    <definedName name="A.102.14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4">#REF!</definedName>
    <definedName name="A.102.4B">#REF!</definedName>
    <definedName name="A.102.4E">#REF!</definedName>
    <definedName name="A.102.5">#REF!</definedName>
    <definedName name="A.102.5B">#REF!</definedName>
    <definedName name="A.102.5E">#REF!</definedName>
    <definedName name="A.102.6">#REF!</definedName>
    <definedName name="A.102.6B">#REF!</definedName>
    <definedName name="A.102.6E">#REF!</definedName>
    <definedName name="A.102.7">#REF!</definedName>
    <definedName name="A.102.7B">#REF!</definedName>
    <definedName name="A.102.7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2b">#REF!</definedName>
    <definedName name="A.103">#REF!</definedName>
    <definedName name="A.103.1">#REF!</definedName>
    <definedName name="A.103.10">#REF!</definedName>
    <definedName name="A.103.10B">#REF!</definedName>
    <definedName name="A.103.10E">#REF!</definedName>
    <definedName name="A.103.10G">#REF!</definedName>
    <definedName name="A.103.11">#REF!</definedName>
    <definedName name="A.103.11B">#REF!</definedName>
    <definedName name="A.103.11E">#REF!</definedName>
    <definedName name="A.103.12">#REF!</definedName>
    <definedName name="A.103.12B">#REF!</definedName>
    <definedName name="A.103.12E">#REF!</definedName>
    <definedName name="A.103.13">#REF!</definedName>
    <definedName name="A.103.13B">#REF!</definedName>
    <definedName name="A.103.13E">#REF!</definedName>
    <definedName name="A.103.14">#REF!</definedName>
    <definedName name="A.103.14B">#REF!</definedName>
    <definedName name="A.103.14E">#REF!</definedName>
    <definedName name="A.103.15">#REF!</definedName>
    <definedName name="A.103.15B">#REF!</definedName>
    <definedName name="A.103.15E">#REF!</definedName>
    <definedName name="A.103.16">#REF!</definedName>
    <definedName name="A.103.16B">#REF!</definedName>
    <definedName name="A.103.16E">#REF!</definedName>
    <definedName name="A.103.17">#REF!</definedName>
    <definedName name="A.103.17B">#REF!</definedName>
    <definedName name="A.103.17E">#REF!</definedName>
    <definedName name="A.103.18">#REF!</definedName>
    <definedName name="A.103.18B">#REF!</definedName>
    <definedName name="A.103.18E">#REF!</definedName>
    <definedName name="A.103.19">#REF!</definedName>
    <definedName name="A.103.19B">#REF!</definedName>
    <definedName name="A.103.19E">#REF!</definedName>
    <definedName name="A.103.1B">#REF!</definedName>
    <definedName name="A.103.1E">#REF!</definedName>
    <definedName name="A.103.2">#REF!</definedName>
    <definedName name="A.103.20">#REF!</definedName>
    <definedName name="A.103.20B">#REF!</definedName>
    <definedName name="A.103.20E">#REF!</definedName>
    <definedName name="A.103.21">#REF!</definedName>
    <definedName name="A.103.21B">#REF!</definedName>
    <definedName name="A.103.21E">#REF!</definedName>
    <definedName name="A.103.2B">#REF!</definedName>
    <definedName name="A.103.2E">#REF!</definedName>
    <definedName name="A.103.3">#REF!</definedName>
    <definedName name="A.103.3B">#REF!</definedName>
    <definedName name="A.103.3E">#REF!</definedName>
    <definedName name="A.103.4">#REF!</definedName>
    <definedName name="A.103.4B">#REF!</definedName>
    <definedName name="A.103.4E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7">#REF!</definedName>
    <definedName name="A.103.7B">#REF!</definedName>
    <definedName name="A.103.7E">#REF!</definedName>
    <definedName name="A.103.8">#REF!</definedName>
    <definedName name="A.103.8B">#REF!</definedName>
    <definedName name="A.103.8E">#REF!</definedName>
    <definedName name="A.103.9">#REF!</definedName>
    <definedName name="A.103.9B">#REF!</definedName>
    <definedName name="A.103.9E">#REF!</definedName>
    <definedName name="A.103.B">#REF!</definedName>
    <definedName name="a.103a">#REF!</definedName>
    <definedName name="A.104">#REF!</definedName>
    <definedName name="A.104.1">#REF!</definedName>
    <definedName name="A.104.10">#REF!</definedName>
    <definedName name="A.104.10B">#REF!</definedName>
    <definedName name="A.104.10E">#REF!</definedName>
    <definedName name="A.104.11">#REF!</definedName>
    <definedName name="A.104.11B">#REF!</definedName>
    <definedName name="A.104.11E">#REF!</definedName>
    <definedName name="A.104.12">#REF!</definedName>
    <definedName name="A.104.12B">#REF!</definedName>
    <definedName name="A.104.12E">#REF!</definedName>
    <definedName name="A.104.1B">#REF!</definedName>
    <definedName name="A.104.1E">#REF!</definedName>
    <definedName name="A.104.2">#REF!</definedName>
    <definedName name="A.104.2B">#REF!</definedName>
    <definedName name="A.104.2E">#REF!</definedName>
    <definedName name="A.104.3">#REF!</definedName>
    <definedName name="A.104.3B">#REF!</definedName>
    <definedName name="A.104.3E">#REF!</definedName>
    <definedName name="A.104.4">#REF!</definedName>
    <definedName name="A.104.4B">#REF!</definedName>
    <definedName name="A.104.4E">#REF!</definedName>
    <definedName name="A.104.5">#REF!</definedName>
    <definedName name="A.104.5B">#REF!</definedName>
    <definedName name="A.104.5E">#REF!</definedName>
    <definedName name="A.104.6">#REF!</definedName>
    <definedName name="A.104.6B">#REF!</definedName>
    <definedName name="A.104.6E">#REF!</definedName>
    <definedName name="A.104.7">#REF!</definedName>
    <definedName name="A.104.7B">#REF!</definedName>
    <definedName name="A.104.7E">#REF!</definedName>
    <definedName name="A.104.8">#REF!</definedName>
    <definedName name="A.104.8B">#REF!</definedName>
    <definedName name="A.104.8E">#REF!</definedName>
    <definedName name="A.104.9">#REF!</definedName>
    <definedName name="A.104.9B">#REF!</definedName>
    <definedName name="A.104.9E">#REF!</definedName>
    <definedName name="A.104.B">#REF!</definedName>
    <definedName name="A.105">#REF!</definedName>
    <definedName name="A.105.1">#REF!</definedName>
    <definedName name="A.105.10">#REF!</definedName>
    <definedName name="A.105.10B">#REF!</definedName>
    <definedName name="A.105.10E">#REF!</definedName>
    <definedName name="A.105.11">#REF!</definedName>
    <definedName name="A.105.11B">#REF!</definedName>
    <definedName name="A.105.11E">#REF!</definedName>
    <definedName name="A.105.12">#REF!</definedName>
    <definedName name="A.105.12B">#REF!</definedName>
    <definedName name="A.105.12E">#REF!</definedName>
    <definedName name="A.105.13">#REF!</definedName>
    <definedName name="A.105.13B">#REF!</definedName>
    <definedName name="A.105.13E">#REF!</definedName>
    <definedName name="A.105.14">#REF!</definedName>
    <definedName name="A.105.14B">#REF!</definedName>
    <definedName name="A.105.14E">#REF!</definedName>
    <definedName name="A.105.15">#REF!</definedName>
    <definedName name="A.105.15B">#REF!</definedName>
    <definedName name="A.105.15E">#REF!</definedName>
    <definedName name="A.105.16">#REF!</definedName>
    <definedName name="A.105.16B">#REF!</definedName>
    <definedName name="A.105.16E">#REF!</definedName>
    <definedName name="A.105.17">#REF!</definedName>
    <definedName name="A.105.17B">#REF!</definedName>
    <definedName name="A.105.17E">#REF!</definedName>
    <definedName name="A.105.18">#REF!</definedName>
    <definedName name="A.105.18B">#REF!</definedName>
    <definedName name="A.105.18E">#REF!</definedName>
    <definedName name="A.105.19">#REF!</definedName>
    <definedName name="A.105.19B">#REF!</definedName>
    <definedName name="A.105.19E">#REF!</definedName>
    <definedName name="A.105.1B">#REF!</definedName>
    <definedName name="A.105.1E">#REF!</definedName>
    <definedName name="A.105.2">#REF!</definedName>
    <definedName name="A.105.20">#REF!</definedName>
    <definedName name="A.105.20B">#REF!</definedName>
    <definedName name="A.105.20E">#REF!</definedName>
    <definedName name="A.105.21">#REF!</definedName>
    <definedName name="A.105.21B">#REF!</definedName>
    <definedName name="A.105.21E">#REF!</definedName>
    <definedName name="A.105.22">#REF!</definedName>
    <definedName name="A.105.22B">#REF!</definedName>
    <definedName name="A.105.22E">#REF!</definedName>
    <definedName name="A.105.23">#REF!</definedName>
    <definedName name="A.105.23B">#REF!</definedName>
    <definedName name="A.105.23E">#REF!</definedName>
    <definedName name="A.105.2B">#REF!</definedName>
    <definedName name="A.105.2E">#REF!</definedName>
    <definedName name="A.105.3">#REF!</definedName>
    <definedName name="A.105.3B">#REF!</definedName>
    <definedName name="A.105.3E">#REF!</definedName>
    <definedName name="A.105.4">#REF!</definedName>
    <definedName name="A.105.4B">#REF!</definedName>
    <definedName name="A.105.4E">#REF!</definedName>
    <definedName name="A.105.5">#REF!</definedName>
    <definedName name="A.105.5B">#REF!</definedName>
    <definedName name="A.105.5E">#REF!</definedName>
    <definedName name="A.105.6">#REF!</definedName>
    <definedName name="A.105.6B">#REF!</definedName>
    <definedName name="A.105.6E">#REF!</definedName>
    <definedName name="A.105.7">#REF!</definedName>
    <definedName name="A.105.7B">#REF!</definedName>
    <definedName name="A.105.7E">#REF!</definedName>
    <definedName name="A.105.8">#REF!</definedName>
    <definedName name="A.105.8B">#REF!</definedName>
    <definedName name="A.105.8E">#REF!</definedName>
    <definedName name="A.105.9">#REF!</definedName>
    <definedName name="A.105.9B">#REF!</definedName>
    <definedName name="A.105.9E">#REF!</definedName>
    <definedName name="A.105.B">#REF!</definedName>
    <definedName name="a.105b">#REF!</definedName>
    <definedName name="A.106">#REF!</definedName>
    <definedName name="A.106.1">#REF!</definedName>
    <definedName name="A.106.10">#REF!</definedName>
    <definedName name="A.106.10B">#REF!</definedName>
    <definedName name="A.106.10E">#REF!</definedName>
    <definedName name="A.106.11">#REF!</definedName>
    <definedName name="A.106.11B">#REF!</definedName>
    <definedName name="A.106.11E">#REF!</definedName>
    <definedName name="A.106.12">#REF!</definedName>
    <definedName name="A.106.12B">#REF!</definedName>
    <definedName name="A.106.12E">#REF!</definedName>
    <definedName name="A.106.13">#REF!</definedName>
    <definedName name="A.106.13B">#REF!</definedName>
    <definedName name="A.106.13E">#REF!</definedName>
    <definedName name="A.106.14">#REF!</definedName>
    <definedName name="A.106.14B">#REF!</definedName>
    <definedName name="A.106.14E">#REF!</definedName>
    <definedName name="A.106.15">#REF!</definedName>
    <definedName name="A.106.15B">#REF!</definedName>
    <definedName name="A.106.15E">#REF!</definedName>
    <definedName name="A.106.16">#REF!</definedName>
    <definedName name="A.106.16B">#REF!</definedName>
    <definedName name="A.106.16E">#REF!</definedName>
    <definedName name="A.106.17">#REF!</definedName>
    <definedName name="A.106.17B">#REF!</definedName>
    <definedName name="A.106.17E">#REF!</definedName>
    <definedName name="A.106.18">#REF!</definedName>
    <definedName name="A.106.18B">#REF!</definedName>
    <definedName name="A.106.18E">#REF!</definedName>
    <definedName name="A.106.19">#REF!</definedName>
    <definedName name="A.106.19B">#REF!</definedName>
    <definedName name="A.106.19E">#REF!</definedName>
    <definedName name="A.106.1B">#REF!</definedName>
    <definedName name="A.106.1E">#REF!</definedName>
    <definedName name="A.106.2">#REF!</definedName>
    <definedName name="A.106.20">#REF!</definedName>
    <definedName name="A.106.20B">#REF!</definedName>
    <definedName name="A.106.20E">#REF!</definedName>
    <definedName name="A.106.21">#REF!</definedName>
    <definedName name="A.106.21B">#REF!</definedName>
    <definedName name="A.106.21E">#REF!</definedName>
    <definedName name="A.106.22">#REF!</definedName>
    <definedName name="A.106.22B">#REF!</definedName>
    <definedName name="A.106.22E">#REF!</definedName>
    <definedName name="A.106.23">#REF!</definedName>
    <definedName name="A.106.23B">#REF!</definedName>
    <definedName name="A.106.23E">#REF!</definedName>
    <definedName name="A.106.24">#REF!</definedName>
    <definedName name="A.106.24B">#REF!</definedName>
    <definedName name="A.106.24E">#REF!</definedName>
    <definedName name="A.106.25">#REF!</definedName>
    <definedName name="A.106.25B">#REF!</definedName>
    <definedName name="A.106.25E">#REF!</definedName>
    <definedName name="A.106.26">#REF!</definedName>
    <definedName name="A.106.26B">#REF!</definedName>
    <definedName name="A.106.26E">#REF!</definedName>
    <definedName name="A.106.27">#REF!</definedName>
    <definedName name="A.106.27B">#REF!</definedName>
    <definedName name="A.106.27E">#REF!</definedName>
    <definedName name="A.106.28">#REF!</definedName>
    <definedName name="A.106.28B">#REF!</definedName>
    <definedName name="A.106.28E">#REF!</definedName>
    <definedName name="A.106.29">#REF!</definedName>
    <definedName name="A.106.29B">#REF!</definedName>
    <definedName name="A.106.29E">#REF!</definedName>
    <definedName name="A.106.2B">#REF!</definedName>
    <definedName name="A.106.2E">#REF!</definedName>
    <definedName name="A.106.3">#REF!</definedName>
    <definedName name="A.106.30">#REF!</definedName>
    <definedName name="A.106.30B">#REF!</definedName>
    <definedName name="A.106.30E">#REF!</definedName>
    <definedName name="A.106.31">#REF!</definedName>
    <definedName name="A.106.31B">#REF!</definedName>
    <definedName name="A.106.31E">#REF!</definedName>
    <definedName name="A.106.32">#REF!</definedName>
    <definedName name="A.106.32B">#REF!</definedName>
    <definedName name="A.106.32E">#REF!</definedName>
    <definedName name="A.106.33">#REF!</definedName>
    <definedName name="A.106.33B">#REF!</definedName>
    <definedName name="A.106.33E">#REF!</definedName>
    <definedName name="A.106.34">#REF!</definedName>
    <definedName name="A.106.34B">#REF!</definedName>
    <definedName name="A.106.34E">#REF!</definedName>
    <definedName name="A.106.35">#REF!</definedName>
    <definedName name="A.106.35B">#REF!</definedName>
    <definedName name="A.106.35E">#REF!</definedName>
    <definedName name="A.106.36">#REF!</definedName>
    <definedName name="A.106.36B">#REF!</definedName>
    <definedName name="A.106.36E">#REF!</definedName>
    <definedName name="A.106.37">#REF!</definedName>
    <definedName name="A.106.37B">#REF!</definedName>
    <definedName name="A.106.37E">#REF!</definedName>
    <definedName name="A.106.38">#REF!</definedName>
    <definedName name="A.106.38B">#REF!</definedName>
    <definedName name="A.106.38E">#REF!</definedName>
    <definedName name="A.106.3B">#REF!</definedName>
    <definedName name="A.106.3E">#REF!</definedName>
    <definedName name="A.106.4">#REF!</definedName>
    <definedName name="A.106.4B">#REF!</definedName>
    <definedName name="A.106.4E">#REF!</definedName>
    <definedName name="A.106.5">#REF!</definedName>
    <definedName name="A.106.5B">#REF!</definedName>
    <definedName name="A.106.5E">#REF!</definedName>
    <definedName name="A.106.6">#REF!</definedName>
    <definedName name="A.106.6B">#REF!</definedName>
    <definedName name="A.106.6E">#REF!</definedName>
    <definedName name="A.106.7">#REF!</definedName>
    <definedName name="A.106.7B">#REF!</definedName>
    <definedName name="A.106.7E">#REF!</definedName>
    <definedName name="A.106.8">#REF!</definedName>
    <definedName name="A.106.8B">#REF!</definedName>
    <definedName name="A.106.8E">#REF!</definedName>
    <definedName name="A.106.9">#REF!</definedName>
    <definedName name="A.106.9B">#REF!</definedName>
    <definedName name="A.106.9E">#REF!</definedName>
    <definedName name="A.106.B">#REF!</definedName>
    <definedName name="A.107">#REF!</definedName>
    <definedName name="A.107.1">#REF!</definedName>
    <definedName name="A.107.10E">#REF!</definedName>
    <definedName name="A.107.11">#REF!</definedName>
    <definedName name="A.107.11B">#REF!</definedName>
    <definedName name="A.107.11E">#REF!</definedName>
    <definedName name="A.107.12">#REF!</definedName>
    <definedName name="A.107.12B">#REF!</definedName>
    <definedName name="A.107.12E">#REF!</definedName>
    <definedName name="A.107.13">#REF!</definedName>
    <definedName name="A.107.13B">#REF!</definedName>
    <definedName name="A.107.13E">#REF!</definedName>
    <definedName name="A.107.14">#REF!</definedName>
    <definedName name="A.107.14B">#REF!</definedName>
    <definedName name="A.107.14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">#REF!</definedName>
    <definedName name="A.107.20">#REF!</definedName>
    <definedName name="A.107.20B">#REF!</definedName>
    <definedName name="A.107.20E">#REF!</definedName>
    <definedName name="A.107.21">#REF!</definedName>
    <definedName name="A.107.21B">#REF!</definedName>
    <definedName name="A.107.21E">#REF!</definedName>
    <definedName name="A.107.22">#REF!</definedName>
    <definedName name="A.107.22B">#REF!</definedName>
    <definedName name="A.107.22E">#REF!</definedName>
    <definedName name="A.107.23">#REF!</definedName>
    <definedName name="A.107.23a">#REF!</definedName>
    <definedName name="A.107.23aB">#REF!</definedName>
    <definedName name="A.107.23aE">#REF!</definedName>
    <definedName name="A.107.23B">#REF!</definedName>
    <definedName name="A.107.23E">#REF!</definedName>
    <definedName name="A.107.24">#REF!</definedName>
    <definedName name="A.107.24B">#REF!</definedName>
    <definedName name="A.107.24E">#REF!</definedName>
    <definedName name="A.107.25">#REF!</definedName>
    <definedName name="A.107.25B">#REF!</definedName>
    <definedName name="A.107.25E">#REF!</definedName>
    <definedName name="A.107.26">#REF!</definedName>
    <definedName name="A.107.26B">#REF!</definedName>
    <definedName name="A.107.26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29B">#REF!</definedName>
    <definedName name="A.107.2B">#REF!</definedName>
    <definedName name="A.107.2E">#REF!</definedName>
    <definedName name="A.107.3">#REF!</definedName>
    <definedName name="A.107.3B">#REF!</definedName>
    <definedName name="A.107.3E">#REF!</definedName>
    <definedName name="A.107.4">#REF!</definedName>
    <definedName name="A.107.4B">#REF!</definedName>
    <definedName name="A.107.4E">#REF!</definedName>
    <definedName name="A.107.5">#REF!</definedName>
    <definedName name="A.107.5B">#REF!</definedName>
    <definedName name="A.107.5E">#REF!</definedName>
    <definedName name="A.107.6">#REF!</definedName>
    <definedName name="A.107.6B">#REF!</definedName>
    <definedName name="A.107.6E">#REF!</definedName>
    <definedName name="A.107.7">#REF!</definedName>
    <definedName name="A.107.7B">#REF!</definedName>
    <definedName name="A.107.7E">#REF!</definedName>
    <definedName name="A.107.8">#REF!</definedName>
    <definedName name="A.107.8B">#REF!</definedName>
    <definedName name="A.107.8E">#REF!</definedName>
    <definedName name="A.107.9">#REF!</definedName>
    <definedName name="A.107.9B">#REF!</definedName>
    <definedName name="A.107.9E">#REF!</definedName>
    <definedName name="A.107.B">#REF!</definedName>
    <definedName name="A.108">#REF!</definedName>
    <definedName name="A.108.1">#REF!</definedName>
    <definedName name="A.108.10">#REF!</definedName>
    <definedName name="A.108.10B">#REF!</definedName>
    <definedName name="A.108.10E">#REF!</definedName>
    <definedName name="A.108.11">#REF!</definedName>
    <definedName name="A.108.11B">#REF!</definedName>
    <definedName name="A.108.11E">#REF!</definedName>
    <definedName name="A.108.12">#REF!</definedName>
    <definedName name="A.108.12B">#REF!</definedName>
    <definedName name="A.108.12E">#REF!</definedName>
    <definedName name="A.108.13">#REF!</definedName>
    <definedName name="A.108.13B">#REF!</definedName>
    <definedName name="A.108.13E">#REF!</definedName>
    <definedName name="A.108.14">#REF!</definedName>
    <definedName name="A.108.14B">#REF!</definedName>
    <definedName name="A.108.14E">#REF!</definedName>
    <definedName name="A.108.15">#REF!</definedName>
    <definedName name="A.108.15B">#REF!</definedName>
    <definedName name="A.108.15E">#REF!</definedName>
    <definedName name="A.108.16">#REF!</definedName>
    <definedName name="A.108.16B">#REF!</definedName>
    <definedName name="A.108.16E">#REF!</definedName>
    <definedName name="A.108.17">#REF!</definedName>
    <definedName name="A.108.17B">#REF!</definedName>
    <definedName name="A.108.17E">#REF!</definedName>
    <definedName name="A.108.1B">#REF!</definedName>
    <definedName name="A.108.1E">#REF!</definedName>
    <definedName name="A.108.2">#REF!</definedName>
    <definedName name="A.108.2B">#REF!</definedName>
    <definedName name="A.108.2E">#REF!</definedName>
    <definedName name="A.108.3">#REF!</definedName>
    <definedName name="A.108.3B">#REF!</definedName>
    <definedName name="A.108.3E">#REF!</definedName>
    <definedName name="A.108.4">#REF!</definedName>
    <definedName name="A.108.4B">#REF!</definedName>
    <definedName name="A.108.4E">#REF!</definedName>
    <definedName name="A.108.5">#REF!</definedName>
    <definedName name="A.108.5B">#REF!</definedName>
    <definedName name="A.108.5E">#REF!</definedName>
    <definedName name="A.108.6">#REF!</definedName>
    <definedName name="A.108.6B">#REF!</definedName>
    <definedName name="A.108.6E">#REF!</definedName>
    <definedName name="A.108.7">#REF!</definedName>
    <definedName name="A.108.7B">#REF!</definedName>
    <definedName name="A.108.7E">#REF!</definedName>
    <definedName name="A.108.8">#REF!</definedName>
    <definedName name="A.108.8B">#REF!</definedName>
    <definedName name="A.108.8E">#REF!</definedName>
    <definedName name="A.108.9">#REF!</definedName>
    <definedName name="A.108.9B">#REF!</definedName>
    <definedName name="A.108.9E">#REF!</definedName>
    <definedName name="A.108.B">#REF!</definedName>
    <definedName name="A.109">#REF!</definedName>
    <definedName name="A.109.1">#REF!</definedName>
    <definedName name="A.109.10">#REF!</definedName>
    <definedName name="A.109.10B">#REF!</definedName>
    <definedName name="A.109.10E">#REF!</definedName>
    <definedName name="A.109.11">#REF!</definedName>
    <definedName name="A.109.11B">#REF!</definedName>
    <definedName name="A.109.11E">#REF!</definedName>
    <definedName name="A.109.12">#REF!</definedName>
    <definedName name="A.109.12B">#REF!</definedName>
    <definedName name="A.109.12E">#REF!</definedName>
    <definedName name="A.109.1B">#REF!</definedName>
    <definedName name="A.109.1E">#REF!</definedName>
    <definedName name="A.109.2">#REF!</definedName>
    <definedName name="A.109.2B">#REF!</definedName>
    <definedName name="A.109.2E">#REF!</definedName>
    <definedName name="A.109.3">#REF!</definedName>
    <definedName name="A.109.3B">#REF!</definedName>
    <definedName name="A.109.3E">#REF!</definedName>
    <definedName name="A.109.4">#REF!</definedName>
    <definedName name="A.109.4B">#REF!</definedName>
    <definedName name="A.109.4E">#REF!</definedName>
    <definedName name="A.109.5">#REF!</definedName>
    <definedName name="A.109.5B">#REF!</definedName>
    <definedName name="A.109.5E">#REF!</definedName>
    <definedName name="A.109.6">#REF!</definedName>
    <definedName name="A.109.6B">#REF!</definedName>
    <definedName name="A.109.6E">#REF!</definedName>
    <definedName name="A.109.7">#REF!</definedName>
    <definedName name="A.109.7B">#REF!</definedName>
    <definedName name="A.109.7E">#REF!</definedName>
    <definedName name="A.109.8">#REF!</definedName>
    <definedName name="A.109.8B">#REF!</definedName>
    <definedName name="A.109.8E">#REF!</definedName>
    <definedName name="A.109.9">#REF!</definedName>
    <definedName name="A.109.9B">#REF!</definedName>
    <definedName name="A.109.9E">#REF!</definedName>
    <definedName name="A.109.B">#REF!</definedName>
    <definedName name="A.110">#REF!</definedName>
    <definedName name="A.110.1">#REF!</definedName>
    <definedName name="A.110.10">#REF!</definedName>
    <definedName name="A.110.10B">#REF!</definedName>
    <definedName name="A.110.10E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8">#REF!</definedName>
    <definedName name="A.110.18B">#REF!</definedName>
    <definedName name="A.110.18E">#REF!</definedName>
    <definedName name="A.110.1B">#REF!</definedName>
    <definedName name="A.110.1E">#REF!</definedName>
    <definedName name="A.110.2">#REF!</definedName>
    <definedName name="A.110.2B">#REF!</definedName>
    <definedName name="A.110.2E">#REF!</definedName>
    <definedName name="A.110.3">#REF!</definedName>
    <definedName name="A.110.3B">#REF!</definedName>
    <definedName name="A.110.3E">#REF!</definedName>
    <definedName name="A.110.4">#REF!</definedName>
    <definedName name="A.110.4B">#REF!</definedName>
    <definedName name="A.110.4E">#REF!</definedName>
    <definedName name="A.110.5">#REF!</definedName>
    <definedName name="A.110.5B">#REF!</definedName>
    <definedName name="A.110.5E">#REF!</definedName>
    <definedName name="A.110.6">#REF!</definedName>
    <definedName name="A.110.6B">#REF!</definedName>
    <definedName name="A.110.6E">#REF!</definedName>
    <definedName name="A.110.7">#REF!</definedName>
    <definedName name="A.110.7B">#REF!</definedName>
    <definedName name="A.110.7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9E">#REF!</definedName>
    <definedName name="A.110.B">#REF!</definedName>
    <definedName name="A.111">#REF!</definedName>
    <definedName name="A.111.1">#REF!</definedName>
    <definedName name="A.111.10">#REF!</definedName>
    <definedName name="A.111.10B">#REF!</definedName>
    <definedName name="A.111.10E">#REF!</definedName>
    <definedName name="A.111.11">#REF!</definedName>
    <definedName name="A.111.11B">#REF!</definedName>
    <definedName name="A.111.11E">#REF!</definedName>
    <definedName name="A.111.12">#REF!</definedName>
    <definedName name="A.111.12B">#REF!</definedName>
    <definedName name="A.111.12E">#REF!</definedName>
    <definedName name="A.111.13">#REF!</definedName>
    <definedName name="A.111.13B">#REF!</definedName>
    <definedName name="A.111.13E">#REF!</definedName>
    <definedName name="A.111.14">#REF!</definedName>
    <definedName name="A.111.14B">#REF!</definedName>
    <definedName name="A.111.14E">#REF!</definedName>
    <definedName name="A.111.15">#REF!</definedName>
    <definedName name="A.111.15B">#REF!</definedName>
    <definedName name="A.111.15E">#REF!</definedName>
    <definedName name="A.111.16">#REF!</definedName>
    <definedName name="A.111.16B">#REF!</definedName>
    <definedName name="A.111.16E">#REF!</definedName>
    <definedName name="A.111.17">#REF!</definedName>
    <definedName name="A.111.17B">#REF!</definedName>
    <definedName name="A.111.17E">#REF!</definedName>
    <definedName name="A.111.18">#REF!</definedName>
    <definedName name="A.111.18B">#REF!</definedName>
    <definedName name="A.111.18E">#REF!</definedName>
    <definedName name="A.111.19">#REF!</definedName>
    <definedName name="A.111.19B">#REF!</definedName>
    <definedName name="A.111.19E">#REF!</definedName>
    <definedName name="A.111.1B">#REF!</definedName>
    <definedName name="A.111.1E">#REF!</definedName>
    <definedName name="A.111.2">#REF!</definedName>
    <definedName name="A.111.20">#REF!</definedName>
    <definedName name="A.111.20B">#REF!</definedName>
    <definedName name="A.111.20E">#REF!</definedName>
    <definedName name="A.111.21">#REF!</definedName>
    <definedName name="A.111.21B">#REF!</definedName>
    <definedName name="A.111.21E">#REF!</definedName>
    <definedName name="A.111.22">#REF!</definedName>
    <definedName name="A.111.22B">#REF!</definedName>
    <definedName name="A.111.22E">#REF!</definedName>
    <definedName name="A.111.23">#REF!</definedName>
    <definedName name="A.111.23B">#REF!</definedName>
    <definedName name="A.111.23E">#REF!</definedName>
    <definedName name="A.111.24">#REF!</definedName>
    <definedName name="A.111.24B">#REF!</definedName>
    <definedName name="A.111.24E">#REF!</definedName>
    <definedName name="A.111.25">#REF!</definedName>
    <definedName name="A.111.25B">#REF!</definedName>
    <definedName name="A.111.25E">#REF!</definedName>
    <definedName name="A.111.26">#REF!</definedName>
    <definedName name="A.111.26B">#REF!</definedName>
    <definedName name="A.111.26E">#REF!</definedName>
    <definedName name="A.111.27">#REF!</definedName>
    <definedName name="A.111.27B">#REF!</definedName>
    <definedName name="A.111.27E">#REF!</definedName>
    <definedName name="A.111.28">#REF!</definedName>
    <definedName name="A.111.28B">#REF!</definedName>
    <definedName name="A.111.28E">#REF!</definedName>
    <definedName name="A.111.29">#REF!</definedName>
    <definedName name="A.111.29B">#REF!</definedName>
    <definedName name="A.111.29E">#REF!</definedName>
    <definedName name="A.111.2B">#REF!</definedName>
    <definedName name="A.111.2E">#REF!</definedName>
    <definedName name="A.111.3">#REF!</definedName>
    <definedName name="A.111.30">#REF!</definedName>
    <definedName name="A.111.30B">#REF!</definedName>
    <definedName name="A.111.30E">#REF!</definedName>
    <definedName name="A.111.31">#REF!</definedName>
    <definedName name="A.111.31B">#REF!</definedName>
    <definedName name="A.111.31E">#REF!</definedName>
    <definedName name="A.111.32">#REF!</definedName>
    <definedName name="A.111.32B">#REF!</definedName>
    <definedName name="A.111.32E">#REF!</definedName>
    <definedName name="A.111.33">#REF!</definedName>
    <definedName name="A.111.33B">#REF!</definedName>
    <definedName name="A.111.33E">#REF!</definedName>
    <definedName name="A.111.34">#REF!</definedName>
    <definedName name="A.111.34B">#REF!</definedName>
    <definedName name="A.111.34E">#REF!</definedName>
    <definedName name="A.111.35">#REF!</definedName>
    <definedName name="A.111.35B">#REF!</definedName>
    <definedName name="A.111.35E">#REF!</definedName>
    <definedName name="A.111.36">#REF!</definedName>
    <definedName name="A.111.36B">#REF!</definedName>
    <definedName name="A.111.36E">#REF!</definedName>
    <definedName name="A.111.39B">#REF!</definedName>
    <definedName name="A.111.3B">#REF!</definedName>
    <definedName name="A.111.3E">#REF!</definedName>
    <definedName name="A.111.4">#REF!</definedName>
    <definedName name="A.111.4B">#REF!</definedName>
    <definedName name="A.111.4E">#REF!</definedName>
    <definedName name="A.111.5">#REF!</definedName>
    <definedName name="A.111.5B">#REF!</definedName>
    <definedName name="A.111.5E">#REF!</definedName>
    <definedName name="A.111.6">#REF!</definedName>
    <definedName name="A.111.6B">#REF!</definedName>
    <definedName name="A.111.6E">#REF!</definedName>
    <definedName name="A.111.7">#REF!</definedName>
    <definedName name="A.111.7B">#REF!</definedName>
    <definedName name="A.111.7E">#REF!</definedName>
    <definedName name="A.111.8">#REF!</definedName>
    <definedName name="A.111.8B">#REF!</definedName>
    <definedName name="A.111.8E">#REF!</definedName>
    <definedName name="A.111.9">#REF!</definedName>
    <definedName name="A.111.9B">#REF!</definedName>
    <definedName name="A.111.9E">#REF!</definedName>
    <definedName name="A.111.B">#REF!</definedName>
    <definedName name="a.111a">#REF!</definedName>
    <definedName name="A.112">#REF!</definedName>
    <definedName name="A.112.1">#REF!</definedName>
    <definedName name="A.112.10">#REF!</definedName>
    <definedName name="A.112.10B">#REF!</definedName>
    <definedName name="A.112.10E">#REF!</definedName>
    <definedName name="A.112.11">#REF!</definedName>
    <definedName name="A.112.11B">#REF!</definedName>
    <definedName name="A.112.11E">#REF!</definedName>
    <definedName name="A.112.12">#REF!</definedName>
    <definedName name="A.112.12a">#REF!</definedName>
    <definedName name="A.112.12aa">#REF!</definedName>
    <definedName name="A.112.12B">#REF!</definedName>
    <definedName name="A.112.12E">#REF!</definedName>
    <definedName name="A.112.13">#REF!</definedName>
    <definedName name="A.112.13a">#REF!</definedName>
    <definedName name="A.112.13aa">#REF!</definedName>
    <definedName name="A.112.13B">#REF!</definedName>
    <definedName name="A.112.13E">#REF!</definedName>
    <definedName name="A.112.14">#REF!</definedName>
    <definedName name="A.112.14a">#REF!</definedName>
    <definedName name="A.112.14aa">#REF!</definedName>
    <definedName name="A.112.14B">#REF!</definedName>
    <definedName name="A.112.14E">#REF!</definedName>
    <definedName name="A.112.15">#REF!</definedName>
    <definedName name="A.112.15B">#REF!</definedName>
    <definedName name="A.112.15E">#REF!</definedName>
    <definedName name="A.112.1B">#REF!</definedName>
    <definedName name="A.112.1E">#REF!</definedName>
    <definedName name="A.112.2">#REF!</definedName>
    <definedName name="A.112.2B">#REF!</definedName>
    <definedName name="A.112.2E">#REF!</definedName>
    <definedName name="A.112.3">#REF!</definedName>
    <definedName name="A.112.3B">#REF!</definedName>
    <definedName name="A.112.3E">#REF!</definedName>
    <definedName name="A.112.4">#REF!</definedName>
    <definedName name="A.112.4B">#REF!</definedName>
    <definedName name="A.112.4E">#REF!</definedName>
    <definedName name="A.112.5">#REF!</definedName>
    <definedName name="A.112.5B">#REF!</definedName>
    <definedName name="A.112.5E">#REF!</definedName>
    <definedName name="A.112.6">#REF!</definedName>
    <definedName name="A.112.6B">#REF!</definedName>
    <definedName name="A.112.6E">#REF!</definedName>
    <definedName name="A.112.7">#REF!</definedName>
    <definedName name="A.112.7B">#REF!</definedName>
    <definedName name="A.112.7E">#REF!</definedName>
    <definedName name="A.112.8">#REF!</definedName>
    <definedName name="A.112.8B">#REF!</definedName>
    <definedName name="A.112.8E">#REF!</definedName>
    <definedName name="A.112.9">#REF!</definedName>
    <definedName name="A.112.9B">#REF!</definedName>
    <definedName name="A.112.9E">#REF!</definedName>
    <definedName name="A.112.B">#REF!</definedName>
    <definedName name="A.113">#REF!</definedName>
    <definedName name="A.113.1">#REF!</definedName>
    <definedName name="A.113.10">#REF!</definedName>
    <definedName name="A.113.10B">#REF!</definedName>
    <definedName name="A.113.10E">#REF!</definedName>
    <definedName name="A.113.11">#REF!</definedName>
    <definedName name="A.113.11B">#REF!</definedName>
    <definedName name="A.113.11E">#REF!</definedName>
    <definedName name="A.113.12">#REF!</definedName>
    <definedName name="A.113.12B">#REF!</definedName>
    <definedName name="A.113.12E">#REF!</definedName>
    <definedName name="A.113.13">#REF!</definedName>
    <definedName name="A.113.13B">#REF!</definedName>
    <definedName name="A.113.13E">#REF!</definedName>
    <definedName name="A.113.14">#REF!</definedName>
    <definedName name="A.113.14B">#REF!</definedName>
    <definedName name="A.113.14E">#REF!</definedName>
    <definedName name="A.113.15">#REF!</definedName>
    <definedName name="A.113.15B">#REF!</definedName>
    <definedName name="A.113.15E">#REF!</definedName>
    <definedName name="A.113.16">#REF!</definedName>
    <definedName name="A.113.16B">#REF!</definedName>
    <definedName name="A.113.16E">#REF!</definedName>
    <definedName name="A.113.17">#REF!</definedName>
    <definedName name="A.113.17B">#REF!</definedName>
    <definedName name="A.113.17E">#REF!</definedName>
    <definedName name="A.113.18">#REF!</definedName>
    <definedName name="A.113.18B">#REF!</definedName>
    <definedName name="A.113.18E">#REF!</definedName>
    <definedName name="A.113.19">#REF!</definedName>
    <definedName name="A.113.19B">#REF!</definedName>
    <definedName name="A.113.19E">#REF!</definedName>
    <definedName name="A.113.1B">#REF!</definedName>
    <definedName name="A.113.1E">#REF!</definedName>
    <definedName name="A.113.2">#REF!</definedName>
    <definedName name="A.113.20">#REF!</definedName>
    <definedName name="A.113.20B">#REF!</definedName>
    <definedName name="A.113.20E">#REF!</definedName>
    <definedName name="A.113.21">#REF!</definedName>
    <definedName name="A.113.21B">#REF!</definedName>
    <definedName name="A.113.21E">#REF!</definedName>
    <definedName name="A.113.22">#REF!</definedName>
    <definedName name="A.113.22B">#REF!</definedName>
    <definedName name="A.113.22E">#REF!</definedName>
    <definedName name="A.113.23">#REF!</definedName>
    <definedName name="A.113.23B">#REF!</definedName>
    <definedName name="A.113.23E">#REF!</definedName>
    <definedName name="A.113.24">#REF!</definedName>
    <definedName name="A.113.24B">#REF!</definedName>
    <definedName name="A.113.24E">#REF!</definedName>
    <definedName name="A.113.25">#REF!</definedName>
    <definedName name="A.113.25B">#REF!</definedName>
    <definedName name="A.113.25E">#REF!</definedName>
    <definedName name="A.113.26">#REF!</definedName>
    <definedName name="A.113.26B">#REF!</definedName>
    <definedName name="A.113.26E">#REF!</definedName>
    <definedName name="A.113.27">#REF!</definedName>
    <definedName name="A.113.27B">#REF!</definedName>
    <definedName name="A.113.27E">#REF!</definedName>
    <definedName name="A.113.28">#REF!</definedName>
    <definedName name="A.113.28B">#REF!</definedName>
    <definedName name="A.113.28E">#REF!</definedName>
    <definedName name="A.113.29">#REF!</definedName>
    <definedName name="A.113.29B">#REF!</definedName>
    <definedName name="A.113.29E">#REF!</definedName>
    <definedName name="A.113.2B">#REF!</definedName>
    <definedName name="A.113.2E">#REF!</definedName>
    <definedName name="A.113.3">#REF!</definedName>
    <definedName name="A.113.30">#REF!</definedName>
    <definedName name="A.113.30B">#REF!</definedName>
    <definedName name="A.113.30E">#REF!</definedName>
    <definedName name="A.113.3B">#REF!</definedName>
    <definedName name="A.113.3E">#REF!</definedName>
    <definedName name="A.113.4">#REF!</definedName>
    <definedName name="A.113.4B">#REF!</definedName>
    <definedName name="A.113.4E">#REF!</definedName>
    <definedName name="A.113.5">#REF!</definedName>
    <definedName name="A.113.5B">#REF!</definedName>
    <definedName name="A.113.5E">#REF!</definedName>
    <definedName name="A.113.6">#REF!</definedName>
    <definedName name="A.113.6B">#REF!</definedName>
    <definedName name="A.113.6E">#REF!</definedName>
    <definedName name="A.113.7">#REF!</definedName>
    <definedName name="A.113.7B">#REF!</definedName>
    <definedName name="A.113.7E">#REF!</definedName>
    <definedName name="A.113.8">#REF!</definedName>
    <definedName name="A.113.8B">#REF!</definedName>
    <definedName name="A.113.8E">#REF!</definedName>
    <definedName name="A.113.9">#REF!</definedName>
    <definedName name="A.113.9B">#REF!</definedName>
    <definedName name="A.113.9E">#REF!</definedName>
    <definedName name="A.113.B">#REF!</definedName>
    <definedName name="A.114">#REF!</definedName>
    <definedName name="A.114.1">#REF!</definedName>
    <definedName name="A.114.10">#REF!</definedName>
    <definedName name="A.114.10a">#REF!</definedName>
    <definedName name="A.114.10aB">#REF!</definedName>
    <definedName name="A.114.10aE">#REF!</definedName>
    <definedName name="A.114.10B">#REF!</definedName>
    <definedName name="A.114.10E">#REF!</definedName>
    <definedName name="A.114.11">#REF!</definedName>
    <definedName name="A.114.11a">#REF!</definedName>
    <definedName name="A.114.11aB">#REF!</definedName>
    <definedName name="A.114.11aE">#REF!</definedName>
    <definedName name="A.114.11B">#REF!</definedName>
    <definedName name="A.114.11E">#REF!</definedName>
    <definedName name="A.114.12">#REF!</definedName>
    <definedName name="A.114.12a">#REF!</definedName>
    <definedName name="A.114.12aB">#REF!</definedName>
    <definedName name="A.114.12aE">#REF!</definedName>
    <definedName name="A.114.12B">#REF!</definedName>
    <definedName name="A.114.12E">#REF!</definedName>
    <definedName name="A.114.13">#REF!</definedName>
    <definedName name="A.114.13a">#REF!</definedName>
    <definedName name="A.114.13aB">#REF!</definedName>
    <definedName name="A.114.13aE">#REF!</definedName>
    <definedName name="A.114.13B">#REF!</definedName>
    <definedName name="A.114.13E">#REF!</definedName>
    <definedName name="A.114.14">#REF!</definedName>
    <definedName name="A.114.14a">#REF!</definedName>
    <definedName name="A.114.14aB">#REF!</definedName>
    <definedName name="A.114.14aE">#REF!</definedName>
    <definedName name="A.114.14B">#REF!</definedName>
    <definedName name="A.114.14E">#REF!</definedName>
    <definedName name="A.114.1B">#REF!</definedName>
    <definedName name="A.114.1E">#REF!</definedName>
    <definedName name="A.114.2">#REF!</definedName>
    <definedName name="A.114.2B">#REF!</definedName>
    <definedName name="A.114.2E">#REF!</definedName>
    <definedName name="A.114.3">#REF!</definedName>
    <definedName name="A.114.3B">#REF!</definedName>
    <definedName name="A.114.3E">#REF!</definedName>
    <definedName name="A.114.4">#REF!</definedName>
    <definedName name="A.114.4B">#REF!</definedName>
    <definedName name="A.114.4E">#REF!</definedName>
    <definedName name="A.114.5">#REF!</definedName>
    <definedName name="A.114.5B">#REF!</definedName>
    <definedName name="A.114.5E">#REF!</definedName>
    <definedName name="A.114.6">#REF!</definedName>
    <definedName name="A.114.6B">#REF!</definedName>
    <definedName name="A.114.6E">#REF!</definedName>
    <definedName name="A.114.7">#REF!</definedName>
    <definedName name="A.114.7B">#REF!</definedName>
    <definedName name="A.114.7E">#REF!</definedName>
    <definedName name="A.114.8">#REF!</definedName>
    <definedName name="A.114.8a">#REF!</definedName>
    <definedName name="A.114.8aB">#REF!</definedName>
    <definedName name="A.114.8aE">#REF!</definedName>
    <definedName name="A.114.8B">#REF!</definedName>
    <definedName name="A.114.8E">#REF!</definedName>
    <definedName name="A.114.9">#REF!</definedName>
    <definedName name="A.114.9a">#REF!</definedName>
    <definedName name="A.114.9aB">#REF!</definedName>
    <definedName name="A.114.9aE">#REF!</definedName>
    <definedName name="A.114.9B">#REF!</definedName>
    <definedName name="A.114.9E">#REF!</definedName>
    <definedName name="A.114.B">#REF!</definedName>
    <definedName name="a.118a">#REF!</definedName>
    <definedName name="a.122a">#REF!</definedName>
    <definedName name="a.125d">#REF!</definedName>
    <definedName name="a.143a">#REF!</definedName>
    <definedName name="a.143b">#REF!</definedName>
    <definedName name="a.146">#REF!</definedName>
    <definedName name="a.147">#REF!</definedName>
    <definedName name="a.150">#REF!</definedName>
    <definedName name="a.152">#REF!</definedName>
    <definedName name="A.16">#REF!</definedName>
    <definedName name="A.17">#REF!</definedName>
    <definedName name="A.18">#REF!</definedName>
    <definedName name="A.2">#REF!</definedName>
    <definedName name="A.200.01.1">#REF!</definedName>
    <definedName name="A.200.01.2">#REF!</definedName>
    <definedName name="A.200.01.3">#REF!</definedName>
    <definedName name="A.200.01.4">#REF!</definedName>
    <definedName name="A.200.01.5">#REF!</definedName>
    <definedName name="A.200.01.6">#REF!</definedName>
    <definedName name="A.200.02.1">#REF!</definedName>
    <definedName name="A.200.02.2">#REF!</definedName>
    <definedName name="A.200.02.3">#REF!</definedName>
    <definedName name="A.200.02.4">#REF!</definedName>
    <definedName name="A.200.02.5">#REF!</definedName>
    <definedName name="A.3">#REF!</definedName>
    <definedName name="A.300.01.1">#REF!</definedName>
    <definedName name="A.300.01.2">#REF!</definedName>
    <definedName name="A.4">#REF!</definedName>
    <definedName name="A.400.01.1">#REF!</definedName>
    <definedName name="A.400.02.1">#REF!</definedName>
    <definedName name="A.400.02.10">#REF!</definedName>
    <definedName name="A.400.02.11">#REF!</definedName>
    <definedName name="A.400.02.13">#REF!</definedName>
    <definedName name="A.400.02.2">#REF!</definedName>
    <definedName name="A.400.02.3">#REF!</definedName>
    <definedName name="A.400.02.4">#REF!</definedName>
    <definedName name="A.400.02.5">#REF!</definedName>
    <definedName name="A.400.02.6">#REF!</definedName>
    <definedName name="A.400.02.8">#REF!</definedName>
    <definedName name="A.400.02.9">#REF!</definedName>
    <definedName name="A.430.02.2">#REF!</definedName>
    <definedName name="A.430.03.2">#REF!</definedName>
    <definedName name="A.430.03.3">#REF!</definedName>
    <definedName name="A.5">#REF!</definedName>
    <definedName name="A.500.01.1">#REF!</definedName>
    <definedName name="A.500.01.2">#REF!</definedName>
    <definedName name="A.500.01.3">#REF!</definedName>
    <definedName name="A.500.01.4">#REF!</definedName>
    <definedName name="A.500.02.1">#REF!</definedName>
    <definedName name="A.500.02.2">#REF!</definedName>
    <definedName name="A.500.02.3">#REF!</definedName>
    <definedName name="A.500.02.4">#REF!</definedName>
    <definedName name="A.500.03.1">#REF!</definedName>
    <definedName name="A.500.03.2">#REF!</definedName>
    <definedName name="A.500.03.3">#REF!</definedName>
    <definedName name="A.500.03.4">#REF!</definedName>
    <definedName name="A.500.04.1">#REF!</definedName>
    <definedName name="A.500.04.2">#REF!</definedName>
    <definedName name="A.500.05.1">#REF!</definedName>
    <definedName name="A.500.05.2">#REF!</definedName>
    <definedName name="A.500.06.1">#REF!</definedName>
    <definedName name="A.500.06.2">#REF!</definedName>
    <definedName name="A.500.07.1">#REF!</definedName>
    <definedName name="A.500.07.2">#REF!</definedName>
    <definedName name="A.500.08.1">#REF!</definedName>
    <definedName name="A.500.08.2">#REF!</definedName>
    <definedName name="A.500.09.1">#REF!</definedName>
    <definedName name="A.500.09.2">#REF!</definedName>
    <definedName name="A.500.10.1">#REF!</definedName>
    <definedName name="A.500.11.1">#REF!</definedName>
    <definedName name="A.5a">#REF!</definedName>
    <definedName name="A.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_1">#REF!</definedName>
    <definedName name="A.600.01.1">#REF!</definedName>
    <definedName name="A.600.01.2">#REF!</definedName>
    <definedName name="A.600.02.1">#REF!</definedName>
    <definedName name="A.600.02.2">#REF!</definedName>
    <definedName name="A.600.03.1">#REF!</definedName>
    <definedName name="A.600.03.2">#REF!</definedName>
    <definedName name="A.600.04.1">#REF!</definedName>
    <definedName name="A.600.04.2">#REF!</definedName>
    <definedName name="A.7">#REF!</definedName>
    <definedName name="A.700.01.1">#REF!</definedName>
    <definedName name="A.700.01.2">#REF!</definedName>
    <definedName name="A.700.01.3">#REF!</definedName>
    <definedName name="A.700.01.4">#REF!</definedName>
    <definedName name="A.700.02.1">#REF!</definedName>
    <definedName name="A.700.02.2">#REF!</definedName>
    <definedName name="A.700.02.3">#REF!</definedName>
    <definedName name="A.700.03.1">#REF!</definedName>
    <definedName name="A.700.03.2">#REF!</definedName>
    <definedName name="A.700.03.3">#REF!</definedName>
    <definedName name="A.700.03.4">#REF!</definedName>
    <definedName name="A.700.03.5">#REF!</definedName>
    <definedName name="A.830.01.1">#REF!</definedName>
    <definedName name="A.830.01.2">#REF!</definedName>
    <definedName name="A.830.02.2">#REF!</definedName>
    <definedName name="A.830.02.3">#REF!</definedName>
    <definedName name="A.830.02.4">#REF!</definedName>
    <definedName name="A.830.02.5">#REF!</definedName>
    <definedName name="A.830.03.1">#REF!</definedName>
    <definedName name="A.830.03.2">#REF!</definedName>
    <definedName name="A.850.01.1">#REF!</definedName>
    <definedName name="A.850.01.2">#REF!</definedName>
    <definedName name="A.850.02.1">#REF!</definedName>
    <definedName name="A.850.02.2">#REF!</definedName>
    <definedName name="A.850.03.1">#REF!</definedName>
    <definedName name="A.850.03.2">#REF!</definedName>
    <definedName name="A.850.03.3">#REF!</definedName>
    <definedName name="A.850.04.1">#REF!</definedName>
    <definedName name="A.900.01.1">#REF!</definedName>
    <definedName name="A.900.01.2">#REF!</definedName>
    <definedName name="A.900.01.3">#REF!</definedName>
    <definedName name="A.900.01.4">#REF!</definedName>
    <definedName name="A.900.01.5">#REF!</definedName>
    <definedName name="A.900.01.6">#REF!</definedName>
    <definedName name="A.900.01.7">#REF!</definedName>
    <definedName name="A.900.02.1">#REF!</definedName>
    <definedName name="A.900.02.2">#REF!</definedName>
    <definedName name="A.999.01">#REF!</definedName>
    <definedName name="A.999.02">#REF!</definedName>
    <definedName name="A.999.03">#REF!</definedName>
    <definedName name="A.999.04">#REF!</definedName>
    <definedName name="A.999.05">#REF!</definedName>
    <definedName name="A.999.06">#REF!</definedName>
    <definedName name="A.999.07">#REF!</definedName>
    <definedName name="A.999.08">#REF!</definedName>
    <definedName name="A.BJ.01">#REF!</definedName>
    <definedName name="A.BJ.02">#REF!</definedName>
    <definedName name="A.BM.01">#REF!</definedName>
    <definedName name="A.CD.01">#REF!</definedName>
    <definedName name="A.CJ.01">#REF!</definedName>
    <definedName name="A.CJ.02">#REF!</definedName>
    <definedName name="A.G.01.1">#REF!</definedName>
    <definedName name="A.G.01.2">#REF!</definedName>
    <definedName name="A.G.01.3">#REF!</definedName>
    <definedName name="A.G.01.4">#REF!</definedName>
    <definedName name="A.G.02.1">#REF!</definedName>
    <definedName name="A.G.02.2">#REF!</definedName>
    <definedName name="A.G.02.3">#REF!</definedName>
    <definedName name="A.J.01">#REF!</definedName>
    <definedName name="A.J.02">#REF!</definedName>
    <definedName name="A.J.03">#REF!</definedName>
    <definedName name="A.J.04">#REF!</definedName>
    <definedName name="A.J.05">#REF!</definedName>
    <definedName name="A.KJ.01">#REF!</definedName>
    <definedName name="A.KJ.02">#REF!</definedName>
    <definedName name="A.KJ.03">#REF!</definedName>
    <definedName name="A.KS.01">#REF!</definedName>
    <definedName name="A.KS.02">#REF!</definedName>
    <definedName name="A.KS.03">#REF!</definedName>
    <definedName name="A.KS.04">#REF!</definedName>
    <definedName name="A.KS.05">#REF!</definedName>
    <definedName name="A.PB.01">#REF!</definedName>
    <definedName name="A.PDT.01">#REF!</definedName>
    <definedName name="A.PDT.02">#REF!</definedName>
    <definedName name="A.PDT.03">#REF!</definedName>
    <definedName name="A.PDT.04">#REF!</definedName>
    <definedName name="A.PDT.05">#REF!</definedName>
    <definedName name="A.PJ.JL.01">#REF!</definedName>
    <definedName name="A.PJ.JL.02">#REF!</definedName>
    <definedName name="A.PJ.JL.03">#REF!</definedName>
    <definedName name="A.PJ.JL.04">#REF!</definedName>
    <definedName name="A.PJ.JL.05">#REF!</definedName>
    <definedName name="A.PK.01">#REF!</definedName>
    <definedName name="A.PK.02">#REF!</definedName>
    <definedName name="A.PK.03">#REF!</definedName>
    <definedName name="A.PK.04">#REF!</definedName>
    <definedName name="A.PK.05">#REF!</definedName>
    <definedName name="A.PP.01">#REF!</definedName>
    <definedName name="A.PP.02">#REF!</definedName>
    <definedName name="A.PP.03">#REF!</definedName>
    <definedName name="A.PP.04">#REF!</definedName>
    <definedName name="A.PP.05">#REF!</definedName>
    <definedName name="A.PTF.01">#REF!</definedName>
    <definedName name="A.PTF.02">#REF!</definedName>
    <definedName name="A.PTF.03">#REF!</definedName>
    <definedName name="A.PTF.04">#REF!</definedName>
    <definedName name="A.PTF.05">#REF!</definedName>
    <definedName name="A.R.01">#REF!</definedName>
    <definedName name="A.R.02">#REF!</definedName>
    <definedName name="A.R.03">#REF!</definedName>
    <definedName name="A.R.04">#REF!</definedName>
    <definedName name="A.ST.01.2">#REF!</definedName>
    <definedName name="A_1">#REF!</definedName>
    <definedName name="A_1_1">#REF!</definedName>
    <definedName name="a_13">NA()</definedName>
    <definedName name="A_14">#REF!</definedName>
    <definedName name="a_16">#REF!</definedName>
    <definedName name="A_2">#REF!</definedName>
    <definedName name="A_22">#REF!</definedName>
    <definedName name="a_grup_tenaga_bahan_alat">#REF!</definedName>
    <definedName name="a1..2349">#REF!</definedName>
    <definedName name="A10000000000000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0_">"$#REF!.$B$23"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"$#REF!.$B$27"</definedName>
    <definedName name="A50_">"$#REF!.$B$26"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0_">"$#REF!.$B$25"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5_">"$#REF!.$B$24"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5">#REF!</definedName>
    <definedName name="AAA">#REF!</definedName>
    <definedName name="aaaa">#REF!</definedName>
    <definedName name="aaaaa" hidden="1">#N/A</definedName>
    <definedName name="aaaaaa">#REF!</definedName>
    <definedName name="aaaaaaaaaaaa">#REF!</definedName>
    <definedName name="aaaaaaaaaaaaaaaaaa">#REF!</definedName>
    <definedName name="AAC">STOP:STOPE</definedName>
    <definedName name="AAC_10">#REF!:#REF!</definedName>
    <definedName name="AAC_11">#REF!:#REF!</definedName>
    <definedName name="AAC_12">#REF!:#REF!</definedName>
    <definedName name="AAC_14">#REF!:#REF!</definedName>
    <definedName name="AAC_15">#REF!:#REF!</definedName>
    <definedName name="AAC_16">#REF!:#REF!</definedName>
    <definedName name="AAC_17">#REF!:#REF!</definedName>
    <definedName name="AAC_18">#REF!:#REF!</definedName>
    <definedName name="AAC_19">#REF!:#REF!</definedName>
    <definedName name="AAC_20">#REF!:#REF!</definedName>
    <definedName name="AAC_22">#REF!:#REF!</definedName>
    <definedName name="AAC_23">#REF!:#REF!</definedName>
    <definedName name="AAC_24">#REF!:#REF!</definedName>
    <definedName name="AAC_25">#REF!:#REF!</definedName>
    <definedName name="AAC_5">#REF!:#REF!</definedName>
    <definedName name="AAC_6">#REF!:#REF!</definedName>
    <definedName name="AAC_7">#REF!:#REF!</definedName>
    <definedName name="AAC_8">#REF!:#REF!</definedName>
    <definedName name="AAD3_10">#REF!:#REF!</definedName>
    <definedName name="AAD3_11">#REF!:#REF!</definedName>
    <definedName name="AAD3_12">#REF!:#REF!</definedName>
    <definedName name="AAD3_14">#REF!:#REF!</definedName>
    <definedName name="AAD3_15">#REF!:#REF!</definedName>
    <definedName name="AAD3_16">#REF!:#REF!</definedName>
    <definedName name="AAD3_17">#REF!:#REF!</definedName>
    <definedName name="AAD3_18">#REF!:#REF!</definedName>
    <definedName name="AAD3_19">#REF!:#REF!</definedName>
    <definedName name="AAD3_20">#REF!:#REF!</definedName>
    <definedName name="AAD3_22">#REF!:#REF!</definedName>
    <definedName name="AAD3_23">#REF!:#REF!</definedName>
    <definedName name="AAD3_24">#REF!:#REF!</definedName>
    <definedName name="AAD3_25">#REF!:#REF!</definedName>
    <definedName name="AAD3_5">#REF!:#REF!</definedName>
    <definedName name="AAD3_6">#REF!:#REF!</definedName>
    <definedName name="AAD3_7">#REF!:#REF!</definedName>
    <definedName name="AAD3_8">#REF!:#REF!</definedName>
    <definedName name="Aanstampeng">#REF!</definedName>
    <definedName name="Aanstm">#REF!</definedName>
    <definedName name="aass">#REF!</definedName>
    <definedName name="aax">#REF!</definedName>
    <definedName name="ab">#REF!</definedName>
    <definedName name="ab_9">#REF!</definedName>
    <definedName name="abaja">#REF!</definedName>
    <definedName name="abantu">#REF!</definedName>
    <definedName name="abantu_9">#REF!</definedName>
    <definedName name="abatu">#REF!</definedName>
    <definedName name="ABC">#REF!</definedName>
    <definedName name="abcd">#REF!</definedName>
    <definedName name="abch100">#REF!</definedName>
    <definedName name="abe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S">#REF!</definedName>
    <definedName name="Abu">#REF!</definedName>
    <definedName name="abub">#REF!</definedName>
    <definedName name="abub_9">#REF!</definedName>
    <definedName name="Abubt">#REF!</definedName>
    <definedName name="abwl">#REF!</definedName>
    <definedName name="ABX">#REF!</definedName>
    <definedName name="AC">#REF!</definedName>
    <definedName name="ac_9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1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"$#REF!.$B$32"</definedName>
    <definedName name="AC2Pk">#REF!</definedName>
    <definedName name="AC35_">"$#REF!.$B$28"</definedName>
    <definedName name="AC3Pk">#REF!</definedName>
    <definedName name="AC50_">"$#REF!.$B$29"</definedName>
    <definedName name="AC70_">"$#REF!.$B$30"</definedName>
    <definedName name="AC95_">"$#REF!.$B$31"</definedName>
    <definedName name="acc">#REF!</definedName>
    <definedName name="Acces">#REF!</definedName>
    <definedName name="Access">#REF!</definedName>
    <definedName name="ACCPNL">#REF!</definedName>
    <definedName name="acetiline">#REF!</definedName>
    <definedName name="aci">#REF!</definedName>
    <definedName name="aci_6">#REF!</definedName>
    <definedName name="acian">#REF!</definedName>
    <definedName name="Acust">#REF!</definedName>
    <definedName name="ACWM">#REF!</definedName>
    <definedName name="ACX">#REF!</definedName>
    <definedName name="acy">#REF!</definedName>
    <definedName name="ad">#REF!</definedName>
    <definedName name="AD_69">#REF!</definedName>
    <definedName name="ADAC">HAJIME:OWARI</definedName>
    <definedName name="ADAC_10">#REF!:#REF!</definedName>
    <definedName name="ADAC_11">#REF!:#REF!</definedName>
    <definedName name="ADAC_12">#REF!:#REF!</definedName>
    <definedName name="ADAC_14">#REF!:#REF!</definedName>
    <definedName name="ADAC_15">#REF!:#REF!</definedName>
    <definedName name="ADAC_16">#REF!:#REF!</definedName>
    <definedName name="ADAC_17">#REF!:#REF!</definedName>
    <definedName name="ADAC_18">#REF!:#REF!</definedName>
    <definedName name="ADAC_19">#REF!:#REF!</definedName>
    <definedName name="ADAC_20">#REF!:#REF!</definedName>
    <definedName name="ADAC_22">#REF!:#REF!</definedName>
    <definedName name="ADAC_23">#REF!:#REF!</definedName>
    <definedName name="ADAC_24">#REF!:#REF!</definedName>
    <definedName name="ADAC_25">#REF!:#REF!</definedName>
    <definedName name="ADAC_5">#REF!:#REF!</definedName>
    <definedName name="ADAC_6">#REF!:#REF!</definedName>
    <definedName name="ADAC_7">#REF!:#REF!</definedName>
    <definedName name="ADAC_8">#REF!:#REF!</definedName>
    <definedName name="ADD1_10">#REF!:#REF!</definedName>
    <definedName name="ADD1_11">#REF!:#REF!</definedName>
    <definedName name="ADD1_12">#REF!:#REF!</definedName>
    <definedName name="ADD1_14">#REF!:#REF!</definedName>
    <definedName name="ADD1_15">#REF!:#REF!</definedName>
    <definedName name="ADD1_16">#REF!:#REF!</definedName>
    <definedName name="ADD1_17">#REF!:#REF!</definedName>
    <definedName name="ADD1_18">#REF!:#REF!</definedName>
    <definedName name="ADD1_19">#REF!:#REF!</definedName>
    <definedName name="ADD1_20">#REF!:#REF!</definedName>
    <definedName name="ADD1_22">#REF!:#REF!</definedName>
    <definedName name="ADD1_23">#REF!:#REF!</definedName>
    <definedName name="ADD1_24">#REF!:#REF!</definedName>
    <definedName name="ADD1_25">#REF!:#REF!</definedName>
    <definedName name="ADD1_5">#REF!:#REF!</definedName>
    <definedName name="ADD1_6">#REF!:#REF!</definedName>
    <definedName name="ADD1_7">#REF!:#REF!</definedName>
    <definedName name="ADD1_8">#REF!:#REF!</definedName>
    <definedName name="ADD2_10">#REF!:#REF!</definedName>
    <definedName name="ADD2_11">#REF!:#REF!</definedName>
    <definedName name="ADD2_12">#REF!:#REF!</definedName>
    <definedName name="ADD2_14">#REF!:#REF!</definedName>
    <definedName name="ADD2_15">#REF!:#REF!</definedName>
    <definedName name="ADD2_16">#REF!:#REF!</definedName>
    <definedName name="ADD2_17">#REF!:#REF!</definedName>
    <definedName name="ADD2_18">#REF!:#REF!</definedName>
    <definedName name="ADD2_19">#REF!:#REF!</definedName>
    <definedName name="ADD2_20">#REF!:#REF!</definedName>
    <definedName name="ADD2_22">#REF!:#REF!</definedName>
    <definedName name="ADD2_23">#REF!:#REF!</definedName>
    <definedName name="ADD2_24">#REF!:#REF!</definedName>
    <definedName name="ADD2_25">#REF!:#REF!</definedName>
    <definedName name="ADD2_5">#REF!:#REF!</definedName>
    <definedName name="ADD2_6">#REF!:#REF!</definedName>
    <definedName name="ADD2_7">#REF!:#REF!</definedName>
    <definedName name="ADD2_8">#REF!:#REF!</definedName>
    <definedName name="ADD3_10">#REF!:#REF!</definedName>
    <definedName name="ADD3_11">#REF!:#REF!</definedName>
    <definedName name="ADD3_12">#REF!:#REF!</definedName>
    <definedName name="ADD3_14">#REF!:#REF!</definedName>
    <definedName name="ADD3_15">#REF!:#REF!</definedName>
    <definedName name="ADD3_16">#REF!:#REF!</definedName>
    <definedName name="ADD3_17">#REF!:#REF!</definedName>
    <definedName name="ADD3_18">#REF!:#REF!</definedName>
    <definedName name="ADD3_19">#REF!:#REF!</definedName>
    <definedName name="ADD3_20">#REF!:#REF!</definedName>
    <definedName name="ADD3_22">#REF!:#REF!</definedName>
    <definedName name="ADD3_23">#REF!:#REF!</definedName>
    <definedName name="ADD3_24">#REF!:#REF!</definedName>
    <definedName name="ADD3_25">#REF!:#REF!</definedName>
    <definedName name="ADD3_5">#REF!:#REF!</definedName>
    <definedName name="ADD3_6">#REF!:#REF!</definedName>
    <definedName name="ADD3_7">#REF!:#REF!</definedName>
    <definedName name="ADD3_8">#REF!:#REF!</definedName>
    <definedName name="addakwah">#REF!</definedName>
    <definedName name="addfill">#REF!</definedName>
    <definedName name="ADDR">HAJIME:OWARI</definedName>
    <definedName name="ADDR_10">#REF!:#REF!</definedName>
    <definedName name="ADDR_11">#REF!:#REF!</definedName>
    <definedName name="ADDR_12">#REF!:#REF!</definedName>
    <definedName name="ADDR_14">#REF!:#REF!</definedName>
    <definedName name="ADDR_15">#REF!:#REF!</definedName>
    <definedName name="ADDR_16">#REF!:#REF!</definedName>
    <definedName name="ADDR_17">#REF!:#REF!</definedName>
    <definedName name="ADDR_18">#REF!:#REF!</definedName>
    <definedName name="ADDR_19">#REF!:#REF!</definedName>
    <definedName name="ADDR_20">#REF!:#REF!</definedName>
    <definedName name="ADDR_22">#REF!:#REF!</definedName>
    <definedName name="ADDR_23">#REF!:#REF!</definedName>
    <definedName name="ADDR_24">#REF!:#REF!</definedName>
    <definedName name="ADDR_25">#REF!:#REF!</definedName>
    <definedName name="ADDR_5">#REF!:#REF!</definedName>
    <definedName name="ADDR_6">#REF!:#REF!</definedName>
    <definedName name="ADDR_7">#REF!:#REF!</definedName>
    <definedName name="ADDR_8">#REF!:#REF!</definedName>
    <definedName name="ADDR1">#N/A</definedName>
    <definedName name="ADE">#REF!</definedName>
    <definedName name="adf">#REF!</definedName>
    <definedName name="adh" hidden="1">{"'Sheet1'!$A$1"}</definedName>
    <definedName name="adnan">STOP:STOPE</definedName>
    <definedName name="ADSADF">#REF!</definedName>
    <definedName name="adukan">#REF!</definedName>
    <definedName name="adukan1">#REF!</definedName>
    <definedName name="ADX">#REF!</definedName>
    <definedName name="AE">#REF!</definedName>
    <definedName name="AF">#REF!</definedName>
    <definedName name="afa" hidden="1">{"'Sheet1'!$A$1"}</definedName>
    <definedName name="aff">#REF!</definedName>
    <definedName name="Afins">#REF!</definedName>
    <definedName name="Afoil">#REF!</definedName>
    <definedName name="AG">#REF!</definedName>
    <definedName name="ag142X42">NA()</definedName>
    <definedName name="ag267N59">NA()</definedName>
    <definedName name="AGREGATA">#REF!</definedName>
    <definedName name="AGREGATB">#REF!</definedName>
    <definedName name="AGREGATC">#REF!</definedName>
    <definedName name="agus">#REF!</definedName>
    <definedName name="AH">#REF!</definedName>
    <definedName name="ahrd100">#REF!</definedName>
    <definedName name="ahrd150">#REF!</definedName>
    <definedName name="ahs">#REF!</definedName>
    <definedName name="AHS.Rev1">#REF!</definedName>
    <definedName name="AHS.Rev1_6">#REF!</definedName>
    <definedName name="ahs_9">#REF!</definedName>
    <definedName name="ahslist">#REF!</definedName>
    <definedName name="ahu150___0">"$#REF!.$#REF!$#REF!"</definedName>
    <definedName name="ahuf100">#REF!</definedName>
    <definedName name="ahuf150">#REF!</definedName>
    <definedName name="ahuf150ahuf150">#REF!</definedName>
    <definedName name="AI">#REF!</definedName>
    <definedName name="aibon">#REF!</definedName>
    <definedName name="airkerja">#REF!</definedName>
    <definedName name="AJ">#REF!</definedName>
    <definedName name="ajunk" hidden="1">#REF!</definedName>
    <definedName name="AK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100___0">"$#REF!.$W$152"</definedName>
    <definedName name="ako150___0">"$#REF!.$W$151"</definedName>
    <definedName name="ako50___0">"$#REF!.$W$154"</definedName>
    <definedName name="ako80___0">"$#REF!.$W$153"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U">STOP:STOPE</definedName>
    <definedName name="AKU_10">#REF!:#REF!</definedName>
    <definedName name="AKU_11">#REF!:#REF!</definedName>
    <definedName name="AKU_12">#REF!:#REF!</definedName>
    <definedName name="AKU_14">#REF!:#REF!</definedName>
    <definedName name="AKU_15">#REF!:#REF!</definedName>
    <definedName name="AKU_16">#REF!:#REF!</definedName>
    <definedName name="AKU_17">#REF!:#REF!</definedName>
    <definedName name="AKU_18">#REF!:#REF!</definedName>
    <definedName name="AKU_19">#REF!:#REF!</definedName>
    <definedName name="AKU_20">#REF!:#REF!</definedName>
    <definedName name="AKU_22">#REF!:#REF!</definedName>
    <definedName name="AKU_23">#REF!:#REF!</definedName>
    <definedName name="AKU_24">#REF!:#REF!</definedName>
    <definedName name="AKU_25">#REF!:#REF!</definedName>
    <definedName name="AKU_5">#REF!:#REF!</definedName>
    <definedName name="AKU_6">#REF!:#REF!</definedName>
    <definedName name="AKU_7">#REF!:#REF!</definedName>
    <definedName name="AKU_8">#REF!:#REF!</definedName>
    <definedName name="aku150___0">"$#REF!.$W$199"</definedName>
    <definedName name="al">#REF!</definedName>
    <definedName name="al..foil.singl">#REF!</definedName>
    <definedName name="al.clad">#REF!</definedName>
    <definedName name="al.foil.dbel">#REF!</definedName>
    <definedName name="ALAT">#REF!</definedName>
    <definedName name="Alat_Asphalt_Distributor">#REF!</definedName>
    <definedName name="Alat_Dumptruck">#REF!,#REF!,#REF!,#REF!,#REF!,#REF!,#REF!,#REF!</definedName>
    <definedName name="Alat_Loader">#REF!</definedName>
    <definedName name="ALAT1">#REF!</definedName>
    <definedName name="alatbantu">#REF!</definedName>
    <definedName name="ALATUTAMA">#REF!</definedName>
    <definedName name="alb">#REF!</definedName>
    <definedName name="alba">#REF!</definedName>
    <definedName name="alba2.20">#REF!</definedName>
    <definedName name="alban">#REF!</definedName>
    <definedName name="albasia">#REF!</definedName>
    <definedName name="albasia.p">#REF!</definedName>
    <definedName name="ALBASIAH">#REF!</definedName>
    <definedName name="albidayah">#REF!</definedName>
    <definedName name="ald_1">#REF!</definedName>
    <definedName name="ald_10">#REF!</definedName>
    <definedName name="ald_11">#REF!</definedName>
    <definedName name="ald_13">#REF!</definedName>
    <definedName name="ald_14">#REF!</definedName>
    <definedName name="ald_16">#REF!</definedName>
    <definedName name="ald_17">#REF!</definedName>
    <definedName name="ald_3">#REF!</definedName>
    <definedName name="ald_4">#REF!</definedName>
    <definedName name="ald_5">#REF!</definedName>
    <definedName name="ald_6">#REF!</definedName>
    <definedName name="ald_7">#REF!</definedName>
    <definedName name="ald_8">#REF!</definedName>
    <definedName name="ald_9">#REF!</definedName>
    <definedName name="ald_pu">#REF!</definedName>
    <definedName name="ald_pu4">#REF!</definedName>
    <definedName name="ald10_1">#REF!</definedName>
    <definedName name="ald10_2">#REF!</definedName>
    <definedName name="ald10_3">#REF!</definedName>
    <definedName name="ald4_1">#REF!</definedName>
    <definedName name="ald4_2">#REF!</definedName>
    <definedName name="ald4_3">#REF!</definedName>
    <definedName name="ald4_4">#REF!</definedName>
    <definedName name="ald4_5">#REF!</definedName>
    <definedName name="ald4_6">#REF!</definedName>
    <definedName name="ald4_7">#REF!</definedName>
    <definedName name="ald7_1">#REF!</definedName>
    <definedName name="ald7_2">#REF!</definedName>
    <definedName name="ald7_3">#REF!</definedName>
    <definedName name="ald7_4">#REF!</definedName>
    <definedName name="ald7_5">#REF!</definedName>
    <definedName name="ald7_6">#REF!</definedName>
    <definedName name="aldpu_1">#REF!</definedName>
    <definedName name="aldpu_2">#REF!</definedName>
    <definedName name="aldpu_3">#REF!</definedName>
    <definedName name="alfajar">#REF!</definedName>
    <definedName name="alfoil">#REF!</definedName>
    <definedName name="alhidayah">#REF!</definedName>
    <definedName name="alhidayah2">#REF!</definedName>
    <definedName name="alikhlas">#REF!</definedName>
    <definedName name="alkali">#REF!</definedName>
    <definedName name="alkali_6">#REF!</definedName>
    <definedName name="alkalin">#REF!</definedName>
    <definedName name="alkhoer">#REF!</definedName>
    <definedName name="ALL">#REF!</definedName>
    <definedName name="all.1">#REF!</definedName>
    <definedName name="all.2">#REF!</definedName>
    <definedName name="all_s">#REF!</definedName>
    <definedName name="ALM">#REF!</definedName>
    <definedName name="alooo">alooo</definedName>
    <definedName name="altb">#REF!</definedName>
    <definedName name="aluminiumfoil">#REF!</definedName>
    <definedName name="ALVO">#REF!</definedName>
    <definedName name="AM">#REF!</definedName>
    <definedName name="amd">#REF!</definedName>
    <definedName name="AMelt">#REF!</definedName>
    <definedName name="amfm">#REF!</definedName>
    <definedName name="amgrout54">#REF!</definedName>
    <definedName name="AMixP">#REF!</definedName>
    <definedName name="AMP">#REF!</definedName>
    <definedName name="AMPAR23">#REF!</definedName>
    <definedName name="AMPAR57">#REF!</definedName>
    <definedName name="ampel">#REF!</definedName>
    <definedName name="ampel_6">#REF!</definedName>
    <definedName name="ampelas">#REF!</definedName>
    <definedName name="ampelasbesi.kayu">#REF!</definedName>
    <definedName name="ampl">#REF!</definedName>
    <definedName name="AMPLAS">#REF!</definedName>
    <definedName name="amplimatv">#REF!</definedName>
    <definedName name="AN">#REF!</definedName>
    <definedName name="AN.30">#REF!</definedName>
    <definedName name="AN_CK">#REF!</definedName>
    <definedName name="ANADC">#REF!</definedName>
    <definedName name="ANAKMC">#REF!</definedName>
    <definedName name="ANALAN">#REF!</definedName>
    <definedName name="ANALAT">#REF!</definedName>
    <definedName name="Anali">#REF!</definedName>
    <definedName name="ANALIS_RUMPUT">#REF!</definedName>
    <definedName name="ANALISA">#REF!</definedName>
    <definedName name="Analisa1">#REF!</definedName>
    <definedName name="Analisa101A">#REF!</definedName>
    <definedName name="Analisa101B">#REF!</definedName>
    <definedName name="Analisa101C">#REF!</definedName>
    <definedName name="Analisa101D">#REF!</definedName>
    <definedName name="Analisa101E">#REF!</definedName>
    <definedName name="ANALOGO">#REF!</definedName>
    <definedName name="ANASEL">#REF!</definedName>
    <definedName name="anastruktur">#REF!</definedName>
    <definedName name="ANAYOL">#REF!</definedName>
    <definedName name="Anchor_space">#REF!</definedName>
    <definedName name="Anchor_space_2">#REF!</definedName>
    <definedName name="Andesit">#REF!</definedName>
    <definedName name="ANDI1" hidden="1">#REF!</definedName>
    <definedName name="ANDY" hidden="1">#REF!</definedName>
    <definedName name="ANDY2" hidden="1">#REF!</definedName>
    <definedName name="angka">#REF!</definedName>
    <definedName name="ANGKA2">#REF!</definedName>
    <definedName name="Angker_baut">#REF!</definedName>
    <definedName name="Angker_kusen">#REF!</definedName>
    <definedName name="angker12">#REF!</definedName>
    <definedName name="angker16">#REF!</definedName>
    <definedName name="angker19">#REF!</definedName>
    <definedName name="angker32">#REF!</definedName>
    <definedName name="angkur">"'file://SERVER3/har-data/STRUCTURE PRICE OF BQ KOMPAS GRAMEDIA.xls'#$analisa.$#REF!$#REF!"</definedName>
    <definedName name="angkur12">#REF!</definedName>
    <definedName name="angkur16">#REF!</definedName>
    <definedName name="angkur19">#REF!</definedName>
    <definedName name="angkur20">#REF!</definedName>
    <definedName name="ANGKURBAUT19">#REF!</definedName>
    <definedName name="angkut">#REF!</definedName>
    <definedName name="angle">#REF!</definedName>
    <definedName name="Angsana">#REF!</definedName>
    <definedName name="anh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k420b">#REF!</definedName>
    <definedName name="anK424b">#REF!</definedName>
    <definedName name="anK705A">#REF!</definedName>
    <definedName name="anKA18">#REF!</definedName>
    <definedName name="anker">#REF!</definedName>
    <definedName name="ANKG32">#REF!</definedName>
    <definedName name="ANKG50">#REF!</definedName>
    <definedName name="ANKG51">#REF!</definedName>
    <definedName name="ANKK9">#REF!</definedName>
    <definedName name="Ankur">#REF!</definedName>
    <definedName name="ankurd20">#REF!</definedName>
    <definedName name="anl.pnt.prtsi">#REF!</definedName>
    <definedName name="anl_pnt">#REF!</definedName>
    <definedName name="Anlisa">#REF!</definedName>
    <definedName name="anls">#REF!</definedName>
    <definedName name="anou">#REF!</definedName>
    <definedName name="anpolised33x33">#REF!</definedName>
    <definedName name="ant.ryp">#REF!</definedName>
    <definedName name="anti">#REF!</definedName>
    <definedName name="anti1033">#REF!</definedName>
    <definedName name="antirayap">#REF!</definedName>
    <definedName name="AO">#REF!</definedName>
    <definedName name="AP">#REF!</definedName>
    <definedName name="APARTEMEN">HAJIME:OWARI</definedName>
    <definedName name="App">App</definedName>
    <definedName name="aproval">aproval</definedName>
    <definedName name="AQ">#REF!</definedName>
    <definedName name="AR">#REF!</definedName>
    <definedName name="Arainb">#REF!</definedName>
    <definedName name="ArdeK">#REF!</definedName>
    <definedName name="ArdeP">#REF!</definedName>
    <definedName name="area">#REF!</definedName>
    <definedName name="Armature">#REF!</definedName>
    <definedName name="ARS">#REF!</definedName>
    <definedName name="arsitek">#REF!</definedName>
    <definedName name="arsiteksmp">#REF!</definedName>
    <definedName name="arsiteksmu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u">#REF!</definedName>
    <definedName name="as">#REF!</definedName>
    <definedName name="as.1000">#REF!</definedName>
    <definedName name="as.1000_9">#REF!</definedName>
    <definedName name="as.200">#REF!</definedName>
    <definedName name="as.200_9">#REF!</definedName>
    <definedName name="ASAA">#REF!</definedName>
    <definedName name="asad">#REF!</definedName>
    <definedName name="asal">#REF!</definedName>
    <definedName name="ASAS">STOP:STOPE</definedName>
    <definedName name="ASAS_10">#REF!:#REF!</definedName>
    <definedName name="ASAS_11">#REF!:#REF!</definedName>
    <definedName name="ASAS_12">#REF!:#REF!</definedName>
    <definedName name="ASAS_14">#REF!:#REF!</definedName>
    <definedName name="ASAS_15">#REF!:#REF!</definedName>
    <definedName name="ASAS_16">#REF!:#REF!</definedName>
    <definedName name="ASAS_17">#REF!:#REF!</definedName>
    <definedName name="ASAS_18">#REF!:#REF!</definedName>
    <definedName name="ASAS_19">#REF!:#REF!</definedName>
    <definedName name="ASAS_20">#REF!:#REF!</definedName>
    <definedName name="ASAS_22">#REF!:#REF!</definedName>
    <definedName name="ASAS_23">#REF!:#REF!</definedName>
    <definedName name="ASAS_24">#REF!:#REF!</definedName>
    <definedName name="ASAS_25">#REF!:#REF!</definedName>
    <definedName name="ASAS_5">#REF!:#REF!</definedName>
    <definedName name="ASAS_6">#REF!:#REF!</definedName>
    <definedName name="ASAS_7">#REF!:#REF!</definedName>
    <definedName name="ASAS_8">#REF!:#REF!</definedName>
    <definedName name="asb">#REF!</definedName>
    <definedName name="asb_9">#REF!</definedName>
    <definedName name="ASBES">#REF!</definedName>
    <definedName name="Asbes_gelombang">#REF!</definedName>
    <definedName name="asbesemen">#REF!</definedName>
    <definedName name="asbesg">#REF!</definedName>
    <definedName name="asbesgel">#REF!</definedName>
    <definedName name="Asbs4">#REF!</definedName>
    <definedName name="asbul">#REF!</definedName>
    <definedName name="AsClc">#REF!</definedName>
    <definedName name="AsCrh">#REF!</definedName>
    <definedName name="ASD">#REF!</definedName>
    <definedName name="asder">"$#REF!.$GN$35"</definedName>
    <definedName name="asdf" hidden="1">{"'Sheet1'!$A$1"}</definedName>
    <definedName name="ASE" hidden="1">{"'Sheet1'!$A$1"}</definedName>
    <definedName name="AsESO">#REF!</definedName>
    <definedName name="asgel4">#REF!</definedName>
    <definedName name="asgel5">#REF!</definedName>
    <definedName name="aspal">#REF!</definedName>
    <definedName name="Aspalan">#REF!</definedName>
    <definedName name="aspalconcrete">#REF!</definedName>
    <definedName name="aspalemulsi">#REF!</definedName>
    <definedName name="aspalf">#REF!</definedName>
    <definedName name="ASPHALT">#REF!</definedName>
    <definedName name="ASpra">#REF!</definedName>
    <definedName name="ASSASUL">#REF!</definedName>
    <definedName name="Assoperator">#REF!</definedName>
    <definedName name="ASSSSS">"$#REF!.$A$1:$I$41"</definedName>
    <definedName name="ASU">#REF!</definedName>
    <definedName name="ASVS">#REF!</definedName>
    <definedName name="ASVS_10">#REF!:#REF!</definedName>
    <definedName name="ASVS_11">#REF!:#REF!</definedName>
    <definedName name="ASVS_12">#REF!:#REF!</definedName>
    <definedName name="ASVS_14">#REF!:#REF!</definedName>
    <definedName name="ASVS_15">#REF!:#REF!</definedName>
    <definedName name="ASVS_16">#REF!:#REF!</definedName>
    <definedName name="ASVS_17">#REF!:#REF!</definedName>
    <definedName name="ASVS_18">#REF!:#REF!</definedName>
    <definedName name="ASVS_19">#REF!:#REF!</definedName>
    <definedName name="ASVS_20">#REF!:#REF!</definedName>
    <definedName name="ASVS_22">#REF!:#REF!</definedName>
    <definedName name="ASVS_23">#REF!:#REF!</definedName>
    <definedName name="ASVS_24">#REF!:#REF!</definedName>
    <definedName name="ASVS_25">#REF!:#REF!</definedName>
    <definedName name="ASVS_5">#REF!:#REF!</definedName>
    <definedName name="ASVS_6">#REF!:#REF!</definedName>
    <definedName name="ASVS_7">#REF!:#REF!</definedName>
    <definedName name="ASVS_8">#REF!:#REF!</definedName>
    <definedName name="aswer" hidden="1">#REF!</definedName>
    <definedName name="ATAP">#REF!</definedName>
    <definedName name="atap10b130">#REF!</definedName>
    <definedName name="atap10b80">#REF!</definedName>
    <definedName name="atapasbesglbg">#REF!</definedName>
    <definedName name="atapmetal">#REF!</definedName>
    <definedName name="atapzincalume">#REF!</definedName>
    <definedName name="ATB">#REF!</definedName>
    <definedName name="atb_9">#REF!</definedName>
    <definedName name="AtpUn">#REF!</definedName>
    <definedName name="AtpUw">#REF!</definedName>
    <definedName name="ATSAMF">#REF!</definedName>
    <definedName name="AUD">#REF!</definedName>
    <definedName name="auro">#REF!</definedName>
    <definedName name="Aus">#REF!</definedName>
    <definedName name="Avoor_Stenlis_Steel">#REF!</definedName>
    <definedName name="avour.stn">#REF!</definedName>
    <definedName name="awert" hidden="1">{#N/A,#N/A,FALSE,"REK";#N/A,#N/A,FALSE,"rab"}</definedName>
    <definedName name="AWERYGT" hidden="1">{#N/A,#N/A,FALSE,"REK";#N/A,#N/A,FALSE,"rab"}</definedName>
    <definedName name="awet" hidden="1">{#N/A,#N/A,FALSE,"REK-S-TPL";#N/A,#N/A,FALSE,"REK-TPML";#N/A,#N/A,FALSE,"RAB-TEMPEL"}</definedName>
    <definedName name="Awtky">#REF!</definedName>
    <definedName name="ax">#REF!</definedName>
    <definedName name="AY">#REF!</definedName>
    <definedName name="ayak">#REF!</definedName>
    <definedName name="AYI">#REF!</definedName>
    <definedName name="ayub">#N/A</definedName>
    <definedName name="AZ">#REF!</definedName>
    <definedName name="b">#REF!</definedName>
    <definedName name="B.1">#REF!</definedName>
    <definedName name="B.1\STP">#REF!</definedName>
    <definedName name="B.10">#REF!</definedName>
    <definedName name="B.109.">#REF!,#REF!</definedName>
    <definedName name="B.15">#REF!</definedName>
    <definedName name="B.2">#REF!</definedName>
    <definedName name="B.2\STP">#REF!</definedName>
    <definedName name="B.3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">#REF!</definedName>
    <definedName name="B.40">#REF!</definedName>
    <definedName name="B.5">#REF!</definedName>
    <definedName name="B.6">#REF!</definedName>
    <definedName name="b.8">#REF!</definedName>
    <definedName name="b.9">#REF!</definedName>
    <definedName name="B.Aparatur">#REF!</definedName>
    <definedName name="b.belah">#REF!</definedName>
    <definedName name="b.g.ker">#REF!</definedName>
    <definedName name="b.gpb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ARI">#REF!</definedName>
    <definedName name="b.super.5.10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1">#REF!</definedName>
    <definedName name="b_240">NA()</definedName>
    <definedName name="b_280">NA()</definedName>
    <definedName name="b_320">NA()</definedName>
    <definedName name="b_an">#REF!</definedName>
    <definedName name="b_b">#REF!</definedName>
    <definedName name="b_bt">#REF!</definedName>
    <definedName name="b_cd">#REF!</definedName>
    <definedName name="b_ck">#REF!</definedName>
    <definedName name="b_d">#REF!</definedName>
    <definedName name="b_ddg">#REF!</definedName>
    <definedName name="b_ddg1">#REF!</definedName>
    <definedName name="b_ddg2">#REF!</definedName>
    <definedName name="b_k">#REF!</definedName>
    <definedName name="b_k250">#REF!</definedName>
    <definedName name="b_k300">#REF!</definedName>
    <definedName name="b_k350">#REF!</definedName>
    <definedName name="B_KolomBalokPraktis">#REF!</definedName>
    <definedName name="b_l">#REF!</definedName>
    <definedName name="b_lgr">#REF!</definedName>
    <definedName name="b_list">#REF!</definedName>
    <definedName name="b_list1">#REF!</definedName>
    <definedName name="b_ls">#REF!</definedName>
    <definedName name="B_MejaDapur">#REF!</definedName>
    <definedName name="b_p">#REF!</definedName>
    <definedName name="b_p250">#REF!</definedName>
    <definedName name="b_pcap">#REF!</definedName>
    <definedName name="b_pit">#REF!</definedName>
    <definedName name="b_r">#REF!</definedName>
    <definedName name="b_rp">#REF!</definedName>
    <definedName name="b_rp1">#REF!</definedName>
    <definedName name="b_sb">#REF!</definedName>
    <definedName name="b_sb1">#REF!</definedName>
    <definedName name="B_sg">#REF!</definedName>
    <definedName name="b_sllof">#REF!</definedName>
    <definedName name="b_sloof">#REF!</definedName>
    <definedName name="b_slu">#REF!</definedName>
    <definedName name="b_spt">#REF!</definedName>
    <definedName name="b_t250">#REF!</definedName>
    <definedName name="b_tg">#REF!</definedName>
    <definedName name="b_tgg">#REF!</definedName>
    <definedName name="b_tgg1">#REF!</definedName>
    <definedName name="B0">#REF!</definedName>
    <definedName name="B0NFA">NA()</definedName>
    <definedName name="b1.1">#REF!</definedName>
    <definedName name="B1.2">#REF!</definedName>
    <definedName name="b1.3">#REF!</definedName>
    <definedName name="b1.4">#REF!</definedName>
    <definedName name="b1.5">#REF!</definedName>
    <definedName name="b10.1">#REF!</definedName>
    <definedName name="b10.2">#REF!</definedName>
    <definedName name="b10.3">#REF!</definedName>
    <definedName name="b10.4">#REF!</definedName>
    <definedName name="b10.5">#REF!</definedName>
    <definedName name="b1535b145">#REF!</definedName>
    <definedName name="b2.1">#REF!</definedName>
    <definedName name="b2.2">#REF!</definedName>
    <definedName name="b2.3">#REF!</definedName>
    <definedName name="b2.4">#REF!</definedName>
    <definedName name="b2.5">#REF!</definedName>
    <definedName name="b2030b180">#REF!</definedName>
    <definedName name="b2035bs190">#REF!</definedName>
    <definedName name="b2060b180">#REF!</definedName>
    <definedName name="b3.1">#REF!</definedName>
    <definedName name="b3.2">#REF!</definedName>
    <definedName name="b3.3">#REF!</definedName>
    <definedName name="b3.4">#REF!</definedName>
    <definedName name="b3.5">#REF!</definedName>
    <definedName name="b3020b175">#REF!</definedName>
    <definedName name="b3020bs175">#REF!</definedName>
    <definedName name="b3040b160">#REF!</definedName>
    <definedName name="b4.1">#REF!</definedName>
    <definedName name="b4.2">#REF!</definedName>
    <definedName name="b4.3">#REF!</definedName>
    <definedName name="b4.4">#REF!</definedName>
    <definedName name="b4.5">#REF!</definedName>
    <definedName name="b5.1">#REF!</definedName>
    <definedName name="b5.2">#REF!</definedName>
    <definedName name="b5.3">#REF!</definedName>
    <definedName name="b5.4">#REF!</definedName>
    <definedName name="b5.5">#REF!</definedName>
    <definedName name="b6.1">#REF!</definedName>
    <definedName name="b6.2">#REF!</definedName>
    <definedName name="b6.3">#REF!</definedName>
    <definedName name="b6.4">#REF!</definedName>
    <definedName name="b6.5">#REF!</definedName>
    <definedName name="b6.6">#REF!</definedName>
    <definedName name="b6.7">#REF!</definedName>
    <definedName name="b7.1">#REF!</definedName>
    <definedName name="b7.2">#REF!</definedName>
    <definedName name="b7.3">#REF!</definedName>
    <definedName name="b7.4">#REF!</definedName>
    <definedName name="b7.5">#REF!</definedName>
    <definedName name="b7.6">#REF!</definedName>
    <definedName name="b7.7">#REF!</definedName>
    <definedName name="b8.1">#REF!</definedName>
    <definedName name="b8.2">#REF!</definedName>
    <definedName name="b8.3">#REF!</definedName>
    <definedName name="b8.4">#REF!</definedName>
    <definedName name="b8.5">#REF!</definedName>
    <definedName name="B8\trsbalokSMP">#REF!</definedName>
    <definedName name="b9.2">#REF!</definedName>
    <definedName name="b9.3">#REF!</definedName>
    <definedName name="b9.4">#REF!</definedName>
    <definedName name="b9.5">#REF!</definedName>
    <definedName name="B9\trsbalokSMP">#REF!</definedName>
    <definedName name="BA">#REF!</definedName>
    <definedName name="baa">#REF!</definedName>
    <definedName name="babekb">#REF!</definedName>
    <definedName name="babekp">#REF!</definedName>
    <definedName name="baby">#REF!</definedName>
    <definedName name="bac">#REF!</definedName>
    <definedName name="back">#REF!</definedName>
    <definedName name="backhoe">#REF!</definedName>
    <definedName name="Backo">#REF!</definedName>
    <definedName name="backu">#REF!</definedName>
    <definedName name="baf">#REF!</definedName>
    <definedName name="BAGIAN_1">#REF!</definedName>
    <definedName name="bahan">#REF!</definedName>
    <definedName name="BAHAN?">#REF!</definedName>
    <definedName name="BAHAN?_9">#REF!</definedName>
    <definedName name="bahan_8">#REF!</definedName>
    <definedName name="bahan_8_6">#REF!</definedName>
    <definedName name="bahan175">#REF!</definedName>
    <definedName name="bahan225">#REF!</definedName>
    <definedName name="bahanbesi">#REF!</definedName>
    <definedName name="bahanpapan">#REF!</definedName>
    <definedName name="bahanstoot">#REF!</definedName>
    <definedName name="BAHU">#REF!</definedName>
    <definedName name="Baja">#REF!</definedName>
    <definedName name="Baja_C.120.50.20.2_3">#REF!</definedName>
    <definedName name="Baja_Canal_U_50.38.5">#REF!</definedName>
    <definedName name="bajacanal">#REF!</definedName>
    <definedName name="bajacnp">#REF!</definedName>
    <definedName name="bajaiwf">#REF!</definedName>
    <definedName name="bajaringan">#REF!</definedName>
    <definedName name="bajasiku">#REF!</definedName>
    <definedName name="bajaunp">#REF!</definedName>
    <definedName name="bak">#REF!</definedName>
    <definedName name="bak_1">#REF!</definedName>
    <definedName name="bak_10">#REF!</definedName>
    <definedName name="bak_11">#REF!</definedName>
    <definedName name="bak_12">#REF!</definedName>
    <definedName name="bak_2">#REF!</definedName>
    <definedName name="bak_3">#REF!</definedName>
    <definedName name="bak_4">#REF!</definedName>
    <definedName name="bak_5">#REF!</definedName>
    <definedName name="bak_6">#REF!</definedName>
    <definedName name="bak_7">#REF!</definedName>
    <definedName name="bak_8">#REF!</definedName>
    <definedName name="bak_9">#REF!</definedName>
    <definedName name="Bak_air_fiber_glass_1m">#REF!</definedName>
    <definedName name="bak_m">#REF!</definedName>
    <definedName name="bak_m_p">#REF!</definedName>
    <definedName name="bak_m1">#REF!</definedName>
    <definedName name="Bak_mandi_fiber_glass_50x50x50_lapis_porselin">#REF!</definedName>
    <definedName name="bak_p">#REF!</definedName>
    <definedName name="Bak_Septictank">#REF!</definedName>
    <definedName name="bakbunga">#REF!</definedName>
    <definedName name="bakcp">#REF!</definedName>
    <definedName name="bakcuci">#REF!</definedName>
    <definedName name="BakCuciPiring">#REF!</definedName>
    <definedName name="bakkm">#REF!</definedName>
    <definedName name="BakMandiFiber">#REF!</definedName>
    <definedName name="bakrie">#REF!</definedName>
    <definedName name="baksampah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okB9">#REF!</definedName>
    <definedName name="ball">#REF!</definedName>
    <definedName name="balmer">#REF!</definedName>
    <definedName name="balok">#REF!</definedName>
    <definedName name="balok.1">#REF!</definedName>
    <definedName name="balok.2">#REF!</definedName>
    <definedName name="balok.3">#REF!</definedName>
    <definedName name="balok.ges">#REF!</definedName>
    <definedName name="balok\b1.1GWT">#REF!</definedName>
    <definedName name="balok\b1.2GWT">#REF!</definedName>
    <definedName name="balok\b1.3GWT">#REF!</definedName>
    <definedName name="balok\b2.1GWT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25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B1">#REF!</definedName>
    <definedName name="balokB10">#REF!</definedName>
    <definedName name="balokB11">#REF!</definedName>
    <definedName name="balokB2">#REF!</definedName>
    <definedName name="balokB3">#REF!</definedName>
    <definedName name="balokB4">#REF!</definedName>
    <definedName name="balokB5">#REF!</definedName>
    <definedName name="balokB6">#REF!</definedName>
    <definedName name="balokB7">#REF!</definedName>
    <definedName name="balokB8">#REF!</definedName>
    <definedName name="balokbegesting">#REF!</definedName>
    <definedName name="balokklas1">#REF!</definedName>
    <definedName name="balokklas2">#REF!</definedName>
    <definedName name="balokklas3">#REF!</definedName>
    <definedName name="BALOKKLASII">#REF!</definedName>
    <definedName name="balokposjaga">#REF!</definedName>
    <definedName name="bambu">#REF!</definedName>
    <definedName name="Bambujepang">#REF!</definedName>
    <definedName name="Bamer">#REF!</definedName>
    <definedName name="bangciti">NA()</definedName>
    <definedName name="BANK">#REF!</definedName>
    <definedName name="bantu">#REF!</definedName>
    <definedName name="bap">#REF!</definedName>
    <definedName name="bar">#REF!</definedName>
    <definedName name="bardw">#REF!</definedName>
    <definedName name="barisar">#REF!</definedName>
    <definedName name="BARU">#REF!</definedName>
    <definedName name="BAS">#REF!</definedName>
    <definedName name="basaom">#REF!</definedName>
    <definedName name="basdim">#REF!</definedName>
    <definedName name="basdoc">#REF!</definedName>
    <definedName name="base">#REF!</definedName>
    <definedName name="BaseA">#REF!</definedName>
    <definedName name="BaseB">#REF!</definedName>
    <definedName name="BaseC">#REF!</definedName>
    <definedName name="basecorse30">#REF!</definedName>
    <definedName name="BASEPLATE19MM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a">#REF!</definedName>
    <definedName name="bata.1">#REF!</definedName>
    <definedName name="bata_cc">#REF!</definedName>
    <definedName name="Bata1">#REF!</definedName>
    <definedName name="bata12">#REF!</definedName>
    <definedName name="bata1212">#REF!</definedName>
    <definedName name="bata1214">#REF!</definedName>
    <definedName name="bata13">#REF!</definedName>
    <definedName name="Bata14">#REF!</definedName>
    <definedName name="bata15">#REF!</definedName>
    <definedName name="Bata16">#REF!</definedName>
    <definedName name="Bata161bata">#REF!</definedName>
    <definedName name="Bata2">#REF!</definedName>
    <definedName name="bataberongga">#REF!</definedName>
    <definedName name="bataco">#REF!</definedName>
    <definedName name="batacob">#REF!</definedName>
    <definedName name="batacok">#REF!</definedName>
    <definedName name="batahebel">#REF!</definedName>
    <definedName name="Batak">#REF!</definedName>
    <definedName name="batak1">#REF!</definedName>
    <definedName name="batak2">#REF!</definedName>
    <definedName name="BataKerawang">#REF!</definedName>
    <definedName name="batako">#REF!</definedName>
    <definedName name="batamerah">#REF!</definedName>
    <definedName name="BatAp">#REF!</definedName>
    <definedName name="BATBEL">#REF!</definedName>
    <definedName name="Batih">#REF!</definedName>
    <definedName name="batkal">#REF!</definedName>
    <definedName name="Batob">#REF!</definedName>
    <definedName name="Batok">#REF!</definedName>
    <definedName name="batpec1">#REF!</definedName>
    <definedName name="batpec2">#REF!</definedName>
    <definedName name="batpec3">#REF!</definedName>
    <definedName name="Batput">#REF!</definedName>
    <definedName name="Battb">#REF!</definedName>
    <definedName name="batu">#REF!</definedName>
    <definedName name="batu.23">#REF!</definedName>
    <definedName name="batu.belah">#REF!</definedName>
    <definedName name="batu.jogja">#REF!</definedName>
    <definedName name="batu.p">#REF!</definedName>
    <definedName name="batu.pal">#REF!</definedName>
    <definedName name="batu.x">#REF!</definedName>
    <definedName name="Batu_kali">#REF!</definedName>
    <definedName name="batu1">#REF!</definedName>
    <definedName name="batu2">#REF!</definedName>
    <definedName name="batu3">#REF!</definedName>
    <definedName name="batubat">#REF!</definedName>
    <definedName name="batubata">#REF!</definedName>
    <definedName name="batubel">#REF!</definedName>
    <definedName name="Batubelah">#REF!</definedName>
    <definedName name="batucandi">#REF!</definedName>
    <definedName name="batugranitalam">#REF!</definedName>
    <definedName name="batukali">#REF!</definedName>
    <definedName name="batukrop">#REF!</definedName>
    <definedName name="BATUPECAH">#REF!</definedName>
    <definedName name="bau">#REF!</definedName>
    <definedName name="BAUT">#REF!</definedName>
    <definedName name="baut.p">#REF!</definedName>
    <definedName name="baut12">#REF!</definedName>
    <definedName name="baut16">#REF!</definedName>
    <definedName name="baut19">#REF!</definedName>
    <definedName name="BAX">#REF!</definedName>
    <definedName name="BB">#REF!</definedName>
    <definedName name="bb.05">#REF!</definedName>
    <definedName name="bb.05_9">#REF!</definedName>
    <definedName name="bb.1">#REF!</definedName>
    <definedName name="bb.1_9">#REF!</definedName>
    <definedName name="bb.10">#REF!</definedName>
    <definedName name="bb.10_9">#REF!</definedName>
    <definedName name="bb.2">#REF!</definedName>
    <definedName name="bb.2_9">#REF!</definedName>
    <definedName name="bb.3">#REF!</definedName>
    <definedName name="bb.3_9">#REF!</definedName>
    <definedName name="bb.5">#REF!</definedName>
    <definedName name="bb.5_9">#REF!</definedName>
    <definedName name="bb.7">#REF!</definedName>
    <definedName name="bb.7_9">#REF!</definedName>
    <definedName name="bb.p">#REF!</definedName>
    <definedName name="bb.u">#REF!</definedName>
    <definedName name="bb_0">#REF!</definedName>
    <definedName name="BB_05">#REF!</definedName>
    <definedName name="bb_9">#REF!</definedName>
    <definedName name="bbasbes">#REF!</definedName>
    <definedName name="BBASE">#REF!</definedName>
    <definedName name="bbasgel">#REF!</definedName>
    <definedName name="bbata">#REF!</definedName>
    <definedName name="bbata_6">#REF!</definedName>
    <definedName name="BBB" hidden="1">{#N/A,#N/A,FALSE,"REK";#N/A,#N/A,FALSE,"Bq-ARS"}</definedName>
    <definedName name="bbbbb">#REF!</definedName>
    <definedName name="BBET">#REF!</definedName>
    <definedName name="bbgsgt">#REF!</definedName>
    <definedName name="bbkr">#REF!</definedName>
    <definedName name="bbl">#REF!</definedName>
    <definedName name="bblh">#REF!</definedName>
    <definedName name="BBM">HAJIME:OWARI</definedName>
    <definedName name="bbsplt">#REF!</definedName>
    <definedName name="BBX">#REF!</definedName>
    <definedName name="bc">#REF!</definedName>
    <definedName name="bc_1060">#REF!</definedName>
    <definedName name="bc_ks">#REF!</definedName>
    <definedName name="bcor">#REF!</definedName>
    <definedName name="bcv125___0">"$#REF!.$N$331"</definedName>
    <definedName name="bcv150___0">"$#REF!.$N$470"</definedName>
    <definedName name="BCX">#REF!</definedName>
    <definedName name="bdh" hidden="1">{"'Sheet1'!$A$1"}</definedName>
    <definedName name="bdht15nc">NA()</definedName>
    <definedName name="bdht15vl">NA()</definedName>
    <definedName name="bdht25nc">NA()</definedName>
    <definedName name="bdht25vl">NA()</definedName>
    <definedName name="bdht325nc">NA()</definedName>
    <definedName name="bdht325vl">NA()</definedName>
    <definedName name="bdia6">#REF!</definedName>
    <definedName name="bear32">"$#REF!.$N$106"</definedName>
    <definedName name="beart2212">"$#REF!.$O$104"</definedName>
    <definedName name="BEBE">#REF!</definedName>
    <definedName name="bebre">#REF!</definedName>
    <definedName name="BEERLAKU">#REF!</definedName>
    <definedName name="BEERLAKU_9">#REF!</definedName>
    <definedName name="BEGISTING">#REF!</definedName>
    <definedName name="begkolombulat">#REF!</definedName>
    <definedName name="beinraad">#REF!</definedName>
    <definedName name="bek.ap">#REF!</definedName>
    <definedName name="bek.ap_9">#REF!</definedName>
    <definedName name="bek_b">#REF!</definedName>
    <definedName name="bek_btc">#REF!</definedName>
    <definedName name="bek_d">#REF!</definedName>
    <definedName name="bek_f">#REF!</definedName>
    <definedName name="bek_k">#REF!</definedName>
    <definedName name="bek_l">#REF!</definedName>
    <definedName name="bek_lp">#REF!</definedName>
    <definedName name="bek_p">#REF!</definedName>
    <definedName name="bek_pc">#REF!</definedName>
    <definedName name="bek_pl">#REF!</definedName>
    <definedName name="bek_r">#REF!</definedName>
    <definedName name="bek_sd">#REF!</definedName>
    <definedName name="bek_t">#REF!</definedName>
    <definedName name="bek_tp">#REF!</definedName>
    <definedName name="BEKAS">#REF!</definedName>
    <definedName name="bekbalok">#REF!</definedName>
    <definedName name="bekddng">#REF!</definedName>
    <definedName name="bekism">#REF!</definedName>
    <definedName name="bekisp">#REF!</definedName>
    <definedName name="bekist12">#REF!</definedName>
    <definedName name="bekist9">#REF!</definedName>
    <definedName name="bekistb">#REF!</definedName>
    <definedName name="bekisting" hidden="1">#REF!</definedName>
    <definedName name="bekistingB.2">#REF!</definedName>
    <definedName name="bekistingB1.1">#REF!</definedName>
    <definedName name="bekistingB1.2">#REF!</definedName>
    <definedName name="bekistingB1.3">#REF!</definedName>
    <definedName name="bekistingB1.4">#REF!</definedName>
    <definedName name="bekistingB1.5">#REF!</definedName>
    <definedName name="bekistingB10.1">#REF!</definedName>
    <definedName name="bekistingB10.2">#REF!</definedName>
    <definedName name="bekistingB10.3">#REF!</definedName>
    <definedName name="bekistingB10.4">#REF!</definedName>
    <definedName name="bekistingB10.5">#REF!</definedName>
    <definedName name="bekistingB2.1">#REF!</definedName>
    <definedName name="bekistingB2.2">#REF!</definedName>
    <definedName name="bekistingB2.3">#REF!</definedName>
    <definedName name="bekistingB2.4">#REF!</definedName>
    <definedName name="bekistingB2.5">#REF!</definedName>
    <definedName name="bekistingB3.1">#REF!</definedName>
    <definedName name="bekistingB3.2">#REF!</definedName>
    <definedName name="bekistingB3.3">#REF!</definedName>
    <definedName name="bekistingB3.4">#REF!</definedName>
    <definedName name="bekistingB3.5">#REF!</definedName>
    <definedName name="bekistingB4.1">#REF!</definedName>
    <definedName name="bekistingB4.2">#REF!</definedName>
    <definedName name="bekistingB4.3">#REF!</definedName>
    <definedName name="bekistingB4.4">#REF!</definedName>
    <definedName name="bekistingB4.5">#REF!</definedName>
    <definedName name="bekistingB5.1">#REF!</definedName>
    <definedName name="bekistingB5.2">#REF!</definedName>
    <definedName name="bekistingB5.3">#REF!</definedName>
    <definedName name="bekistingB5.4">#REF!</definedName>
    <definedName name="bekistingB5.5">#REF!</definedName>
    <definedName name="bekistingB6.1">#REF!</definedName>
    <definedName name="bekistingB6.2">#REF!</definedName>
    <definedName name="bekistingB6.3">#REF!</definedName>
    <definedName name="bekistingB6.4">#REF!</definedName>
    <definedName name="bekistingB6.5">#REF!</definedName>
    <definedName name="bekistingB6.6">#REF!</definedName>
    <definedName name="bekistingB6.7">#REF!</definedName>
    <definedName name="bekistingB7.1">#REF!</definedName>
    <definedName name="bekistingB7.2">#REF!</definedName>
    <definedName name="bekistingB7.3">#REF!</definedName>
    <definedName name="bekistingB7.4">#REF!</definedName>
    <definedName name="bekistingB7.5">#REF!</definedName>
    <definedName name="bekistingB7.6">#REF!</definedName>
    <definedName name="bekistingB7.7">#REF!</definedName>
    <definedName name="bekistingB8.1">#REF!</definedName>
    <definedName name="bekistingB8.2">#REF!</definedName>
    <definedName name="bekistingB8.3">#REF!</definedName>
    <definedName name="bekistingB8.4">#REF!</definedName>
    <definedName name="bekistingB8.5">#REF!</definedName>
    <definedName name="bekistingB9.1">#REF!</definedName>
    <definedName name="bekistingB9.2">#REF!</definedName>
    <definedName name="bekistingB9.3">#REF!</definedName>
    <definedName name="bekistingB9.4">#REF!</definedName>
    <definedName name="bekistingB9.5">#REF!</definedName>
    <definedName name="bekistingBR.1">#REF!</definedName>
    <definedName name="bekistingBTG.1">#REF!</definedName>
    <definedName name="bekistingBTG.1A">#REF!</definedName>
    <definedName name="bekistingBTG.2">#REF!</definedName>
    <definedName name="bekistingBTG.2A">#REF!</definedName>
    <definedName name="bekistingBTG.2B">#REF!</definedName>
    <definedName name="bekistingBTG.3">#REF!</definedName>
    <definedName name="bekistingGS">#REF!</definedName>
    <definedName name="bekistingK1.lt.1">#REF!</definedName>
    <definedName name="bekistingK1.lt.2">#REF!</definedName>
    <definedName name="bekistingK1.lt.dsr">#REF!</definedName>
    <definedName name="bekistingK10.lt.1">#REF!</definedName>
    <definedName name="bekistingK10.lt.2">#REF!</definedName>
    <definedName name="bekistingK10.lt.3">#REF!</definedName>
    <definedName name="bekistingK10.lt.dsr">#REF!</definedName>
    <definedName name="bekistingK2.lt.1">#REF!</definedName>
    <definedName name="bekistingK2.lt.2">#REF!</definedName>
    <definedName name="bekistingK2.lt.3">#REF!</definedName>
    <definedName name="bekistingK2.lt.dsr">#REF!</definedName>
    <definedName name="bekistingK3.lt.1">#REF!</definedName>
    <definedName name="bekistingK3.lt.2">#REF!</definedName>
    <definedName name="bekistingK3.lt.3">#REF!</definedName>
    <definedName name="bekistingK3.lt.dsr">#REF!</definedName>
    <definedName name="bekistingK4.lt.1">#REF!</definedName>
    <definedName name="bekistingK4.lt.2">#REF!</definedName>
    <definedName name="bekistingK4.lt.3">#REF!</definedName>
    <definedName name="bekistingK4.lt.dsr">#REF!</definedName>
    <definedName name="bekistingK5.lt.1">#REF!</definedName>
    <definedName name="bekistingK5.lt.2">#REF!</definedName>
    <definedName name="bekistingK5.lt.3">#REF!</definedName>
    <definedName name="bekistingK5.lt.dsr">#REF!</definedName>
    <definedName name="bekistingK6.lt.1">#REF!</definedName>
    <definedName name="bekistingK6.lt.2">#REF!</definedName>
    <definedName name="bekistingK6.lt.3">#REF!</definedName>
    <definedName name="bekistingK6.lt.dsr">#REF!</definedName>
    <definedName name="bekistingK7.lt.1">#REF!</definedName>
    <definedName name="bekistingK7.lt.2">#REF!</definedName>
    <definedName name="bekistingK7.lt.3">#REF!</definedName>
    <definedName name="bekistingK7.lt.dsr">#REF!</definedName>
    <definedName name="bekistingK8.lt.1">#REF!</definedName>
    <definedName name="bekistingK8.lt.2">#REF!</definedName>
    <definedName name="bekistingK8.lt.3">#REF!</definedName>
    <definedName name="bekistingK8.lt.dsr">#REF!</definedName>
    <definedName name="bekistingK9.lt.1">#REF!</definedName>
    <definedName name="bekistingK9.lt.2">#REF!</definedName>
    <definedName name="bekistingK9.lt.3">#REF!</definedName>
    <definedName name="bekistingK9.lt.dsr">#REF!</definedName>
    <definedName name="bekistingKL">#REF!</definedName>
    <definedName name="bekistingKP">#REF!</definedName>
    <definedName name="bekistingKR1">#REF!</definedName>
    <definedName name="bekistingKTG1">#REF!</definedName>
    <definedName name="bekistingKTG1A">#REF!</definedName>
    <definedName name="bekistingKTG2">#REF!</definedName>
    <definedName name="bekistingmejabeton">#REF!</definedName>
    <definedName name="bekistingP.1">#REF!</definedName>
    <definedName name="bekistingP.2B">#REF!</definedName>
    <definedName name="bekistingP.3A">#REF!</definedName>
    <definedName name="bekistingP.3B">#REF!</definedName>
    <definedName name="bekistingP.4A">#REF!</definedName>
    <definedName name="bekistingP.TG.1">#REF!</definedName>
    <definedName name="bekistingP.TG.2">#REF!</definedName>
    <definedName name="bekistingS1">#REF!</definedName>
    <definedName name="bekistingS2">#REF!</definedName>
    <definedName name="bekistingS3">#REF!</definedName>
    <definedName name="bekistingS4">#REF!</definedName>
    <definedName name="bekistingS5">#REF!</definedName>
    <definedName name="bekistingS6">#REF!</definedName>
    <definedName name="bekistingS7">#REF!</definedName>
    <definedName name="bekistingtangga1">#REF!</definedName>
    <definedName name="bekistingtangga2">#REF!</definedName>
    <definedName name="bekistingtangga3">#REF!</definedName>
    <definedName name="bekistingTB.1">#REF!</definedName>
    <definedName name="bekistingTB.2">#REF!</definedName>
    <definedName name="bekistingTB.3">#REF!</definedName>
    <definedName name="bekistingTB.4">#REF!</definedName>
    <definedName name="bekistingTB.5">#REF!</definedName>
    <definedName name="bekistingTB.6">#REF!</definedName>
    <definedName name="bekistngB8.2">#REF!</definedName>
    <definedName name="bekistngK1.lt.3">#REF!</definedName>
    <definedName name="bekistp">#REF!</definedName>
    <definedName name="beklant">#REF!</definedName>
    <definedName name="Beklantai">#REF!</definedName>
    <definedName name="bekpan">#REF!</definedName>
    <definedName name="bel">#REF!</definedName>
    <definedName name="BEN">#REF!</definedName>
    <definedName name="Benang">#REF!</definedName>
    <definedName name="benco" hidden="1">{#N/A,#N/A,FALSE,"REK-S-TPL";#N/A,#N/A,FALSE,"REK-TPML";#N/A,#N/A,FALSE,"RAB-TEMPEL"}</definedName>
    <definedName name="Bender">#REF!</definedName>
    <definedName name="bendrat">"$#REF!.$H$110"</definedName>
    <definedName name="bensin">#REF!</definedName>
    <definedName name="bensin_9">#REF!</definedName>
    <definedName name="bento" hidden="1">{#N/A,#N/A,FALSE,"REK";#N/A,#N/A,FALSE,"rab"}</definedName>
    <definedName name="berat1012">#REF!</definedName>
    <definedName name="berat1212">#REF!</definedName>
    <definedName name="berat1312">#REF!</definedName>
    <definedName name="berat1612">#REF!</definedName>
    <definedName name="berat1912">#REF!</definedName>
    <definedName name="Berat22">#REF!</definedName>
    <definedName name="berat2212">#REF!</definedName>
    <definedName name="berat2512">#REF!</definedName>
    <definedName name="berat3212">"$#REF!.$O$106"</definedName>
    <definedName name="berat612">#REF!</definedName>
    <definedName name="berat812">#REF!</definedName>
    <definedName name="berat912">#REF!</definedName>
    <definedName name="beratbesiS1">#REF!</definedName>
    <definedName name="beratsplh12">"$#REF!.$V$11"</definedName>
    <definedName name="bersih">#REF!</definedName>
    <definedName name="BES">#REF!</definedName>
    <definedName name="BES_6">#REF!</definedName>
    <definedName name="bes24_6">#REF!</definedName>
    <definedName name="bes39_6">#REF!</definedName>
    <definedName name="besbet">#REF!</definedName>
    <definedName name="Besi">#REF!</definedName>
    <definedName name="Besi.8">#REF!</definedName>
    <definedName name="besi.polos">#REF!</definedName>
    <definedName name="Besi.S1">#REF!</definedName>
    <definedName name="besi.ulir">#REF!</definedName>
    <definedName name="Besi_pelat">#REF!</definedName>
    <definedName name="Besi_plat_untuk_pintu_besi">#REF!</definedName>
    <definedName name="Besi_profil">#REF!</definedName>
    <definedName name="Besi_profile___besi_Canal">#REF!</definedName>
    <definedName name="Besi_profile_WF">#REF!</definedName>
    <definedName name="Besi_Siku">#REF!</definedName>
    <definedName name="Besi_siku_50x50x5__P_6M">#REF!</definedName>
    <definedName name="besi10.sii">#REF!</definedName>
    <definedName name="Besi12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">#REF!</definedName>
    <definedName name="besi19u">#REF!</definedName>
    <definedName name="besi24">#REF!</definedName>
    <definedName name="besi39">#REF!</definedName>
    <definedName name="Besi40">#REF!</definedName>
    <definedName name="besi6.sii">#REF!</definedName>
    <definedName name="besi6sii">#REF!</definedName>
    <definedName name="besi8sii">#REF!</definedName>
    <definedName name="BesiB1.1">#REF!</definedName>
    <definedName name="BesiB1.2">#REF!</definedName>
    <definedName name="BesiB1.3">#REF!</definedName>
    <definedName name="BesiB1.4">#REF!</definedName>
    <definedName name="BesiB1.5">#REF!</definedName>
    <definedName name="BesiB10.1">#REF!</definedName>
    <definedName name="BesiB10.2">#REF!</definedName>
    <definedName name="BesiB10.3">#REF!</definedName>
    <definedName name="BesiB10.4">#REF!</definedName>
    <definedName name="BesiB10.5">#REF!</definedName>
    <definedName name="BesiB2.1">#REF!</definedName>
    <definedName name="BesiB2.2">#REF!</definedName>
    <definedName name="BesiB2.3">#REF!</definedName>
    <definedName name="BesiB2.4">#REF!</definedName>
    <definedName name="BesiB2.5">#REF!</definedName>
    <definedName name="BesiB3.1">#REF!</definedName>
    <definedName name="BesiB3.2">#REF!</definedName>
    <definedName name="BesiB3.3">#REF!</definedName>
    <definedName name="BesiB3.4">#REF!</definedName>
    <definedName name="BesiB3.5">#REF!</definedName>
    <definedName name="BesiB4.1">#REF!</definedName>
    <definedName name="BesiB4.2">#REF!</definedName>
    <definedName name="BesiB4.3">#REF!</definedName>
    <definedName name="BesiB4.4">#REF!</definedName>
    <definedName name="BesiB4.5">#REF!</definedName>
    <definedName name="BesiB5.1">#REF!</definedName>
    <definedName name="BesiB5.2">#REF!</definedName>
    <definedName name="BesiB5.3">#REF!</definedName>
    <definedName name="BesiB5.4">#REF!</definedName>
    <definedName name="BesiB5.5">#REF!</definedName>
    <definedName name="BesiB6.1">#REF!</definedName>
    <definedName name="BesiB6.2">#REF!</definedName>
    <definedName name="BesiB6.3">#REF!</definedName>
    <definedName name="BesiB6.4">#REF!</definedName>
    <definedName name="BesiB6.5">#REF!</definedName>
    <definedName name="BesiB6.6">#REF!</definedName>
    <definedName name="BesiB6.7">#REF!</definedName>
    <definedName name="BesiB7.1">#REF!</definedName>
    <definedName name="BesiB7.2">#REF!</definedName>
    <definedName name="BesiB7.3">#REF!</definedName>
    <definedName name="BesiB7.4">#REF!</definedName>
    <definedName name="BesiB7.5">#REF!</definedName>
    <definedName name="BesiB7.6">#REF!</definedName>
    <definedName name="BesiB7.7">#REF!</definedName>
    <definedName name="BesiB8.1">#REF!</definedName>
    <definedName name="BesiB8.2">#REF!</definedName>
    <definedName name="BesiB8.3">#REF!</definedName>
    <definedName name="BesiB8.4">#REF!</definedName>
    <definedName name="BesiB8.5">#REF!</definedName>
    <definedName name="BesiB9.1">#REF!</definedName>
    <definedName name="BesiB9.2">#REF!</definedName>
    <definedName name="BesiB9.3">#REF!</definedName>
    <definedName name="BesiB9.4">#REF!</definedName>
    <definedName name="BesiB9.5">#REF!</definedName>
    <definedName name="BESIBET">#REF!</definedName>
    <definedName name="Besibeton">#REF!</definedName>
    <definedName name="BesiBR.1">#REF!</definedName>
    <definedName name="BesiBTG.1">#REF!</definedName>
    <definedName name="BesiBTG.1A">#REF!</definedName>
    <definedName name="BesiBTG.2">#REF!</definedName>
    <definedName name="BesiBTG.2A">#REF!</definedName>
    <definedName name="BesiBTG.2B">#REF!</definedName>
    <definedName name="BesiBTG.3">#REF!</definedName>
    <definedName name="besibtn">#REF!</definedName>
    <definedName name="besibton">#REF!</definedName>
    <definedName name="besiGS">#REF!</definedName>
    <definedName name="besiinp">#REF!</definedName>
    <definedName name="BesiK1">#REF!</definedName>
    <definedName name="BesiK1.lt.1">#REF!</definedName>
    <definedName name="BesiK1.lt.2">#REF!</definedName>
    <definedName name="BesiK1.lt.3">#REF!</definedName>
    <definedName name="BesiK10">#REF!</definedName>
    <definedName name="BesiK10.lt.1">#REF!</definedName>
    <definedName name="BesiK10.lt.2">#REF!</definedName>
    <definedName name="BesiK10.lt3">#REF!</definedName>
    <definedName name="BesiK2">#REF!</definedName>
    <definedName name="BesiK2.lt.1">#REF!</definedName>
    <definedName name="BesiK2.lt.2">#REF!</definedName>
    <definedName name="besiK2.lt.3">#REF!</definedName>
    <definedName name="BesiK3">#REF!</definedName>
    <definedName name="BesiK3.lt.1">#REF!</definedName>
    <definedName name="BesiK3.lt.2">#REF!</definedName>
    <definedName name="BesiK3.lt.3">#REF!</definedName>
    <definedName name="BesiK4">#REF!</definedName>
    <definedName name="BesiK4.lt.1">#REF!</definedName>
    <definedName name="BesiK4.lt.2">#REF!</definedName>
    <definedName name="BesiK4.lt.3">#REF!</definedName>
    <definedName name="BesiK5">#REF!</definedName>
    <definedName name="BesiK5.lt.1">#REF!</definedName>
    <definedName name="BesiK5.lt.2">#REF!</definedName>
    <definedName name="BesiK5.lt.3">#REF!</definedName>
    <definedName name="BesiK6">#REF!</definedName>
    <definedName name="BesiK6.lt.1">#REF!</definedName>
    <definedName name="besiK6.lt.2">#REF!</definedName>
    <definedName name="BesiK6.lt.3">#REF!</definedName>
    <definedName name="BesiK7">#REF!</definedName>
    <definedName name="BesiK7.lt.1">#REF!</definedName>
    <definedName name="BesiK7.lt.2">#REF!</definedName>
    <definedName name="BesiK7.lt.3">#REF!</definedName>
    <definedName name="BesiK8">#REF!</definedName>
    <definedName name="BesiK8.lt.1">#REF!</definedName>
    <definedName name="BesiK8.lt.2">#REF!</definedName>
    <definedName name="BesiK8.lt.3">#REF!</definedName>
    <definedName name="BesiK9">#REF!</definedName>
    <definedName name="BesiK9.lt.1">#REF!</definedName>
    <definedName name="BesiK9.lt.2">#REF!</definedName>
    <definedName name="BesiK9.lt.3">#REF!</definedName>
    <definedName name="BesiKP">#REF!</definedName>
    <definedName name="BesiKR1">#REF!</definedName>
    <definedName name="BesiKTG1">#REF!</definedName>
    <definedName name="BesiKTG1A">#REF!</definedName>
    <definedName name="BesiKTG2">#REF!</definedName>
    <definedName name="besimejabeton">#REF!</definedName>
    <definedName name="besiP.1">#REF!</definedName>
    <definedName name="besiP.2B">#REF!</definedName>
    <definedName name="besiP.3A">#REF!</definedName>
    <definedName name="besiP.3B">#REF!</definedName>
    <definedName name="besiP.4A">#REF!</definedName>
    <definedName name="besiP.TG.1">#REF!</definedName>
    <definedName name="besiP.TG.2">#REF!</definedName>
    <definedName name="besiplat">#REF!</definedName>
    <definedName name="besipolos">#REF!</definedName>
    <definedName name="BesiPR.1">#REF!</definedName>
    <definedName name="BesiS1">#REF!</definedName>
    <definedName name="BesiS2">#REF!</definedName>
    <definedName name="BesiS3">#REF!</definedName>
    <definedName name="BesiS4">#REF!</definedName>
    <definedName name="BesiS5">#REF!</definedName>
    <definedName name="BesiS6">#REF!</definedName>
    <definedName name="BesiS7">#REF!</definedName>
    <definedName name="BesiS8">#REF!</definedName>
    <definedName name="besisiku">#REF!</definedName>
    <definedName name="Besitangga1">#REF!</definedName>
    <definedName name="Besitangga2">#REF!</definedName>
    <definedName name="Besitangga3">#REF!</definedName>
    <definedName name="BesiTB.1">#REF!</definedName>
    <definedName name="BesiTB.2">#REF!</definedName>
    <definedName name="BesiTB.3">#REF!</definedName>
    <definedName name="BesiTB.4">#REF!</definedName>
    <definedName name="BesiTB.5">#REF!</definedName>
    <definedName name="BesiTB.6">#REF!</definedName>
    <definedName name="besiTypeS1">#REF!</definedName>
    <definedName name="BesiU24">#REF!</definedName>
    <definedName name="BesiU39">#REF!</definedName>
    <definedName name="besiulir">#REF!</definedName>
    <definedName name="besiwf">#REF!</definedName>
    <definedName name="bet">#REF!</definedName>
    <definedName name="BET_6">#REF!</definedName>
    <definedName name="betok350">#REF!</definedName>
    <definedName name="BETON">"$#REF!.$F$56"</definedName>
    <definedName name="beton.225m">#REF!</definedName>
    <definedName name="beton.tumbuk">#REF!</definedName>
    <definedName name="BETON_BESI">#REF!</definedName>
    <definedName name="beton1">#REF!</definedName>
    <definedName name="beton125">#REF!</definedName>
    <definedName name="beton175m">#REF!</definedName>
    <definedName name="beton175R">#REF!</definedName>
    <definedName name="beton2">#REF!</definedName>
    <definedName name="Beton225">#REF!</definedName>
    <definedName name="beton225r">#REF!</definedName>
    <definedName name="beton250">#REF!</definedName>
    <definedName name="beton250m">#REF!</definedName>
    <definedName name="beton250nf">#REF!</definedName>
    <definedName name="beton250r">#REF!</definedName>
    <definedName name="beton3">#REF!</definedName>
    <definedName name="Beton300">#REF!</definedName>
    <definedName name="Beton400">#REF!</definedName>
    <definedName name="BetonBO">#REF!</definedName>
    <definedName name="betoncor">#REF!</definedName>
    <definedName name="betonfc25">#REF!</definedName>
    <definedName name="betonfc35">#REF!</definedName>
    <definedName name="betonfc40">#REF!</definedName>
    <definedName name="betonfc50">#REF!</definedName>
    <definedName name="betonk.350">#REF!</definedName>
    <definedName name="betonk125">#REF!</definedName>
    <definedName name="betonk175">#REF!</definedName>
    <definedName name="betonk225">#REF!</definedName>
    <definedName name="betonk250">#REF!</definedName>
    <definedName name="betonk300">#REF!</definedName>
    <definedName name="betonk350">#REF!</definedName>
    <definedName name="betonlt">#REF!</definedName>
    <definedName name="Betontril">#REF!</definedName>
    <definedName name="betonu24">#REF!</definedName>
    <definedName name="Beugel_kalung">#REF!</definedName>
    <definedName name="Beugel_plat">#REF!</definedName>
    <definedName name="bg">#REF!</definedName>
    <definedName name="bg_9">#REF!</definedName>
    <definedName name="bgbgl">#REF!</definedName>
    <definedName name="bgblt">#REF!</definedName>
    <definedName name="BGF" hidden="1">{"'Sheet1'!$A$1"}</definedName>
    <definedName name="BGR">#REF!</definedName>
    <definedName name="bgsgl">#REF!</definedName>
    <definedName name="bgsgt">#REF!</definedName>
    <definedName name="bgsp">#REF!</definedName>
    <definedName name="BH">#REF!</definedName>
    <definedName name="bh_200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iaya">biaya</definedName>
    <definedName name="biayaars">#REF!</definedName>
    <definedName name="biayanyambungtp">#REF!</definedName>
    <definedName name="BiayapenyambunganME">#REF!</definedName>
    <definedName name="biayapersiapan">#REF!</definedName>
    <definedName name="biayapotongtp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lik">#REF!</definedName>
    <definedName name="BIN">#REF!</definedName>
    <definedName name="BINDER">#REF!</definedName>
    <definedName name="bindrat">"$PileCap.$#REF!$#REF!"</definedName>
    <definedName name="binjai">#REF!</definedName>
    <definedName name="binjai.xls" hidden="1">#REF!</definedName>
    <definedName name="bitutine">#REF!</definedName>
    <definedName name="BJ">#REF!</definedName>
    <definedName name="Bjepang">#REF!</definedName>
    <definedName name="BJLS">#REF!</definedName>
    <definedName name="bjls_6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">#REF!</definedName>
    <definedName name="BK.1\selasar">#REF!</definedName>
    <definedName name="BK.2\selasar">#REF!</definedName>
    <definedName name="BK.3\selasar">#REF!</definedName>
    <definedName name="BK.4\selasar">#REF!</definedName>
    <definedName name="BK.5\selasar">#REF!</definedName>
    <definedName name="bk_35">#REF!</definedName>
    <definedName name="bk_9">#REF!</definedName>
    <definedName name="bk_b">#REF!</definedName>
    <definedName name="bk_d">#REF!</definedName>
    <definedName name="bk_es">#REF!</definedName>
    <definedName name="bk_es12">#REF!</definedName>
    <definedName name="bk_es13">#REF!</definedName>
    <definedName name="bk_ess">#REF!</definedName>
    <definedName name="bk_k">#REF!</definedName>
    <definedName name="bk_t">#REF!</definedName>
    <definedName name="Bkali">#REF!</definedName>
    <definedName name="BKBALOK">#REF!</definedName>
    <definedName name="bkbeton60.60.100">#REF!</definedName>
    <definedName name="BKI.6\selasar">#REF!</definedName>
    <definedName name="bkjtw">#REF!</definedName>
    <definedName name="bklm">"'file://SERVER3/har-data/STRUCTURE PRICE OF BQ KOMPAS GRAMEDIA.xls'#$analisa.$#REF!$#REF!"</definedName>
    <definedName name="bkmberg">#REF!</definedName>
    <definedName name="bkmbw">#REF!</definedName>
    <definedName name="bkmn">#REF!</definedName>
    <definedName name="bkmorando">#REF!</definedName>
    <definedName name="bkmwberg">#REF!</definedName>
    <definedName name="bkontrol">#REF!</definedName>
    <definedName name="bkp">#REF!</definedName>
    <definedName name="bkp_6">#REF!</definedName>
    <definedName name="bkp_9">#REF!</definedName>
    <definedName name="bks">#REF!</definedName>
    <definedName name="Bks1\2bata">#REF!</definedName>
    <definedName name="Bks1\4bata">#REF!</definedName>
    <definedName name="bksbalok">#REF!</definedName>
    <definedName name="Bksbata">#REF!</definedName>
    <definedName name="bksg">#REF!</definedName>
    <definedName name="bkskolom">#REF!</definedName>
    <definedName name="bksplat">#REF!</definedName>
    <definedName name="bkspondasi">#REF!</definedName>
    <definedName name="bksslof">#REF!</definedName>
    <definedName name="BkstMulti12">#REF!</definedName>
    <definedName name="BkstMulti9">#REF!</definedName>
    <definedName name="BkstPpn">#REF!</definedName>
    <definedName name="bl">#REF!</definedName>
    <definedName name="BL\selasar">#REF!</definedName>
    <definedName name="bl_2515">#REF!</definedName>
    <definedName name="Blangko" hidden="1">{#N/A,#N/A,FALSE,"WP [10]"}</definedName>
    <definedName name="BLANK">NA()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bjr">#REF!</definedName>
    <definedName name="blkbor">#REF!</definedName>
    <definedName name="BlkBr">#REF!</definedName>
    <definedName name="Blkdk">#REF!</definedName>
    <definedName name="blkhns">#REF!</definedName>
    <definedName name="blkht1">#REF!</definedName>
    <definedName name="blkht2">#REF!</definedName>
    <definedName name="Blkhv">#REF!</definedName>
    <definedName name="BlkKb">#REF!</definedName>
    <definedName name="BlkKm">#REF!</definedName>
    <definedName name="blkkmp">#REF!</definedName>
    <definedName name="BlkKs">#REF!</definedName>
    <definedName name="Blkmrnt">#REF!</definedName>
    <definedName name="blkras">#REF!</definedName>
    <definedName name="BlkRm">#REF!</definedName>
    <definedName name="blksam">#REF!</definedName>
    <definedName name="BLKT">#REF!</definedName>
    <definedName name="BLKT_9">#REF!</definedName>
    <definedName name="Blktk">#REF!</definedName>
    <definedName name="bln">#REF!</definedName>
    <definedName name="bln_9">#REF!</definedName>
    <definedName name="BLOW">#REF!</definedName>
    <definedName name="BLT">#REF!</definedName>
    <definedName name="BLT_9">#REF!</definedName>
    <definedName name="BLTT">#REF!</definedName>
    <definedName name="BLTT_9">#REF!</definedName>
    <definedName name="blw">#REF!</definedName>
    <definedName name="blw_9">#REF!</definedName>
    <definedName name="bm">#REF!</definedName>
    <definedName name="bm.01">#REF!</definedName>
    <definedName name="bm.f">#REF!</definedName>
    <definedName name="bm_12">#REF!</definedName>
    <definedName name="bm_14">#REF!</definedName>
    <definedName name="bm_1512">#REF!</definedName>
    <definedName name="BmbGb">#REF!</definedName>
    <definedName name="bmcb">#REF!</definedName>
    <definedName name="bmorandowr">#REF!</definedName>
    <definedName name="bms">"'file://SERVER3/har-data/STRUCTURE PRICE OF BQ KOMPAS GRAMEDIA.xls'#$analisa.$#REF!$#REF!"</definedName>
    <definedName name="BNY">#REF!</definedName>
    <definedName name="Bo">#REF!</definedName>
    <definedName name="bobok">"'file://SERVER3/har-data/STRUCTURE PRICE OF BQ KOMPAS GRAMEDIA.xls'#$analisa.$#REF!$#REF!"</definedName>
    <definedName name="Bobok400">#REF!</definedName>
    <definedName name="BOBOT">NA()</definedName>
    <definedName name="bodem">#REF!</definedName>
    <definedName name="Bohlm">#REF!</definedName>
    <definedName name="boil">#REF!</definedName>
    <definedName name="bojong1">#REF!</definedName>
    <definedName name="bojongsari">#REF!</definedName>
    <definedName name="BOJONGSARI1">#REF!</definedName>
    <definedName name="bojongsari2">#REF!</definedName>
    <definedName name="bondagen">#REF!</definedName>
    <definedName name="Bondx">#REF!</definedName>
    <definedName name="bongkar">#REF!</definedName>
    <definedName name="bongkar1">#REF!</definedName>
    <definedName name="book">book</definedName>
    <definedName name="book2">book2</definedName>
    <definedName name="book3">book3</definedName>
    <definedName name="boosteram">#REF!</definedName>
    <definedName name="boplank">#REF!</definedName>
    <definedName name="Boqa" hidden="1">#REF!</definedName>
    <definedName name="bor_3">#REF!</definedName>
    <definedName name="border">#REF!</definedName>
    <definedName name="border8x20">#REF!</definedName>
    <definedName name="border8x25">#REF!</definedName>
    <definedName name="border8x30">#REF!</definedName>
    <definedName name="bored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sup">#REF!</definedName>
    <definedName name="borsup_6">#REF!</definedName>
    <definedName name="Bos">#REF!</definedName>
    <definedName name="BOST">#REF!</definedName>
    <definedName name="bottom">#REF!</definedName>
    <definedName name="Bouw">#REF!</definedName>
    <definedName name="bouwplnk">#REF!</definedName>
    <definedName name="BOW">#REF!</definedName>
    <definedName name="BOW_2">#REF!</definedName>
    <definedName name="BOX">#REF!</definedName>
    <definedName name="BOX.40.50">#REF!</definedName>
    <definedName name="BOX.80.120">#REF!</definedName>
    <definedName name="Box_zekering__1_group">#REF!</definedName>
    <definedName name="Box_zekering__2_group">#REF!</definedName>
    <definedName name="Box_zekering__3_group">#REF!</definedName>
    <definedName name="BoxTl">#REF!</definedName>
    <definedName name="BP">#REF!</definedName>
    <definedName name="BP.5">#REF!</definedName>
    <definedName name="bp_1">#REF!</definedName>
    <definedName name="bp_2">#REF!</definedName>
    <definedName name="bp_3">#REF!</definedName>
    <definedName name="BPAir">#REF!</definedName>
    <definedName name="BPKP">"$#REF!.$AB$4:$AB$655"</definedName>
    <definedName name="bpl2x9">#REF!</definedName>
    <definedName name="bpl2x9nb">#REF!</definedName>
    <definedName name="bpl32nb">#REF!</definedName>
    <definedName name="bpl9nb">#REF!</definedName>
    <definedName name="bpolos">#REF!</definedName>
    <definedName name="BPPLN">#REF!</definedName>
    <definedName name="BQ_1">#REF!</definedName>
    <definedName name="BR">#REF!</definedName>
    <definedName name="BR.1">#REF!</definedName>
    <definedName name="BR.1\ramp">#REF!</definedName>
    <definedName name="braven">#REF!</definedName>
    <definedName name="brc_m5">#REF!</definedName>
    <definedName name="brc_m6">#REF!</definedName>
    <definedName name="brc_m7">#REF!</definedName>
    <definedName name="brcm10">"'file://SERVER3/har-data/STRUCTURE PRICE OF BQ KOMPAS GRAMEDIA.xls'#$analisa.$#REF!$#REF!"</definedName>
    <definedName name="brcm6">#REF!</definedName>
    <definedName name="BRONJ_MATRAS">#REF!</definedName>
    <definedName name="bronjol">#REF!</definedName>
    <definedName name="bronjong2">#REF!</definedName>
    <definedName name="bronjong211">#REF!</definedName>
    <definedName name="bronjong3">#REF!</definedName>
    <definedName name="bronjong4">#REF!</definedName>
    <definedName name="brs">#REF!</definedName>
    <definedName name="BS">#REF!</definedName>
    <definedName name="BS.1\selasar">#REF!</definedName>
    <definedName name="BS.2\selasar">#REF!</definedName>
    <definedName name="bs.p">#REF!</definedName>
    <definedName name="bs.pt">#REF!</definedName>
    <definedName name="bs.s">#REF!</definedName>
    <definedName name="bs.str">#REF!</definedName>
    <definedName name="BS_isolasi">#REF!</definedName>
    <definedName name="bs3w">#REF!</definedName>
    <definedName name="BSB">#REF!</definedName>
    <definedName name="bsbgl">#REF!</definedName>
    <definedName name="BsbKk">#REF!</definedName>
    <definedName name="bsbtn">#REF!</definedName>
    <definedName name="BSP\perKG">#REF!</definedName>
    <definedName name="BSP_MEDIUM">#REF!</definedName>
    <definedName name="BSP_SCH40">#REF!</definedName>
    <definedName name="BSP11\2HITAM">#REF!</definedName>
    <definedName name="BSP11\2MEDIUM">#REF!</definedName>
    <definedName name="BSP1HITAM">#REF!</definedName>
    <definedName name="BSP2.5HITAM">#REF!</definedName>
    <definedName name="BSP2.5PUTIH">#REF!</definedName>
    <definedName name="BSP2HITAM">#REF!</definedName>
    <definedName name="BSP2PUTIH">#REF!</definedName>
    <definedName name="BSP3MEDIUM">#REF!</definedName>
    <definedName name="BsPh1">#REF!</definedName>
    <definedName name="BsPh2">#REF!</definedName>
    <definedName name="BsPh3">#REF!</definedName>
    <definedName name="BsPh4">#REF!</definedName>
    <definedName name="BsPh5">#REF!</definedName>
    <definedName name="Bspl1">#REF!</definedName>
    <definedName name="Bspl5">#REF!</definedName>
    <definedName name="bssengkang">#REF!</definedName>
    <definedName name="BsSikuDN">#REF!</definedName>
    <definedName name="bssk">#REF!</definedName>
    <definedName name="BSSP">#REF!</definedName>
    <definedName name="BsSq3">#REF!</definedName>
    <definedName name="BsSq4">#REF!</definedName>
    <definedName name="bstulangan">#REF!</definedName>
    <definedName name="bt">#REF!</definedName>
    <definedName name="bt.lemp">#REF!</definedName>
    <definedName name="bt_11">#REF!</definedName>
    <definedName name="bt_3174">#REF!</definedName>
    <definedName name="bt_9">#REF!</definedName>
    <definedName name="btaco">#REF!</definedName>
    <definedName name="btacotnah">#REF!</definedName>
    <definedName name="btangga_6">#REF!</definedName>
    <definedName name="BTAPUNG">#REF!</definedName>
    <definedName name="btb">#REF!</definedName>
    <definedName name="btb_9">#REF!</definedName>
    <definedName name="btbel">#REF!</definedName>
    <definedName name="btbel_6">#REF!</definedName>
    <definedName name="btc">#REF!</definedName>
    <definedName name="btcopondsi">#REF!</definedName>
    <definedName name="btg">#REF!</definedName>
    <definedName name="BTG.1A">#REF!</definedName>
    <definedName name="btg1a">#REF!</definedName>
    <definedName name="btg2a">#REF!</definedName>
    <definedName name="btg2b">#REF!</definedName>
    <definedName name="bthitam">#REF!</definedName>
    <definedName name="bthj">#REF!</definedName>
    <definedName name="btk">#REF!</definedName>
    <definedName name="btk_9">#REF!</definedName>
    <definedName name="btkali">"$#REF!.$H$104"</definedName>
    <definedName name="btkr">#REF!</definedName>
    <definedName name="Btkrl">#REF!</definedName>
    <definedName name="btkrw">#REF!</definedName>
    <definedName name="btl" hidden="1">#REF!</definedName>
    <definedName name="BTM">#REF!</definedName>
    <definedName name="btmr">#REF!</definedName>
    <definedName name="btmrh">#REF!</definedName>
    <definedName name="btn">#REF!</definedName>
    <definedName name="btn_8">#REF!</definedName>
    <definedName name="btn300_6">#REF!</definedName>
    <definedName name="btnblk">"'file://SERVER3/har-data/STRUCTURE PRICE OF BQ KOMPAS GRAMEDIA.xls'#$analisa.$#REF!$#REF!"</definedName>
    <definedName name="btncore">"'file://SERVER3/har-data/STRUCTURE PRICE OF BQ KOMPAS GRAMEDIA.xls'#$analisa.$#REF!$#REF!"</definedName>
    <definedName name="btnddg">"'file://SERVER3/har-data/STRUCTURE PRICE OF BQ KOMPAS GRAMEDIA.xls'#$analisa.$#REF!$#REF!"</definedName>
    <definedName name="btnkolom">"'file://SERVER3/har-data/STRUCTURE PRICE OF BQ KOMPAS GRAMEDIA.xls'#$analisa.$#REF!$#REF!"</definedName>
    <definedName name="btnpc">"$#REF!.$I$127"</definedName>
    <definedName name="btnpeninggielevasi">#REF!</definedName>
    <definedName name="btnpit">"'file://SERVER3/har-data/STRUCTURE PRICE OF BQ KOMPAS GRAMEDIA.xls'#$analisa.$#REF!$#REF!"</definedName>
    <definedName name="btnsloof">"'file://SERVER3/har-data/STRUCTURE PRICE OF BQ KOMPAS GRAMEDIA.xls'#$analisa.$#REF!$#REF!"</definedName>
    <definedName name="btntangga">"'file://SERVER3/har-data/STRUCTURE PRICE OF BQ KOMPAS GRAMEDIA.xls'#$analisa.$#REF!$#REF!"</definedName>
    <definedName name="bton250">#REF!</definedName>
    <definedName name="bton300">#REF!</definedName>
    <definedName name="bton350">#REF!</definedName>
    <definedName name="bton400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">#REF!</definedName>
    <definedName name="btp_9">#REF!</definedName>
    <definedName name="btparas">#REF!</definedName>
    <definedName name="btpb">#REF!</definedName>
    <definedName name="btpb_9">#REF!</definedName>
    <definedName name="BtPch">#REF!</definedName>
    <definedName name="btpec2">#REF!</definedName>
    <definedName name="btpec2_6">#REF!</definedName>
    <definedName name="btponda">#REF!</definedName>
    <definedName name="btsentul">#REF!</definedName>
    <definedName name="btsikat">#REF!</definedName>
    <definedName name="bttemplek">#REF!</definedName>
    <definedName name="btth">#REF!</definedName>
    <definedName name="Bttlr">#REF!</definedName>
    <definedName name="Bttph">#REF!</definedName>
    <definedName name="btukali">#REF!</definedName>
    <definedName name="btul24">#REF!</definedName>
    <definedName name="btul39">#REF!</definedName>
    <definedName name="bu">#REF!</definedName>
    <definedName name="BU_24">#REF!</definedName>
    <definedName name="BU_39">#REF!</definedName>
    <definedName name="buang">HAJIME:OWARI</definedName>
    <definedName name="buang_10">#REF!:#REF!</definedName>
    <definedName name="buang_11">#REF!:#REF!</definedName>
    <definedName name="buang_12">#REF!:#REF!</definedName>
    <definedName name="buang_14">#REF!:#REF!</definedName>
    <definedName name="buang_15">#REF!:#REF!</definedName>
    <definedName name="buang_16">#REF!:#REF!</definedName>
    <definedName name="buang_17">#REF!:#REF!</definedName>
    <definedName name="buang_18">#REF!:#REF!</definedName>
    <definedName name="buang_19">#REF!:#REF!</definedName>
    <definedName name="buang_20">#REF!:#REF!</definedName>
    <definedName name="buang_22">#REF!:#REF!</definedName>
    <definedName name="buang_23">#REF!:#REF!</definedName>
    <definedName name="buang_24">#REF!:#REF!</definedName>
    <definedName name="buang_25">#REF!:#REF!</definedName>
    <definedName name="buang_5">#REF!:#REF!</definedName>
    <definedName name="buang_6">#REF!:#REF!</definedName>
    <definedName name="buang_7">#REF!:#REF!</definedName>
    <definedName name="buang_8">#REF!:#REF!</definedName>
    <definedName name="buangan">#REF!</definedName>
    <definedName name="buangkeruk">#REF!</definedName>
    <definedName name="buangtanah">"$#REF!.$I$26"</definedName>
    <definedName name="buangtnh">#REF!</definedName>
    <definedName name="BUANGTNHGAL">#REF!</definedName>
    <definedName name="Bub1m">#REF!</definedName>
    <definedName name="bubungan">#REF!</definedName>
    <definedName name="Bubungan_lokal">#REF!</definedName>
    <definedName name="Bubungan_press_pejaten">#REF!</definedName>
    <definedName name="Bubungan_seng_gelombang">#REF!</definedName>
    <definedName name="bubungasbes">#REF!</definedName>
    <definedName name="bubungbtn">#REF!</definedName>
    <definedName name="budi">#REF!</definedName>
    <definedName name="budibakti">#REF!</definedName>
    <definedName name="BUDIBAKTI1">#REF!</definedName>
    <definedName name="budidaya">#REF!</definedName>
    <definedName name="BUIS">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20">#REF!</definedName>
    <definedName name="buis30">#REF!</definedName>
    <definedName name="buis40">#REF!</definedName>
    <definedName name="buisbeton">#REF!</definedName>
    <definedName name="buisbeton40">#REF!</definedName>
    <definedName name="bulat">#REF!</definedName>
    <definedName name="Buldozer">#REF!</definedName>
    <definedName name="bulir">#REF!</definedName>
    <definedName name="BULLDOZER">#REF!</definedName>
    <definedName name="bungasari">#REF!</definedName>
    <definedName name="Bungurjepang">#REF!</definedName>
    <definedName name="buniwangi">#REF!</definedName>
    <definedName name="Bus">#REF!</definedName>
    <definedName name="bus_50">#REF!</definedName>
    <definedName name="BV">NA()</definedName>
    <definedName name="BV.1">#REF!</definedName>
    <definedName name="BV.1aksen">#REF!</definedName>
    <definedName name="BV.2">#REF!</definedName>
    <definedName name="BV.3">#REF!</definedName>
    <definedName name="BV.4">#REF!</definedName>
    <definedName name="BV.5">#REF!</definedName>
    <definedName name="BV.6">#REF!</definedName>
    <definedName name="BV.7">#REF!</definedName>
    <definedName name="BV.aksen">#REF!</definedName>
    <definedName name="bvd0.5">#REF!</definedName>
    <definedName name="bvd1.25">#REF!</definedName>
    <definedName name="bvd1.5">#REF!</definedName>
    <definedName name="BVDB">STOP:STOPE</definedName>
    <definedName name="BVDB_10">#REF!:#REF!</definedName>
    <definedName name="BVDB_11">#REF!:#REF!</definedName>
    <definedName name="BVDB_12">#REF!:#REF!</definedName>
    <definedName name="BVDB_14">#REF!:#REF!</definedName>
    <definedName name="BVDB_15">#REF!:#REF!</definedName>
    <definedName name="BVDB_16">#REF!:#REF!</definedName>
    <definedName name="BVDB_17">#REF!:#REF!</definedName>
    <definedName name="BVDB_18">#REF!:#REF!</definedName>
    <definedName name="BVDB_19">#REF!:#REF!</definedName>
    <definedName name="BVDB_20">#REF!:#REF!</definedName>
    <definedName name="BVDB_22">#REF!:#REF!</definedName>
    <definedName name="BVDB_23">#REF!:#REF!</definedName>
    <definedName name="BVDB_24">#REF!:#REF!</definedName>
    <definedName name="BVDB_25">#REF!:#REF!</definedName>
    <definedName name="BVDB_5">#REF!:#REF!</definedName>
    <definedName name="BVDB_6">#REF!:#REF!</definedName>
    <definedName name="BVDB_7">#REF!:#REF!</definedName>
    <definedName name="BVDB_8">#REF!:#REF!</definedName>
    <definedName name="bvlam">#REF!</definedName>
    <definedName name="bvnbv">#REF!</definedName>
    <definedName name="bwic_a">#REF!</definedName>
    <definedName name="bwic_b">#REF!</definedName>
    <definedName name="bwic_c">#REF!</definedName>
    <definedName name="C.1">#REF!</definedName>
    <definedName name="C.125.50.20.2.3">#REF!</definedName>
    <definedName name="C.2">#REF!</definedName>
    <definedName name="c.23">#REF!</definedName>
    <definedName name="C.2a">#REF!</definedName>
    <definedName name="C.3">#REF!</definedName>
    <definedName name="C.6.10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8">#REF!</definedName>
    <definedName name="c.maxi">#REF!</definedName>
    <definedName name="c.mowi.dlm">#REF!</definedName>
    <definedName name="c.mowi.luar">#REF!</definedName>
    <definedName name="C.T">#REF!</definedName>
    <definedName name="c.vinilex.dlm">#REF!</definedName>
    <definedName name="c.vinilex.sjs">#REF!</definedName>
    <definedName name="C_">#REF!</definedName>
    <definedName name="C_1">#REF!</definedName>
    <definedName name="c_120g">#REF!</definedName>
    <definedName name="c_15">#REF!</definedName>
    <definedName name="C_2">#REF!</definedName>
    <definedName name="c_6">#REF!</definedName>
    <definedName name="c_7330">#REF!</definedName>
    <definedName name="c_aep">#REF!</definedName>
    <definedName name="c_bal">#REF!</definedName>
    <definedName name="c_pu">#REF!</definedName>
    <definedName name="c_sg">#REF!</definedName>
    <definedName name="c0r1">#REF!</definedName>
    <definedName name="ca">"'file://SERVER3/har-data/STRUCTURE PRICE OF BQ KOMPAS GRAMEDIA.xls'#$analisa.$#REF!$#REF!"</definedName>
    <definedName name="ca_r">#REF!</definedName>
    <definedName name="cab">#REF!</definedName>
    <definedName name="cab_9">#REF!</definedName>
    <definedName name="cabes">#REF!</definedName>
    <definedName name="cabes_6">#REF!</definedName>
    <definedName name="Cabinet">#N/A</definedName>
    <definedName name="cabinrak">#REF!</definedName>
    <definedName name="cabluk">#REF!</definedName>
    <definedName name="Cabutsheet">#REF!</definedName>
    <definedName name="cadas">#REF!</definedName>
    <definedName name="cakay">#REF!</definedName>
    <definedName name="CAL">#REF!</definedName>
    <definedName name="calc">#REF!</definedName>
    <definedName name="calci">#REF!</definedName>
    <definedName name="Calibration">#REF!</definedName>
    <definedName name="CAME">#REF!</definedName>
    <definedName name="can">"$#REF!.$H$24"</definedName>
    <definedName name="canal">#REF!</definedName>
    <definedName name="canal100">#REF!</definedName>
    <definedName name="canal50">#REF!</definedName>
    <definedName name="Cangk">#REF!</definedName>
    <definedName name="cap.">#REF!</definedName>
    <definedName name="CAPDAT">NA()</definedName>
    <definedName name="CARCALL">#REF!</definedName>
    <definedName name="cargotruck">#REF!</definedName>
    <definedName name="carpenter">#REF!</definedName>
    <definedName name="carpet">#REF!</definedName>
    <definedName name="carstop">"$#REF!.$I$146"</definedName>
    <definedName name="casf80">#REF!</definedName>
    <definedName name="CASSETTE">#REF!</definedName>
    <definedName name="CASTOPER">#REF!</definedName>
    <definedName name="castoper40">#REF!</definedName>
    <definedName name="castoper60">#REF!</definedName>
    <definedName name="CAT">#REF!</definedName>
    <definedName name="cat.b">#REF!</definedName>
    <definedName name="Cat.k">#REF!</definedName>
    <definedName name="cat.t">#REF!</definedName>
    <definedName name="cat.tt">#REF!</definedName>
    <definedName name="cat_d">#REF!</definedName>
    <definedName name="cat_k">#REF!</definedName>
    <definedName name="Cat_Kayu">#REF!</definedName>
    <definedName name="cat_p">#REF!</definedName>
    <definedName name="cat_pl">#REF!</definedName>
    <definedName name="cat_skirt">#REF!</definedName>
    <definedName name="CatAl">#REF!</definedName>
    <definedName name="catalkali">#REF!</definedName>
    <definedName name="catAVIAN">#REF!</definedName>
    <definedName name="catbes">#REF!</definedName>
    <definedName name="catbesi">#REF!</definedName>
    <definedName name="Catbr">#REF!</definedName>
    <definedName name="CatBs">#REF!</definedName>
    <definedName name="catdalam">#REF!</definedName>
    <definedName name="catdasar">#REF!</definedName>
    <definedName name="CatDc">#REF!</definedName>
    <definedName name="catdinding">#REF!</definedName>
    <definedName name="catdindingbaru">#REF!</definedName>
    <definedName name="catdlm">#REF!</definedName>
    <definedName name="catdnlama">#REF!</definedName>
    <definedName name="catdocu\nonjasa">#REF!</definedName>
    <definedName name="catdsr">#REF!</definedName>
    <definedName name="catduco">#REF!</definedName>
    <definedName name="CATE">#REF!</definedName>
    <definedName name="catex">#REF!</definedName>
    <definedName name="catexter">#REF!</definedName>
    <definedName name="Catexterior">#REF!</definedName>
    <definedName name="CatIc">#REF!</definedName>
    <definedName name="catICI">#REF!</definedName>
    <definedName name="caticidalam">#REF!</definedName>
    <definedName name="caticiluar">#REF!</definedName>
    <definedName name="catinter">#REF!</definedName>
    <definedName name="CatInterior">#REF!</definedName>
    <definedName name="catkay">#REF!</definedName>
    <definedName name="catkayu">#REF!</definedName>
    <definedName name="catkayubaru">#REF!</definedName>
    <definedName name="catkayumtrendah">#REF!</definedName>
    <definedName name="catkayuulang">#REF!</definedName>
    <definedName name="CatKs">#REF!</definedName>
    <definedName name="CATKY">#REF!</definedName>
    <definedName name="catkylama">#REF!</definedName>
    <definedName name="catkym">#REF!</definedName>
    <definedName name="catkymttinggi">#REF!</definedName>
    <definedName name="catkymututinggi">#REF!</definedName>
    <definedName name="catkyt">#REF!</definedName>
    <definedName name="catlangit">#REF!</definedName>
    <definedName name="catlist">#REF!</definedName>
    <definedName name="catluar">#REF!</definedName>
    <definedName name="catm">#REF!</definedName>
    <definedName name="catmarka">#REF!</definedName>
    <definedName name="catmarka10">#REF!</definedName>
    <definedName name="catmarka15">#REF!</definedName>
    <definedName name="catmarka5">#REF!</definedName>
    <definedName name="catmarkam2">#REF!</definedName>
    <definedName name="catminyak">#REF!</definedName>
    <definedName name="catplaf">#REF!</definedName>
    <definedName name="CatPlafond">#REF!</definedName>
    <definedName name="catplapond">#REF!</definedName>
    <definedName name="catSEIV">#REF!</definedName>
    <definedName name="CatSl">#REF!</definedName>
    <definedName name="catsupergloss">#REF!</definedName>
    <definedName name="CATT">#REF!</definedName>
    <definedName name="Catta">#REF!</definedName>
    <definedName name="cattex">#REF!</definedName>
    <definedName name="CatVn">#REF!</definedName>
    <definedName name="CB" hidden="1">#REF!</definedName>
    <definedName name="CB.10">#REF!</definedName>
    <definedName name="CB.15">#REF!</definedName>
    <definedName name="CB.20">#REF!</definedName>
    <definedName name="cbesi">#REF!</definedName>
    <definedName name="cbm">#REF!</definedName>
    <definedName name="cc">#REF!</definedName>
    <definedName name="CC_06">#REF!</definedName>
    <definedName name="cc_11">#REF!</definedName>
    <definedName name="cc_11_6">#REF!</definedName>
    <definedName name="cc_225">#REF!</definedName>
    <definedName name="cc_24">#REF!</definedName>
    <definedName name="cc_6">#REF!</definedName>
    <definedName name="cc_8">#REF!</definedName>
    <definedName name="cc_8_6">#REF!</definedName>
    <definedName name="cc_9">#REF!</definedName>
    <definedName name="cc_9_6">#REF!</definedName>
    <definedName name="CCCC" hidden="1">#REF!</definedName>
    <definedName name="CCCCC">STOP:STOPE</definedName>
    <definedName name="CCCCC_10">#REF!:#REF!</definedName>
    <definedName name="CCCCC_11">#REF!:#REF!</definedName>
    <definedName name="CCCCC_12">#REF!:#REF!</definedName>
    <definedName name="CCCCC_14">#REF!:#REF!</definedName>
    <definedName name="CCCCC_15">#REF!:#REF!</definedName>
    <definedName name="CCCCC_16">#REF!:#REF!</definedName>
    <definedName name="CCCCC_17">#REF!:#REF!</definedName>
    <definedName name="CCCCC_18">#REF!:#REF!</definedName>
    <definedName name="CCCCC_19">#REF!:#REF!</definedName>
    <definedName name="CCCCC_20">#REF!:#REF!</definedName>
    <definedName name="CCCCC_6">#REF!:#REF!</definedName>
    <definedName name="CCCCC_7">#REF!:#REF!</definedName>
    <definedName name="CCCCC_8">#REF!:#REF!</definedName>
    <definedName name="CCCCCC" hidden="1">#REF!</definedName>
    <definedName name="CCCCCC_10">#REF!:#REF!</definedName>
    <definedName name="CCCCCC_11">#REF!:#REF!</definedName>
    <definedName name="CCCCCC_12">#REF!:#REF!</definedName>
    <definedName name="CCCCCC_14">#REF!:#REF!</definedName>
    <definedName name="CCCCCC_15">#REF!:#REF!</definedName>
    <definedName name="CCCCCC_16">#REF!:#REF!</definedName>
    <definedName name="CCCCCC_17">#REF!:#REF!</definedName>
    <definedName name="CCCCCC_18">#REF!:#REF!</definedName>
    <definedName name="CCCCCC_19">#REF!:#REF!</definedName>
    <definedName name="CCCCCC_20">#REF!:#REF!</definedName>
    <definedName name="CCCCCC_7">#REF!:#REF!</definedName>
    <definedName name="CCCCCC_8">#REF!:#REF!</definedName>
    <definedName name="cccr">#REF!</definedName>
    <definedName name="ccdoub">#REF!</definedName>
    <definedName name="CCF">#REF!</definedName>
    <definedName name="CCS">"$#REF!.$#REF!$#REF!:$#REF!$#REF!"</definedName>
    <definedName name="CCTV">#REF!</definedName>
    <definedName name="cd">#REF!</definedName>
    <definedName name="cd_cw">#REF!</definedName>
    <definedName name="CDD">"$#REF!.$#REF!$#REF!:$#REF!$#REF!"</definedName>
    <definedName name="CDDD">NA()</definedName>
    <definedName name="cddd1p">"'file:///d:/project/energyhouse2/energyhouse2-mainkontraktor/energyhouse2-mainkontraktor-tender/energyhouse2-mainkontraktor-tender-boq/misc/congviec/tam.xls'#$'tong hop vl-nc'.$c$3"</definedName>
    <definedName name="cddd3p">"'file:///d:/project/energyhouse2/energyhouse2-mainkontraktor/energyhouse2-mainkontraktor-tender/energyhouse2-mainkontraktor-tender-boq/misc/congviec/tam.xls'#$'tong hop vl-nc'.$c$2"</definedName>
    <definedName name="CddkP">#REF!</definedName>
    <definedName name="CDL">#REF!</definedName>
    <definedName name="Cdlm">"$#REF!.$M$5"</definedName>
    <definedName name="ce">#REF!</definedName>
    <definedName name="cek">#REF!</definedName>
    <definedName name="cek_me">#REF!</definedName>
    <definedName name="Celcon">"$#REF!.$G$167"</definedName>
    <definedName name="celcon_13">#REF!</definedName>
    <definedName name="celcon_15">#REF!</definedName>
    <definedName name="Celcon75">#REF!</definedName>
    <definedName name="cendana">#REF!</definedName>
    <definedName name="cer">#REF!</definedName>
    <definedName name="cer_1">#REF!</definedName>
    <definedName name="cer_2">#REF!</definedName>
    <definedName name="Ceremai">#REF!</definedName>
    <definedName name="cermin">#REF!</definedName>
    <definedName name="Cermin5mm">#REF!</definedName>
    <definedName name="CEROCOK">#REF!</definedName>
    <definedName name="cerucuk">#REF!</definedName>
    <definedName name="CFP">#REF!</definedName>
    <definedName name="cg">"$#REF!.$H$33"</definedName>
    <definedName name="cg_5">#REF!</definedName>
    <definedName name="cg_67">#REF!</definedName>
    <definedName name="cgionc">NA()</definedName>
    <definedName name="cgiovl">NA()</definedName>
    <definedName name="CH">"$#REF!.$K$10"</definedName>
    <definedName name="CHAIN" hidden="1">#REF!</definedName>
    <definedName name="chainsaw">#REF!</definedName>
    <definedName name="channelmodul">#REF!</definedName>
    <definedName name="CHECK_UNIT">NA()</definedName>
    <definedName name="CHF">#REF!</definedName>
    <definedName name="chhtnc">NA()</definedName>
    <definedName name="chhtvl">NA()</definedName>
    <definedName name="chnc">NA()</definedName>
    <definedName name="chvl">NA()</definedName>
    <definedName name="CI">#REF!</definedName>
    <definedName name="cikaret">#REF!</definedName>
    <definedName name="CIKARET1">#REF!</definedName>
    <definedName name="cikondang">#REF!</definedName>
    <definedName name="cilangkap">#REF!</definedName>
    <definedName name="cintasari">#REF!</definedName>
    <definedName name="CIP">#REF!</definedName>
    <definedName name="cipanas">#REF!</definedName>
    <definedName name="CIPANAS2">#REF!</definedName>
    <definedName name="cipetir">#REF!</definedName>
    <definedName name="cirenda">#REF!</definedName>
    <definedName name="citidd">NA()</definedName>
    <definedName name="cj">#REF!</definedName>
    <definedName name="cj.02">#REF!</definedName>
    <definedName name="cj_9">#REF!</definedName>
    <definedName name="cj_ce">#REF!</definedName>
    <definedName name="CJkkP">#REF!</definedName>
    <definedName name="CJkkW">#REF!</definedName>
    <definedName name="CJkTr">#REF!</definedName>
    <definedName name="cjongkok">#REF!</definedName>
    <definedName name="CK">"$#REF!.$J$10"</definedName>
    <definedName name="ckayu">#REF!</definedName>
    <definedName name="CKB">#REF!</definedName>
    <definedName name="ckl">#REF!</definedName>
    <definedName name="cknc">NA()</definedName>
    <definedName name="ckvl">NA()</definedName>
    <definedName name="cl">#REF!</definedName>
    <definedName name="clam100">#REF!</definedName>
    <definedName name="clam125">#REF!</definedName>
    <definedName name="clam15">#REF!</definedName>
    <definedName name="clam20">#REF!</definedName>
    <definedName name="clam25">#REF!</definedName>
    <definedName name="clam32">#REF!</definedName>
    <definedName name="clam40">#REF!</definedName>
    <definedName name="clam50">#REF!</definedName>
    <definedName name="clam65">#REF!</definedName>
    <definedName name="clam80">#REF!</definedName>
    <definedName name="CLAMP">#REF!</definedName>
    <definedName name="CLEANING">#REF!</definedName>
    <definedName name="Clearmelamik">#REF!</definedName>
    <definedName name="CLIPSAL">#REF!</definedName>
    <definedName name="close">#REF!</definedName>
    <definedName name="closet">#REF!</definedName>
    <definedName name="Closet.c420">#REF!</definedName>
    <definedName name="Closet.ddk">#REF!</definedName>
    <definedName name="closet.jkok">#REF!</definedName>
    <definedName name="closetc48">#REF!</definedName>
    <definedName name="ClosetCE9">#REF!</definedName>
    <definedName name="closetduduk">#REF!</definedName>
    <definedName name="ClosetjongkokCE7">#REF!</definedName>
    <definedName name="clousedcw714">#REF!</definedName>
    <definedName name="CLP">#REF!</definedName>
    <definedName name="clsddk">#REF!</definedName>
    <definedName name="clsddkwr">#REF!</definedName>
    <definedName name="clstd">#REF!</definedName>
    <definedName name="clswr">#REF!</definedName>
    <definedName name="CLUBHOUSE">#REF!</definedName>
    <definedName name="clvc1">"'file:///d:/project/energyhouse2/energyhouse2-mainkontraktor/energyhouse2-mainkontraktor-tender/energyhouse2-mainkontraktor-tender-boq/misc/congviec/tam.xls'#$chitiet.$d$3"</definedName>
    <definedName name="CLVC3">0.1</definedName>
    <definedName name="CLVCTB">"$#REF!.$D$4"</definedName>
    <definedName name="cm">#REF!</definedName>
    <definedName name="CMix1">#REF!</definedName>
    <definedName name="CMix4">#REF!</definedName>
    <definedName name="CMS">#REF!</definedName>
    <definedName name="CN">#REF!</definedName>
    <definedName name="Cn100x50">"$#REF!.$D$5"</definedName>
    <definedName name="Cn150x65">"$#REF!.$D$4"</definedName>
    <definedName name="CN3p">"'file:///d:/project/energyhouse2/energyhouse2-mainkontraktor/energyhouse2-mainkontraktor-tender/energyhouse2-mainkontraktor-tender-boq/misc/congviec/tam.xls'#$'tongke3p '.$x$295"</definedName>
    <definedName name="Cn9x15">"$#REF!.$D$6"</definedName>
    <definedName name="cnp">#REF!</definedName>
    <definedName name="Cnpat">#REF!</definedName>
    <definedName name="CO">#REF!</definedName>
    <definedName name="COARSE_AGGREGATE">#REF!</definedName>
    <definedName name="COAT">#REF!</definedName>
    <definedName name="Coating">#REF!</definedName>
    <definedName name="Coatingprimer">#REF!</definedName>
    <definedName name="coba" hidden="1">#REF!</definedName>
    <definedName name="Code" hidden="1">#REF!</definedName>
    <definedName name="Coef">#REF!</definedName>
    <definedName name="Cöï_ly_vaän_chuyeãn">"$#REF!.$D$4"</definedName>
    <definedName name="CÖÏ_LY_VAÄN_CHUYEÅN">"$#REF!.$C$4"</definedName>
    <definedName name="COL_HARGA">NA()</definedName>
    <definedName name="COL_VOLUME">NA()</definedName>
    <definedName name="Combi">#REF!</definedName>
    <definedName name="combiner">#REF!</definedName>
    <definedName name="comismatv">#REF!</definedName>
    <definedName name="COMM._TRAVELING">#REF!</definedName>
    <definedName name="commonlabor">#REF!</definedName>
    <definedName name="comp">#REF!</definedName>
    <definedName name="comp_9">#REF!</definedName>
    <definedName name="CompA">#REF!</definedName>
    <definedName name="COMPANY">"$#REF!.$C$6:$IV$38"</definedName>
    <definedName name="compresor">#REF!</definedName>
    <definedName name="Compressor">#REF!</definedName>
    <definedName name="COMSUMABLE">#REF!</definedName>
    <definedName name="CON">#REF!</definedName>
    <definedName name="CONB">#REF!</definedName>
    <definedName name="Conbk">#REF!</definedName>
    <definedName name="concrete">#REF!</definedName>
    <definedName name="CONCRETEMIXER">#REF!</definedName>
    <definedName name="Concretepump">#REF!</definedName>
    <definedName name="CONCRETEVIBRO">#REF!</definedName>
    <definedName name="Concretmixer">#REF!</definedName>
    <definedName name="CONDITION">#REF!</definedName>
    <definedName name="CONDUIT">#REF!</definedName>
    <definedName name="cong1x15">NA()</definedName>
    <definedName name="contract_elec">#REF!</definedName>
    <definedName name="conveyor">"$#REF!.$#REF!$#REF!"</definedName>
    <definedName name="COOP">#REF!</definedName>
    <definedName name="COP">#REF!</definedName>
    <definedName name="Copyright" hidden="1">"© 1995 Worley Limited"</definedName>
    <definedName name="cor">#REF!</definedName>
    <definedName name="cor_b">#REF!</definedName>
    <definedName name="cor_d">#REF!</definedName>
    <definedName name="cor_k">#REF!</definedName>
    <definedName name="corbalok">#REF!</definedName>
    <definedName name="corbaloklantai">#REF!</definedName>
    <definedName name="corbeton">#REF!</definedName>
    <definedName name="cordindng">#REF!</definedName>
    <definedName name="corkolom">#REF!</definedName>
    <definedName name="corlantaikerja">#REF!</definedName>
    <definedName name="corpilecap">#REF!</definedName>
    <definedName name="Corr.stl.sheet">"$#REF!.$D$21"</definedName>
    <definedName name="costone">#REF!</definedName>
    <definedName name="Cot_thep">"'file:///d:/project/energyhouse2/energyhouse2-mainkontraktor/energyhouse2-mainkontraktor-tender/energyhouse2-mainkontraktor-tender-boq/lu_thanh_binh/d/luu_tru/ltb_ktkh/dz220kv_dau_noi_sau_tram_500kv_ha_tinh/gia_thau.xls'#$du_lieu.$c$19"</definedName>
    <definedName name="cota">#REF!</definedName>
    <definedName name="cov">HAJIME:OWARI</definedName>
    <definedName name="cover">#REF!</definedName>
    <definedName name="COVER2">#N/A</definedName>
    <definedName name="COVER3">#N/A</definedName>
    <definedName name="CoverCCTV">#REF!</definedName>
    <definedName name="CPVC100">"$#REF!.$Q$66"</definedName>
    <definedName name="CPVC1KM">"'file:///d:/project/energyhouse2/energyhouse2-mainkontraktor/energyhouse2-mainkontraktor-tender/energyhouse2-mainkontraktor-tender-boq/misc/congviec/tam.xls'#$'th vl, nc, ddht thanhphuoc'.$j$19"</definedName>
    <definedName name="CPVCDN">"'file:///d:/project/energyhouse2/energyhouse2-mainkontraktor/energyhouse2-mainkontraktor-tender/energyhouse2-mainkontraktor-tender-boq/misc/congviec/tam.xls'#$'#ref'.$k$33"</definedName>
    <definedName name="CR_ALL">#REF!</definedName>
    <definedName name="CRANE">#REF!</definedName>
    <definedName name="Crane35">#REF!</definedName>
    <definedName name="CRD">"$#REF!.$Q$5:$Q$619"</definedName>
    <definedName name="_xlnm.Criteria">#REF!</definedName>
    <definedName name="CRS">"$#REF!.$S$5:$S$619"</definedName>
    <definedName name="Crush">#REF!</definedName>
    <definedName name="CS">#REF!</definedName>
    <definedName name="cs_1">#REF!</definedName>
    <definedName name="cs_70">#REF!</definedName>
    <definedName name="cs3w">#REF!</definedName>
    <definedName name="csanlex">#REF!</definedName>
    <definedName name="csd3p">"$#REF!.$V$10"</definedName>
    <definedName name="csddg1p">"$#REF!.$AC$290"</definedName>
    <definedName name="csddt1p">"$#REF!.$AB$290"</definedName>
    <definedName name="csf">#REF!</definedName>
    <definedName name="csht3p">"$#REF!.$U$10"</definedName>
    <definedName name="csl_38">#REF!</definedName>
    <definedName name="csp">#REF!</definedName>
    <definedName name="CSSSSSS">#REF!</definedName>
    <definedName name="cstw">#REF!</definedName>
    <definedName name="CT">#REF!</definedName>
    <definedName name="ctembok">#REF!</definedName>
    <definedName name="cti3x15">NA()</definedName>
    <definedName name="CUL">#REF!</definedName>
    <definedName name="culy1">NA()</definedName>
    <definedName name="culy2">NA()</definedName>
    <definedName name="culy3">NA()</definedName>
    <definedName name="culy4">NA()</definedName>
    <definedName name="culy5">NA()</definedName>
    <definedName name="cuoc">NA()</definedName>
    <definedName name="cur_c">#REF!</definedName>
    <definedName name="Currency">#REF!</definedName>
    <definedName name="curve1" hidden="1">{"'Sheet1'!$A$1"}</definedName>
    <definedName name="cut">"'file://SERVER3/har-data/STRUCTURE PRICE OF BQ KOMPAS GRAMEDIA.xls'#$analisa.$#REF!$#REF!"</definedName>
    <definedName name="Cutter">#REF!</definedName>
    <definedName name="cv">#REF!</definedName>
    <definedName name="cv_9">#REF!</definedName>
    <definedName name="Cv_a">#REF!</definedName>
    <definedName name="cvd15___0">"$#REF!.$N$273"</definedName>
    <definedName name="cvd150___0">"$#REF!.$N$271"</definedName>
    <definedName name="cvd50___0">"$#REF!.$N$294"</definedName>
    <definedName name="cvd65___0">"$#REF!.$N$272"</definedName>
    <definedName name="CVibr">#REF!</definedName>
    <definedName name="cwf">#REF!</definedName>
    <definedName name="cwspt">#REF!</definedName>
    <definedName name="cx">#REF!</definedName>
    <definedName name="cxhtnc">NA()</definedName>
    <definedName name="cxhtvl">NA()</definedName>
    <definedName name="cxnc">NA()</definedName>
    <definedName name="cxvl">NA()</definedName>
    <definedName name="cxxnc">NA()</definedName>
    <definedName name="cxxvl">NA()</definedName>
    <definedName name="cycllop">#REF!</definedName>
    <definedName name="D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3">#REF!</definedName>
    <definedName name="D.4">#REF!</definedName>
    <definedName name="D.5">#REF!</definedName>
    <definedName name="D.5.">#REF!,#REF!,#REF!</definedName>
    <definedName name="D.6">#REF!</definedName>
    <definedName name="D.6.">#REF!,#REF!</definedName>
    <definedName name="D.6.10">#REF!</definedName>
    <definedName name="D.6.12">#REF!</definedName>
    <definedName name="D.6.3">#REF!</definedName>
    <definedName name="D.6.35">#REF!</definedName>
    <definedName name="D.6.5">#REF!</definedName>
    <definedName name="D.7">#REF!</definedName>
    <definedName name="D.7.">#REF!,#REF!</definedName>
    <definedName name="D.7a">#REF!</definedName>
    <definedName name="D.8">#REF!</definedName>
    <definedName name="D.8.">#REF!,#REF!</definedName>
    <definedName name="D.9">#REF!</definedName>
    <definedName name="D.9.">#REF!,#REF!</definedName>
    <definedName name="D.PNL.JT.10001">#REF!</definedName>
    <definedName name="D_1">#REF!</definedName>
    <definedName name="D_120">"$#REF!.$H$40"</definedName>
    <definedName name="D_13">#REF!</definedName>
    <definedName name="D_14">#REF!</definedName>
    <definedName name="d_2">#REF!</definedName>
    <definedName name="D_22">#REF!</definedName>
    <definedName name="D_80">"$#REF!.$H$39"</definedName>
    <definedName name="d_gw">#REF!</definedName>
    <definedName name="D_R">#REF!</definedName>
    <definedName name="D_Y">#REF!</definedName>
    <definedName name="d1.5x.145">"$#REF!.$D$7"</definedName>
    <definedName name="D1x49">NA()</definedName>
    <definedName name="D1x49x49">NA()</definedName>
    <definedName name="D20.">#REF!,#REF!</definedName>
    <definedName name="d24nc">NA()</definedName>
    <definedName name="d24vl">NA()</definedName>
    <definedName name="d2x.218">"$#REF!.$D$8"</definedName>
    <definedName name="daa">#REF!</definedName>
    <definedName name="Dadapmerah">#REF!</definedName>
    <definedName name="DAERAH">#REF!</definedName>
    <definedName name="Daf.4">#REF!</definedName>
    <definedName name="DAF_10">#REF!</definedName>
    <definedName name="DAF_12">#REF!</definedName>
    <definedName name="DAF_4">#REF!</definedName>
    <definedName name="DAF_6">#REF!</definedName>
    <definedName name="Daf_mat">#REF!</definedName>
    <definedName name="Daf_mat_23">#REF!</definedName>
    <definedName name="Daf_mat_25">#REF!</definedName>
    <definedName name="Daf_mt">#REF!</definedName>
    <definedName name="Daf_mt_23">#REF!</definedName>
    <definedName name="Daf_mt_25">#REF!</definedName>
    <definedName name="daftar1">#REF!</definedName>
    <definedName name="DAFTARPERSONIL">#REF!</definedName>
    <definedName name="DAFTARREMUNERASI">#REF!</definedName>
    <definedName name="DAFTARSEWA">#REF!</definedName>
    <definedName name="daikin">#REF!</definedName>
    <definedName name="dak">#REF!</definedName>
    <definedName name="dana">#REF!</definedName>
    <definedName name="danan">HAJIME:OWARI</definedName>
    <definedName name="dapat">#REF!</definedName>
    <definedName name="DARULARKOM">#REF!</definedName>
    <definedName name="data">#REF!</definedName>
    <definedName name="data_10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DatabaseBarang">#REF!</definedName>
    <definedName name="DataPivot">#REF!</definedName>
    <definedName name="DataSisa">#REF!</definedName>
    <definedName name="DATAUPAH">#REF!</definedName>
    <definedName name="datay">#REF!</definedName>
    <definedName name="Date">#REF!</definedName>
    <definedName name="date1">#REF!</definedName>
    <definedName name="daunpintuhollow30\nonjasa">#REF!</definedName>
    <definedName name="daunpintusiku30\nonjasa">#REF!</definedName>
    <definedName name="daunpintuukir\nonjasa">#REF!</definedName>
    <definedName name="DAX">#REF!</definedName>
    <definedName name="daywork">#REF!</definedName>
    <definedName name="DAYWORKS">#REF!</definedName>
    <definedName name="db">#REF!</definedName>
    <definedName name="dbdssfn">STOP:STOPE</definedName>
    <definedName name="dbdssfn_10">#REF!:#REF!</definedName>
    <definedName name="dbdssfn_11">#REF!:#REF!</definedName>
    <definedName name="dbdssfn_12">#REF!:#REF!</definedName>
    <definedName name="dbdssfn_14">#REF!:#REF!</definedName>
    <definedName name="dbdssfn_15">#REF!:#REF!</definedName>
    <definedName name="dbdssfn_16">#REF!:#REF!</definedName>
    <definedName name="dbdssfn_17">#REF!:#REF!</definedName>
    <definedName name="dbdssfn_18">#REF!:#REF!</definedName>
    <definedName name="dbdssfn_19">#REF!:#REF!</definedName>
    <definedName name="dbdssfn_20">#REF!:#REF!</definedName>
    <definedName name="dbdssfn_22">#REF!:#REF!</definedName>
    <definedName name="dbdssfn_23">#REF!:#REF!</definedName>
    <definedName name="dbdssfn_24">#REF!:#REF!</definedName>
    <definedName name="dbdssfn_25">#REF!:#REF!</definedName>
    <definedName name="dbdssfn_5">#REF!:#REF!</definedName>
    <definedName name="dbdssfn_6">#REF!:#REF!</definedName>
    <definedName name="dbdssfn_7">#REF!:#REF!</definedName>
    <definedName name="dbdssfn_8">#REF!:#REF!</definedName>
    <definedName name="DBX">#REF!</definedName>
    <definedName name="dc">#REF!</definedName>
    <definedName name="dc_10">#REF!</definedName>
    <definedName name="dc_9">#REF!</definedName>
    <definedName name="dcd">#REF!</definedName>
    <definedName name="DClo1">#REF!</definedName>
    <definedName name="DClo2">#REF!</definedName>
    <definedName name="DCUBJLS">#REF!</definedName>
    <definedName name="DCX">#REF!</definedName>
    <definedName name="dd">#REF!</definedName>
    <definedName name="dd1pnc">"'file:///d:/project/energyhouse2/energyhouse2-mainkontraktor/energyhouse2-mainkontraktor-tender/energyhouse2-mainkontraktor-tender-boq/misc/congviec/tam.xls'#$chitiet.$g$404"</definedName>
    <definedName name="dd1pvl">"'file:///d:/project/energyhouse2/energyhouse2-mainkontraktor/energyhouse2-mainkontraktor-tender/energyhouse2-mainkontraktor-tender-boq/misc/congviec/tam.xls'#$chitiet.$g$383"</definedName>
    <definedName name="dd1x2">"'file:///d:/project/energyhouse2/energyhouse2-mainkontraktor/energyhouse2-mainkontraktor-tender/energyhouse2-mainkontraktor-tender-boq/misc/do-huong/gt-bo/tktc10-8/phong%20nen/dt-thl7.xls'#$gvl.$n$9"</definedName>
    <definedName name="dd3pctnc">NA()</definedName>
    <definedName name="dd3pctvl">NA()</definedName>
    <definedName name="dd3plmvl">NA()</definedName>
    <definedName name="dd3pnc">NA()</definedName>
    <definedName name="dd3pvl">NA()</definedName>
    <definedName name="DDD">#REF!</definedName>
    <definedName name="dddddddddd">#REF!</definedName>
    <definedName name="ddddddddddddddddddddd">#REF!</definedName>
    <definedName name="ddg">#REF!</definedName>
    <definedName name="ddhtnc">NA()</definedName>
    <definedName name="ddhtvl">NA()</definedName>
    <definedName name="ddk">#REF!</definedName>
    <definedName name="ddluar">#REF!</definedName>
    <definedName name="ddt2nc">NA()</definedName>
    <definedName name="ddt2vl">NA()</definedName>
    <definedName name="ddtd3pnc">NA()</definedName>
    <definedName name="ddtt1pnc">NA()</definedName>
    <definedName name="ddtt1pvl">NA()</definedName>
    <definedName name="ddtt3pnc">NA()</definedName>
    <definedName name="ddtt3pvl">NA()</definedName>
    <definedName name="DDX">#REF!</definedName>
    <definedName name="De.uro">#REF!</definedName>
    <definedName name="deb">#REF!</definedName>
    <definedName name="Deckslab316">#REF!</definedName>
    <definedName name="Deckslab400">#REF!</definedName>
    <definedName name="dede">#REF!</definedName>
    <definedName name="def">#REF!</definedName>
    <definedName name="DEFFGB">#REF!</definedName>
    <definedName name="DEFFGB_10">#REF!:#REF!</definedName>
    <definedName name="DEFFGB_11">#REF!:#REF!</definedName>
    <definedName name="DEFFGB_12">#REF!:#REF!</definedName>
    <definedName name="DEFFGB_14">#REF!:#REF!</definedName>
    <definedName name="DEFFGB_15">#REF!:#REF!</definedName>
    <definedName name="DEFFGB_16">#REF!:#REF!</definedName>
    <definedName name="DEFFGB_17">#REF!:#REF!</definedName>
    <definedName name="DEFFGB_18">#REF!:#REF!</definedName>
    <definedName name="DEFFGB_19">#REF!:#REF!</definedName>
    <definedName name="DEFFGB_20">#REF!:#REF!</definedName>
    <definedName name="DEFFGB_22">#REF!:#REF!</definedName>
    <definedName name="DEFFGB_23">#REF!:#REF!</definedName>
    <definedName name="DEFFGB_24">#REF!:#REF!</definedName>
    <definedName name="DEFFGB_25">#REF!:#REF!</definedName>
    <definedName name="DEFFGB_5">#REF!:#REF!</definedName>
    <definedName name="DEFFGB_6">#REF!:#REF!</definedName>
    <definedName name="DEFFGB_7">#REF!:#REF!</definedName>
    <definedName name="DEFFGB_8">#REF!:#REF!</definedName>
    <definedName name="deg" hidden="1">{"'Sheet1'!$A$1"}</definedName>
    <definedName name="dek">#REF!</definedName>
    <definedName name="demkayu">#REF!</definedName>
    <definedName name="DEMPUL">#REF!</definedName>
    <definedName name="Dempulduco">#REF!</definedName>
    <definedName name="Dempulkayumtmenengah">#REF!</definedName>
    <definedName name="DENI">#REF!</definedName>
    <definedName name="deniac">#REF!</definedName>
    <definedName name="depan">STOP:STOPE</definedName>
    <definedName name="DER" hidden="1">{"'Sheet1'!$A$1"}</definedName>
    <definedName name="deryt" hidden="1">{"'Sheet1'!$A$1"}</definedName>
    <definedName name="DES">#REF!</definedName>
    <definedName name="DESRP">#REF!</definedName>
    <definedName name="DESU">#REF!</definedName>
    <definedName name="DESUP">#REF!</definedName>
    <definedName name="DESUS">#REF!</definedName>
    <definedName name="DETASIR">#REF!</definedName>
    <definedName name="DetasirNew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TNEWDARMIL">#REF!</definedName>
    <definedName name="DETNEWDARSIPIL">#REF!</definedName>
    <definedName name="DETNEWNORMAL">#REF!</definedName>
    <definedName name="dev">#REF!</definedName>
    <definedName name="dewa">#REF!</definedName>
    <definedName name="dewi2">#REF!</definedName>
    <definedName name="dewi6">#REF!</definedName>
    <definedName name="df">#REF!</definedName>
    <definedName name="DFBCBZ_10">#REF!:#REF!</definedName>
    <definedName name="DFBCBZ_11">#REF!:#REF!</definedName>
    <definedName name="DFBCBZ_12">#REF!:#REF!</definedName>
    <definedName name="DFBCBZ_14">#REF!:#REF!</definedName>
    <definedName name="DFBCBZ_15">#REF!:#REF!</definedName>
    <definedName name="DFBCBZ_16">#REF!:#REF!</definedName>
    <definedName name="DFBCBZ_17">#REF!:#REF!</definedName>
    <definedName name="DFBCBZ_18">#REF!:#REF!</definedName>
    <definedName name="DFBCBZ_19">#REF!:#REF!</definedName>
    <definedName name="DFBCBZ_20">#REF!:#REF!</definedName>
    <definedName name="DFBCBZ_22">#REF!:#REF!</definedName>
    <definedName name="DFBCBZ_23">#REF!:#REF!</definedName>
    <definedName name="DFBCBZ_24">#REF!:#REF!</definedName>
    <definedName name="DFBCBZ_25">#REF!:#REF!</definedName>
    <definedName name="DFBCBZ_5">#REF!:#REF!</definedName>
    <definedName name="DFBCBZ_6">#REF!:#REF!</definedName>
    <definedName name="DFBCBZ_7">#REF!:#REF!</definedName>
    <definedName name="DFBCBZ_8">#REF!:#REF!</definedName>
    <definedName name="DFDF">#REF!</definedName>
    <definedName name="DFDF_1">#REF!</definedName>
    <definedName name="DFDF_23">#REF!</definedName>
    <definedName name="DFDF_25">#REF!</definedName>
    <definedName name="dff" hidden="1">{"'Sheet1'!$A$1"}</definedName>
    <definedName name="dffd">#REF!</definedName>
    <definedName name="dfff" hidden="1">{"'Sheet1'!$A$1"}</definedName>
    <definedName name="dffhh" hidden="1">{"'Sheet1'!$A$1"}</definedName>
    <definedName name="dfg">#REF!</definedName>
    <definedName name="dfghh" hidden="1">{"'Sheet1'!$A$1"}</definedName>
    <definedName name="dfgrg" hidden="1">{"'Sheet1'!$A$1"}</definedName>
    <definedName name="dfhh" hidden="1">{"'Sheet1'!$A$1"}</definedName>
    <definedName name="dfyhj" hidden="1">{"'Sheet1'!$A$1"}</definedName>
    <definedName name="Dg">#REF!</definedName>
    <definedName name="dge4g" hidden="1">{"'Sheet1'!$A$1"}</definedName>
    <definedName name="dgk">#REF!</definedName>
    <definedName name="DGM">#REF!</definedName>
    <definedName name="dgnc">"$#REF!.$A$255:$G$420"</definedName>
    <definedName name="DGTH">NA()</definedName>
    <definedName name="DGTH1">#REF!</definedName>
    <definedName name="dgth2">#REF!</definedName>
    <definedName name="DGTR">#REF!</definedName>
    <definedName name="dgvl">"$#REF!.$A$5:$H$248"</definedName>
    <definedName name="DGVL1">#REF!</definedName>
    <definedName name="DGVT">#REF!</definedName>
    <definedName name="dhdh" hidden="1">{"'Sheet1'!$A$1"}</definedName>
    <definedName name="dhj" hidden="1">{"'Sheet1'!$A$1"}</definedName>
    <definedName name="dhjrt" hidden="1">{"'Sheet1'!$A$1"}</definedName>
    <definedName name="dhreje">#REF!</definedName>
    <definedName name="dhreje_10">#REF!:#REF!</definedName>
    <definedName name="dhreje_11">#REF!:#REF!</definedName>
    <definedName name="dhreje_12">#REF!:#REF!</definedName>
    <definedName name="dhreje_14">#REF!:#REF!</definedName>
    <definedName name="dhreje_15">#REF!:#REF!</definedName>
    <definedName name="dhreje_16">#REF!:#REF!</definedName>
    <definedName name="dhreje_17">#REF!:#REF!</definedName>
    <definedName name="dhreje_18">#REF!:#REF!</definedName>
    <definedName name="dhreje_19">#REF!:#REF!</definedName>
    <definedName name="dhreje_20">#REF!:#REF!</definedName>
    <definedName name="dhreje_22">#REF!:#REF!</definedName>
    <definedName name="dhreje_23">#REF!:#REF!</definedName>
    <definedName name="dhreje_24">#REF!:#REF!</definedName>
    <definedName name="dhreje_25">#REF!:#REF!</definedName>
    <definedName name="dhreje_5">#REF!:#REF!</definedName>
    <definedName name="dhreje_6">#REF!:#REF!</definedName>
    <definedName name="dhreje_7">#REF!:#REF!</definedName>
    <definedName name="dhreje_8">#REF!:#REF!</definedName>
    <definedName name="DHVF">#REF!</definedName>
    <definedName name="DI">HAJIME:OWARI</definedName>
    <definedName name="Diabor">#REF!</definedName>
    <definedName name="Diapragma316">#REF!</definedName>
    <definedName name="Diapragma400">#REF!</definedName>
    <definedName name="diapragma405">#REF!</definedName>
    <definedName name="dibet30">#REF!</definedName>
    <definedName name="DIDIK">#REF!</definedName>
    <definedName name="diffuser">#REF!</definedName>
    <definedName name="dika">#REF!</definedName>
    <definedName name="dika1">#REF!</definedName>
    <definedName name="diletasi">#REF!</definedName>
    <definedName name="dind30b220">#REF!</definedName>
    <definedName name="dindgrc">#REF!</definedName>
    <definedName name="dinding1">#REF!</definedName>
    <definedName name="dindingbeton200">#REF!</definedName>
    <definedName name="dindingbeton250">#REF!</definedName>
    <definedName name="dindingbeton300">#REF!</definedName>
    <definedName name="dindinggrc">#REF!</definedName>
    <definedName name="dindingkayu">#REF!</definedName>
    <definedName name="dindingpemisah">#REF!</definedName>
    <definedName name="dindingulang">#REF!</definedName>
    <definedName name="dinker20">#REF!</definedName>
    <definedName name="dir">#REF!</definedName>
    <definedName name="direksi">#REF!</definedName>
    <definedName name="direksikit">#REF!</definedName>
    <definedName name="dirgud">#REF!</definedName>
    <definedName name="dirkit">#REF!</definedName>
    <definedName name="disc">#REF!</definedName>
    <definedName name="DISC.">#REF!</definedName>
    <definedName name="disc1">#REF!</definedName>
    <definedName name="discker">#REF!</definedName>
    <definedName name="discmbb">#REF!</definedName>
    <definedName name="Discount" hidden="1">#REF!</definedName>
    <definedName name="Discpin">#REF!</definedName>
    <definedName name="DISDIFF">#REF!</definedName>
    <definedName name="Disenza">#REF!</definedName>
    <definedName name="DISFLEX">#REF!</definedName>
    <definedName name="Disgran">#REF!</definedName>
    <definedName name="display">#REF!</definedName>
    <definedName name="display_area_2" hidden="1">#REF!</definedName>
    <definedName name="disPM">#REF!</definedName>
    <definedName name="disPM_6">#REF!</definedName>
    <definedName name="disrogres">#N/A</definedName>
    <definedName name="Disrom">#REF!</definedName>
    <definedName name="disromes">"$#REF!.$K$4821"</definedName>
    <definedName name="disromgres">#N/A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isi">#REF!</definedName>
    <definedName name="Divisi8">#REF!</definedName>
    <definedName name="DjAnT">#REF!</definedName>
    <definedName name="DjAwT">#REF!</definedName>
    <definedName name="dka">#REF!</definedName>
    <definedName name="dker20">#REF!</definedName>
    <definedName name="dkk">#REF!</definedName>
    <definedName name="Dl">#REF!</definedName>
    <definedName name="DL15HT">NA()</definedName>
    <definedName name="DL16HT">NA()</definedName>
    <definedName name="DL19HT">NA()</definedName>
    <definedName name="dl20dl">#REF!</definedName>
    <definedName name="DL20HT">NA()</definedName>
    <definedName name="dldl1100">#REF!</definedName>
    <definedName name="dldl160">#REF!</definedName>
    <definedName name="dldl180">#REF!</definedName>
    <definedName name="dldlg100">#REF!</definedName>
    <definedName name="dletasijeene">#REF!</definedName>
    <definedName name="dlh20c">#REF!</definedName>
    <definedName name="dlh20nb">#REF!</definedName>
    <definedName name="dlh50nb">#REF!</definedName>
    <definedName name="DLL">#REF!</definedName>
    <definedName name="dllg100">#REF!</definedName>
    <definedName name="dllg100a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_c">#REF!</definedName>
    <definedName name="dmp_e">#REF!</definedName>
    <definedName name="dmp_i">#REF!</definedName>
    <definedName name="Dmpdc">#REF!</definedName>
    <definedName name="DmpKc">#REF!</definedName>
    <definedName name="Dmpln">#REF!</definedName>
    <definedName name="DmpPk">#REF!</definedName>
    <definedName name="Dmppr">#REF!</definedName>
    <definedName name="dms">#REF!</definedName>
    <definedName name="Dn.Jnl.10001">#REF!</definedName>
    <definedName name="Dobel_Pintu_Teakwood">"$#REF!.$F$52"</definedName>
    <definedName name="DODOL">#REF!</definedName>
    <definedName name="Dolar">#REF!</definedName>
    <definedName name="dolar04">#REF!</definedName>
    <definedName name="dolken">#REF!</definedName>
    <definedName name="dolkin4">#REF!</definedName>
    <definedName name="DOLLAR">NA()</definedName>
    <definedName name="DOLLAR_TAM">NA()</definedName>
    <definedName name="Dollars">#REF!</definedName>
    <definedName name="DOLSing">#REF!</definedName>
    <definedName name="DOMBA">#REF!</definedName>
    <definedName name="dongia">#REF!</definedName>
    <definedName name="dongia1">#REF!</definedName>
    <definedName name="Doorclosergriff983">#REF!</definedName>
    <definedName name="doorcluser\nonjasa">#REF!</definedName>
    <definedName name="doorstop\nonjasa">#REF!</definedName>
    <definedName name="DoorstopDKS887PB\SN">#REF!</definedName>
    <definedName name="dorma">#REF!</definedName>
    <definedName name="Doubleclindergrif">#REF!</definedName>
    <definedName name="doublecylinder\nonjasa">#REF!</definedName>
    <definedName name="DoublerobehookTS118WS">#REF!</definedName>
    <definedName name="dozer">#REF!</definedName>
    <definedName name="dozer_9">#REF!</definedName>
    <definedName name="Dozzer">#REF!</definedName>
    <definedName name="Dozzr">#REF!</definedName>
    <definedName name="dP">#REF!</definedName>
    <definedName name="dpa">#REF!</definedName>
    <definedName name="DpaNt">#REF!</definedName>
    <definedName name="DpaWr">#REF!</definedName>
    <definedName name="dpk">#REF!</definedName>
    <definedName name="DR">#REF!</definedName>
    <definedName name="dragon">#REF!</definedName>
    <definedName name="DrakL">#REF!</definedName>
    <definedName name="drh" hidden="1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">#REF!</definedName>
    <definedName name="drkeet">#REF!</definedName>
    <definedName name="drop">#REF!</definedName>
    <definedName name="DS">#REF!</definedName>
    <definedName name="DS_No">#REF!</definedName>
    <definedName name="ds1pnc">"$#REF!.$G$294"</definedName>
    <definedName name="ds1pvl">"$#REF!.$G$269"</definedName>
    <definedName name="ds3pnc">"$#REF!.$#REF!$#REF!"</definedName>
    <definedName name="ds3pvl">"$#REF!.$#REF!$#REF!"</definedName>
    <definedName name="dsaf">#REF!</definedName>
    <definedName name="DSC">#REF!</definedName>
    <definedName name="dsct3pnc">NA()</definedName>
    <definedName name="dsct3pvl">NA()</definedName>
    <definedName name="DSF">#REF!</definedName>
    <definedName name="dsfsg">#REF!</definedName>
    <definedName name="dsidlug62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#REF!</definedName>
    <definedName name="dt.35_9">#REF!</definedName>
    <definedName name="Dt.5">#REF!</definedName>
    <definedName name="Dt.5_9">#REF!</definedName>
    <definedName name="dt6ton">#REF!</definedName>
    <definedName name="DTengkel">#REF!</definedName>
    <definedName name="dthhh" hidden="1">{"'Sheet1'!$A$1"}</definedName>
    <definedName name="dthrtj" hidden="1">{"'Sheet1'!$A$1"}</definedName>
    <definedName name="dtr">#REF!</definedName>
    <definedName name="DTSW">#REF!</definedName>
    <definedName name="DTtronton">#REF!</definedName>
    <definedName name="duco">#REF!</definedName>
    <definedName name="duct_isolasi">#REF!</definedName>
    <definedName name="duct_soundliner">#REF!</definedName>
    <definedName name="duct_tanpa">#REF!</definedName>
    <definedName name="duiker">#REF!</definedName>
    <definedName name="duiker40">#REF!</definedName>
    <definedName name="duikerU40">#REF!</definedName>
    <definedName name="duikerU60">#REF!</definedName>
    <definedName name="duk">#REF!</definedName>
    <definedName name="dump">#REF!</definedName>
    <definedName name="Dump_Truck">#REF!</definedName>
    <definedName name="DUMPTRUCK1">#REF!</definedName>
    <definedName name="DUMPTRUCK2">#REF!</definedName>
    <definedName name="duong1">NA()</definedName>
    <definedName name="duong2">NA()</definedName>
    <definedName name="duong3">NA()</definedName>
    <definedName name="duong4">NA()</definedName>
    <definedName name="duong5">NA()</definedName>
    <definedName name="dvve" hidden="1">{"'Sheet1'!$A$1"}</definedName>
    <definedName name="dw">#REF!</definedName>
    <definedName name="dzb">"$#REF!.$#REF!$#REF!"</definedName>
    <definedName name="E">"$#REF!.$#REF!$#REF!"</definedName>
    <definedName name="E.001">#REF!</definedName>
    <definedName name="E.010">#REF!</definedName>
    <definedName name="E.020">#REF!</definedName>
    <definedName name="E.032">#REF!</definedName>
    <definedName name="E.051">#REF!</definedName>
    <definedName name="E.052">#REF!</definedName>
    <definedName name="E.06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6">#REF!</definedName>
    <definedName name="E.087">#REF!</definedName>
    <definedName name="E.088">#REF!</definedName>
    <definedName name="E.089">#REF!</definedName>
    <definedName name="e.091">#REF!</definedName>
    <definedName name="e.092">#REF!</definedName>
    <definedName name="E.150">#REF!</definedName>
    <definedName name="E.153">#REF!</definedName>
    <definedName name="e.154">#REF!</definedName>
    <definedName name="E.157">#REF!</definedName>
    <definedName name="E.172">#REF!</definedName>
    <definedName name="E.182">#REF!</definedName>
    <definedName name="e.211">#REF!</definedName>
    <definedName name="E.212">#REF!</definedName>
    <definedName name="E.221">#REF!</definedName>
    <definedName name="E.243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1">#REF!</definedName>
    <definedName name="E.6.32">#REF!</definedName>
    <definedName name="E.6.33">#REF!</definedName>
    <definedName name="E.6.35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_1">#REF!</definedName>
    <definedName name="e35u" hidden="1">{#N/A,#N/A,FALSE,"REK-S-TPL";#N/A,#N/A,FALSE,"REK-TPML";#N/A,#N/A,FALSE,"RAB-TEMPEL"}</definedName>
    <definedName name="EA">#REF!</definedName>
    <definedName name="EA_23">#REF!</definedName>
    <definedName name="EA_25">#REF!</definedName>
    <definedName name="EA1.1">#REF!</definedName>
    <definedName name="EA1.1_23">#REF!</definedName>
    <definedName name="EA1.1_25">#REF!</definedName>
    <definedName name="EA1.2">#REF!</definedName>
    <definedName name="EA1.2_23">#REF!</definedName>
    <definedName name="EA1.2_25">#REF!</definedName>
    <definedName name="EA1.3">#REF!</definedName>
    <definedName name="EA1.3_23">#REF!</definedName>
    <definedName name="EA1.3_25">#REF!</definedName>
    <definedName name="EA2.1">#REF!</definedName>
    <definedName name="EA2.1_23">#REF!</definedName>
    <definedName name="EA2.1_25">#REF!</definedName>
    <definedName name="EA2.2">#REF!</definedName>
    <definedName name="EA2.2_23">#REF!</definedName>
    <definedName name="EA2.2_25">#REF!</definedName>
    <definedName name="EA2.3">#REF!</definedName>
    <definedName name="EA2.3_23">#REF!</definedName>
    <definedName name="EA2.3_25">#REF!</definedName>
    <definedName name="EA2.5">#REF!</definedName>
    <definedName name="EA2.5_23">#REF!</definedName>
    <definedName name="EA2.5_25">#REF!</definedName>
    <definedName name="EA2.6">#REF!</definedName>
    <definedName name="EA2.6_23">#REF!</definedName>
    <definedName name="EA2.6_25">#REF!</definedName>
    <definedName name="EA2.7">#REF!</definedName>
    <definedName name="EA2.7_23">#REF!</definedName>
    <definedName name="EA2.7_25">#REF!</definedName>
    <definedName name="EA2.8">#REF!</definedName>
    <definedName name="EA2.8_23">#REF!</definedName>
    <definedName name="EA2.8_25">#REF!</definedName>
    <definedName name="EA21.1">#REF!</definedName>
    <definedName name="EA21.1_23">#REF!</definedName>
    <definedName name="EA21.1_25">#REF!</definedName>
    <definedName name="EA21.2">#REF!</definedName>
    <definedName name="EA21.2_23">#REF!</definedName>
    <definedName name="EA21.2_25">#REF!</definedName>
    <definedName name="EA21.3">#REF!</definedName>
    <definedName name="EA21.3_23">#REF!</definedName>
    <definedName name="EA21.3_25">#REF!</definedName>
    <definedName name="EA21.4">#REF!</definedName>
    <definedName name="EA21.4_23">#REF!</definedName>
    <definedName name="EA21.4_25">#REF!</definedName>
    <definedName name="EA21.5">#REF!</definedName>
    <definedName name="EA21.5_23">#REF!</definedName>
    <definedName name="EA21.5_25">#REF!</definedName>
    <definedName name="EA3.1">#REF!</definedName>
    <definedName name="EA3.1_23">#REF!</definedName>
    <definedName name="EA3.1_25">#REF!</definedName>
    <definedName name="EA3.2">#REF!</definedName>
    <definedName name="EA3.2_23">#REF!</definedName>
    <definedName name="EA3.2_25">#REF!</definedName>
    <definedName name="EA3.3">#REF!</definedName>
    <definedName name="EA3.3_23">#REF!</definedName>
    <definedName name="EA3.3_25">#REF!</definedName>
    <definedName name="EA3.4">#REF!</definedName>
    <definedName name="EA3.4_23">#REF!</definedName>
    <definedName name="EA3.4_25">#REF!</definedName>
    <definedName name="eb">#REF!</definedName>
    <definedName name="EB_23">#REF!</definedName>
    <definedName name="EB_25">#REF!</definedName>
    <definedName name="EB1.1">#REF!</definedName>
    <definedName name="EB1.1_23">#REF!</definedName>
    <definedName name="EB1.1_25">#REF!</definedName>
    <definedName name="ec">#REF!</definedName>
    <definedName name="EC1.1">#REF!</definedName>
    <definedName name="EC1.1_23">#REF!</definedName>
    <definedName name="EC1.1_25">#REF!</definedName>
    <definedName name="ECONT">#REF!</definedName>
    <definedName name="ed">#REF!</definedName>
    <definedName name="ED1.1">#REF!</definedName>
    <definedName name="ED1.1_23">#REF!</definedName>
    <definedName name="ED1.1_25">#REF!</definedName>
    <definedName name="ediit">#REF!</definedName>
    <definedName name="edit">#REF!</definedName>
    <definedName name="EE">#REF!</definedName>
    <definedName name="eee">#REF!</definedName>
    <definedName name="EEE06REV">#REF!</definedName>
    <definedName name="EEE09REV1">#REF!</definedName>
    <definedName name="EEE17REV">#REF!</definedName>
    <definedName name="EEE17REV1">#REF!</definedName>
    <definedName name="eeee">#REF!</definedName>
    <definedName name="EEX">#REF!</definedName>
    <definedName name="ef">#REF!</definedName>
    <definedName name="efg" hidden="1">{"'Sheet1'!$A$1"}</definedName>
    <definedName name="EFX">#REF!</definedName>
    <definedName name="eg">#REF!</definedName>
    <definedName name="EGA">#REF!</definedName>
    <definedName name="egfbs_10">#REF!:#REF!</definedName>
    <definedName name="egfbs_11">#REF!:#REF!</definedName>
    <definedName name="egfbs_12">#REF!:#REF!</definedName>
    <definedName name="egfbs_14">#REF!:#REF!</definedName>
    <definedName name="egfbs_15">#REF!:#REF!</definedName>
    <definedName name="egfbs_16">#REF!:#REF!</definedName>
    <definedName name="egfbs_17">#REF!:#REF!</definedName>
    <definedName name="egfbs_18">#REF!:#REF!</definedName>
    <definedName name="egfbs_19">#REF!:#REF!</definedName>
    <definedName name="egfbs_20">#REF!:#REF!</definedName>
    <definedName name="egfbs_22">#REF!:#REF!</definedName>
    <definedName name="egfbs_23">#REF!:#REF!</definedName>
    <definedName name="egfbs_24">#REF!:#REF!</definedName>
    <definedName name="egfbs_25">#REF!:#REF!</definedName>
    <definedName name="egfbs_5">#REF!:#REF!</definedName>
    <definedName name="egfbs_6">#REF!:#REF!</definedName>
    <definedName name="egfbs_7">#REF!:#REF!</definedName>
    <definedName name="egfbs_8">#REF!:#REF!</definedName>
    <definedName name="EGO">#REF!</definedName>
    <definedName name="EGX">#REF!</definedName>
    <definedName name="Eharm">#REF!</definedName>
    <definedName name="EHX">#REF!</definedName>
    <definedName name="EJdUn">#REF!</definedName>
    <definedName name="ejjj" hidden="1">{"'Sheet1'!$A$1"}</definedName>
    <definedName name="EJX">#REF!</definedName>
    <definedName name="EKX">#REF!</definedName>
    <definedName name="El">#REF!</definedName>
    <definedName name="ElastomericA">#REF!</definedName>
    <definedName name="ElastomericB">#REF!</definedName>
    <definedName name="elbo">#REF!</definedName>
    <definedName name="elek">#REF!</definedName>
    <definedName name="ELEKT">#REF!</definedName>
    <definedName name="ELEKTRIKAL">#REF!</definedName>
    <definedName name="ELEKTRIKAL_23">#REF!</definedName>
    <definedName name="ELEKTRIKAL_25">#REF!</definedName>
    <definedName name="Elektronik">#REF!</definedName>
    <definedName name="ELX">#REF!</definedName>
    <definedName name="em">#REF!</definedName>
    <definedName name="embankment">#REF!</definedName>
    <definedName name="EMPLOY._WELFARE">#REF!</definedName>
    <definedName name="emulsion">#REF!</definedName>
    <definedName name="eng.nil">#REF!</definedName>
    <definedName name="engjnd">#REF!</definedName>
    <definedName name="engkupu">#REF!</definedName>
    <definedName name="ENGP">#REF!</definedName>
    <definedName name="engpnt">#REF!</definedName>
    <definedName name="engptr">#REF!</definedName>
    <definedName name="engsel.pintu\ps">#REF!</definedName>
    <definedName name="Engsel_jendela__H__kecil">#REF!</definedName>
    <definedName name="Engsel_pintu__H__besar">#REF!</definedName>
    <definedName name="Engsel4kend">#REF!</definedName>
    <definedName name="engseljendela3\nonjasa">#REF!</definedName>
    <definedName name="engselpintu4\nonjasa">#REF!</definedName>
    <definedName name="enje">#REF!</definedName>
    <definedName name="Entr4">#REF!</definedName>
    <definedName name="ENTRANCE">#REF!</definedName>
    <definedName name="eol">#REF!</definedName>
    <definedName name="epi.hid">#REF!</definedName>
    <definedName name="EPnUn">#REF!</definedName>
    <definedName name="epoxyclear">#REF!</definedName>
    <definedName name="epoxyenamel">#REF!</definedName>
    <definedName name="EPPat">#REF!</definedName>
    <definedName name="EQP">#REF!</definedName>
    <definedName name="equ">#REF!</definedName>
    <definedName name="EQUIP___MACHINE">#REF!</definedName>
    <definedName name="EQUIP_RE_EXPORT">#REF!</definedName>
    <definedName name="equipmen">#REF!</definedName>
    <definedName name="equipment">#REF!</definedName>
    <definedName name="EQUIT">#REF!</definedName>
    <definedName name="EQUPSBI">#REF!</definedName>
    <definedName name="eqw" hidden="1">{#N/A,#N/A,FALSE,"REK";#N/A,#N/A,FALSE,"rab"}</definedName>
    <definedName name="eqwgtqwegt" hidden="1">{#N/A,#N/A,FALSE,"REK";#N/A,#N/A,FALSE,"Bq-ARS"}</definedName>
    <definedName name="er">#REF!</definedName>
    <definedName name="ERA">#REF!</definedName>
    <definedName name="erection">#REF!</definedName>
    <definedName name="erhe" hidden="1">{"'Sheet1'!$A$1"}</definedName>
    <definedName name="eru" hidden="1">{"'Sheet1'!$A$1"}</definedName>
    <definedName name="erwwq">#REF!</definedName>
    <definedName name="eryrt" hidden="1">{"'Sheet1'!$A$1"}</definedName>
    <definedName name="ESL.JDL.10001">#REF!</definedName>
    <definedName name="ESL.PT.10001">#REF!</definedName>
    <definedName name="ESP.10001">#REF!</definedName>
    <definedName name="Espag">#REF!</definedName>
    <definedName name="Essenza">#N/A</definedName>
    <definedName name="essenza20">#REF!</definedName>
    <definedName name="eswtrhj" hidden="1">{#N/A,#N/A,FALSE,"REK-S-TPL";#N/A,#N/A,FALSE,"REK-TPML";#N/A,#N/A,FALSE,"RAB-TEMPEL"}</definedName>
    <definedName name="ET">#REF!</definedName>
    <definedName name="eter">#REF!</definedName>
    <definedName name="eternit">#REF!</definedName>
    <definedName name="Eternit__100_x_100_cm_3_mm_ex._atrisco">#REF!</definedName>
    <definedName name="Eternit_100_X_100_CM">#REF!</definedName>
    <definedName name="EUR">#REF!</definedName>
    <definedName name="euro">#REF!</definedName>
    <definedName name="ew_cw">#REF!</definedName>
    <definedName name="ewg" hidden="1">{"'Sheet1'!$A$1"}</definedName>
    <definedName name="ewr">#REF!</definedName>
    <definedName name="Exava">#REF!</definedName>
    <definedName name="exc">#REF!</definedName>
    <definedName name="exc_1">#REF!</definedName>
    <definedName name="exca">#REF!</definedName>
    <definedName name="Excavator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4_1_1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2">"$#REF!.$A$16:$AL$1932"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_1">"$#REF!.$A$16:$AI$71"</definedName>
    <definedName name="Excel_BuiltIn_Print_Area_13">#REF!</definedName>
    <definedName name="Excel_BuiltIn_Print_Area_13_1_1">"$#REF!.$A$1:$G$32"</definedName>
    <definedName name="Excel_BuiltIn_Print_Area_13_1_1_1">"$#REF!.$A$1:$I$32"</definedName>
    <definedName name="Excel_BuiltIn_Print_Area_14">#REF!</definedName>
    <definedName name="Excel_BuiltIn_Print_Area_15">"$#REF!.$A$1:$AR$28"</definedName>
    <definedName name="Excel_BuiltIn_Print_Area_16">"$#REF!.$A$1:$U$156"</definedName>
    <definedName name="Excel_BuiltIn_Print_Area_16_1">"$#REF!.$A$1:$U$181"</definedName>
    <definedName name="Excel_BuiltIn_Print_Area_16_1_1">"$#REF!.$A$1:$U$224"</definedName>
    <definedName name="Excel_BuiltIn_Print_Area_16_1_1_1">"$#REF!.$A$1:$R$59"</definedName>
    <definedName name="Excel_BuiltIn_Print_Area_16_1_1_1_1">"$#REF!.$A$1:$G$122"</definedName>
    <definedName name="Excel_BuiltIn_Print_Area_16_1_1_1_1_1">"$#REF!.$A$1:$K$73"</definedName>
    <definedName name="Excel_BuiltIn_Print_Area_17">"$#REF!.$A$1:$U$41"</definedName>
    <definedName name="Excel_BuiltIn_Print_Area_17_1_1">"$#REF!.$A$1:$U$80"</definedName>
    <definedName name="Excel_BuiltIn_Print_Area_17_1_1_1">"$#REF!.$A$1:$U$83"</definedName>
    <definedName name="Excel_BuiltIn_Print_Area_17_1_1_1_1">"$#REF!.$A$1:$U$84"</definedName>
    <definedName name="Excel_BuiltIn_Print_Area_17_1_1_1_1_1">"$#REF!.$A$1:$R$89"</definedName>
    <definedName name="Excel_BuiltIn_Print_Area_17_1_1_1_1_1_1">"$#REF!.$A$1:$R$97"</definedName>
    <definedName name="Excel_BuiltIn_Print_Area_17_1_1_1_1_1_1_1">"$#REF!.$A$1:$R$132"</definedName>
    <definedName name="Excel_BuiltIn_Print_Area_18_1">"$#REF!.$A$1:$E$45"</definedName>
    <definedName name="Excel_BuiltIn_Print_Area_18_1_1">"$#REF!.$A$1:$U$30"</definedName>
    <definedName name="Excel_BuiltIn_Print_Area_18_1_1_1">"$#REF!.$A$1:$R$30"</definedName>
    <definedName name="Excel_BuiltIn_Print_Area_18_1_1_1_1">"$#REF!.$A$1:$R$87"</definedName>
    <definedName name="Excel_BuiltIn_Print_Area_19_1">"$'Tender _Diikuti'.$A$#REF!:$G$#REF!"</definedName>
    <definedName name="Excel_BuiltIn_Print_Area_19_1_1">"$#REF!.$A$1:$G$29"</definedName>
    <definedName name="Excel_BuiltIn_Print_Area_19_1_1_1">"$#REF!.$A$1:$G$27"</definedName>
    <definedName name="Excel_BuiltIn_Print_Area_19_1_1_1_1">"$#REF!.$A$1:$F$87"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_1_1_1">"$#REF!.$A$1:$J$85"</definedName>
    <definedName name="Excel_BuiltIn_Print_Area_2_1_1_1_1_1_1_1">"$#REF!.$A$1:$J$423"</definedName>
    <definedName name="Excel_BuiltIn_Print_Area_20_1">"$'Perolehan OK'.$A$#REF!:$G$#REF!"</definedName>
    <definedName name="Excel_BuiltIn_Print_Area_20_1_1">"$'Perolehan OK'.$A$#REF!:$G$#REF!"</definedName>
    <definedName name="Excel_BuiltIn_Print_Area_20_1_1_1">"$#REF!.$A$1:$M$42"</definedName>
    <definedName name="Excel_BuiltIn_Print_Area_21_1">"$'Realisasi OK_Baru'.$A$#REF!:$I$#REF!"</definedName>
    <definedName name="Excel_BuiltIn_Print_Area_21_1_1">"$#REF!.$A$1:$E$20"</definedName>
    <definedName name="Excel_BuiltIn_Print_Area_21_1_1_1">"$#REF!.$A$1:$I$87"</definedName>
    <definedName name="Excel_BuiltIn_Print_Area_22_1">"$#REF!.$A$2:$T$50"</definedName>
    <definedName name="Excel_BuiltIn_Print_Area_23_1">"$#REF!.$A$1:$E$37"</definedName>
    <definedName name="Excel_BuiltIn_Print_Area_25_1">"$#REF!.$A$1:$G$97"</definedName>
    <definedName name="Excel_BuiltIn_Print_Area_25_1_1">"$#REF!.$A$4:$E$37"</definedName>
    <definedName name="Excel_BuiltIn_Print_Area_25_1_1_1">"$#REF!.$A$4:$E$37"</definedName>
    <definedName name="Excel_BuiltIn_Print_Area_26_1">"$#REF!.$A$1:$BI$43"</definedName>
    <definedName name="Excel_BuiltIn_Print_Area_27">"$#REF!.$A$1:$P$28"</definedName>
    <definedName name="Excel_BuiltIn_Print_Area_28">"$#REF!.$A$1:$M$85"</definedName>
    <definedName name="Excel_BuiltIn_Print_Area_28_1">"$#REF!.$A$1:$M$78"</definedName>
    <definedName name="Excel_BuiltIn_Print_Area_29">"$#REF!.$A$1:$Q$41"</definedName>
    <definedName name="Excel_BuiltIn_Print_Area_29_1">"$#REF!.$A$1:$S$41"</definedName>
    <definedName name="Excel_BuiltIn_Print_Area_29_1_1">"$#REF!.$A$15:$M$64"</definedName>
    <definedName name="Excel_BuiltIn_Print_Area_29_1_1_1">"$#REF!.$A$1:$M$52"</definedName>
    <definedName name="Excel_BuiltIn_Print_Area_29_1_1_1_1">"$#REF!.$A$1:$Y$47"</definedName>
    <definedName name="Excel_BuiltIn_Print_Area_3">#REF!</definedName>
    <definedName name="Excel_BuiltIn_Print_Area_3___0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"$#REF!.$A$1:$J$76"</definedName>
    <definedName name="Excel_BuiltIn_Print_Area_30">"$#REF!.$A$1:$AD$28"</definedName>
    <definedName name="Excel_BuiltIn_Print_Area_30_1">"$#REF!.$A$1:$BM$28"</definedName>
    <definedName name="Excel_BuiltIn_Print_Area_30_1_1">"$#REF!.$A$1:$S$62"</definedName>
    <definedName name="Excel_BuiltIn_Print_Area_30_1_1_1">"$#REF!.$A$1:$J$94"</definedName>
    <definedName name="Excel_BuiltIn_Print_Area_30_1_1_1_1">"$#REF!.$A$1:$Y$46"</definedName>
    <definedName name="Excel_BuiltIn_Print_Area_31">"$#REF!.$A$1:$M$409"</definedName>
    <definedName name="Excel_BuiltIn_Print_Area_31_1">"$#REF!.$A$1:$J$68"</definedName>
    <definedName name="Excel_BuiltIn_Print_Area_31_1_1">"$#REF!.$A$1:$K$33"</definedName>
    <definedName name="Excel_BuiltIn_Print_Area_31_1_1_1">"$#REF!.$A$1:$F$140"</definedName>
    <definedName name="Excel_BuiltIn_Print_Area_31_1_1_1_1">"$#REF!.$A$1:$Q$34"</definedName>
    <definedName name="Excel_BuiltIn_Print_Area_32">"$TRMP.$A$#REF!:$J$#REF!"</definedName>
    <definedName name="Excel_BuiltIn_Print_Area_32_1">"$#REF!.$A$1:$G$87"</definedName>
    <definedName name="Excel_BuiltIn_Print_Area_32_1_1">"$#REF!.$A$1:$M$25"</definedName>
    <definedName name="Excel_BuiltIn_Print_Area_33">"$#REF!.$A$4:$AS$68"</definedName>
    <definedName name="Excel_BuiltIn_Print_Area_33_1">"$#REF!.$A$1:$F$14"</definedName>
    <definedName name="Excel_BuiltIn_Print_Area_33_1_1">"$#REF!.$A$1:$M$15"</definedName>
    <definedName name="Excel_BuiltIn_Print_Area_34_1">"$#REF!.$A$1:$N$12"</definedName>
    <definedName name="Excel_BuiltIn_Print_Area_35_1">"$#REF!.$B$2:$M$91"</definedName>
    <definedName name="Excel_BuiltIn_Print_Area_35_1_1">"$#REF!.$B$2:$M$90"</definedName>
    <definedName name="Excel_BuiltIn_Print_Area_36_1">"$#REF!.$A$1:$K$44"</definedName>
    <definedName name="Excel_BuiltIn_Print_Area_36_1_1">"$#REF!.$C$2:$M$50"</definedName>
    <definedName name="Excel_BuiltIn_Print_Area_37_1">"$#REF!.$A$1:$J$22"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_1">"$#REF!.$A$16:$AJ$523"</definedName>
    <definedName name="Excel_BuiltIn_Print_Area_5">#REF!</definedName>
    <definedName name="Excel_BuiltIn_Print_Area_5_1">#REF!</definedName>
    <definedName name="Excel_BuiltIn_Print_Area_5_1_1_1">"$#REF!.$A$16:$AJ$355"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"$#REF!.$A$16:$AJ$75"</definedName>
    <definedName name="Excel_BuiltIn_Print_Area_6_6">#REF!</definedName>
    <definedName name="Excel_BuiltIn_Print_Area_7">#REF!</definedName>
    <definedName name="Excel_BuiltIn_Print_Area_7_1">#REF!</definedName>
    <definedName name="Excel_BuiltIn_Print_Area_7_1_1">"$#REF!.$A$1:$AC$52"</definedName>
    <definedName name="Excel_BuiltIn_Print_Area_7_1_1_1">"$#REF!.$A$1:$AC$55"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7_6">#REF!</definedName>
    <definedName name="Excel_BuiltIn_Print_Area_8">#REF!</definedName>
    <definedName name="Excel_BuiltIn_Print_Area_8_1">#REF!</definedName>
    <definedName name="Excel_BuiltIn_Print_Area_8_1_1">"$#REF!.$A$1:$W$56"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"$#REF!.$A$16:$AJ$1638"</definedName>
    <definedName name="Excel_BuiltIn_Print_Titles">"$#REF!.$A$2:$AMJ$4"</definedName>
    <definedName name="Excel_BuiltIn_Print_Titles_1">"$#REF!.$A$1:$AMJ$10"</definedName>
    <definedName name="Excel_BuiltIn_Print_Titles_1_1">#REF!</definedName>
    <definedName name="Excel_BuiltIn_Print_Titles_1_1_1">#REF!</definedName>
    <definedName name="Excel_BuiltIn_Print_Titles_10">#REF!</definedName>
    <definedName name="Excel_BuiltIn_Print_Titles_10_1">#REF!</definedName>
    <definedName name="Excel_BuiltIn_Print_Titles_10_1_1">"$#REF!.$A$16:$IV$19"</definedName>
    <definedName name="Excel_BuiltIn_Print_Titles_11">#REF!</definedName>
    <definedName name="Excel_BuiltIn_Print_Titles_11_1_1_1">"$#REF!.$A$16:$IV$19"</definedName>
    <definedName name="Excel_BuiltIn_Print_Titles_12">"$#REF!.$A$1:$IV$8"</definedName>
    <definedName name="Excel_BuiltIn_Print_Titles_16_1_1">"$#REF!.$A$1:$IV$20"</definedName>
    <definedName name="Excel_BuiltIn_Print_Titles_17_1">"$#REF!.$A$1:$IV$24"</definedName>
    <definedName name="Excel_BuiltIn_Print_Titles_17_1_1">"$#REF!.$A$1:$IV$17"</definedName>
    <definedName name="Excel_BuiltIn_Print_Titles_17_1_1_1">"$#REF!.$A$1:$IV$20"</definedName>
    <definedName name="Excel_BuiltIn_Print_Titles_17_1_1_1_1">"$#REF!.$A$1:$IQ$14"</definedName>
    <definedName name="Excel_BuiltIn_Print_Titles_17_1_1_1_1_1">"$#REF!.$A$1:$IQ$13"</definedName>
    <definedName name="Excel_BuiltIn_Print_Titles_17_1_1_1_1_1_1">"$#REF!.$A$1:$IQ$13"</definedName>
    <definedName name="Excel_BuiltIn_Print_Titles_17_1_1_1_1_1_1_1">"$#REF!.$A$17:$IQ$18"</definedName>
    <definedName name="Excel_BuiltIn_Print_Titles_19">"$#REF!.$A$6:$IQ$6"</definedName>
    <definedName name="Excel_BuiltIn_Print_Titles_2">#REF!</definedName>
    <definedName name="Excel_BuiltIn_Print_Titles_2_1">#REF!</definedName>
    <definedName name="Excel_BuiltIn_Print_Titles_20_1">"$'Perolehan OK'.$A$#REF!:$IV$#REF!"</definedName>
    <definedName name="Excel_BuiltIn_Print_Titles_22">"$#REF!.$A$7:$IV$8"</definedName>
    <definedName name="Excel_BuiltIn_Print_Titles_25">"$#REF!.$A$1:$IV$12"</definedName>
    <definedName name="Excel_BuiltIn_Print_Titles_28">"$#REF!.$A$1:$IV$14"</definedName>
    <definedName name="Excel_BuiltIn_Print_Titles_29_1">"$#REF!.$A$1:$E$65512;$#REF!.$A$1:$IQ$11"</definedName>
    <definedName name="Excel_BuiltIn_Print_Titles_29_1_1">"$#REF!.$A$1:$D$65512;$#REF!.$A$1:$IQ$11"</definedName>
    <definedName name="Excel_BuiltIn_Print_Titles_29_1_1_1">"$#REF!.$A$1:$C$65512;$#REF!.$A$1:$IQ$11"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1_3">#REF!</definedName>
    <definedName name="Excel_BuiltIn_Print_Titles_30">"$#REF!.$A$1:$E$65512;$#REF!.$A$1:$IV$5"</definedName>
    <definedName name="Excel_BuiltIn_Print_Titles_31">"$#REF!.$A$1:$IV$8"</definedName>
    <definedName name="Excel_BuiltIn_Print_Titles_31_1">"$#REF!.$A$1:$IV$8"</definedName>
    <definedName name="Excel_BuiltIn_Print_Titles_35">"$#REF!.$A$1:$IQ$9"</definedName>
    <definedName name="Excel_BuiltIn_Print_Titles_35_1">"$#REF!.$B$2:$IP$9"</definedName>
    <definedName name="Excel_BuiltIn_Print_Titles_36">"$#REF!.$A$1:$IQ$8"</definedName>
    <definedName name="Excel_BuiltIn_Print_Titles_4">#REF!</definedName>
    <definedName name="Excel_BuiltIn_Print_Titles_4_1">#REF!</definedName>
    <definedName name="Excel_BuiltIn_Print_Titles_4_1_1_1">"$#REF!.$A$16:$IV$19"</definedName>
    <definedName name="Excel_BuiltIn_Print_Titles_5">#REF!</definedName>
    <definedName name="Excel_BuiltIn_Print_Titles_5_1_1_1">"$#REF!.$A$16:$IV$19"</definedName>
    <definedName name="Excel_BuiltIn_Print_Titles_6">#REF!</definedName>
    <definedName name="Excel_BuiltIn_Print_Titles_6_1">#REF!</definedName>
    <definedName name="Excel_BuiltIn_Print_Titles_6_1_1">"$#REF!.$A$16:$IV$19"</definedName>
    <definedName name="Excel_BuiltIn_Print_Titles_6_6">#REF!</definedName>
    <definedName name="Excel_BuiltIn_Print_Titles_7">#REF!</definedName>
    <definedName name="Excel_BuiltIn_Print_Titles_7_6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_1">"$#REF!.$A$16:$IV$19"</definedName>
    <definedName name="exec">#REF!</definedName>
    <definedName name="EXEL">#REF!</definedName>
    <definedName name="exp">#REF!</definedName>
    <definedName name="Expagnolet_Grendel_tanam">#REF!</definedName>
    <definedName name="Expantion">#REF!</definedName>
    <definedName name="expenses">NA()</definedName>
    <definedName name="Export">#REF!</definedName>
    <definedName name="exposed">#REF!</definedName>
    <definedName name="EXT" hidden="1">#REF!</definedName>
    <definedName name="ExtF3">#REF!</definedName>
    <definedName name="ExtF4">#REF!</definedName>
    <definedName name="EXTRA">#REF!</definedName>
    <definedName name="extra_o">#REF!</definedName>
    <definedName name="_xlnm.Extract">#REF!</definedName>
    <definedName name="f">"$#REF!.$#REF!$#REF!:$#REF!$#REF!"</definedName>
    <definedName name="F.16">#REF!</definedName>
    <definedName name="F.21">#REF!</definedName>
    <definedName name="F.21a">#REF!</definedName>
    <definedName name="F.22">#REF!</definedName>
    <definedName name="F.22a">#REF!</definedName>
    <definedName name="F.22b">#REF!</definedName>
    <definedName name="F.23a">#REF!</definedName>
    <definedName name="F.23b">#REF!</definedName>
    <definedName name="F.27">#REF!</definedName>
    <definedName name="F.34">#REF!</definedName>
    <definedName name="F.36a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drain">#REF!</definedName>
    <definedName name="F.x">#REF!</definedName>
    <definedName name="F.x1">#REF!</definedName>
    <definedName name="F.x2">#REF!</definedName>
    <definedName name="f_hrd">#REF!</definedName>
    <definedName name="F_S">#REF!</definedName>
    <definedName name="F_SL">FST:(FSB)</definedName>
    <definedName name="F_SL_10">#REF!:#REF!</definedName>
    <definedName name="F_SL_11">#REF!:#REF!</definedName>
    <definedName name="F_SL_12">#REF!:#REF!</definedName>
    <definedName name="F_SL_14">#REF!:#REF!</definedName>
    <definedName name="F_SL_15">#REF!:#REF!</definedName>
    <definedName name="F_SL_16">#REF!:#REF!</definedName>
    <definedName name="F_SL_17">#REF!:#REF!</definedName>
    <definedName name="F_SL_18">#REF!:#REF!</definedName>
    <definedName name="F_SL_19">#REF!:#REF!</definedName>
    <definedName name="F_SL_20">#REF!:#REF!</definedName>
    <definedName name="F_SL_22">#REF!:#REF!</definedName>
    <definedName name="F_SL_23">#REF!:#REF!</definedName>
    <definedName name="F_SL_24">#REF!:#REF!</definedName>
    <definedName name="F_SL_25">#REF!:#REF!</definedName>
    <definedName name="F_SL_5">#REF!:#REF!</definedName>
    <definedName name="F_SL_6">#REF!:#REF!</definedName>
    <definedName name="F_SL_7">#REF!:#REF!</definedName>
    <definedName name="F_SL_8">#REF!:#REF!</definedName>
    <definedName name="f92F56">NA()</definedName>
    <definedName name="FA">#REF!</definedName>
    <definedName name="fa.ror">#REF!</definedName>
    <definedName name="faab">#REF!</definedName>
    <definedName name="fab.">#REF!</definedName>
    <definedName name="fabrikasi">#REF!</definedName>
    <definedName name="facm">#REF!</definedName>
    <definedName name="facp">#REF!</definedName>
    <definedName name="Fact">#REF!</definedName>
    <definedName name="FACTOR">#REF!</definedName>
    <definedName name="faeol">#REF!</definedName>
    <definedName name="fag">STOP:STOPE</definedName>
    <definedName name="fag_10">#REF!:#REF!</definedName>
    <definedName name="fag_11">#REF!:#REF!</definedName>
    <definedName name="fag_12">#REF!:#REF!</definedName>
    <definedName name="fag_14">#REF!:#REF!</definedName>
    <definedName name="fag_15">#REF!:#REF!</definedName>
    <definedName name="fag_16">#REF!:#REF!</definedName>
    <definedName name="fag_17">#REF!:#REF!</definedName>
    <definedName name="fag_18">#REF!:#REF!</definedName>
    <definedName name="fag_19">#REF!:#REF!</definedName>
    <definedName name="fag_20">#REF!:#REF!</definedName>
    <definedName name="fag_22">#REF!:#REF!</definedName>
    <definedName name="fag_23">#REF!:#REF!</definedName>
    <definedName name="fag_24">#REF!:#REF!</definedName>
    <definedName name="fag_25">#REF!:#REF!</definedName>
    <definedName name="fag_5">#REF!:#REF!</definedName>
    <definedName name="fag_6">#REF!:#REF!</definedName>
    <definedName name="fag_7">#REF!:#REF!</definedName>
    <definedName name="fag_8">#REF!:#REF!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"$#REF!.$D$18"</definedName>
    <definedName name="Fak.Waste.atas_13">"$#REF!.$D$18"</definedName>
    <definedName name="Fak.Waste.bwh">"$#REF!.$D$19"</definedName>
    <definedName name="Fak.Waste.bwh_13">"$#REF!.$D$19"</definedName>
    <definedName name="faki">#REF!</definedName>
    <definedName name="faktd">#REF!</definedName>
    <definedName name="FAKTOR_BAHAN_SANITAIR_GROHE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">STOP:STOPE</definedName>
    <definedName name="fas_10">#REF!:#REF!</definedName>
    <definedName name="fas_11">#REF!:#REF!</definedName>
    <definedName name="fas_12">#REF!:#REF!</definedName>
    <definedName name="fas_14">#REF!:#REF!</definedName>
    <definedName name="fas_15">#REF!:#REF!</definedName>
    <definedName name="fas_16">#REF!:#REF!</definedName>
    <definedName name="fas_17">#REF!:#REF!</definedName>
    <definedName name="fas_18">#REF!:#REF!</definedName>
    <definedName name="fas_19">#REF!:#REF!</definedName>
    <definedName name="fas_20">#REF!:#REF!</definedName>
    <definedName name="fas_22">#REF!:#REF!</definedName>
    <definedName name="fas_23">#REF!:#REF!</definedName>
    <definedName name="fas_24">#REF!:#REF!</definedName>
    <definedName name="fas_25">#REF!:#REF!</definedName>
    <definedName name="fas_5">#REF!:#REF!</definedName>
    <definedName name="fas_6">#REF!:#REF!</definedName>
    <definedName name="fas_7">#REF!:#REF!</definedName>
    <definedName name="fas_8">#REF!:#REF!</definedName>
    <definedName name="fascia">#REF!</definedName>
    <definedName name="fasd">#REF!</definedName>
    <definedName name="fasdt">#REF!</definedName>
    <definedName name="fat">#REF!</definedName>
    <definedName name="faucet">#REF!</definedName>
    <definedName name="FAX">#REF!</definedName>
    <definedName name="FB">#REF!</definedName>
    <definedName name="fc\poer.selasar.tp3">#REF!</definedName>
    <definedName name="fc\PR.1ramp">#REF!</definedName>
    <definedName name="fc\PR.2ramp">#REF!</definedName>
    <definedName name="fc\tp.1gwt">#REF!</definedName>
    <definedName name="fc\tp.2gwt">#REF!</definedName>
    <definedName name="fc\tp.3gwt">#REF!</definedName>
    <definedName name="fc\tp.4gwt">#REF!</definedName>
    <definedName name="fc\tp1.selasar">#REF!</definedName>
    <definedName name="fc\tp2.selasar">#REF!</definedName>
    <definedName name="fc_180">#REF!</definedName>
    <definedName name="fc_210">#REF!</definedName>
    <definedName name="fc_35a">"'file:///L:/10 (M M C)/Sipil-Ars/BQ_WASKITA/analisa_str_mmc.xls'#$harsat.$#REF!$#REF!"</definedName>
    <definedName name="fc_35c">"'file:///L:/10 (M M C)/Sipil-Ars/BQ_WASKITA/analisa_str_mmc.xls'#$harsat.$#REF!$#REF!"</definedName>
    <definedName name="fc_tx">#REF!</definedName>
    <definedName name="FC10MPA">#REF!</definedName>
    <definedName name="Fc200mpa">#REF!</definedName>
    <definedName name="FC250FA">#REF!</definedName>
    <definedName name="FC250MPA">#REF!</definedName>
    <definedName name="Fc250NFA">"$#REF!.$G$124"</definedName>
    <definedName name="FC25Mpa">#REF!</definedName>
    <definedName name="fc2b">#REF!</definedName>
    <definedName name="FC300FA">#REF!</definedName>
    <definedName name="FC300MPA">#REF!</definedName>
    <definedName name="Fc30Mpa">#REF!</definedName>
    <definedName name="FC350MPA">#REF!</definedName>
    <definedName name="Fc350NFA">"$#REF!.$#REF!$#REF!"</definedName>
    <definedName name="Fc35Mpa">#REF!</definedName>
    <definedName name="Fc35NFA">#REF!</definedName>
    <definedName name="FC380MPA">#REF!</definedName>
    <definedName name="fc3a">#REF!</definedName>
    <definedName name="fc3b">#REF!</definedName>
    <definedName name="FC400FA">#REF!</definedName>
    <definedName name="FC400MPA">#REF!</definedName>
    <definedName name="Fc400NFA">"$#REF!.$#REF!$#REF!"</definedName>
    <definedName name="Fc40Mpa">#REF!</definedName>
    <definedName name="Fc40NFA">#REF!</definedName>
    <definedName name="FC420MPA">#REF!</definedName>
    <definedName name="FC460MPA">#REF!</definedName>
    <definedName name="fc4a">#REF!</definedName>
    <definedName name="FC500FA">#REF!</definedName>
    <definedName name="Fc500NFA">"$#REF!.$#REF!$#REF!"</definedName>
    <definedName name="Fc50NFA">#REF!</definedName>
    <definedName name="fco">#REF!</definedName>
    <definedName name="FCode" hidden="1">#REF!</definedName>
    <definedName name="FCU">#REF!</definedName>
    <definedName name="fd">#REF!</definedName>
    <definedName name="fd_1">#REF!</definedName>
    <definedName name="fd_2">#REF!</definedName>
    <definedName name="fd_3">#REF!</definedName>
    <definedName name="fd_4">#REF!</definedName>
    <definedName name="fd_tx">#REF!</definedName>
    <definedName name="fd1_1">#REF!</definedName>
    <definedName name="fd1_2">#REF!</definedName>
    <definedName name="fd1_3">#REF!</definedName>
    <definedName name="fd1_4">#REF!</definedName>
    <definedName name="fd1_5">#REF!</definedName>
    <definedName name="fd1_6">#REF!</definedName>
    <definedName name="fd1_7">#REF!</definedName>
    <definedName name="fd1_8">#REF!</definedName>
    <definedName name="fd2_1">#REF!</definedName>
    <definedName name="fd2_2">#REF!</definedName>
    <definedName name="fd2_3">#REF!</definedName>
    <definedName name="fd2_4">#REF!</definedName>
    <definedName name="fd2_5">#REF!</definedName>
    <definedName name="fd2_6">#REF!</definedName>
    <definedName name="fd2_7">#REF!</definedName>
    <definedName name="fd2_8">#REF!</definedName>
    <definedName name="fd3_1">#REF!</definedName>
    <definedName name="fd3_2">#REF!</definedName>
    <definedName name="fd3_3">#REF!</definedName>
    <definedName name="fd3_4">#REF!</definedName>
    <definedName name="fd3_5">#REF!</definedName>
    <definedName name="fd3_6">#REF!</definedName>
    <definedName name="fd3_7">#REF!</definedName>
    <definedName name="fd4_1">#REF!</definedName>
    <definedName name="fd4_2">#REF!</definedName>
    <definedName name="fd4_3">#REF!</definedName>
    <definedName name="fd4_4">#REF!</definedName>
    <definedName name="fd4_5">#REF!</definedName>
    <definedName name="fd4_6">#REF!</definedName>
    <definedName name="fd4_7">#REF!</definedName>
    <definedName name="fd4_8">#REF!</definedName>
    <definedName name="fdbjn">HAJIME:OWARI</definedName>
    <definedName name="fdbjn_10">#REF!:#REF!</definedName>
    <definedName name="fdbjn_11">#REF!:#REF!</definedName>
    <definedName name="fdbjn_12">#REF!:#REF!</definedName>
    <definedName name="fdbjn_14">#REF!:#REF!</definedName>
    <definedName name="fdbjn_15">#REF!:#REF!</definedName>
    <definedName name="fdbjn_16">#REF!:#REF!</definedName>
    <definedName name="fdbjn_17">#REF!:#REF!</definedName>
    <definedName name="fdbjn_18">#REF!:#REF!</definedName>
    <definedName name="fdbjn_19">#REF!:#REF!</definedName>
    <definedName name="fdbjn_20">#REF!:#REF!</definedName>
    <definedName name="fdbjn_22">#REF!:#REF!</definedName>
    <definedName name="fdbjn_23">#REF!:#REF!</definedName>
    <definedName name="fdbjn_24">#REF!:#REF!</definedName>
    <definedName name="fdbjn_25">#REF!:#REF!</definedName>
    <definedName name="fdbjn_5">#REF!:#REF!</definedName>
    <definedName name="fdbjn_6">#REF!:#REF!</definedName>
    <definedName name="fdbjn_7">#REF!:#REF!</definedName>
    <definedName name="fdbjn_8">#REF!:#REF!</definedName>
    <definedName name="fdfdfdfd">#REF!</definedName>
    <definedName name="FDGSDG">#REF!</definedName>
    <definedName name="fdgz">"$#REF!.$#REF!$#REF!"</definedName>
    <definedName name="fdr">#REF!</definedName>
    <definedName name="fe">#REF!</definedName>
    <definedName name="feco25">#REF!</definedName>
    <definedName name="fedc2">#REF!</definedName>
    <definedName name="fedc35">#REF!</definedName>
    <definedName name="FEE">#REF!</definedName>
    <definedName name="FER">#REF!</definedName>
    <definedName name="fere">#REF!</definedName>
    <definedName name="ferinco">#REF!</definedName>
    <definedName name="FEX">#REF!</definedName>
    <definedName name="ff">#REF!</definedName>
    <definedName name="fffff">#REF!</definedName>
    <definedName name="FFV">#REF!</definedName>
    <definedName name="FFV_10">#REF!:#REF!</definedName>
    <definedName name="FFV_11">#REF!:#REF!</definedName>
    <definedName name="FFV_12">#REF!:#REF!</definedName>
    <definedName name="FFV_14">#REF!:#REF!</definedName>
    <definedName name="FFV_15">#REF!:#REF!</definedName>
    <definedName name="FFV_16">#REF!:#REF!</definedName>
    <definedName name="FFV_17">#REF!:#REF!</definedName>
    <definedName name="FFV_18">#REF!:#REF!</definedName>
    <definedName name="FFV_19">#REF!:#REF!</definedName>
    <definedName name="FFV_20">#REF!:#REF!</definedName>
    <definedName name="FFV_22">#REF!:#REF!</definedName>
    <definedName name="FFV_23">#REF!:#REF!</definedName>
    <definedName name="FFV_24">#REF!:#REF!</definedName>
    <definedName name="FFV_25">#REF!:#REF!</definedName>
    <definedName name="FFV_5">#REF!:#REF!</definedName>
    <definedName name="FFV_6">#REF!:#REF!</definedName>
    <definedName name="FFV_7">#REF!:#REF!</definedName>
    <definedName name="FFV_8">#REF!:#REF!</definedName>
    <definedName name="FFVVS">#REF!</definedName>
    <definedName name="FFVVS_10">#REF!:#REF!</definedName>
    <definedName name="FFVVS_11">#REF!:#REF!</definedName>
    <definedName name="FFVVS_12">#REF!:#REF!</definedName>
    <definedName name="FFVVS_14">#REF!:#REF!</definedName>
    <definedName name="FFVVS_15">#REF!:#REF!</definedName>
    <definedName name="FFVVS_16">#REF!:#REF!</definedName>
    <definedName name="FFVVS_17">#REF!:#REF!</definedName>
    <definedName name="FFVVS_18">#REF!:#REF!</definedName>
    <definedName name="FFVVS_19">#REF!:#REF!</definedName>
    <definedName name="FFVVS_20">#REF!:#REF!</definedName>
    <definedName name="FFVVS_22">#REF!:#REF!</definedName>
    <definedName name="FFVVS_23">#REF!:#REF!</definedName>
    <definedName name="FFVVS_24">#REF!:#REF!</definedName>
    <definedName name="FFVVS_25">#REF!:#REF!</definedName>
    <definedName name="FFVVS_5">#REF!:#REF!</definedName>
    <definedName name="FFVVS_6">#REF!:#REF!</definedName>
    <definedName name="FFVVS_7">#REF!:#REF!</definedName>
    <definedName name="FFVVS_8">#REF!:#REF!</definedName>
    <definedName name="FFX">#REF!</definedName>
    <definedName name="fg">#REF!</definedName>
    <definedName name="fggdfg">#REF!</definedName>
    <definedName name="fggdfg_10">#REF!:#REF!</definedName>
    <definedName name="fggdfg_11">#REF!:#REF!</definedName>
    <definedName name="fggdfg_12">#REF!:#REF!</definedName>
    <definedName name="fggdfg_14">#REF!:#REF!</definedName>
    <definedName name="fggdfg_15">#REF!:#REF!</definedName>
    <definedName name="fggdfg_16">#REF!:#REF!</definedName>
    <definedName name="fggdfg_17">#REF!:#REF!</definedName>
    <definedName name="fggdfg_18">#REF!:#REF!</definedName>
    <definedName name="fggdfg_19">#REF!:#REF!</definedName>
    <definedName name="fggdfg_20">#REF!:#REF!</definedName>
    <definedName name="fggdfg_22">#REF!:#REF!</definedName>
    <definedName name="fggdfg_23">#REF!:#REF!</definedName>
    <definedName name="fggdfg_24">#REF!:#REF!</definedName>
    <definedName name="fggdfg_25">#REF!:#REF!</definedName>
    <definedName name="fggdfg_5">#REF!:#REF!</definedName>
    <definedName name="fggdfg_6">#REF!:#REF!</definedName>
    <definedName name="fggdfg_7">#REF!:#REF!</definedName>
    <definedName name="fggdfg_8">#REF!:#REF!</definedName>
    <definedName name="FGH">#REF!</definedName>
    <definedName name="fghhh" hidden="1">{"'Sheet1'!$A$1"}</definedName>
    <definedName name="fgjf" hidden="1">{"'Sheet1'!$A$1"}</definedName>
    <definedName name="fgjfj" hidden="1">{"'Sheet1'!$A$1"}</definedName>
    <definedName name="FGtbl">#REF!</definedName>
    <definedName name="FGtps">#REF!</definedName>
    <definedName name="FGX">#REF!</definedName>
    <definedName name="FH">#REF!</definedName>
    <definedName name="fh_3">"$#REF!.$#REF!$#REF!"</definedName>
    <definedName name="fh_4">#REF!</definedName>
    <definedName name="fh_4.5">"$#REF!.$H$19"</definedName>
    <definedName name="fh_4_sa">#REF!</definedName>
    <definedName name="fh_5g">"$#REF!.$H$18"</definedName>
    <definedName name="fhg" hidden="1">{#N/A,#N/A,FALSE,"REK";#N/A,#N/A,FALSE,"Bq-ARS"}</definedName>
    <definedName name="fhhh" hidden="1">{"'Sheet1'!$A$1"}</definedName>
    <definedName name="fhr">#REF!</definedName>
    <definedName name="FHX">#REF!</definedName>
    <definedName name="fidi">#REF!</definedName>
    <definedName name="FIELD_EXPENSES">#REF!</definedName>
    <definedName name="filler">#REF!</definedName>
    <definedName name="FILLL" hidden="1">#REF!</definedName>
    <definedName name="fin_politur">#REF!</definedName>
    <definedName name="FINE_AGGREGATE">#REF!</definedName>
    <definedName name="FINISHER">#REF!</definedName>
    <definedName name="FinLt">#REF!</definedName>
    <definedName name="FIRE">#REF!</definedName>
    <definedName name="FIRE_ALARM">#REF!</definedName>
    <definedName name="FIREA">#REF!</definedName>
    <definedName name="FireSup">#REF!</definedName>
    <definedName name="FireSupIns">#REF!</definedName>
    <definedName name="FIREX">#REF!</definedName>
    <definedName name="FirHS">#REF!</definedName>
    <definedName name="FIRST_FLOOR">#REF!</definedName>
    <definedName name="FISER">#REF!</definedName>
    <definedName name="FIT">#REF!</definedName>
    <definedName name="FITCIP">#REF!</definedName>
    <definedName name="FITFS">#REF!</definedName>
    <definedName name="Fithyd">#REF!</definedName>
    <definedName name="fiting">#REF!</definedName>
    <definedName name="Fitsp">#REF!</definedName>
    <definedName name="FITT">#REF!</definedName>
    <definedName name="fitting">#REF!</definedName>
    <definedName name="FixedshowerTX422S">#REF!</definedName>
    <definedName name="fixshower">#REF!</definedName>
    <definedName name="FJ">#REF!</definedName>
    <definedName name="fjd150___0">"$#REF!.$N$277"</definedName>
    <definedName name="fjd50___0">"$#REF!.$N$300"</definedName>
    <definedName name="fjd65___0">"$#REF!.$N$278"</definedName>
    <definedName name="fjkk" hidden="1">{"'Sheet1'!$A$1"}</definedName>
    <definedName name="fjr" hidden="1">{"'Sheet1'!$A$1"}</definedName>
    <definedName name="fjt" hidden="1">{"'Sheet1'!$A$1"}</definedName>
    <definedName name="FJX">#REF!</definedName>
    <definedName name="Fk.Xt">#REF!</definedName>
    <definedName name="fkieifi" hidden="1">#REF!</definedName>
    <definedName name="fkoiieifd">#REF!</definedName>
    <definedName name="fkx">#REF!</definedName>
    <definedName name="fl">#REF!</definedName>
    <definedName name="flash">#REF!</definedName>
    <definedName name="flashing">#REF!</definedName>
    <definedName name="Flatb">"$#REF!.$D$9"</definedName>
    <definedName name="FLATBEDTRUCK">#REF!</definedName>
    <definedName name="FlBed">#REF!</definedName>
    <definedName name="flmh400">#REF!</definedName>
    <definedName name="floieodjf">#REF!</definedName>
    <definedName name="floioidife">#REF!</definedName>
    <definedName name="FloorDrain">#REF!</definedName>
    <definedName name="FloordrainTX1B">#REF!</definedName>
    <definedName name="floorhard">#REF!</definedName>
    <definedName name="floorhardener">#REF!</definedName>
    <definedName name="Floorhardener3kg">#REF!</definedName>
    <definedName name="floorhardenernatural">#REF!</definedName>
    <definedName name="floorhardenerwarna">#REF!</definedName>
    <definedName name="floorhardinernatural">#REF!</definedName>
    <definedName name="floorkorsik">#REF!</definedName>
    <definedName name="Flow">#REF!</definedName>
    <definedName name="flx">#REF!</definedName>
    <definedName name="FM">#REF!</definedName>
    <definedName name="FO">#REF!</definedName>
    <definedName name="FOB">#REF!</definedName>
    <definedName name="foil">#REF!</definedName>
    <definedName name="footing1">#N/A</definedName>
    <definedName name="Footing2">NA()</definedName>
    <definedName name="Footing3">NA()</definedName>
    <definedName name="footing7">#N/A</definedName>
    <definedName name="FOR">#REF!</definedName>
    <definedName name="Foreman">#REF!</definedName>
    <definedName name="form">#REF!</definedName>
    <definedName name="form_k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4L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#REF!</definedName>
    <definedName name="FORM319">#REF!</definedName>
    <definedName name="FORM321">#REF!</definedName>
    <definedName name="FORM322">#REF!</definedName>
    <definedName name="FORM323">#REF!</definedName>
    <definedName name="FORM323L">#REF!</definedName>
    <definedName name="FORM324">#REF!</definedName>
    <definedName name="FORM33">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bta">#REF!</definedName>
    <definedName name="FORMGEOTEKSTIL">#REF!</definedName>
    <definedName name="Formi">#REF!</definedName>
    <definedName name="formikaputih">#REF!</definedName>
    <definedName name="formikawarna">#REF!</definedName>
    <definedName name="Formk">#REF!</definedName>
    <definedName name="formkolom">#REF!</definedName>
    <definedName name="formlant">#REF!</definedName>
    <definedName name="FORMLatasirK">#REF!</definedName>
    <definedName name="FORMLatasirKL">#REF!</definedName>
    <definedName name="formlt">#REF!</definedName>
    <definedName name="fotfence">#N/A</definedName>
    <definedName name="fox">#REF!</definedName>
    <definedName name="Fp">#REF!</definedName>
    <definedName name="FR">#REF!</definedName>
    <definedName name="frc">#REF!</definedName>
    <definedName name="frc2.1_5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E">#REF!</definedName>
    <definedName name="FRG">STOP:STOPE</definedName>
    <definedName name="FRG_10">#REF!:#REF!</definedName>
    <definedName name="FRG_11">#REF!:#REF!</definedName>
    <definedName name="FRG_12">#REF!:#REF!</definedName>
    <definedName name="FRG_14">#REF!:#REF!</definedName>
    <definedName name="FRG_15">#REF!:#REF!</definedName>
    <definedName name="FRG_16">#REF!:#REF!</definedName>
    <definedName name="FRG_17">#REF!:#REF!</definedName>
    <definedName name="FRG_18">#REF!:#REF!</definedName>
    <definedName name="FRG_19">#REF!:#REF!</definedName>
    <definedName name="FRG_20">#REF!:#REF!</definedName>
    <definedName name="FRG_22">#REF!:#REF!</definedName>
    <definedName name="FRG_23">#REF!:#REF!</definedName>
    <definedName name="FRG_24">#REF!:#REF!</definedName>
    <definedName name="FRG_25">#REF!:#REF!</definedName>
    <definedName name="FRG_5">#REF!:#REF!</definedName>
    <definedName name="FRG_6">#REF!:#REF!</definedName>
    <definedName name="FRG_7">#REF!:#REF!</definedName>
    <definedName name="FRG_8">#REF!:#REF!</definedName>
    <definedName name="frp">#REF!</definedName>
    <definedName name="FRRDS">#REF!</definedName>
    <definedName name="frsk">#REF!</definedName>
    <definedName name="fs">#REF!</definedName>
    <definedName name="FSB">#REF!</definedName>
    <definedName name="FSDATA">#REF!</definedName>
    <definedName name="fsh">#REF!</definedName>
    <definedName name="fss">#REF!</definedName>
    <definedName name="FST">#REF!</definedName>
    <definedName name="fsvd100">#REF!</definedName>
    <definedName name="fsvd150">#REF!</definedName>
    <definedName name="fsvd65">#REF!</definedName>
    <definedName name="ftgj" hidden="1">{"'Sheet1'!$A$1"}</definedName>
    <definedName name="ftiyio" hidden="1">{"'Sheet1'!$A$1"}</definedName>
    <definedName name="FTR">#REF!</definedName>
    <definedName name="FUEL">#REF!</definedName>
    <definedName name="FULVIMIXER">#REF!</definedName>
    <definedName name="furing">#REF!</definedName>
    <definedName name="FURNITURE__FURNISHING">#REF!</definedName>
    <definedName name="FV">#REF!</definedName>
    <definedName name="FZSDG" hidden="1">#REF!</definedName>
    <definedName name="G">NA()</definedName>
    <definedName name="g.01.1">#REF!</definedName>
    <definedName name="g.01.3">#REF!</definedName>
    <definedName name="g.02.3a">#REF!</definedName>
    <definedName name="g.021">#REF!</definedName>
    <definedName name="g.022">#REF!</definedName>
    <definedName name="G.1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3">#REF!</definedName>
    <definedName name="G.32h">#REF!</definedName>
    <definedName name="G.32M">#REF!</definedName>
    <definedName name="G.32X">#REF!</definedName>
    <definedName name="G.33">#REF!</definedName>
    <definedName name="G.33.i">#REF!</definedName>
    <definedName name="G.33g">#REF!</definedName>
    <definedName name="G.33g.1">#REF!</definedName>
    <definedName name="G.33g.2">#REF!</definedName>
    <definedName name="G.33g.3">#REF!</definedName>
    <definedName name="G.33i">#REF!</definedName>
    <definedName name="G.33k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2a">#REF!</definedName>
    <definedName name="G.44">#REF!</definedName>
    <definedName name="G.44.VK">#REF!</definedName>
    <definedName name="G.5">#REF!</definedName>
    <definedName name="G.50.I">#REF!</definedName>
    <definedName name="g.50a">#REF!</definedName>
    <definedName name="G.50b">#REF!</definedName>
    <definedName name="g.50ba">#REF!</definedName>
    <definedName name="g.50c">#REF!</definedName>
    <definedName name="G.50D">#REF!</definedName>
    <definedName name="G.50I">#REF!</definedName>
    <definedName name="G.50k.1">#REF!</definedName>
    <definedName name="G.50k.2">#REF!</definedName>
    <definedName name="G.50k.3">#REF!</definedName>
    <definedName name="g.50krm">#REF!</definedName>
    <definedName name="G.50p">#REF!</definedName>
    <definedName name="G.50TB">#REF!</definedName>
    <definedName name="G.51.C">#REF!</definedName>
    <definedName name="G.51c">#REF!</definedName>
    <definedName name="G.51i">#REF!</definedName>
    <definedName name="G.6.9a">#REF!</definedName>
    <definedName name="G.60A">#REF!</definedName>
    <definedName name="G.61">#REF!</definedName>
    <definedName name="G.69b">#REF!</definedName>
    <definedName name="G.72">#REF!</definedName>
    <definedName name="G.75a">#REF!</definedName>
    <definedName name="g.ker">#REF!</definedName>
    <definedName name="G.Kramik">#REF!</definedName>
    <definedName name="g_12">#REF!</definedName>
    <definedName name="g_9">#REF!</definedName>
    <definedName name="g_9wp">#REF!</definedName>
    <definedName name="g_c">#REF!</definedName>
    <definedName name="g_ci_20">#REF!</definedName>
    <definedName name="g_ci_25">#REF!</definedName>
    <definedName name="g_ci_45">#REF!</definedName>
    <definedName name="g_ci_50">#REF!</definedName>
    <definedName name="g_k">#REF!</definedName>
    <definedName name="G32.e">#REF!</definedName>
    <definedName name="G50c">#REF!</definedName>
    <definedName name="G50i">#REF!</definedName>
    <definedName name="G50K">#REF!</definedName>
    <definedName name="G50p">#REF!</definedName>
    <definedName name="G60A">#REF!</definedName>
    <definedName name="gae">#REF!</definedName>
    <definedName name="gaji">#REF!</definedName>
    <definedName name="gal">#REF!</definedName>
    <definedName name="Gal.Sal">#REF!</definedName>
    <definedName name="galdal5">#REF!</definedName>
    <definedName name="GALI">#REF!</definedName>
    <definedName name="galian">#REF!</definedName>
    <definedName name="galianPC">#REF!</definedName>
    <definedName name="galiansloof">#REF!</definedName>
    <definedName name="galiantanahaberat">#REF!</definedName>
    <definedName name="galiantanahlebih1mnonPPN">#REF!</definedName>
    <definedName name="galiantanahnonPPN">#REF!</definedName>
    <definedName name="GALIANTNH">#REF!</definedName>
    <definedName name="galimek">#REF!</definedName>
    <definedName name="galitnh">#REF!</definedName>
    <definedName name="GALKON">#REF!</definedName>
    <definedName name="galman">"$#REF!.$I$14"</definedName>
    <definedName name="galtnh">#REF!</definedName>
    <definedName name="Galva">#REF!</definedName>
    <definedName name="GANDA">#REF!</definedName>
    <definedName name="GANDAA">#REF!</definedName>
    <definedName name="gantung">#REF!</definedName>
    <definedName name="gar">#REF!</definedName>
    <definedName name="GARIS">NA()</definedName>
    <definedName name="Gas_oxytilyn">#REF!</definedName>
    <definedName name="gb">#REF!</definedName>
    <definedName name="gb_1">#REF!</definedName>
    <definedName name="gb_2">#REF!</definedName>
    <definedName name="gb_3">#REF!</definedName>
    <definedName name="gb_4">#REF!</definedName>
    <definedName name="gb_5">#REF!</definedName>
    <definedName name="gb_6">#REF!</definedName>
    <definedName name="gb_7">#REF!</definedName>
    <definedName name="gb_ja9">#REF!</definedName>
    <definedName name="gb30x45">#REF!</definedName>
    <definedName name="GbetN">#REF!</definedName>
    <definedName name="GbetW">#REF!</definedName>
    <definedName name="GBP">#REF!</definedName>
    <definedName name="gcampaka">#REF!</definedName>
    <definedName name="gdnh" hidden="1">{#N/A,#N/A,FALSE,"REK";#N/A,#N/A,FALSE,"rab"}</definedName>
    <definedName name="gembok">#REF!</definedName>
    <definedName name="Gembok3RRC">#REF!</definedName>
    <definedName name="GEN">#REF!</definedName>
    <definedName name="gendokglaz">#REF!</definedName>
    <definedName name="GENDOKNATUR">#REF!</definedName>
    <definedName name="GENJING">"$#REF!.$AG$4:$AG$592"</definedName>
    <definedName name="genkerglaz">#REF!</definedName>
    <definedName name="genkernatur">#REF!</definedName>
    <definedName name="genset">#REF!</definedName>
    <definedName name="genteng">#REF!</definedName>
    <definedName name="Genteng_lokal">#REF!</definedName>
    <definedName name="Genteng_press_pejaten">#REF!</definedName>
    <definedName name="gentengbtn">#REF!</definedName>
    <definedName name="gentenglama">#REF!</definedName>
    <definedName name="GentengMetal">#REF!</definedName>
    <definedName name="gentonglaz">#REF!</definedName>
    <definedName name="gentongnatur">#REF!</definedName>
    <definedName name="gentonpol">#REF!</definedName>
    <definedName name="gentonwar">#REF!</definedName>
    <definedName name="geotex">#REF!</definedName>
    <definedName name="Geotextile">#REF!</definedName>
    <definedName name="gersel">#REF!</definedName>
    <definedName name="gethh" hidden="1">{"'Sheet1'!$A$1"}</definedName>
    <definedName name="gewn">#REF!</definedName>
    <definedName name="gf" hidden="1">#REF!</definedName>
    <definedName name="gfbhyr" hidden="1">{"'Sheet1'!$A$1"}</definedName>
    <definedName name="GFD">#REF!</definedName>
    <definedName name="GFF" hidden="1">#REF!</definedName>
    <definedName name="GFH">#REF!</definedName>
    <definedName name="gfhfmd">STOP:STOPE</definedName>
    <definedName name="gfhfmd_10">#REF!:#REF!</definedName>
    <definedName name="gfhfmd_11">#REF!:#REF!</definedName>
    <definedName name="gfhfmd_12">#REF!:#REF!</definedName>
    <definedName name="gfhfmd_14">#REF!:#REF!</definedName>
    <definedName name="gfhfmd_15">#REF!:#REF!</definedName>
    <definedName name="gfhfmd_16">#REF!:#REF!</definedName>
    <definedName name="gfhfmd_17">#REF!:#REF!</definedName>
    <definedName name="gfhfmd_18">#REF!:#REF!</definedName>
    <definedName name="gfhfmd_19">#REF!:#REF!</definedName>
    <definedName name="gfhfmd_20">#REF!:#REF!</definedName>
    <definedName name="gfhfmd_22">#REF!:#REF!</definedName>
    <definedName name="gfhfmd_23">#REF!:#REF!</definedName>
    <definedName name="gfhfmd_24">#REF!:#REF!</definedName>
    <definedName name="gfhfmd_25">#REF!:#REF!</definedName>
    <definedName name="gfhfmd_5">#REF!:#REF!</definedName>
    <definedName name="gfhfmd_6">#REF!:#REF!</definedName>
    <definedName name="gfhfmd_7">#REF!:#REF!</definedName>
    <definedName name="gfhfmd_8">#REF!:#REF!</definedName>
    <definedName name="gfhgf">#REF!</definedName>
    <definedName name="gfhh" hidden="1">{"'Sheet1'!$A$1"}</definedName>
    <definedName name="gfj" hidden="1">{"'Sheet1'!$A$1"}</definedName>
    <definedName name="gfjr" hidden="1">{"'Sheet1'!$A$1"}</definedName>
    <definedName name="GFlOv">#REF!</definedName>
    <definedName name="gfrc_1500">#REF!</definedName>
    <definedName name="gfrc_155020">#REF!</definedName>
    <definedName name="gfrc_1700">#REF!</definedName>
    <definedName name="gfrc_c">#REF!</definedName>
    <definedName name="gfrc_h">#REF!</definedName>
    <definedName name="gfrg_400">#REF!</definedName>
    <definedName name="gfthhh" hidden="1">{"'Sheet1'!$A$1"}</definedName>
    <definedName name="gg">"'file://SERVER3/har-data/STRUCTURE PRICE OF BQ KOMPAS GRAMEDIA.xls'#$analisa.$#REF!$#REF!"</definedName>
    <definedName name="ggc">#REF!</definedName>
    <definedName name="GGG">#REF!</definedName>
    <definedName name="GH">#REF!</definedName>
    <definedName name="ghg">#REF!</definedName>
    <definedName name="ghgfjhh">#REF!</definedName>
    <definedName name="GHI">#REF!</definedName>
    <definedName name="ghj">#REF!</definedName>
    <definedName name="ghjj" hidden="1">{"'Sheet1'!$A$1"}</definedName>
    <definedName name="ghkm" hidden="1">{"'Sheet1'!$A$1"}</definedName>
    <definedName name="gi.1">#REF!</definedName>
    <definedName name="gi.2">#REF!</definedName>
    <definedName name="gi.3">#REF!</definedName>
    <definedName name="gi.4">#REF!</definedName>
    <definedName name="gi1.1.2">#REF!</definedName>
    <definedName name="gi1.2">#REF!</definedName>
    <definedName name="gi3.4">#REF!</definedName>
    <definedName name="giat">#REF!</definedName>
    <definedName name="GILLPOS">#REF!</definedName>
    <definedName name="GIP">#REF!</definedName>
    <definedName name="GIP_100">"'file:///L:/10 (M M C)/Sipil-Ars/BQ_WASKITA/analisa_str_mmc.xls'#$harsat.$#REF!$#REF!"</definedName>
    <definedName name="gip_150">"'file:///L:/10 (M M C)/Sipil-Ars/BQ_WASKITA/analisa_str_mmc.xls'#$harsat.$#REF!$#REF!"</definedName>
    <definedName name="gip_200">"'file:///L:/10 (M M C)/Sipil-Ars/BQ_WASKITA/analisa_str_mmc.xls'#$harsat.$#REF!$#REF!"</definedName>
    <definedName name="GIP_40">"'file:///L:/10 (M M C)/Sipil-Ars/BQ_WASKITA/analisa_str_mmc.xls'#$harsat.$#REF!$#REF!"</definedName>
    <definedName name="GIP_50">"'file:///L:/10 (M M C)/Sipil-Ars/BQ_WASKITA/analisa_str_mmc.xls'#$harsat.$#REF!$#REF!"</definedName>
    <definedName name="GIP_65">"'file:///L:/10 (M M C)/Sipil-Ars/BQ_WASKITA/analisa_str_mmc.xls'#$harsat.$#REF!$#REF!"</definedName>
    <definedName name="GIP_80">"'file:///L:/10 (M M C)/Sipil-Ars/BQ_WASKITA/analisa_str_mmc.xls'#$harsat.$#REF!$#REF!"</definedName>
    <definedName name="GIP_isolasi">#REF!</definedName>
    <definedName name="GIP_MED_ISL">#REF!</definedName>
    <definedName name="GIP_MED_JAKC">#REF!</definedName>
    <definedName name="GIP_MEDIUM">#REF!</definedName>
    <definedName name="GIP_SCH40">#REF!</definedName>
    <definedName name="GIP1\2">#REF!</definedName>
    <definedName name="GIP11\2">#REF!</definedName>
    <definedName name="GIP11\4">#REF!</definedName>
    <definedName name="GIP3\4">#REF!</definedName>
    <definedName name="Girder316">#REF!</definedName>
    <definedName name="Girder400">#REF!</definedName>
    <definedName name="Girder405">#REF!</definedName>
    <definedName name="GIU">#REF!</definedName>
    <definedName name="gj" hidden="1">{"'Sheet1'!$A$1"}</definedName>
    <definedName name="gjggg" hidden="1">{"'Sheet1'!$A$1"}</definedName>
    <definedName name="gjgj" hidden="1">{"'Sheet1'!$A$1"}</definedName>
    <definedName name="gk">#REF!</definedName>
    <definedName name="GKiaN">#REF!</definedName>
    <definedName name="GKiaW">#REF!</definedName>
    <definedName name="gkjtw">#REF!</definedName>
    <definedName name="gkmberg">#REF!</definedName>
    <definedName name="gkmbw">#REF!</definedName>
    <definedName name="gkmn">#REF!</definedName>
    <definedName name="gkmorando">#REF!</definedName>
    <definedName name="gkmwberg">#REF!</definedName>
    <definedName name="GL">#REF!</definedName>
    <definedName name="gl3p">"$#REF!.$D$10"</definedName>
    <definedName name="GLAS">#REF!</definedName>
    <definedName name="glas1">#REF!</definedName>
    <definedName name="glasblock">#REF!</definedName>
    <definedName name="glassblock">#REF!</definedName>
    <definedName name="glasswoolWM6">#REF!</definedName>
    <definedName name="GlbAb">#REF!</definedName>
    <definedName name="GlbAk">#REF!</definedName>
    <definedName name="GlbPl">#REF!</definedName>
    <definedName name="GlbS2">#REF!</definedName>
    <definedName name="GlbS3">#REF!</definedName>
    <definedName name="glsln">#REF!</definedName>
    <definedName name="GLWO">#REF!</definedName>
    <definedName name="gm">#REF!</definedName>
    <definedName name="GMerN">#REF!</definedName>
    <definedName name="GMerW">#REF!</definedName>
    <definedName name="gn">#REF!</definedName>
    <definedName name="GNok0">#REF!</definedName>
    <definedName name="GNok3">#REF!</definedName>
    <definedName name="gof">#REF!</definedName>
    <definedName name="gogon" hidden="1">#REF!</definedName>
    <definedName name="GONDOLA">#REF!</definedName>
    <definedName name="GONDOLA_A">#REF!</definedName>
    <definedName name="GONDOLA_B">#REF!</definedName>
    <definedName name="GONDOLA_C">#REF!</definedName>
    <definedName name="gone">"$#REF!.$GN$46"</definedName>
    <definedName name="govpd15">#REF!</definedName>
    <definedName name="gp">#REF!</definedName>
    <definedName name="gpb">#REF!</definedName>
    <definedName name="gpek">#REF!</definedName>
    <definedName name="gphp">#REF!</definedName>
    <definedName name="GPlBk">#REF!</definedName>
    <definedName name="GPlOv">#REF!</definedName>
    <definedName name="gpp">#REF!</definedName>
    <definedName name="gr">#REF!</definedName>
    <definedName name="GR.1">#REF!</definedName>
    <definedName name="gr.100">#REF!</definedName>
    <definedName name="gr.100_9">#REF!</definedName>
    <definedName name="GR.2">#REF!</definedName>
    <definedName name="gr.20">#REF!</definedName>
    <definedName name="GR.50">#REF!</definedName>
    <definedName name="gr.60">#REF!</definedName>
    <definedName name="gr.60_9">#REF!</definedName>
    <definedName name="gr.80">#REF!</definedName>
    <definedName name="gr.80_9">#REF!</definedName>
    <definedName name="gr_e">#REF!</definedName>
    <definedName name="gra">"$#REF!.$H$28"</definedName>
    <definedName name="gra_b">#REF!</definedName>
    <definedName name="Grade">#REF!</definedName>
    <definedName name="Grader">#REF!</definedName>
    <definedName name="grader_9">#REF!</definedName>
    <definedName name="gralam">#REF!</definedName>
    <definedName name="gralam.2">#REF!</definedName>
    <definedName name="GRAND_PALEMBANG_HOTEL___PALEMBANG">#REF!</definedName>
    <definedName name="granit">#REF!</definedName>
    <definedName name="granit60lt">#REF!</definedName>
    <definedName name="granito">#REF!</definedName>
    <definedName name="granito_6">#REF!</definedName>
    <definedName name="granito30">#REF!</definedName>
    <definedName name="granito30x30">#REF!</definedName>
    <definedName name="granito40">#REF!</definedName>
    <definedName name="granito40x40">#REF!</definedName>
    <definedName name="granito60x60">#REF!</definedName>
    <definedName name="granitsolidex.cina">#REF!</definedName>
    <definedName name="granitsolidex.italy">#REF!</definedName>
    <definedName name="grassblock">#REF!</definedName>
    <definedName name="Gratting">"$#REF!.$D$10"</definedName>
    <definedName name="GRAVEL">#REF!</definedName>
    <definedName name="GRC">#REF!</definedName>
    <definedName name="grc_1025">#REF!</definedName>
    <definedName name="grc_1030">#REF!</definedName>
    <definedName name="grc_1535">#REF!</definedName>
    <definedName name="grc_2065">#REF!</definedName>
    <definedName name="grc_2530">#REF!</definedName>
    <definedName name="grc_2555">#REF!</definedName>
    <definedName name="grc_3065">#REF!</definedName>
    <definedName name="grc_3520">#REF!</definedName>
    <definedName name="grc_4030">#REF!</definedName>
    <definedName name="grc_45125">#REF!</definedName>
    <definedName name="grc_45145">#REF!</definedName>
    <definedName name="grc_45150">#REF!</definedName>
    <definedName name="grc_4525">#REF!</definedName>
    <definedName name="grc_4555">#REF!</definedName>
    <definedName name="grc_510">#REF!</definedName>
    <definedName name="grc_515">#REF!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cb">#REF!</definedName>
    <definedName name="grcb_6">#REF!</definedName>
    <definedName name="GRCB5">#REF!</definedName>
    <definedName name="GRCBULAT">#REF!</definedName>
    <definedName name="GRCcanopy">#REF!</definedName>
    <definedName name="GRCclading">#REF!</definedName>
    <definedName name="GRCENSTRANCE">#REF!</definedName>
    <definedName name="GRCK22">#REF!</definedName>
    <definedName name="GRCKEPALAPROFIL">#REF!</definedName>
    <definedName name="GRCkolom">#REF!</definedName>
    <definedName name="GRCkubah1">#REF!</definedName>
    <definedName name="GRCkubah2">#REF!</definedName>
    <definedName name="GRCLENGKUNG">#REF!</definedName>
    <definedName name="grcp">#REF!</definedName>
    <definedName name="grcp_6">#REF!</definedName>
    <definedName name="GRCPARTISION">#REF!</definedName>
    <definedName name="GRCSIRIPIKAN">#REF!</definedName>
    <definedName name="GRCVIEWING">#REF!</definedName>
    <definedName name="Grendel_steiles_steel">#REF!</definedName>
    <definedName name="Grendeltanam1610.06">#REF!</definedName>
    <definedName name="Grendeltanam1610.12">#REF!</definedName>
    <definedName name="grendeltanamatas\nonjasa">#REF!</definedName>
    <definedName name="grendeltanambawah\nonjasa">#REF!</definedName>
    <definedName name="greserv">#REF!</definedName>
    <definedName name="Gresik">#REF!</definedName>
    <definedName name="grev20">#REF!</definedName>
    <definedName name="grev20_6">#REF!</definedName>
    <definedName name="Grevel1ø20">#REF!</definedName>
    <definedName name="Greveldia20cm">#REF!</definedName>
    <definedName name="GRF">#REF!</definedName>
    <definedName name="grg" hidden="1">{"'Sheet1'!$A$1"}</definedName>
    <definedName name="grilbesi">#REF!</definedName>
    <definedName name="grilhw">#REF!</definedName>
    <definedName name="grill">#REF!</definedName>
    <definedName name="grille">#REF!</definedName>
    <definedName name="grille30">#REF!</definedName>
    <definedName name="Grnd2">#REF!</definedName>
    <definedName name="Grnd6">#REF!</definedName>
    <definedName name="Grnit">#REF!</definedName>
    <definedName name="gron5">#REF!</definedName>
    <definedName name="groove">"$#REF!.$H$25"</definedName>
    <definedName name="GROSA">#REF!</definedName>
    <definedName name="GROSB">#REF!</definedName>
    <definedName name="GROSC">#REF!</definedName>
    <definedName name="GROSD">#REF!</definedName>
    <definedName name="GROSE">#REF!</definedName>
    <definedName name="GROSHK">#REF!</definedName>
    <definedName name="gross">#REF!</definedName>
    <definedName name="GROUND_FLOOR">#REF!</definedName>
    <definedName name="groundmatv">#REF!</definedName>
    <definedName name="grout">#REF!</definedName>
    <definedName name="grouting">#REF!</definedName>
    <definedName name="groutink">#REF!</definedName>
    <definedName name="GrsB2">#REF!</definedName>
    <definedName name="grsb20">#REF!</definedName>
    <definedName name="GrsB3">#REF!</definedName>
    <definedName name="grsb30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VXG">STOP:STOPE</definedName>
    <definedName name="GSVXG_10">#REF!:#REF!</definedName>
    <definedName name="GSVXG_11">#REF!:#REF!</definedName>
    <definedName name="GSVXG_12">#REF!:#REF!</definedName>
    <definedName name="GSVXG_14">#REF!:#REF!</definedName>
    <definedName name="GSVXG_15">#REF!:#REF!</definedName>
    <definedName name="GSVXG_16">#REF!:#REF!</definedName>
    <definedName name="GSVXG_17">#REF!:#REF!</definedName>
    <definedName name="GSVXG_18">#REF!:#REF!</definedName>
    <definedName name="GSVXG_19">#REF!:#REF!</definedName>
    <definedName name="GSVXG_20">#REF!:#REF!</definedName>
    <definedName name="GSVXG_22">#REF!:#REF!</definedName>
    <definedName name="GSVXG_23">#REF!:#REF!</definedName>
    <definedName name="GSVXG_24">#REF!:#REF!</definedName>
    <definedName name="GSVXG_25">#REF!:#REF!</definedName>
    <definedName name="GSVXG_5">#REF!:#REF!</definedName>
    <definedName name="GSVXG_6">#REF!:#REF!</definedName>
    <definedName name="GSVXG_7">#REF!:#REF!</definedName>
    <definedName name="GSVXG_8">#REF!:#REF!</definedName>
    <definedName name="gsw">#REF!</definedName>
    <definedName name="GT">#REF!</definedName>
    <definedName name="GT_23">#REF!</definedName>
    <definedName name="GT_25">#REF!</definedName>
    <definedName name="gtanahbiasa">#REF!</definedName>
    <definedName name="GTB">#REF!</definedName>
    <definedName name="GTBB">#REF!</definedName>
    <definedName name="GTberbatu">#REF!</definedName>
    <definedName name="GTBM">#REF!</definedName>
    <definedName name="GTM">#REF!</definedName>
    <definedName name="Guidepost">#REF!</definedName>
    <definedName name="Guidesign">#REF!</definedName>
    <definedName name="GUN">#REF!</definedName>
    <definedName name="gutter">#REF!</definedName>
    <definedName name="gutter20">#REF!</definedName>
    <definedName name="gutter25">#REF!</definedName>
    <definedName name="gv">#REF!</definedName>
    <definedName name="gv.3">#REF!</definedName>
    <definedName name="gv.4">#REF!</definedName>
    <definedName name="gv_3">#REF!</definedName>
    <definedName name="gv_7">#REF!</definedName>
    <definedName name="gv_8">#REF!</definedName>
    <definedName name="gvd100___0">"$#REF!.$N$289"</definedName>
    <definedName name="gvd15___0">"$#REF!.$N$269"</definedName>
    <definedName name="gvd150___0">"$#REF!.$N$267"</definedName>
    <definedName name="gvd25___0">"$#REF!.$N$464"</definedName>
    <definedName name="gvd50___0">"$#REF!.$N$290"</definedName>
    <definedName name="gvd65___0">"$#REF!.$N$268"</definedName>
    <definedName name="gvlam">#REF!</definedName>
    <definedName name="gw">#REF!</definedName>
    <definedName name="gw_Rebar_ratio">#REF!</definedName>
    <definedName name="gwwr" hidden="1">{"'Sheet1'!$A$1"}</definedName>
    <definedName name="gy">#REF!</definedName>
    <definedName name="GYFSUM">#REF!</definedName>
    <definedName name="gyp9_6">#REF!</definedName>
    <definedName name="Gypsm">#REF!</definedName>
    <definedName name="gypsum">"$#REF!.$M$7"</definedName>
    <definedName name="gypsum.9">#REF!</definedName>
    <definedName name="gypsum.prf">#REF!</definedName>
    <definedName name="h">"$#REF!.$#REF!$#REF!:$#REF!$#REF!"</definedName>
    <definedName name="H.1">#REF!</definedName>
    <definedName name="h.100">#REF!</definedName>
    <definedName name="h.100_9">#REF!</definedName>
    <definedName name="H.2">#REF!</definedName>
    <definedName name="H.21">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4">#REF!</definedName>
    <definedName name="H.5">#REF!</definedName>
    <definedName name="H.6">#REF!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60">#REF!</definedName>
    <definedName name="h.60_9">#REF!</definedName>
    <definedName name="H.7">#REF!</definedName>
    <definedName name="H.8">#REF!</definedName>
    <definedName name="h.80">#REF!</definedName>
    <definedName name="h.80_9">#REF!</definedName>
    <definedName name="H.9">#REF!</definedName>
    <definedName name="H.9a">#REF!</definedName>
    <definedName name="h.keptukang">#REF!</definedName>
    <definedName name="h.mandor">#REF!</definedName>
    <definedName name="h.pekerja">#REF!</definedName>
    <definedName name="h.tukang">#REF!</definedName>
    <definedName name="h_40">#REF!</definedName>
    <definedName name="h_4040">#REF!</definedName>
    <definedName name="h_9a">"$#REF!.$#REF!$#REF!"</definedName>
    <definedName name="h_angkur_16">"$#REF!.$F$35"</definedName>
    <definedName name="h_angkur_19">"$#REF!.$F$36"</definedName>
    <definedName name="h_angkur_22">"$#REF!.$F$37"</definedName>
    <definedName name="h_angkur_25">"$#REF!.$F$38"</definedName>
    <definedName name="h_aspal">"$#REF!.$F$10"</definedName>
    <definedName name="h_baja">"$#REF!.$F$28"</definedName>
    <definedName name="h_batu_pecah">"$#REF!.$F$15"</definedName>
    <definedName name="h_bekisting">"$#REF!.$F$18"</definedName>
    <definedName name="h_besi">"$#REF!.$F$25"</definedName>
    <definedName name="h_beton250">"$#REF!.$F$23"</definedName>
    <definedName name="h_beton300">"$#REF!.$F$22"</definedName>
    <definedName name="h_bondex">"$#REF!.$F$20"</definedName>
    <definedName name="h_bongkar_atap">"$#REF!.$F$58"</definedName>
    <definedName name="h_dia12">"$#REF!.$F$42"</definedName>
    <definedName name="h_dowel">"$#REF!.$F$54"</definedName>
    <definedName name="h_filler">"$#REF!.$F$55"</definedName>
    <definedName name="h_galian">"$#REF!.$F$8"</definedName>
    <definedName name="h_gordig">"$#REF!.$#REF!$#REF!"</definedName>
    <definedName name="h_gording">"$#REF!.$F$29"</definedName>
    <definedName name="h_grouting">"$#REF!.$F$41"</definedName>
    <definedName name="h_htb16">"$#REF!.$F$43"</definedName>
    <definedName name="h_htb19">"$#REF!.$F$44"</definedName>
    <definedName name="h_htb22">"$#REF!.$F$45"</definedName>
    <definedName name="h_htb25">"$#REF!.$F$46"</definedName>
    <definedName name="h_lt_kerja">"$#REF!.$F$12"</definedName>
    <definedName name="h_m8">"$#REF!.$F$27"</definedName>
    <definedName name="H_pelat_baja">"$#REF!.$F$39"</definedName>
    <definedName name="h_pemadatan">"$#REF!.$F$16"</definedName>
    <definedName name="h_pipa">"$#REF!.$F$32"</definedName>
    <definedName name="h_plastik">"$#REF!.$F$19"</definedName>
    <definedName name="h_potong_tiang">"$#REF!.$F$6"</definedName>
    <definedName name="h_psr_urug">"$#REF!.$F$13"</definedName>
    <definedName name="h_pvc">"$#REF!.$F$56"</definedName>
    <definedName name="h_s">#REF!</definedName>
    <definedName name="h_sagrod">"$#REF!.$F$51"</definedName>
    <definedName name="h_scp20">"$#REF!.$F$4"</definedName>
    <definedName name="h_scp25">"$#REF!.$F$5"</definedName>
    <definedName name="h_sealant">"$#REF!.$F$53"</definedName>
    <definedName name="h_siku">"$#REF!.$F$30"</definedName>
    <definedName name="h_sirtu">"$#REF!.$F$14"</definedName>
    <definedName name="h_stopper">"$#REF!.$F$47"</definedName>
    <definedName name="h_turn">"$#REF!.$F$50"</definedName>
    <definedName name="h_unp">"$#REF!.$F$31"</definedName>
    <definedName name="h_urugan">"$#REF!.$F$9"</definedName>
    <definedName name="h_wind">"$#REF!.$F$49"</definedName>
    <definedName name="h_wiremesh">"$#REF!.$F$26"</definedName>
    <definedName name="hab">#REF!</definedName>
    <definedName name="hab_9">#REF!</definedName>
    <definedName name="haban">#REF!</definedName>
    <definedName name="habantu">#REF!</definedName>
    <definedName name="habantu_9">#REF!</definedName>
    <definedName name="habub">#REF!</definedName>
    <definedName name="habub_9">#REF!</definedName>
    <definedName name="hac">#REF!</definedName>
    <definedName name="hac_9">#REF!</definedName>
    <definedName name="hagis">#REF!</definedName>
    <definedName name="HAGO">#REF!</definedName>
    <definedName name="haha">haha</definedName>
    <definedName name="HAIII">HAIII</definedName>
    <definedName name="HAjdl">#REF!</definedName>
    <definedName name="HAJIME">#REF!</definedName>
    <definedName name="hak">"$#REF!.$Y$5"</definedName>
    <definedName name="hak.1">#REF!</definedName>
    <definedName name="hak.2">#REF!</definedName>
    <definedName name="hakatk">#REF!</definedName>
    <definedName name="hakbs">#REF!</definedName>
    <definedName name="HALIMUN">"$#REF!.$AV$4:$AV$349"</definedName>
    <definedName name="hampar">#REF!</definedName>
    <definedName name="hand">#REF!</definedName>
    <definedName name="handrail">#REF!</definedName>
    <definedName name="HANDRAILING">#REF!</definedName>
    <definedName name="HandshowerB250">#REF!</definedName>
    <definedName name="har_9">"$#REF!.$L$14"</definedName>
    <definedName name="hardener">#REF!</definedName>
    <definedName name="harga">#REF!</definedName>
    <definedName name="harga_10">#REF!</definedName>
    <definedName name="HARGASATUAN">#REF!</definedName>
    <definedName name="hargasubkon">#REF!</definedName>
    <definedName name="hargatiket1jalan">#REF!</definedName>
    <definedName name="hari">#REF!</definedName>
    <definedName name="HARSAT">#REF!</definedName>
    <definedName name="has.200">#REF!</definedName>
    <definedName name="has.200_9">#REF!</definedName>
    <definedName name="hasb">#REF!</definedName>
    <definedName name="hasb_9">#REF!</definedName>
    <definedName name="HASdk">#REF!</definedName>
    <definedName name="hatb">#REF!</definedName>
    <definedName name="hatb_9">#REF!</definedName>
    <definedName name="HB.10">#REF!</definedName>
    <definedName name="HB.15">#REF!</definedName>
    <definedName name="HB.20">#REF!</definedName>
    <definedName name="hbb">#REF!</definedName>
    <definedName name="hbb.05">#REF!</definedName>
    <definedName name="hbb.05_9">#REF!</definedName>
    <definedName name="hbb.1">#REF!</definedName>
    <definedName name="hbb.1_9">#REF!</definedName>
    <definedName name="hbb.10">#REF!</definedName>
    <definedName name="hbb.10_9">#REF!</definedName>
    <definedName name="hbb.2">#REF!</definedName>
    <definedName name="hbb.2_9">#REF!</definedName>
    <definedName name="hbb.3">#REF!</definedName>
    <definedName name="hbb.3_9">#REF!</definedName>
    <definedName name="hbb.5">#REF!</definedName>
    <definedName name="hbb.5_9">#REF!</definedName>
    <definedName name="hbb.7">#REF!</definedName>
    <definedName name="hbb.7_9">#REF!</definedName>
    <definedName name="hbb_9">#REF!</definedName>
    <definedName name="hbensin">#REF!</definedName>
    <definedName name="hbensin_9">#REF!</definedName>
    <definedName name="HBES24">"$#REF!.$J$906"</definedName>
    <definedName name="HBES40">"$#REF!.$J$921"</definedName>
    <definedName name="hbg">#REF!</definedName>
    <definedName name="hbg_9">#REF!</definedName>
    <definedName name="hbk">#REF!</definedName>
    <definedName name="hbk_9">#REF!</definedName>
    <definedName name="hbkp">#REF!</definedName>
    <definedName name="hbkp_9">#REF!</definedName>
    <definedName name="hbl_1012">#REF!</definedName>
    <definedName name="hbl_1014">#REF!</definedName>
    <definedName name="hbl_1514">#REF!</definedName>
    <definedName name="hblw">#REF!</definedName>
    <definedName name="hblw_9">#REF!</definedName>
    <definedName name="hbt">#REF!</definedName>
    <definedName name="hbt_9">#REF!</definedName>
    <definedName name="hbtb">#REF!</definedName>
    <definedName name="hbtb_9">#REF!</definedName>
    <definedName name="hbtk">#REF!</definedName>
    <definedName name="hbtk_9">#REF!</definedName>
    <definedName name="hbtp">#REF!</definedName>
    <definedName name="hbtp_9">#REF!</definedName>
    <definedName name="hbtpb">#REF!</definedName>
    <definedName name="hbtpb_9">#REF!</definedName>
    <definedName name="HC.600.200.8.13">#REF!</definedName>
    <definedName name="hcab">#REF!</definedName>
    <definedName name="hcab_9">#REF!</definedName>
    <definedName name="hcermin">"$#REF!.$K$4862"</definedName>
    <definedName name="hcj">#REF!</definedName>
    <definedName name="hcj_9">#REF!</definedName>
    <definedName name="hcomp">#REF!</definedName>
    <definedName name="hcomp_9">#REF!</definedName>
    <definedName name="hcs">#REF!</definedName>
    <definedName name="hcslab">#REF!</definedName>
    <definedName name="hcv">#REF!</definedName>
    <definedName name="hcv_9">#REF!</definedName>
    <definedName name="hd">#REF!</definedName>
    <definedName name="hdozer">#REF!</definedName>
    <definedName name="hdozer_9">#REF!</definedName>
    <definedName name="Hdpx5">#REF!</definedName>
    <definedName name="hdt.35">#REF!</definedName>
    <definedName name="hdt.35_9">#REF!</definedName>
    <definedName name="hdt.5">#REF!</definedName>
    <definedName name="hdt.5_9">#REF!</definedName>
    <definedName name="hdw">#REF!</definedName>
    <definedName name="HDY">#REF!</definedName>
    <definedName name="he">#REF!</definedName>
    <definedName name="Heä_soá_laép_xaø_H">1.7</definedName>
    <definedName name="heä_soá_sình_laày">"$#REF!.$C$8:$D$8"</definedName>
    <definedName name="Header_Row">ROW(#REF!)</definedName>
    <definedName name="Header_Row_13">ROW(#REF!)</definedName>
    <definedName name="Header_Row_2">ROW(#REF!)</definedName>
    <definedName name="HEALTH___SAFETY">#REF!</definedName>
    <definedName name="Hebel10">#REF!</definedName>
    <definedName name="hedlingtp">#REF!</definedName>
    <definedName name="helo">helo</definedName>
    <definedName name="Heloconia">#REF!</definedName>
    <definedName name="hERO">#REF!</definedName>
    <definedName name="hERO_23">#REF!</definedName>
    <definedName name="hERO_25">#REF!</definedName>
    <definedName name="hERO_aNADUCT">#REF!</definedName>
    <definedName name="hERO_aNADUCT_23">#REF!</definedName>
    <definedName name="hERO_aNADUCT_25">#REF!</definedName>
    <definedName name="hfd3_1">#REF!</definedName>
    <definedName name="hfd3_2">#REF!</definedName>
    <definedName name="hfd5_1">#REF!</definedName>
    <definedName name="hfd5_2">#REF!</definedName>
    <definedName name="hfghf">#REF!</definedName>
    <definedName name="hfy" hidden="1">#REF!</definedName>
    <definedName name="HG">#REF!</definedName>
    <definedName name="hgjj" hidden="1">{"'Sheet1'!$A$1"}</definedName>
    <definedName name="hgrader">#REF!</definedName>
    <definedName name="hgrader_9">#REF!</definedName>
    <definedName name="HH" hidden="1">{"'Sheet1'!$A$1"}</definedName>
    <definedName name="HH_02">#REF!</definedName>
    <definedName name="HH15HT">NA()</definedName>
    <definedName name="HH16HT">NA()</definedName>
    <definedName name="HH19HT">NA()</definedName>
    <definedName name="HH20HT">NA()</definedName>
    <definedName name="hhh">#REF!</definedName>
    <definedName name="hhrs">#REF!</definedName>
    <definedName name="hhrs_9">#REF!</definedName>
    <definedName name="HiddenRows" hidden="1">#REF!</definedName>
    <definedName name="Hidr">#REF!</definedName>
    <definedName name="hidrolik">#REF!</definedName>
    <definedName name="hil">#REF!</definedName>
    <definedName name="hinis">#REF!</definedName>
    <definedName name="hit">#REF!</definedName>
    <definedName name="hitachi">#REF!</definedName>
    <definedName name="hj">#REF!</definedName>
    <definedName name="HJK">#REF!</definedName>
    <definedName name="hjy" hidden="1">{"'Sheet1'!$A$1"}</definedName>
    <definedName name="HK">#REF!</definedName>
    <definedName name="HK125NFA">"$#REF!.$J$623"</definedName>
    <definedName name="HK175NFA">"$#REF!.$J$640"</definedName>
    <definedName name="HK225NFA">"$#REF!.$J$657"</definedName>
    <definedName name="HK250NFA">"$#REF!.$J$674"</definedName>
    <definedName name="HK275NFA">"$#REF!.$J$690"</definedName>
    <definedName name="HK300NFA">"$#REF!.$J$708"</definedName>
    <definedName name="HK350NFA">"$#REF!.$J$725"</definedName>
    <definedName name="HK450NFA">"$#REF!.$J$771"</definedName>
    <definedName name="HK500NFA">"$#REF!.$J$787"</definedName>
    <definedName name="hkb">#REF!</definedName>
    <definedName name="hkb_9">#REF!</definedName>
    <definedName name="hkbaja">#REF!</definedName>
    <definedName name="hkbaja_9">#REF!</definedName>
    <definedName name="hkgb">#REF!</definedName>
    <definedName name="hkgb_9">#REF!</definedName>
    <definedName name="hkh">#REF!</definedName>
    <definedName name="hkoral">#REF!</definedName>
    <definedName name="hkpb">#REF!</definedName>
    <definedName name="hkpb_9">#REF!</definedName>
    <definedName name="hks">#REF!</definedName>
    <definedName name="hks_9">#REF!</definedName>
    <definedName name="hksatp">#REF!</definedName>
    <definedName name="hksatp_9">#REF!</definedName>
    <definedName name="hkukj">#REF!</definedName>
    <definedName name="hkukj_9">#REF!</definedName>
    <definedName name="hkup">#REF!</definedName>
    <definedName name="hkup_9">#REF!</definedName>
    <definedName name="hkyb">#REF!</definedName>
    <definedName name="hkyb_9">#REF!</definedName>
    <definedName name="HLK">#REF!</definedName>
    <definedName name="HM">#REF!</definedName>
    <definedName name="hma">#REF!</definedName>
    <definedName name="hma_9">#REF!</definedName>
    <definedName name="Hmesh6">#REF!</definedName>
    <definedName name="hmf">#REF!</definedName>
    <definedName name="hmf_9">#REF!</definedName>
    <definedName name="hmg.3r">#REF!</definedName>
    <definedName name="hmg.3r_9">#REF!</definedName>
    <definedName name="hmgb">#REF!</definedName>
    <definedName name="hmgb_9">#REF!</definedName>
    <definedName name="hmgrk">#REF!</definedName>
    <definedName name="hmgrk_9">#REF!</definedName>
    <definedName name="hmgt">#REF!</definedName>
    <definedName name="hmgt_9">#REF!</definedName>
    <definedName name="hmp.182">#REF!</definedName>
    <definedName name="hmp.182_9">#REF!</definedName>
    <definedName name="Hmppl">#REF!</definedName>
    <definedName name="hmt">#REF!</definedName>
    <definedName name="hmt_9">#REF!</definedName>
    <definedName name="holi">#REF!</definedName>
    <definedName name="holi_9">#REF!</definedName>
    <definedName name="hollo40x40">#REF!</definedName>
    <definedName name="hollow">#REF!</definedName>
    <definedName name="hollow20x20">#REF!</definedName>
    <definedName name="hollow30x30">#REF!</definedName>
    <definedName name="hollow40x20">#REF!</definedName>
    <definedName name="holo">#REF!</definedName>
    <definedName name="HOMO_4040">#REF!</definedName>
    <definedName name="homo20">#REF!</definedName>
    <definedName name="homo30">#REF!</definedName>
    <definedName name="homo60">#REF!</definedName>
    <definedName name="homogenous10x30polished">#REF!</definedName>
    <definedName name="homogenous10x40polished">#REF!</definedName>
    <definedName name="homogenous10x60polished">#REF!</definedName>
    <definedName name="homogenous30x30polished">#REF!</definedName>
    <definedName name="homogenous40x40polished">#REF!</definedName>
    <definedName name="homogenous60x60">#REF!</definedName>
    <definedName name="homogenous60x60polished">#REF!</definedName>
    <definedName name="HONEY">#REF!</definedName>
    <definedName name="hong">#REF!</definedName>
    <definedName name="HOOK2">#REF!</definedName>
    <definedName name="hook2a">#REF!</definedName>
    <definedName name="HORISONTAL">#REF!</definedName>
    <definedName name="horrybeam">#REF!</definedName>
    <definedName name="hot">#REF!</definedName>
    <definedName name="hotdip">#REF!</definedName>
    <definedName name="HOTEL">HAJIME:OWARI</definedName>
    <definedName name="hotmix">#REF!</definedName>
    <definedName name="hpa_4">#REF!</definedName>
    <definedName name="hpa_5">#REF!</definedName>
    <definedName name="hpa_7a">#REF!</definedName>
    <definedName name="HPARUG">#REF!</definedName>
    <definedName name="hpav">#REF!</definedName>
    <definedName name="hpav_9">#REF!</definedName>
    <definedName name="HPAVING">#REF!</definedName>
    <definedName name="hpb.125">#REF!</definedName>
    <definedName name="hpb.125_9">#REF!</definedName>
    <definedName name="hpb.200hp">#REF!</definedName>
    <definedName name="hpb.200hp_9">#REF!</definedName>
    <definedName name="hpb.500">#REF!</definedName>
    <definedName name="hpb.500_9">#REF!</definedName>
    <definedName name="hpc">#REF!</definedName>
    <definedName name="hpc_9">#REF!</definedName>
    <definedName name="hpj">#REF!</definedName>
    <definedName name="hpj_9">#REF!</definedName>
    <definedName name="hpja_1a">#REF!</definedName>
    <definedName name="hpja_4">#REF!</definedName>
    <definedName name="hpja_5">#REF!</definedName>
    <definedName name="hpja_6">#REF!</definedName>
    <definedName name="hpk_1a">#REF!</definedName>
    <definedName name="hpk_2">#REF!</definedName>
    <definedName name="hpk_3">#REF!</definedName>
    <definedName name="hpk_4">#REF!</definedName>
    <definedName name="hpk_5">#REF!</definedName>
    <definedName name="hpk_5a">#REF!</definedName>
    <definedName name="hpk_6">#REF!</definedName>
    <definedName name="hpk_7">#REF!</definedName>
    <definedName name="hpk_7a">#REF!</definedName>
    <definedName name="hpl">#REF!</definedName>
    <definedName name="hpsaub">#REF!</definedName>
    <definedName name="hpsaub_9">#REF!</definedName>
    <definedName name="hpsp">#REF!</definedName>
    <definedName name="hpsp_9">#REF!</definedName>
    <definedName name="hpsu">#REF!</definedName>
    <definedName name="hpsu_9">#REF!</definedName>
    <definedName name="hpt_1">#REF!</definedName>
    <definedName name="hpt_2">#REF!</definedName>
    <definedName name="hpt_3">#REF!</definedName>
    <definedName name="hpt_4">#REF!</definedName>
    <definedName name="hptdll">#REF!</definedName>
    <definedName name="hptdll_9">#REF!</definedName>
    <definedName name="hQ">#REF!</definedName>
    <definedName name="hQ_9">#REF!</definedName>
    <definedName name="HR">#REF!</definedName>
    <definedName name="hrs">#REF!</definedName>
    <definedName name="hrs_9">#REF!</definedName>
    <definedName name="hs">#REF!</definedName>
    <definedName name="hs.1000">#REF!</definedName>
    <definedName name="hs.1000_9">#REF!</definedName>
    <definedName name="hs_tx">#REF!</definedName>
    <definedName name="HSA.1">#REF!</definedName>
    <definedName name="HSA.2">#REF!</definedName>
    <definedName name="HSA.3">#REF!</definedName>
    <definedName name="HSA.4">#REF!</definedName>
    <definedName name="HSB.1">#REF!</definedName>
    <definedName name="HSB.2">#REF!</definedName>
    <definedName name="HSB.3">#REF!</definedName>
    <definedName name="HSB.4">#REF!</definedName>
    <definedName name="HSB.5">#REF!</definedName>
    <definedName name="HSB.6">#REF!</definedName>
    <definedName name="HSC.1">#REF!</definedName>
    <definedName name="HSC.2">#REF!</definedName>
    <definedName name="HSC.2a">#REF!</definedName>
    <definedName name="HSCT3">0.1</definedName>
    <definedName name="HSD">#REF!</definedName>
    <definedName name="hsdc1">"$#REF!.$J$3"</definedName>
    <definedName name="HSDD">NA()</definedName>
    <definedName name="HSDN">2.5</definedName>
    <definedName name="HSHH">"$#REF!.$B$33"</definedName>
    <definedName name="HSHHUT">"$#REF!.$B$33"</definedName>
    <definedName name="hskk1">"'file:///d:/project/energyhouse2/energyhouse2-mainkontraktor/energyhouse2-mainkontraktor-tender/energyhouse2-mainkontraktor-tender-boq/misc/congviec/tam.xls'#$chitiet.$d$4"</definedName>
    <definedName name="HSM">#REF!</definedName>
    <definedName name="HSNC">"'file:///d:/project/energyhouse2/energyhouse2-mainkontraktor/energyhouse2-mainkontraktor-tender/energyhouse2-mainkontraktor-tender-boq/lu_thanh_binh/d/luu_tru/ltb_ktkh/dz220kv_dau_noi_sau_tram_500kv_ha_tinh/gia_thau.xls'#$du_lieu.$c$6"</definedName>
    <definedName name="hsolar">#REF!</definedName>
    <definedName name="hsolar_9">#REF!</definedName>
    <definedName name="hsp">#REF!</definedName>
    <definedName name="HSP.01">#REF!</definedName>
    <definedName name="HSP.02">#REF!</definedName>
    <definedName name="HSP.03">#REF!</definedName>
    <definedName name="HSP.04">#REF!</definedName>
    <definedName name="HSP.05">#REF!</definedName>
    <definedName name="HSP.06">#REF!</definedName>
    <definedName name="HSP.07">#REF!</definedName>
    <definedName name="hspt">#REF!</definedName>
    <definedName name="HSSL">"$#REF!.$D$8"</definedName>
    <definedName name="hstam">#REF!</definedName>
    <definedName name="hstam_9">#REF!</definedName>
    <definedName name="hstpb">#REF!</definedName>
    <definedName name="hstpb_9">#REF!</definedName>
    <definedName name="HSU">#REF!</definedName>
    <definedName name="HSU.1">#REF!</definedName>
    <definedName name="HSU.2">#REF!</definedName>
    <definedName name="HSU.2a">#REF!</definedName>
    <definedName name="hsut">#REF!</definedName>
    <definedName name="HSVC1">"$#REF!.$C$7"</definedName>
    <definedName name="HSVC2">"$#REF!.$D$7"</definedName>
    <definedName name="HSVC3">"$#REF!.$#REF!$#REF!"</definedName>
    <definedName name="hswt">#REF!</definedName>
    <definedName name="HT">"$#REF!.$H$4:$Z$59"</definedName>
    <definedName name="ht.30x30">#REF!</definedName>
    <definedName name="ht.30x30_9">#REF!</definedName>
    <definedName name="ht_3060">#REF!</definedName>
    <definedName name="ht_4040">#REF!</definedName>
    <definedName name="ht25nc">NA()</definedName>
    <definedName name="ht25vl">NA()</definedName>
    <definedName name="ht325nc">NA()</definedName>
    <definedName name="ht325vl">NA()</definedName>
    <definedName name="ht37k">NA()</definedName>
    <definedName name="ht37nc">NA()</definedName>
    <definedName name="ht50nc">NA()</definedName>
    <definedName name="ht50vl">NA()</definedName>
    <definedName name="htanki">#REF!</definedName>
    <definedName name="htanki_9">#REF!</definedName>
    <definedName name="htfm">#REF!</definedName>
    <definedName name="htfm_6">#REF!</definedName>
    <definedName name="hthjhj" hidden="1">{"'Sheet1'!$A$1"}</definedName>
    <definedName name="HtMix">#REF!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NC">"$#REF!.$#REF!$#REF!"</definedName>
    <definedName name="htnh">#REF!</definedName>
    <definedName name="htnh_9">#REF!</definedName>
    <definedName name="htrailer">#REF!</definedName>
    <definedName name="htrailer_9">#REF!</definedName>
    <definedName name="HTVL">"$#REF!.$#REF!$#REF!"</definedName>
    <definedName name="HUC.2">#REF!</definedName>
    <definedName name="hw" hidden="1">{#N/A,#N/A,FALSE,"REK-S-TPL";#N/A,#N/A,FALSE,"REK-TPML";#N/A,#N/A,FALSE,"RAB-TEMPEL"}</definedName>
    <definedName name="hw_1">#REF!</definedName>
    <definedName name="hw1_1">#REF!</definedName>
    <definedName name="hw1_2">#REF!</definedName>
    <definedName name="hw1_3">#REF!</definedName>
    <definedName name="hw26_1">#REF!</definedName>
    <definedName name="hw3_1">#REF!</definedName>
    <definedName name="hwd1_1">#REF!</definedName>
    <definedName name="hwd1_2">#REF!</definedName>
    <definedName name="hwd1_3">#REF!</definedName>
    <definedName name="hwd1_4">#REF!</definedName>
    <definedName name="hwl.80hp">#REF!</definedName>
    <definedName name="hwl.80hp_9">#REF!</definedName>
    <definedName name="hwp.5">#REF!</definedName>
    <definedName name="hwp.5_9">#REF!</definedName>
    <definedName name="hwt.60hp">#REF!</definedName>
    <definedName name="hwt.60hp_9">#REF!</definedName>
    <definedName name="HydBx">#REF!</definedName>
    <definedName name="hyhkj" hidden="1">{"'Sheet1'!$A$1"}</definedName>
    <definedName name="hyu4t" hidden="1">{"'Sheet1'!$A$1"}</definedName>
    <definedName name="hyut" hidden="1">{"'Sheet1'!$A$1"}</definedName>
    <definedName name="I">NA()</definedName>
    <definedName name="I.2.a">#REF!</definedName>
    <definedName name="I.2.b">#REF!</definedName>
    <definedName name="I.2.c">#REF!</definedName>
    <definedName name="I.2.d">#REF!</definedName>
    <definedName name="I.6.12">#REF!</definedName>
    <definedName name="I.6.4.1">#REF!</definedName>
    <definedName name="I.6.8.1">#REF!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2É6">NA()</definedName>
    <definedName name="IA">#REF!</definedName>
    <definedName name="Iart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h">#N/A</definedName>
    <definedName name="ICHAN">#REF!</definedName>
    <definedName name="icidal">#REF!</definedName>
    <definedName name="icidal_6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d">#REF!</definedName>
    <definedName name="ID_AHS">#REF!</definedName>
    <definedName name="ideal">#REF!</definedName>
    <definedName name="IDSatuan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HS">#REF!</definedName>
    <definedName name="ii">"'file://SERVER3/har-data/STRUCTURE PRICE OF BQ KOMPAS GRAMEDIA.xls'#$analisa.$#REF!$#REF!"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_d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k">#REF!</definedName>
    <definedName name="ijuk">#REF!</definedName>
    <definedName name="ikatanangin16mm">#REF!</definedName>
    <definedName name="ikh">#REF!</definedName>
    <definedName name="IKIP">"$#REF!.$W$4:$W$592"</definedName>
    <definedName name="ilm">#REF!</definedName>
    <definedName name="im">#REF!</definedName>
    <definedName name="IMA">IMA</definedName>
    <definedName name="imam">#REF!</definedName>
    <definedName name="IMB00">#REF!</definedName>
    <definedName name="Impra">#REF!</definedName>
    <definedName name="incli">#REF!</definedName>
    <definedName name="Indek">#REF!</definedName>
    <definedName name="INDEKDETASIR">#REF!</definedName>
    <definedName name="INDEKLOKASI">#REF!</definedName>
    <definedName name="index">#REF!</definedName>
    <definedName name="INDEX_ARS">#REF!</definedName>
    <definedName name="index_arsitektur">#REF!</definedName>
    <definedName name="INDEX_STR">#REF!</definedName>
    <definedName name="Index_Struktur">#REF!</definedName>
    <definedName name="index2">#REF!</definedName>
    <definedName name="INDEXDETASIR">#REF!</definedName>
    <definedName name="INDEXLOKASI">#REF!</definedName>
    <definedName name="injin">#REF!</definedName>
    <definedName name="Injuk">#REF!</definedName>
    <definedName name="Inlet">#REF!</definedName>
    <definedName name="Inlet_d">#REF!</definedName>
    <definedName name="insalb">#REF!</definedName>
    <definedName name="insbs">#REF!</definedName>
    <definedName name="inscs">#REF!</definedName>
    <definedName name="insdet">#REF!</definedName>
    <definedName name="insfs">#REF!</definedName>
    <definedName name="inshs">#REF!</definedName>
    <definedName name="Inst">#REF!</definedName>
    <definedName name="INSU">#REF!</definedName>
    <definedName name="insul">"$Estimasi.$#REF!$6"</definedName>
    <definedName name="INSURANCE">#REF!</definedName>
    <definedName name="int">"$#REF!.$H$11"</definedName>
    <definedName name="int_wp">"$#REF!.$H$10"</definedName>
    <definedName name="int1a">#REF!</definedName>
    <definedName name="int1b">#REF!</definedName>
    <definedName name="int2a">#REF!</definedName>
    <definedName name="int2b">#REF!</definedName>
    <definedName name="integral">#REF!</definedName>
    <definedName name="Inter">#REF!</definedName>
    <definedName name="inti">#REF!</definedName>
    <definedName name="inwrap">#REF!</definedName>
    <definedName name="IOI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PU">#N/A</definedName>
    <definedName name="isi">#REF!</definedName>
    <definedName name="isi_10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lamiyah">#REF!</definedName>
    <definedName name="iso_24">#REF!</definedName>
    <definedName name="iso_48">#REF!</definedName>
    <definedName name="iso_80">#REF!</definedName>
    <definedName name="ITC">#REF!</definedName>
    <definedName name="ITEM">"$#REF!.$B$2:$C$741"</definedName>
    <definedName name="ITEM_PEMBAYARAN_No.">#REF!</definedName>
    <definedName name="iterar">#REF!</definedName>
    <definedName name="iterdw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f">#REF!</definedName>
    <definedName name="IWF.200.100.5.5.8">#REF!</definedName>
    <definedName name="IWF.300.150.6.5.9">#REF!</definedName>
    <definedName name="IWF.300.200.8.12">#REF!</definedName>
    <definedName name="iwf_6">#REF!</definedName>
    <definedName name="iwp">#REF!</definedName>
    <definedName name="IX.c">#REF!</definedName>
    <definedName name="IXb">#REF!</definedName>
    <definedName name="J">NA()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2">#REF!</definedName>
    <definedName name="J.2aksen">#REF!</definedName>
    <definedName name="J.3">#REF!</definedName>
    <definedName name="J.4">#REF!</definedName>
    <definedName name="J.4aksen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7">#REF!</definedName>
    <definedName name="J.6.7a">#REF!</definedName>
    <definedName name="J.6.9">#REF!</definedName>
    <definedName name="J.6.9.1">#REF!</definedName>
    <definedName name="J.7">#REF!</definedName>
    <definedName name="J.8">#REF!</definedName>
    <definedName name="J.9">#REF!</definedName>
    <definedName name="J.KACAALUM">#REF!</definedName>
    <definedName name="J.KACAKAYU">#REF!</definedName>
    <definedName name="j5jj" hidden="1">{"'Sheet1'!$A$1"}</definedName>
    <definedName name="ja">#REF!</definedName>
    <definedName name="Ja.1">#REF!</definedName>
    <definedName name="Ja.2">#REF!</definedName>
    <definedName name="ja_10">#REF!</definedName>
    <definedName name="ja_16">#REF!</definedName>
    <definedName name="ja_17">#REF!</definedName>
    <definedName name="ja_18">#REF!</definedName>
    <definedName name="ja_5">#REF!</definedName>
    <definedName name="ja_6">#REF!</definedName>
    <definedName name="ja_7">#REF!</definedName>
    <definedName name="ja_9">#REF!</definedName>
    <definedName name="ja_9a">#REF!</definedName>
    <definedName name="ja_9b">#REF!</definedName>
    <definedName name="JA_9C">#REF!</definedName>
    <definedName name="jab">#REF!</definedName>
    <definedName name="JABATAN">#REF!</definedName>
    <definedName name="jack">#REF!</definedName>
    <definedName name="JACKHAMMER">#REF!</definedName>
    <definedName name="JAJA">#REF!</definedName>
    <definedName name="JAKARTA_OFFICE">#REF!</definedName>
    <definedName name="jaket">#REF!</definedName>
    <definedName name="JALUSIKAYU">#REF!</definedName>
    <definedName name="jalusikayu\nonjasa">#REF!</definedName>
    <definedName name="jamal">#REF!</definedName>
    <definedName name="jambudipa">#REF!</definedName>
    <definedName name="jang">#REF!</definedName>
    <definedName name="jangan" hidden="1">#REF!</definedName>
    <definedName name="jangkus.bssengkang">#REF!</definedName>
    <definedName name="jangkus.lantaikerja">#REF!</definedName>
    <definedName name="jangkus.pasangan.aanstamping">#REF!</definedName>
    <definedName name="jangkusAanstampeng">#REF!</definedName>
    <definedName name="jangkusanstamping">#REF!</definedName>
    <definedName name="jangkusbetok350">#REF!</definedName>
    <definedName name="jangkusbetonk250">#REF!</definedName>
    <definedName name="jangkusbetonk300">#REF!</definedName>
    <definedName name="jangkusbkspondasi">#REF!</definedName>
    <definedName name="jangkusbksslof">#REF!</definedName>
    <definedName name="jangkusbstulangan">#REF!</definedName>
    <definedName name="jangkusk100123">#REF!</definedName>
    <definedName name="jangkusltkerja">#REF!</definedName>
    <definedName name="jangkuspondasi1.3">#REF!</definedName>
    <definedName name="jangkuspondasi1.4">#REF!</definedName>
    <definedName name="jangkuspondasi1.5">#REF!</definedName>
    <definedName name="jangkusstampeng">#REF!</definedName>
    <definedName name="jangkuswstop150">#REF!</definedName>
    <definedName name="janitor">#REF!</definedName>
    <definedName name="JAPANESE_MESS">#REF!</definedName>
    <definedName name="JASA">#REF!</definedName>
    <definedName name="Jasa___ppn">#REF!</definedName>
    <definedName name="JASD">#REF!</definedName>
    <definedName name="JATISOKO">#REF!</definedName>
    <definedName name="jb">#REF!</definedName>
    <definedName name="Jb.1">#REF!</definedName>
    <definedName name="jbfasb">#REF!</definedName>
    <definedName name="JbrWd">#REF!</definedName>
    <definedName name="jbt">#REF!</definedName>
    <definedName name="jbts">#REF!</definedName>
    <definedName name="JEFTA">#REF!</definedName>
    <definedName name="JEND">#REF!</definedName>
    <definedName name="Jend_1">#REF!</definedName>
    <definedName name="JendBV1">#REF!</definedName>
    <definedName name="JendBV2">#REF!</definedName>
    <definedName name="jendelaalum">#REF!</definedName>
    <definedName name="jendelaalumkaca\nonjasa">#REF!</definedName>
    <definedName name="jendelakayukaca\nonjasa">#REF!</definedName>
    <definedName name="jetpm">#REF!</definedName>
    <definedName name="jfj" hidden="1">{"'Sheet1'!$A$1"}</definedName>
    <definedName name="jghjgjhg">#REF!</definedName>
    <definedName name="JGY_10">#REF!:#REF!</definedName>
    <definedName name="JGY_11">#REF!:#REF!</definedName>
    <definedName name="JGY_12">#REF!:#REF!</definedName>
    <definedName name="JGY_14">#REF!:#REF!</definedName>
    <definedName name="JGY_15">#REF!:#REF!</definedName>
    <definedName name="JGY_16">#REF!:#REF!</definedName>
    <definedName name="JGY_17">#REF!:#REF!</definedName>
    <definedName name="JGY_18">#REF!:#REF!</definedName>
    <definedName name="JGY_19">#REF!:#REF!</definedName>
    <definedName name="JGY_20">#REF!:#REF!</definedName>
    <definedName name="JGY_22">#REF!:#REF!</definedName>
    <definedName name="JGY_23">#REF!:#REF!</definedName>
    <definedName name="JGY_24">#REF!:#REF!</definedName>
    <definedName name="JGY_25">#REF!:#REF!</definedName>
    <definedName name="JGY_5">#REF!:#REF!</definedName>
    <definedName name="JGY_6">#REF!:#REF!</definedName>
    <definedName name="JGY_7">#REF!:#REF!</definedName>
    <definedName name="JGY_8">#REF!:#REF!</definedName>
    <definedName name="Jhamm">#REF!</definedName>
    <definedName name="jik">#REF!</definedName>
    <definedName name="jin">#REF!</definedName>
    <definedName name="jj">#REF!</definedName>
    <definedName name="JJ_12">#REF!</definedName>
    <definedName name="JJ_13">NA()</definedName>
    <definedName name="JJ_19">#REF!</definedName>
    <definedName name="JJ_34">#REF!</definedName>
    <definedName name="JJ_37">#REF!</definedName>
    <definedName name="jjg">#REF!</definedName>
    <definedName name="jjg.1m.KUSEKAYU">#REF!</definedName>
    <definedName name="JJG.1m2.GRCcanopy.rangkachanal100">#REF!</definedName>
    <definedName name="JJG.1m2.GRCclading.rangkahollow">#REF!</definedName>
    <definedName name="JJG.1m2.GRCrangkahollow.clading.relung.lisplank">#REF!</definedName>
    <definedName name="jjg.1m2.J.KACAKAYU">#REF!</definedName>
    <definedName name="jjg.1m2.PINTUTRIPLEK">#REF!</definedName>
    <definedName name="JJG.1set.asbuilt.drawing">#REF!</definedName>
    <definedName name="JJG.1set.asbuiltdrawing">#REF!</definedName>
    <definedName name="JJG.1setpoto">#REF!</definedName>
    <definedName name="JJG.1sheet.doublecylinder">#REF!</definedName>
    <definedName name="JJG.1unit.BV.1">#REF!</definedName>
    <definedName name="JJG.1unit.BV.2">#REF!</definedName>
    <definedName name="JJG.1unit.BV.3">#REF!</definedName>
    <definedName name="JJG.1unit.BV.4">#REF!</definedName>
    <definedName name="JJG.1unit.GRCkolomrangkahollow">#REF!</definedName>
    <definedName name="JJG.1unit.GRCkubah1.rangkahollow">#REF!</definedName>
    <definedName name="JJG.1unit.J.1">#REF!</definedName>
    <definedName name="JJG.1unit.j.2">#REF!</definedName>
    <definedName name="JJG.1unit.J.2aksen">#REF!</definedName>
    <definedName name="JJG.1unit.J.3">#REF!</definedName>
    <definedName name="JJG.1unit.J.4">#REF!</definedName>
    <definedName name="JJG.1unit.J.4aksen">#REF!</definedName>
    <definedName name="JJG.1unit.J.5">#REF!</definedName>
    <definedName name="JJG.1unit.J.6">#REF!</definedName>
    <definedName name="JJG.1unit.J.7">#REF!</definedName>
    <definedName name="JJG.1unit.J.9">#REF!</definedName>
    <definedName name="JJG.1unit.P.1">#REF!</definedName>
    <definedName name="JJG.1unit.P.10">#REF!</definedName>
    <definedName name="JJG.1unit.P.2">#REF!</definedName>
    <definedName name="JJG.1unit.P.2aksen">#REF!</definedName>
    <definedName name="JJG.1unit.P.3">#REF!</definedName>
    <definedName name="JJG.1unit.P.3aksen">#REF!</definedName>
    <definedName name="JJG.1unit.p.4">#REF!</definedName>
    <definedName name="JJG.1unit.p.4aksen">#REF!</definedName>
    <definedName name="JJG.1unit.P.5">#REF!</definedName>
    <definedName name="JJG.1unit.P.6">#REF!</definedName>
    <definedName name="JJG.1unit.P.7">#REF!</definedName>
    <definedName name="JJG.1unit.P.8">#REF!</definedName>
    <definedName name="JJG.1unit.P.PS">#REF!</definedName>
    <definedName name="JJG.1unit.P.PSaksen">#REF!</definedName>
    <definedName name="JJG.1unit.pasang.girderkap.100\150ton">#REF!</definedName>
    <definedName name="JJG.1unit.PJ.1">#REF!</definedName>
    <definedName name="JJG.1unit.PJ.2">#REF!</definedName>
    <definedName name="JJG.1unit.PJ.3">#REF!</definedName>
    <definedName name="JJG.1unit.PJ.4">#REF!</definedName>
    <definedName name="JJG.1unit.S.1">#REF!</definedName>
    <definedName name="JJG.1unit.S.10">#REF!</definedName>
    <definedName name="JJG.1unit.S.11">#REF!</definedName>
    <definedName name="jjg.1unit.S.12">#REF!</definedName>
    <definedName name="JJG.1unit.S.13">#REF!</definedName>
    <definedName name="JJG.1unit.S.14">#REF!</definedName>
    <definedName name="JJG.1unit.S.15">#REF!</definedName>
    <definedName name="JJG.1unit.S.16">#REF!</definedName>
    <definedName name="JJG.1unit.S.17">#REF!</definedName>
    <definedName name="JJG.1unit.S.2">#REF!</definedName>
    <definedName name="JJG.1unit.S.3">#REF!</definedName>
    <definedName name="JJG.1unit.S.4">#REF!</definedName>
    <definedName name="JJG.1unit.S.5">#REF!</definedName>
    <definedName name="JJG.1unit.S.5A">#REF!</definedName>
    <definedName name="JJG.1unit.S.6">#REF!</definedName>
    <definedName name="JJG.1unit.S.7">#REF!</definedName>
    <definedName name="JJG.1unit.S.8">#REF!</definedName>
    <definedName name="JJG.1unit.S.9">#REF!</definedName>
    <definedName name="JJG.1unitS.8A">#REF!</definedName>
    <definedName name="JJG.acian.beton.exposed">#REF!</definedName>
    <definedName name="JJG.alumuniumfoil.primary.smart.foam.8mm">#REF!</definedName>
    <definedName name="JJG.amparan.basecouse.t30cm">#REF!</definedName>
    <definedName name="JJG.astek.tenagakerja">#REF!</definedName>
    <definedName name="JJG.atapbajaringan">#REF!</definedName>
    <definedName name="JJG.atappolycarbonat.rangkahollow">#REF!</definedName>
    <definedName name="JJG.bambujepang">#REF!</definedName>
    <definedName name="JJG.basecorse30">#REF!</definedName>
    <definedName name="jjg.betonlintel.praktis150x200">#REF!</definedName>
    <definedName name="JJG.bongkaran.betonbertulang">#REF!</definedName>
    <definedName name="JJG.bongkaran.dindingtembokbata">#REF!</definedName>
    <definedName name="JJG.bungurjepang">#REF!</definedName>
    <definedName name="JJG.carstoper.tempatpalkir">#REF!</definedName>
    <definedName name="JJG.CARTOPER.4">#REF!</definedName>
    <definedName name="JJg.cat.marka\m2">#REF!</definedName>
    <definedName name="JJG.catplapond">#REF!</definedName>
    <definedName name="JJG.duikerU60">#REF!</definedName>
    <definedName name="JJG.finishing.pekcatdalam">#REF!</definedName>
    <definedName name="JJG.finishing.pekcatluar">#REF!</definedName>
    <definedName name="JJG.finishingmelamik">#REF!</definedName>
    <definedName name="jjg.floorhardener">#REF!</definedName>
    <definedName name="JJG.FLOORHARDENERWARNA">#REF!</definedName>
    <definedName name="JJG.galiandalam1m">#REF!</definedName>
    <definedName name="JJG.galiandalam2m">#REF!</definedName>
    <definedName name="JJG.GILLPOS.grillhollow">#REF!</definedName>
    <definedName name="JJG.grillhollow.posjaga">#REF!</definedName>
    <definedName name="JJG.grouting">#REF!</definedName>
    <definedName name="JJG.HANDRAILING">#REF!</definedName>
    <definedName name="JJG.keamananproyek">#REF!</definedName>
    <definedName name="jjg.keramik20x20unpolised">#REF!</definedName>
    <definedName name="jjg.keramik25x25unpolised">#REF!</definedName>
    <definedName name="jjg.keramik33x33polised">#REF!</definedName>
    <definedName name="jjg.keramik33x33unpolised">#REF!</definedName>
    <definedName name="jjg.keramik40x40polised">#REF!</definedName>
    <definedName name="jjg.keramik40x40unpolised">#REF!</definedName>
    <definedName name="JJG.kiarapayung">#REF!</definedName>
    <definedName name="JJG.klameof.irian">#REF!</definedName>
    <definedName name="jjg.kolompraktis.150x150">#REF!</definedName>
    <definedName name="JJG.kuda2kayu">#REF!</definedName>
    <definedName name="jjg.lantaibetonsikat">#REF!</definedName>
    <definedName name="JJG.lapisan.hotmix5cm">#REF!</definedName>
    <definedName name="JJG.lapisi">#REF!</definedName>
    <definedName name="JJG.liliparis">#REF!</definedName>
    <definedName name="JJG.lisplankkayu3x20">#REF!</definedName>
    <definedName name="JJG.lisplankkayu3x30">#REF!</definedName>
    <definedName name="JJG.loadingtest\65ton">#REF!</definedName>
    <definedName name="JJG.loadingtest\ton">#REF!</definedName>
    <definedName name="JJG.mob.demob.alat.tenagakerja">#REF!</definedName>
    <definedName name="JJG.nokasbes">#REF!</definedName>
    <definedName name="JJG.nokbeton">#REF!</definedName>
    <definedName name="JJG.nokkeramik">#REF!</definedName>
    <definedName name="JJG.nokpalentong">#REF!</definedName>
    <definedName name="JJG.onderlaght">#REF!</definedName>
    <definedName name="JJG.palembismarkia">#REF!</definedName>
    <definedName name="JJG.Papannamaunit">#REF!</definedName>
    <definedName name="JJG.pasang.alumuniumfoil.8mm">#REF!</definedName>
    <definedName name="JJG.pasang.atapzincalum">#REF!</definedName>
    <definedName name="JJG.pasang.bataberongga">#REF!</definedName>
    <definedName name="JJG.pasang.batamerah1.5">#REF!</definedName>
    <definedName name="JJG.pasang.batamerah1.6">#REF!</definedName>
    <definedName name="JJG.pasang.batamerah1.8">#REF!</definedName>
    <definedName name="JJG.pasang.batu.tempel.hitam">#REF!</definedName>
    <definedName name="JJG.pasang.batuparas">#REF!</definedName>
    <definedName name="JJG.pasang.batusikat">#REF!</definedName>
    <definedName name="JJG.pasang.boplank">#REF!</definedName>
    <definedName name="JJG.pasang.border8x25">#REF!</definedName>
    <definedName name="JJG.pasang.CB.10">#REF!</definedName>
    <definedName name="JJG.pasang.CB.15">#REF!</definedName>
    <definedName name="JJG.pasang.CB.20">#REF!</definedName>
    <definedName name="JJG.pasang.doorcluser\set">#REF!</definedName>
    <definedName name="JJG.pasang.doorstop\bh">#REF!</definedName>
    <definedName name="JJG.pasang.engseljendela3inci\ps">#REF!</definedName>
    <definedName name="JJG.pasang.glassblock">#REF!</definedName>
    <definedName name="JJG.pasang.glasswool.WM6">#REF!</definedName>
    <definedName name="JJG.pasang.grassblock">#REF!</definedName>
    <definedName name="JJG.pasang.grendeltanamatas\bh">#REF!</definedName>
    <definedName name="JJG.pasang.grendeltanambawah\buah">#REF!</definedName>
    <definedName name="JJG.pasang.HB.10">#REF!</definedName>
    <definedName name="JJG.pasang.HB.15">#REF!</definedName>
    <definedName name="JJG.pasang.HB.20">#REF!</definedName>
    <definedName name="JJG.pasang.kacaburam5mm\m2">#REF!</definedName>
    <definedName name="JJG.pasang.kacacermin5mm\m2">#REF!</definedName>
    <definedName name="JJG.pasang.kacapolos5mm\m2">#REF!</definedName>
    <definedName name="JJG.pasang.kacapolos6mm\m2">#REF!</definedName>
    <definedName name="JJG.pasang.kacapolos8mm\m2">#REF!</definedName>
    <definedName name="JJG.pasang.kacawarna8mm\m2">#REF!</definedName>
    <definedName name="JJG.pasang.karpet.nilon">#REF!</definedName>
    <definedName name="JJG.pasang.karpetlokal.wool.nilon">#REF!</definedName>
    <definedName name="JJG.pasang.lantaimarmer40x40">#REF!</definedName>
    <definedName name="JJG.pasang.lantaimarmer60x60">#REF!</definedName>
    <definedName name="JJG.pasang.lantaiparquet">#REF!</definedName>
    <definedName name="JJG.pasang.lantaivinyl">#REF!</definedName>
    <definedName name="JJG.pasang.leper.handle\ps">#REF!</definedName>
    <definedName name="JJG.pasang.lisgyfsum">#REF!</definedName>
    <definedName name="JJG.pasang.monoblock.typeCW420J\S516std.set">#REF!</definedName>
    <definedName name="JJG.pasang.monoblock.typeCW867NJ.set">#REF!</definedName>
    <definedName name="JJG.pasang.pavingblock.natural6cm">#REF!</definedName>
    <definedName name="JJG.pasang.pavingblock.warna6cm">#REF!</definedName>
    <definedName name="JJG.pasang.platlisplank.1.2mm">#REF!</definedName>
    <definedName name="JJG.pasang.roster10x20">#REF!</definedName>
    <definedName name="JJG.pasang.rosterbeton20x20">#REF!</definedName>
    <definedName name="JJG.pasang.rosterkeramik20x20">#REF!</definedName>
    <definedName name="JJG.pasang.rosterterawang12x11x24">#REF!</definedName>
    <definedName name="JJG.pasang.senggelombang">#REF!</definedName>
    <definedName name="JJG.pasang.slotrambucis\bh">#REF!</definedName>
    <definedName name="JJG.pasang.slotrambucis\ps">#REF!</definedName>
    <definedName name="JJG.pasang.sparingPVC2.1\2">#REF!</definedName>
    <definedName name="JJG.pasang.sparingPVC3">#REF!</definedName>
    <definedName name="JJG.pasang.sparingPVC4">#REF!</definedName>
    <definedName name="JJG.pasang.stayjendela\ps">#REF!</definedName>
    <definedName name="JJG.pasang.talangbjls40">#REF!</definedName>
    <definedName name="JJG.pasang.talangdtr\jr.zincalume">#REF!</definedName>
    <definedName name="JJG.pasang.talangvertikalPVC21\2">#REF!</definedName>
    <definedName name="JJG.pasang.talangvertikalPVC3">#REF!</definedName>
    <definedName name="JJG.pasang.talangvertikalPVC4">#REF!</definedName>
    <definedName name="JJG.pasang.urinaltype.U370M.set">#REF!</definedName>
    <definedName name="JJG.pasang.wastafeltype.L237V1B.setgantung">#REF!</definedName>
    <definedName name="JJG.pasang.wastafeltype.L521V1A.setmeja">#REF!</definedName>
    <definedName name="JJG.pasangan.batamerah1.3">#REF!</definedName>
    <definedName name="jjg.pasangancansteen15x30x40">#REF!</definedName>
    <definedName name="jjg.pasangancansteen15x30x60">#REF!</definedName>
    <definedName name="JJG.pasangbaturesapan\m3">#REF!</definedName>
    <definedName name="JJG.pasangborder8x20">#REF!</definedName>
    <definedName name="JJG.pasangdindingkeramik20x25">#REF!</definedName>
    <definedName name="JJG.pasangdindingkeramik20x33">#REF!</definedName>
    <definedName name="JJG.pasangdindingkeramik25x45">#REF!</definedName>
    <definedName name="JJG.pasangengsel.pintu4inci\ps">#REF!</definedName>
    <definedName name="JJG.pasanggranitsolid">#REF!</definedName>
    <definedName name="JJG.pasangkarpetlokal.pulwool">#REF!</definedName>
    <definedName name="JJG.pasangkeramiklantai30x30.Unpolised">#REF!</definedName>
    <definedName name="JJG.pasangkeramiklantai60x60.polised">#REF!</definedName>
    <definedName name="JJG.pasangkeramiklantai60x60.Unpolised">#REF!</definedName>
    <definedName name="JJG.pasangkuncitanam\set">#REF!</definedName>
    <definedName name="JJG.pasanglantai.granito30x30">#REF!</definedName>
    <definedName name="JJG.pasanglantai.granito40x40">#REF!</definedName>
    <definedName name="JJG.pasanglantai.granito60x60">#REF!</definedName>
    <definedName name="JJG.pasanglantaikayu.pabrikasi">#REF!</definedName>
    <definedName name="JJG.pasanglantaikeramik30x30.polised">#REF!</definedName>
    <definedName name="JJG.pasangmarmer.solid">#REF!</definedName>
    <definedName name="JJG.pasangrosterkeramik10x20">#REF!</definedName>
    <definedName name="JJG.pelatduiker.8x60x100">#REF!</definedName>
    <definedName name="JJG.pelatduiker.8x80x100">#REF!</definedName>
    <definedName name="JJG.pembersihan.perataan.lahanproyek">#REF!</definedName>
    <definedName name="JJG.pembuatan.direksikit">#REF!</definedName>
    <definedName name="JJG.pembuatan.sumurresapan.dalam\unit">#REF!</definedName>
    <definedName name="JJg.pembuatan.sumurresapan.dalkal\unit">#REF!</definedName>
    <definedName name="JJG.pemuatan.sumurgali.dia100cm\m">#REF!</definedName>
    <definedName name="JJG.penetrasi">#REF!</definedName>
    <definedName name="JJG.penutup.plapond.calciboard">#REF!</definedName>
    <definedName name="JJG.penutup.plapond.GYFSUM">#REF!</definedName>
    <definedName name="JJG.penutup.plapondgyfsum">#REF!</definedName>
    <definedName name="JJG.penutupatap.asbesgelombang">#REF!</definedName>
    <definedName name="JJG.penutupatap.gentengbeton">#REF!</definedName>
    <definedName name="JJG.penutupatap.gentengkeramik">#REF!</definedName>
    <definedName name="JJG.penutupatapgentengpalentong">#REF!</definedName>
    <definedName name="JJG.penyediaan.airkerja">#REF!</definedName>
    <definedName name="JJG.penyediaan.liftbarangsementara">#REF!</definedName>
    <definedName name="JJG.penyediaan.lkerja">#REF!</definedName>
    <definedName name="JJG.penyediaan.saranaairkerja">#REF!</definedName>
    <definedName name="JJG.plapond.calciboard.rangkahollow">#REF!</definedName>
    <definedName name="JJG.plapond.gyfsum.rangkahollow">#REF!</definedName>
    <definedName name="JJG.plapond.gyfsum.rangkasuspen">#REF!</definedName>
    <definedName name="JJG.plapondcalsiboard.rangkakayu">#REF!</definedName>
    <definedName name="JJG.plapondGRC.rangka.Hollow">#REF!</definedName>
    <definedName name="JJG.plapondGRC.rangkakayu">#REF!</definedName>
    <definedName name="JJG.plapondgyfsum.rangkakayu">#REF!</definedName>
    <definedName name="JJG.pohon.angsana\unit">#REF!</definedName>
    <definedName name="JJG.pohon.ceremai">#REF!</definedName>
    <definedName name="JJG.pohon.dadapmerah">#REF!</definedName>
    <definedName name="JJG.pohon.kacapiring">#REF!</definedName>
    <definedName name="JJG.pohon.kecapi">#REF!</definedName>
    <definedName name="JJG.pohon.perduoleander\unit">#REF!</definedName>
    <definedName name="JJG.pohon.sukun">#REF!</definedName>
    <definedName name="JJG.pohon.taiwanbeuti\unit">#REF!</definedName>
    <definedName name="JJG.pohonbambukuning\unit">#REF!</definedName>
    <definedName name="JJG.pohoncemara\unit">#REF!</definedName>
    <definedName name="JJG.pohonketapang\unit">#REF!</definedName>
    <definedName name="JJG.pohonlantana\unit">#REF!</definedName>
    <definedName name="JJG.pohonmanggis\unit">#REF!</definedName>
    <definedName name="JJG.pohonnangka">#REF!</definedName>
    <definedName name="JJG.pohonpalemraja\unit">#REF!</definedName>
    <definedName name="JJG.pohonthetehan\unit">#REF!</definedName>
    <definedName name="JJG.RAILING1">#REF!</definedName>
    <definedName name="jjg.RAILING2">#REF!</definedName>
    <definedName name="JJG.RAILING3">#REF!</definedName>
    <definedName name="JJG.rangkaatapkayu">#REF!</definedName>
    <definedName name="JJG.rangkahollow">#REF!</definedName>
    <definedName name="JJG.rangkametal">#REF!</definedName>
    <definedName name="JJG.rumputgajah\m2">#REF!</definedName>
    <definedName name="JJG.rumputjepang\m2">#REF!</definedName>
    <definedName name="JJG.rumputpeking\m2">#REF!</definedName>
    <definedName name="JJG.saluranairhujan.grevel20cm">#REF!</definedName>
    <definedName name="JJG.saluranU.40batu">#REF!</definedName>
    <definedName name="JJG.saluraU.60batu">#REF!</definedName>
    <definedName name="JJG.sondir\titik">#REF!</definedName>
    <definedName name="JJG.stanlagh">#REF!</definedName>
    <definedName name="JJG.tanaman.heloconia">#REF!</definedName>
    <definedName name="jjg.tiangpancang25x25cm">#REF!</definedName>
    <definedName name="jjg.tiangpancang30x30cm">#REF!</definedName>
    <definedName name="jjg.tiangpancang35x35cm">#REF!</definedName>
    <definedName name="jjg.tiangpancang40x40cm">#REF!</definedName>
    <definedName name="jjg.tiangpancang45x45cm">#REF!</definedName>
    <definedName name="JJG.tutupmhsiku">#REF!</definedName>
    <definedName name="JJGcalci">#REF!</definedName>
    <definedName name="JJGcalciboard">#REF!</definedName>
    <definedName name="jjgcatduco">#REF!</definedName>
    <definedName name="JJGGRC">#REF!</definedName>
    <definedName name="JJGgroutink">#REF!</definedName>
    <definedName name="JJGkeramik20x20">#REF!</definedName>
    <definedName name="JJGkeramik20x20meja">#REF!</definedName>
    <definedName name="JJGkeramik25x25">#REF!</definedName>
    <definedName name="JJGnozing">#REF!</definedName>
    <definedName name="JJGpenutup.plapond.GRC">#REF!</definedName>
    <definedName name="JJGplesteran1.3">#REF!</definedName>
    <definedName name="JJGplesteran1.5">#REF!</definedName>
    <definedName name="JJGplinkeramik10x40">#REF!</definedName>
    <definedName name="JJGrolagbata">#REF!</definedName>
    <definedName name="JJGroster">#REF!</definedName>
    <definedName name="jjjjjj">#REF!</definedName>
    <definedName name="JJK">#REF!</definedName>
    <definedName name="JJUM4C">"$#REF!.$N$1983"</definedName>
    <definedName name="JK">#REF!</definedName>
    <definedName name="JL">#REF!</definedName>
    <definedName name="jm">#REF!</definedName>
    <definedName name="JMLKELUARGA">#REF!</definedName>
    <definedName name="joint">"'file://SERVER3/har-data/STRUCTURE PRICE OF BQ KOMPAS GRAMEDIA.xls'#$analisa.$#REF!$#REF!"</definedName>
    <definedName name="JP">#REF!</definedName>
    <definedName name="JPY">#REF!</definedName>
    <definedName name="jry" hidden="1">{"'Sheet1'!$A$1"}</definedName>
    <definedName name="js">#REF!</definedName>
    <definedName name="Jt1Lm">#REF!</definedName>
    <definedName name="Jt2Lm">#REF!</definedName>
    <definedName name="Jt3Lm">#REF!</definedName>
    <definedName name="JUDUL">#REF!</definedName>
    <definedName name="judul_10">#REF!</definedName>
    <definedName name="JUM4A">NA()</definedName>
    <definedName name="JUM4B">NA()</definedName>
    <definedName name="JUM4C">"$#REF!.$N$1983"</definedName>
    <definedName name="JUM4D">NA()</definedName>
    <definedName name="JUM4E">"$#REF!.$N$2075"</definedName>
    <definedName name="JUM4F">NA()</definedName>
    <definedName name="JUM4G">"$#REF!.$N$2149"</definedName>
    <definedName name="JUM5A">"$#REF!.$L$2207"</definedName>
    <definedName name="JUM5B">"$#REF!.$N$2359"</definedName>
    <definedName name="JUM5C">"$#REF!.$N$2372"</definedName>
    <definedName name="JUM5D">"$#REF!.$N$2383"</definedName>
    <definedName name="JUM5E">"$#REF!.$N$2396"</definedName>
    <definedName name="JUM5F">"$#REF!.$N$2407"</definedName>
    <definedName name="JUM5G">"$#REF!.$N$2419"</definedName>
    <definedName name="JUMLAH" hidden="1">#REF!</definedName>
    <definedName name="JUMLAH_HARGA">"$#REF!.$F$3:$F$2429"</definedName>
    <definedName name="jyj" hidden="1">{"'Sheet1'!$A$1"}</definedName>
    <definedName name="K">#REF!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0">#REF!</definedName>
    <definedName name="K.035">#REF!</definedName>
    <definedName name="K.040">#REF!</definedName>
    <definedName name="K.1">#REF!</definedName>
    <definedName name="K.10">#REF!</definedName>
    <definedName name="k.100">#REF!</definedName>
    <definedName name="k.100_9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1">#REF!</definedName>
    <definedName name="K.132">#REF!</definedName>
    <definedName name="K.139">#REF!</definedName>
    <definedName name="K.140">#REF!</definedName>
    <definedName name="K.151">#REF!</definedName>
    <definedName name="K.152">#REF!</definedName>
    <definedName name="K.153">#REF!</definedName>
    <definedName name="K.154">#REF!</definedName>
    <definedName name="K.155">#REF!</definedName>
    <definedName name="K.156">#REF!</definedName>
    <definedName name="K.157">#REF!</definedName>
    <definedName name="K.158">#REF!</definedName>
    <definedName name="k.175">#REF!</definedName>
    <definedName name="K.2">#REF!</definedName>
    <definedName name="K.210">#REF!</definedName>
    <definedName name="K.211">#REF!</definedName>
    <definedName name="K.220">#REF!</definedName>
    <definedName name="K.220.Alt">#REF!</definedName>
    <definedName name="K.221">#REF!</definedName>
    <definedName name="K.224">#REF!</definedName>
    <definedName name="K.225">#REF!</definedName>
    <definedName name="k.225.a">#REF!</definedName>
    <definedName name="K.225.Alt">#REF!</definedName>
    <definedName name="K.225.Rob">#REF!</definedName>
    <definedName name="K.225B">#REF!</definedName>
    <definedName name="k.225c">#REF!</definedName>
    <definedName name="K.225TNH">#REF!</definedName>
    <definedName name="K.230">#REF!</definedName>
    <definedName name="K.231">#REF!</definedName>
    <definedName name="K.232">#REF!</definedName>
    <definedName name="K.233">#REF!</definedName>
    <definedName name="k.250">#REF!</definedName>
    <definedName name="k.275">#REF!</definedName>
    <definedName name="K.3">#REF!</definedName>
    <definedName name="k.300">#REF!</definedName>
    <definedName name="K.310">#REF!</definedName>
    <definedName name="k.310bk">#REF!</definedName>
    <definedName name="K.311">#REF!</definedName>
    <definedName name="K.311.Alt.4">#REF!</definedName>
    <definedName name="K.311.ROB">#REF!</definedName>
    <definedName name="K.311.Rob.Tanah">#REF!</definedName>
    <definedName name="K.311A">#REF!</definedName>
    <definedName name="K.311B">#REF!</definedName>
    <definedName name="K.314">#REF!</definedName>
    <definedName name="K.320">#REF!</definedName>
    <definedName name="K.321">#REF!</definedName>
    <definedName name="K.322">#REF!</definedName>
    <definedName name="K.323">#REF!</definedName>
    <definedName name="K.325">#REF!</definedName>
    <definedName name="K.326">#REF!</definedName>
    <definedName name="K.341">#REF!</definedName>
    <definedName name="K.342">#REF!</definedName>
    <definedName name="k.350">#REF!</definedName>
    <definedName name="K.4">#REF!</definedName>
    <definedName name="k.40.40.roman.crk">#REF!</definedName>
    <definedName name="k.400">#REF!</definedName>
    <definedName name="K.410">#REF!</definedName>
    <definedName name="K.410.ROB">#REF!</definedName>
    <definedName name="K.410A">#REF!</definedName>
    <definedName name="K.410B">#REF!</definedName>
    <definedName name="K.411">#REF!</definedName>
    <definedName name="K.411A">#REF!</definedName>
    <definedName name="k.411r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CABLUK">#REF!</definedName>
    <definedName name="K.515">#REF!</definedName>
    <definedName name="K.516">#REF!</definedName>
    <definedName name="k.516b">#REF!</definedName>
    <definedName name="K.517">#REF!</definedName>
    <definedName name="K.520">#REF!</definedName>
    <definedName name="k.520a">#REF!</definedName>
    <definedName name="k.520b">#REF!</definedName>
    <definedName name="K.521">#REF!</definedName>
    <definedName name="K.522">#REF!</definedName>
    <definedName name="K.523">#REF!</definedName>
    <definedName name="k.523bk">#REF!</definedName>
    <definedName name="K.528">#REF!</definedName>
    <definedName name="K.529">#REF!</definedName>
    <definedName name="K.6">#REF!</definedName>
    <definedName name="K.6.10">#REF!</definedName>
    <definedName name="K.6.4">#REF!</definedName>
    <definedName name="K.6.5.1">#REF!</definedName>
    <definedName name="K.6.7">#REF!</definedName>
    <definedName name="K.6.8">#REF!</definedName>
    <definedName name="K.6.9">#REF!</definedName>
    <definedName name="k.60">#REF!</definedName>
    <definedName name="k.60_9">#REF!</definedName>
    <definedName name="K.610">#REF!</definedName>
    <definedName name="K.611">#REF!</definedName>
    <definedName name="K.612">#REF!</definedName>
    <definedName name="K.612.ROB">#REF!</definedName>
    <definedName name="K.613">#REF!</definedName>
    <definedName name="K.614">#REF!</definedName>
    <definedName name="K.615">#REF!</definedName>
    <definedName name="K.615.SCREEN">#REF!</definedName>
    <definedName name="K.616">#REF!</definedName>
    <definedName name="k.616a">#REF!</definedName>
    <definedName name="K.617">#REF!</definedName>
    <definedName name="K.618">#REF!</definedName>
    <definedName name="k.618s">#REF!</definedName>
    <definedName name="K.619">#REF!</definedName>
    <definedName name="K.619ALT">#REF!</definedName>
    <definedName name="K.620">#REF!</definedName>
    <definedName name="K.620ALT">#REF!</definedName>
    <definedName name="K.621">#REF!</definedName>
    <definedName name="K.626">#REF!</definedName>
    <definedName name="K.631">#REF!</definedName>
    <definedName name="K.632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0">#REF!</definedName>
    <definedName name="K.641">#REF!</definedName>
    <definedName name="K.641.ROB">#REF!</definedName>
    <definedName name="k.642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1">#REF!</definedName>
    <definedName name="K.722">#REF!</definedName>
    <definedName name="K.723">#REF!</definedName>
    <definedName name="K.724">#REF!</definedName>
    <definedName name="K.725">#REF!</definedName>
    <definedName name="K.730">#REF!</definedName>
    <definedName name="K.8">#REF!</definedName>
    <definedName name="k.80">#REF!</definedName>
    <definedName name="k.80_9">#REF!</definedName>
    <definedName name="k.810">#REF!</definedName>
    <definedName name="K.810A">#REF!</definedName>
    <definedName name="K.815">#REF!</definedName>
    <definedName name="k.815a">#REF!</definedName>
    <definedName name="k.815b">#REF!</definedName>
    <definedName name="K.855">#REF!</definedName>
    <definedName name="k.860">#REF!</definedName>
    <definedName name="K.865">#REF!</definedName>
    <definedName name="K.870">#REF!</definedName>
    <definedName name="K.875">#REF!</definedName>
    <definedName name="K.877">#REF!</definedName>
    <definedName name="K.880">#REF!</definedName>
    <definedName name="K.885">#REF!</definedName>
    <definedName name="K.A18">#REF!</definedName>
    <definedName name="k.beton">#REF!</definedName>
    <definedName name="k.ddg.20.25.rmn.crk">#REF!</definedName>
    <definedName name="k.ddg.rmn.20.25.pls">#REF!</definedName>
    <definedName name="k.las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2020">#REF!</definedName>
    <definedName name="K_225">#REF!</definedName>
    <definedName name="k_250">#REF!</definedName>
    <definedName name="k_300">#REF!</definedName>
    <definedName name="k_3030">#REF!</definedName>
    <definedName name="k_35">#REF!</definedName>
    <definedName name="K_350">#REF!</definedName>
    <definedName name="k_400">#REF!</definedName>
    <definedName name="k_57">#REF!</definedName>
    <definedName name="K_9">#REF!</definedName>
    <definedName name="k_qty">#REF!</definedName>
    <definedName name="k_s">#REF!</definedName>
    <definedName name="K_tukang">#REF!</definedName>
    <definedName name="k_up">#REF!</definedName>
    <definedName name="k_z">#REF!</definedName>
    <definedName name="k100ltkerja">#REF!</definedName>
    <definedName name="k10dasar">#REF!</definedName>
    <definedName name="k10lt1">#REF!</definedName>
    <definedName name="k10lt2">#REF!</definedName>
    <definedName name="k10lt3">#REF!</definedName>
    <definedName name="K125FA">#REF!</definedName>
    <definedName name="K125NFA">"$#REF!.$G$143"</definedName>
    <definedName name="k1520b185">#REF!</definedName>
    <definedName name="k15x30x40">#REF!</definedName>
    <definedName name="k15x30x60">#REF!</definedName>
    <definedName name="K175FA">#REF!</definedName>
    <definedName name="K175NFA">#REF!</definedName>
    <definedName name="k1dasar">#REF!</definedName>
    <definedName name="k1lt1">#REF!</definedName>
    <definedName name="k1lt2">#REF!</definedName>
    <definedName name="k1lt3">#REF!</definedName>
    <definedName name="K200NFA">#REF!</definedName>
    <definedName name="k20p">#REF!</definedName>
    <definedName name="K225FA">"$#REF!.$G$132"</definedName>
    <definedName name="K225NFA">#REF!</definedName>
    <definedName name="K250a">#REF!</definedName>
    <definedName name="K250FA">"$#REF!.$G$133"</definedName>
    <definedName name="K250NFA">"$#REF!.$G$146"</definedName>
    <definedName name="K275FA">"$#REF!.$G$134"</definedName>
    <definedName name="K275NFA">"$#REF!.$G$147"</definedName>
    <definedName name="k2b">NA()</definedName>
    <definedName name="k2dasar">#REF!</definedName>
    <definedName name="k2lantai2">#REF!</definedName>
    <definedName name="k2lt1">#REF!</definedName>
    <definedName name="k2lt2">#REF!</definedName>
    <definedName name="k2lt3">#REF!</definedName>
    <definedName name="K300FA">#REF!</definedName>
    <definedName name="k300nfA1">"$analis.$#REF!$#REF!"</definedName>
    <definedName name="K350FA">"$#REF!.$G$136"</definedName>
    <definedName name="k3dasar">#REF!</definedName>
    <definedName name="k3lantai3">#REF!</definedName>
    <definedName name="k3lt.3">#REF!</definedName>
    <definedName name="k3lt1">#REF!</definedName>
    <definedName name="k3lt2">#REF!</definedName>
    <definedName name="k3lt3">#REF!</definedName>
    <definedName name="K400FA">#REF!</definedName>
    <definedName name="k40p">#REF!</definedName>
    <definedName name="K450FA">#REF!</definedName>
    <definedName name="K450NFA">"$#REF!.$G$122"</definedName>
    <definedName name="k4dasar">#REF!</definedName>
    <definedName name="k4lt1">#REF!</definedName>
    <definedName name="k4lt2">#REF!</definedName>
    <definedName name="k4lt3">#REF!</definedName>
    <definedName name="k4lt4">#REF!</definedName>
    <definedName name="K500FA">#REF!</definedName>
    <definedName name="K500NFA">"$#REF!.$G$123"</definedName>
    <definedName name="k50p">#REF!</definedName>
    <definedName name="k5dasar">#REF!</definedName>
    <definedName name="k5lt1">#REF!</definedName>
    <definedName name="k5lt2">#REF!</definedName>
    <definedName name="k5lt3">#REF!</definedName>
    <definedName name="k60p">#REF!</definedName>
    <definedName name="k6dasar">#REF!</definedName>
    <definedName name="k6lt1">#REF!</definedName>
    <definedName name="k6lt2">#REF!</definedName>
    <definedName name="k6lt3">#REF!</definedName>
    <definedName name="K705A">#REF!</definedName>
    <definedName name="k7dasar">#REF!</definedName>
    <definedName name="k7lt1">#REF!</definedName>
    <definedName name="k7lt2">#REF!</definedName>
    <definedName name="k7lt3">#REF!</definedName>
    <definedName name="k8dasar">#REF!</definedName>
    <definedName name="k8lt1">#REF!</definedName>
    <definedName name="k8lt2">#REF!</definedName>
    <definedName name="k8lt3">#REF!</definedName>
    <definedName name="k9dasar">#REF!</definedName>
    <definedName name="k9lt1">#REF!</definedName>
    <definedName name="k9lt2">#REF!</definedName>
    <definedName name="k9lt3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AY">#REF!</definedName>
    <definedName name="kab">#REF!</definedName>
    <definedName name="kab_9">#REF!</definedName>
    <definedName name="kabantu">#REF!</definedName>
    <definedName name="kabantu_9">#REF!</definedName>
    <definedName name="kabel">#REF!</definedName>
    <definedName name="kabet">#REF!</definedName>
    <definedName name="kabet_6">#REF!</definedName>
    <definedName name="kabub">#REF!</definedName>
    <definedName name="kabub_9">#REF!</definedName>
    <definedName name="kac">#REF!</definedName>
    <definedName name="kac_9">#REF!</definedName>
    <definedName name="kaca">#REF!</definedName>
    <definedName name="kaca.3">#REF!</definedName>
    <definedName name="kaca.5">#REF!</definedName>
    <definedName name="kaca.8">#REF!</definedName>
    <definedName name="kaca.es">#REF!</definedName>
    <definedName name="kaca.p.5">#REF!</definedName>
    <definedName name="KACA_A">#REF!</definedName>
    <definedName name="KACA_B">#REF!</definedName>
    <definedName name="KACA_BASE">#REF!</definedName>
    <definedName name="KACA_C">#REF!</definedName>
    <definedName name="kaca5mm\nonjasa">#REF!</definedName>
    <definedName name="kaca5mmburam\nonjasa">#REF!</definedName>
    <definedName name="kaca6">#REF!</definedName>
    <definedName name="kaca6mm\nonjasa">#REF!</definedName>
    <definedName name="kaca8">"$S2.$N$#REF!"</definedName>
    <definedName name="kaca8mm\nonjasa">#REF!</definedName>
    <definedName name="kacabe10">#REF!</definedName>
    <definedName name="kacabe5">#REF!</definedName>
    <definedName name="kacabe8">#REF!</definedName>
    <definedName name="kacaburam5mm">#REF!</definedName>
    <definedName name="kacacermin">#REF!</definedName>
    <definedName name="kacacermin5mm">#REF!</definedName>
    <definedName name="kacacermin5mm\nonjasa">#REF!</definedName>
    <definedName name="kacapolos5mm">#REF!</definedName>
    <definedName name="kacapolos6mm">#REF!</definedName>
    <definedName name="kacatented8mm">#REF!</definedName>
    <definedName name="kacawarna8mm\nonjasa">#REF!</definedName>
    <definedName name="Kait_angin">#REF!</definedName>
    <definedName name="KAJdl">#REF!</definedName>
    <definedName name="KALA">#REF!</definedName>
    <definedName name="KAlAl">#REF!</definedName>
    <definedName name="kalas">#REF!</definedName>
    <definedName name="KALI">#REF!</definedName>
    <definedName name="kalsi">#REF!</definedName>
    <definedName name="kalsi.6">#REF!</definedName>
    <definedName name="kamper">#REF!</definedName>
    <definedName name="kamperbalok">#REF!</definedName>
    <definedName name="kamperpapan">#REF!</definedName>
    <definedName name="kan">#REF!</definedName>
    <definedName name="Kanbb">#REF!</definedName>
    <definedName name="Kanbk">#REF!</definedName>
    <definedName name="KAnc2">#REF!</definedName>
    <definedName name="Kanpv">#REF!</definedName>
    <definedName name="Kansteen">#REF!</definedName>
    <definedName name="kanstincar">#REF!</definedName>
    <definedName name="kanstinjalan">#REF!</definedName>
    <definedName name="kanstinluar">#REF!</definedName>
    <definedName name="kantor">#REF!</definedName>
    <definedName name="kap">#REF!</definedName>
    <definedName name="kap_tamp">#REF!</definedName>
    <definedName name="kapek">#REF!</definedName>
    <definedName name="kapet">#REF!</definedName>
    <definedName name="Kapur_pasang">#REF!</definedName>
    <definedName name="Karbd">#REF!</definedName>
    <definedName name="karekkaca">#REF!</definedName>
    <definedName name="karet.l">#REF!</definedName>
    <definedName name="Karet_talang_60_cm">#REF!</definedName>
    <definedName name="Karp1">#REF!</definedName>
    <definedName name="Karp2">#REF!</definedName>
    <definedName name="karpetfeltex.wool.nylon">#REF!</definedName>
    <definedName name="karpetfeltexwool">#REF!</definedName>
    <definedName name="karpetnylon.lokal">#REF!</definedName>
    <definedName name="karung">#REF!</definedName>
    <definedName name="karyawanharian">#REF!</definedName>
    <definedName name="karyawantetap">#REF!</definedName>
    <definedName name="karyo" hidden="1">{#N/A,#N/A,FALSE,"REK";#N/A,#N/A,FALSE,"Bq-ARS"}</definedName>
    <definedName name="kas.200">#REF!</definedName>
    <definedName name="kas.200_9">#REF!</definedName>
    <definedName name="kasa">#REF!</definedName>
    <definedName name="KASARHALUS">#REF!</definedName>
    <definedName name="kasb">#REF!</definedName>
    <definedName name="kasb_9">#REF!</definedName>
    <definedName name="Kasbor">#REF!</definedName>
    <definedName name="kaso">#REF!</definedName>
    <definedName name="KASOPL">#REF!</definedName>
    <definedName name="kasoreng">#REF!</definedName>
    <definedName name="KASUBDINPERENCANAA">#REF!</definedName>
    <definedName name="KASUBDINPERENCANAA_9">#REF!</definedName>
    <definedName name="katb">#REF!</definedName>
    <definedName name="katb_9">#REF!</definedName>
    <definedName name="KAWA">#REF!</definedName>
    <definedName name="Kawat">#REF!</definedName>
    <definedName name="Kawat_las">#REF!</definedName>
    <definedName name="KAWATBET">#REF!</definedName>
    <definedName name="Kawatbeton">#REF!</definedName>
    <definedName name="kawatbronjong">#REF!</definedName>
    <definedName name="KAWATKASA">#REF!</definedName>
    <definedName name="kawatlas">#REF!</definedName>
    <definedName name="KawAy">#REF!</definedName>
    <definedName name="KawBc">#REF!</definedName>
    <definedName name="kawbet">"$#REF!.$G$108"</definedName>
    <definedName name="KawBj">#REF!</definedName>
    <definedName name="KawBt">#REF!</definedName>
    <definedName name="KawDr">#REF!</definedName>
    <definedName name="KawH2">#REF!</definedName>
    <definedName name="KawH4">#REF!</definedName>
    <definedName name="KawKs">#REF!</definedName>
    <definedName name="KawLl">#REF!</definedName>
    <definedName name="KawNy">#REF!</definedName>
    <definedName name="Kawt1">#REF!</definedName>
    <definedName name="KawTb">#REF!</definedName>
    <definedName name="Kawtl">#REF!</definedName>
    <definedName name="kayalba">#REF!</definedName>
    <definedName name="kaybakar">#REF!</definedName>
    <definedName name="kaykam">#REF!</definedName>
    <definedName name="Kayu">#REF!</definedName>
    <definedName name="Kayu_lokal">#REF!</definedName>
    <definedName name="kayu1">#REF!</definedName>
    <definedName name="kayu2">#REF!</definedName>
    <definedName name="kayu3">#REF!</definedName>
    <definedName name="kayubakar">#REF!</definedName>
    <definedName name="kayubek">#REF!</definedName>
    <definedName name="kayubekisting">#REF!</definedName>
    <definedName name="kayubkt">#REF!</definedName>
    <definedName name="kayujatikelasII">#REF!</definedName>
    <definedName name="kayujatikls1">#REF!</definedName>
    <definedName name="KayuK">#REF!</definedName>
    <definedName name="kayukampersamarinda">#REF!</definedName>
    <definedName name="kayukelas1">#REF!</definedName>
    <definedName name="kayukelas2">#REF!</definedName>
    <definedName name="kayukelas3">#REF!</definedName>
    <definedName name="KAYUKLASII">#REF!</definedName>
    <definedName name="kayuplaf">#REF!</definedName>
    <definedName name="kayuulang">#REF!</definedName>
    <definedName name="kb">#REF!</definedName>
    <definedName name="kb_1000">#REF!</definedName>
    <definedName name="kb_1020">#REF!</definedName>
    <definedName name="kb_1250">#REF!</definedName>
    <definedName name="kb_9">#REF!</definedName>
    <definedName name="kbaja">#REF!</definedName>
    <definedName name="kbaja_9">#REF!</definedName>
    <definedName name="kbb">#REF!</definedName>
    <definedName name="kbb.05">#REF!</definedName>
    <definedName name="kbb.05_9">#REF!</definedName>
    <definedName name="kbb.1">#REF!</definedName>
    <definedName name="kbb.1_9">#REF!</definedName>
    <definedName name="kbb.10">#REF!</definedName>
    <definedName name="kbb.10_9">#REF!</definedName>
    <definedName name="kbb.2">#REF!</definedName>
    <definedName name="kbb.2_9">#REF!</definedName>
    <definedName name="kbb.3">#REF!</definedName>
    <definedName name="kbb.3_9">#REF!</definedName>
    <definedName name="kbb.5">#REF!</definedName>
    <definedName name="kbb.5_9">#REF!</definedName>
    <definedName name="kbb.7">#REF!</definedName>
    <definedName name="kbb.7_9">#REF!</definedName>
    <definedName name="kbb_9">#REF!</definedName>
    <definedName name="kbekol">#REF!</definedName>
    <definedName name="kbensin">#REF!</definedName>
    <definedName name="kbensin_9">#REF!</definedName>
    <definedName name="kbg">#REF!</definedName>
    <definedName name="kbg_9">#REF!</definedName>
    <definedName name="kbk">#REF!</definedName>
    <definedName name="kbk_9">#REF!</definedName>
    <definedName name="kbkp">#REF!</definedName>
    <definedName name="kbkp_9">#REF!</definedName>
    <definedName name="KBL">#REF!</definedName>
    <definedName name="Kbl.Bsr">#REF!</definedName>
    <definedName name="KBL.KCL">#REF!</definedName>
    <definedName name="kbl.sr">#REF!</definedName>
    <definedName name="KBLKT">#REF!</definedName>
    <definedName name="KBLKT_9">#REF!</definedName>
    <definedName name="KBLT">#REF!</definedName>
    <definedName name="KBLT_9">#REF!</definedName>
    <definedName name="KBLTT">#REF!</definedName>
    <definedName name="KBLTT_9">#REF!</definedName>
    <definedName name="kblw">#REF!</definedName>
    <definedName name="kblw_9">#REF!</definedName>
    <definedName name="kbs">#REF!</definedName>
    <definedName name="kbt">#REF!</definedName>
    <definedName name="kbt_9">#REF!</definedName>
    <definedName name="kbtb">#REF!</definedName>
    <definedName name="kbtb_9">#REF!</definedName>
    <definedName name="kbtk">#REF!</definedName>
    <definedName name="kbtk_9">#REF!</definedName>
    <definedName name="kbtp">#REF!</definedName>
    <definedName name="kbtp_9">#REF!</definedName>
    <definedName name="kbtpb">#REF!</definedName>
    <definedName name="kbtpb_9">#REF!</definedName>
    <definedName name="kbtt">#REF!</definedName>
    <definedName name="kc">#REF!</definedName>
    <definedName name="Kc.5mm.10001">#REF!</definedName>
    <definedName name="kcab">#REF!</definedName>
    <definedName name="kcab_9">#REF!</definedName>
    <definedName name="Kcapiring">#REF!</definedName>
    <definedName name="kcb">#REF!</definedName>
    <definedName name="kcermin">#REF!</definedName>
    <definedName name="kcj">#REF!</definedName>
    <definedName name="kcj_9">#REF!</definedName>
    <definedName name="kcl">#REF!</definedName>
    <definedName name="kcn">#REF!</definedName>
    <definedName name="kcomp">#REF!</definedName>
    <definedName name="kcomp_9">#REF!</definedName>
    <definedName name="kcpatri">#REF!</definedName>
    <definedName name="kcpatri1">#REF!</definedName>
    <definedName name="kcpln">#REF!</definedName>
    <definedName name="kcptr">#REF!</definedName>
    <definedName name="kcrb">#REF!</definedName>
    <definedName name="kcs3w">#REF!</definedName>
    <definedName name="kcstw">#REF!</definedName>
    <definedName name="kcv">#REF!</definedName>
    <definedName name="kcv_9">#REF!</definedName>
    <definedName name="kd">#REF!</definedName>
    <definedName name="kd_2020">#REF!</definedName>
    <definedName name="kd_2533">#REF!</definedName>
    <definedName name="kd_3030">#REF!</definedName>
    <definedName name="kd_3350">#REF!</definedName>
    <definedName name="kd_4040">#REF!</definedName>
    <definedName name="kd_b2010">#REF!</definedName>
    <definedName name="kd_b2025">#REF!</definedName>
    <definedName name="kd_b3310">#REF!</definedName>
    <definedName name="kdc">#REF!</definedName>
    <definedName name="kdinding">#REF!</definedName>
    <definedName name="kdozer">#REF!</definedName>
    <definedName name="kdozer_9">#REF!</definedName>
    <definedName name="kdt.35">#REF!</definedName>
    <definedName name="kdt.35_9">#REF!</definedName>
    <definedName name="kdt.5">#REF!</definedName>
    <definedName name="kdt.5_9">#REF!</definedName>
    <definedName name="KE_20">#REF!</definedName>
    <definedName name="KE_30">#REF!</definedName>
    <definedName name="keamanan">#REF!</definedName>
    <definedName name="Kecapi">#REF!</definedName>
    <definedName name="keliling">#REF!</definedName>
    <definedName name="kelon" hidden="1">{#N/A,#N/A,FALSE,"REK";#N/A,#N/A,FALSE,"rab"}</definedName>
    <definedName name="kend">#REF!</definedName>
    <definedName name="Kenek">#REF!</definedName>
    <definedName name="KENEK_TRUK">#REF!</definedName>
    <definedName name="KENEK_TRUK_23">#REF!</definedName>
    <definedName name="KENEK_TRUK_25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hidden="1">{#N/A,#N/A,FALSE,"REK";#N/A,#N/A,FALSE,"rab"}</definedName>
    <definedName name="KEP">#REF!</definedName>
    <definedName name="KEP.SEK.PERENCANAAN">#REF!</definedName>
    <definedName name="KEP.SEK.PERENCANAAN_9">#REF!</definedName>
    <definedName name="KEP.TUKANG">#REF!</definedName>
    <definedName name="Kep_Tk_Batu">#REF!</definedName>
    <definedName name="Kep_Tk_Cat">#REF!</definedName>
    <definedName name="kepala">#REF!</definedName>
    <definedName name="KEPALA_TUKANG_BATU">#REF!</definedName>
    <definedName name="KEPALA_TUKANG_BATU_23">#REF!</definedName>
    <definedName name="KEPALA_TUKANG_BATU_25">#REF!</definedName>
    <definedName name="KEPALA_TUKANG_BESI_BETON">#REF!</definedName>
    <definedName name="KEPALA_TUKANG_BESI_BETON_23">#REF!</definedName>
    <definedName name="KEPALA_TUKANG_BESI_BETON_25">#REF!</definedName>
    <definedName name="KEPALA_TUKANG_BESI_PROFIL">#REF!</definedName>
    <definedName name="KEPALA_TUKANG_BESI_PROFIL_23">#REF!</definedName>
    <definedName name="KEPALA_TUKANG_BESI_PROFIL_25">#REF!</definedName>
    <definedName name="KEPALA_TUKANG_CAT___PELITUR">#REF!</definedName>
    <definedName name="KEPALA_TUKANG_CAT___PELITUR_23">#REF!</definedName>
    <definedName name="KEPALA_TUKANG_CAT___PELITUR_25">#REF!</definedName>
    <definedName name="KEPALA_TUKANG_KAYU">#REF!</definedName>
    <definedName name="KEPALA_TUKANG_KAYU_23">#REF!</definedName>
    <definedName name="KEPALA_TUKANG_KAYU_25">#REF!</definedName>
    <definedName name="Kepala_tukang_las">#REF!</definedName>
    <definedName name="kepalat">#REF!</definedName>
    <definedName name="KEPDINPERMUKIMAN">#REF!</definedName>
    <definedName name="KEPDINPERMUKIMAN_9">#REF!</definedName>
    <definedName name="keptuk">#REF!</definedName>
    <definedName name="Ker.L13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k_lantai_20_x_20_cm_kw._I">#REF!</definedName>
    <definedName name="keramik1020">#REF!</definedName>
    <definedName name="keramik20">#REF!</definedName>
    <definedName name="keramik2020">#REF!</definedName>
    <definedName name="keramik20x20">#REF!</definedName>
    <definedName name="keramik20x20meja">#REF!</definedName>
    <definedName name="keramik20x25polis">#REF!</definedName>
    <definedName name="keramik20x33unpol">#REF!</definedName>
    <definedName name="keramik25x25">#REF!</definedName>
    <definedName name="keramik25x33polished">#REF!</definedName>
    <definedName name="keramik25x45">#REF!</definedName>
    <definedName name="keramik30">#REF!</definedName>
    <definedName name="keramik3030">#REF!</definedName>
    <definedName name="keramik30x30">#REF!</definedName>
    <definedName name="keramik325x325nonslip">#REF!</definedName>
    <definedName name="keramik325x975polished">#REF!</definedName>
    <definedName name="keramik33x33unpolised">#REF!</definedName>
    <definedName name="keramik40">#REF!</definedName>
    <definedName name="keramik4040">#REF!</definedName>
    <definedName name="keramik40x40">#REF!</definedName>
    <definedName name="keramik6060">#REF!</definedName>
    <definedName name="keramik60x60polis">#REF!</definedName>
    <definedName name="keramik60x60unpol">#REF!</definedName>
    <definedName name="KeramikDinding2025">#REF!</definedName>
    <definedName name="KeramikLantai2020">#REF!</definedName>
    <definedName name="KeramikLantai3030">#REF!</definedName>
    <definedName name="KeramikStep1020">#REF!</definedName>
    <definedName name="kerba">#REF!</definedName>
    <definedName name="kerbb">#REF!</definedName>
    <definedName name="kerd2020">#REF!</definedName>
    <definedName name="kerddg20">#REF!</definedName>
    <definedName name="kerdin">#REF!</definedName>
    <definedName name="KERIKIL">#REF!</definedName>
    <definedName name="Kerikil.p">#REF!</definedName>
    <definedName name="kerja">#REF!</definedName>
    <definedName name="kerl2020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20_6">#REF!</definedName>
    <definedName name="kerlan30">#REF!</definedName>
    <definedName name="kerlt20">#REF!</definedName>
    <definedName name="kerlt30">#REF!</definedName>
    <definedName name="keruksaluran">#REF!</definedName>
    <definedName name="Kerw1">#REF!</definedName>
    <definedName name="Kerw2">#REF!</definedName>
    <definedName name="kerwall20">#REF!</definedName>
    <definedName name="kerwall20_6">#REF!</definedName>
    <definedName name="ketam">#REF!</definedName>
    <definedName name="Ketapang">#REF!</definedName>
    <definedName name="kf">#REF!</definedName>
    <definedName name="kfs">#REF!</definedName>
    <definedName name="kg">#REF!</definedName>
    <definedName name="kgb">#REF!</definedName>
    <definedName name="kgb_9">#REF!</definedName>
    <definedName name="KGmbB">#REF!</definedName>
    <definedName name="KGmbK">#REF!</definedName>
    <definedName name="KGmbS">#REF!</definedName>
    <definedName name="kgrader">#REF!</definedName>
    <definedName name="kgrader_9">#REF!</definedName>
    <definedName name="kgs">#REF!</definedName>
    <definedName name="kh">#REF!</definedName>
    <definedName name="khd">#REF!</definedName>
    <definedName name="khi">#REF!</definedName>
    <definedName name="KHOIRUL">#REF!</definedName>
    <definedName name="khrs">#REF!</definedName>
    <definedName name="khrs_9">#REF!</definedName>
    <definedName name="khts">#REF!</definedName>
    <definedName name="Kiarapayung">#REF!</definedName>
    <definedName name="Kichenzink1lb">#REF!</definedName>
    <definedName name="kickers">#REF!</definedName>
    <definedName name="kipayung">#REF!</definedName>
    <definedName name="kitc100x2x0.6">#REF!</definedName>
    <definedName name="kitc2x100x2x0.6">#REF!</definedName>
    <definedName name="kitchen">#REF!</definedName>
    <definedName name="KitZn">#REF!</definedName>
    <definedName name="KitZs">#REF!</definedName>
    <definedName name="kj.03">#REF!</definedName>
    <definedName name="KJGK">STOP:STOPE</definedName>
    <definedName name="KJGK_10">#REF!:#REF!</definedName>
    <definedName name="KJGK_11">#REF!:#REF!</definedName>
    <definedName name="KJGK_12">#REF!:#REF!</definedName>
    <definedName name="KJGK_14">#REF!:#REF!</definedName>
    <definedName name="KJGK_15">#REF!:#REF!</definedName>
    <definedName name="KJGK_16">#REF!:#REF!</definedName>
    <definedName name="KJGK_17">#REF!:#REF!</definedName>
    <definedName name="KJGK_18">#REF!:#REF!</definedName>
    <definedName name="KJGK_19">#REF!:#REF!</definedName>
    <definedName name="KJGK_20">#REF!:#REF!</definedName>
    <definedName name="KJGK_22">#REF!:#REF!</definedName>
    <definedName name="KJGK_23">#REF!:#REF!</definedName>
    <definedName name="KJGK_24">#REF!:#REF!</definedName>
    <definedName name="KJGK_25">#REF!:#REF!</definedName>
    <definedName name="KJGK_5">#REF!:#REF!</definedName>
    <definedName name="KJGK_6">#REF!:#REF!</definedName>
    <definedName name="KJGK_7">#REF!:#REF!</definedName>
    <definedName name="KJGK_8">#REF!:#REF!</definedName>
    <definedName name="KJH">#REF!</definedName>
    <definedName name="KJH_10">#REF!:#REF!</definedName>
    <definedName name="KJH_11">#REF!:#REF!</definedName>
    <definedName name="KJH_12">#REF!:#REF!</definedName>
    <definedName name="KJH_14">#REF!:#REF!</definedName>
    <definedName name="KJH_15">#REF!:#REF!</definedName>
    <definedName name="KJH_16">#REF!:#REF!</definedName>
    <definedName name="KJH_17">#REF!:#REF!</definedName>
    <definedName name="KJH_18">#REF!:#REF!</definedName>
    <definedName name="KJH_19">#REF!:#REF!</definedName>
    <definedName name="KJH_20">#REF!:#REF!</definedName>
    <definedName name="KJH_22">#REF!:#REF!</definedName>
    <definedName name="KJH_23">#REF!:#REF!</definedName>
    <definedName name="KJH_24">#REF!:#REF!</definedName>
    <definedName name="KJH_25">#REF!:#REF!</definedName>
    <definedName name="KJH_5">#REF!:#REF!</definedName>
    <definedName name="KJH_6">#REF!:#REF!</definedName>
    <definedName name="KJH_7">#REF!:#REF!</definedName>
    <definedName name="KJH_8">#REF!:#REF!</definedName>
    <definedName name="KJHkdashlhfLHd">#REF!</definedName>
    <definedName name="kji">#REF!</definedName>
    <definedName name="kjjsdfiie">#REF!</definedName>
    <definedName name="KJT">#REF!</definedName>
    <definedName name="KK" hidden="1">{"'Sheet1'!$A$1"}</definedName>
    <definedName name="KK_9">#REF!</definedName>
    <definedName name="kk10a">#REF!</definedName>
    <definedName name="kk16a">#REF!</definedName>
    <definedName name="KKamper">#REF!</definedName>
    <definedName name="kkb">#REF!</definedName>
    <definedName name="kkb_9">#REF!</definedName>
    <definedName name="kkbaja">#REF!</definedName>
    <definedName name="kkbaja_9">#REF!</definedName>
    <definedName name="kkgb">#REF!</definedName>
    <definedName name="kkgb_9">#REF!</definedName>
    <definedName name="kkk">#REF!</definedName>
    <definedName name="kkkkkkk">#REF!</definedName>
    <definedName name="kkm">#REF!</definedName>
    <definedName name="KKMAl">#REF!</definedName>
    <definedName name="kknym">#REF!</definedName>
    <definedName name="kknymhy">#REF!</definedName>
    <definedName name="kkpb">#REF!</definedName>
    <definedName name="kkpb_9">#REF!</definedName>
    <definedName name="kks">#REF!</definedName>
    <definedName name="kks_9">#REF!</definedName>
    <definedName name="kksatp">#REF!</definedName>
    <definedName name="kksatp_9">#REF!</definedName>
    <definedName name="KKT">#REF!</definedName>
    <definedName name="KKT_9">#REF!</definedName>
    <definedName name="kkts">#REF!</definedName>
    <definedName name="kkukj">#REF!</definedName>
    <definedName name="kkukj_9">#REF!</definedName>
    <definedName name="kkup">#REF!</definedName>
    <definedName name="kkup_9">#REF!</definedName>
    <definedName name="kkyb">#REF!</definedName>
    <definedName name="kkyb_9">#REF!</definedName>
    <definedName name="kl">#REF!</definedName>
    <definedName name="KL\selasar">#REF!</definedName>
    <definedName name="KL_2020">#REF!</definedName>
    <definedName name="kl_2020p">#REF!</definedName>
    <definedName name="kl_3030">#REF!</definedName>
    <definedName name="kl_3030p">#REF!</definedName>
    <definedName name="kl_3333">#REF!</definedName>
    <definedName name="kl_3333p">#REF!</definedName>
    <definedName name="kl_3333pk">#REF!</definedName>
    <definedName name="kl_4040">#REF!</definedName>
    <definedName name="kl_40401">#REF!</definedName>
    <definedName name="kl_4040d">#REF!</definedName>
    <definedName name="Klameofirian">#REF!</definedName>
    <definedName name="klb">#REF!</definedName>
    <definedName name="kldd1p">NA()</definedName>
    <definedName name="kldd3p">NA()</definedName>
    <definedName name="klem">#REF!</definedName>
    <definedName name="klem.k">#REF!</definedName>
    <definedName name="klengkung">#REF!</definedName>
    <definedName name="klinik">#REF!</definedName>
    <definedName name="klipj">#REF!</definedName>
    <definedName name="KLJ" hidden="1">{"'Sheet1'!$A$1"}</definedName>
    <definedName name="klkgkhghjg">#REF!</definedName>
    <definedName name="klm">#REF!</definedName>
    <definedName name="KLM.1.101">#REF!</definedName>
    <definedName name="KLM.1.101B">#REF!</definedName>
    <definedName name="KLM.1.101E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TG.101">#REF!</definedName>
    <definedName name="KLM.TG.101B">#REF!</definedName>
    <definedName name="KLM.TG.101E">#REF!</definedName>
    <definedName name="klm_1010">#REF!</definedName>
    <definedName name="klm_kp">#REF!</definedName>
    <definedName name="klm_rata">"'file://SERVER3/har-data/STRUCTURE PRICE OF BQ KOMPAS GRAMEDIA.xls'#$analisa.$#REF!$#REF!"</definedName>
    <definedName name="klmpraktis">#REF!</definedName>
    <definedName name="klos.d">#REF!</definedName>
    <definedName name="klos.ina">#REF!</definedName>
    <definedName name="KlosedJongkok">#REF!</definedName>
    <definedName name="Kloset_jongkok_porselin">#REF!</definedName>
    <definedName name="klp">#REF!</definedName>
    <definedName name="kluis30">#REF!</definedName>
    <definedName name="km">#REF!</definedName>
    <definedName name="kma">#REF!</definedName>
    <definedName name="kma_9">#REF!</definedName>
    <definedName name="kmcs">#REF!</definedName>
    <definedName name="Kmerant">"$#REF!.$G$182"</definedName>
    <definedName name="kmf">#REF!</definedName>
    <definedName name="kmf_9">#REF!</definedName>
    <definedName name="kmg.3r">#REF!</definedName>
    <definedName name="kmg.3r_9">#REF!</definedName>
    <definedName name="kmgb">#REF!</definedName>
    <definedName name="kmgb_9">#REF!</definedName>
    <definedName name="kmgrk">#REF!</definedName>
    <definedName name="kmgrk_9">#REF!</definedName>
    <definedName name="kmgt">#REF!</definedName>
    <definedName name="kmgt_9">#REF!</definedName>
    <definedName name="KMK">#REF!</definedName>
    <definedName name="KMK_9">#REF!</definedName>
    <definedName name="KML">#REF!</definedName>
    <definedName name="KML_9">#REF!</definedName>
    <definedName name="kmm">#REF!</definedName>
    <definedName name="kmong">NA()</definedName>
    <definedName name="KMP">#REF!</definedName>
    <definedName name="kmp.182">#REF!</definedName>
    <definedName name="kmp.182_9">#REF!</definedName>
    <definedName name="kmp.banjar">#REF!</definedName>
    <definedName name="KMP_9">#REF!</definedName>
    <definedName name="KMpost">#REF!</definedName>
    <definedName name="kmt">#REF!</definedName>
    <definedName name="kmt_9">#REF!</definedName>
    <definedName name="kmts">#REF!</definedName>
    <definedName name="kn_1040">#REF!</definedName>
    <definedName name="KNC.PT.10001">#REF!</definedName>
    <definedName name="Knek">#REF!</definedName>
    <definedName name="KNF">#REF!</definedName>
    <definedName name="KNF_23">#REF!</definedName>
    <definedName name="KNF_25">#REF!</definedName>
    <definedName name="know">#REF!</definedName>
    <definedName name="Knyatoh">"$#REF!.$M$56"</definedName>
    <definedName name="ko">#REF!</definedName>
    <definedName name="koa">#REF!</definedName>
    <definedName name="KOBAJ">#REF!</definedName>
    <definedName name="kobaj1">"$Estimasi.$#REF!$943"</definedName>
    <definedName name="kobes">#REF!</definedName>
    <definedName name="KOBES1">"$#REF!.$I$17"</definedName>
    <definedName name="kobet">#REF!</definedName>
    <definedName name="KODE">NA()</definedName>
    <definedName name="KODEAHS">#REF!</definedName>
    <definedName name="kodebahanahs">#REF!</definedName>
    <definedName name="KodeBarang">OFFSET(#REF!,1,0,COUNTA(#REF!)-2,1)</definedName>
    <definedName name="kodok">#REF!</definedName>
    <definedName name="kodokgls">#REF!</definedName>
    <definedName name="KODTK">#REF!</definedName>
    <definedName name="KODTK_9">#REF!</definedName>
    <definedName name="KOEF">"$#REF!.$#REF!$#REF!"</definedName>
    <definedName name="KOEF_6">#REF!</definedName>
    <definedName name="KOEF_AUSD">#REF!</definedName>
    <definedName name="KOEF_EURO">#REF!</definedName>
    <definedName name="koef_rp">#REF!</definedName>
    <definedName name="KOEF_SGD">#REF!</definedName>
    <definedName name="koef_usd">#REF!</definedName>
    <definedName name="KOEF_Yen">#REF!</definedName>
    <definedName name="KOEF1">"$#REF!.$#REF!$#REF!"</definedName>
    <definedName name="koeflingg">#REF!</definedName>
    <definedName name="koeflingk">#REF!</definedName>
    <definedName name="kof">#REF!</definedName>
    <definedName name="koi">#REF!</definedName>
    <definedName name="KOKT">#REF!</definedName>
    <definedName name="KOKT_9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">#REF!</definedName>
    <definedName name="koli_9">#REF!</definedName>
    <definedName name="koling">#REF!</definedName>
    <definedName name="kolom">#REF!</definedName>
    <definedName name="kolom\k.1GWT">#REF!</definedName>
    <definedName name="kolom1">#REF!</definedName>
    <definedName name="kolom2">#REF!</definedName>
    <definedName name="kolom3">#REF!</definedName>
    <definedName name="kolom4">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praktis">#REF!</definedName>
    <definedName name="kolprak1212">#REF!</definedName>
    <definedName name="kolprak1515">#REF!</definedName>
    <definedName name="Kompound">#REF!</definedName>
    <definedName name="Konci_pintu">#REF!</definedName>
    <definedName name="Konci_pintu_cylinder">#REF!</definedName>
    <definedName name="kond">"$#REF!.$#REF!$#REF!"</definedName>
    <definedName name="KOP">NA()</definedName>
    <definedName name="KORA">#REF!</definedName>
    <definedName name="KORAL">#REF!</definedName>
    <definedName name="KORAL_JAGUNG">#REF!</definedName>
    <definedName name="KORALBETON">#REF!</definedName>
    <definedName name="koralbton">#REF!</definedName>
    <definedName name="kos">#REF!</definedName>
    <definedName name="KOT">#REF!</definedName>
    <definedName name="KOT_9">#REF!</definedName>
    <definedName name="kout">#REF!</definedName>
    <definedName name="koutv">#REF!</definedName>
    <definedName name="kp">#REF!</definedName>
    <definedName name="kp1520b279">#REF!</definedName>
    <definedName name="kp1ph">"$#REF!.$#REF!$#REF!:$#REF!$#REF!"</definedName>
    <definedName name="kpav">#REF!</definedName>
    <definedName name="kpav_9">#REF!</definedName>
    <definedName name="KPAYUNG">#REF!</definedName>
    <definedName name="kpb">#REF!</definedName>
    <definedName name="kpb.125">#REF!</definedName>
    <definedName name="kpb.125_9">#REF!</definedName>
    <definedName name="kpb.200HP">#REF!</definedName>
    <definedName name="kpb.200HP_9">#REF!</definedName>
    <definedName name="kpb.500">#REF!</definedName>
    <definedName name="kpb.500_9">#REF!</definedName>
    <definedName name="kpb_9">#REF!</definedName>
    <definedName name="kpc">#REF!</definedName>
    <definedName name="kpc_9">#REF!</definedName>
    <definedName name="kpj">#REF!</definedName>
    <definedName name="kpj_9">#REF!</definedName>
    <definedName name="Kpkyu">#REF!</definedName>
    <definedName name="kplesteranlama">#REF!</definedName>
    <definedName name="Kpls2">#REF!</definedName>
    <definedName name="Kpls3">#REF!</definedName>
    <definedName name="Kpls5">#REF!</definedName>
    <definedName name="KPO">#REF!</definedName>
    <definedName name="KPO_9">#REF!</definedName>
    <definedName name="kpr">#REF!</definedName>
    <definedName name="Kprsr">#REF!</definedName>
    <definedName name="Kprtb">#REF!</definedName>
    <definedName name="kpsaub">#REF!</definedName>
    <definedName name="kpsaub_9">#REF!</definedName>
    <definedName name="kpsp">#REF!</definedName>
    <definedName name="kpsp_9">#REF!</definedName>
    <definedName name="kpsu">#REF!</definedName>
    <definedName name="kpsu_9">#REF!</definedName>
    <definedName name="Kptbk">#REF!</definedName>
    <definedName name="kptdll">#REF!</definedName>
    <definedName name="kptdll_9">#REF!</definedName>
    <definedName name="KptrB">#REF!</definedName>
    <definedName name="KptrL">#REF!</definedName>
    <definedName name="kQ">#REF!</definedName>
    <definedName name="kQ_9">#REF!</definedName>
    <definedName name="KR.1">#REF!</definedName>
    <definedName name="KR.10">#REF!</definedName>
    <definedName name="KR.11">#REF!</definedName>
    <definedName name="KR.12">#REF!</definedName>
    <definedName name="KR.13">#REF!</definedName>
    <definedName name="KR.14">#REF!</definedName>
    <definedName name="KR.15">#REF!</definedName>
    <definedName name="KR.2">#REF!</definedName>
    <definedName name="KR.21">#REF!</definedName>
    <definedName name="KR.22">#REF!</definedName>
    <definedName name="KR.23">#REF!</definedName>
    <definedName name="KR.24">#REF!</definedName>
    <definedName name="KR.25">#REF!</definedName>
    <definedName name="KR.26">#REF!</definedName>
    <definedName name="KR.27">#REF!</definedName>
    <definedName name="KR.29">#REF!</definedName>
    <definedName name="KR.3">#REF!</definedName>
    <definedName name="KR.4">#REF!</definedName>
    <definedName name="KR.5">#REF!</definedName>
    <definedName name="KR.6">#REF!</definedName>
    <definedName name="KR.7">#REF!</definedName>
    <definedName name="KR.8">#REF!</definedName>
    <definedName name="KR.9">#REF!</definedName>
    <definedName name="kr_ba">#REF!</definedName>
    <definedName name="kran">#REF!</definedName>
    <definedName name="kran.bbk">#REF!</definedName>
    <definedName name="kran.ddg">#REF!</definedName>
    <definedName name="Kran_air__ø_1_2___EX.Sun_Ei_Japan">#REF!</definedName>
    <definedName name="Kran_air__ø_3_4">#REF!</definedName>
    <definedName name="Kran_air_handel_kit_ø_1_2">#REF!</definedName>
    <definedName name="KranAngsa">#REF!</definedName>
    <definedName name="KranShower">#REF!</definedName>
    <definedName name="KranT23B13V7N">#REF!</definedName>
    <definedName name="KranT30AR13V7N">#REF!</definedName>
    <definedName name="KranTX603KM">#REF!</definedName>
    <definedName name="KRB">#REF!</definedName>
    <definedName name="Krbn3">#REF!</definedName>
    <definedName name="Krbn5">#REF!</definedName>
    <definedName name="krikil">#REF!</definedName>
    <definedName name="krm">#REF!</definedName>
    <definedName name="krmi30x30polis">#REF!</definedName>
    <definedName name="krmk10">#REF!</definedName>
    <definedName name="krmk10wr">#REF!</definedName>
    <definedName name="krmk20">#REF!</definedName>
    <definedName name="krmk20wr">#REF!</definedName>
    <definedName name="krmk20x20">#REF!</definedName>
    <definedName name="krmk20x20unpol">#REF!</definedName>
    <definedName name="krmk25x25">#REF!</definedName>
    <definedName name="krmk25x45">#REF!</definedName>
    <definedName name="krmk30">#REF!</definedName>
    <definedName name="krmk30wr">#REF!</definedName>
    <definedName name="krmk30x30unpol">#REF!</definedName>
    <definedName name="krmk33x33">#REF!</definedName>
    <definedName name="krmk33x33antislip">#REF!</definedName>
    <definedName name="krmk33x33polished">#REF!</definedName>
    <definedName name="krmk40x40">#REF!</definedName>
    <definedName name="KrnPD">#REF!</definedName>
    <definedName name="krstn">#REF!</definedName>
    <definedName name="KrtAP">#REF!</definedName>
    <definedName name="ks">#REF!</definedName>
    <definedName name="KS.1\selasr">#REF!</definedName>
    <definedName name="ks.1000">#REF!</definedName>
    <definedName name="ks.1000_9">#REF!</definedName>
    <definedName name="KS.2\selasar">#REF!</definedName>
    <definedName name="KS.2A\selasar">#REF!</definedName>
    <definedName name="ks_9">#REF!</definedName>
    <definedName name="ks57bs">#REF!</definedName>
    <definedName name="ks57kbj">#REF!</definedName>
    <definedName name="ks57km">#REF!</definedName>
    <definedName name="ks57ras">#REF!</definedName>
    <definedName name="ksatp">#REF!</definedName>
    <definedName name="ksatp_9">#REF!</definedName>
    <definedName name="KSENGON">#REF!</definedName>
    <definedName name="KSES2">#REF!</definedName>
    <definedName name="ksk">#REF!</definedName>
    <definedName name="ksl">#REF!</definedName>
    <definedName name="Ksn.Jt.10001">#REF!</definedName>
    <definedName name="ksolar">#REF!</definedName>
    <definedName name="ksolar_9">#REF!</definedName>
    <definedName name="KSP">#REF!</definedName>
    <definedName name="KSP_9">#REF!</definedName>
    <definedName name="ksr">#REF!</definedName>
    <definedName name="KST">#REF!</definedName>
    <definedName name="KST_9">#REF!</definedName>
    <definedName name="KSt2K">#REF!</definedName>
    <definedName name="kstam">#REF!</definedName>
    <definedName name="kstam_9">#REF!</definedName>
    <definedName name="kstpb">#REF!</definedName>
    <definedName name="kstpb_9">#REF!</definedName>
    <definedName name="kt">#REF!</definedName>
    <definedName name="kt.30x30">#REF!</definedName>
    <definedName name="kt.30x30_9">#REF!</definedName>
    <definedName name="kt_9">#REF!</definedName>
    <definedName name="ktanki">#REF!</definedName>
    <definedName name="ktanki_9">#REF!</definedName>
    <definedName name="ktb">#REF!</definedName>
    <definedName name="ktb_6">#REF!</definedName>
    <definedName name="KTBA">#REF!</definedName>
    <definedName name="ktbb">#REF!</definedName>
    <definedName name="KTBE">#REF!</definedName>
    <definedName name="ktbes">#REF!</definedName>
    <definedName name="ktbes_6">#REF!</definedName>
    <definedName name="ktbp">#REF!</definedName>
    <definedName name="ktbs">#REF!</definedName>
    <definedName name="ktbt">#REF!</definedName>
    <definedName name="ktc">#REF!</definedName>
    <definedName name="ktc_6">#REF!</definedName>
    <definedName name="Ktca">#REF!</definedName>
    <definedName name="ktcat">#REF!</definedName>
    <definedName name="ktg1adasar">#REF!</definedName>
    <definedName name="ktg1dasar">#REF!</definedName>
    <definedName name="ktg2dasar">#REF!</definedName>
    <definedName name="ktg2dsar">#REF!</definedName>
    <definedName name="ktk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_6">#REF!</definedName>
    <definedName name="KTKA">#REF!</definedName>
    <definedName name="ktkayu">#REF!</definedName>
    <definedName name="KTKBATU">#REF!</definedName>
    <definedName name="ktkbesi">#REF!</definedName>
    <definedName name="ktkcat">#REF!</definedName>
    <definedName name="ktkgali">#REF!</definedName>
    <definedName name="ktkkayu">#REF!</definedName>
    <definedName name="KTKPOLI">#REF!</definedName>
    <definedName name="ktktembok">#REF!</definedName>
    <definedName name="ktky">#REF!</definedName>
    <definedName name="ktlas">#REF!</definedName>
    <definedName name="ktlistrk">#REF!</definedName>
    <definedName name="ktnh">#REF!</definedName>
    <definedName name="ktnh_9">#REF!</definedName>
    <definedName name="ktplambing">#REF!</definedName>
    <definedName name="ktpm">#REF!</definedName>
    <definedName name="ktr">#REF!</definedName>
    <definedName name="ktrailer">#REF!</definedName>
    <definedName name="ktrailer_9">#REF!</definedName>
    <definedName name="Kttp5">#REF!</definedName>
    <definedName name="ktukang">#REF!</definedName>
    <definedName name="ktukangbatu">#REF!</definedName>
    <definedName name="ktukangkayu">#REF!</definedName>
    <definedName name="KTUN">#REF!</definedName>
    <definedName name="KUANTITAS">#REF!</definedName>
    <definedName name="KUAS">#REF!</definedName>
    <definedName name="kuas_6">#REF!</definedName>
    <definedName name="kuas2.5">#REF!</definedName>
    <definedName name="kuasrool8">#REF!</definedName>
    <definedName name="Kubot">#REF!</definedName>
    <definedName name="kuda">#REF!</definedName>
    <definedName name="kudakamper">#REF!</definedName>
    <definedName name="kudakls2">#REF!</definedName>
    <definedName name="kudakru">#REF!</definedName>
    <definedName name="kudamedan">#REF!</definedName>
    <definedName name="kukj">#REF!</definedName>
    <definedName name="kukj_9">#REF!</definedName>
    <definedName name="KULIM">#REF!</definedName>
    <definedName name="Kumpn">#REF!</definedName>
    <definedName name="kun">#REF!</definedName>
    <definedName name="kunci">"$#REF!.$A$2:$E$27"</definedName>
    <definedName name="kunci1">#REF!</definedName>
    <definedName name="kunci2">#REF!</definedName>
    <definedName name="Kunci2slagmmenengah">#REF!</definedName>
    <definedName name="kuncipintu\nonjasa">#REF!</definedName>
    <definedName name="kuncitanam">#REF!</definedName>
    <definedName name="kuo">#REF!</definedName>
    <definedName name="Kuosin">"$#REF!.$H$164"</definedName>
    <definedName name="kup">#REF!</definedName>
    <definedName name="kup_9">#REF!</definedName>
    <definedName name="kupi.1">#REF!</definedName>
    <definedName name="kupi.2">#REF!</definedName>
    <definedName name="KUS">#REF!</definedName>
    <definedName name="KUSEKAYU">#REF!</definedName>
    <definedName name="kusen">#REF!</definedName>
    <definedName name="kusen.alum">#REF!</definedName>
    <definedName name="kusen.c.100\nonjasa">#REF!</definedName>
    <definedName name="kusen.c.125\nonjasa">#REF!</definedName>
    <definedName name="kusen.c.150\nonjasa">#REF!</definedName>
    <definedName name="kusen.siku.40\nonjasa">#REF!</definedName>
    <definedName name="kusen.siku50\nonjasa">#REF!</definedName>
    <definedName name="KUSEN__PINTU__JENDELA__ALAT_ALAT_PENGGANTUNG_DAN_CURTAIN_WALL">#REF!</definedName>
    <definedName name="KUSEN_A">#REF!</definedName>
    <definedName name="KUSEN_B">#REF!</definedName>
    <definedName name="KUSEN_BASE">#REF!</definedName>
    <definedName name="KUSEN_C">#REF!</definedName>
    <definedName name="KUSENALUM">#REF!</definedName>
    <definedName name="kusenalum\nonjasa">#REF!</definedName>
    <definedName name="kusenalum3">#REF!</definedName>
    <definedName name="kusenalum4">#REF!</definedName>
    <definedName name="kusenalume3\nonojasa">#REF!</definedName>
    <definedName name="KUSENBAJA">#REF!</definedName>
    <definedName name="KUSENBAJA1">#REF!</definedName>
    <definedName name="KUSENBAJA2">#REF!</definedName>
    <definedName name="kusenkamper">#REF!</definedName>
    <definedName name="kusenkayu\nonjasa">#REF!</definedName>
    <definedName name="kusenkls2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ensamar">#REF!</definedName>
    <definedName name="KUSENSIKU">#REF!</definedName>
    <definedName name="KUSENSIKU4">#REF!</definedName>
    <definedName name="KUSENSIKU5">#REF!</definedName>
    <definedName name="kutamanis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btn">#REF!</definedName>
    <definedName name="kwdr">#REF!</definedName>
    <definedName name="kwh1st">#REF!</definedName>
    <definedName name="kwh3st">#REF!</definedName>
    <definedName name="kwharm">#REF!</definedName>
    <definedName name="kwl.80hp">#REF!</definedName>
    <definedName name="kwl.80hp_9">#REF!</definedName>
    <definedName name="KWLas">#REF!</definedName>
    <definedName name="kwp.5">#REF!</definedName>
    <definedName name="kwp.5_9">#REF!</definedName>
    <definedName name="kwt.60hp">#REF!</definedName>
    <definedName name="kwt.60hp_9">#REF!</definedName>
    <definedName name="kwtbeton">#REF!</definedName>
    <definedName name="kwtbton">#REF!</definedName>
    <definedName name="kwtlas">#REF!</definedName>
    <definedName name="ky">#REF!</definedName>
    <definedName name="KY.JT.10001">#REF!</definedName>
    <definedName name="KYal2">#REF!</definedName>
    <definedName name="kyb">#REF!</definedName>
    <definedName name="kyb_9">#REF!</definedName>
    <definedName name="KyHt1">#REF!</definedName>
    <definedName name="KyHt2">#REF!</definedName>
    <definedName name="KyHt3">#REF!</definedName>
    <definedName name="KYK">#REF!</definedName>
    <definedName name="Kytrt">#REF!</definedName>
    <definedName name="kyuborneo">#REF!</definedName>
    <definedName name="kyukmper">#REF!</definedName>
    <definedName name="kz">#REF!</definedName>
    <definedName name="kzink">#REF!</definedName>
    <definedName name="L" hidden="1">#REF!</definedName>
    <definedName name="L.061">#REF!</definedName>
    <definedName name="L.071">#REF!</definedName>
    <definedName name="L.072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2">#REF!</definedName>
    <definedName name="L.099">#REF!</definedName>
    <definedName name="L.1">#REF!</definedName>
    <definedName name="L.101">#REF!</definedName>
    <definedName name="L.103">#REF!</definedName>
    <definedName name="L.106">#REF!</definedName>
    <definedName name="L.4">#REF!</definedName>
    <definedName name="L.6.12">#REF!</definedName>
    <definedName name="L.SARI">#REF!</definedName>
    <definedName name="l.tl40">#REF!</definedName>
    <definedName name="l.xl40">#REF!</definedName>
    <definedName name="l_2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_pk5">#REF!</definedName>
    <definedName name="l1ti50">#REF!</definedName>
    <definedName name="l1ti60">#REF!</definedName>
    <definedName name="L2x2x3">"$#REF!.$D$11"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3x3x1">"$#REF!.$D$12"</definedName>
    <definedName name="laba">#REF!</definedName>
    <definedName name="labet12">#REF!</definedName>
    <definedName name="LABO">#REF!</definedName>
    <definedName name="labour">#REF!</definedName>
    <definedName name="LABOUR_CAMP">#REF!</definedName>
    <definedName name="Lacak">#REF!</definedName>
    <definedName name="laci">#REF!</definedName>
    <definedName name="laci_10">#REF!</definedName>
    <definedName name="laci_2">#REF!</definedName>
    <definedName name="laci_5">#REF!</definedName>
    <definedName name="laci_8">#REF!</definedName>
    <definedName name="laci_9">#REF!</definedName>
    <definedName name="LAcr4">#REF!</definedName>
    <definedName name="LADDER">#REF!</definedName>
    <definedName name="LAINLAIN">#REF!</definedName>
    <definedName name="laker">#REF!</definedName>
    <definedName name="lama">#REF!</definedName>
    <definedName name="lamber.1">#REF!</definedName>
    <definedName name="LAMPU">#REF!</definedName>
    <definedName name="lampu.m">#REF!</definedName>
    <definedName name="Lampu_Pijar_25_watt_philips">#REF!</definedName>
    <definedName name="Lampu_TL_20_watt">#REF!</definedName>
    <definedName name="Lampu_TL_40_watt">#REF!</definedName>
    <definedName name="lan12b145">#REF!</definedName>
    <definedName name="lan30b220">#REF!</definedName>
    <definedName name="langitbaru">#REF!</definedName>
    <definedName name="langitulang">#REF!</definedName>
    <definedName name="lanker40">#REF!</definedName>
    <definedName name="Lanscape">#REF!</definedName>
    <definedName name="LANTAI_P3">#REF!</definedName>
    <definedName name="lantai30">#REF!</definedName>
    <definedName name="lantaibeton225">#REF!</definedName>
    <definedName name="lantaibtn225">#REF!</definedName>
    <definedName name="lantaikarpet">#REF!</definedName>
    <definedName name="lantaikayupabrikasi">#REF!</definedName>
    <definedName name="lantaikerja">#REF!</definedName>
    <definedName name="lantaikerjasloof">#REF!</definedName>
    <definedName name="Lantana">#REF!</definedName>
    <definedName name="lantkrj">#REF!</definedName>
    <definedName name="lapisi">#REF!</definedName>
    <definedName name="las.dop">#REF!</definedName>
    <definedName name="Last_Row">IF(Values_Entered,Header_Row+Number_of_Payments,Header_Row)</definedName>
    <definedName name="Last_Row_13">IF(Values_Entered_13,Header_Row_13+Number_of_Payments_13,Header_Row_13)</definedName>
    <definedName name="Last_Row_2">IF(Values_Entered_2,Header_Row_2+Number_of_Payments_2,Header_Row_2)</definedName>
    <definedName name="latab30">#REF!</definedName>
    <definedName name="LATTG">#REF!</definedName>
    <definedName name="LaunchingBox">#REF!</definedName>
    <definedName name="lav">#REF!</definedName>
    <definedName name="lavatory521">#REF!</definedName>
    <definedName name="lavatory830">#REF!</definedName>
    <definedName name="LBR">#REF!</definedName>
    <definedName name="lc">"$#REF!.$I$41"</definedName>
    <definedName name="lcf_p">#REF!</definedName>
    <definedName name="lcf_s">#REF!</definedName>
    <definedName name="ldrat10">#REF!</definedName>
    <definedName name="ldrat12">#REF!</definedName>
    <definedName name="ldrat8">#REF!</definedName>
    <definedName name="LE">#REF!</definedName>
    <definedName name="leb">#REF!</definedName>
    <definedName name="lebar">#REF!</definedName>
    <definedName name="lebar_10">#REF!</definedName>
    <definedName name="LEGAL_WELFARE">#REF!</definedName>
    <definedName name="lem">#REF!</definedName>
    <definedName name="lem.c">#REF!</definedName>
    <definedName name="LEMFOX">#REF!</definedName>
    <definedName name="lemkayu">#REF!</definedName>
    <definedName name="LemKn">#REF!</definedName>
    <definedName name="lemkuning">#REF!</definedName>
    <definedName name="lempar">#REF!</definedName>
    <definedName name="lempinil">#REF!</definedName>
    <definedName name="LemPt">#REF!</definedName>
    <definedName name="lemputih">#REF!</definedName>
    <definedName name="LemPV">#REF!</definedName>
    <definedName name="lemPVC">#REF!</definedName>
    <definedName name="leper.handle\ps">#REF!</definedName>
    <definedName name="leperhandle\nonjasa">#REF!</definedName>
    <definedName name="Lett" hidden="1">#REF!</definedName>
    <definedName name="Leverhandlegriff1224\2051.f1">#REF!</definedName>
    <definedName name="lf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70">#REF!</definedName>
    <definedName name="lgld80">#REF!</definedName>
    <definedName name="lgs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gyf">#REF!</definedName>
    <definedName name="lgyf7">#REF!</definedName>
    <definedName name="lgyf8">#REF!</definedName>
    <definedName name="LIFT">#REF!</definedName>
    <definedName name="liftbarang">#REF!</definedName>
    <definedName name="Lilin">#REF!</definedName>
    <definedName name="Liliparis">#REF!</definedName>
    <definedName name="limbangan">#REF!</definedName>
    <definedName name="limestone">#REF!</definedName>
    <definedName name="linda">#REF!</definedName>
    <definedName name="Linelist">#REF!</definedName>
    <definedName name="Lingg">#REF!</definedName>
    <definedName name="Linoek">#REF!</definedName>
    <definedName name="lion">#REF!</definedName>
    <definedName name="LipsP">#REF!</definedName>
    <definedName name="liquit">#REF!</definedName>
    <definedName name="lis">#REF!</definedName>
    <definedName name="lis.g7">#REF!</definedName>
    <definedName name="lis3.3">#REF!</definedName>
    <definedName name="LISP1060">#REF!</definedName>
    <definedName name="lisplang">#REF!</definedName>
    <definedName name="lisplank">#REF!</definedName>
    <definedName name="lisplankzincalume">#REF!</definedName>
    <definedName name="list">#REF!</definedName>
    <definedName name="list_15">#REF!</definedName>
    <definedName name="list_6">#REF!</definedName>
    <definedName name="list_ab">#REF!</definedName>
    <definedName name="List_Givsum_12_12_cm">#REF!</definedName>
    <definedName name="List_profil">#REF!</definedName>
    <definedName name="List_tengah">#REF!</definedName>
    <definedName name="list1">#REF!</definedName>
    <definedName name="list1533">#REF!</definedName>
    <definedName name="list16.533">#REF!</definedName>
    <definedName name="List5cm">#REF!</definedName>
    <definedName name="Listgypsum">#REF!</definedName>
    <definedName name="Listkayu">#REF!</definedName>
    <definedName name="LISTLOKASI">#REF!</definedName>
    <definedName name="ListMat">#REF!</definedName>
    <definedName name="listp">#REF!</definedName>
    <definedName name="listp1080">#REF!</definedName>
    <definedName name="listp10b161">#REF!</definedName>
    <definedName name="listp830">#REF!</definedName>
    <definedName name="listp840">#REF!</definedName>
    <definedName name="listplafond">#REF!</definedName>
    <definedName name="Listplank330">#REF!</definedName>
    <definedName name="LISTRIK">#REF!</definedName>
    <definedName name="lk">#REF!</definedName>
    <definedName name="lk_0.03">#REF!</definedName>
    <definedName name="lker20">#REF!</definedName>
    <definedName name="lker30">#REF!</definedName>
    <definedName name="lkerja">#REF!</definedName>
    <definedName name="LL" hidden="1">{"'Sheet1'!$A$1"}</definedName>
    <definedName name="llfoeo" hidden="1">#REF!</definedName>
    <definedName name="lm">#REF!</definedName>
    <definedName name="lmesh">#REF!</definedName>
    <definedName name="Lmk">"$#REF!.$E$209"</definedName>
    <definedName name="lmp">#REF!</definedName>
    <definedName name="lmpp" hidden="1">#REF!</definedName>
    <definedName name="lo">#REF!</definedName>
    <definedName name="LOAD">#REF!</definedName>
    <definedName name="LOAD_23">#REF!</definedName>
    <definedName name="LOAD_25">#REF!</definedName>
    <definedName name="loader">#REF!</definedName>
    <definedName name="Loadr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c_b">#REF!</definedName>
    <definedName name="loco">#REF!</definedName>
    <definedName name="lok">#REF!</definedName>
    <definedName name="LOKALJO">#REF!</definedName>
    <definedName name="loker">#REF!</definedName>
    <definedName name="LOS">#REF!</definedName>
    <definedName name="losbahan">#REF!</definedName>
    <definedName name="LP">#REF!</definedName>
    <definedName name="lp.25">#REF!</definedName>
    <definedName name="lp_1050">#REF!</definedName>
    <definedName name="lp100nb">#REF!</definedName>
    <definedName name="lp36nb">#REF!</definedName>
    <definedName name="lpd">#REF!</definedName>
    <definedName name="lpl">#REF!</definedName>
    <definedName name="lrev">#REF!</definedName>
    <definedName name="ls">#REF!</definedName>
    <definedName name="lsc">#REF!</definedName>
    <definedName name="lt">#REF!</definedName>
    <definedName name="lt1smp">#REF!</definedName>
    <definedName name="lt1smu">#REF!</definedName>
    <definedName name="lt2smp">#REF!</definedName>
    <definedName name="lt2smu">#REF!</definedName>
    <definedName name="lt3smp">#REF!</definedName>
    <definedName name="lt3smu">#REF!</definedName>
    <definedName name="LTamM">#REF!</definedName>
    <definedName name="ltatapsmp">#REF!</definedName>
    <definedName name="ltatapsmu">#REF!</definedName>
    <definedName name="ltb_2020">#REF!</definedName>
    <definedName name="ltdasarsmp">#REF!</definedName>
    <definedName name="ltdasarsmu">#REF!</definedName>
    <definedName name="ltkerja">#REF!</definedName>
    <definedName name="Lts">#REF!</definedName>
    <definedName name="LTSATU">#REF!</definedName>
    <definedName name="ltstrsmp">#REF!</definedName>
    <definedName name="Luar">STOP:STOPE</definedName>
    <definedName name="Luar_10">#REF!:#REF!</definedName>
    <definedName name="Luar_11">#REF!:#REF!</definedName>
    <definedName name="Luar_12">#REF!:#REF!</definedName>
    <definedName name="Luar_14">#REF!:#REF!</definedName>
    <definedName name="Luar_15">#REF!:#REF!</definedName>
    <definedName name="Luar_16">#REF!:#REF!</definedName>
    <definedName name="Luar_17">#REF!:#REF!</definedName>
    <definedName name="Luar_18">#REF!:#REF!</definedName>
    <definedName name="Luar_19">#REF!:#REF!</definedName>
    <definedName name="Luar_20">#REF!:#REF!</definedName>
    <definedName name="Luar_22">#REF!:#REF!</definedName>
    <definedName name="Luar_23">#REF!:#REF!</definedName>
    <definedName name="Luar_24">#REF!:#REF!</definedName>
    <definedName name="Luar_25">#REF!:#REF!</definedName>
    <definedName name="Luar_5">#REF!:#REF!</definedName>
    <definedName name="Luar_6">#REF!:#REF!</definedName>
    <definedName name="Luar_7">#REF!:#REF!</definedName>
    <definedName name="Luar_8">#REF!:#REF!</definedName>
    <definedName name="luas">"$#REF!.$S$33"</definedName>
    <definedName name="luas_a">#REF!</definedName>
    <definedName name="Luas_Bangunan">#REF!</definedName>
    <definedName name="luas_s">#REF!</definedName>
    <definedName name="LUAS1">#REF!</definedName>
    <definedName name="LUAS2">#REF!</definedName>
    <definedName name="LUAS3">#REF!</definedName>
    <definedName name="LUAS4">#REF!</definedName>
    <definedName name="luasars">#REF!</definedName>
    <definedName name="LUASATAP">#REF!</definedName>
    <definedName name="luasbaja">#REF!</definedName>
    <definedName name="luaslantai1">#REF!</definedName>
    <definedName name="luasstr">#REF!</definedName>
    <definedName name="LUASTOTAL">#REF!</definedName>
    <definedName name="lumas">#REF!</definedName>
    <definedName name="M">#REF!</definedName>
    <definedName name="M.010">#REF!</definedName>
    <definedName name="M.011">#REF!</definedName>
    <definedName name="M.012">#REF!</definedName>
    <definedName name="M.0121">#REF!</definedName>
    <definedName name="M.0122">#REF!</definedName>
    <definedName name="m.012a">#REF!</definedName>
    <definedName name="m.012b">#REF!</definedName>
    <definedName name="M.013">#REF!</definedName>
    <definedName name="M.014">#REF!</definedName>
    <definedName name="M.016">#REF!</definedName>
    <definedName name="M.020">#REF!</definedName>
    <definedName name="M.020.1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1">#REF!</definedName>
    <definedName name="M.033">#REF!</definedName>
    <definedName name="M.035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4">#REF!</definedName>
    <definedName name="M.065">#REF!</definedName>
    <definedName name="M.070">#REF!</definedName>
    <definedName name="M.080">#REF!</definedName>
    <definedName name="M.081">#REF!</definedName>
    <definedName name="M.082">#REF!</definedName>
    <definedName name="M.090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8">#REF!</definedName>
    <definedName name="M.170">#REF!</definedName>
    <definedName name="M.180">#REF!</definedName>
    <definedName name="M.181">#REF!</definedName>
    <definedName name="M.183">#REF!</definedName>
    <definedName name="M.184">#REF!</definedName>
    <definedName name="M.185">#REF!</definedName>
    <definedName name="m.cat">#REF!</definedName>
    <definedName name="m.wf">#REF!</definedName>
    <definedName name="m_0.4">#REF!</definedName>
    <definedName name="m_1">#REF!</definedName>
    <definedName name="m_106">#REF!</definedName>
    <definedName name="m_2">#REF!</definedName>
    <definedName name="m_3">#REF!</definedName>
    <definedName name="m_3030">#REF!</definedName>
    <definedName name="m_4">#REF!</definedName>
    <definedName name="m_6060">#REF!</definedName>
    <definedName name="m_9090">#REF!</definedName>
    <definedName name="m_c">#REF!</definedName>
    <definedName name="m_d">#REF!</definedName>
    <definedName name="m_e">#REF!</definedName>
    <definedName name="m_lav6001000">#REF!</definedName>
    <definedName name="m_lav6001100">#REF!</definedName>
    <definedName name="m_lav6001700">#REF!</definedName>
    <definedName name="m_lav6002000">#REF!</definedName>
    <definedName name="M_RP">#REF!</definedName>
    <definedName name="M_US">#REF!</definedName>
    <definedName name="m102bnnc">NA()</definedName>
    <definedName name="m102bnvl">NA()</definedName>
    <definedName name="M10aa1p">"$#REF!.$I$290"</definedName>
    <definedName name="m10aamtc">NA()</definedName>
    <definedName name="m10aanc">NA()</definedName>
    <definedName name="m10aavl">NA()</definedName>
    <definedName name="m10anc">NA()</definedName>
    <definedName name="m10avl">NA()</definedName>
    <definedName name="m10banc">NA()</definedName>
    <definedName name="m10bavl">NA()</definedName>
    <definedName name="m122bnnc">NA()</definedName>
    <definedName name="m122bnvl">NA()</definedName>
    <definedName name="m12aanc">NA()</definedName>
    <definedName name="m12aavl">NA()</definedName>
    <definedName name="m12anc">NA()</definedName>
    <definedName name="m12avl">NA()</definedName>
    <definedName name="M12ba3p">"$#REF!.$H$10"</definedName>
    <definedName name="m12banc">NA()</definedName>
    <definedName name="m12bavl">NA()</definedName>
    <definedName name="M12bb1p">"$#REF!.$K$290"</definedName>
    <definedName name="m12bbnc">NA()</definedName>
    <definedName name="m12bbvl">NA()</definedName>
    <definedName name="M12bnnc">NA()</definedName>
    <definedName name="M12bnvl">NA()</definedName>
    <definedName name="M12cbnc">"$#REF!.#REF!#REF!"</definedName>
    <definedName name="M12cbvl">"$#REF!.#REF!#REF!"</definedName>
    <definedName name="m142bnnc">NA()</definedName>
    <definedName name="m142bnvl">NA()</definedName>
    <definedName name="M14bb1p">"$#REF!.$K$290"</definedName>
    <definedName name="m14bbnc">NA()</definedName>
    <definedName name="M14bbvc">NA()</definedName>
    <definedName name="m14bbvl">NA()</definedName>
    <definedName name="M8a">NA()</definedName>
    <definedName name="M8aa">NA()</definedName>
    <definedName name="m8aanc">"$#REF!.$H$103"</definedName>
    <definedName name="m8aavl">"$#REF!.$H$100"</definedName>
    <definedName name="m8amtc">NA()</definedName>
    <definedName name="m8anc">NA()</definedName>
    <definedName name="m8avl">NA()</definedName>
    <definedName name="ma">#REF!</definedName>
    <definedName name="ma_9">#REF!</definedName>
    <definedName name="ma3.240">#REF!</definedName>
    <definedName name="Ma3pnc">"$#REF!.$G$30"</definedName>
    <definedName name="Ma3pvl">"$#REF!.$G$27"</definedName>
    <definedName name="Maa3pnc">"$#REF!.$G$15"</definedName>
    <definedName name="Maa3pvl">"$#REF!.$G$12"</definedName>
    <definedName name="mabor">#REF!</definedName>
    <definedName name="Macadam">#REF!</definedName>
    <definedName name="madat">#REF!</definedName>
    <definedName name="mager">#REF!</definedName>
    <definedName name="magersel">#REF!</definedName>
    <definedName name="magne">#REF!</definedName>
    <definedName name="MAHKOTAGRC">#REF!</definedName>
    <definedName name="Mahony">#REF!</definedName>
    <definedName name="MAINTENANCE">#REF!</definedName>
    <definedName name="makan">#REF!</definedName>
    <definedName name="make">#REF!</definedName>
    <definedName name="MAL">#REF!</definedName>
    <definedName name="Malat">#REF!</definedName>
    <definedName name="malat_6">#REF!</definedName>
    <definedName name="man">#REF!</definedName>
    <definedName name="MAND">#REF!</definedName>
    <definedName name="mand_6">#REF!</definedName>
    <definedName name="Mandor">#REF!</definedName>
    <definedName name="MANDOR_23">#REF!</definedName>
    <definedName name="MANDOR_25">#REF!</definedName>
    <definedName name="MANGGARAI">"$#REF!.$AL$4:$AL$347"</definedName>
    <definedName name="Manggis">#REF!</definedName>
    <definedName name="manhole">#REF!</definedName>
    <definedName name="manhole60x100">#REF!</definedName>
    <definedName name="manhole60x60">#REF!</definedName>
    <definedName name="manpower">#REF!</definedName>
    <definedName name="manusia">#REF!</definedName>
    <definedName name="mar">#REF!</definedName>
    <definedName name="MARGA2">#REF!</definedName>
    <definedName name="margaluyu">#REF!</definedName>
    <definedName name="MarginLOCAL">#REF!</definedName>
    <definedName name="mark_up">#REF!</definedName>
    <definedName name="Mark_UpA">#REF!</definedName>
    <definedName name="Mark_UpB">#REF!</definedName>
    <definedName name="Marka">#REF!</definedName>
    <definedName name="MARKUP">#REF!</definedName>
    <definedName name="Markup_Pek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#REF!</definedName>
    <definedName name="marmer.solid">#REF!</definedName>
    <definedName name="marmer40x40">#REF!</definedName>
    <definedName name="marmer60ddbasah">#REF!</definedName>
    <definedName name="marmer60x60">#REF!</definedName>
    <definedName name="marmeralam">#REF!</definedName>
    <definedName name="MARMERD">#REF!</definedName>
    <definedName name="MARMERL">#REF!</definedName>
    <definedName name="marmerml">#REF!</definedName>
    <definedName name="Martl">#REF!</definedName>
    <definedName name="MAS">#REF!</definedName>
    <definedName name="MAS.01">#REF!</definedName>
    <definedName name="MAS.01B">#REF!</definedName>
    <definedName name="MAS.01G">#REF!</definedName>
    <definedName name="MAS.02">#REF!</definedName>
    <definedName name="MAS.02B">#REF!</definedName>
    <definedName name="MAS.02G">#REF!</definedName>
    <definedName name="MAS.03">#REF!</definedName>
    <definedName name="MAS.03B">#REF!</definedName>
    <definedName name="MAS.03G">#REF!</definedName>
    <definedName name="MAS.04">#REF!</definedName>
    <definedName name="MAS.04B">#REF!</definedName>
    <definedName name="MAS.04G">#REF!</definedName>
    <definedName name="MAS.05">#REF!</definedName>
    <definedName name="MAS.05B">#REF!</definedName>
    <definedName name="MAS.05G">#REF!</definedName>
    <definedName name="MAS.06">#REF!</definedName>
    <definedName name="MAS.06B">#REF!</definedName>
    <definedName name="MAS.06G">#REF!</definedName>
    <definedName name="MAS.07">#REF!</definedName>
    <definedName name="MAS.07B">#REF!</definedName>
    <definedName name="MAS.07G">#REF!</definedName>
    <definedName name="MAS.08">#REF!</definedName>
    <definedName name="MAS.08B">#REF!</definedName>
    <definedName name="MAS.08G">#REF!</definedName>
    <definedName name="MAS.09">#REF!</definedName>
    <definedName name="MAS.09B">#REF!</definedName>
    <definedName name="MAS.09G">#REF!</definedName>
    <definedName name="MAS.10">#REF!</definedName>
    <definedName name="MAS.10B">#REF!</definedName>
    <definedName name="MAS.10G">#REF!</definedName>
    <definedName name="MAS.11">#REF!</definedName>
    <definedName name="MAS.11B">#REF!</definedName>
    <definedName name="MAS.11G">#REF!</definedName>
    <definedName name="MAS.12">#REF!</definedName>
    <definedName name="MAS.12B">#REF!</definedName>
    <definedName name="MAS.12G">#REF!</definedName>
    <definedName name="MAS.13">#REF!</definedName>
    <definedName name="MAS.13B">#REF!</definedName>
    <definedName name="MAS.13G">#REF!</definedName>
    <definedName name="masjid">#REF!</definedName>
    <definedName name="MAT">#REF!</definedName>
    <definedName name="MAT.01">#REF!</definedName>
    <definedName name="MAT.01B">#REF!</definedName>
    <definedName name="MAT.01G">#REF!</definedName>
    <definedName name="MAT.02">#REF!</definedName>
    <definedName name="MAT.02B">#REF!</definedName>
    <definedName name="MAT.02G">#REF!</definedName>
    <definedName name="MAT.03">#REF!</definedName>
    <definedName name="MAT.03B">#REF!</definedName>
    <definedName name="MAT.03G">#REF!</definedName>
    <definedName name="MAT.04">#REF!</definedName>
    <definedName name="MAT.04B">#REF!</definedName>
    <definedName name="MAT.04G">#REF!</definedName>
    <definedName name="MAT.05">#REF!</definedName>
    <definedName name="MAT.05B">#REF!</definedName>
    <definedName name="MAT.05G">#REF!</definedName>
    <definedName name="MAT.06">#REF!</definedName>
    <definedName name="MAT.06B">#REF!</definedName>
    <definedName name="MAT.06G">#REF!</definedName>
    <definedName name="MAT.07">#REF!</definedName>
    <definedName name="MAT.07B">#REF!</definedName>
    <definedName name="MAT.07G">#REF!</definedName>
    <definedName name="MAT.08">#REF!</definedName>
    <definedName name="MAT.08B">#REF!</definedName>
    <definedName name="MAT.08G">#REF!</definedName>
    <definedName name="MAT.09">#REF!</definedName>
    <definedName name="MAT.09B">#REF!</definedName>
    <definedName name="MAT.09G">#REF!</definedName>
    <definedName name="MAT.10">#REF!</definedName>
    <definedName name="MAT.10B">#REF!</definedName>
    <definedName name="MAT.10G">#REF!</definedName>
    <definedName name="MAT.11">#REF!</definedName>
    <definedName name="MAT.11B">#REF!</definedName>
    <definedName name="MAT.11G">#REF!</definedName>
    <definedName name="MAT.12">#REF!</definedName>
    <definedName name="MAT.12B">#REF!</definedName>
    <definedName name="MAT.12G">#REF!</definedName>
    <definedName name="MAT.13">#REF!</definedName>
    <definedName name="MAT.13B">#REF!</definedName>
    <definedName name="MAT.13G">#REF!</definedName>
    <definedName name="MAT.14">#REF!</definedName>
    <definedName name="MAT.14B">#REF!</definedName>
    <definedName name="MAT.14G">#REF!</definedName>
    <definedName name="MAT.15">#REF!</definedName>
    <definedName name="MAT.15B">#REF!</definedName>
    <definedName name="MAT.15G">#REF!</definedName>
    <definedName name="MAT.16">#REF!</definedName>
    <definedName name="MAT.16B">#REF!</definedName>
    <definedName name="MAT.16G">#REF!</definedName>
    <definedName name="MAT.17">#REF!</definedName>
    <definedName name="MAT.17B">#REF!</definedName>
    <definedName name="MAT.17G">#REF!</definedName>
    <definedName name="MAT.18">#REF!</definedName>
    <definedName name="MAT.18B">#REF!</definedName>
    <definedName name="MAT.18G">#REF!</definedName>
    <definedName name="mata">#REF!</definedName>
    <definedName name="Mata_bor">#REF!</definedName>
    <definedName name="Mata_gergaji">#REF!</definedName>
    <definedName name="MATERIAL">#REF!</definedName>
    <definedName name="MATERIAL_BANTU__BESI_SIKU">#REF!</definedName>
    <definedName name="Material_List">#REF!</definedName>
    <definedName name="matger">#REF!</definedName>
    <definedName name="matl">#REF!</definedName>
    <definedName name="matlaut">#REF!</definedName>
    <definedName name="matras">#REF!</definedName>
    <definedName name="matrix">#REF!</definedName>
    <definedName name="MATV">#REF!</definedName>
    <definedName name="MAX">#REF!</definedName>
    <definedName name="MB">#REF!</definedName>
    <definedName name="Mba1p">"$#REF!.$I$290"</definedName>
    <definedName name="Mba3p">"$#REF!.$I$110"</definedName>
    <definedName name="mbak">#REF!</definedName>
    <definedName name="Mbb3p">"$#REF!.$H$110"</definedName>
    <definedName name="MBCW420JS516STD">#REF!</definedName>
    <definedName name="MBEK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tm">#REF!</definedName>
    <definedName name="mbi">#REF!</definedName>
    <definedName name="MBK.01">#REF!</definedName>
    <definedName name="MBK.01B">#REF!</definedName>
    <definedName name="MBK.01G">#REF!</definedName>
    <definedName name="MBK.02">#REF!</definedName>
    <definedName name="MBK.02B">#REF!</definedName>
    <definedName name="MBK.02G">#REF!</definedName>
    <definedName name="MBK.03">#REF!</definedName>
    <definedName name="MBK.03B">#REF!</definedName>
    <definedName name="MBK.03G">#REF!</definedName>
    <definedName name="MBK.04">#REF!</definedName>
    <definedName name="MBK.04B">#REF!</definedName>
    <definedName name="MBK.04G">#REF!</definedName>
    <definedName name="MBK.05">#REF!</definedName>
    <definedName name="MBK.05B">#REF!</definedName>
    <definedName name="MBK.05G">#REF!</definedName>
    <definedName name="MBK.06">#REF!</definedName>
    <definedName name="MBK.06B">#REF!</definedName>
    <definedName name="MBK.06G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09">#REF!</definedName>
    <definedName name="MBK.09B">#REF!</definedName>
    <definedName name="MBK.09G">#REF!</definedName>
    <definedName name="MBK.10">#REF!</definedName>
    <definedName name="MBK.10B">#REF!</definedName>
    <definedName name="MBK.10G">#REF!</definedName>
    <definedName name="MBK.11">#REF!</definedName>
    <definedName name="MBK.11B">#REF!</definedName>
    <definedName name="MBK.11G">#REF!</definedName>
    <definedName name="Mbksn">#REF!</definedName>
    <definedName name="Mblkl">#REF!</definedName>
    <definedName name="mbm">#REF!</definedName>
    <definedName name="Mbn1p">"$#REF!.$L$290"</definedName>
    <definedName name="mbnc">NA()</definedName>
    <definedName name="mbp">#REF!</definedName>
    <definedName name="Mbpsr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.04">#REF!</definedName>
    <definedName name="MBR.04B">#REF!</definedName>
    <definedName name="MBR.04G">#REF!</definedName>
    <definedName name="MBR.05">#REF!</definedName>
    <definedName name="MBR.05B">#REF!</definedName>
    <definedName name="MBR.05G">#REF!</definedName>
    <definedName name="MBR.06">#REF!</definedName>
    <definedName name="MBR.06B">#REF!</definedName>
    <definedName name="MBR.06G">#REF!</definedName>
    <definedName name="MBR.07">#REF!</definedName>
    <definedName name="MBR.07B">#REF!</definedName>
    <definedName name="MBR.07G">#REF!</definedName>
    <definedName name="MBR.08">#REF!</definedName>
    <definedName name="MBR.08B">#REF!</definedName>
    <definedName name="MBR.08G">#REF!</definedName>
    <definedName name="MBR.09">#REF!</definedName>
    <definedName name="MBR.09B">#REF!</definedName>
    <definedName name="MBR.09G">#REF!</definedName>
    <definedName name="MBR.10">#REF!</definedName>
    <definedName name="MBR.10B">#REF!</definedName>
    <definedName name="MBR.10G">#REF!</definedName>
    <definedName name="MBR.11">#REF!</definedName>
    <definedName name="MBR.11B">#REF!</definedName>
    <definedName name="MBR.11G">#REF!</definedName>
    <definedName name="MBR.12">#REF!</definedName>
    <definedName name="MBR.12B">#REF!</definedName>
    <definedName name="MBR.12G">#REF!</definedName>
    <definedName name="MBR.13">#REF!</definedName>
    <definedName name="MBR.13B">#REF!</definedName>
    <definedName name="MBR.13G">#REF!</definedName>
    <definedName name="MBR.14">#REF!</definedName>
    <definedName name="MBR.14B">#REF!</definedName>
    <definedName name="MBR.14G">#REF!</definedName>
    <definedName name="MBR.15">#REF!</definedName>
    <definedName name="MBR.15B">#REF!</definedName>
    <definedName name="MBR.15G">#REF!</definedName>
    <definedName name="MBR.16">#REF!</definedName>
    <definedName name="MBR.16B">#REF!</definedName>
    <definedName name="MBR.16G">#REF!</definedName>
    <definedName name="MBR.17">#REF!</definedName>
    <definedName name="MBR.17B">#REF!</definedName>
    <definedName name="MBR.17G">#REF!</definedName>
    <definedName name="MBR.18">#REF!</definedName>
    <definedName name="MBR.18B">#REF!</definedName>
    <definedName name="MBR.18G">#REF!</definedName>
    <definedName name="MBR.19">#REF!</definedName>
    <definedName name="MBR.19B">#REF!</definedName>
    <definedName name="MBR.19G">#REF!</definedName>
    <definedName name="MBR.20">#REF!</definedName>
    <definedName name="MBR.20B">#REF!</definedName>
    <definedName name="MBR.20G">#REF!</definedName>
    <definedName name="mbrav">#REF!</definedName>
    <definedName name="MBT.01">#REF!</definedName>
    <definedName name="MBT.01B">#REF!</definedName>
    <definedName name="MBT.01G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7">#REF!</definedName>
    <definedName name="MBT.07B">#REF!</definedName>
    <definedName name="MBT.07G">#REF!</definedName>
    <definedName name="MBT.08">#REF!</definedName>
    <definedName name="MBT.08B">#REF!</definedName>
    <definedName name="MBT.08G">#REF!</definedName>
    <definedName name="MBT.09">#REF!</definedName>
    <definedName name="MBT.09B">#REF!</definedName>
    <definedName name="MBT.09G">#REF!</definedName>
    <definedName name="MBT.10">#REF!</definedName>
    <definedName name="MBT.10B">#REF!</definedName>
    <definedName name="MBT.10G">#REF!</definedName>
    <definedName name="MBT.11">#REF!</definedName>
    <definedName name="MBT.11B">#REF!</definedName>
    <definedName name="MBT.11G">#REF!</definedName>
    <definedName name="MBT.12">#REF!</definedName>
    <definedName name="MBT.12B">#REF!</definedName>
    <definedName name="MBT.12G">#REF!</definedName>
    <definedName name="MBT.13">#REF!</definedName>
    <definedName name="MBT.13B">#REF!</definedName>
    <definedName name="MBT.13G">#REF!</definedName>
    <definedName name="MBT.14">#REF!</definedName>
    <definedName name="MBT.14B">#REF!</definedName>
    <definedName name="MBT.14G">#REF!</definedName>
    <definedName name="MBT.15">#REF!</definedName>
    <definedName name="MBT.15B">#REF!</definedName>
    <definedName name="MBT.15G">#REF!</definedName>
    <definedName name="MBT.16">#REF!</definedName>
    <definedName name="MBT.16B">#REF!</definedName>
    <definedName name="MBT.16G">#REF!</definedName>
    <definedName name="MBT.17">#REF!</definedName>
    <definedName name="MBT.17B">#REF!</definedName>
    <definedName name="MBT.17G">#REF!</definedName>
    <definedName name="MBT.18">#REF!</definedName>
    <definedName name="MBT.18B">#REF!</definedName>
    <definedName name="MBT.18G">#REF!</definedName>
    <definedName name="MBT.19">#REF!</definedName>
    <definedName name="MBT.19B">#REF!</definedName>
    <definedName name="MBT.19G">#REF!</definedName>
    <definedName name="MBT.20">#REF!</definedName>
    <definedName name="MBT.20B">#REF!</definedName>
    <definedName name="MBT.20G">#REF!</definedName>
    <definedName name="MBT.21">#REF!</definedName>
    <definedName name="MBT.21B">#REF!</definedName>
    <definedName name="MBT.21G">#REF!</definedName>
    <definedName name="MBT.22">#REF!</definedName>
    <definedName name="MBT.22B">#REF!</definedName>
    <definedName name="MBT.22G">#REF!</definedName>
    <definedName name="mbtn">#REF!</definedName>
    <definedName name="mbttemp">#REF!</definedName>
    <definedName name="MBU">#REF!</definedName>
    <definedName name="mbvl">NA()</definedName>
    <definedName name="MBW.01">#REF!</definedName>
    <definedName name="MBW.01B">#REF!</definedName>
    <definedName name="MBW.01G">#REF!</definedName>
    <definedName name="MBW.02">#REF!</definedName>
    <definedName name="MBW.02B">#REF!</definedName>
    <definedName name="MBW.02G">#REF!</definedName>
    <definedName name="MBW.03">#REF!</definedName>
    <definedName name="MBW.03B">#REF!</definedName>
    <definedName name="MBW.03G">#REF!</definedName>
    <definedName name="MBW.04">#REF!</definedName>
    <definedName name="MBW.04B">#REF!</definedName>
    <definedName name="MBW.04G">#REF!</definedName>
    <definedName name="MBW.05">#REF!</definedName>
    <definedName name="MBW.05B">#REF!</definedName>
    <definedName name="MBW.05G">#REF!</definedName>
    <definedName name="MBW.06">#REF!</definedName>
    <definedName name="MBW.06B">#REF!</definedName>
    <definedName name="MBW.06G">#REF!</definedName>
    <definedName name="MBW.07">#REF!</definedName>
    <definedName name="MBW.07B">#REF!</definedName>
    <definedName name="MBW.07G">#REF!</definedName>
    <definedName name="MBW.08">#REF!</definedName>
    <definedName name="MBW.08B">#REF!</definedName>
    <definedName name="MBW.08G">#REF!</definedName>
    <definedName name="MBW.09">#REF!</definedName>
    <definedName name="MBW.09B">#REF!</definedName>
    <definedName name="MBW.09G">#REF!</definedName>
    <definedName name="MBW.10">#REF!</definedName>
    <definedName name="MBW.10B">#REF!</definedName>
    <definedName name="MBW.10G">#REF!</definedName>
    <definedName name="MBW.11">#REF!</definedName>
    <definedName name="MBW.11B">#REF!</definedName>
    <definedName name="MBW.11G">#REF!</definedName>
    <definedName name="MBW.12">#REF!</definedName>
    <definedName name="MBW.12B">#REF!</definedName>
    <definedName name="MBW.12G">#REF!</definedName>
    <definedName name="MBW.13">#REF!</definedName>
    <definedName name="MBW.13B">#REF!</definedName>
    <definedName name="MBW.13G">#REF!</definedName>
    <definedName name="MBW.14">#REF!</definedName>
    <definedName name="MBW.14B">#REF!</definedName>
    <definedName name="MBW.14G">#REF!</definedName>
    <definedName name="MBW.15">#REF!</definedName>
    <definedName name="MBW.15B">#REF!</definedName>
    <definedName name="MBW.15G">#REF!</definedName>
    <definedName name="MBW.16">#REF!</definedName>
    <definedName name="MBW.16B">#REF!</definedName>
    <definedName name="MBW.16G">#REF!</definedName>
    <definedName name="MBW.17">#REF!</definedName>
    <definedName name="MBW.17B">#REF!</definedName>
    <definedName name="MBW.17G">#REF!</definedName>
    <definedName name="MBW.18">#REF!</definedName>
    <definedName name="MBW.18B">#REF!</definedName>
    <definedName name="MBW.18G">#REF!</definedName>
    <definedName name="MBW.19">#REF!</definedName>
    <definedName name="MBW.19B">#REF!</definedName>
    <definedName name="MBW.19G">#REF!</definedName>
    <definedName name="MBW.20">#REF!</definedName>
    <definedName name="MBW.20B">#REF!</definedName>
    <definedName name="MBW.20G">#REF!</definedName>
    <definedName name="MBW.21">#REF!</definedName>
    <definedName name="MBW.21B">#REF!</definedName>
    <definedName name="MBW.21G">#REF!</definedName>
    <definedName name="MBW.22">#REF!</definedName>
    <definedName name="MBW.22B">#REF!</definedName>
    <definedName name="MBW.22G">#REF!</definedName>
    <definedName name="MBW.23">#REF!</definedName>
    <definedName name="MBW.23B">#REF!</definedName>
    <definedName name="MBW.23G">#REF!</definedName>
    <definedName name="MBW.24">#REF!</definedName>
    <definedName name="MBW.24B">#REF!</definedName>
    <definedName name="MBW.24G">#REF!</definedName>
    <definedName name="MBW.25">#REF!</definedName>
    <definedName name="MBW.25B">#REF!</definedName>
    <definedName name="MBW.25G">#REF!</definedName>
    <definedName name="MBW.26">#REF!</definedName>
    <definedName name="MBW.26B">#REF!</definedName>
    <definedName name="MBW.26G">#REF!</definedName>
    <definedName name="MBW.27">#REF!</definedName>
    <definedName name="MBW.27B">#REF!</definedName>
    <definedName name="MBW.27G">#REF!</definedName>
    <definedName name="MBW.28">#REF!</definedName>
    <definedName name="MBW.28B">#REF!</definedName>
    <definedName name="MBW.28G">#REF!</definedName>
    <definedName name="MBW.29">#REF!</definedName>
    <definedName name="MBW.29B">#REF!</definedName>
    <definedName name="MBW.29G">#REF!</definedName>
    <definedName name="MBW.30">#REF!</definedName>
    <definedName name="MBW.30B">#REF!</definedName>
    <definedName name="MBW.30G">#REF!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.4">#REF!</definedName>
    <definedName name="mcb.6">#REF!</definedName>
    <definedName name="MCB1P">#REF!</definedName>
    <definedName name="MCB3P">#REF!</definedName>
    <definedName name="mccb.250">#REF!</definedName>
    <definedName name="mccb.80">#REF!</definedName>
    <definedName name="mcfa">#REF!</definedName>
    <definedName name="mci_1515">#REF!</definedName>
    <definedName name="mci_88">#REF!</definedName>
    <definedName name="mcian">#REF!</definedName>
    <definedName name="mcp">#REF!</definedName>
    <definedName name="mcs">#REF!</definedName>
    <definedName name="MCT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">#REF!</definedName>
    <definedName name="MCT.07B">#REF!</definedName>
    <definedName name="MCT.07G">#REF!</definedName>
    <definedName name="MCT.08">#REF!</definedName>
    <definedName name="MCT.08B">#REF!</definedName>
    <definedName name="MCT.08G">#REF!</definedName>
    <definedName name="MCT.09">#REF!</definedName>
    <definedName name="MCT.09B">#REF!</definedName>
    <definedName name="MCT.09G">#REF!</definedName>
    <definedName name="MCT.10">#REF!</definedName>
    <definedName name="MCT.10B">#REF!</definedName>
    <definedName name="MCT.10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3">#REF!</definedName>
    <definedName name="MCT.13B">#REF!</definedName>
    <definedName name="MCT.13G">#REF!</definedName>
    <definedName name="MCT.14">#REF!</definedName>
    <definedName name="MCT.14B">#REF!</definedName>
    <definedName name="MCT.14G">#REF!</definedName>
    <definedName name="MCT.15">#REF!</definedName>
    <definedName name="MCT.15B">#REF!</definedName>
    <definedName name="MCT.15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18">#REF!</definedName>
    <definedName name="MCT.18B">#REF!</definedName>
    <definedName name="MCT.18G">#REF!</definedName>
    <definedName name="MCT.19">#REF!</definedName>
    <definedName name="MCT.19B">#REF!</definedName>
    <definedName name="MCT.19G">#REF!</definedName>
    <definedName name="MCT.20">#REF!</definedName>
    <definedName name="MCT.20B">#REF!</definedName>
    <definedName name="MCT.20G">#REF!</definedName>
    <definedName name="MCT.21">#REF!</definedName>
    <definedName name="MCT.21B">#REF!</definedName>
    <definedName name="MCT.21G">#REF!</definedName>
    <definedName name="MCT.22">#REF!</definedName>
    <definedName name="MCT.22B">#REF!</definedName>
    <definedName name="MCT.22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CT.26">#REF!</definedName>
    <definedName name="MCT.26B">#REF!</definedName>
    <definedName name="MCT.26G">#REF!</definedName>
    <definedName name="md">#REF!</definedName>
    <definedName name="mde">#REF!</definedName>
    <definedName name="mdffa">#REF!</definedName>
    <definedName name="mdfts">#REF!</definedName>
    <definedName name="MDP">#REF!</definedName>
    <definedName name="mdr">#REF!</definedName>
    <definedName name="ME">#REF!</definedName>
    <definedName name="me_by_owner">#REF!</definedName>
    <definedName name="me_fisik">#REF!</definedName>
    <definedName name="mebor">#REF!</definedName>
    <definedName name="mecbm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DIUM_AGGREGATE">#REF!</definedName>
    <definedName name="megatik">#REF!</definedName>
    <definedName name="meger">#REF!</definedName>
    <definedName name="mejabeton.lt.2">#REF!</definedName>
    <definedName name="mejabetonlt.dsr">#REF!</definedName>
    <definedName name="meka">#REF!</definedName>
    <definedName name="mekanik">#REF!</definedName>
    <definedName name="MEKANIKAL">#REF!</definedName>
    <definedName name="mel">"$#REF!.$I$46"</definedName>
    <definedName name="mel.">#REF!</definedName>
    <definedName name="Mela4">#REF!</definedName>
    <definedName name="melamic">#REF!</definedName>
    <definedName name="melamik">#REF!</definedName>
    <definedName name="melamik\nonjasa">#REF!</definedName>
    <definedName name="melaminto">#REF!</definedName>
    <definedName name="melas">#REF!</definedName>
    <definedName name="Melto">#REF!</definedName>
    <definedName name="mem">#REF!</definedName>
    <definedName name="membrane">#REF!</definedName>
    <definedName name="memscreed">#REF!</definedName>
    <definedName name="menara">#REF!</definedName>
    <definedName name="MENI">#REF!</definedName>
    <definedName name="meni.b">#REF!</definedName>
    <definedName name="meni.k">#REF!</definedName>
    <definedName name="meni.kayu">#REF!</definedName>
    <definedName name="menib">#REF!</definedName>
    <definedName name="menib_6">#REF!</definedName>
    <definedName name="Menibesimtmenengah">#REF!</definedName>
    <definedName name="Menik">#REF!</definedName>
    <definedName name="menik_6">#REF!</definedName>
    <definedName name="MENIKAYU">#REF!</definedName>
    <definedName name="menikayumtmenengah">#REF!</definedName>
    <definedName name="menkay">"$#REF!.$G$192"</definedName>
    <definedName name="mep">#REF!</definedName>
    <definedName name="mepo">#REF!</definedName>
    <definedName name="mer">#REF!</definedName>
    <definedName name="merah.1">#REF!</definedName>
    <definedName name="mesger">#REF!</definedName>
    <definedName name="Mesh">#REF!</definedName>
    <definedName name="Mesh4">#REF!</definedName>
    <definedName name="Mesh5">#REF!</definedName>
    <definedName name="Mesh6">#REF!</definedName>
    <definedName name="Mesh9">"$#REF!.$H$151"</definedName>
    <definedName name="Mesin_bor">#REF!</definedName>
    <definedName name="Mesin_gergaji">#REF!</definedName>
    <definedName name="Mesin_las">#REF!</definedName>
    <definedName name="Mesin_Potong_ChainShaw">#REF!</definedName>
    <definedName name="Mesin_potong_plat">#REF!</definedName>
    <definedName name="MESS_JAKARTA">#REF!</definedName>
    <definedName name="MESS_U.PANDANG">#REF!</definedName>
    <definedName name="MESSAGE1">#REF!</definedName>
    <definedName name="metal">#REF!</definedName>
    <definedName name="metal_6">#REF!</definedName>
    <definedName name="metalf">#REF!</definedName>
    <definedName name="METALROOF">#REF!</definedName>
    <definedName name="Metode_Lapisan_Pasir">#REF!</definedName>
    <definedName name="Metode_PapanNama">#REF!</definedName>
    <definedName name="Metode_Pasangan_Batu">#REF!</definedName>
    <definedName name="Metode_Paving_Blok">#REF!</definedName>
    <definedName name="Metode_Plesteran">#REF!</definedName>
    <definedName name="Metode_Timbunan_Batu">#REF!</definedName>
    <definedName name="Metode_Timbunan_Kembali">#REF!</definedName>
    <definedName name="Metode_Timbunan_Sirtu">#REF!</definedName>
    <definedName name="mf">#REF!</definedName>
    <definedName name="mf_28">"'file://SERVER3/har-data/STRUCTURE PRICE OF BQ KOMPAS GRAMEDIA.xls'#$analisa.$#REF!$#REF!"</definedName>
    <definedName name="mf_9">#REF!</definedName>
    <definedName name="mff">#REF!</definedName>
    <definedName name="MFFIT">#REF!</definedName>
    <definedName name="MFFIT1">#REF!</definedName>
    <definedName name="MFVLV">#REF!</definedName>
    <definedName name="MFVLV1">#REF!</definedName>
    <definedName name="MFVLV2">#REF!</definedName>
    <definedName name="MFVLV3">#REF!</definedName>
    <definedName name="mg.3r">#REF!</definedName>
    <definedName name="mg.3r_9">#REF!</definedName>
    <definedName name="mgb">#REF!</definedName>
    <definedName name="mgb_9">#REF!</definedName>
    <definedName name="mgi">#REF!</definedName>
    <definedName name="mgrk">#REF!</definedName>
    <definedName name="mgrk_9">#REF!</definedName>
    <definedName name="mgt">#REF!</definedName>
    <definedName name="mgt_9">#REF!</definedName>
    <definedName name="MIBE">#REF!</definedName>
    <definedName name="mibe1">#REF!</definedName>
    <definedName name="mini_2525">#REF!</definedName>
    <definedName name="Minivibro">#REF!</definedName>
    <definedName name="MINOR">#REF!</definedName>
    <definedName name="minya.c">#REF!</definedName>
    <definedName name="minyak">#REF!</definedName>
    <definedName name="Minyakbekisting">#REF!</definedName>
    <definedName name="minyakcatstd">#REF!</definedName>
    <definedName name="minytan">#REF!</definedName>
    <definedName name="mir">#REF!</definedName>
    <definedName name="MiRes">#REF!</definedName>
    <definedName name="MISC">#REF!</definedName>
    <definedName name="MISC._FEILD_EXP">#REF!</definedName>
    <definedName name="MISC._TEMP">#REF!</definedName>
    <definedName name="MiSol">#REF!</definedName>
    <definedName name="MiTan">#REF!</definedName>
    <definedName name="miwa">#REF!</definedName>
    <definedName name="Mixer">#REF!</definedName>
    <definedName name="mjasa">#REF!</definedName>
    <definedName name="MK">#REF!</definedName>
    <definedName name="MK_9">#REF!</definedName>
    <definedName name="MKC.01">#REF!</definedName>
    <definedName name="MKC.01B">#REF!</definedName>
    <definedName name="MKC.01G">#REF!</definedName>
    <definedName name="MKC.02">#REF!</definedName>
    <definedName name="MKC.02B">#REF!</definedName>
    <definedName name="MKC.02G">#REF!</definedName>
    <definedName name="MKC.03">#REF!</definedName>
    <definedName name="MKC.03B">#REF!</definedName>
    <definedName name="MKC.03G">#REF!</definedName>
    <definedName name="MKC.04">#REF!</definedName>
    <definedName name="MKC.04B">#REF!</definedName>
    <definedName name="MKC.04G">#REF!</definedName>
    <definedName name="MKC.05">#REF!</definedName>
    <definedName name="MKC.05B">#REF!</definedName>
    <definedName name="MKC.05G">#REF!</definedName>
    <definedName name="MKC.06">#REF!</definedName>
    <definedName name="MKC.06B">#REF!</definedName>
    <definedName name="MKC.06G">#REF!</definedName>
    <definedName name="MKC.07">#REF!</definedName>
    <definedName name="MKC.07B">#REF!</definedName>
    <definedName name="MKC.07G">#REF!</definedName>
    <definedName name="MKC.08">#REF!</definedName>
    <definedName name="MKC.08B">#REF!</definedName>
    <definedName name="MKC.08G">#REF!</definedName>
    <definedName name="MKC.09">#REF!</definedName>
    <definedName name="MKC.09B">#REF!</definedName>
    <definedName name="MKC.09G">#REF!</definedName>
    <definedName name="MKC.10">#REF!</definedName>
    <definedName name="MKC.10B">#REF!</definedName>
    <definedName name="MKC.10G">#REF!</definedName>
    <definedName name="MKC.11">#REF!</definedName>
    <definedName name="MKC.11B">#REF!</definedName>
    <definedName name="MKC.11G">#REF!</definedName>
    <definedName name="MKC.12">#REF!</definedName>
    <definedName name="MKC.12B">#REF!</definedName>
    <definedName name="MKC.12G">#REF!</definedName>
    <definedName name="MKC.13">#REF!</definedName>
    <definedName name="MKC.13B">#REF!</definedName>
    <definedName name="MKC.13G">#REF!</definedName>
    <definedName name="MKC.14">#REF!</definedName>
    <definedName name="MKC.14B">#REF!</definedName>
    <definedName name="MKC.14G">#REF!</definedName>
    <definedName name="MKC.15">#REF!</definedName>
    <definedName name="MKC.15B">#REF!</definedName>
    <definedName name="MKC.15G">#REF!</definedName>
    <definedName name="MKC.16">#REF!</definedName>
    <definedName name="MKC.16B">#REF!</definedName>
    <definedName name="MKC.16G">#REF!</definedName>
    <definedName name="mker20">#REF!</definedName>
    <definedName name="mker30">#REF!</definedName>
    <definedName name="mkol15">#REF!</definedName>
    <definedName name="MKP">#REF!</definedName>
    <definedName name="MKP_9">#REF!</definedName>
    <definedName name="MKY.01">#REF!</definedName>
    <definedName name="MKY.01B">#REF!</definedName>
    <definedName name="MKY.01G">#REF!</definedName>
    <definedName name="MKY.02">#REF!</definedName>
    <definedName name="MKY.02B">#REF!</definedName>
    <definedName name="MKY.02G">#REF!</definedName>
    <definedName name="MKY.03">#REF!</definedName>
    <definedName name="MKY.03B">#REF!</definedName>
    <definedName name="MKY.03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7">#REF!</definedName>
    <definedName name="MKY.07B">#REF!</definedName>
    <definedName name="MKY.07G">#REF!</definedName>
    <definedName name="MKY.08">#REF!</definedName>
    <definedName name="MKY.08B">#REF!</definedName>
    <definedName name="MKY.08G">#REF!</definedName>
    <definedName name="MKY.09">#REF!</definedName>
    <definedName name="MKY.09B">#REF!</definedName>
    <definedName name="MKY.09G">#REF!</definedName>
    <definedName name="MKY.10">#REF!</definedName>
    <definedName name="MKY.10B">#REF!</definedName>
    <definedName name="MKY.10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3">#REF!</definedName>
    <definedName name="MKY.13B">#REF!</definedName>
    <definedName name="MKY.13G">#REF!</definedName>
    <definedName name="MKY.14">#REF!</definedName>
    <definedName name="MKY.14B">#REF!</definedName>
    <definedName name="MKY.14G">#REF!</definedName>
    <definedName name="MKY.15">#REF!</definedName>
    <definedName name="MKY.15B">#REF!</definedName>
    <definedName name="MKY.15G">#REF!</definedName>
    <definedName name="MKY.16">#REF!</definedName>
    <definedName name="MKY.16B">#REF!</definedName>
    <definedName name="MKY.16G">#REF!</definedName>
    <definedName name="MKY.17">#REF!</definedName>
    <definedName name="MKY.17B">#REF!</definedName>
    <definedName name="MKY.17G">#REF!</definedName>
    <definedName name="MKY.18">#REF!</definedName>
    <definedName name="MKY.18B">#REF!</definedName>
    <definedName name="MKY.18G">#REF!</definedName>
    <definedName name="MKY.19">#REF!</definedName>
    <definedName name="MKY.19B">#REF!</definedName>
    <definedName name="MKY.19G">#REF!</definedName>
    <definedName name="MKY.20">#REF!</definedName>
    <definedName name="MKY.20B">#REF!</definedName>
    <definedName name="MKY.20G">#REF!</definedName>
    <definedName name="MKY.21">#REF!</definedName>
    <definedName name="MKY.21B">#REF!</definedName>
    <definedName name="MKY.21G">#REF!</definedName>
    <definedName name="MKY.22">#REF!</definedName>
    <definedName name="MKY.22B">#REF!</definedName>
    <definedName name="MKY.22G">#REF!</definedName>
    <definedName name="ML">#REF!</definedName>
    <definedName name="ml_25255">#REF!</definedName>
    <definedName name="ml_25355">#REF!</definedName>
    <definedName name="ml_3.9">#REF!</definedName>
    <definedName name="ml_3.924">#REF!</definedName>
    <definedName name="ml_3011">#REF!</definedName>
    <definedName name="ml_30115">#REF!</definedName>
    <definedName name="ml_30145">#REF!</definedName>
    <definedName name="ml_3015">#REF!</definedName>
    <definedName name="ml_3019">#REF!</definedName>
    <definedName name="ml_3075">#REF!</definedName>
    <definedName name="ml_30800">#REF!</definedName>
    <definedName name="ml_3090">#REF!</definedName>
    <definedName name="ml_4">#REF!</definedName>
    <definedName name="ml_40115">#REF!</definedName>
    <definedName name="ml_4025">#REF!</definedName>
    <definedName name="ml_6.17">#REF!</definedName>
    <definedName name="ml_60">#REF!</definedName>
    <definedName name="ml_60100">#REF!</definedName>
    <definedName name="ml_6011">#REF!</definedName>
    <definedName name="ml_6015">#REF!</definedName>
    <definedName name="ml_6018">#REF!</definedName>
    <definedName name="ml_60195">#REF!</definedName>
    <definedName name="ml_60250">#REF!</definedName>
    <definedName name="ml_60315">#REF!</definedName>
    <definedName name="ml_60335">#REF!</definedName>
    <definedName name="ml_604">#REF!</definedName>
    <definedName name="ml_6042">#REF!</definedName>
    <definedName name="ml_6050">#REF!</definedName>
    <definedName name="ml_60545">#REF!</definedName>
    <definedName name="ML_9">#REF!</definedName>
    <definedName name="mlaker">#REF!</definedName>
    <definedName name="MLasL">#REF!</definedName>
    <definedName name="mlex.w">#REF!</definedName>
    <definedName name="MLL.01">#REF!</definedName>
    <definedName name="MLL.01B">#REF!</definedName>
    <definedName name="MLL.01G">#REF!</definedName>
    <definedName name="MLL.02">#REF!</definedName>
    <definedName name="MLL.02B">#REF!</definedName>
    <definedName name="MLL.02G">#REF!</definedName>
    <definedName name="MLL.03">#REF!</definedName>
    <definedName name="MLL.03B">#REF!</definedName>
    <definedName name="MLL.03G">#REF!</definedName>
    <definedName name="MLL.04">#REF!</definedName>
    <definedName name="MLL.04B">#REF!</definedName>
    <definedName name="MLL.04G">#REF!</definedName>
    <definedName name="MLL.05">#REF!</definedName>
    <definedName name="MLL.05B">#REF!</definedName>
    <definedName name="MLL.05G">#REF!</definedName>
    <definedName name="MLL.06">#REF!</definedName>
    <definedName name="MLL.06B">#REF!</definedName>
    <definedName name="MLL.06G">#REF!</definedName>
    <definedName name="MLL.07">#REF!</definedName>
    <definedName name="MLL.07B">#REF!</definedName>
    <definedName name="MLL.07G">#REF!</definedName>
    <definedName name="MLL.08">#REF!</definedName>
    <definedName name="MLL.08B">#REF!</definedName>
    <definedName name="MLL.08G">#REF!</definedName>
    <definedName name="MLL.09">#REF!</definedName>
    <definedName name="MLL.09B">#REF!</definedName>
    <definedName name="MLL.09G">#REF!</definedName>
    <definedName name="MLL.10">#REF!</definedName>
    <definedName name="MLL.10B">#REF!</definedName>
    <definedName name="MLL.10G">#REF!</definedName>
    <definedName name="MLL.11">#REF!</definedName>
    <definedName name="MLL.11B">#REF!</definedName>
    <definedName name="MLL.11G">#REF!</definedName>
    <definedName name="MLL.12">#REF!</definedName>
    <definedName name="MLL.12B">#REF!</definedName>
    <definedName name="MLL.12G">#REF!</definedName>
    <definedName name="MLL.13">#REF!</definedName>
    <definedName name="MLL.13B">#REF!</definedName>
    <definedName name="MLL.13G">#REF!</definedName>
    <definedName name="MLL.14">#REF!</definedName>
    <definedName name="MLL.14B">#REF!</definedName>
    <definedName name="MLL.14G">#REF!</definedName>
    <definedName name="MLL.15">#REF!</definedName>
    <definedName name="MLL.15B">#REF!</definedName>
    <definedName name="MLL.15G">#REF!</definedName>
    <definedName name="MLL.16">#REF!</definedName>
    <definedName name="MLL.16B">#REF!</definedName>
    <definedName name="MLL.16G">#REF!</definedName>
    <definedName name="MLL.17">#REF!</definedName>
    <definedName name="MLL.17B">#REF!</definedName>
    <definedName name="MLL.17G">#REF!</definedName>
    <definedName name="MLL.18">#REF!</definedName>
    <definedName name="MLL.18B">#REF!</definedName>
    <definedName name="MLL.18G">#REF!</definedName>
    <definedName name="MLL.19">#REF!</definedName>
    <definedName name="MLL.19B">#REF!</definedName>
    <definedName name="MLL.19G">#REF!</definedName>
    <definedName name="MLL.20">#REF!</definedName>
    <definedName name="MLL.20B">#REF!</definedName>
    <definedName name="MLL.20G">#REF!</definedName>
    <definedName name="MLL.21">#REF!</definedName>
    <definedName name="MLL.21B">#REF!</definedName>
    <definedName name="MLL.21G">#REF!</definedName>
    <definedName name="MLL.22">#REF!</definedName>
    <definedName name="MLL.22B">#REF!</definedName>
    <definedName name="MLL.22G">#REF!</definedName>
    <definedName name="MLL.23">#REF!</definedName>
    <definedName name="MLL.23B">#REF!</definedName>
    <definedName name="MLL.23G">#REF!</definedName>
    <definedName name="MLL.24">#REF!</definedName>
    <definedName name="MLL.24B">#REF!</definedName>
    <definedName name="MLL.24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8">#REF!</definedName>
    <definedName name="MLL.28B">#REF!</definedName>
    <definedName name="MLL.28G">#REF!</definedName>
    <definedName name="MLL.29">#REF!</definedName>
    <definedName name="MLL.29B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B">#REF!</definedName>
    <definedName name="MLL.31G">#REF!</definedName>
    <definedName name="MLL.32">#REF!</definedName>
    <definedName name="MLL.32B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7">#REF!</definedName>
    <definedName name="MLL.37B">#REF!</definedName>
    <definedName name="MLL.37G">#REF!</definedName>
    <definedName name="MLL.38">#REF!</definedName>
    <definedName name="MLL.38B">#REF!</definedName>
    <definedName name="MLL.38G">#REF!</definedName>
    <definedName name="MLL.39">#REF!</definedName>
    <definedName name="MLL.39B">#REF!</definedName>
    <definedName name="MLL.39G">#REF!</definedName>
    <definedName name="MLL.40">#REF!</definedName>
    <definedName name="MLL.40B">#REF!</definedName>
    <definedName name="MLL.40G">#REF!</definedName>
    <definedName name="MLL.41">#REF!</definedName>
    <definedName name="MLL.41B">#REF!</definedName>
    <definedName name="MLL.41G">#REF!</definedName>
    <definedName name="MLL.42">#REF!</definedName>
    <definedName name="MLL.42B">#REF!</definedName>
    <definedName name="MLL.42G">#REF!</definedName>
    <definedName name="MLL.43">#REF!</definedName>
    <definedName name="MLL.43B">#REF!</definedName>
    <definedName name="MLL.43G">#REF!</definedName>
    <definedName name="MLL.44">#REF!</definedName>
    <definedName name="MLL.44B">#REF!</definedName>
    <definedName name="MLL.44G">#REF!</definedName>
    <definedName name="MLL.45">#REF!</definedName>
    <definedName name="MLL.45B">#REF!</definedName>
    <definedName name="MLL.45G">#REF!</definedName>
    <definedName name="MLL.46">#REF!</definedName>
    <definedName name="MLL.46B">#REF!</definedName>
    <definedName name="MLL.46G">#REF!</definedName>
    <definedName name="MLL.47">#REF!</definedName>
    <definedName name="MLL.47B">#REF!</definedName>
    <definedName name="MLL.47G">#REF!</definedName>
    <definedName name="MLL.48">#REF!</definedName>
    <definedName name="MLL.48B">#REF!</definedName>
    <definedName name="MLL.48G">#REF!</definedName>
    <definedName name="MLL.49">#REF!</definedName>
    <definedName name="MLL.49B">#REF!</definedName>
    <definedName name="MLL.49G">#REF!</definedName>
    <definedName name="MLL.50">#REF!</definedName>
    <definedName name="MLL.50B">#REF!</definedName>
    <definedName name="MLL.50G">#REF!</definedName>
    <definedName name="MLL.51">#REF!</definedName>
    <definedName name="MLL.51B">#REF!</definedName>
    <definedName name="MLL.51G">#REF!</definedName>
    <definedName name="MLL.52">#REF!</definedName>
    <definedName name="MLL.52B">#REF!</definedName>
    <definedName name="MLL.52G">#REF!</definedName>
    <definedName name="MLL.53">#REF!</definedName>
    <definedName name="MLL.53B">#REF!</definedName>
    <definedName name="MLL.53G">#REF!</definedName>
    <definedName name="MLL.54">#REF!</definedName>
    <definedName name="MLL.54B">#REF!</definedName>
    <definedName name="MLL.54G">#REF!</definedName>
    <definedName name="MLL.55">#REF!</definedName>
    <definedName name="MLL.55B">#REF!</definedName>
    <definedName name="MLL.55G">#REF!</definedName>
    <definedName name="Mlmik">#REF!</definedName>
    <definedName name="MLT.01">#REF!</definedName>
    <definedName name="MLT.01B">#REF!</definedName>
    <definedName name="MLT.01G">#REF!</definedName>
    <definedName name="MLT.02">#REF!</definedName>
    <definedName name="MLT.02B">#REF!</definedName>
    <definedName name="MLT.02G">#REF!</definedName>
    <definedName name="MLT.03">#REF!</definedName>
    <definedName name="MLT.03B">#REF!</definedName>
    <definedName name="MLT.03G">#REF!</definedName>
    <definedName name="MLT.04">#REF!</definedName>
    <definedName name="MLT.04B">#REF!</definedName>
    <definedName name="MLT.04G">#REF!</definedName>
    <definedName name="MLT.05">#REF!</definedName>
    <definedName name="MLT.05B">#REF!</definedName>
    <definedName name="MLT.05G">#REF!</definedName>
    <definedName name="MLT.06">#REF!</definedName>
    <definedName name="MLT.06B">#REF!</definedName>
    <definedName name="MLT.06G">#REF!</definedName>
    <definedName name="MLT.07">#REF!</definedName>
    <definedName name="MLT.07B">#REF!</definedName>
    <definedName name="MLT.07G">#REF!</definedName>
    <definedName name="MLT.08">#REF!</definedName>
    <definedName name="MLT.08B">#REF!</definedName>
    <definedName name="MLT.08G">#REF!</definedName>
    <definedName name="MLT.09">#REF!</definedName>
    <definedName name="MLT.09B">#REF!</definedName>
    <definedName name="MLT.09G">#REF!</definedName>
    <definedName name="MLT.10">#REF!</definedName>
    <definedName name="MLT.10B">#REF!</definedName>
    <definedName name="MLT.10G">#REF!</definedName>
    <definedName name="MLT.11">#REF!</definedName>
    <definedName name="MLT.11B">#REF!</definedName>
    <definedName name="MLT.11G">#REF!</definedName>
    <definedName name="MLT.12">#REF!</definedName>
    <definedName name="MLT.12B">#REF!</definedName>
    <definedName name="MLT.12G">#REF!</definedName>
    <definedName name="MLT.13">#REF!</definedName>
    <definedName name="MLT.13B">#REF!</definedName>
    <definedName name="MLT.13G">#REF!</definedName>
    <definedName name="MLT.14">#REF!</definedName>
    <definedName name="MLT.14B">#REF!</definedName>
    <definedName name="MLT.14G">#REF!</definedName>
    <definedName name="MLT.15">#REF!</definedName>
    <definedName name="MLT.15B">#REF!</definedName>
    <definedName name="MLT.15G">#REF!</definedName>
    <definedName name="MLT.16">#REF!</definedName>
    <definedName name="MLT.16B">#REF!</definedName>
    <definedName name="MLT.16G">#REF!</definedName>
    <definedName name="MLT.17">#REF!</definedName>
    <definedName name="MLT.17B">#REF!</definedName>
    <definedName name="MLT.17G">#REF!</definedName>
    <definedName name="MLT.18">#REF!</definedName>
    <definedName name="MLT.18B">#REF!</definedName>
    <definedName name="MLT.18G">#REF!</definedName>
    <definedName name="MLT.19">#REF!</definedName>
    <definedName name="MLT.19B">#REF!</definedName>
    <definedName name="MLT.19G">#REF!</definedName>
    <definedName name="MLT.20">#REF!</definedName>
    <definedName name="MLT.20B">#REF!</definedName>
    <definedName name="MLT.20G">#REF!</definedName>
    <definedName name="MLT.21">#REF!</definedName>
    <definedName name="MLT.21B">#REF!</definedName>
    <definedName name="MLT.21G">#REF!</definedName>
    <definedName name="MLT.22">#REF!</definedName>
    <definedName name="MLT.22B">#REF!</definedName>
    <definedName name="MLT.22G">#REF!</definedName>
    <definedName name="MLT.23">#REF!</definedName>
    <definedName name="MLT.23B">#REF!</definedName>
    <definedName name="MLT.23G">#REF!</definedName>
    <definedName name="MLT.24">#REF!</definedName>
    <definedName name="MLT.24B">#REF!</definedName>
    <definedName name="MLT.24G">#REF!</definedName>
    <definedName name="MLT.25">#REF!</definedName>
    <definedName name="MLT.25B">#REF!</definedName>
    <definedName name="MLT.25G">#REF!</definedName>
    <definedName name="MLT.26">#REF!</definedName>
    <definedName name="MLT.26B">#REF!</definedName>
    <definedName name="MLT.26G">#REF!</definedName>
    <definedName name="MLT.27">#REF!</definedName>
    <definedName name="MLT.27B">#REF!</definedName>
    <definedName name="MLT.27G">#REF!</definedName>
    <definedName name="MLT.28">#REF!</definedName>
    <definedName name="MLT.28B">#REF!</definedName>
    <definedName name="MLT.28G">#REF!</definedName>
    <definedName name="MLT.29">#REF!</definedName>
    <definedName name="MLT.29B">#REF!</definedName>
    <definedName name="MLT.29G">#REF!</definedName>
    <definedName name="MLT.30">#REF!</definedName>
    <definedName name="MLT.30B">#REF!</definedName>
    <definedName name="MLT.30G">#REF!</definedName>
    <definedName name="MLT.31">#REF!</definedName>
    <definedName name="MLT.31B">#REF!</definedName>
    <definedName name="MLT.31G">#REF!</definedName>
    <definedName name="MLT.32">#REF!</definedName>
    <definedName name="MLT.32B">#REF!</definedName>
    <definedName name="MLT.32G">#REF!</definedName>
    <definedName name="MLT.33">#REF!</definedName>
    <definedName name="MLT.33B">#REF!</definedName>
    <definedName name="MLT.33G">#REF!</definedName>
    <definedName name="MLT.34">#REF!</definedName>
    <definedName name="MLT.34B">#REF!</definedName>
    <definedName name="MLT.34G">#REF!</definedName>
    <definedName name="MLT.35">#REF!</definedName>
    <definedName name="MLT.35B">#REF!</definedName>
    <definedName name="MLT.35G">#REF!</definedName>
    <definedName name="MLT.36">#REF!</definedName>
    <definedName name="MLT.36B">#REF!</definedName>
    <definedName name="MLT.36G">#REF!</definedName>
    <definedName name="MLT.37">#REF!</definedName>
    <definedName name="MLT.37B">#REF!</definedName>
    <definedName name="MLT.37G">#REF!</definedName>
    <definedName name="MLT.38">#REF!</definedName>
    <definedName name="MLT.38B">#REF!</definedName>
    <definedName name="MLT.38G">#REF!</definedName>
    <definedName name="mm">#REF!</definedName>
    <definedName name="mm_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">NA()</definedName>
    <definedName name="MMM_6">#REF!</definedName>
    <definedName name="MMM17A">#REF!</definedName>
    <definedName name="MMM35A">#REF!</definedName>
    <definedName name="MMM39B">#REF!</definedName>
    <definedName name="MmrCt">#REF!</definedName>
    <definedName name="MmrLp">#REF!</definedName>
    <definedName name="MmrSt">#REF!</definedName>
    <definedName name="mnm">#REF!</definedName>
    <definedName name="mnp">#REF!</definedName>
    <definedName name="mob">#REF!</definedName>
    <definedName name="mobdemobtp">#REF!</definedName>
    <definedName name="MOBILISASI">#REF!</definedName>
    <definedName name="Mobilization">#REF!</definedName>
    <definedName name="mobtp">#REF!</definedName>
    <definedName name="model">#REF!</definedName>
    <definedName name="modul">#REF!</definedName>
    <definedName name="molen">#REF!</definedName>
    <definedName name="mona">#REF!</definedName>
    <definedName name="mona100">"$#REF!.$G$201"</definedName>
    <definedName name="Mona3060">"$#REF!.$G$199"</definedName>
    <definedName name="mona6060">"$#REF!.$G$200"</definedName>
    <definedName name="monalisa">"$#REF!.$K$5364"</definedName>
    <definedName name="MOOI">#REF!</definedName>
    <definedName name="mor">#REF!</definedName>
    <definedName name="morandowarna">#REF!</definedName>
    <definedName name="morgls">#REF!</definedName>
    <definedName name="mortalMU">#REF!</definedName>
    <definedName name="mortar13">"'file://SERVER3/har-data/STRUCTURE PRICE OF BQ KOMPAS GRAMEDIA.xls'#$analisa.$#REF!$#REF!"</definedName>
    <definedName name="MOS_Bekisting">#REF!</definedName>
    <definedName name="Motor_Grader">#REF!</definedName>
    <definedName name="mow">#REF!</definedName>
    <definedName name="mowi.w.shield">#REF!</definedName>
    <definedName name="mowi.ws">#REF!</definedName>
    <definedName name="moz">#REF!</definedName>
    <definedName name="MP">#REF!</definedName>
    <definedName name="mp.182">#REF!</definedName>
    <definedName name="mp.182_9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#REF!</definedName>
    <definedName name="MP_422">#REF!</definedName>
    <definedName name="MP_424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8">#REF!</definedName>
    <definedName name="MP_731">#REF!</definedName>
    <definedName name="MP_734">#REF!</definedName>
    <definedName name="MP_811">#REF!</definedName>
    <definedName name="MP_8111">#REF!</definedName>
    <definedName name="MP_812">#REF!</definedName>
    <definedName name="MP_813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1_6">#REF!</definedName>
    <definedName name="mp1x25">NA()</definedName>
    <definedName name="mpa">#REF!</definedName>
    <definedName name="mpan">#REF!</definedName>
    <definedName name="mpasbk5">#REF!</definedName>
    <definedName name="mpasbm3">#REF!</definedName>
    <definedName name="mpasbm5">#REF!</definedName>
    <definedName name="mpb">#REF!</definedName>
    <definedName name="mpl">#REF!</definedName>
    <definedName name="MPL.01">#REF!</definedName>
    <definedName name="MPL.01B">#REF!</definedName>
    <definedName name="MPL.01G">#REF!</definedName>
    <definedName name="MPL.02">#REF!</definedName>
    <definedName name="MPL.02B">#REF!</definedName>
    <definedName name="MPL.02G">#REF!</definedName>
    <definedName name="MPL.03">#REF!</definedName>
    <definedName name="MPL.03B">#REF!</definedName>
    <definedName name="MPL.03G">#REF!</definedName>
    <definedName name="MPL.04">#REF!</definedName>
    <definedName name="MPL.04B">#REF!</definedName>
    <definedName name="MPL.04G">#REF!</definedName>
    <definedName name="MPL.05">#REF!</definedName>
    <definedName name="MPL.05B">#REF!</definedName>
    <definedName name="MPL.05G">#REF!</definedName>
    <definedName name="MPL.06">#REF!</definedName>
    <definedName name="MPL.06B">#REF!</definedName>
    <definedName name="MPL.06G">#REF!</definedName>
    <definedName name="MPL.07">#REF!</definedName>
    <definedName name="MPL.07B">#REF!</definedName>
    <definedName name="MPL.07G">#REF!</definedName>
    <definedName name="MPL.08">#REF!</definedName>
    <definedName name="MPL.08B">#REF!</definedName>
    <definedName name="MPL.08G">#REF!</definedName>
    <definedName name="MPL.09">#REF!</definedName>
    <definedName name="MPL.09B">#REF!</definedName>
    <definedName name="MPL.09G">#REF!</definedName>
    <definedName name="MPL.10">#REF!</definedName>
    <definedName name="MPL.10B">#REF!</definedName>
    <definedName name="MPL.10G">#REF!</definedName>
    <definedName name="MPL.11">#REF!</definedName>
    <definedName name="MPL.11B">#REF!</definedName>
    <definedName name="MPL.11G">#REF!</definedName>
    <definedName name="MPL.12">#REF!</definedName>
    <definedName name="MPL.12B">#REF!</definedName>
    <definedName name="MPL.12G">#REF!</definedName>
    <definedName name="MPL.13">#REF!</definedName>
    <definedName name="MPL.13B">#REF!</definedName>
    <definedName name="MPL.13G">#REF!</definedName>
    <definedName name="MPL.14">#REF!</definedName>
    <definedName name="MPL.14B">#REF!</definedName>
    <definedName name="MPL.14G">#REF!</definedName>
    <definedName name="MPL.15">#REF!</definedName>
    <definedName name="MPL.15B">#REF!</definedName>
    <definedName name="MPL.15G">#REF!</definedName>
    <definedName name="MPL.16">#REF!</definedName>
    <definedName name="MPL.16B">#REF!</definedName>
    <definedName name="MPL.16G">#REF!</definedName>
    <definedName name="MPL.17">#REF!</definedName>
    <definedName name="MPL.17B">#REF!</definedName>
    <definedName name="MPL.17G">#REF!</definedName>
    <definedName name="MPL.18">#REF!</definedName>
    <definedName name="MPL.18B">#REF!</definedName>
    <definedName name="MPL.18G">#REF!</definedName>
    <definedName name="MPL.19">#REF!</definedName>
    <definedName name="MPL.19B">#REF!</definedName>
    <definedName name="MPL.19G">#REF!</definedName>
    <definedName name="MPL.20">#REF!</definedName>
    <definedName name="MPL.20B">#REF!</definedName>
    <definedName name="MPL.20G">#REF!</definedName>
    <definedName name="MPL.21">#REF!</definedName>
    <definedName name="MPL.21B">#REF!</definedName>
    <definedName name="MPL.21G">#REF!</definedName>
    <definedName name="MPL.22">#REF!</definedName>
    <definedName name="MPL.22B">#REF!</definedName>
    <definedName name="MPL.22G">#REF!</definedName>
    <definedName name="MPL.23">#REF!</definedName>
    <definedName name="MPL.23B">#REF!</definedName>
    <definedName name="MPL.23G">#REF!</definedName>
    <definedName name="MPL.24">#REF!</definedName>
    <definedName name="MPL.24B">#REF!</definedName>
    <definedName name="MPL.24G">#REF!</definedName>
    <definedName name="MPL.25">#REF!</definedName>
    <definedName name="MPL.25B">#REF!</definedName>
    <definedName name="MPL.25G">#REF!</definedName>
    <definedName name="MPL.26">#REF!</definedName>
    <definedName name="MPL.26B">#REF!</definedName>
    <definedName name="MPL.26G">#REF!</definedName>
    <definedName name="MPL.27">#REF!</definedName>
    <definedName name="MPL.27B">#REF!</definedName>
    <definedName name="MPL.27G">#REF!</definedName>
    <definedName name="MPL.28">#REF!</definedName>
    <definedName name="MPL.28B">#REF!</definedName>
    <definedName name="MPL.28G">#REF!</definedName>
    <definedName name="MPL.29">#REF!</definedName>
    <definedName name="MPL.29B">#REF!</definedName>
    <definedName name="MPL.29G">#REF!</definedName>
    <definedName name="MPL.30">#REF!</definedName>
    <definedName name="MPL.30B">#REF!</definedName>
    <definedName name="MPL.30G">#REF!</definedName>
    <definedName name="MPL.31">#REF!</definedName>
    <definedName name="MPL.31B">#REF!</definedName>
    <definedName name="MPL.31G">#REF!</definedName>
    <definedName name="MPL.32">#REF!</definedName>
    <definedName name="MPL.32B">#REF!</definedName>
    <definedName name="MPL.32G">#REF!</definedName>
    <definedName name="mplest3">#REF!</definedName>
    <definedName name="mplest5">#REF!</definedName>
    <definedName name="MPmp3">#REF!</definedName>
    <definedName name="mpon">#REF!</definedName>
    <definedName name="MPP.01">#REF!</definedName>
    <definedName name="MPP.01B">#REF!</definedName>
    <definedName name="MPP.01G">#REF!</definedName>
    <definedName name="MPP.02">#REF!</definedName>
    <definedName name="MPP.02B">#REF!</definedName>
    <definedName name="MPP.02G">#REF!</definedName>
    <definedName name="MPP.03">#REF!</definedName>
    <definedName name="MPP.03B">#REF!</definedName>
    <definedName name="MPP.03G">#REF!</definedName>
    <definedName name="MPP.04">#REF!</definedName>
    <definedName name="MPP.04B">#REF!</definedName>
    <definedName name="MPP.04G">#REF!</definedName>
    <definedName name="MPP.05">#REF!</definedName>
    <definedName name="MPP.05B">#REF!</definedName>
    <definedName name="MPP.05G">#REF!</definedName>
    <definedName name="MPP.06">#REF!</definedName>
    <definedName name="MPP.06B">#REF!</definedName>
    <definedName name="MPP.06G">#REF!</definedName>
    <definedName name="MPP.07">#REF!</definedName>
    <definedName name="MPP.07B">#REF!</definedName>
    <definedName name="MPP.07G">#REF!</definedName>
    <definedName name="MPP.08">#REF!</definedName>
    <definedName name="MPP.08B">#REF!</definedName>
    <definedName name="MPP.08G">#REF!</definedName>
    <definedName name="MPP.09">#REF!</definedName>
    <definedName name="MPP.09B">#REF!</definedName>
    <definedName name="MPP.09G">#REF!</definedName>
    <definedName name="MPP.10">#REF!</definedName>
    <definedName name="MPP.10B">#REF!</definedName>
    <definedName name="MPP.10G">#REF!</definedName>
    <definedName name="MPP.11">#REF!</definedName>
    <definedName name="MPP.11B">#REF!</definedName>
    <definedName name="MPP.11G">#REF!</definedName>
    <definedName name="MPP.12">#REF!</definedName>
    <definedName name="MPP.12B">#REF!</definedName>
    <definedName name="MPP.12G">#REF!</definedName>
    <definedName name="MPP.13">#REF!</definedName>
    <definedName name="MPP.13B">#REF!</definedName>
    <definedName name="MPP.13G">#REF!</definedName>
    <definedName name="MPP.14">#REF!</definedName>
    <definedName name="MPP.14B">#REF!</definedName>
    <definedName name="MPP.14G">#REF!</definedName>
    <definedName name="MPP.15">#REF!</definedName>
    <definedName name="MPP.15B">#REF!</definedName>
    <definedName name="MPP.15G">#REF!</definedName>
    <definedName name="MPP.16">#REF!</definedName>
    <definedName name="MPP.16B">#REF!</definedName>
    <definedName name="MPP.16G">#REF!</definedName>
    <definedName name="MPP.17">#REF!</definedName>
    <definedName name="MPP.17B">#REF!</definedName>
    <definedName name="MPP.17G">#REF!</definedName>
    <definedName name="MPP.18">#REF!</definedName>
    <definedName name="MPP.18B">#REF!</definedName>
    <definedName name="MPP.18G">#REF!</definedName>
    <definedName name="MPP.19">#REF!</definedName>
    <definedName name="MPP.19B">#REF!</definedName>
    <definedName name="MPP.19G">#REF!</definedName>
    <definedName name="MPP.20">#REF!</definedName>
    <definedName name="MPP.20B">#REF!</definedName>
    <definedName name="MPP.20G">#REF!</definedName>
    <definedName name="MPP.21">#REF!</definedName>
    <definedName name="MPP.21B">#REF!</definedName>
    <definedName name="MPP.21G">#REF!</definedName>
    <definedName name="mprel">#REF!</definedName>
    <definedName name="Mpres">"mt"</definedName>
    <definedName name="MPS.01">#REF!</definedName>
    <definedName name="MPS.01B">#REF!</definedName>
    <definedName name="MPS.01G">#REF!</definedName>
    <definedName name="MPS.02">#REF!</definedName>
    <definedName name="MPS.02B">#REF!</definedName>
    <definedName name="MPS.02G">#REF!</definedName>
    <definedName name="MPS.03">#REF!</definedName>
    <definedName name="MPS.03B">#REF!</definedName>
    <definedName name="MPS.03G">#REF!</definedName>
    <definedName name="MPS.04">#REF!</definedName>
    <definedName name="MPS.04B">#REF!</definedName>
    <definedName name="MPS.04G">#REF!</definedName>
    <definedName name="MPS.05">#REF!</definedName>
    <definedName name="MPS.05B">#REF!</definedName>
    <definedName name="MPS.05G">#REF!</definedName>
    <definedName name="MPS.06">#REF!</definedName>
    <definedName name="MPS.06B">#REF!</definedName>
    <definedName name="MPS.06G">#REF!</definedName>
    <definedName name="MPV.01">#REF!</definedName>
    <definedName name="MPV.01B">#REF!</definedName>
    <definedName name="MPV.01G">#REF!</definedName>
    <definedName name="MPV.02">#REF!</definedName>
    <definedName name="MPV.02B">#REF!</definedName>
    <definedName name="MPV.02G">#REF!</definedName>
    <definedName name="MPV.03">#REF!</definedName>
    <definedName name="MPV.03B">#REF!</definedName>
    <definedName name="MPV.03G">#REF!</definedName>
    <definedName name="MPV.04">#REF!</definedName>
    <definedName name="MPV.04B">#REF!</definedName>
    <definedName name="MPV.04G">#REF!</definedName>
    <definedName name="mr_1">#REF!</definedName>
    <definedName name="mra">#REF!</definedName>
    <definedName name="mrabat">#REF!</definedName>
    <definedName name="mreserv">#REF!</definedName>
    <definedName name="mrev2">#REF!</definedName>
    <definedName name="mrev3">#REF!</definedName>
    <definedName name="mrp">#REF!</definedName>
    <definedName name="MRP_NONSTANDARD">#REF!</definedName>
    <definedName name="MRP_STANDARD">#REF!</definedName>
    <definedName name="mrs">#REF!</definedName>
    <definedName name="mrtl">#REF!</definedName>
    <definedName name="mrtr">"'file://SERVER3/har-data/STRUCTURE PRICE OF BQ KOMPAS GRAMEDIA.xls'#$analisa.$#REF!$#REF!"</definedName>
    <definedName name="MS">#REF!</definedName>
    <definedName name="ms_0.7">#REF!</definedName>
    <definedName name="ms_3">#REF!</definedName>
    <definedName name="ms_30145">#REF!</definedName>
    <definedName name="ms_60185">#REF!</definedName>
    <definedName name="ms_6019">#REF!</definedName>
    <definedName name="ms_6020">#REF!</definedName>
    <definedName name="ms_60205">#REF!</definedName>
    <definedName name="ms_60235">#REF!</definedName>
    <definedName name="ms_60245">#REF!</definedName>
    <definedName name="ms_6030">#REF!</definedName>
    <definedName name="ms_6031">#REF!</definedName>
    <definedName name="ms_60315">#REF!</definedName>
    <definedName name="ms_6035">#REF!</definedName>
    <definedName name="ms_604.2">#REF!</definedName>
    <definedName name="ms_6042">#REF!</definedName>
    <definedName name="mseptick">#REF!</definedName>
    <definedName name="MSN.01">#REF!</definedName>
    <definedName name="MSN.01B">#REF!</definedName>
    <definedName name="MSN.01F">#REF!</definedName>
    <definedName name="MSN.01G">#REF!</definedName>
    <definedName name="MSN.02">#REF!</definedName>
    <definedName name="MSN.02B">#REF!</definedName>
    <definedName name="MSN.02F">#REF!</definedName>
    <definedName name="MSN.02G">#REF!</definedName>
    <definedName name="MSN.03">#REF!</definedName>
    <definedName name="MSN.03B">#REF!</definedName>
    <definedName name="MSN.03F">#REF!</definedName>
    <definedName name="MSN.03G">#REF!</definedName>
    <definedName name="MSN.04">#REF!</definedName>
    <definedName name="MSN.04B">#REF!</definedName>
    <definedName name="MSN.04F">#REF!</definedName>
    <definedName name="MSN.04G">#REF!</definedName>
    <definedName name="MSN.05">#REF!</definedName>
    <definedName name="MSN.05B">#REF!</definedName>
    <definedName name="MSN.05F">#REF!</definedName>
    <definedName name="MSN.05G">#REF!</definedName>
    <definedName name="MSN.06">#REF!</definedName>
    <definedName name="MSN.06B">#REF!</definedName>
    <definedName name="MSN.06G">#REF!</definedName>
    <definedName name="MSN.07">#REF!</definedName>
    <definedName name="MSN.07B">#REF!</definedName>
    <definedName name="MSN.07G">#REF!</definedName>
    <definedName name="MSN.08">#REF!</definedName>
    <definedName name="MSN.08B">#REF!</definedName>
    <definedName name="MSN.08G">#REF!</definedName>
    <definedName name="MST.01">#REF!</definedName>
    <definedName name="MST.01B">#REF!</definedName>
    <definedName name="MST.01G">#REF!</definedName>
    <definedName name="MST.02">#REF!</definedName>
    <definedName name="MST.02B">#REF!</definedName>
    <definedName name="MST.02G">#REF!</definedName>
    <definedName name="MST.03">#REF!</definedName>
    <definedName name="MST.03B">#REF!</definedName>
    <definedName name="MST.03G">#REF!</definedName>
    <definedName name="MST.04">#REF!</definedName>
    <definedName name="MST.04B">#REF!</definedName>
    <definedName name="MST.04G">#REF!</definedName>
    <definedName name="MST.05">#REF!</definedName>
    <definedName name="MST.05B">#REF!</definedName>
    <definedName name="MST.05G">#REF!</definedName>
    <definedName name="MST.06">#REF!</definedName>
    <definedName name="MST.06B">#REF!</definedName>
    <definedName name="MST.06G">#REF!</definedName>
    <definedName name="MST.07">#REF!</definedName>
    <definedName name="MST.07B">#REF!</definedName>
    <definedName name="MST.07G">#REF!</definedName>
    <definedName name="MST.08">#REF!</definedName>
    <definedName name="MST.08B">#REF!</definedName>
    <definedName name="MST.08G">#REF!</definedName>
    <definedName name="MST.09">#REF!</definedName>
    <definedName name="MST.09B">#REF!</definedName>
    <definedName name="MST.09G">#REF!</definedName>
    <definedName name="MST.10">#REF!</definedName>
    <definedName name="MST.10B">#REF!</definedName>
    <definedName name="MST.10G">#REF!</definedName>
    <definedName name="MST.11">#REF!</definedName>
    <definedName name="MST.11B">#REF!</definedName>
    <definedName name="MST.11G">#REF!</definedName>
    <definedName name="MST.12">#REF!</definedName>
    <definedName name="MST.12B">#REF!</definedName>
    <definedName name="MST.12G">#REF!</definedName>
    <definedName name="mstamp">#REF!</definedName>
    <definedName name="mstr">#REF!</definedName>
    <definedName name="msub">#REF!</definedName>
    <definedName name="msy">#REF!</definedName>
    <definedName name="mt">#REF!</definedName>
    <definedName name="mt_9">#REF!</definedName>
    <definedName name="MTC1P">NA()</definedName>
    <definedName name="MTC3P">NA()</definedName>
    <definedName name="MTCHC">"'file:///d:/project/energyhouse2/energyhouse2-mainkontraktor/energyhouse2-mainkontraktor-tender/energyhouse2-mainkontraktor-tender-boq/misc/congviec/tam.xls'#$tnhchinh.$k$38"</definedName>
    <definedName name="MTCMB">NA()</definedName>
    <definedName name="MTMAC12">"$#REF!.$H$6"</definedName>
    <definedName name="MTP.01">#REF!</definedName>
    <definedName name="MTP.01B">#REF!</definedName>
    <definedName name="MTP.01G">#REF!</definedName>
    <definedName name="MTP.02">#REF!</definedName>
    <definedName name="MTP.02B">#REF!</definedName>
    <definedName name="MTP.02G">#REF!</definedName>
    <definedName name="MTP.03">#REF!</definedName>
    <definedName name="MTP.03B">#REF!</definedName>
    <definedName name="MTP.03G">#REF!</definedName>
    <definedName name="MTP.04">#REF!</definedName>
    <definedName name="MTP.04B">#REF!</definedName>
    <definedName name="MTP.04G">#REF!</definedName>
    <definedName name="MTP.05">#REF!</definedName>
    <definedName name="MTP.05B">#REF!</definedName>
    <definedName name="MTP.05G">#REF!</definedName>
    <definedName name="MTP.06">#REF!</definedName>
    <definedName name="MTP.06B">#REF!</definedName>
    <definedName name="MTP.06G">#REF!</definedName>
    <definedName name="MTP.07">#REF!</definedName>
    <definedName name="MTP.07B">#REF!</definedName>
    <definedName name="MTP.07G">#REF!</definedName>
    <definedName name="MTP.08">#REF!</definedName>
    <definedName name="MTP.08B">#REF!</definedName>
    <definedName name="MTP.08G">#REF!</definedName>
    <definedName name="MTP.09">#REF!</definedName>
    <definedName name="MTP.09B">#REF!</definedName>
    <definedName name="MTP.09G">#REF!</definedName>
    <definedName name="MTP.10">#REF!</definedName>
    <definedName name="MTP.10B">#REF!</definedName>
    <definedName name="MTP.10G">#REF!</definedName>
    <definedName name="mtp15mm">#REF!</definedName>
    <definedName name="mtp18mm">#REF!</definedName>
    <definedName name="mtr">NA()</definedName>
    <definedName name="mtram">"$#REF!.$F$14"</definedName>
    <definedName name="mts">#REF!</definedName>
    <definedName name="MU">#REF!</definedName>
    <definedName name="mu_200">#REF!</definedName>
    <definedName name="mu100pl10">#REF!</definedName>
    <definedName name="MU200ACBR">#REF!</definedName>
    <definedName name="MU200ACI">#REF!</definedName>
    <definedName name="mu270aci">#REF!</definedName>
    <definedName name="mu300pasbm">#REF!</definedName>
    <definedName name="mu300pasbr">#REF!</definedName>
    <definedName name="MU300perbamer">#REF!</definedName>
    <definedName name="mu300perbaring">#REF!</definedName>
    <definedName name="mu300perbtringan">#REF!</definedName>
    <definedName name="MU301BR">#REF!</definedName>
    <definedName name="mu301pasbm">#REF!</definedName>
    <definedName name="mu301pasbr">#REF!</definedName>
    <definedName name="mu301perbamer">#REF!</definedName>
    <definedName name="mu301perbaring">#REF!</definedName>
    <definedName name="MU301plbamer">#REF!</definedName>
    <definedName name="MU301plbaring">#REF!</definedName>
    <definedName name="MU301PLBR">#REF!</definedName>
    <definedName name="MU380BR10">#REF!</definedName>
    <definedName name="MU380BR75">#REF!</definedName>
    <definedName name="MU380perbaring10">#REF!</definedName>
    <definedName name="MU380perbaring75">#REF!</definedName>
    <definedName name="MU400perkrd">#REF!</definedName>
    <definedName name="MU400PRKR">#REF!</definedName>
    <definedName name="MU408GROUT">#REF!</definedName>
    <definedName name="MU440FLSCREED">#REF!</definedName>
    <definedName name="MU450prkrlt">#REF!</definedName>
    <definedName name="MU830acianbtn">#REF!</definedName>
    <definedName name="muars">#REF!</definedName>
    <definedName name="muars_6">#REF!</definedName>
    <definedName name="MUB">#REF!</definedName>
    <definedName name="muga">#REF!</definedName>
    <definedName name="MULAI">NA()</definedName>
    <definedName name="mult12">#REF!</definedName>
    <definedName name="mult12_6">#REF!</definedName>
    <definedName name="mult9">#REF!</definedName>
    <definedName name="mult9_6">#REF!</definedName>
    <definedName name="multi.18">#REF!</definedName>
    <definedName name="multi.4">#REF!</definedName>
    <definedName name="multi.6">#REF!</definedName>
    <definedName name="multi.9">#REF!</definedName>
    <definedName name="multi_15">#REF!</definedName>
    <definedName name="multi_4">#REF!</definedName>
    <definedName name="multi12">#REF!</definedName>
    <definedName name="multi15">#REF!</definedName>
    <definedName name="multi18">#REF!</definedName>
    <definedName name="multi3">#REF!</definedName>
    <definedName name="multi4">#REF!</definedName>
    <definedName name="multi6">#REF!</definedName>
    <definedName name="multi9">#REF!</definedName>
    <definedName name="multiplek9">#REF!</definedName>
    <definedName name="multiplex">#REF!</definedName>
    <definedName name="mum">#REF!</definedName>
    <definedName name="mume">#REF!</definedName>
    <definedName name="mupah_6">#REF!</definedName>
    <definedName name="mupahstr">#REF!</definedName>
    <definedName name="mupahstr_6">#REF!</definedName>
    <definedName name="Muph">#REF!</definedName>
    <definedName name="mupre">#REF!</definedName>
    <definedName name="murbaut16">#REF!</definedName>
    <definedName name="murbaut19">#REF!</definedName>
    <definedName name="murbaut22">#REF!</definedName>
    <definedName name="murbaut32">#REF!</definedName>
    <definedName name="murug">#REF!</definedName>
    <definedName name="MUS_NONSTANDARD">#REF!</definedName>
    <definedName name="MUS_STANDARD">#REF!</definedName>
    <definedName name="MUSLIMIN">#REF!</definedName>
    <definedName name="mustr">#REF!</definedName>
    <definedName name="mustr_6">#REF!</definedName>
    <definedName name="Muup">#REF!</definedName>
    <definedName name="mvp">#REF!</definedName>
    <definedName name="MW">#REF!</definedName>
    <definedName name="mwater">#REF!</definedName>
    <definedName name="mwf">#REF!</definedName>
    <definedName name="mws">#REF!</definedName>
    <definedName name="n">#REF!</definedName>
    <definedName name="N.1">#REF!</definedName>
    <definedName name="N.2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_13">"$#REF!.$#REF!$#REF!:$#REF!$#REF!"</definedName>
    <definedName name="n_ke11">#REF!</definedName>
    <definedName name="n_ke5">#REF!</definedName>
    <definedName name="n_ke6">#REF!</definedName>
    <definedName name="n_ke8">#REF!</definedName>
    <definedName name="N12.65">#REF!</definedName>
    <definedName name="N1IN">"'file:///d:/project/energyhouse2/energyhouse2-mainkontraktor/energyhouse2-mainkontraktor-tender/energyhouse2-mainkontraktor-tender-boq/misc/congviec/tam.xls'#$'tongke3p '.$u$295"</definedName>
    <definedName name="n1pig">"$#REF!.$#REF!$#REF!"</definedName>
    <definedName name="n1pignc">NA()</definedName>
    <definedName name="n1pigvl">NA()</definedName>
    <definedName name="n1pind">"$#REF!.$#REF!$#REF!"</definedName>
    <definedName name="n1pindnc">NA()</definedName>
    <definedName name="n1pindvl">NA()</definedName>
    <definedName name="n1ping">"$#REF!.$#REF!$#REF!"</definedName>
    <definedName name="n1pingnc">NA()</definedName>
    <definedName name="n1pingvl">NA()</definedName>
    <definedName name="n1pint">"$#REF!.$#REF!$#REF!"</definedName>
    <definedName name="n1pintnc">NA()</definedName>
    <definedName name="n1pintvl">NA()</definedName>
    <definedName name="n24nc">NA()</definedName>
    <definedName name="n24vl">NA()</definedName>
    <definedName name="n2mignc">NA()</definedName>
    <definedName name="n2migvl">NA()</definedName>
    <definedName name="n2min1nc">NA()</definedName>
    <definedName name="n2min1vl">NA()</definedName>
    <definedName name="NA">#REF!</definedName>
    <definedName name="Naatkeramik">#REF!</definedName>
    <definedName name="Nacco">#REF!</definedName>
    <definedName name="nako">#REF!</definedName>
    <definedName name="nam">#REF!</definedName>
    <definedName name="nama">#REF!</definedName>
    <definedName name="nama_bahan">#REF!</definedName>
    <definedName name="nama_upah">#REF!</definedName>
    <definedName name="namaatas">#REF!</definedName>
    <definedName name="namabawah">#REF!</definedName>
    <definedName name="NAME">#REF!</definedName>
    <definedName name="Nangka">#REF!</definedName>
    <definedName name="Nas">#REF!</definedName>
    <definedName name="natimah">#REF!</definedName>
    <definedName name="natural">#REF!</definedName>
    <definedName name="nbm">"$#REF!.$GN$21"</definedName>
    <definedName name="nc">#REF!</definedName>
    <definedName name="nc1nc">NA()</definedName>
    <definedName name="nc1p">"$#REF!.$I$25"</definedName>
    <definedName name="nc1vl">NA()</definedName>
    <definedName name="nc24nc">NA()</definedName>
    <definedName name="nc24vl">NA()</definedName>
    <definedName name="nc3p">"$#REF!.$#REF!$#REF!"</definedName>
    <definedName name="NCBD100">"$#REF!.$#REF!$#REF!"</definedName>
    <definedName name="NCBD200">"$#REF!.$#REF!$#REF!"</definedName>
    <definedName name="NCBD250">"$#REF!.$#REF!$#REF!"</definedName>
    <definedName name="ncdd">NA()</definedName>
    <definedName name="NCDD2">NA()</definedName>
    <definedName name="NCHC">"'file:///d:/project/energyhouse2/energyhouse2-mainkontraktor/energyhouse2-mainkontraktor-tender/energyhouse2-mainkontraktor-tender-boq/misc/congviec/tam.xls'#$tnhchinh.$j$38"</definedName>
    <definedName name="nctr">NA()</definedName>
    <definedName name="nctram">"$#REF!.$F$13"</definedName>
    <definedName name="NCVC100">"$#REF!.$H$12"</definedName>
    <definedName name="NCVC200">"$#REF!.$H$21"</definedName>
    <definedName name="NCVC250">"$#REF!.$H$28"</definedName>
    <definedName name="NCVC3P">"$#REF!.$Q$43"</definedName>
    <definedName name="neglasari">#REF!</definedName>
    <definedName name="NEGO">#REF!</definedName>
    <definedName name="nero">#REF!</definedName>
    <definedName name="NETA">#REF!</definedName>
    <definedName name="NETB">#REF!</definedName>
    <definedName name="NETC">#REF!</definedName>
    <definedName name="NETD">#REF!</definedName>
    <definedName name="NETE">#REF!</definedName>
    <definedName name="NETHK">#REF!</definedName>
    <definedName name="new">FST:(FSB)</definedName>
    <definedName name="new_10">#REF!:#REF!</definedName>
    <definedName name="new_11">#REF!:#REF!</definedName>
    <definedName name="new_12">#REF!:#REF!</definedName>
    <definedName name="new_14">#REF!:#REF!</definedName>
    <definedName name="new_15">#REF!:#REF!</definedName>
    <definedName name="new_16">#REF!:#REF!</definedName>
    <definedName name="new_17">#REF!:#REF!</definedName>
    <definedName name="new_18">#REF!:#REF!</definedName>
    <definedName name="new_19">#REF!:#REF!</definedName>
    <definedName name="new_20">#REF!:#REF!</definedName>
    <definedName name="new_22">#REF!:#REF!</definedName>
    <definedName name="new_23">#REF!:#REF!</definedName>
    <definedName name="new_24">#REF!:#REF!</definedName>
    <definedName name="new_25">#REF!:#REF!</definedName>
    <definedName name="new_5">#REF!:#REF!</definedName>
    <definedName name="new_6">#REF!:#REF!</definedName>
    <definedName name="new_7">#REF!:#REF!</definedName>
    <definedName name="new_8">#REF!:#REF!</definedName>
    <definedName name="new5_10">#REF!:#REF!</definedName>
    <definedName name="new5_11">#REF!:#REF!</definedName>
    <definedName name="new5_12">#REF!:#REF!</definedName>
    <definedName name="new5_14">#REF!:#REF!</definedName>
    <definedName name="new5_15">#REF!:#REF!</definedName>
    <definedName name="new5_16">#REF!:#REF!</definedName>
    <definedName name="new5_17">#REF!:#REF!</definedName>
    <definedName name="new5_18">#REF!:#REF!</definedName>
    <definedName name="new5_19">#REF!:#REF!</definedName>
    <definedName name="new5_20">#REF!:#REF!</definedName>
    <definedName name="new5_22">#REF!:#REF!</definedName>
    <definedName name="new5_23">#REF!:#REF!</definedName>
    <definedName name="new5_24">#REF!:#REF!</definedName>
    <definedName name="new5_25">#REF!:#REF!</definedName>
    <definedName name="new5_5">#REF!:#REF!</definedName>
    <definedName name="new5_6">#REF!:#REF!</definedName>
    <definedName name="new5_7">#REF!:#REF!</definedName>
    <definedName name="new5_8">#REF!:#REF!</definedName>
    <definedName name="newb">FST:(FSB)</definedName>
    <definedName name="newb_10">#REF!:#REF!</definedName>
    <definedName name="newb_11">#REF!:#REF!</definedName>
    <definedName name="newb_12">#REF!:#REF!</definedName>
    <definedName name="newb_14">#REF!:#REF!</definedName>
    <definedName name="newb_15">#REF!:#REF!</definedName>
    <definedName name="newb_16">#REF!:#REF!</definedName>
    <definedName name="newb_17">#REF!:#REF!</definedName>
    <definedName name="newb_18">#REF!:#REF!</definedName>
    <definedName name="newb_19">#REF!:#REF!</definedName>
    <definedName name="newb_20">#REF!:#REF!</definedName>
    <definedName name="newb_22">#REF!:#REF!</definedName>
    <definedName name="newb_23">#REF!:#REF!</definedName>
    <definedName name="newb_24">#REF!:#REF!</definedName>
    <definedName name="newb_25">#REF!:#REF!</definedName>
    <definedName name="newb_5">#REF!:#REF!</definedName>
    <definedName name="newb_6">#REF!:#REF!</definedName>
    <definedName name="newb_7">#REF!:#REF!</definedName>
    <definedName name="newb_8">#REF!:#REF!</definedName>
    <definedName name="nhn">"$#REF!.$#REF!$#REF!"</definedName>
    <definedName name="nhnnc">NA()</definedName>
    <definedName name="nhnvl">NA()</definedName>
    <definedName name="nig">"$#REF!.$#REF!$#REF!"</definedName>
    <definedName name="NIG13p">"'file:///d:/project/energyhouse2/energyhouse2-mainkontraktor/energyhouse2-mainkontraktor-tender/energyhouse2-mainkontraktor-tender-boq/misc/congviec/tam.xls'#$'tongke3p '.$t$295"</definedName>
    <definedName name="nig1p">"$#REF!.$S$290"</definedName>
    <definedName name="nig3p">"$#REF!.$T$110"</definedName>
    <definedName name="nightnc">NA()</definedName>
    <definedName name="nightvl">NA()</definedName>
    <definedName name="nignc1p">"$#REF!.$G$176"</definedName>
    <definedName name="nignc3p">"'file:///d:/project/energyhouse2/energyhouse2-mainkontraktor/energyhouse2-mainkontraktor-tender/energyhouse2-mainkontraktor-tender-boq/misc/congviec/tam.xls'#$'chitiet vl-nc'.$g$107"</definedName>
    <definedName name="nigvl1p">"$#REF!.$G$167"</definedName>
    <definedName name="nigvl3p">"'file:///d:/project/energyhouse2/energyhouse2-mainkontraktor/energyhouse2-mainkontraktor-tender/energyhouse2-mainkontraktor-tender-boq/misc/congviec/tam.xls'#$'chitiet vl-nc'.$g$99"</definedName>
    <definedName name="Nilai">#REF!</definedName>
    <definedName name="NilaiExt">#REF!</definedName>
    <definedName name="nin">"$#REF!.$#REF!$#REF!"</definedName>
    <definedName name="nin14nc3p">"$#REF!.$#REF!$#REF!"</definedName>
    <definedName name="nin14vl3p">"$#REF!.$#REF!$#REF!"</definedName>
    <definedName name="nin1903p">"$#REF!.$X$110"</definedName>
    <definedName name="nin190nc">NA()</definedName>
    <definedName name="nin190nc3p">"$#REF!.#REF!$#REF!"</definedName>
    <definedName name="nin190vl">NA()</definedName>
    <definedName name="nin190vl3p">"$#REF!.#REF!$#REF!"</definedName>
    <definedName name="nin1pnc">NA()</definedName>
    <definedName name="nin1pvl">NA()</definedName>
    <definedName name="nin2903p">"$#REF!.$Y$110"</definedName>
    <definedName name="nin290nc3p">"$#REF!.$#REF!#REF!"</definedName>
    <definedName name="nin290vl3p">"$#REF!.#REF!$#REF!"</definedName>
    <definedName name="nin3p">"$#REF!.$W$110"</definedName>
    <definedName name="nind">"$#REF!.$#REF!$#REF!"</definedName>
    <definedName name="nind1p">"$#REF!.$Y$290"</definedName>
    <definedName name="nind3p">"$#REF!.$Z$110"</definedName>
    <definedName name="nindnc">NA()</definedName>
    <definedName name="nindnc1p">"$#REF!.$G$235"</definedName>
    <definedName name="nindnc3p">"$#REF!.$#REF!#REF!"</definedName>
    <definedName name="nindvl">NA()</definedName>
    <definedName name="nindvl1p">"$#REF!.$G$226"</definedName>
    <definedName name="nindvl3p">"$#REF!.$#REF!#REF!"</definedName>
    <definedName name="ning1p">"$#REF!.$W$290"</definedName>
    <definedName name="ningnc1p">"$#REF!.$G$216"</definedName>
    <definedName name="ningvl1p">"$#REF!.$G$206"</definedName>
    <definedName name="ninnc">NA()</definedName>
    <definedName name="ninnc3p">"$#REF!.#REF!$#REF!"</definedName>
    <definedName name="nint1p">"$#REF!.$V$290"</definedName>
    <definedName name="nintnc1p">"$#REF!.$G$195"</definedName>
    <definedName name="nintvl1p">"$#REF!.$G$186"</definedName>
    <definedName name="ninvl">NA()</definedName>
    <definedName name="ninvl3p">"$#REF!.#REF!$#REF!"</definedName>
    <definedName name="NIPKASUB">#REF!</definedName>
    <definedName name="NIPKASUB_9">#REF!</definedName>
    <definedName name="NIPKEPDINPERMUKIMAN">#REF!</definedName>
    <definedName name="NIPKEPDINPERMUKIMAN_9">#REF!</definedName>
    <definedName name="NIPKEPSEKPERENCANAAN">#REF!</definedName>
    <definedName name="NIPKEPSEKPERENCANAAN_9">#REF!</definedName>
    <definedName name="niro">#REF!</definedName>
    <definedName name="nit">#REF!</definedName>
    <definedName name="nkeramik">#REF!</definedName>
    <definedName name="nl">#REF!</definedName>
    <definedName name="NL12nc">NA()</definedName>
    <definedName name="NL12vl">NA()</definedName>
    <definedName name="nl1p">"$#REF!.$#REF!$#REF!"</definedName>
    <definedName name="nl3p">"$#REF!.$U$110"</definedName>
    <definedName name="nlht">NA()</definedName>
    <definedName name="nlmtc">NA()</definedName>
    <definedName name="nlnc">NA()</definedName>
    <definedName name="nlnc3p">"$#REF!.$G$260"</definedName>
    <definedName name="nlnc3pha">"$#REF!.$G$410"</definedName>
    <definedName name="NLTK1p">"$#REF!.$X$297"</definedName>
    <definedName name="nlvl">NA()</definedName>
    <definedName name="nlvl1">"'file:///d:/project/energyhouse2/energyhouse2-mainkontraktor/energyhouse2-mainkontraktor-tender/energyhouse2-mainkontraktor-tender-boq/misc/congviec/tam.xls'#$chitiet.$g$302"</definedName>
    <definedName name="nlvl3p">"$#REF!.$G$245"</definedName>
    <definedName name="nm">#REF!</definedName>
    <definedName name="NMerN">#REF!</definedName>
    <definedName name="NMerW">#REF!</definedName>
    <definedName name="nn">"$#REF!.$#REF!$#REF!"</definedName>
    <definedName name="nn1p">"$#REF!.$#REF!$#REF!"</definedName>
    <definedName name="nn3p">"$#REF!.$V$110"</definedName>
    <definedName name="nnnc">NA()</definedName>
    <definedName name="nnnc3p">"$#REF!.$#REF!$#REF!"</definedName>
    <definedName name="nnnnnnn">#REF!</definedName>
    <definedName name="nnvl">NA()</definedName>
    <definedName name="nnvl3p">"$#REF!.$#REF!$#REF!"</definedName>
    <definedName name="NO">#REF!</definedName>
    <definedName name="NOIFS">#REF!</definedName>
    <definedName name="NOIP">#REF!</definedName>
    <definedName name="NOIT">#REF!</definedName>
    <definedName name="Nok">#REF!</definedName>
    <definedName name="nok_flushing">#REF!</definedName>
    <definedName name="nok_sd">#REF!</definedName>
    <definedName name="noker">#REF!</definedName>
    <definedName name="NokGentengMetal">#REF!</definedName>
    <definedName name="nokk">#REF!</definedName>
    <definedName name="noknat">#REF!</definedName>
    <definedName name="nokwr">#REF!</definedName>
    <definedName name="NOL">#REF!</definedName>
    <definedName name="NOMFS">#REF!</definedName>
    <definedName name="NOMP">#REF!</definedName>
    <definedName name="NOMT">#REF!</definedName>
    <definedName name="none">#N/A</definedName>
    <definedName name="nopy105">#REF!</definedName>
    <definedName name="nopy10b105">#REF!</definedName>
    <definedName name="nopy2025">#REF!</definedName>
    <definedName name="NOPY85">#REF!</definedName>
    <definedName name="nosing">#REF!</definedName>
    <definedName name="NOUM">#REF!</definedName>
    <definedName name="nozing">#REF!</definedName>
    <definedName name="nozzle">#REF!</definedName>
    <definedName name="npwp">#REF!</definedName>
    <definedName name="NT">#REF!</definedName>
    <definedName name="Number_of_Payments">MATCH(0.01,End_Bal,-1)+1</definedName>
    <definedName name="Number_of_Payments_13">MATCH(0.01,#NAME?,-1)+1</definedName>
    <definedName name="nuoc">"'file:///d:/project/energyhouse2/energyhouse2-mainkontraktor/energyhouse2-mainkontraktor-tender/energyhouse2-mainkontraktor-tender-boq/misc/do-huong/gt-bo/tktc10-8/phong%20nen/dt-thl7.xls'#$gvl.$n$38"</definedName>
    <definedName name="NURSE_CALL">#REF!</definedName>
    <definedName name="nurulfalah">#REF!</definedName>
    <definedName name="nurulhuda">#REF!</definedName>
    <definedName name="Nusagolfres">Nusagolfres</definedName>
    <definedName name="nx">NA()</definedName>
    <definedName name="nxmtc">NA()</definedName>
    <definedName name="nya.25">#REF!</definedName>
    <definedName name="NYA1C">#REF!</definedName>
    <definedName name="nyfgby3x6lt">#REF!</definedName>
    <definedName name="nyfgby410">#REF!</definedName>
    <definedName name="nyfgby4x6lt">#REF!</definedName>
    <definedName name="nyfgby4x95">#REF!</definedName>
    <definedName name="nyfgby5x6lt">#REF!</definedName>
    <definedName name="NYM21x">#REF!</definedName>
    <definedName name="NYM2C">#REF!</definedName>
    <definedName name="NYM31x">#REF!</definedName>
    <definedName name="nym32.5">#REF!</definedName>
    <definedName name="nym3x2.5flt">#REF!</definedName>
    <definedName name="NYM41x">#REF!</definedName>
    <definedName name="NYM41z">#REF!</definedName>
    <definedName name="nym42.5">#REF!</definedName>
    <definedName name="nymhy">#REF!</definedName>
    <definedName name="NYY">#REF!</definedName>
    <definedName name="nyy.3.2">#REF!</definedName>
    <definedName name="nyy.4.16">#REF!</definedName>
    <definedName name="nyy11x1x500">#REF!</definedName>
    <definedName name="nyy14x1x500">#REF!</definedName>
    <definedName name="nyy16x1x500">#REF!</definedName>
    <definedName name="nyy18x1x500">#REF!</definedName>
    <definedName name="nyy2.40.1_5">#REF!</definedName>
    <definedName name="NYY21x">#REF!</definedName>
    <definedName name="nyy21x1x500">#REF!</definedName>
    <definedName name="nyy2415070">#REF!</definedName>
    <definedName name="nyy25x1x500">#REF!</definedName>
    <definedName name="nyy2x4x16">#REF!</definedName>
    <definedName name="nyy3.2_5">#REF!</definedName>
    <definedName name="NYY31x">#REF!</definedName>
    <definedName name="nyy32.5">#REF!</definedName>
    <definedName name="nyy3x6">#REF!</definedName>
    <definedName name="NYY41x">#REF!</definedName>
    <definedName name="NYY41z">#REF!</definedName>
    <definedName name="nyy42.5">#REF!</definedName>
    <definedName name="nyy42115070">#REF!</definedName>
    <definedName name="nyy4212470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.1">#REF!</definedName>
    <definedName name="o_1015">#REF!</definedName>
    <definedName name="o_1502125">#REF!</definedName>
    <definedName name="o_1502600">#REF!</definedName>
    <definedName name="o_1515">#REF!</definedName>
    <definedName name="o_1527">#REF!</definedName>
    <definedName name="o_20115">#REF!</definedName>
    <definedName name="o_2027">#REF!</definedName>
    <definedName name="o_3027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700750">#REF!</definedName>
    <definedName name="o_700800">#REF!</definedName>
    <definedName name="o_700850">#REF!</definedName>
    <definedName name="o_9001450">#REF!</definedName>
    <definedName name="oa">#REF!</definedName>
    <definedName name="oa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>HAJIME:OWARI</definedName>
    <definedName name="OFFICE_SUPPLY">#REF!</definedName>
    <definedName name="OFFICE_TW1">STOP:STOPE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IL___FUEL">#REF!</definedName>
    <definedName name="ok">#REF!</definedName>
    <definedName name="oke" hidden="1">#REF!</definedName>
    <definedName name="Oker">#REF!</definedName>
    <definedName name="Oker_">#REF!</definedName>
    <definedName name="oki">"$#REF!.$#REF!$#REF!"</definedName>
    <definedName name="oksand">#REF!</definedName>
    <definedName name="oksi">#REF!</definedName>
    <definedName name="oksigen">#REF!</definedName>
    <definedName name="OKT">#REF!</definedName>
    <definedName name="OKT_9">#REF!</definedName>
    <definedName name="OLF" hidden="1">#REF!</definedName>
    <definedName name="oli">#REF!</definedName>
    <definedName name="oli_9">#REF!</definedName>
    <definedName name="Olie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asis">#REF!</definedName>
    <definedName name="onderlaght">#REF!</definedName>
    <definedName name="oo">"'file://SERVER3/har-data/STRUCTURE PRICE OF BQ KOMPAS GRAMEDIA.xls'#$analisa.$#REF!$#REF!"</definedName>
    <definedName name="oon" hidden="1">{#N/A,#N/A,FALSE,"REK";#N/A,#N/A,FALSE,"rab"}</definedName>
    <definedName name="OP">#REF!</definedName>
    <definedName name="OPERATING_EQUIPMENT">#REF!</definedName>
    <definedName name="OPERATION_COST">#REF!</definedName>
    <definedName name="operator">#REF!</definedName>
    <definedName name="OPERATOR_ALAT_BESAR">#REF!</definedName>
    <definedName name="OPERATOR_ALAT_BESAR_23">#REF!</definedName>
    <definedName name="OPERATOR_ALAT_BESAR_25">#REF!</definedName>
    <definedName name="Operator_terlatih">#REF!</definedName>
    <definedName name="Operator_terlatih_9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SEMI">#REF!</definedName>
    <definedName name="OPU">#N/A</definedName>
    <definedName name="orari">#REF!</definedName>
    <definedName name="OrderTable" hidden="1">#REF!</definedName>
    <definedName name="ORNAMEN">#REF!</definedName>
    <definedName name="ornamenpuncak">#REF!</definedName>
    <definedName name="ornamensmu">#REF!</definedName>
    <definedName name="ornamerstrsmp">#REF!</definedName>
    <definedName name="OSAE4">#REF!</definedName>
    <definedName name="osc">NA()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T_9">#REF!</definedName>
    <definedName name="Otem_">#REF!</definedName>
    <definedName name="OUT">#REF!</definedName>
    <definedName name="Outlet">#REF!</definedName>
    <definedName name="outv">#REF!</definedName>
    <definedName name="outvl">#REF!</definedName>
    <definedName name="over">#N/A</definedName>
    <definedName name="overpal">#REF!</definedName>
    <definedName name="Ovnky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ell">#REF!</definedName>
    <definedName name="owrap">#REF!</definedName>
    <definedName name="Oxigen">#REF!</definedName>
    <definedName name="Oyan_">#REF!</definedName>
    <definedName name="p">#REF!</definedName>
    <definedName name="P.01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1">#REF!</definedName>
    <definedName name="P.10">#REF!</definedName>
    <definedName name="P.10\10aksen">#REF!</definedName>
    <definedName name="P.11">#REF!</definedName>
    <definedName name="P.12">#REF!</definedName>
    <definedName name="P.13">#REF!</definedName>
    <definedName name="P.14">#REF!</definedName>
    <definedName name="P.15">#REF!</definedName>
    <definedName name="P.16">#REF!</definedName>
    <definedName name="P.17">#REF!</definedName>
    <definedName name="P.18">#REF!</definedName>
    <definedName name="P.19">#REF!</definedName>
    <definedName name="P.2">#REF!</definedName>
    <definedName name="P.20">#REF!</definedName>
    <definedName name="P.21">#REF!</definedName>
    <definedName name="P.22">#REF!</definedName>
    <definedName name="P.23">#REF!</definedName>
    <definedName name="P.24">#REF!</definedName>
    <definedName name="P.25">#REF!</definedName>
    <definedName name="P.26">#REF!</definedName>
    <definedName name="P.27">#REF!</definedName>
    <definedName name="P.28">#REF!</definedName>
    <definedName name="P.2aksen">#REF!</definedName>
    <definedName name="P.3">#REF!</definedName>
    <definedName name="P.3aksen">#REF!</definedName>
    <definedName name="p.4">#REF!</definedName>
    <definedName name="p.4aksen">#REF!</definedName>
    <definedName name="P.5">#REF!</definedName>
    <definedName name="P.6">#REF!</definedName>
    <definedName name="P.6aksen">#REF!</definedName>
    <definedName name="P.7">#REF!</definedName>
    <definedName name="P.8">#REF!</definedName>
    <definedName name="P.9">#REF!</definedName>
    <definedName name="P.9aksen">#REF!</definedName>
    <definedName name="P.aksen">#REF!</definedName>
    <definedName name="P.BAJAHOL">#REF!</definedName>
    <definedName name="P.BAJASIKU">#REF!</definedName>
    <definedName name="p.bI">#REF!</definedName>
    <definedName name="P.KACAALUM">#REF!</definedName>
    <definedName name="P.KACAKAYU">#REF!</definedName>
    <definedName name="p.klas1">#REF!</definedName>
    <definedName name="p.klas2">#REF!</definedName>
    <definedName name="p.klas3">#REF!</definedName>
    <definedName name="p.kmp.smrd.3.20">#REF!</definedName>
    <definedName name="p.l">#REF!</definedName>
    <definedName name="p.meka">#REF!</definedName>
    <definedName name="p.opr">#REF!</definedName>
    <definedName name="p.petir">#REF!</definedName>
    <definedName name="P.PS">#REF!</definedName>
    <definedName name="P.PSaksen">#REF!</definedName>
    <definedName name="P.S4">#REF!</definedName>
    <definedName name="p.triplek">#REF!</definedName>
    <definedName name="p_15">#REF!</definedName>
    <definedName name="p_150">#REF!</definedName>
    <definedName name="p_200">#REF!</definedName>
    <definedName name="p_300">#REF!</definedName>
    <definedName name="p_40">"'file://SERVER3/har-data/STRUCTURE PRICE OF BQ KOMPAS GRAMEDIA.xls'#$analisa.$#REF!$#REF!"</definedName>
    <definedName name="p_500">#REF!</definedName>
    <definedName name="p_b">#REF!</definedName>
    <definedName name="p_ba">#REF!</definedName>
    <definedName name="p_bkl">#REF!</definedName>
    <definedName name="p_blh">#REF!</definedName>
    <definedName name="p_cc">#REF!</definedName>
    <definedName name="p_d">#REF!</definedName>
    <definedName name="p_d1">#REF!</definedName>
    <definedName name="p_lks">#REF!</definedName>
    <definedName name="p_m_rk">#REF!</definedName>
    <definedName name="p_trafo">#REF!</definedName>
    <definedName name="p1_g">#REF!</definedName>
    <definedName name="p1_h">#REF!</definedName>
    <definedName name="p1_i">#REF!</definedName>
    <definedName name="p1_j">#REF!</definedName>
    <definedName name="p1_k">#REF!</definedName>
    <definedName name="p1_l">#REF!</definedName>
    <definedName name="p1_m">#REF!</definedName>
    <definedName name="p1_n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4">#REF!</definedName>
    <definedName name="pa_5">#REF!</definedName>
    <definedName name="pa_7a">#REF!</definedName>
    <definedName name="pa6.240">#REF!</definedName>
    <definedName name="Paanstm">#REF!</definedName>
    <definedName name="pab125___0">"$#REF!.$N$226"</definedName>
    <definedName name="pab15___0">"$#REF!.$W$147"</definedName>
    <definedName name="pab150___0">"$#REF!.$W$134"</definedName>
    <definedName name="pab2___0">"$#REF!.$W$136"</definedName>
    <definedName name="pab20___0">"$#REF!.$W$146"</definedName>
    <definedName name="pab25___0">"$#REF!.$W$145"</definedName>
    <definedName name="pab32___0">"$#REF!.$W$144"</definedName>
    <definedName name="pab4___0">"$#REF!.$W$135"</definedName>
    <definedName name="pab40___0">"$#REF!.$W$143"</definedName>
    <definedName name="pab50___0">"$#REF!.$W$136"</definedName>
    <definedName name="pab6___0">"$#REF!.$W$134"</definedName>
    <definedName name="pab65___0">"$#REF!.$N$229"</definedName>
    <definedName name="pab80___0">"$#REF!.$W$209"</definedName>
    <definedName name="PABE">#REF!</definedName>
    <definedName name="pabet">#REF!</definedName>
    <definedName name="pabet_6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">#REF!</definedName>
    <definedName name="PABL_2">#REF!</definedName>
    <definedName name="PABL_3">#REF!</definedName>
    <definedName name="pabl2a">#REF!</definedName>
    <definedName name="pabl2a1">#REF!</definedName>
    <definedName name="pabx">#REF!</definedName>
    <definedName name="PAC">#REF!</definedName>
    <definedName name="PAC0Q2">#REF!</definedName>
    <definedName name="PAciDd">#REF!</definedName>
    <definedName name="pacr">#REF!</definedName>
    <definedName name="padat">#REF!</definedName>
    <definedName name="pagar">#REF!</definedName>
    <definedName name="pagaraman">#REF!</definedName>
    <definedName name="pagarproyek">#REF!</definedName>
    <definedName name="paglasblock1.3">#REF!</definedName>
    <definedName name="pagyp">#REF!</definedName>
    <definedName name="PAIN">#REF!</definedName>
    <definedName name="painter">#REF!</definedName>
    <definedName name="pak150___0">"$#REF!.$W$151"</definedName>
    <definedName name="pak50___0">"$#REF!.$W$154"</definedName>
    <definedName name="pak80___0">"$#REF!.$W$153"</definedName>
    <definedName name="Pakb5">#REF!</definedName>
    <definedName name="PakCc">#REF!</definedName>
    <definedName name="Paket">#REF!</definedName>
    <definedName name="paket1">#REF!</definedName>
    <definedName name="paket2">#REF!</definedName>
    <definedName name="pakf100">#REF!</definedName>
    <definedName name="pakf150">#REF!</definedName>
    <definedName name="pakf80">#REF!</definedName>
    <definedName name="PaKit">#REF!</definedName>
    <definedName name="Paku">#REF!</definedName>
    <definedName name="paku.1">#REF!</definedName>
    <definedName name="paku.4">#REF!</definedName>
    <definedName name="paku.5">#REF!</definedName>
    <definedName name="paku.as">#REF!</definedName>
    <definedName name="paku.k">#REF!</definedName>
    <definedName name="paku.kal">#REF!</definedName>
    <definedName name="paku.mtl">#REF!</definedName>
    <definedName name="paku.s">#REF!</definedName>
    <definedName name="Paku_payung">#REF!</definedName>
    <definedName name="Paku1">#REF!</definedName>
    <definedName name="Paku4">#REF!</definedName>
    <definedName name="paku5.7.10">#REF!</definedName>
    <definedName name="Paku8">#REF!</definedName>
    <definedName name="PAKUDUA">#REF!</definedName>
    <definedName name="Pakui">NA()</definedName>
    <definedName name="PAKUPANCING">#REF!</definedName>
    <definedName name="PAKUSATU">#REF!</definedName>
    <definedName name="PAKUSEKRUP">#REF!</definedName>
    <definedName name="palatlisplank">#REF!</definedName>
    <definedName name="pali">#REF!</definedName>
    <definedName name="palm">#REF!</definedName>
    <definedName name="pamf">#REF!</definedName>
    <definedName name="PAN">#REF!</definedName>
    <definedName name="panama">#REF!</definedName>
    <definedName name="pancang3030">#REF!</definedName>
    <definedName name="pancang4040">#REF!</definedName>
    <definedName name="pancang450">#REF!</definedName>
    <definedName name="pancang600">#REF!</definedName>
    <definedName name="Pancangsheet">#REF!</definedName>
    <definedName name="panel">#REF!</definedName>
    <definedName name="panjang">#REF!</definedName>
    <definedName name="panjang_10">#REF!</definedName>
    <definedName name="PAPA">#REF!</definedName>
    <definedName name="papan">#REF!</definedName>
    <definedName name="papan.1">#REF!</definedName>
    <definedName name="papan.klas1">#REF!</definedName>
    <definedName name="papan.m.3.20">#REF!</definedName>
    <definedName name="Papan_Kayu_kls._II">#REF!</definedName>
    <definedName name="papanbegesting">#REF!</definedName>
    <definedName name="papankam">#REF!</definedName>
    <definedName name="papanklas1">#REF!</definedName>
    <definedName name="papanklas3">#REF!</definedName>
    <definedName name="papannama">#REF!</definedName>
    <definedName name="Papannama\m2">#REF!</definedName>
    <definedName name="Papannamaunit">#REF!</definedName>
    <definedName name="PapanRuiter">#REF!</definedName>
    <definedName name="papas">#REF!</definedName>
    <definedName name="papas_6">#REF!</definedName>
    <definedName name="Papbor">#REF!</definedName>
    <definedName name="paper">#REF!</definedName>
    <definedName name="PaperholderTOT703AC">#REF!</definedName>
    <definedName name="PaperholderTS116R">#REF!</definedName>
    <definedName name="para">#REF!</definedName>
    <definedName name="para1">#REF!</definedName>
    <definedName name="para2">#REF!</definedName>
    <definedName name="para3">#REF!</definedName>
    <definedName name="para4">#REF!</definedName>
    <definedName name="para5">#REF!</definedName>
    <definedName name="paras">#REF!</definedName>
    <definedName name="parquetjati">#REF!</definedName>
    <definedName name="parquette">#REF!</definedName>
    <definedName name="PARS">#REF!</definedName>
    <definedName name="PART">#REF!</definedName>
    <definedName name="PARTISI">#REF!</definedName>
    <definedName name="parts">#REF!</definedName>
    <definedName name="parug">"$#REF!.$H$100"</definedName>
    <definedName name="pas">pas</definedName>
    <definedName name="pasang">#REF!</definedName>
    <definedName name="pasbamer3">#REF!</definedName>
    <definedName name="pasbamer5">#REF!</definedName>
    <definedName name="pasbat1.5">#REF!</definedName>
    <definedName name="pasbata1.3">#REF!</definedName>
    <definedName name="pasbata13">#REF!</definedName>
    <definedName name="pasbata15">#REF!</definedName>
    <definedName name="pasbatu">#REF!</definedName>
    <definedName name="PASBATU_PLESTER">#REF!</definedName>
    <definedName name="pasbatukali">"'file://SERVER3/har-data/STRUCTURE PRICE OF BQ KOMPAS GRAMEDIA.xls'#$analisa.$#REF!$#REF!"</definedName>
    <definedName name="pasbet">#REF!</definedName>
    <definedName name="PasBouwp">#REF!</definedName>
    <definedName name="pasbs4">#REF!</definedName>
    <definedName name="pasbt12">#REF!</definedName>
    <definedName name="pasbtempel">#REF!</definedName>
    <definedName name="PasBtKl">#REF!</definedName>
    <definedName name="pasdingran">#REF!</definedName>
    <definedName name="pasgran30">#REF!</definedName>
    <definedName name="pasgran40">#REF!</definedName>
    <definedName name="PASIR">#REF!</definedName>
    <definedName name="pasir.pasang">#REF!</definedName>
    <definedName name="pasir.u">#REF!</definedName>
    <definedName name="Pasir_beton_I">#REF!</definedName>
    <definedName name="pasirbeton">#REF!</definedName>
    <definedName name="pasircor">#REF!</definedName>
    <definedName name="PASIRHALUS">#REF!</definedName>
    <definedName name="pasirp">#REF!</definedName>
    <definedName name="pasirpasang">#REF!</definedName>
    <definedName name="PASIRTIMBUN">#REF!</definedName>
    <definedName name="pasiru">#REF!</definedName>
    <definedName name="pasiru_6">#REF!</definedName>
    <definedName name="pasirurug">#REF!</definedName>
    <definedName name="paskeramik30x30">#REF!</definedName>
    <definedName name="paspas">#REF!</definedName>
    <definedName name="PasPk">#REF!</definedName>
    <definedName name="Pasput">#REF!</definedName>
    <definedName name="Pasrug">#REF!</definedName>
    <definedName name="Pastih">#REF!</definedName>
    <definedName name="pasur">#REF!</definedName>
    <definedName name="Pasurug">#REF!</definedName>
    <definedName name="PATUNG">#REF!</definedName>
    <definedName name="PAUR">#REF!</definedName>
    <definedName name="paur_6">#REF!</definedName>
    <definedName name="pav">#REF!</definedName>
    <definedName name="pav_9">#REF!</definedName>
    <definedName name="pav_hek">#REF!</definedName>
    <definedName name="pavblock6">#REF!</definedName>
    <definedName name="pavblock8">#REF!</definedName>
    <definedName name="paving">#REF!</definedName>
    <definedName name="paving.b">#REF!</definedName>
    <definedName name="Paving_tebal_8_cm">#REF!</definedName>
    <definedName name="pavingblock">#REF!</definedName>
    <definedName name="Pavn6">#REF!</definedName>
    <definedName name="Pavn8">#REF!</definedName>
    <definedName name="pavnat6">#REF!</definedName>
    <definedName name="pavnat8">#REF!</definedName>
    <definedName name="Pavw6">#REF!</definedName>
    <definedName name="Pavw8">#REF!</definedName>
    <definedName name="pavwr6">#REF!</definedName>
    <definedName name="pavwr8">#REF!</definedName>
    <definedName name="Payment_Date">DATE(YEAR(Loan_Start),MONTH(Loan_Start)+Payment_Number,DAY(Loan_Start))</definedName>
    <definedName name="PB">#REF!</definedName>
    <definedName name="pb.125">#REF!</definedName>
    <definedName name="pb.125_9">#REF!</definedName>
    <definedName name="pb.200hp">#REF!</definedName>
    <definedName name="pb.200hp_9">#REF!</definedName>
    <definedName name="pb.500">#REF!</definedName>
    <definedName name="pb.500_9">#REF!</definedName>
    <definedName name="pb_1">#REF!</definedName>
    <definedName name="pb_1.5">#REF!</definedName>
    <definedName name="pb_10">#REF!</definedName>
    <definedName name="pb_13">#REF!</definedName>
    <definedName name="pb_131">#REF!</definedName>
    <definedName name="pb_3">#REF!</definedName>
    <definedName name="pb_4">#REF!</definedName>
    <definedName name="pb_40">#REF!</definedName>
    <definedName name="pb_5">#REF!</definedName>
    <definedName name="pb_8">#REF!</definedName>
    <definedName name="pb_af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3">#REF!</definedName>
    <definedName name="pbb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i">#REF!</definedName>
    <definedName name="pbk">#REF!</definedName>
    <definedName name="pbkp">#REF!</definedName>
    <definedName name="pbnatural">#REF!</definedName>
    <definedName name="pbondek">#REF!</definedName>
    <definedName name="PBouwp">#REF!</definedName>
    <definedName name="pBRC150">#REF!</definedName>
    <definedName name="pbs15___0">"$#REF!.$N$173"</definedName>
    <definedName name="pbs150___0">"$#REF!.$N$171"</definedName>
    <definedName name="pbs40___0">"$#REF!.$N$216"</definedName>
    <definedName name="pbs50___0">"$#REF!.$N$197"</definedName>
    <definedName name="pbs65___0">"$#REF!.$N$172"</definedName>
    <definedName name="pbs80___0">"$#REF!.$N$214"</definedName>
    <definedName name="pbsf100">#REF!</definedName>
    <definedName name="pbsf150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bwarna">#REF!</definedName>
    <definedName name="PC">#REF!</definedName>
    <definedName name="pc.50">#REF!</definedName>
    <definedName name="Pc.G">#REF!</definedName>
    <definedName name="pc.wr">#REF!</definedName>
    <definedName name="pc_35">#REF!</definedName>
    <definedName name="pc_40">#REF!</definedName>
    <definedName name="pc_9">#REF!</definedName>
    <definedName name="PC1Av2">"$#REF!.$M$2"</definedName>
    <definedName name="PC1Bv2">"$#REF!.$M$3"</definedName>
    <definedName name="PC1Dv2">"$#REF!.$M$4"</definedName>
    <definedName name="PC1h2">"$#REF!.$N$1"</definedName>
    <definedName name="PC1v2">"$#REF!.$M$1"</definedName>
    <definedName name="PC450B">#REF!</definedName>
    <definedName name="PC450U">#REF!</definedName>
    <definedName name="pc50___0">"$#REF!.$W$302"</definedName>
    <definedName name="PC600B">#REF!</definedName>
    <definedName name="PC600U">#REF!</definedName>
    <definedName name="pc80___0">"$#REF!.$W$165"</definedName>
    <definedName name="PCatIC">#REF!</definedName>
    <definedName name="PCatKy">#REF!</definedName>
    <definedName name="PCatVn">#REF!</definedName>
    <definedName name="pcb_3">#REF!</definedName>
    <definedName name="pcb10b85">#REF!</definedName>
    <definedName name="PCcurb">#REF!</definedName>
    <definedName name="pcf80___0">"$#REF!.$W$167"</definedName>
    <definedName name="pcg">#REF!</definedName>
    <definedName name="PCGR">#REF!</definedName>
    <definedName name="PCMEET">#REF!</definedName>
    <definedName name="Pcmpt">#REF!</definedName>
    <definedName name="Pcmrh">#REF!</definedName>
    <definedName name="Pcmtr">#REF!</definedName>
    <definedName name="Pcmwr">#REF!</definedName>
    <definedName name="pcputih">#REF!</definedName>
    <definedName name="PCWARNA">#REF!</definedName>
    <definedName name="pcwrn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_22">#REF!</definedName>
    <definedName name="pd_35">#REF!</definedName>
    <definedName name="pd_40">#REF!</definedName>
    <definedName name="PDnKc">#REF!</definedName>
    <definedName name="PDnKcJt">#REF!</definedName>
    <definedName name="PDrA">#REF!</definedName>
    <definedName name="PDrT">#REF!</definedName>
    <definedName name="PDU">#REF!</definedName>
    <definedName name="PE">#REF!</definedName>
    <definedName name="PECAHDUA">#REF!</definedName>
    <definedName name="PECAHSATU">#REF!</definedName>
    <definedName name="PECF">#REF!</definedName>
    <definedName name="PECL">#REF!</definedName>
    <definedName name="PEDESTRIANROLLER">#REF!</definedName>
    <definedName name="pek">#REF!</definedName>
    <definedName name="PEK_BAJA">#REF!</definedName>
    <definedName name="pekcatdalam">#REF!</definedName>
    <definedName name="pekcatluar">#REF!</definedName>
    <definedName name="PEKE">#REF!</definedName>
    <definedName name="PEKERATLT">#REF!</definedName>
    <definedName name="Pekerja">#REF!</definedName>
    <definedName name="Pekerja.1">#REF!</definedName>
    <definedName name="Pekerja.b">#REF!</definedName>
    <definedName name="Pekerja.t">#REF!</definedName>
    <definedName name="PEKERJA_23">#REF!</definedName>
    <definedName name="PEKERJA_25">#REF!</definedName>
    <definedName name="PEKERJA_SETENGAH_TERAMPIL">#REF!</definedName>
    <definedName name="PEKERJA_SETENGAH_TERAMPIL_23">#REF!</definedName>
    <definedName name="PEKERJA_SETENGAH_TERAMPIL_25">#REF!</definedName>
    <definedName name="Pekerja_T">#REF!</definedName>
    <definedName name="PEKERJA_TERAMPIL">#REF!</definedName>
    <definedName name="PEKERJA_TERAMPIL_23">#REF!</definedName>
    <definedName name="PEKERJA_TERAMPIL_25">#REF!</definedName>
    <definedName name="Pekerja_terlatih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luarbanmgunan">#REF!</definedName>
    <definedName name="PekerjaanME.luarbanguan">#REF!</definedName>
    <definedName name="peklas">#REF!</definedName>
    <definedName name="peksalur">#REF!</definedName>
    <definedName name="PEL">#REF!</definedName>
    <definedName name="Pelaksana">#REF!</definedName>
    <definedName name="Pelat">"$#REF!.$D$13"</definedName>
    <definedName name="Pelat_13">"$#REF!.$D$13"</definedName>
    <definedName name="pelatddg\W1.1GWT">#REF!</definedName>
    <definedName name="pelatddg\W1.2GWT">#REF!</definedName>
    <definedName name="pelatddg\W2.1GWT">#REF!</definedName>
    <definedName name="pelatddg\W2.2GWT">#REF!</definedName>
    <definedName name="pelatddg200">#REF!</definedName>
    <definedName name="pelatddg250">#REF!</definedName>
    <definedName name="pelatddg300">#REF!</definedName>
    <definedName name="pelatlab">#REF!</definedName>
    <definedName name="PELATRAMP">#REF!</definedName>
    <definedName name="pelats.7">#REF!</definedName>
    <definedName name="pelatS1">#REF!</definedName>
    <definedName name="pelats120">#REF!</definedName>
    <definedName name="pelats120.7">#REF!</definedName>
    <definedName name="pelatS2">#REF!</definedName>
    <definedName name="pelatS3">#REF!</definedName>
    <definedName name="pelatS4">#REF!</definedName>
    <definedName name="pelats5">#REF!</definedName>
    <definedName name="pelats6">#REF!</definedName>
    <definedName name="pelats7">#REF!</definedName>
    <definedName name="pelats8">#REF!</definedName>
    <definedName name="pelatvoly">#REF!</definedName>
    <definedName name="Pelesteran">#REF!</definedName>
    <definedName name="pelumas">#REF!</definedName>
    <definedName name="pemacangan">#REF!</definedName>
    <definedName name="pemadatansirtu">#REF!</definedName>
    <definedName name="pemadatantanah">#REF!</definedName>
    <definedName name="peman30">#REF!</definedName>
    <definedName name="peman40">#REF!</definedName>
    <definedName name="pemancangan30">#REF!</definedName>
    <definedName name="pemb.sop">#REF!</definedName>
    <definedName name="pemb24">#REF!</definedName>
    <definedName name="pemb39">#REF!</definedName>
    <definedName name="PEMBAGI">#REF!</definedName>
    <definedName name="PEMBANTU_OPERATOR___MEKANIK">#REF!</definedName>
    <definedName name="PEMBANTU_OPERATOR___MEKANIK_23">#REF!</definedName>
    <definedName name="PEMBANTU_OPERATOR___MEKANIK_25">#REF!</definedName>
    <definedName name="pembersihan">#REF!</definedName>
    <definedName name="pembesian">"$#REF!.$I$119"</definedName>
    <definedName name="Pembongkaran">#REF!</definedName>
    <definedName name="pembsian">#REF!</definedName>
    <definedName name="Pembulatan">#REF!</definedName>
    <definedName name="Pembulatan_US">#REF!</definedName>
    <definedName name="pemisah">#REF!</definedName>
    <definedName name="pemmek">#REF!</definedName>
    <definedName name="pemmekanik">#REF!</definedName>
    <definedName name="pemop">#REF!</definedName>
    <definedName name="pemoperator">#REF!</definedName>
    <definedName name="pemsopir">#REF!</definedName>
    <definedName name="pemsupir">#REF!</definedName>
    <definedName name="PEN">#REF!</definedName>
    <definedName name="pen_exppn">#REF!</definedName>
    <definedName name="Penawaran">#REF!</definedName>
    <definedName name="penetrasi">#REF!</definedName>
    <definedName name="PENGECATAN1">#REF!</definedName>
    <definedName name="Pengk">#REF!</definedName>
    <definedName name="pengki">#REF!</definedName>
    <definedName name="PENJAGA_MALAM">#REF!</definedName>
    <definedName name="PENJAGA_MALAM_23">#REF!</definedName>
    <definedName name="PENJAGA_MALAM_25">#REF!</definedName>
    <definedName name="PENJUMLAHAN">HAJIME:OWARI</definedName>
    <definedName name="peno" hidden="1">{#N/A,#N/A,FALSE,"REK";#N/A,#N/A,FALSE,"Bq-ARS"}</definedName>
    <definedName name="pentin">#REF!</definedName>
    <definedName name="pentin_6">#REF!</definedName>
    <definedName name="pentul" hidden="1">{#N/A,#N/A,FALSE,"REK-S-TPL";#N/A,#N/A,FALSE,"REK-TPML";#N/A,#N/A,FALSE,"RAB-TEMPEL"}</definedName>
    <definedName name="penyekata100">#REF!</definedName>
    <definedName name="per">#REF!</definedName>
    <definedName name="perancah">#REF!</definedName>
    <definedName name="PErcB">#REF!</definedName>
    <definedName name="PERCENT">"$#REF!.$#REF!$#REF!:$#REF!$#REF!"</definedName>
    <definedName name="Perduoleander">#REF!</definedName>
    <definedName name="perekat">#REF!</definedName>
    <definedName name="PERHITSEWA">#REF!</definedName>
    <definedName name="PERLENGKAPAN1">#REF!</definedName>
    <definedName name="perpus">#REF!</definedName>
    <definedName name="persiapan" hidden="1">#REF!</definedName>
    <definedName name="persiapansmp">#REF!</definedName>
    <definedName name="persiapansmu">#REF!</definedName>
    <definedName name="PERTAMINA">"$#REF!.$H$4:$H$693"</definedName>
    <definedName name="pesd">#REF!</definedName>
    <definedName name="PETC">#REF!</definedName>
    <definedName name="peter">#REF!</definedName>
    <definedName name="peter_6">#REF!</definedName>
    <definedName name="pf">#REF!</definedName>
    <definedName name="PF_S">#REF!</definedName>
    <definedName name="PFM">#REF!</definedName>
    <definedName name="PFRP">#REF!</definedName>
    <definedName name="PFU">#REF!</definedName>
    <definedName name="PFUS">#REF!</definedName>
    <definedName name="pg">#REF!</definedName>
    <definedName name="PG.1">#REF!</definedName>
    <definedName name="PG.2">#REF!</definedName>
    <definedName name="pg_12d">#REF!</definedName>
    <definedName name="pg_12h">#REF!</definedName>
    <definedName name="pg_rmf_9">#REF!</definedName>
    <definedName name="PGaliB">#REF!</definedName>
    <definedName name="PGaliD">#REF!</definedName>
    <definedName name="pgc">#REF!</definedName>
    <definedName name="pgrab">#REF!</definedName>
    <definedName name="Pgravel">#REF!</definedName>
    <definedName name="ph">#REF!</definedName>
    <definedName name="ph_35">#REF!</definedName>
    <definedName name="ph_40">#REF!</definedName>
    <definedName name="ph_4040">#REF!</definedName>
    <definedName name="ph_tx">#REF!</definedName>
    <definedName name="ph150___0">"$#REF!.$#REF!$#REF!"</definedName>
    <definedName name="Pheno">#REF!</definedName>
    <definedName name="Pheno12">#REF!</definedName>
    <definedName name="phf150___0">"$#REF!.$#REF!$#REF!"</definedName>
    <definedName name="Phil">#REF!</definedName>
    <definedName name="Philip" hidden="1">{#N/A,#N/A,FALSE,"REK-S-TPL";#N/A,#N/A,FALSE,"REK-TPML";#N/A,#N/A,FALSE,"RAB-TEMPEL"}</definedName>
    <definedName name="pibrator">#REF!</definedName>
    <definedName name="PIDET">#REF!</definedName>
    <definedName name="Pikup">#REF!</definedName>
    <definedName name="PIL">#REF!</definedName>
    <definedName name="PIL_NEW">#REF!</definedName>
    <definedName name="pile32">#REF!</definedName>
    <definedName name="piles">#REF!</definedName>
    <definedName name="Pilihan">#REF!</definedName>
    <definedName name="PILIHSTATUS">#REF!</definedName>
    <definedName name="Pin">#REF!</definedName>
    <definedName name="pinpan">"$#REF!.$O$771"</definedName>
    <definedName name="pintac">#REF!</definedName>
    <definedName name="pintu">#REF!</definedName>
    <definedName name="pintu_10">#REF!</definedName>
    <definedName name="pintu_2">#REF!</definedName>
    <definedName name="pintu_5">#REF!</definedName>
    <definedName name="pintu_8">#REF!</definedName>
    <definedName name="pintu_9">#REF!</definedName>
    <definedName name="PINTU_A">#REF!</definedName>
    <definedName name="PINTU_B">#REF!</definedName>
    <definedName name="PINTU_BASE">#REF!</definedName>
    <definedName name="PINTU_C">#REF!</definedName>
    <definedName name="Pintu_Card_Lock">"$#REF!.$F$37"</definedName>
    <definedName name="Pintu_Kmr_Mandi_Sliding">"$#REF!.$F$74"</definedName>
    <definedName name="Pintu_Kmr_Mandi_Swing">"$#REF!.$F$66"</definedName>
    <definedName name="Pintu_Shaft_Double_non_Security">"$#REF!.$F$88"</definedName>
    <definedName name="Pintu_Shaft_Double_Security">"$#REF!.$F$109"</definedName>
    <definedName name="Pintu_Shaft_Single_non_Security">"$#REF!.$F$88"</definedName>
    <definedName name="Pintu_Shaft_Single_Security">"$#REF!.$F$102"</definedName>
    <definedName name="Pintu_Teakwood">"$#REF!.$F$45"</definedName>
    <definedName name="Pintu_Teakwood_Sliding">"$#REF!.$F$59"</definedName>
    <definedName name="Pintu_Utama">"$#REF!.$F$29"</definedName>
    <definedName name="pintualum.rkaca">#REF!</definedName>
    <definedName name="pintualumrangkakaca\nonjasa">#REF!</definedName>
    <definedName name="pintudorong">#REF!</definedName>
    <definedName name="pintudouble">#REF!</definedName>
    <definedName name="pintudouble0.85">#REF!</definedName>
    <definedName name="pintudouble1.4">#REF!</definedName>
    <definedName name="pintuengkel">#REF!</definedName>
    <definedName name="PINTUKACA">#REF!</definedName>
    <definedName name="PINTUKACAALUM">#REF!</definedName>
    <definedName name="PINTUKACAKAYU">#REF!</definedName>
    <definedName name="pintuplywood">#REF!</definedName>
    <definedName name="pintupvc">#REF!</definedName>
    <definedName name="pinturangkakacakayu\nonjasa">#REF!</definedName>
    <definedName name="pintushaft">#REF!</definedName>
    <definedName name="PINTUTRIPLEK">#REF!</definedName>
    <definedName name="pintutriplek\nonjasa">#REF!</definedName>
    <definedName name="pintutriplekmelamin\nonjasa">#REF!</definedName>
    <definedName name="PINTUTRIPLEMELAMINTO">#REF!</definedName>
    <definedName name="PINTUUKIR">#REF!</definedName>
    <definedName name="PIP">#REF!</definedName>
    <definedName name="PIPA">#REF!</definedName>
    <definedName name="Pipa.l">#REF!</definedName>
    <definedName name="Pipa__pvc_maspion_D_ø_2">#REF!</definedName>
    <definedName name="Pipa__pvc_maspion_ø_4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rilling_steinles_steel_ø_2">#REF!</definedName>
    <definedName name="Pipa_variasi_rilling_steinles_steel_ø_3_4">#REF!</definedName>
    <definedName name="PIPE">#REF!</definedName>
    <definedName name="PIPE_SMLS_CS_A106_B_SCH80_T_C_SRL">#REF!</definedName>
    <definedName name="PIUTANGHOTMIX">#REF!</definedName>
    <definedName name="pj">#REF!</definedName>
    <definedName name="PJ.1">#REF!</definedName>
    <definedName name="PJ.2">#REF!</definedName>
    <definedName name="PJ.3">#REF!</definedName>
    <definedName name="PJ.4">#REF!</definedName>
    <definedName name="PJ.5">#REF!</definedName>
    <definedName name="PJ.6">#REF!</definedName>
    <definedName name="pj_9">#REF!</definedName>
    <definedName name="pj_a1">#REF!</definedName>
    <definedName name="pja_1a">#REF!</definedName>
    <definedName name="pja_4">#REF!</definedName>
    <definedName name="pja_5">#REF!</definedName>
    <definedName name="pja_6">#REF!</definedName>
    <definedName name="pja_7a">#REF!</definedName>
    <definedName name="PJG">#REF!</definedName>
    <definedName name="PJT">#REF!</definedName>
    <definedName name="pk">#REF!</definedName>
    <definedName name="PK.01">#REF!</definedName>
    <definedName name="PK.01B">#REF!</definedName>
    <definedName name="PK.01G">#REF!</definedName>
    <definedName name="PK.02">#REF!</definedName>
    <definedName name="PK.02B">#REF!</definedName>
    <definedName name="PK.02G">#REF!</definedName>
    <definedName name="PK.03">#REF!</definedName>
    <definedName name="PK.03B">#REF!</definedName>
    <definedName name="PK.03G">#REF!</definedName>
    <definedName name="PK.04">#REF!</definedName>
    <definedName name="PK.04B">#REF!</definedName>
    <definedName name="PK.04G">#REF!</definedName>
    <definedName name="PK.05">#REF!</definedName>
    <definedName name="PK.05B">#REF!</definedName>
    <definedName name="PK.05G">#REF!</definedName>
    <definedName name="PK.06">#REF!</definedName>
    <definedName name="PK.06B">#REF!</definedName>
    <definedName name="PK.06G">#REF!</definedName>
    <definedName name="PK.07">#REF!</definedName>
    <definedName name="PK.07B">#REF!</definedName>
    <definedName name="PK.07G">#REF!</definedName>
    <definedName name="PK.08">#REF!</definedName>
    <definedName name="PK.08B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2">#REF!</definedName>
    <definedName name="PK.12B">#REF!</definedName>
    <definedName name="PK.12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6">#REF!</definedName>
    <definedName name="PK.16B">#REF!</definedName>
    <definedName name="PK.16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B">#REF!</definedName>
    <definedName name="PK.22G">#REF!</definedName>
    <definedName name="PK.23">#REF!</definedName>
    <definedName name="PK.23B">#REF!</definedName>
    <definedName name="PK.23G">#REF!</definedName>
    <definedName name="PK.24">#REF!</definedName>
    <definedName name="PK.24B">#REF!</definedName>
    <definedName name="PK.24G">#REF!</definedName>
    <definedName name="PK.25">#REF!</definedName>
    <definedName name="PK.25B">#REF!</definedName>
    <definedName name="PK.25G">#REF!</definedName>
    <definedName name="PK.26">#REF!</definedName>
    <definedName name="PK.26B">#REF!</definedName>
    <definedName name="PK.26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1a">#REF!</definedName>
    <definedName name="pk_2">#REF!</definedName>
    <definedName name="pk_3">#REF!</definedName>
    <definedName name="pk_4">#REF!</definedName>
    <definedName name="pk_5">#REF!</definedName>
    <definedName name="pk_5a">#REF!</definedName>
    <definedName name="pk_6">#REF!</definedName>
    <definedName name="pk_7">#REF!</definedName>
    <definedName name="pk_7a">#REF!</definedName>
    <definedName name="PK_FE">#REF!</definedName>
    <definedName name="PK_GIP_40">#REF!</definedName>
    <definedName name="PK_HEAD">#REF!</definedName>
    <definedName name="pkb_1020">#REF!</definedName>
    <definedName name="pkb_10202">#REF!</definedName>
    <definedName name="pkb_1030">#REF!</definedName>
    <definedName name="PKC">#REF!</definedName>
    <definedName name="pkd_2020">#REF!</definedName>
    <definedName name="pkd_3030">#REF!</definedName>
    <definedName name="PKD12p">#REF!</definedName>
    <definedName name="PKD12w">#REF!</definedName>
    <definedName name="pkhak">#REF!</definedName>
    <definedName name="pkl_2020">#REF!</definedName>
    <definedName name="pkl_3030">#REF!</definedName>
    <definedName name="pkl_3333">#REF!</definedName>
    <definedName name="pkl_4040">#REF!</definedName>
    <definedName name="pkl_6060">#REF!</definedName>
    <definedName name="PKL33p">#REF!</definedName>
    <definedName name="PKL33w">#REF!</definedName>
    <definedName name="PKmpS">#REF!</definedName>
    <definedName name="pkp">#REF!</definedName>
    <definedName name="PL">#REF!</definedName>
    <definedName name="pl_13">#REF!</definedName>
    <definedName name="plafgrc6">#REF!</definedName>
    <definedName name="plafgyp9">#REF!</definedName>
    <definedName name="PLAFOND1">#REF!</definedName>
    <definedName name="plafond9">#REF!</definedName>
    <definedName name="plafondcalsium">#REF!</definedName>
    <definedName name="PlafondGRC4mm">#REF!</definedName>
    <definedName name="plafondgrcmotif">#REF!</definedName>
    <definedName name="plafondgyp10">#REF!</definedName>
    <definedName name="plafondgyp9">#REF!</definedName>
    <definedName name="plafondgypsum9mm">#REF!</definedName>
    <definedName name="PlafondGypsumRHollow">#REF!</definedName>
    <definedName name="plafondgypwp9">#REF!</definedName>
    <definedName name="plagyp">#REF!</definedName>
    <definedName name="PlAl1">#REF!</definedName>
    <definedName name="PlAl2">#REF!</definedName>
    <definedName name="PlAl3">#REF!</definedName>
    <definedName name="PlAl4">#REF!</definedName>
    <definedName name="PlAl5">#REF!</definedName>
    <definedName name="PlAl6">#REF!</definedName>
    <definedName name="PLAM">#REF!</definedName>
    <definedName name="plamir">#REF!</definedName>
    <definedName name="plamir.k">#REF!</definedName>
    <definedName name="plamir.t">#REF!</definedName>
    <definedName name="plamur">#REF!</definedName>
    <definedName name="plamur.matex">#REF!</definedName>
    <definedName name="PLAMURKAYU">#REF!</definedName>
    <definedName name="PLAMURT">#REF!</definedName>
    <definedName name="plantshurb">#REF!</definedName>
    <definedName name="planttree">#REF!</definedName>
    <definedName name="Plap">#REF!</definedName>
    <definedName name="plaponcalci">#REF!</definedName>
    <definedName name="plapondsuspen">#REF!</definedName>
    <definedName name="plapongrc">#REF!</definedName>
    <definedName name="plapongyf">#REF!</definedName>
    <definedName name="PLas">#REF!</definedName>
    <definedName name="plaster14">#REF!</definedName>
    <definedName name="plaster15">#REF!</definedName>
    <definedName name="plastik">#REF!</definedName>
    <definedName name="plat">#REF!</definedName>
    <definedName name="Plat_lantai______t_20_cm">#REF!</definedName>
    <definedName name="platbaja">#REF!</definedName>
    <definedName name="platkopel">#REF!</definedName>
    <definedName name="PLATSAMBUNGANT10MM">#REF!</definedName>
    <definedName name="platseng60">#REF!</definedName>
    <definedName name="plaza">#REF!</definedName>
    <definedName name="plbs">#REF!</definedName>
    <definedName name="PLBSM">NA()</definedName>
    <definedName name="PLD">#REF!</definedName>
    <definedName name="plds">#REF!</definedName>
    <definedName name="Pleated">#REF!</definedName>
    <definedName name="plent5">#REF!</definedName>
    <definedName name="Ples13_15cm">#REF!</definedName>
    <definedName name="Ples16_15cm">#REF!</definedName>
    <definedName name="PlesDD14">#REF!</definedName>
    <definedName name="Plest_Screet13_35cm">#REF!</definedName>
    <definedName name="plest3">#REF!</definedName>
    <definedName name="plest5">#REF!</definedName>
    <definedName name="plester12">#REF!</definedName>
    <definedName name="plester13">#REF!</definedName>
    <definedName name="plester14">#REF!</definedName>
    <definedName name="plester15">#REF!</definedName>
    <definedName name="plester3">#REF!</definedName>
    <definedName name="plester4">#REF!</definedName>
    <definedName name="plester5">#REF!</definedName>
    <definedName name="plesteran1.3">#REF!</definedName>
    <definedName name="plesteran1.5">#REF!</definedName>
    <definedName name="plesterbeton">#REF!</definedName>
    <definedName name="PLIN">#REF!</definedName>
    <definedName name="plin10x40">#REF!</definedName>
    <definedName name="plinkeramik10x40">#REF!</definedName>
    <definedName name="plint">#REF!</definedName>
    <definedName name="plint1020">#REF!</definedName>
    <definedName name="Plint1030">#REF!</definedName>
    <definedName name="plint1040">#REF!</definedName>
    <definedName name="plint20">#REF!</definedName>
    <definedName name="plint30">#REF!</definedName>
    <definedName name="plint30polis">#REF!</definedName>
    <definedName name="plint40">#REF!</definedName>
    <definedName name="plintessenza1040">#REF!</definedName>
    <definedName name="plintgranit1060">#REF!</definedName>
    <definedName name="plintk">#REF!</definedName>
    <definedName name="plintkayujati">#REF!</definedName>
    <definedName name="plintkeramik1030">#REF!</definedName>
    <definedName name="plintkr">#REF!</definedName>
    <definedName name="plintvinyl">#REF!</definedName>
    <definedName name="plit">#REF!</definedName>
    <definedName name="PLITUR">#REF!</definedName>
    <definedName name="Pliturjadi">#REF!</definedName>
    <definedName name="PLK">#REF!</definedName>
    <definedName name="PLKerja">#REF!</definedName>
    <definedName name="plm_1560">#REF!</definedName>
    <definedName name="plm_d">#REF!</definedName>
    <definedName name="plmb">#REF!</definedName>
    <definedName name="Plmbismarkia">#REF!</definedName>
    <definedName name="Plmraja">#REF!</definedName>
    <definedName name="Plmraja100">#REF!</definedName>
    <definedName name="Plmtb">#REF!</definedName>
    <definedName name="Plnco">#REF!</definedName>
    <definedName name="PlOil">#REF!</definedName>
    <definedName name="PLP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tg">#REF!</definedName>
    <definedName name="pltgkb">#REF!</definedName>
    <definedName name="pltgls">#REF!</definedName>
    <definedName name="pltgwr10">#REF!</definedName>
    <definedName name="pltgwr15">#REF!</definedName>
    <definedName name="plum">#REF!</definedName>
    <definedName name="plus">"$#REF!.$Y$2"</definedName>
    <definedName name="ply18_4x8_1">#REF!</definedName>
    <definedName name="ply18_4x8_2">#REF!</definedName>
    <definedName name="ply4_4x8">#REF!</definedName>
    <definedName name="plyw18">#REF!</definedName>
    <definedName name="Plywood15">#REF!</definedName>
    <definedName name="pm">#REF!</definedName>
    <definedName name="pmalam">#REF!</definedName>
    <definedName name="pml_6060">#REF!</definedName>
    <definedName name="Pmlm">#REF!</definedName>
    <definedName name="pmunding">#REF!</definedName>
    <definedName name="PMUP">#REF!</definedName>
    <definedName name="pn">#REF!</definedName>
    <definedName name="pnc_1030">#REF!</definedName>
    <definedName name="pnepiezo">#REF!</definedName>
    <definedName name="PNL">#REF!</definedName>
    <definedName name="Pnyatoh">#REF!</definedName>
    <definedName name="po">#REF!</definedName>
    <definedName name="PO_9">#REF!</definedName>
    <definedName name="POCE">#REF!</definedName>
    <definedName name="PODetail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honbambukuning\unit">#REF!</definedName>
    <definedName name="pohoncemara\unit">#REF!</definedName>
    <definedName name="pohonketapang\unit">#REF!</definedName>
    <definedName name="pohonlantana\unit">#REF!</definedName>
    <definedName name="pohonmanggis\unit">#REF!</definedName>
    <definedName name="pohonpalemraja\unit">#REF!</definedName>
    <definedName name="pohonthetehan\unit">#REF!</definedName>
    <definedName name="pol">#REF!</definedName>
    <definedName name="pol.clr">#REF!</definedName>
    <definedName name="polised33x33">#REF!</definedName>
    <definedName name="polol">#REF!</definedName>
    <definedName name="poly">#REF!</definedName>
    <definedName name="poly_r">#REF!</definedName>
    <definedName name="Polytur">#REF!</definedName>
    <definedName name="pom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pompa</definedName>
    <definedName name="Pompa_zet_pump_ex._sanyo">#REF!</definedName>
    <definedName name="pompabeton">#REF!</definedName>
    <definedName name="pond13">#REF!</definedName>
    <definedName name="pond14">#REF!</definedName>
    <definedName name="pond15">#REF!</definedName>
    <definedName name="pondasi225">#REF!</definedName>
    <definedName name="pondasiKSLL">#REF!</definedName>
    <definedName name="pondgenset">#REF!</definedName>
    <definedName name="pondljr">#REF!</definedName>
    <definedName name="pondstp">#REF!</definedName>
    <definedName name="pop">#REF!</definedName>
    <definedName name="PORS">#REF!</definedName>
    <definedName name="Porselin_11_x_11_cm_kw._I">#REF!</definedName>
    <definedName name="POS">#REF!</definedName>
    <definedName name="POSISI">#REF!</definedName>
    <definedName name="pot">#REF!</definedName>
    <definedName name="poto">#REF!</definedName>
    <definedName name="potong">#REF!</definedName>
    <definedName name="potongpnc45">#REF!</definedName>
    <definedName name="potongtiang">#REF!</definedName>
    <definedName name="Pout">#REF!</definedName>
    <definedName name="POW">"$#REF!.$G$3946"</definedName>
    <definedName name="POWDER">#REF!</definedName>
    <definedName name="PP" hidden="1">{"'Sheet1'!$A$1"}</definedName>
    <definedName name="PPA">#REF!</definedName>
    <definedName name="Ppadat">#REF!</definedName>
    <definedName name="pph">#REF!</definedName>
    <definedName name="PPI">#REF!</definedName>
    <definedName name="PpKdk">#REF!</definedName>
    <definedName name="PPlaB">#REF!</definedName>
    <definedName name="PPlaf6">#REF!</definedName>
    <definedName name="PPlGyp">#REF!</definedName>
    <definedName name="PPls2">#REF!</definedName>
    <definedName name="PPls3">#REF!</definedName>
    <definedName name="PPls4">#REF!</definedName>
    <definedName name="ppn">#REF!</definedName>
    <definedName name="ppn.m.3.20.serut">#REF!</definedName>
    <definedName name="ppn2.30">#REF!</definedName>
    <definedName name="ppn3.30">#REF!</definedName>
    <definedName name="ppnbjr">#REF!</definedName>
    <definedName name="ppnbor">#REF!</definedName>
    <definedName name="ppnborneo">#REF!</definedName>
    <definedName name="PpnBr">#REF!</definedName>
    <definedName name="ppnht1">#REF!</definedName>
    <definedName name="ppnht2">#REF!</definedName>
    <definedName name="PpnKb">#REF!</definedName>
    <definedName name="PpnKm">#REF!</definedName>
    <definedName name="ppnkmp">#REF!</definedName>
    <definedName name="PpnKs">#REF!</definedName>
    <definedName name="ppnras">#REF!</definedName>
    <definedName name="ppnsam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">#REF!</definedName>
    <definedName name="PPR_PN10">#REF!</definedName>
    <definedName name="PPR_PN16">#REF!</definedName>
    <definedName name="PPR_PN20">#REF!</definedName>
    <definedName name="pr">#REF!</definedName>
    <definedName name="PR.01">#REF!</definedName>
    <definedName name="PR.01B">#REF!</definedName>
    <definedName name="PR.01G">#REF!</definedName>
    <definedName name="PR.02">#REF!</definedName>
    <definedName name="PR.02B">#REF!</definedName>
    <definedName name="PR.02G">#REF!</definedName>
    <definedName name="PR.03">#REF!</definedName>
    <definedName name="PR.03B">#REF!</definedName>
    <definedName name="PR.03G">#REF!</definedName>
    <definedName name="PR.04">#REF!</definedName>
    <definedName name="PR.04B">#REF!</definedName>
    <definedName name="PR.04G">#REF!</definedName>
    <definedName name="PR.05">#REF!</definedName>
    <definedName name="PR.05B">#REF!</definedName>
    <definedName name="PR.05G">#REF!</definedName>
    <definedName name="PR.06">#REF!</definedName>
    <definedName name="PR.06B">#REF!</definedName>
    <definedName name="PR.06G">#REF!</definedName>
    <definedName name="PR.07">#REF!</definedName>
    <definedName name="PR.07B">#REF!</definedName>
    <definedName name="PR.07G">#REF!</definedName>
    <definedName name="PR.08">#REF!</definedName>
    <definedName name="PR.08B">#REF!</definedName>
    <definedName name="PR.08G">#REF!</definedName>
    <definedName name="PR.09">#REF!</definedName>
    <definedName name="PR.09B">#REF!</definedName>
    <definedName name="PR.09G">#REF!</definedName>
    <definedName name="PR.10">#REF!</definedName>
    <definedName name="PR.10B">#REF!</definedName>
    <definedName name="PR.10G">#REF!</definedName>
    <definedName name="PR.11">#REF!</definedName>
    <definedName name="PR.11B">#REF!</definedName>
    <definedName name="PR.11G">#REF!</definedName>
    <definedName name="PR.12">#REF!</definedName>
    <definedName name="PR.12B">#REF!</definedName>
    <definedName name="PR.12G">#REF!</definedName>
    <definedName name="PR.13">#REF!</definedName>
    <definedName name="PR.13B">#REF!</definedName>
    <definedName name="PR.13G">#REF!</definedName>
    <definedName name="PR.14">#REF!</definedName>
    <definedName name="PR.14B">#REF!</definedName>
    <definedName name="PR.14G">#REF!</definedName>
    <definedName name="PR.15">#REF!</definedName>
    <definedName name="PR.15B">#REF!</definedName>
    <definedName name="PR.15G">#REF!</definedName>
    <definedName name="PR.16">#REF!</definedName>
    <definedName name="PR.16B">#REF!</definedName>
    <definedName name="PR.16G">#REF!</definedName>
    <definedName name="PR.17">#REF!</definedName>
    <definedName name="PR.17B">#REF!</definedName>
    <definedName name="PR.17G">#REF!</definedName>
    <definedName name="PR.18">#REF!</definedName>
    <definedName name="PR.18B">#REF!</definedName>
    <definedName name="PR.18G">#REF!</definedName>
    <definedName name="PR.19">#REF!</definedName>
    <definedName name="PR.19B">#REF!</definedName>
    <definedName name="PR.19G">#REF!</definedName>
    <definedName name="PR.20">#REF!</definedName>
    <definedName name="PR.20B">#REF!</definedName>
    <definedName name="PR.20G">#REF!</definedName>
    <definedName name="PR.21">#REF!</definedName>
    <definedName name="PR.21B">#REF!</definedName>
    <definedName name="PR.21G">#REF!</definedName>
    <definedName name="PR.22">#REF!</definedName>
    <definedName name="PR.22B">#REF!</definedName>
    <definedName name="PR.22G">#REF!</definedName>
    <definedName name="PR.23">#REF!</definedName>
    <definedName name="PR.23B">#REF!</definedName>
    <definedName name="PR.23G">#REF!</definedName>
    <definedName name="PR.24">#REF!</definedName>
    <definedName name="PR.24B">#REF!</definedName>
    <definedName name="PR.24G">#REF!</definedName>
    <definedName name="PR.25">#REF!</definedName>
    <definedName name="PR.25B">#REF!</definedName>
    <definedName name="PR.25G">#REF!</definedName>
    <definedName name="PR.26">#REF!</definedName>
    <definedName name="PR.26B">#REF!</definedName>
    <definedName name="PR.26G">#REF!</definedName>
    <definedName name="PR.27">#REF!</definedName>
    <definedName name="PR.27B">#REF!</definedName>
    <definedName name="PR.27G">#REF!</definedName>
    <definedName name="PR.28">#REF!</definedName>
    <definedName name="PR.28B">#REF!</definedName>
    <definedName name="PR.28G">#REF!</definedName>
    <definedName name="PR.29">#REF!</definedName>
    <definedName name="PR.29B">#REF!</definedName>
    <definedName name="PR.29G">#REF!</definedName>
    <definedName name="PR.30">#REF!</definedName>
    <definedName name="PR.30B">#REF!</definedName>
    <definedName name="PR.30G">#REF!</definedName>
    <definedName name="PR.31">#REF!</definedName>
    <definedName name="PR.31B">#REF!</definedName>
    <definedName name="PR.31G">#REF!</definedName>
    <definedName name="PR.32">#REF!</definedName>
    <definedName name="PR.32B">#REF!</definedName>
    <definedName name="PR.32G">#REF!</definedName>
    <definedName name="PR.33">#REF!</definedName>
    <definedName name="PR.33B">#REF!</definedName>
    <definedName name="PR.33G">#REF!</definedName>
    <definedName name="PR.34">#REF!</definedName>
    <definedName name="PR.34B">#REF!</definedName>
    <definedName name="PR.34G">#REF!</definedName>
    <definedName name="PR.35">#REF!</definedName>
    <definedName name="PR.35B">#REF!</definedName>
    <definedName name="PR.35G">#REF!</definedName>
    <definedName name="PR.36">#REF!</definedName>
    <definedName name="PR.36B">#REF!</definedName>
    <definedName name="PR.36G">#REF!</definedName>
    <definedName name="PR.37">#REF!</definedName>
    <definedName name="PR.37B">#REF!</definedName>
    <definedName name="PR.37G">#REF!</definedName>
    <definedName name="PR.38">#REF!</definedName>
    <definedName name="PR.38B">#REF!</definedName>
    <definedName name="PR.38G">#REF!</definedName>
    <definedName name="PR.39">#REF!</definedName>
    <definedName name="PR.39B">#REF!</definedName>
    <definedName name="PR.39G">#REF!</definedName>
    <definedName name="PR.40">#REF!</definedName>
    <definedName name="PR.40B">#REF!</definedName>
    <definedName name="PR.40G">#REF!</definedName>
    <definedName name="PR.41">#REF!</definedName>
    <definedName name="PR.41B">#REF!</definedName>
    <definedName name="PR.41G">#REF!</definedName>
    <definedName name="PR.42">#REF!</definedName>
    <definedName name="PR.42B">#REF!</definedName>
    <definedName name="PR.42G">#REF!</definedName>
    <definedName name="PR.43">#REF!</definedName>
    <definedName name="PR.43B">#REF!</definedName>
    <definedName name="PR.43G">#REF!</definedName>
    <definedName name="PR.44">#REF!</definedName>
    <definedName name="PR.44B">#REF!</definedName>
    <definedName name="PR.44G">#REF!</definedName>
    <definedName name="PR.45">#REF!</definedName>
    <definedName name="PR.45B">#REF!</definedName>
    <definedName name="PR.45G">#REF!</definedName>
    <definedName name="Pralon">#REF!</definedName>
    <definedName name="PRangP">#REF!</definedName>
    <definedName name="PRECAST_A">#REF!</definedName>
    <definedName name="PRECAST_B">#REF!</definedName>
    <definedName name="PRECAST_C">#REF!</definedName>
    <definedName name="PREL">"$#REF!.$W$11"</definedName>
    <definedName name="PRELIEM">#REF!</definedName>
    <definedName name="prelim" hidden="1">#REF!</definedName>
    <definedName name="prelimi">#REF!</definedName>
    <definedName name="PRELIMJURUUKUR">#REF!</definedName>
    <definedName name="Prem" hidden="1">#REF!</definedName>
    <definedName name="Prem.1">#REF!</definedName>
    <definedName name="prembes">#REF!</definedName>
    <definedName name="Premi">#REF!</definedName>
    <definedName name="PREPD">#REF!</definedName>
    <definedName name="presming">#REF!,#REF!,#REF!,#REF!,#REF!,#REF!,#REF!,#REF!,#REF!</definedName>
    <definedName name="PrfDn">#REF!</definedName>
    <definedName name="PrfLn">#REF!</definedName>
    <definedName name="prg">#REF!</definedName>
    <definedName name="Primacon10">#REF!</definedName>
    <definedName name="Primacon75">#REF!</definedName>
    <definedName name="primcoat">#REF!</definedName>
    <definedName name="PRIME_COAT">#REF!</definedName>
    <definedName name="Primecoat">#REF!</definedName>
    <definedName name="PrinCIV.16">#REF!,#REF!,#REF!,#REF!,#REF!,#REF!,#REF!,#REF!,#REF!</definedName>
    <definedName name="print">#REF!</definedName>
    <definedName name="Print_Are">#REF!</definedName>
    <definedName name="_xlnm.Print_Area">#REF!</definedName>
    <definedName name="Print_Area_MI">#REF!</definedName>
    <definedName name="Print_Area_MI___0">#REF!</definedName>
    <definedName name="Print_Area_MI___4">"$LAMP_C.$#REF!$#REF!:$#REF!$#REF!"</definedName>
    <definedName name="PRINT_AREA_MI_1">#REF!</definedName>
    <definedName name="Print_Area_MI_11">#REF!</definedName>
    <definedName name="Print_Area_MI_11_6">#REF!</definedName>
    <definedName name="PRINT_AREA_MI_12">#REF!</definedName>
    <definedName name="Print_Area_MI_13">#REF!</definedName>
    <definedName name="Print_Area_MI_13_6">#REF!</definedName>
    <definedName name="Print_Area_MI_14">#REF!</definedName>
    <definedName name="Print_Area_MI_14_6">#REF!</definedName>
    <definedName name="Print_Area_MI_15">#REF!</definedName>
    <definedName name="Print_Area_MI_15_6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3">#REF!</definedName>
    <definedName name="Print_Area_MI_3">#REF!</definedName>
    <definedName name="Print_Area_MI_3_6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6_1">#REF!</definedName>
    <definedName name="Print_Area_MI_6_6">#REF!</definedName>
    <definedName name="Print_Area_MI_7">#REF!</definedName>
    <definedName name="Print_Area_MI_7_6">#REF!</definedName>
    <definedName name="Print_Area_MI_8">#REF!</definedName>
    <definedName name="Print_Area_MI_8_6">#REF!</definedName>
    <definedName name="Print_Area_MI_9">#REF!</definedName>
    <definedName name="Print_Area_MI_9_6">#REF!</definedName>
    <definedName name="Print_Area_MI1">#REF!</definedName>
    <definedName name="Print_Area_Reset">OFFSET(Full_Print,0,0,Last_Row)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>#REF!</definedName>
    <definedName name="Print_Titles_MI">#REF!</definedName>
    <definedName name="Print_Titles_MI___0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6">#REF!</definedName>
    <definedName name="Print_Titles_MI_6_6">#REF!</definedName>
    <definedName name="Print_Titles_MI_7">#REF!</definedName>
    <definedName name="Print_Titles_MI_7_6">#REF!</definedName>
    <definedName name="Print_Titles_MI_9">#REF!</definedName>
    <definedName name="Print2">#REF!,#REF!,#REF!,#REF!,#REF!,#REF!,#REF!,#REF!,#REF!</definedName>
    <definedName name="PRITN_TITLES">#REF!</definedName>
    <definedName name="Pro">#REF!</definedName>
    <definedName name="pro_15">#REF!</definedName>
    <definedName name="ProdForm" hidden="1">#REF!</definedName>
    <definedName name="PRODO">#REF!</definedName>
    <definedName name="Product" hidden="1">#REF!</definedName>
    <definedName name="prof">#REF!</definedName>
    <definedName name="prof1a">"$analis.$#REF!$#REF!"</definedName>
    <definedName name="profil">#REF!</definedName>
    <definedName name="profil2">#REF!</definedName>
    <definedName name="profil3">#REF!</definedName>
    <definedName name="profil4">#REF!</definedName>
    <definedName name="profil5">#REF!</definedName>
    <definedName name="profilkayujati3cm">#REF!</definedName>
    <definedName name="profit">#REF!</definedName>
    <definedName name="Profit1">#REF!</definedName>
    <definedName name="proofingnopy">#REF!</definedName>
    <definedName name="proofit">#REF!</definedName>
    <definedName name="proses">#REF!</definedName>
    <definedName name="proyek">#REF!</definedName>
    <definedName name="prs">#REF!</definedName>
    <definedName name="PS">#REF!</definedName>
    <definedName name="PS.1">#REF!</definedName>
    <definedName name="ps.b">#REF!</definedName>
    <definedName name="Ps.beton">#REF!</definedName>
    <definedName name="Ps.cor">#REF!</definedName>
    <definedName name="ps.p">#REF!</definedName>
    <definedName name="Ps.pasang">#REF!</definedName>
    <definedName name="ps.ps">#REF!</definedName>
    <definedName name="ps.u">#REF!</definedName>
    <definedName name="ps.urg">#REF!</definedName>
    <definedName name="Ps.Urug">#REF!</definedName>
    <definedName name="PSA">NA()</definedName>
    <definedName name="psaub">#REF!</definedName>
    <definedName name="psaub_9">#REF!</definedName>
    <definedName name="PSB">#REF!</definedName>
    <definedName name="psbet">#REF!</definedName>
    <definedName name="PSBI">NA()</definedName>
    <definedName name="PSBII">NA()</definedName>
    <definedName name="PSBIII">NA()</definedName>
    <definedName name="PSBIV">NA()</definedName>
    <definedName name="PsBt1">#REF!</definedName>
    <definedName name="psbtn">#REF!</definedName>
    <definedName name="PSBV">NA()</definedName>
    <definedName name="PSCI">NA()</definedName>
    <definedName name="PSCII">NA()</definedName>
    <definedName name="PSCIII">NA()</definedName>
    <definedName name="PSDI">NA()</definedName>
    <definedName name="PSDII">NA()</definedName>
    <definedName name="PSDIII">NA()</definedName>
    <definedName name="PSDIV">NA()</definedName>
    <definedName name="PSDV">NA()</definedName>
    <definedName name="PSEI">NA()</definedName>
    <definedName name="PSEII">NA()</definedName>
    <definedName name="PSEIII">NA()</definedName>
    <definedName name="PSEIV">NA()</definedName>
    <definedName name="PSENGON">#REF!</definedName>
    <definedName name="PSFI">NA()</definedName>
    <definedName name="PSFII">NA()</definedName>
    <definedName name="PSFIII">NA()</definedName>
    <definedName name="PSFIV">NA()</definedName>
    <definedName name="PSFVA">NA()</definedName>
    <definedName name="PSFVB">NA()</definedName>
    <definedName name="PSFVI">NA()</definedName>
    <definedName name="PSGI">NA()</definedName>
    <definedName name="PSGII">NA()</definedName>
    <definedName name="PSGIII">NA()</definedName>
    <definedName name="PSGIV">NA()</definedName>
    <definedName name="PSH">NA()</definedName>
    <definedName name="psk_1020">#REF!</definedName>
    <definedName name="psk_1030">#REF!</definedName>
    <definedName name="psk_1040">#REF!</definedName>
    <definedName name="PsKran">#REF!</definedName>
    <definedName name="PslP1">#REF!</definedName>
    <definedName name="psp">#REF!</definedName>
    <definedName name="psp_6">#REF!</definedName>
    <definedName name="psp_9">#REF!</definedName>
    <definedName name="pspsg">#REF!</definedName>
    <definedName name="Psr.psg">#REF!</definedName>
    <definedName name="psr.trs">#REF!</definedName>
    <definedName name="psrbton">#REF!</definedName>
    <definedName name="PSREKAP">NA()</definedName>
    <definedName name="psrpsg">#REF!</definedName>
    <definedName name="psrpsng">#REF!</definedName>
    <definedName name="psrsbol">#REF!</definedName>
    <definedName name="psrurug">#REF!</definedName>
    <definedName name="pst">#REF!</definedName>
    <definedName name="PStoot">#REF!</definedName>
    <definedName name="PSTOTA">NA()</definedName>
    <definedName name="PSTOTB">NA()</definedName>
    <definedName name="PSTOTC">NA()</definedName>
    <definedName name="PSTOTD">NA()</definedName>
    <definedName name="PSTOTE">NA()</definedName>
    <definedName name="PSTOTF">NA()</definedName>
    <definedName name="PSTOTG">NA()</definedName>
    <definedName name="PSTOTH">NA()</definedName>
    <definedName name="PSTR">#REF!</definedName>
    <definedName name="PsTrs">#REF!</definedName>
    <definedName name="psu">#REF!</definedName>
    <definedName name="psu_9">#REF!</definedName>
    <definedName name="PsUrg">#REF!</definedName>
    <definedName name="pt">#REF!</definedName>
    <definedName name="pt_1">#REF!</definedName>
    <definedName name="pt_2">#REF!</definedName>
    <definedName name="pt_3">#REF!</definedName>
    <definedName name="pt_4">#REF!</definedName>
    <definedName name="pt_6">#REF!</definedName>
    <definedName name="pt1_a">#REF!</definedName>
    <definedName name="pt1_b">#REF!</definedName>
    <definedName name="pt1_c">#REF!</definedName>
    <definedName name="pt1_d">#REF!</definedName>
    <definedName name="pt1_e">#REF!</definedName>
    <definedName name="pt1_f">#REF!</definedName>
    <definedName name="pt1_g">#REF!</definedName>
    <definedName name="pt2_a">#REF!</definedName>
    <definedName name="pt2_b">#REF!</definedName>
    <definedName name="pt2_c">#REF!</definedName>
    <definedName name="pt2_d">#REF!</definedName>
    <definedName name="ptdll">#REF!</definedName>
    <definedName name="ptdll_9">#REF!</definedName>
    <definedName name="PTJW">#REF!</definedName>
    <definedName name="ptm">#REF!</definedName>
    <definedName name="PTNC">"'file:///d:/project/energyhouse2/energyhouse2-mainkontraktor/energyhouse2-mainkontraktor-tender/energyhouse2-mainkontraktor-tender-boq/misc/congviec/tam.xls'#$'don gia'.$g$227"</definedName>
    <definedName name="ptp_40">#REF!</definedName>
    <definedName name="ptp_45">#REF!</definedName>
    <definedName name="ptr">#REF!</definedName>
    <definedName name="PTump">#REF!</definedName>
    <definedName name="PU">#REF!</definedName>
    <definedName name="pu_6">#REF!</definedName>
    <definedName name="Puk">#REF!</definedName>
    <definedName name="PUkur">#REF!</definedName>
    <definedName name="Pukurk">#REF!</definedName>
    <definedName name="PULOGADUNG">"$#REF!.$B$4:$B$705"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rug">#REF!</definedName>
    <definedName name="PUrugK">#REF!</definedName>
    <definedName name="PUSAT">#REF!</definedName>
    <definedName name="Pv">#REF!</definedName>
    <definedName name="pv40___0">"$#REF!.$W$161"</definedName>
    <definedName name="pv50___0">"$#REF!.$#REF!$#REF!"</definedName>
    <definedName name="pv80___0">"$#REF!.$#REF!$#REF!"</definedName>
    <definedName name="PVB">#REF!</definedName>
    <definedName name="pvc">#REF!</definedName>
    <definedName name="pvc.0.5.mas.d">#REF!</definedName>
    <definedName name="pvc.0.7.5.Mas.d">#REF!</definedName>
    <definedName name="pvc.1">#REF!</definedName>
    <definedName name="pvc.1.M.abu">#REF!</definedName>
    <definedName name="pvc.2">#REF!</definedName>
    <definedName name="pvc.2.5.Mas.d">#REF!</definedName>
    <definedName name="pvc.2.mas.d">#REF!</definedName>
    <definedName name="pvc.3">#REF!</definedName>
    <definedName name="pvc.3.mas.d">#REF!</definedName>
    <definedName name="pvc.4">#REF!</definedName>
    <definedName name="pvc.4.mas.d">#REF!</definedName>
    <definedName name="pvc.6">#REF!</definedName>
    <definedName name="pvc_1">#REF!</definedName>
    <definedName name="PVC_10">#REF!</definedName>
    <definedName name="pvc_4">#REF!</definedName>
    <definedName name="PVC_8">#REF!</definedName>
    <definedName name="pvc_aw">#REF!</definedName>
    <definedName name="PVC_AZ">#REF!</definedName>
    <definedName name="PVC_D">#REF!</definedName>
    <definedName name="pvc1.2">#REF!</definedName>
    <definedName name="pvc1.2.aw">#REF!</definedName>
    <definedName name="pvc1.2.wav.aw">#REF!</definedName>
    <definedName name="PVC1\2">#REF!</definedName>
    <definedName name="PVC11\2">#REF!</definedName>
    <definedName name="PVC11\4">#REF!</definedName>
    <definedName name="PVC21\2">#REF!</definedName>
    <definedName name="pvc2d">#REF!</definedName>
    <definedName name="pvc3.4">#REF!</definedName>
    <definedName name="pvc3.4.aw">#REF!</definedName>
    <definedName name="PVC3\4">#REF!</definedName>
    <definedName name="pvc3d">#REF!</definedName>
    <definedName name="pvc4d">#REF!</definedName>
    <definedName name="PVCconduit">#REF!</definedName>
    <definedName name="pvcf100">#REF!</definedName>
    <definedName name="pvcf150">#REF!</definedName>
    <definedName name="pvcf200">#REF!</definedName>
    <definedName name="pvcf65">#REF!</definedName>
    <definedName name="pvcf80">#REF!</definedName>
    <definedName name="pvent">#REF!</definedName>
    <definedName name="pvf80___0">"$#REF!.$#REF!$#REF!"</definedName>
    <definedName name="PWFDn">#REF!</definedName>
    <definedName name="PWFLn">#REF!</definedName>
    <definedName name="pwmesh">#REF!</definedName>
    <definedName name="px">"$Estimasi.$#REF!$1148"</definedName>
    <definedName name="Q">#REF!</definedName>
    <definedName name="Q_9">#REF!</definedName>
    <definedName name="QA">#REF!</definedName>
    <definedName name="QE">#REF!</definedName>
    <definedName name="qegtegt" hidden="1">{#N/A,#N/A,FALSE,"REK-S-TPL";#N/A,#N/A,FALSE,"REK-TPML";#N/A,#N/A,FALSE,"RAB-TEMPEL"}</definedName>
    <definedName name="qegtqegt" hidden="1">{#N/A,#N/A,FALSE,"REK";#N/A,#N/A,FALSE,"rab"}</definedName>
    <definedName name="qegtqgt" hidden="1">{#N/A,#N/A,FALSE,"REK";#N/A,#N/A,FALSE,"rab"}</definedName>
    <definedName name="QEWYTGq" hidden="1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Q">#REF!</definedName>
    <definedName name="QR">#REF!</definedName>
    <definedName name="QRESG">HAJIME:OWARI</definedName>
    <definedName name="QRESG_10">#REF!:#REF!</definedName>
    <definedName name="QRESG_11">#REF!:#REF!</definedName>
    <definedName name="QRESG_12">#REF!:#REF!</definedName>
    <definedName name="QRESG_14">#REF!:#REF!</definedName>
    <definedName name="QRESG_15">#REF!:#REF!</definedName>
    <definedName name="QRESG_16">#REF!:#REF!</definedName>
    <definedName name="QRESG_17">#REF!:#REF!</definedName>
    <definedName name="QRESG_18">#REF!:#REF!</definedName>
    <definedName name="QRESG_19">#REF!:#REF!</definedName>
    <definedName name="QRESG_20">#REF!:#REF!</definedName>
    <definedName name="QRESG_22">#REF!:#REF!</definedName>
    <definedName name="QRESG_23">#REF!:#REF!</definedName>
    <definedName name="QRESG_24">#REF!:#REF!</definedName>
    <definedName name="QRESG_25">#REF!:#REF!</definedName>
    <definedName name="QRESG_5">#REF!:#REF!</definedName>
    <definedName name="QRESG_6">#REF!:#REF!</definedName>
    <definedName name="QRESG_7">#REF!:#REF!</definedName>
    <definedName name="QRESG_8">#REF!:#REF!</definedName>
    <definedName name="QRY.3" hidden="1">#REF!</definedName>
    <definedName name="qsfdq">#REF!</definedName>
    <definedName name="Qtegt" hidden="1">{#N/A,#N/A,FALSE,"REK";#N/A,#N/A,FALSE,"rab"}</definedName>
    <definedName name="qtyconc">#REF!</definedName>
    <definedName name="qtyfw">#REF!</definedName>
    <definedName name="qtyrebar">#REF!</definedName>
    <definedName name="QW">#REF!</definedName>
    <definedName name="qwegtqwegt" hidden="1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hidden="1">{#N/A,#N/A,FALSE,"REK";#N/A,#N/A,FALSE,"rab"}</definedName>
    <definedName name="QWWWWW">#REF!</definedName>
    <definedName name="QWYGH" hidden="1">{#N/A,#N/A,FALSE,"REK-S-TPL";#N/A,#N/A,FALSE,"REK-TPML";#N/A,#N/A,FALSE,"RAB-TEMPEL"}</definedName>
    <definedName name="R_">#REF!</definedName>
    <definedName name="R__1">#REF!</definedName>
    <definedName name="R__13">#REF!</definedName>
    <definedName name="R__14">#REF!</definedName>
    <definedName name="R__22">#REF!</definedName>
    <definedName name="r_3300">#REF!</definedName>
    <definedName name="r_6700">#REF!</definedName>
    <definedName name="r_6800">#REF!</definedName>
    <definedName name="RA">#REF!</definedName>
    <definedName name="ra11p">"$#REF!.$AE$290"</definedName>
    <definedName name="ra13p">"$#REF!.$AD$110"</definedName>
    <definedName name="RAB">#REF!</definedName>
    <definedName name="RAB_1">#REF!</definedName>
    <definedName name="RAB_ASLI">#REF!</definedName>
    <definedName name="rabat">#REF!</definedName>
    <definedName name="rabEL">#REF!</definedName>
    <definedName name="RABME">#REF!</definedName>
    <definedName name="rack1">NA()</definedName>
    <definedName name="rack2">NA()</definedName>
    <definedName name="rack3">NA()</definedName>
    <definedName name="rack4">NA()</definedName>
    <definedName name="rahayu">#REF!</definedName>
    <definedName name="raiillingtanggaBSP">#REF!</definedName>
    <definedName name="rail_balkon">#REF!</definedName>
    <definedName name="rail_tangga">#REF!</definedName>
    <definedName name="railing">#REF!</definedName>
    <definedName name="RAILING1">#REF!</definedName>
    <definedName name="RAILING2">#REF!</definedName>
    <definedName name="RAILING3">#REF!</definedName>
    <definedName name="railingpipagip">#REF!</definedName>
    <definedName name="railingtanggaBSP\nonjasa">#REF!</definedName>
    <definedName name="Railling">#REF!</definedName>
    <definedName name="raillingkabelst">#REF!</definedName>
    <definedName name="raillingstornamen">#REF!</definedName>
    <definedName name="RAILLINGTANGGAUTAMA">#REF!</definedName>
    <definedName name="rakkabinmatv">#REF!</definedName>
    <definedName name="ram">#REF!</definedName>
    <definedName name="rambucis\nonjasa">#REF!</definedName>
    <definedName name="Rambucis411RHS">#REF!</definedName>
    <definedName name="Ramkawat">#REF!</definedName>
    <definedName name="RamNy">#REF!</definedName>
    <definedName name="ramset10">#REF!</definedName>
    <definedName name="ramset8">#REF!</definedName>
    <definedName name="Rangka_Pipa_rilling_steinles_steel_ø_2">#REF!</definedName>
    <definedName name="rangkahollow">#REF!</definedName>
    <definedName name="rangkametal">#REF!</definedName>
    <definedName name="RAP">#REF!</definedName>
    <definedName name="raq">#REF!</definedName>
    <definedName name="rataantnh">#REF!</definedName>
    <definedName name="RATE">"$#REF!.$#REF!$#REF!:$#REF!$#REF!"</definedName>
    <definedName name="raw">#REF!</definedName>
    <definedName name="rb">#REF!</definedName>
    <definedName name="RBC">#REF!</definedName>
    <definedName name="RCArea" hidden="1">#REF!</definedName>
    <definedName name="rd_0.5">#REF!</definedName>
    <definedName name="rd_3">#REF!</definedName>
    <definedName name="rd_4">#REF!</definedName>
    <definedName name="rdoor">#REF!</definedName>
    <definedName name="rdsh" hidden="1">{#N/A,#N/A,FALSE,"REK";#N/A,#N/A,FALSE,"rab"}</definedName>
    <definedName name="RDU">#REF!</definedName>
    <definedName name="RE">#REF!</definedName>
    <definedName name="ready">FST:(FSB)</definedName>
    <definedName name="Ready175">#REF!</definedName>
    <definedName name="Ready225">#REF!</definedName>
    <definedName name="readymixk250">#REF!</definedName>
    <definedName name="readymixk300">#REF!</definedName>
    <definedName name="readymixk350">#REF!</definedName>
    <definedName name="REAL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RECORD</definedName>
    <definedName name="Record1">Record1</definedName>
    <definedName name="Record10">Record10</definedName>
    <definedName name="Record11">Record11</definedName>
    <definedName name="Record12">Record12</definedName>
    <definedName name="Record13">Record13</definedName>
    <definedName name="Record14">Record14</definedName>
    <definedName name="Record15">Record15</definedName>
    <definedName name="Record16">Record16</definedName>
    <definedName name="Record17">Record17</definedName>
    <definedName name="Record18">Record18</definedName>
    <definedName name="Record19">Record19</definedName>
    <definedName name="Record2">Record2</definedName>
    <definedName name="Record20">Record20</definedName>
    <definedName name="Record21">Record21</definedName>
    <definedName name="Record22">Record22</definedName>
    <definedName name="Record23">Record23</definedName>
    <definedName name="Record3">Record3</definedName>
    <definedName name="Record4">Record4</definedName>
    <definedName name="Record5">Record5</definedName>
    <definedName name="Record6">Record6</definedName>
    <definedName name="Record7">Record7</definedName>
    <definedName name="Record8">Record8</definedName>
    <definedName name="Record9">Record9</definedName>
    <definedName name="_xlnm.Recorder">#REF!</definedName>
    <definedName name="red">red</definedName>
    <definedName name="redoxideprimer">#REF!</definedName>
    <definedName name="REK">#REF!</definedName>
    <definedName name="REK_AN">#REF!</definedName>
    <definedName name="REKAN">#REF!</definedName>
    <definedName name="REKAP">"$#REF!.$A$2318:$L$2379"</definedName>
    <definedName name="REKAP_TOTAL">NA()</definedName>
    <definedName name="REKAPITULASI_10">#REF!:#REF!</definedName>
    <definedName name="REKAPITULASI_11">#REF!:#REF!</definedName>
    <definedName name="REKAPITULASI_12">#REF!:#REF!</definedName>
    <definedName name="REKAPITULASI_14">#REF!:#REF!</definedName>
    <definedName name="REKAPITULASI_15">#REF!:#REF!</definedName>
    <definedName name="REKAPITULASI_16">#REF!:#REF!</definedName>
    <definedName name="REKAPITULASI_17">#REF!:#REF!</definedName>
    <definedName name="REKAPITULASI_18">#REF!:#REF!</definedName>
    <definedName name="REKAPITULASI_19">#REF!:#REF!</definedName>
    <definedName name="REKAPITULASI_20">#REF!:#REF!</definedName>
    <definedName name="REKAPITULASI_22">#REF!:#REF!</definedName>
    <definedName name="REKAPITULASI_23">#REF!:#REF!</definedName>
    <definedName name="REKAPITULASI_24">#REF!:#REF!</definedName>
    <definedName name="REKAPITULASI_25">#REF!:#REF!</definedName>
    <definedName name="REKAPITULASI_5">#REF!:#REF!</definedName>
    <definedName name="REKAPITULASI_6">#REF!:#REF!</definedName>
    <definedName name="REKAPITULASI_7">#REF!:#REF!</definedName>
    <definedName name="REKAPITULASI_8">#REF!:#REF!</definedName>
    <definedName name="REKAPPDP">#REF!</definedName>
    <definedName name="remic">#REF!</definedName>
    <definedName name="reng">#REF!</definedName>
    <definedName name="reng23bs">#REF!</definedName>
    <definedName name="reng23kb">#REF!</definedName>
    <definedName name="reng23ras">#REF!</definedName>
    <definedName name="reng34km">#REF!</definedName>
    <definedName name="reng34ras">#REF!</definedName>
    <definedName name="RENGJT">#REF!</definedName>
    <definedName name="rengusuk">#REF!</definedName>
    <definedName name="RENTAL">#REF!</definedName>
    <definedName name="REQUEST_FOR_APPROVAL_OF_CONTRACT">#REF!</definedName>
    <definedName name="RESD">RESD</definedName>
    <definedName name="residu.antirayap">#REF!</definedName>
    <definedName name="RESULT">#REF!</definedName>
    <definedName name="ret">#N/A</definedName>
    <definedName name="retromp">#REF!</definedName>
    <definedName name="retrosil">#REF!</definedName>
    <definedName name="REV">#REF!</definedName>
    <definedName name="RFSL">#REF!</definedName>
    <definedName name="rg">#REF!</definedName>
    <definedName name="rgajah">#REF!</definedName>
    <definedName name="RGB">#REF!</definedName>
    <definedName name="RH">#REF!</definedName>
    <definedName name="Rhend">#REF!</definedName>
    <definedName name="RHT">#REF!</definedName>
    <definedName name="riben.3">#REF!</definedName>
    <definedName name="riben.5">#REF!</definedName>
    <definedName name="rigid">#REF!</definedName>
    <definedName name="RINCIANSEWA">#REF!</definedName>
    <definedName name="RINCIANSEWA2">#REF!</definedName>
    <definedName name="ring1520">#REF!</definedName>
    <definedName name="ringbalk">#REF!</definedName>
    <definedName name="RINSU">#REF!</definedName>
    <definedName name="risermatv">#REF!</definedName>
    <definedName name="rjtrj" hidden="1">{"'Sheet1'!$A$1"}</definedName>
    <definedName name="rk">#REF!</definedName>
    <definedName name="rkbesi">#REF!</definedName>
    <definedName name="RLABO">#REF!</definedName>
    <definedName name="RltJt">#REF!</definedName>
    <definedName name="RltKp">#REF!</definedName>
    <definedName name="Rmart">#REF!</definedName>
    <definedName name="RMISC">#REF!</definedName>
    <definedName name="robehook">#REF!</definedName>
    <definedName name="Rodb">"$#REF!.$D$13"</definedName>
    <definedName name="rol">#REF!</definedName>
    <definedName name="rolagbata">#REF!</definedName>
    <definedName name="rolcat">#REF!</definedName>
    <definedName name="rolcat_6">#REF!</definedName>
    <definedName name="Rolct">#REF!</definedName>
    <definedName name="ROLL">#REF!</definedName>
    <definedName name="Roll3">#REF!</definedName>
    <definedName name="Roll8">#REF!</definedName>
    <definedName name="rollag">#REF!</definedName>
    <definedName name="Roman">#REF!</definedName>
    <definedName name="romangress">#REF!</definedName>
    <definedName name="roof_4">#REF!</definedName>
    <definedName name="rool">#REF!</definedName>
    <definedName name="Room">#REF!</definedName>
    <definedName name="roos">#REF!</definedName>
    <definedName name="rope">#REF!</definedName>
    <definedName name="ror">#REF!</definedName>
    <definedName name="Rosb2">#REF!</definedName>
    <definedName name="Rosb3">#REF!</definedName>
    <definedName name="roster">#REF!</definedName>
    <definedName name="Roster_Pejaten">#REF!</definedName>
    <definedName name="rosterbetoncetak10x20">#REF!</definedName>
    <definedName name="rosterbetoncetak20x20">#REF!</definedName>
    <definedName name="rosterkeramik20x20">#REF!</definedName>
    <definedName name="rosterterawang10x20">#REF!</definedName>
    <definedName name="ROUND">#REF!</definedName>
    <definedName name="round1">#REF!</definedName>
    <definedName name="Round1_6">#REF!</definedName>
    <definedName name="round2">#REF!</definedName>
    <definedName name="Round2_6">#REF!</definedName>
    <definedName name="ROUNDDOL">NA()</definedName>
    <definedName name="ROUNDED">NA()</definedName>
    <definedName name="ROUNDL">#REF!</definedName>
    <definedName name="ROUNDM">#REF!</definedName>
    <definedName name="ROWpost">#REF!</definedName>
    <definedName name="RP">"$#REF!.$H$2357"</definedName>
    <definedName name="Rp.">#REF!</definedName>
    <definedName name="Rp_Yen">#REF!</definedName>
    <definedName name="RPAIN">#REF!</definedName>
    <definedName name="rpm">#REF!</definedName>
    <definedName name="RPRATE">#REF!</definedName>
    <definedName name="RR">#REF!</definedName>
    <definedName name="rrrrr">#REF!</definedName>
    <definedName name="rsd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#REF!</definedName>
    <definedName name="rtejhv" hidden="1">{#N/A,#N/A,FALSE,"REK";#N/A,#N/A,FALSE,"rab"}</definedName>
    <definedName name="RTEST">#REF!</definedName>
    <definedName name="rty" hidden="1">{#N/A,#N/A,FALSE,"REK";#N/A,#N/A,FALSE,"Bq-ARS"}</definedName>
    <definedName name="rtyu" hidden="1">{"'Sheet1'!$A$1"}</definedName>
    <definedName name="rubber">#REF!</definedName>
    <definedName name="Rucika">#REF!</definedName>
    <definedName name="Rucika_Wavin">#REF!</definedName>
    <definedName name="rukan_a">#REF!</definedName>
    <definedName name="rukan_aa">#REF!</definedName>
    <definedName name="rukan_b">#REF!</definedName>
    <definedName name="rukan_c">#REF!</definedName>
    <definedName name="rukan_cc">#REF!</definedName>
    <definedName name="rukan_d">#REF!</definedName>
    <definedName name="rukan_dd">#REF!</definedName>
    <definedName name="rukan_e">#REF!</definedName>
    <definedName name="rukan_ee">#REF!</definedName>
    <definedName name="Ruko">#REF!</definedName>
    <definedName name="RUMPUT">"$#REF!.$AQ$4:$AQ$688"</definedName>
    <definedName name="rumputgajah">#REF!</definedName>
    <definedName name="rumputgajah\m2">#REF!</definedName>
    <definedName name="Rumputjepang">#REF!</definedName>
    <definedName name="Rumputpeking">#REF!</definedName>
    <definedName name="rumus">#REF!</definedName>
    <definedName name="RUMUS1">#REF!</definedName>
    <definedName name="rumus2">#REF!</definedName>
    <definedName name="RUPA">#REF!</definedName>
    <definedName name="RUPIAH">#REF!</definedName>
    <definedName name="RUTIN">#REF!</definedName>
    <definedName name="rytj" hidden="1">{#N/A,#N/A,FALSE,"REK";#N/A,#N/A,FALSE,"rab"}</definedName>
    <definedName name="ryyy" hidden="1">{"'Sheet1'!$A$1"}</definedName>
    <definedName name="S">#REF!</definedName>
    <definedName name="S.1">#REF!</definedName>
    <definedName name="S.10">#REF!</definedName>
    <definedName name="s.100">#REF!</definedName>
    <definedName name="s.100_9">#REF!</definedName>
    <definedName name="S.11">#REF!</definedName>
    <definedName name="S.12">#REF!</definedName>
    <definedName name="S.13">#REF!</definedName>
    <definedName name="S.14">#REF!</definedName>
    <definedName name="S.15">#REF!</definedName>
    <definedName name="S.16">#REF!</definedName>
    <definedName name="S.17">#REF!</definedName>
    <definedName name="S.2">#REF!</definedName>
    <definedName name="S.21">#REF!</definedName>
    <definedName name="S.21_23">#REF!</definedName>
    <definedName name="S.21_25">#REF!</definedName>
    <definedName name="S.23">#REF!</definedName>
    <definedName name="S.23_23">#REF!</definedName>
    <definedName name="S.23_25">#REF!</definedName>
    <definedName name="S.24">#REF!</definedName>
    <definedName name="S.24_23">#REF!</definedName>
    <definedName name="S.24_25">#REF!</definedName>
    <definedName name="S.25">#REF!</definedName>
    <definedName name="S.25_23">#REF!</definedName>
    <definedName name="S.25_25">#REF!</definedName>
    <definedName name="S.26">#REF!</definedName>
    <definedName name="S.26_23">#REF!</definedName>
    <definedName name="S.26_25">#REF!</definedName>
    <definedName name="S.3">#REF!</definedName>
    <definedName name="S.3\STP">#REF!</definedName>
    <definedName name="S.4">#REF!</definedName>
    <definedName name="S.5">#REF!</definedName>
    <definedName name="S.5A">#REF!</definedName>
    <definedName name="S.6">#REF!</definedName>
    <definedName name="s.60">#REF!</definedName>
    <definedName name="s.60_9">#REF!</definedName>
    <definedName name="S.7">#REF!</definedName>
    <definedName name="S.8">#REF!</definedName>
    <definedName name="s.80">#REF!</definedName>
    <definedName name="s.80_9">#REF!</definedName>
    <definedName name="S.8A">#REF!</definedName>
    <definedName name="S.9">#REF!</definedName>
    <definedName name="S.BARU">#REF!</definedName>
    <definedName name="S.BARU_23">#REF!</definedName>
    <definedName name="S.BARU_25">#REF!</definedName>
    <definedName name="S.LAMA.A">#REF!</definedName>
    <definedName name="S.LAMA.A_23">#REF!</definedName>
    <definedName name="S.LAMA.A_25">#REF!</definedName>
    <definedName name="S.LAMA.B">#REF!</definedName>
    <definedName name="S.LAMA.B_23">#REF!</definedName>
    <definedName name="S.LAMA.B_25">#REF!</definedName>
    <definedName name="S.LAMA.C">#REF!</definedName>
    <definedName name="S.LAMA.C_23">#REF!</definedName>
    <definedName name="S.LAMA.C_25">#REF!</definedName>
    <definedName name="s.tukang">#REF!</definedName>
    <definedName name="s.warna">#REF!</definedName>
    <definedName name="s_0.3">#REF!</definedName>
    <definedName name="S1\GWT">#REF!</definedName>
    <definedName name="s11n">#REF!</definedName>
    <definedName name="S1X">"$Plat.$R$#REF!"</definedName>
    <definedName name="S2\GWT">#REF!</definedName>
    <definedName name="S2X">"$Plat.$R$#REF!"</definedName>
    <definedName name="S3X">"$Plat.$R$#REF!"</definedName>
    <definedName name="S4X">"$Plat.$R$#REF!"</definedName>
    <definedName name="s5x">"$Plat.$R$#REF!"</definedName>
    <definedName name="S6\GWT">#REF!</definedName>
    <definedName name="sa">#REF!</definedName>
    <definedName name="SA.1">#REF!</definedName>
    <definedName name="SA.1_23">#REF!</definedName>
    <definedName name="SA.1_25">#REF!</definedName>
    <definedName name="SA.10">#REF!</definedName>
    <definedName name="SA.10_23">#REF!</definedName>
    <definedName name="SA.10_25">#REF!</definedName>
    <definedName name="SA.11">#REF!</definedName>
    <definedName name="SA.11_23">#REF!</definedName>
    <definedName name="SA.11_25">#REF!</definedName>
    <definedName name="SA.12">#REF!</definedName>
    <definedName name="SA.12_23">#REF!</definedName>
    <definedName name="SA.12_25">#REF!</definedName>
    <definedName name="SA.13">#REF!</definedName>
    <definedName name="SA.13_23">#REF!</definedName>
    <definedName name="SA.13_25">#REF!</definedName>
    <definedName name="SA.14">#REF!</definedName>
    <definedName name="SA.14_23">#REF!</definedName>
    <definedName name="SA.14_25">#REF!</definedName>
    <definedName name="SA.2">#REF!</definedName>
    <definedName name="SA.2_23">#REF!</definedName>
    <definedName name="SA.2_25">#REF!</definedName>
    <definedName name="SA.3">#REF!</definedName>
    <definedName name="SA.3_23">#REF!</definedName>
    <definedName name="SA.3_25">#REF!</definedName>
    <definedName name="SA.4">#REF!</definedName>
    <definedName name="SA.4_23">#REF!</definedName>
    <definedName name="SA.4_25">#REF!</definedName>
    <definedName name="SA.5">#REF!</definedName>
    <definedName name="SA.5_23">#REF!</definedName>
    <definedName name="SA.5_25">#REF!</definedName>
    <definedName name="SA.6">#REF!</definedName>
    <definedName name="SA.6_23">#REF!</definedName>
    <definedName name="SA.6_25">#REF!</definedName>
    <definedName name="SA.7">#REF!</definedName>
    <definedName name="SA.7_23">#REF!</definedName>
    <definedName name="SA.7_25">#REF!</definedName>
    <definedName name="SA.8">#REF!</definedName>
    <definedName name="SA.8_23">#REF!</definedName>
    <definedName name="SA.8_25">#REF!</definedName>
    <definedName name="SA.9">#REF!</definedName>
    <definedName name="SA.9_23">#REF!</definedName>
    <definedName name="SA.9_25">#REF!</definedName>
    <definedName name="sab">#REF!</definedName>
    <definedName name="sab_9">#REF!</definedName>
    <definedName name="sabantu">#REF!</definedName>
    <definedName name="sabantu_9">#REF!</definedName>
    <definedName name="sabub">#REF!</definedName>
    <definedName name="sabub_9">#REF!</definedName>
    <definedName name="sabun">#REF!</definedName>
    <definedName name="sac">#REF!</definedName>
    <definedName name="sac_9">#REF!</definedName>
    <definedName name="SAFETY_CONTROL">#REF!</definedName>
    <definedName name="sag">#REF!</definedName>
    <definedName name="sak.1">#REF!</definedName>
    <definedName name="sak.2">#REF!</definedName>
    <definedName name="Saklar_doble_sekualitas_broco">#REF!</definedName>
    <definedName name="Saklar_tunggal_sekualitas_broco">#REF!</definedName>
    <definedName name="sal">#REF!</definedName>
    <definedName name="sal_2020">#REF!</definedName>
    <definedName name="sal_k">#REF!</definedName>
    <definedName name="SALARY">#REF!</definedName>
    <definedName name="SALARY___WAGE">#REF!</definedName>
    <definedName name="SALES">#REF!</definedName>
    <definedName name="salhujan">#REF!</definedName>
    <definedName name="salt">#REF!</definedName>
    <definedName name="saluran">#REF!</definedName>
    <definedName name="saluranU.40batu">#REF!</definedName>
    <definedName name="saluraU.60batu">#REF!</definedName>
    <definedName name="sambung">#REF!</definedName>
    <definedName name="sambung450">#REF!</definedName>
    <definedName name="sambung600">#REF!</definedName>
    <definedName name="San">#REF!</definedName>
    <definedName name="sandstone">#REF!</definedName>
    <definedName name="SANITAIR1">#REF!</definedName>
    <definedName name="sanlek">#REF!</definedName>
    <definedName name="sanlex">#REF!</definedName>
    <definedName name="sanlex_6">#REF!</definedName>
    <definedName name="sanyo">#REF!</definedName>
    <definedName name="sap">#REF!</definedName>
    <definedName name="sarogol">#REF!</definedName>
    <definedName name="sasb">#REF!</definedName>
    <definedName name="sasb_9">#REF!</definedName>
    <definedName name="SASE">#REF!</definedName>
    <definedName name="sat">#REF!</definedName>
    <definedName name="satb">#REF!</definedName>
    <definedName name="satb_9">#REF!</definedName>
    <definedName name="satrev">#REF!</definedName>
    <definedName name="Satu">#REF!</definedName>
    <definedName name="Satuan">#REF!</definedName>
    <definedName name="sb">#REF!</definedName>
    <definedName name="SB.1">#REF!</definedName>
    <definedName name="SB.1_23">#REF!</definedName>
    <definedName name="SB.1_25">#REF!</definedName>
    <definedName name="SB.2">#REF!</definedName>
    <definedName name="SB.2_23">#REF!</definedName>
    <definedName name="SB.2_25">#REF!</definedName>
    <definedName name="SB.3">#REF!</definedName>
    <definedName name="SB.3_23">#REF!</definedName>
    <definedName name="SB.3_25">#REF!</definedName>
    <definedName name="SB.4">#REF!</definedName>
    <definedName name="SB.4_23">#REF!</definedName>
    <definedName name="SB.4_25">#REF!</definedName>
    <definedName name="SB.5">#REF!</definedName>
    <definedName name="SB.5_23">#REF!</definedName>
    <definedName name="SB.5_25">#REF!</definedName>
    <definedName name="SB1X">#REF!</definedName>
    <definedName name="SB2X">#REF!</definedName>
    <definedName name="SB3X">#REF!</definedName>
    <definedName name="SBASE">#REF!</definedName>
    <definedName name="sbb">#REF!</definedName>
    <definedName name="sbb.05">#REF!</definedName>
    <definedName name="sbb.05_9">#REF!</definedName>
    <definedName name="sbb.1">#REF!</definedName>
    <definedName name="sbb.1_9">#REF!</definedName>
    <definedName name="sbb.10">#REF!</definedName>
    <definedName name="sbb.10_9">#REF!</definedName>
    <definedName name="sbb.2">#REF!</definedName>
    <definedName name="sbb.2_9">#REF!</definedName>
    <definedName name="sbb.3">#REF!</definedName>
    <definedName name="sbb.3_9">#REF!</definedName>
    <definedName name="sbb.5">#REF!</definedName>
    <definedName name="sbb.5_9">#REF!</definedName>
    <definedName name="sbb.7">#REF!</definedName>
    <definedName name="sbb.7_9">#REF!</definedName>
    <definedName name="sbb_9">#REF!</definedName>
    <definedName name="sbensin">#REF!</definedName>
    <definedName name="sbensin_9">#REF!</definedName>
    <definedName name="sbg">#REF!</definedName>
    <definedName name="sbg_9">#REF!</definedName>
    <definedName name="sbk">#REF!</definedName>
    <definedName name="sbk_9">#REF!</definedName>
    <definedName name="sbkp">#REF!</definedName>
    <definedName name="sbkp_9">#REF!</definedName>
    <definedName name="SBO">#REF!</definedName>
    <definedName name="sbt">#REF!</definedName>
    <definedName name="sbt_9">#REF!</definedName>
    <definedName name="sbtb">#REF!</definedName>
    <definedName name="sbtb_9">#REF!</definedName>
    <definedName name="sbtk">#REF!</definedName>
    <definedName name="sbtk_9">#REF!</definedName>
    <definedName name="sbtp">#REF!</definedName>
    <definedName name="sbtp_9">#REF!</definedName>
    <definedName name="sbtpb">#REF!</definedName>
    <definedName name="sbtpb_9">#REF!</definedName>
    <definedName name="sc">#REF!</definedName>
    <definedName name="SC.1">#REF!</definedName>
    <definedName name="SC.1_23">#REF!</definedName>
    <definedName name="SC.1_25">#REF!</definedName>
    <definedName name="sc_0.03">#REF!</definedName>
    <definedName name="sc_0.05">#REF!</definedName>
    <definedName name="sc_0.51">#REF!</definedName>
    <definedName name="scab">#REF!</definedName>
    <definedName name="scab_9">#REF!</definedName>
    <definedName name="SCAFFOLDING">#REF!</definedName>
    <definedName name="scafolding">#REF!</definedName>
    <definedName name="scc">#REF!</definedName>
    <definedName name="sced">#N/A</definedName>
    <definedName name="scedu">#REF!</definedName>
    <definedName name="SCEDULE">#REF!</definedName>
    <definedName name="scfold">#REF!</definedName>
    <definedName name="sch">#REF!</definedName>
    <definedName name="Schedule">#REF!</definedName>
    <definedName name="SCHEDULLE">#REF!</definedName>
    <definedName name="scj">#REF!</definedName>
    <definedName name="scj_9">#REF!</definedName>
    <definedName name="SCJUL">#REF!</definedName>
    <definedName name="scred">#REF!</definedName>
    <definedName name="screed">#REF!</definedName>
    <definedName name="screed5cm">#REF!</definedName>
    <definedName name="screening">#REF!</definedName>
    <definedName name="sd">#REF!</definedName>
    <definedName name="sd_1">#REF!</definedName>
    <definedName name="sd_12">#REF!</definedName>
    <definedName name="sd_2">#REF!</definedName>
    <definedName name="sd_3">#REF!</definedName>
    <definedName name="sd_4">#REF!</definedName>
    <definedName name="sd_5">#REF!</definedName>
    <definedName name="sd_6">#REF!</definedName>
    <definedName name="sd1_1">#REF!</definedName>
    <definedName name="sd1_2">#REF!</definedName>
    <definedName name="sd1_3">#REF!</definedName>
    <definedName name="sd1_5">#REF!</definedName>
    <definedName name="sd1_6">#REF!</definedName>
    <definedName name="sd1_7">#REF!</definedName>
    <definedName name="sd1_8">#REF!</definedName>
    <definedName name="sd1_9">#REF!</definedName>
    <definedName name="sd2_1">#REF!</definedName>
    <definedName name="sd2_2">#REF!</definedName>
    <definedName name="sd2_3">#REF!</definedName>
    <definedName name="sd2_4">#REF!</definedName>
    <definedName name="sd2_5">#REF!</definedName>
    <definedName name="sd2_6">#REF!</definedName>
    <definedName name="sd2_7">#REF!</definedName>
    <definedName name="sd2_8">#REF!</definedName>
    <definedName name="sd3_1">#REF!</definedName>
    <definedName name="sd3_3">#REF!</definedName>
    <definedName name="sd3_4">#REF!</definedName>
    <definedName name="sd3_5">#REF!</definedName>
    <definedName name="sd3_6">#REF!</definedName>
    <definedName name="sd3_7">#REF!</definedName>
    <definedName name="sd3p">NA()</definedName>
    <definedName name="sd4_1">#REF!</definedName>
    <definedName name="sd4_2">#REF!</definedName>
    <definedName name="sd4_3">#REF!</definedName>
    <definedName name="sd4_4">#REF!</definedName>
    <definedName name="sd4_5">#REF!</definedName>
    <definedName name="sd4_6">#REF!</definedName>
    <definedName name="sd4_7">#REF!</definedName>
    <definedName name="sd4_8">#REF!</definedName>
    <definedName name="sd5_a">#REF!</definedName>
    <definedName name="sd5_b">#REF!</definedName>
    <definedName name="sd5_c">#REF!</definedName>
    <definedName name="sd5_d">#REF!</definedName>
    <definedName name="sd5_f">#REF!</definedName>
    <definedName name="sd5_g">#REF!</definedName>
    <definedName name="sd5_h">#REF!</definedName>
    <definedName name="sd5_i">#REF!</definedName>
    <definedName name="sda" hidden="1">#REF!</definedName>
    <definedName name="SDD">#REF!</definedName>
    <definedName name="sdf" hidden="1">{"'Sheet1'!$A$1"}</definedName>
    <definedName name="sdfgfhjkj">#REF!</definedName>
    <definedName name="sdfwrg" hidden="1">{"'Sheet1'!$A$1"}</definedName>
    <definedName name="SDMONG">"$#REF!.$AB$8:$AG$28"</definedName>
    <definedName name="sdree">#REF!</definedName>
    <definedName name="sdtbk">#REF!</definedName>
    <definedName name="sdtg" hidden="1">{"'Sheet1'!$A$1"}</definedName>
    <definedName name="sdu_1">#REF!</definedName>
    <definedName name="sdu_2">#REF!</definedName>
    <definedName name="sdu1_a">#REF!</definedName>
    <definedName name="sdu1_b">#REF!</definedName>
    <definedName name="sdu1_c">#REF!</definedName>
    <definedName name="sdu1_d">#REF!</definedName>
    <definedName name="sdu1_f">#REF!</definedName>
    <definedName name="sdu1_h">#REF!</definedName>
    <definedName name="sdu1_j">#REF!</definedName>
    <definedName name="sdu2_a">#REF!</definedName>
    <definedName name="sdu2_b">#REF!</definedName>
    <definedName name="sdu2_c">#REF!</definedName>
    <definedName name="sdu2_d">#REF!</definedName>
    <definedName name="sdu2_f">#REF!</definedName>
    <definedName name="sdu2_h">#REF!</definedName>
    <definedName name="sdu2_k">#REF!</definedName>
    <definedName name="sdvfv" hidden="1">{"'Sheet1'!$A$1"}</definedName>
    <definedName name="SE">#REF!</definedName>
    <definedName name="Sealbond">#REF!</definedName>
    <definedName name="sealent">#REF!</definedName>
    <definedName name="sealer">#REF!</definedName>
    <definedName name="sealer.mowi">#REF!</definedName>
    <definedName name="sealer.vini">#REF!</definedName>
    <definedName name="Sealtp">#REF!</definedName>
    <definedName name="SEC.C1" hidden="1">#REF!</definedName>
    <definedName name="sedia">#REF!</definedName>
    <definedName name="seiv">#REF!</definedName>
    <definedName name="sekat">#REF!</definedName>
    <definedName name="Sekro">#REF!</definedName>
    <definedName name="sekruphakpanjang">#REF!</definedName>
    <definedName name="Selimut">#REF!</definedName>
    <definedName name="selisih">#REF!</definedName>
    <definedName name="selo">#REF!</definedName>
    <definedName name="Selot.1">#REF!</definedName>
    <definedName name="Selot.2">#REF!</definedName>
    <definedName name="selotip">#REF!</definedName>
    <definedName name="sembilanbelas">#REF!</definedName>
    <definedName name="Semen">#REF!</definedName>
    <definedName name="semen.g">#REF!</definedName>
    <definedName name="Semen_PC">#REF!</definedName>
    <definedName name="Semen_PC_9">#REF!</definedName>
    <definedName name="SEMENPC">#REF!</definedName>
    <definedName name="semenwar">#REF!</definedName>
    <definedName name="SEMENWARNA">#REF!</definedName>
    <definedName name="semeton">#REF!</definedName>
    <definedName name="seminar_l">#REF!</definedName>
    <definedName name="seminar_u">#REF!</definedName>
    <definedName name="senayan">#REF!</definedName>
    <definedName name="send.s">#REF!</definedName>
    <definedName name="Sendingsealer">#REF!</definedName>
    <definedName name="seng">#REF!</definedName>
    <definedName name="Seng_Spandek">#REF!</definedName>
    <definedName name="senggel">#REF!</definedName>
    <definedName name="senggelombang">#REF!</definedName>
    <definedName name="senggelombang0.20mm">#REF!</definedName>
    <definedName name="senggelombang0.30mm">#REF!</definedName>
    <definedName name="senggol">#REF!</definedName>
    <definedName name="sengkanganB10.4">#REF!</definedName>
    <definedName name="sengkangB1.1">#REF!</definedName>
    <definedName name="sengkangB1.2">#REF!</definedName>
    <definedName name="sengkangB1.3">#REF!</definedName>
    <definedName name="sengkangB1.4">#REF!</definedName>
    <definedName name="sengkangB1.5">#REF!</definedName>
    <definedName name="sengkangB10.1">#REF!</definedName>
    <definedName name="sengkangB10.2">#REF!</definedName>
    <definedName name="sengkangB10.3">#REF!</definedName>
    <definedName name="sengkangB10.5">#REF!</definedName>
    <definedName name="sengkangB2.1">#REF!</definedName>
    <definedName name="sengkangB2.2">#REF!</definedName>
    <definedName name="sengkangB2.3">#REF!</definedName>
    <definedName name="sengkangB2.4">#REF!</definedName>
    <definedName name="sengkangB2.5">#REF!</definedName>
    <definedName name="sengkangB3.1">#REF!</definedName>
    <definedName name="sengkangB3.2">#REF!</definedName>
    <definedName name="sengkangB3.3">#REF!</definedName>
    <definedName name="sengkangB3.4">#REF!</definedName>
    <definedName name="sengkangB3.5">#REF!</definedName>
    <definedName name="sengkangB4.1">#REF!</definedName>
    <definedName name="sengkangB4.2">#REF!</definedName>
    <definedName name="sengkangB4.3">#REF!</definedName>
    <definedName name="sengkangB4.4">#REF!</definedName>
    <definedName name="sengkangB4.5">#REF!</definedName>
    <definedName name="sengkangB5.1">#REF!</definedName>
    <definedName name="sengkangB5.2">#REF!</definedName>
    <definedName name="sengkangB5.3">#REF!</definedName>
    <definedName name="sengkangB5.4">#REF!</definedName>
    <definedName name="sengkangB5.5">#REF!</definedName>
    <definedName name="sengkangB6.1">#REF!</definedName>
    <definedName name="sengkangB6.2">#REF!</definedName>
    <definedName name="sengkangB6.3">#REF!</definedName>
    <definedName name="sengkangB6.4">#REF!</definedName>
    <definedName name="sengkangB6.5">#REF!</definedName>
    <definedName name="sengkangB6.6">#REF!</definedName>
    <definedName name="sengkangB6.7">#REF!</definedName>
    <definedName name="sengkangB7.1">#REF!</definedName>
    <definedName name="sengkangB7.2">#REF!</definedName>
    <definedName name="sengkangB7.3">#REF!</definedName>
    <definedName name="sengkangB7.4">#REF!</definedName>
    <definedName name="sengkangB7.5">#REF!</definedName>
    <definedName name="sengkangB7.6">#REF!</definedName>
    <definedName name="sengkangB7.7">#REF!</definedName>
    <definedName name="sengkangB8.1">#REF!</definedName>
    <definedName name="sengkangB8.2">#REF!</definedName>
    <definedName name="sengkangB8.3">#REF!</definedName>
    <definedName name="sengkangB8.4">#REF!</definedName>
    <definedName name="sengkangB8.5">#REF!</definedName>
    <definedName name="sengkangB9.1">#REF!</definedName>
    <definedName name="sengkangB9.2">#REF!</definedName>
    <definedName name="sengkangB9.3">#REF!</definedName>
    <definedName name="sengkangB9.4">#REF!</definedName>
    <definedName name="sengkangB9.5">#REF!</definedName>
    <definedName name="sengkangBR.1">#REF!</definedName>
    <definedName name="sengkangBTG.1">#REF!</definedName>
    <definedName name="sengkangBTG.1A">#REF!</definedName>
    <definedName name="sengkangBTG.2">#REF!</definedName>
    <definedName name="sengkangBTG.2A">#REF!</definedName>
    <definedName name="sengkangBTG.2B">#REF!</definedName>
    <definedName name="sengkangBTG.3">#REF!</definedName>
    <definedName name="sengkangK1.lt.1">#REF!</definedName>
    <definedName name="sengkangK1.lt.2">#REF!</definedName>
    <definedName name="sengkangK1.lt.3">#REF!</definedName>
    <definedName name="sengkangK1.lt.dsr">#REF!</definedName>
    <definedName name="sengkangK10.lt.1">#REF!</definedName>
    <definedName name="sengkangK10.lt.2">#REF!</definedName>
    <definedName name="sengkangK10.lt.3">#REF!</definedName>
    <definedName name="sengkangK10.lt.dsr">#REF!</definedName>
    <definedName name="sengkangK2.lt.1">#REF!</definedName>
    <definedName name="sengkangK2.lt.2">#REF!</definedName>
    <definedName name="sengkangK2.lt.3">#REF!</definedName>
    <definedName name="sengkangK2.lt.dsr">#REF!</definedName>
    <definedName name="sengkangK3.lt.1">#REF!</definedName>
    <definedName name="sengkangK3.lt.2">#REF!</definedName>
    <definedName name="sengkangK3.lt.3">#REF!</definedName>
    <definedName name="sengkangK3.lt.dsr">#REF!</definedName>
    <definedName name="sengkangK4.lt.1">#REF!</definedName>
    <definedName name="sengkangK4.lt.2">#REF!</definedName>
    <definedName name="sengkangK4.lt.dsr">#REF!</definedName>
    <definedName name="sengkangK4.lt3">#REF!</definedName>
    <definedName name="sengkangK5.lt.1">#REF!</definedName>
    <definedName name="sengkangK5.lt.2">#REF!</definedName>
    <definedName name="sengkangK5.lt.3">#REF!</definedName>
    <definedName name="sengkangK5.lt.dsr">#REF!</definedName>
    <definedName name="sengkangK6.lt.1">#REF!</definedName>
    <definedName name="sengkangK6.lt.2">#REF!</definedName>
    <definedName name="sengkangK6.lt.3">#REF!</definedName>
    <definedName name="sengkangK6.lt.dsr">#REF!</definedName>
    <definedName name="sengkangK7.lt.1">#REF!</definedName>
    <definedName name="sengkangK7.lt.2">#REF!</definedName>
    <definedName name="sengkangK7.lt.3">#REF!</definedName>
    <definedName name="sengkangK7.lt.dsr">#REF!</definedName>
    <definedName name="sengkangK8.lt.1">#REF!</definedName>
    <definedName name="sengkangK8.lt.2">#REF!</definedName>
    <definedName name="sengkangK8.lt.3">#REF!</definedName>
    <definedName name="sengkangK8.lt.dsr">#REF!</definedName>
    <definedName name="sengkangK9.lt.1">#REF!</definedName>
    <definedName name="sengkangK9.lt.2">#REF!</definedName>
    <definedName name="sengkangK9.lt.3">#REF!</definedName>
    <definedName name="sengkangK9.lt.dsr">#REF!</definedName>
    <definedName name="sengkangKL">#REF!</definedName>
    <definedName name="sengkangKR1">#REF!</definedName>
    <definedName name="sengkangKTG1">#REF!</definedName>
    <definedName name="sengkangKTG1A">#REF!</definedName>
    <definedName name="sengkangKTG2">#REF!</definedName>
    <definedName name="sengkangTB.1">#REF!</definedName>
    <definedName name="SengkangTB.2">#REF!</definedName>
    <definedName name="sengkangTB.3">#REF!</definedName>
    <definedName name="sengkangTB.4">#REF!</definedName>
    <definedName name="sengkangTB.5">#REF!</definedName>
    <definedName name="sengkangTB.6">#REF!</definedName>
    <definedName name="SENGPL">#REF!</definedName>
    <definedName name="sengplatbjls40">#REF!</definedName>
    <definedName name="sept.1">#REF!</definedName>
    <definedName name="sept.2">#REF!</definedName>
    <definedName name="septick1.5">#REF!</definedName>
    <definedName name="septick2">#REF!</definedName>
    <definedName name="septick4">#REF!</definedName>
    <definedName name="septick5">#REF!</definedName>
    <definedName name="serbaguna">#REF!</definedName>
    <definedName name="servlist">#REF!</definedName>
    <definedName name="SET">#REF!</definedName>
    <definedName name="setengah">#REF!</definedName>
    <definedName name="SetPlate">#REF!</definedName>
    <definedName name="sewalift">#REF!</definedName>
    <definedName name="sewapompa">#REF!</definedName>
    <definedName name="sewar">#REF!</definedName>
    <definedName name="SFAG">STOP:STOPE</definedName>
    <definedName name="SFAG_10">#REF!:#REF!</definedName>
    <definedName name="SFAG_11">#REF!:#REF!</definedName>
    <definedName name="SFAG_12">#REF!:#REF!</definedName>
    <definedName name="SFAG_14">#REF!:#REF!</definedName>
    <definedName name="SFAG_15">#REF!:#REF!</definedName>
    <definedName name="SFAG_16">#REF!:#REF!</definedName>
    <definedName name="SFAG_17">#REF!:#REF!</definedName>
    <definedName name="SFAG_18">#REF!:#REF!</definedName>
    <definedName name="SFAG_19">#REF!:#REF!</definedName>
    <definedName name="SFAG_20">#REF!:#REF!</definedName>
    <definedName name="SFAG_22">#REF!:#REF!</definedName>
    <definedName name="SFAG_23">#REF!:#REF!</definedName>
    <definedName name="SFAG_24">#REF!:#REF!</definedName>
    <definedName name="SFAG_25">#REF!:#REF!</definedName>
    <definedName name="SFAG_5">#REF!:#REF!</definedName>
    <definedName name="SFAG_6">#REF!:#REF!</definedName>
    <definedName name="SFAG_7">#REF!:#REF!</definedName>
    <definedName name="SFAG_8">#REF!:#REF!</definedName>
    <definedName name="SFL">#REF!</definedName>
    <definedName name="sfsav">STOP:STOPE</definedName>
    <definedName name="sfsav_10">#REF!:#REF!</definedName>
    <definedName name="sfsav_11">#REF!:#REF!</definedName>
    <definedName name="sfsav_12">#REF!:#REF!</definedName>
    <definedName name="sfsav_14">#REF!:#REF!</definedName>
    <definedName name="sfsav_15">#REF!:#REF!</definedName>
    <definedName name="sfsav_16">#REF!:#REF!</definedName>
    <definedName name="sfsav_17">#REF!:#REF!</definedName>
    <definedName name="sfsav_18">#REF!:#REF!</definedName>
    <definedName name="sfsav_19">#REF!:#REF!</definedName>
    <definedName name="sfsav_20">#REF!:#REF!</definedName>
    <definedName name="sfsav_22">#REF!:#REF!</definedName>
    <definedName name="sfsav_23">#REF!:#REF!</definedName>
    <definedName name="sfsav_24">#REF!:#REF!</definedName>
    <definedName name="sfsav_25">#REF!:#REF!</definedName>
    <definedName name="sfsav_5">#REF!:#REF!</definedName>
    <definedName name="sfsav_6">#REF!:#REF!</definedName>
    <definedName name="sfsav_7">#REF!:#REF!</definedName>
    <definedName name="sfsav_8">#REF!:#REF!</definedName>
    <definedName name="sfvd100">#REF!</definedName>
    <definedName name="sg">#REF!</definedName>
    <definedName name="SGD">#REF!</definedName>
    <definedName name="sgel">#REF!</definedName>
    <definedName name="sgnc">NA()</definedName>
    <definedName name="sgvl">NA()</definedName>
    <definedName name="sgyf">#REF!</definedName>
    <definedName name="sh_4040">#REF!</definedName>
    <definedName name="sh_s6">#REF!</definedName>
    <definedName name="sheet.doublecylinder">#REF!</definedName>
    <definedName name="Sheetpile">#REF!</definedName>
    <definedName name="SHF">#REF!</definedName>
    <definedName name="shower">#REF!</definedName>
    <definedName name="showermixer">#REF!</definedName>
    <definedName name="showerspray">#REF!</definedName>
    <definedName name="ShowersprayTX403SN5">#REF!</definedName>
    <definedName name="showertray">#REF!</definedName>
    <definedName name="shrs">#REF!</definedName>
    <definedName name="shrs_9">#REF!</definedName>
    <definedName name="sht">NA()</definedName>
    <definedName name="sht3p">NA()</definedName>
    <definedName name="SI">#REF!</definedName>
    <definedName name="SIAP">#REF!</definedName>
    <definedName name="SIGNATURE">#REF!</definedName>
    <definedName name="sikat">#REF!</definedName>
    <definedName name="sikp">#REF!</definedName>
    <definedName name="siku">#REF!</definedName>
    <definedName name="siku50.50.5">#REF!</definedName>
    <definedName name="siku60.60.6">#REF!</definedName>
    <definedName name="siltip">#REF!</definedName>
    <definedName name="SIM">#REF!</definedName>
    <definedName name="simpang">#REF!</definedName>
    <definedName name="sin">#REF!</definedName>
    <definedName name="sinfchannelamp">#REF!</definedName>
    <definedName name="Singk">#REF!</definedName>
    <definedName name="sinkmixer">#REF!</definedName>
    <definedName name="sinkstrainer">#REF!</definedName>
    <definedName name="SIPIL">#REF!</definedName>
    <definedName name="SIPIL_6">#REF!</definedName>
    <definedName name="SIPIL_8">#REF!</definedName>
    <definedName name="SIPIL_8_6">#REF!</definedName>
    <definedName name="Sirap">#REF!</definedName>
    <definedName name="sirbatu">#REF!</definedName>
    <definedName name="Sirdam">#REF!</definedName>
    <definedName name="SIRIP">#REF!</definedName>
    <definedName name="SIRIP10">#REF!</definedName>
    <definedName name="Sirlak">#REF!</definedName>
    <definedName name="Sirlk">#REF!</definedName>
    <definedName name="sirsang">#REF!</definedName>
    <definedName name="SIRT">#REF!</definedName>
    <definedName name="sirton">#REF!</definedName>
    <definedName name="Sirtu">#REF!</definedName>
    <definedName name="sirtu_6">#REF!</definedName>
    <definedName name="sirurug">#REF!</definedName>
    <definedName name="SISA">#REF!</definedName>
    <definedName name="SITE">#REF!</definedName>
    <definedName name="SK">#REF!</definedName>
    <definedName name="skat">#REF!</definedName>
    <definedName name="skb">#REF!</definedName>
    <definedName name="skb_9">#REF!</definedName>
    <definedName name="skbaja">#REF!</definedName>
    <definedName name="skbaja_9">#REF!</definedName>
    <definedName name="SkBrS">#REF!</definedName>
    <definedName name="Skg.umum">"$#REF!.$D$20"</definedName>
    <definedName name="Skg.umum_13">"$#REF!.$D$20"</definedName>
    <definedName name="skgb">#REF!</definedName>
    <definedName name="skgb_9">#REF!</definedName>
    <definedName name="skh">#REF!</definedName>
    <definedName name="skhd">#REF!</definedName>
    <definedName name="skhds">#REF!</definedName>
    <definedName name="skilledlabor">#REF!</definedName>
    <definedName name="skim">#REF!</definedName>
    <definedName name="skk">#REF!</definedName>
    <definedName name="skl">#REF!</definedName>
    <definedName name="skp">#REF!</definedName>
    <definedName name="skpb">#REF!</definedName>
    <definedName name="skpb_9">#REF!</definedName>
    <definedName name="skrup">#REF!</definedName>
    <definedName name="sks">#REF!</definedName>
    <definedName name="sks_9">#REF!</definedName>
    <definedName name="sksatp">#REF!</definedName>
    <definedName name="sksatp_9">#REF!</definedName>
    <definedName name="skukj">#REF!</definedName>
    <definedName name="skukj_9">#REF!</definedName>
    <definedName name="skup">#REF!</definedName>
    <definedName name="skup_9">#REF!</definedName>
    <definedName name="skyb">#REF!</definedName>
    <definedName name="skyb_9">#REF!</definedName>
    <definedName name="sl">#REF!</definedName>
    <definedName name="sl_5">#REF!</definedName>
    <definedName name="SL_CRD">"$#REF!.$P$5:$P$619"</definedName>
    <definedName name="SL_CRS">"$#REF!.$R$5:$R$619"</definedName>
    <definedName name="SL_CS">"$#REF!.$N$5:$N$619"</definedName>
    <definedName name="SL_DD">"$#REF!.$L$5:$L$619"</definedName>
    <definedName name="sl2030b210">#REF!</definedName>
    <definedName name="sl2540b220">#REF!</definedName>
    <definedName name="sl3050b200">#REF!</definedName>
    <definedName name="sladd">#REF!</definedName>
    <definedName name="Slate">#REF!</definedName>
    <definedName name="slb">"$#REF!.$S$12"</definedName>
    <definedName name="SLEE">#REF!</definedName>
    <definedName name="sloof">#REF!</definedName>
    <definedName name="sloof\tb.1.1GWT">#REF!</definedName>
    <definedName name="sloof\tb.1.2GWT">#REF!</definedName>
    <definedName name="sloof\tb.2.1GWT">#REF!</definedName>
    <definedName name="sloof\tb.2.2GWT">#REF!</definedName>
    <definedName name="sloof\tb2.2GWT">#REF!</definedName>
    <definedName name="sloof\tb2.3GWT">#REF!</definedName>
    <definedName name="sloof\tb2.4Gwt">#REF!</definedName>
    <definedName name="sloof\tb3.1GWT">#REF!</definedName>
    <definedName name="sloof1">#REF!</definedName>
    <definedName name="sloof1520">#REF!</definedName>
    <definedName name="sloof175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oftb1">#REF!</definedName>
    <definedName name="slooftb10">#REF!</definedName>
    <definedName name="slooftb11">#REF!</definedName>
    <definedName name="slooftb2">#REF!</definedName>
    <definedName name="slooftb3">#REF!</definedName>
    <definedName name="slooftb4">#REF!</definedName>
    <definedName name="slooftb5">#REF!</definedName>
    <definedName name="slooftb6">#REF!</definedName>
    <definedName name="slooftb7">#REF!</definedName>
    <definedName name="slooftb8">#REF!</definedName>
    <definedName name="slooftb9">#REF!</definedName>
    <definedName name="slot">#REF!</definedName>
    <definedName name="sm">#REF!</definedName>
    <definedName name="sma">#REF!</definedName>
    <definedName name="sma_9">#REF!</definedName>
    <definedName name="smf">#REF!</definedName>
    <definedName name="smf_9">#REF!</definedName>
    <definedName name="SMOF">#REF!</definedName>
    <definedName name="SMOL">#REF!</definedName>
    <definedName name="smp">#REF!</definedName>
    <definedName name="smr">#REF!</definedName>
    <definedName name="smt">#REF!</definedName>
    <definedName name="smt_9">#REF!</definedName>
    <definedName name="smu">#REF!</definedName>
    <definedName name="sn">#REF!</definedName>
    <definedName name="sn_1040">#REF!</definedName>
    <definedName name="sn10x33">#REF!</definedName>
    <definedName name="snj">#REF!</definedName>
    <definedName name="snkeramik10x20">#REF!</definedName>
    <definedName name="snkeramik10x25">#REF!</definedName>
    <definedName name="snkeramik10x30">#REF!</definedName>
    <definedName name="snkeramiktangga10x20">#REF!</definedName>
    <definedName name="snkeramiktangga10x25">#REF!</definedName>
    <definedName name="snkeramiktangga10x30">#REF!</definedName>
    <definedName name="snkeramiktangga10x33">#REF!</definedName>
    <definedName name="SO">#REF!</definedName>
    <definedName name="soap">#REF!</definedName>
    <definedName name="SoapbasketTX2BV1B">#REF!</definedName>
    <definedName name="SoapdispencerTS125R">#REF!</definedName>
    <definedName name="SoapholderS6N">#REF!</definedName>
    <definedName name="SOARE_PARTS">#REF!</definedName>
    <definedName name="soc3p">"$#REF!.$T$10"</definedName>
    <definedName name="SOCK">#REF!</definedName>
    <definedName name="Socket_gip_ø_1_2">#REF!</definedName>
    <definedName name="Socket_gip_ø_3_4">#REF!</definedName>
    <definedName name="SOCKET_OUTLET">#REF!</definedName>
    <definedName name="Socket_pvc_ø_2__maspion_D">#REF!</definedName>
    <definedName name="Socket_pvc_ø_4__maspion_D">#REF!</definedName>
    <definedName name="SOH">#REF!</definedName>
    <definedName name="sol">#REF!</definedName>
    <definedName name="Solar">#REF!</definedName>
    <definedName name="solar_9">#REF!</definedName>
    <definedName name="soldier">#REF!</definedName>
    <definedName name="soli">#REF!</definedName>
    <definedName name="soli_9">#REF!</definedName>
    <definedName name="solid">#REF!</definedName>
    <definedName name="Solig">#REF!</definedName>
    <definedName name="solignum">#REF!</definedName>
    <definedName name="Solo">#REF!</definedName>
    <definedName name="Sondr">#REF!</definedName>
    <definedName name="sop">#REF!</definedName>
    <definedName name="sopir">#REF!</definedName>
    <definedName name="Sopr">#REF!</definedName>
    <definedName name="sort" hidden="1">#REF!</definedName>
    <definedName name="soso">#REF!</definedName>
    <definedName name="Sound">#REF!</definedName>
    <definedName name="Sound_car">#REF!</definedName>
    <definedName name="SOUND_SYSTEM">#REF!</definedName>
    <definedName name="Sound_utama">#REF!</definedName>
    <definedName name="SOUNDP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0">#REF!</definedName>
    <definedName name="Sp.21">#REF!</definedName>
    <definedName name="sp.25">#REF!</definedName>
    <definedName name="Sp.3">#REF!</definedName>
    <definedName name="sp.30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I">#REF!</definedName>
    <definedName name="Sp.III">#REF!</definedName>
    <definedName name="Sp.III.16">#REF!</definedName>
    <definedName name="Sp.III.16.a">#REF!</definedName>
    <definedName name="Sp.III.16.b">#REF!</definedName>
    <definedName name="Sp.IIIa">#REF!</definedName>
    <definedName name="Sp.IIIb">#REF!</definedName>
    <definedName name="Sp.IIIc">#REF!</definedName>
    <definedName name="Sp.IIId">#REF!</definedName>
    <definedName name="Sp.IV">#REF!</definedName>
    <definedName name="Sp.IV.16a">#REF!</definedName>
    <definedName name="Sp.IX">#REF!</definedName>
    <definedName name="Sp.IX.a">#REF!</definedName>
    <definedName name="Sp.IX.c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V">#REF!</definedName>
    <definedName name="Sp.Va">#REF!</definedName>
    <definedName name="Sp.Vb">#REF!</definedName>
    <definedName name="Sp.vb1">#REF!</definedName>
    <definedName name="Sp.vb2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Ib">#REF!</definedName>
    <definedName name="Sp.VIII">#REF!</definedName>
    <definedName name="Sp.VIII.a">#REF!</definedName>
    <definedName name="Sp.VIII.b">#REF!</definedName>
    <definedName name="Sp.VIII.c">#REF!</definedName>
    <definedName name="Sp.VIIIa">#REF!</definedName>
    <definedName name="Sp.VIIIq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1000">#REF!</definedName>
    <definedName name="sp_11">#REF!</definedName>
    <definedName name="sp_4">#REF!</definedName>
    <definedName name="SP_9">#REF!</definedName>
    <definedName name="sp_hr">#REF!</definedName>
    <definedName name="spa">#REF!</definedName>
    <definedName name="spacer">#REF!</definedName>
    <definedName name="spandek">#REF!</definedName>
    <definedName name="sparingPVC2.1\2">#REF!</definedName>
    <definedName name="sparingPVC3">#REF!</definedName>
    <definedName name="sparingPVC4">#REF!</definedName>
    <definedName name="spav">#REF!</definedName>
    <definedName name="spav_9">#REF!</definedName>
    <definedName name="spb">#REF!</definedName>
    <definedName name="spc">#REF!</definedName>
    <definedName name="spc_9">#REF!</definedName>
    <definedName name="Spcon">#REF!</definedName>
    <definedName name="SPEC">#REF!</definedName>
    <definedName name="SpecialPrice" hidden="1">#REF!</definedName>
    <definedName name="SPESIFIK">NA()</definedName>
    <definedName name="spf">#REF!</definedName>
    <definedName name="SPHUBJLS">#REF!</definedName>
    <definedName name="Spirt">#REF!</definedName>
    <definedName name="Spirtus">#REF!</definedName>
    <definedName name="spj">#REF!</definedName>
    <definedName name="spj_9">#REF!</definedName>
    <definedName name="spk1p">NA()</definedName>
    <definedName name="spk3p">NA()</definedName>
    <definedName name="SPL">#REF!</definedName>
    <definedName name="SPL_6">#REF!</definedName>
    <definedName name="SPL_8">#REF!</definedName>
    <definedName name="SPL_8_6">#REF!</definedName>
    <definedName name="Spl5m">#REF!</definedName>
    <definedName name="splat">#REF!</definedName>
    <definedName name="Split">#REF!</definedName>
    <definedName name="split1.2">#REF!</definedName>
    <definedName name="split1x2">#REF!</definedName>
    <definedName name="split2">#REF!</definedName>
    <definedName name="split2.3">#REF!</definedName>
    <definedName name="split23">#REF!</definedName>
    <definedName name="split2x3">#REF!</definedName>
    <definedName name="split3x5">#REF!</definedName>
    <definedName name="split4">#REF!</definedName>
    <definedName name="split5x7">#REF!</definedName>
    <definedName name="spoon">#REF!</definedName>
    <definedName name="spp" hidden="1">#REF!</definedName>
    <definedName name="SPRAYER">#REF!</definedName>
    <definedName name="spritus">#REF!</definedName>
    <definedName name="SprSP">#REF!</definedName>
    <definedName name="sps">#REF!</definedName>
    <definedName name="spsaub">#REF!</definedName>
    <definedName name="spsaub_9">#REF!</definedName>
    <definedName name="spsp">#REF!</definedName>
    <definedName name="spsp_9">#REF!</definedName>
    <definedName name="spsu">#REF!</definedName>
    <definedName name="spsu_9">#REF!</definedName>
    <definedName name="sQ">#REF!</definedName>
    <definedName name="sQ_9">#REF!</definedName>
    <definedName name="SR">#REF!</definedName>
    <definedName name="SRant">#REF!</definedName>
    <definedName name="srl_l">#REF!</definedName>
    <definedName name="ss">#REF!</definedName>
    <definedName name="ss_1">#REF!</definedName>
    <definedName name="SSE">#REF!</definedName>
    <definedName name="ssolar">#REF!</definedName>
    <definedName name="ssolar_9">#REF!</definedName>
    <definedName name="sspray">#REF!</definedName>
    <definedName name="sss">#REF!</definedName>
    <definedName name="ssss">#REF!</definedName>
    <definedName name="ssssssssssss">#REF!</definedName>
    <definedName name="sstpb">#REF!</definedName>
    <definedName name="sstpb_9">#REF!</definedName>
    <definedName name="ssw">#REF!</definedName>
    <definedName name="ST">#REF!</definedName>
    <definedName name="st.30x30">#REF!</definedName>
    <definedName name="st.30x30_9">#REF!</definedName>
    <definedName name="ST_9">#REF!</definedName>
    <definedName name="st3p">NA()</definedName>
    <definedName name="STAFF_MESS">#REF!</definedName>
    <definedName name="stairnzing">#REF!</definedName>
    <definedName name="stam">#REF!</definedName>
    <definedName name="stam_9">#REF!</definedName>
    <definedName name="Stamp">#REF!</definedName>
    <definedName name="Stamper">#REF!</definedName>
    <definedName name="stanlagh">#REF!</definedName>
    <definedName name="Start">#REF!</definedName>
    <definedName name="Startup">#REF!</definedName>
    <definedName name="stater">#REF!</definedName>
    <definedName name="StayCMT75.016US32D">#REF!</definedName>
    <definedName name="stayjendela\nonjasa">#REF!</definedName>
    <definedName name="STC">#REF!</definedName>
    <definedName name="std100___0">"$#REF!.$N$297"</definedName>
    <definedName name="std150___0">"$#REF!.$N$275"</definedName>
    <definedName name="std65___0">"$#REF!.$N$276"</definedName>
    <definedName name="STDBX">#REF!</definedName>
    <definedName name="STDE">#REF!</definedName>
    <definedName name="stde1">#REF!</definedName>
    <definedName name="stde11">#REF!</definedName>
    <definedName name="steel">#REF!</definedName>
    <definedName name="steelformwork">#REF!</definedName>
    <definedName name="steelrailing">#REF!</definedName>
    <definedName name="steelworker">#REF!</definedName>
    <definedName name="steiger">#REF!</definedName>
    <definedName name="Stemb">#REF!</definedName>
    <definedName name="step">#REF!</definedName>
    <definedName name="step1040">#REF!</definedName>
    <definedName name="stepnos">#REF!</definedName>
    <definedName name="stepnos_kerampolis">#REF!</definedName>
    <definedName name="Stero">#REF!</definedName>
    <definedName name="stmix175">#REF!</definedName>
    <definedName name="stmix225">#REF!</definedName>
    <definedName name="StnCr">#REF!</definedName>
    <definedName name="stnh">#REF!</definedName>
    <definedName name="stnh_9">#REF!</definedName>
    <definedName name="STONECRUSHER">#REF!</definedName>
    <definedName name="Stonework">#REF!</definedName>
    <definedName name="stoot">#REF!</definedName>
    <definedName name="stootW">#REF!</definedName>
    <definedName name="STOP">#REF!</definedName>
    <definedName name="stop.ac">#REF!</definedName>
    <definedName name="stop.k">#REF!</definedName>
    <definedName name="Stop_kontak_sekualitas_broco">#REF!</definedName>
    <definedName name="Stop_kran_wasfhtafel">#REF!</definedName>
    <definedName name="STOP2">#REF!</definedName>
    <definedName name="STOP2E">#REF!</definedName>
    <definedName name="STOPE">#REF!</definedName>
    <definedName name="STP_10">#REF!:#REF!</definedName>
    <definedName name="STP_11">#REF!:#REF!</definedName>
    <definedName name="STP_12">#REF!:#REF!</definedName>
    <definedName name="STP_14">#REF!:#REF!</definedName>
    <definedName name="STP_15">#REF!:#REF!</definedName>
    <definedName name="STP_16">#REF!:#REF!</definedName>
    <definedName name="STP_17">#REF!:#REF!</definedName>
    <definedName name="STP_18">#REF!:#REF!</definedName>
    <definedName name="STP_19">#REF!:#REF!</definedName>
    <definedName name="STP_20">#REF!:#REF!</definedName>
    <definedName name="STP_22">#REF!:#REF!</definedName>
    <definedName name="STP_23">#REF!:#REF!</definedName>
    <definedName name="STP_24">#REF!:#REF!</definedName>
    <definedName name="STP_25">#REF!:#REF!</definedName>
    <definedName name="STP_5">#REF!:#REF!</definedName>
    <definedName name="STP_6">#REF!:#REF!</definedName>
    <definedName name="STP_7">#REF!:#REF!</definedName>
    <definedName name="STP_8">#REF!:#REF!</definedName>
    <definedName name="stpb">#REF!</definedName>
    <definedName name="stpb_9">#REF!</definedName>
    <definedName name="stpiezo">#REF!</definedName>
    <definedName name="stpkrn">#REF!</definedName>
    <definedName name="str">#REF!</definedName>
    <definedName name="STR_23">#REF!</definedName>
    <definedName name="STR_25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IP">#REF!</definedName>
    <definedName name="striping">#REF!</definedName>
    <definedName name="STRUKTUR">#REF!</definedName>
    <definedName name="struktur1">#REF!</definedName>
    <definedName name="STRUKTUR2">#REF!</definedName>
    <definedName name="struktursma">#REF!</definedName>
    <definedName name="struktursmp">#REF!</definedName>
    <definedName name="Stum8">#REF!</definedName>
    <definedName name="Styropoam">#REF!</definedName>
    <definedName name="SUB_TOTAL__VII">#REF!</definedName>
    <definedName name="substrsmp">#REF!</definedName>
    <definedName name="substrsmu">#REF!</definedName>
    <definedName name="SUBT">#REF!</definedName>
    <definedName name="SUBT.FIELD_EXP">#REF!</definedName>
    <definedName name="SUBT.TEMP._WORK">#REF!</definedName>
    <definedName name="SUGENG">SUGENG</definedName>
    <definedName name="sukamandi">#REF!</definedName>
    <definedName name="sukatani">#REF!</definedName>
    <definedName name="Sukun">#REF!</definedName>
    <definedName name="sum">#REF!</definedName>
    <definedName name="SUM_G52_G83">#REF!</definedName>
    <definedName name="SUM2A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ur__peresapan_air_kotor_dan_kotoran">#REF!</definedName>
    <definedName name="Sumurgali">#REF!</definedName>
    <definedName name="SUNAN_GIRI">"$#REF!.$R$4:$R$354"</definedName>
    <definedName name="sungkai">"$#REF!.$F$3280"</definedName>
    <definedName name="sunloid">#REF!</definedName>
    <definedName name="SUP">#REF!</definedName>
    <definedName name="super">#REF!</definedName>
    <definedName name="supergloss">#REF!</definedName>
    <definedName name="SUPFS">#REF!</definedName>
    <definedName name="supir">#REF!</definedName>
    <definedName name="SUPIR_TRUK">#REF!</definedName>
    <definedName name="SUPIR_TRUK_23">#REF!</definedName>
    <definedName name="SUPIR_TRUK_25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T">#REF!</definedName>
    <definedName name="SUTARJO">NA()</definedName>
    <definedName name="svsd_10">#REF!:#REF!</definedName>
    <definedName name="svsd_11">#REF!:#REF!</definedName>
    <definedName name="svsd_12">#REF!:#REF!</definedName>
    <definedName name="svsd_14">#REF!:#REF!</definedName>
    <definedName name="svsd_15">#REF!:#REF!</definedName>
    <definedName name="svsd_16">#REF!:#REF!</definedName>
    <definedName name="svsd_17">#REF!:#REF!</definedName>
    <definedName name="svsd_18">#REF!:#REF!</definedName>
    <definedName name="svsd_19">#REF!:#REF!</definedName>
    <definedName name="svsd_20">#REF!:#REF!</definedName>
    <definedName name="svsd_22">#REF!:#REF!</definedName>
    <definedName name="svsd_23">#REF!:#REF!</definedName>
    <definedName name="svsd_24">#REF!:#REF!</definedName>
    <definedName name="svsd_25">#REF!:#REF!</definedName>
    <definedName name="svsd_5">#REF!:#REF!</definedName>
    <definedName name="svsd_6">#REF!:#REF!</definedName>
    <definedName name="svsd_7">#REF!:#REF!</definedName>
    <definedName name="svsd_8">#REF!:#REF!</definedName>
    <definedName name="sw">#REF!</definedName>
    <definedName name="sw35besi">#REF!</definedName>
    <definedName name="sw45besi">#REF!</definedName>
    <definedName name="swarna">#REF!</definedName>
    <definedName name="SWIM">#REF!</definedName>
    <definedName name="swnat">#REF!</definedName>
    <definedName name="swqerrd">#REF!</definedName>
    <definedName name="T">#REF!</definedName>
    <definedName name="t.30x30">#REF!</definedName>
    <definedName name="t.30x30_9">#REF!</definedName>
    <definedName name="t.dos">#REF!</definedName>
    <definedName name="t.sabun">#REF!</definedName>
    <definedName name="T_0_">#REF!</definedName>
    <definedName name="t_015020">#REF!</definedName>
    <definedName name="t_2">#REF!</definedName>
    <definedName name="t_gw">#REF!</definedName>
    <definedName name="t101p">"$#REF!.$#REF!$#REF!"</definedName>
    <definedName name="t103p">"$#REF!.$#REF!$#REF!"</definedName>
    <definedName name="t105mnc">NA()</definedName>
    <definedName name="t10m">NA()</definedName>
    <definedName name="t10nc">NA()</definedName>
    <definedName name="t10nc1p">"$#REF!.$G$129"</definedName>
    <definedName name="t10ncm">NA()</definedName>
    <definedName name="t10vl">NA()</definedName>
    <definedName name="t10vl1p">"$#REF!.$G$125"</definedName>
    <definedName name="t121p">"$#REF!.$#REF!$#REF!"</definedName>
    <definedName name="t123p">"$#REF!.$#REF!$#REF!"</definedName>
    <definedName name="t12m">NA()</definedName>
    <definedName name="t12mnc">NA()</definedName>
    <definedName name="t12nc">NA()</definedName>
    <definedName name="t12nc3p">"'file:///d:/project/energyhouse2/energyhouse2-mainkontraktor/energyhouse2-mainkontraktor-tender/energyhouse2-mainkontraktor-tender-boq/misc/congviec/tam.xls'#$'chitiet vl-nc'.$g$38"</definedName>
    <definedName name="t12ncm">NA()</definedName>
    <definedName name="t12vl">NA()</definedName>
    <definedName name="t12vl3p">"'file:///d:/project/energyhouse2/energyhouse2-mainkontraktor/energyhouse2-mainkontraktor-tender/energyhouse2-mainkontraktor-tender-boq/misc/congviec/tam.xls'#$'chitiet vl-nc'.$g$34"</definedName>
    <definedName name="t141p">"$#REF!.$#REF!$#REF!"</definedName>
    <definedName name="t143p">"$#REF!.$#REF!$#REF!"</definedName>
    <definedName name="t14m">NA()</definedName>
    <definedName name="t14mnc">NA()</definedName>
    <definedName name="t14nc">NA()</definedName>
    <definedName name="t14nc3p">"$#REF!.$G$102"</definedName>
    <definedName name="t14ncm">NA()</definedName>
    <definedName name="T14vc">NA()</definedName>
    <definedName name="t14vl">NA()</definedName>
    <definedName name="t14vl3p">"$#REF!.$G$99"</definedName>
    <definedName name="T203P">NA()</definedName>
    <definedName name="t20m">NA()</definedName>
    <definedName name="t20ncm">NA()</definedName>
    <definedName name="T60S">#REF!</definedName>
    <definedName name="T62.16">#REF!</definedName>
    <definedName name="T64CW">#REF!</definedName>
    <definedName name="t6r" hidden="1">{"'Sheet1'!$A$1"}</definedName>
    <definedName name="t7m">NA()</definedName>
    <definedName name="t7nc">NA()</definedName>
    <definedName name="t7vl">NA()</definedName>
    <definedName name="t84mnc">NA()</definedName>
    <definedName name="t8m">NA()</definedName>
    <definedName name="t8nc">NA()</definedName>
    <definedName name="t8vl">NA()</definedName>
    <definedName name="ta">#REF!</definedName>
    <definedName name="TAB">#REF!</definedName>
    <definedName name="tabel">#REF!</definedName>
    <definedName name="Tabel_1">#REF!</definedName>
    <definedName name="table" hidden="1">#REF!</definedName>
    <definedName name="TACK_COAT">#REF!</definedName>
    <definedName name="Tackcoat">#REF!</definedName>
    <definedName name="Tacon">#REF!</definedName>
    <definedName name="TAGLIST">#REF!</definedName>
    <definedName name="tahap2" hidden="1">{#N/A,#N/A,FALSE,"REK";#N/A,#N/A,FALSE,"rab"}</definedName>
    <definedName name="TAHAP21" hidden="1">{#N/A,#N/A,FALSE,"REK";#N/A,#N/A,FALSE,"rab"}</definedName>
    <definedName name="tahap22" hidden="1">{#N/A,#N/A,FALSE,"REK";#N/A,#N/A,FALSE,"rab"}</definedName>
    <definedName name="TAHAP221" hidden="1">{#N/A,#N/A,FALSE,"REK";#N/A,#N/A,FALSE,"rab"}</definedName>
    <definedName name="tahap222" hidden="1">{#N/A,#N/A,FALSE,"REK";#N/A,#N/A,FALSE,"rab"}</definedName>
    <definedName name="tahap3" hidden="1">{#N/A,#N/A,FALSE,"REK";#N/A,#N/A,FALSE,"rab"}</definedName>
    <definedName name="TAHUN_ANGGARAN">#REF!</definedName>
    <definedName name="tai" hidden="1">{"'Sheet1'!$A$1"}</definedName>
    <definedName name="tal">#REF!</definedName>
    <definedName name="talangdatar">#REF!</definedName>
    <definedName name="talangdatarzincalume">#REF!</definedName>
    <definedName name="talangdtr\jr.zincalume">#REF!</definedName>
    <definedName name="TALANGPVC4">#REF!</definedName>
    <definedName name="talangseng">#REF!</definedName>
    <definedName name="TALANGTRITISANLEBAR25CM">#REF!</definedName>
    <definedName name="talangvertikalPVC21\2">#REF!</definedName>
    <definedName name="talangvertikalPVC3">#REF!</definedName>
    <definedName name="talangvertikalPVC4">#REF!</definedName>
    <definedName name="TALIIJUK">#REF!</definedName>
    <definedName name="TAMBAH">#REF!</definedName>
    <definedName name="TAMPER">#REF!</definedName>
    <definedName name="tan.urg">#REF!</definedName>
    <definedName name="TANAH">#REF!</definedName>
    <definedName name="tanahsmp">#REF!</definedName>
    <definedName name="tanahsmu">#REF!</definedName>
    <definedName name="TANAHURUG">#REF!</definedName>
    <definedName name="tandem">#REF!</definedName>
    <definedName name="TandemRoller">#REF!</definedName>
    <definedName name="TANGGA">#REF!</definedName>
    <definedName name="tangga1">#REF!</definedName>
    <definedName name="tangga2">#REF!</definedName>
    <definedName name="tangga3">#REF!</definedName>
    <definedName name="tanggulbeton">#REF!</definedName>
    <definedName name="tangki">#REF!</definedName>
    <definedName name="tanjd" hidden="1">#REF!</definedName>
    <definedName name="tanker">#REF!</definedName>
    <definedName name="tankfb05">#REF!</definedName>
    <definedName name="tankfb1">#REF!</definedName>
    <definedName name="tankfb2">#REF!</definedName>
    <definedName name="tanki">#REF!</definedName>
    <definedName name="tanki_9">#REF!</definedName>
    <definedName name="tansubur">#REF!</definedName>
    <definedName name="tanurug">#REF!</definedName>
    <definedName name="TARAKANITA">"$#REF!.$M$4:$M$701"</definedName>
    <definedName name="TarAl">#REF!</definedName>
    <definedName name="TAUR">#REF!</definedName>
    <definedName name="taur_6">#REF!</definedName>
    <definedName name="tawg16">#REF!</definedName>
    <definedName name="tb">#REF!</definedName>
    <definedName name="tbasket">#REF!</definedName>
    <definedName name="tbb4000.10000">#REF!</definedName>
    <definedName name="tbbst">#REF!</definedName>
    <definedName name="tbbt">#REF!</definedName>
    <definedName name="tbdd1p">NA()</definedName>
    <definedName name="tbdd3p">NA()</definedName>
    <definedName name="tbddsdl">NA()</definedName>
    <definedName name="tbendera">#REF!</definedName>
    <definedName name="tbesi">#REF!</definedName>
    <definedName name="tbhhj" hidden="1">{"'Sheet1'!$A$1"}</definedName>
    <definedName name="TBI">NA()</definedName>
    <definedName name="TBK.1\selasar">#REF!</definedName>
    <definedName name="TBK.2\selasar">#REF!</definedName>
    <definedName name="tbl_ProdInfo" hidden="1">#REF!</definedName>
    <definedName name="tbpst">#REF!</definedName>
    <definedName name="tbpt">#REF!</definedName>
    <definedName name="tbr_s">#REF!</definedName>
    <definedName name="tbs">#REF!</definedName>
    <definedName name="TBS.1\selasar">#REF!</definedName>
    <definedName name="tbset">#REF!</definedName>
    <definedName name="tbset_6">#REF!</definedName>
    <definedName name="tbsm5tl2x36">#REF!</definedName>
    <definedName name="tbsm5tl2x36nb">#REF!</definedName>
    <definedName name="tbst">#REF!</definedName>
    <definedName name="tbstu">#REF!</definedName>
    <definedName name="tbt">#REF!</definedName>
    <definedName name="tbter">#REF!</definedName>
    <definedName name="tbter_6">#REF!</definedName>
    <definedName name="tbtr">NA()</definedName>
    <definedName name="tbtram">"$#REF!.$F$12"</definedName>
    <definedName name="TC">"$#REF!.$#REF!$#REF!:$#REF!$#REF!"</definedName>
    <definedName name="TC_NHANH1">"$#REF!.$A$96:$AH$96"</definedName>
    <definedName name="tcat">#REF!</definedName>
    <definedName name="tcset">#REF!</definedName>
    <definedName name="tcset_6">#REF!</definedName>
    <definedName name="tcst">#REF!</definedName>
    <definedName name="tct">#REF!</definedName>
    <definedName name="tcter">#REF!</definedName>
    <definedName name="tcter_6">#REF!</definedName>
    <definedName name="tcxxnc">NA()</definedName>
    <definedName name="td">NA()</definedName>
    <definedName name="td_5050">#REF!</definedName>
    <definedName name="td10vl">NA()</definedName>
    <definedName name="td12nc">NA()</definedName>
    <definedName name="td1cnc">NA()</definedName>
    <definedName name="td1cvl">NA()</definedName>
    <definedName name="td1p">"$#REF!.$#REF!$#REF!"</definedName>
    <definedName name="TD1pnc">NA()</definedName>
    <definedName name="TD1pvl">NA()</definedName>
    <definedName name="td3p">"$#REF!.$#REF!$#REF!"</definedName>
    <definedName name="tdc84nc">NA()</definedName>
    <definedName name="tdcnc">NA()</definedName>
    <definedName name="tdf">#REF!</definedName>
    <definedName name="tdgnc">NA()</definedName>
    <definedName name="tdgvl">NA()</definedName>
    <definedName name="tdhtnc">NA()</definedName>
    <definedName name="tdhtvl">NA()</definedName>
    <definedName name="Tdin">"$#REF!.$M$11"</definedName>
    <definedName name="Tdin2">#REF!</definedName>
    <definedName name="Tdin3">"$#REF!.$M$12"</definedName>
    <definedName name="Tdin4">#REF!</definedName>
    <definedName name="tdl">#REF!</definedName>
    <definedName name="tdnc">NA()</definedName>
    <definedName name="tdnc1p">"$#REF!.$G$72"</definedName>
    <definedName name="tdnc3p">"'file:///d:/project/energyhouse2/energyhouse2-mainkontraktor/energyhouse2-mainkontraktor-tender/energyhouse2-mainkontraktor-tender-boq/misc/congviec/tam.xls'#$'chitiet vl-nc'.$g$28"</definedName>
    <definedName name="tds_1060">#REF!</definedName>
    <definedName name="tdt1pnc">NA()</definedName>
    <definedName name="tdt1pvl">NA()</definedName>
    <definedName name="tdt2cnc">NA()</definedName>
    <definedName name="tdt2cvl">NA()</definedName>
    <definedName name="tdtr2cnc">"$#REF!.$H$19"</definedName>
    <definedName name="tdtr2cvl">"$#REF!.$H$12"</definedName>
    <definedName name="tdtrnc">NA()</definedName>
    <definedName name="tdtrvl">NA()</definedName>
    <definedName name="tdvl">NA()</definedName>
    <definedName name="tdvl1p">"$#REF!.$G$66"</definedName>
    <definedName name="tdvl3p">"'file:///d:/project/energyhouse2/energyhouse2-mainkontraktor/energyhouse2-mainkontraktor-tender/energyhouse2-mainkontraktor-tender-boq/misc/congviec/tam.xls'#$'chitiet vl-nc'.$g$23"</definedName>
    <definedName name="teak">#REF!</definedName>
    <definedName name="teak.o">#REF!</definedName>
    <definedName name="teak4_3x7">#REF!</definedName>
    <definedName name="teak4_4x8">#REF!</definedName>
    <definedName name="teakoil">#REF!</definedName>
    <definedName name="teakw3">#REF!</definedName>
    <definedName name="teakw4">#REF!</definedName>
    <definedName name="teakwood">#REF!</definedName>
    <definedName name="teakwoodnormal">#REF!</definedName>
    <definedName name="teakwpt">#REF!</definedName>
    <definedName name="teco12">#REF!</definedName>
    <definedName name="teco15">#REF!</definedName>
    <definedName name="Tee__gip__ø_3_4">#REF!</definedName>
    <definedName name="Tee__pvc__ø_2___maspion_D">#REF!</definedName>
    <definedName name="Tee_gip__ø_1_2">#REF!</definedName>
    <definedName name="Tee_pvc__ø_4___maspion_D">#REF!</definedName>
    <definedName name="teer">#REF!</definedName>
    <definedName name="Tegel_abu___abu_20_x_20_cm">#REF!</definedName>
    <definedName name="tegel20">#REF!</definedName>
    <definedName name="tegel30">#REF!</definedName>
    <definedName name="tegelabu20">#REF!</definedName>
    <definedName name="tegelabu30">#REF!</definedName>
    <definedName name="Tegol">#REF!</definedName>
    <definedName name="tei" hidden="1">{"'Sheet1'!$A$1"}</definedName>
    <definedName name="TELEPHONE">#REF!</definedName>
    <definedName name="Telford">#REF!</definedName>
    <definedName name="Telp">#REF!</definedName>
    <definedName name="TEMBAGA">#REF!</definedName>
    <definedName name="TEMP._BUILDING">#REF!</definedName>
    <definedName name="TEMP.ELEC_WATER">#REF!</definedName>
    <definedName name="temp.work">NA()</definedName>
    <definedName name="temp10">#REF!</definedName>
    <definedName name="TempatSabun">#REF!</definedName>
    <definedName name="TempatsabunS6N">#REF!</definedName>
    <definedName name="tempel">#REF!</definedName>
    <definedName name="TEMPORARY_WORK">#REF!</definedName>
    <definedName name="ter" hidden="1">#REF!</definedName>
    <definedName name="teracota">#REF!</definedName>
    <definedName name="terasso">#REF!</definedName>
    <definedName name="Termisidaantirayap">#REF!</definedName>
    <definedName name="terntang">#REF!</definedName>
    <definedName name="Terpn">#REF!</definedName>
    <definedName name="terpt">#REF!</definedName>
    <definedName name="TES">#REF!</definedName>
    <definedName name="TEST">#REF!</definedName>
    <definedName name="testpile">#REF!</definedName>
    <definedName name="tf">"'file://SERVER3/har-data/STRUCTURE PRICE OF BQ KOMPAS GRAMEDIA.xls'#$analisa.$#REF!$#REF!"</definedName>
    <definedName name="Tfuso">#REF!</definedName>
    <definedName name="tg">#REF!</definedName>
    <definedName name="TG.BTN.101">#REF!</definedName>
    <definedName name="TG.BTN.101B">#REF!</definedName>
    <definedName name="TG.BTN.101E">#REF!</definedName>
    <definedName name="tgali">#REF!</definedName>
    <definedName name="tgbdk30">#REF!</definedName>
    <definedName name="tgblk">#REF!</definedName>
    <definedName name="tgbsh20">#REF!</definedName>
    <definedName name="tgbsh30">#REF!</definedName>
    <definedName name="TGH" hidden="1">{#N/A,#N/A,FALSE,"REK-S-TPL";#N/A,#N/A,FALSE,"REK-TPML";#N/A,#N/A,FALSE,"RAB-TEMPEL"}</definedName>
    <definedName name="tgl">#REF!</definedName>
    <definedName name="tgl_15">#REF!</definedName>
    <definedName name="tgl_16">#REF!</definedName>
    <definedName name="tgl_2">#REF!</definedName>
    <definedName name="tgl_20">#REF!</definedName>
    <definedName name="tgl_3">#REF!</definedName>
    <definedName name="TGL_9">#REF!</definedName>
    <definedName name="tgpi">#REF!</definedName>
    <definedName name="tgwafel20">#REF!</definedName>
    <definedName name="tgwafel30">#REF!</definedName>
    <definedName name="tgwrn20">#REF!</definedName>
    <definedName name="tgwrn30">#REF!</definedName>
    <definedName name="tgyf">#REF!</definedName>
    <definedName name="th" hidden="1">{"'Sheet1'!$A$1"}</definedName>
    <definedName name="th3x15">NA()</definedName>
    <definedName name="ThanhXuan110">NA()</definedName>
    <definedName name="Thetehan">#REF!</definedName>
    <definedName name="THGO1pnc">"$#REF!.$F$6"</definedName>
    <definedName name="thhj" hidden="1">{"'Sheet1'!$A$1"}</definedName>
    <definedName name="thht">"$#REF!.$A$36:$D$61"</definedName>
    <definedName name="THIN">#REF!</definedName>
    <definedName name="thin_6">#REF!</definedName>
    <definedName name="Thina">#REF!</definedName>
    <definedName name="Thinb">#REF!</definedName>
    <definedName name="thinerA">#REF!</definedName>
    <definedName name="thinner">#REF!</definedName>
    <definedName name="THKP160">NA()</definedName>
    <definedName name="thkp3">"$#REF!.$#REF!$#REF!:$#REF!$#REF!"</definedName>
    <definedName name="THREEWHEELROLLER">#REF!</definedName>
    <definedName name="thtr15">NA()</definedName>
    <definedName name="thtrj" hidden="1">{"'Sheet1'!$A$1"}</definedName>
    <definedName name="thtt">"$#REF!.$A$2:$D$20"</definedName>
    <definedName name="TI">#REF!</definedName>
    <definedName name="tiang">#REF!</definedName>
    <definedName name="tiang_pancang">"$#REF!.$#REF!$#REF!"</definedName>
    <definedName name="tidak">#REF!</definedName>
    <definedName name="tidf10">#REF!</definedName>
    <definedName name="tidf100">#REF!</definedName>
    <definedName name="tidf350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pdia">#REF!</definedName>
    <definedName name="Tigaroda">#REF!</definedName>
    <definedName name="tigrod">#REF!</definedName>
    <definedName name="TIKET">#REF!</definedName>
    <definedName name="Timap">#REF!</definedName>
    <definedName name="timbdat">#REF!</definedName>
    <definedName name="TIMBUN">#REF!</definedName>
    <definedName name="timbunantanahluar">#REF!</definedName>
    <definedName name="timdat">#REF!</definedName>
    <definedName name="TIME">#REF!</definedName>
    <definedName name="Timhh">#REF!</definedName>
    <definedName name="tin">#REF!</definedName>
    <definedName name="tiner">#REF!</definedName>
    <definedName name="tiner.sg">#REF!</definedName>
    <definedName name="tinggi">#REF!</definedName>
    <definedName name="tinggi_10">#REF!</definedName>
    <definedName name="tinggilantai1">#REF!</definedName>
    <definedName name="tipar">#REF!</definedName>
    <definedName name="tire">#REF!</definedName>
    <definedName name="Tire_Roller">#REF!</definedName>
    <definedName name="TireRoller">#REF!</definedName>
    <definedName name="TISSUEDISPENCERtx8">#REF!</definedName>
    <definedName name="Titik_lampu">#REF!</definedName>
    <definedName name="title">#REF!</definedName>
    <definedName name="tj" hidden="1">{#N/A,#N/A,FALSE,"REK";#N/A,#N/A,FALSE,"Bq-ARS"}</definedName>
    <definedName name="tjj" hidden="1">{"'Sheet1'!$A$1"}</definedName>
    <definedName name="tjuu" hidden="1">{"'Sheet1'!$A$1"}</definedName>
    <definedName name="tk">#REF!</definedName>
    <definedName name="Tk.Batu">#REF!</definedName>
    <definedName name="tk.bs">#REF!</definedName>
    <definedName name="tk.bt">#REF!</definedName>
    <definedName name="tk.c">#REF!</definedName>
    <definedName name="Tk.Gali">#REF!</definedName>
    <definedName name="Tk.Kayu">#REF!</definedName>
    <definedName name="tk.ky">#REF!</definedName>
    <definedName name="tk.l">#REF!</definedName>
    <definedName name="tk.Ls">#REF!</definedName>
    <definedName name="TK_01">#REF!</definedName>
    <definedName name="TK_01A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04C">#REF!</definedName>
    <definedName name="TK_05">#REF!</definedName>
    <definedName name="TK_05A">#REF!</definedName>
    <definedName name="TK_06">#REF!</definedName>
    <definedName name="TK_07">#REF!</definedName>
    <definedName name="TK_13">#REF!</definedName>
    <definedName name="TK_9">#REF!</definedName>
    <definedName name="tk_batu">#REF!</definedName>
    <definedName name="Tk_Batu_T">#REF!</definedName>
    <definedName name="tk_besi">#REF!</definedName>
    <definedName name="tk_bobokan">#REF!</definedName>
    <definedName name="Tk_Cat_ST">#REF!</definedName>
    <definedName name="tk_cor">#REF!</definedName>
    <definedName name="tk_gali">#REF!</definedName>
    <definedName name="tk_kayu">#REF!</definedName>
    <definedName name="tkaspal">#REF!</definedName>
    <definedName name="tkayu">#REF!</definedName>
    <definedName name="tkb">#REF!</definedName>
    <definedName name="TKBATU">#REF!</definedName>
    <definedName name="tkbesi">#REF!</definedName>
    <definedName name="TKBS">#REF!</definedName>
    <definedName name="tkc">#REF!</definedName>
    <definedName name="tkcat">#REF!</definedName>
    <definedName name="tkg">#REF!</definedName>
    <definedName name="tkgali">#REF!</definedName>
    <definedName name="tki">#REF!</definedName>
    <definedName name="tkitc10x2x0.6">#REF!</definedName>
    <definedName name="TKK">#REF!</definedName>
    <definedName name="tkkayu">#REF!</definedName>
    <definedName name="TKPOLI">#REF!</definedName>
    <definedName name="TKR">#REF!</definedName>
    <definedName name="TKRK">#REF!</definedName>
    <definedName name="tkset">#REF!</definedName>
    <definedName name="tkset_6">#REF!</definedName>
    <definedName name="tkst">#REF!</definedName>
    <definedName name="tkt">#REF!</definedName>
    <definedName name="tktembok">#REF!</definedName>
    <definedName name="tky">#REF!</definedName>
    <definedName name="tl">#REF!</definedName>
    <definedName name="tl.2x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"$#REF!.$B$32"</definedName>
    <definedName name="TLAC35">"$#REF!.$B$28"</definedName>
    <definedName name="TLAC50">"$#REF!.$B$29"</definedName>
    <definedName name="TLAC70">"$#REF!.$B$30"</definedName>
    <definedName name="TLAC95">"$#REF!.$B$31"</definedName>
    <definedName name="TLAMP_DO3">#N/A</definedName>
    <definedName name="tlas">#REF!</definedName>
    <definedName name="tlb1x18">#REF!</definedName>
    <definedName name="tlb1x36">#REF!</definedName>
    <definedName name="tlb1x36bimc">#REF!</definedName>
    <definedName name="tlb1x36w">#REF!</definedName>
    <definedName name="tlbjls40">#REF!</definedName>
    <definedName name="tlbk1x36">#REF!</definedName>
    <definedName name="TlBnd">#REF!</definedName>
    <definedName name="tlbvs2x18">#REF!</definedName>
    <definedName name="tlbvs2x18bimc">#REF!</definedName>
    <definedName name="tlc20bimc">#REF!</definedName>
    <definedName name="tlidf250p">#REF!</definedName>
    <definedName name="TlIjk">#REF!</definedName>
    <definedName name="tlistrik">#REF!</definedName>
    <definedName name="TLP">#REF!</definedName>
    <definedName name="tltko2x36">#REF!</definedName>
    <definedName name="tltko2x36bimc">#REF!</definedName>
    <definedName name="tltl20nb">#REF!</definedName>
    <definedName name="TLUAS">#REF!</definedName>
    <definedName name="tm">#REF!</definedName>
    <definedName name="TmpSb">#REF!</definedName>
    <definedName name="TN">#REF!</definedName>
    <definedName name="tn1pinnc">NA()</definedName>
    <definedName name="tn2mhnnc">NA()</definedName>
    <definedName name="tnahurug">#REF!</definedName>
    <definedName name="TNCM">NA()</definedName>
    <definedName name="TNG">#REF!</definedName>
    <definedName name="tnh">#REF!</definedName>
    <definedName name="tnh_9">#REF!</definedName>
    <definedName name="tnhbiasa">#REF!</definedName>
    <definedName name="tnhnnc">NA()</definedName>
    <definedName name="tnignc">NA()</definedName>
    <definedName name="tnin190nc">NA()</definedName>
    <definedName name="tnlnc">NA()</definedName>
    <definedName name="tnnnc">NA()</definedName>
    <definedName name="TO">#REF!</definedName>
    <definedName name="TOA">#REF!</definedName>
    <definedName name="toko">#REF!</definedName>
    <definedName name="tombol1">"Picture 27"</definedName>
    <definedName name="tombol2">"Picture 28"</definedName>
    <definedName name="TOOLS">#REF!</definedName>
    <definedName name="top">#REF!</definedName>
    <definedName name="Toping">#REF!</definedName>
    <definedName name="TOTAL">"$#REF!.$N$2532"</definedName>
    <definedName name="TOTAL_TEMP.__FE">#REF!</definedName>
    <definedName name="TotalCOST">#REF!</definedName>
    <definedName name="TotalCOSTLocal">#REF!</definedName>
    <definedName name="TotalINSTALL">#REF!</definedName>
    <definedName name="TOTI1">NA()</definedName>
    <definedName name="TOTII1">NA()</definedName>
    <definedName name="TOTIII1">NA()</definedName>
    <definedName name="TOTIVA">NA()</definedName>
    <definedName name="TOTIVB">NA()</definedName>
    <definedName name="TOTIVC">"$#REF!.$N$1180"</definedName>
    <definedName name="TOTIVD">NA()</definedName>
    <definedName name="TOTIVE">NA()</definedName>
    <definedName name="TOTIVF">NA()</definedName>
    <definedName name="TOTIVG">NA()</definedName>
    <definedName name="toto">#REF!</definedName>
    <definedName name="totTAlt5minplatTAlt6">#REF!</definedName>
    <definedName name="TOTVA">"$#REF!.$N$2152"</definedName>
    <definedName name="TOTVC">"$#REF!.$L$2213"</definedName>
    <definedName name="TOTVD">"$#REF!.$L$2237"</definedName>
    <definedName name="TOTVE">"$#REF!.$N$2354"</definedName>
    <definedName name="TOTVF">"$#REF!.$N$2367"</definedName>
    <definedName name="TOTVG">"$#REF!.$N$2378"</definedName>
    <definedName name="TOTVI">"$#REF!.$N$2383"</definedName>
    <definedName name="TOTVII">"$#REF!.$N$2395"</definedName>
    <definedName name="TOTVIII">"$#REF!.$N$2397"</definedName>
    <definedName name="TOW">#REF!</definedName>
    <definedName name="TOW_2">#REF!</definedName>
    <definedName name="towelbar">#REF!</definedName>
    <definedName name="towelring">#REF!</definedName>
    <definedName name="TowerbarTX5B">#REF!</definedName>
    <definedName name="TowerringTS115S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30x30">#REF!</definedName>
    <definedName name="TP.40x40">#REF!</definedName>
    <definedName name="tp30.30">#REF!</definedName>
    <definedName name="tp40.40">#REF!</definedName>
    <definedName name="Tpan0">#REF!</definedName>
    <definedName name="Tpan1">#REF!</definedName>
    <definedName name="Tpk4k">#REF!</definedName>
    <definedName name="tplambing">#REF!</definedName>
    <definedName name="tpm">#REF!</definedName>
    <definedName name="tr">#REF!</definedName>
    <definedName name="TR.HOLLOW">#REF!</definedName>
    <definedName name="TR15HT">NA()</definedName>
    <definedName name="TR16HT">NA()</definedName>
    <definedName name="TR19HT">NA()</definedName>
    <definedName name="tr1x15">NA()</definedName>
    <definedName name="TR20HT">NA()</definedName>
    <definedName name="tr3x100">NA()</definedName>
    <definedName name="TRACKLOADER">#REF!</definedName>
    <definedName name="tractor2">#REF!</definedName>
    <definedName name="trafo">#REF!</definedName>
    <definedName name="trailer">#REF!</definedName>
    <definedName name="trailer_9">#REF!</definedName>
    <definedName name="Traill">#REF!</definedName>
    <definedName name="TRAILLER">#REF!</definedName>
    <definedName name="tralishollow40\nonjasa">#REF!</definedName>
    <definedName name="tram100">NA()</definedName>
    <definedName name="tram1x25">NA()</definedName>
    <definedName name="trampil">#REF!</definedName>
    <definedName name="Tran">#REF!</definedName>
    <definedName name="Trap1">#REF!</definedName>
    <definedName name="Trap2">#REF!</definedName>
    <definedName name="Trap3">#REF!</definedName>
    <definedName name="TRAY">#REF!</definedName>
    <definedName name="trd">#REF!</definedName>
    <definedName name="trekstank12mm">#REF!</definedName>
    <definedName name="trhh" hidden="1">{"'Sheet1'!$A$1"}</definedName>
    <definedName name="tri.9">#REF!</definedName>
    <definedName name="TRIP">#REF!</definedName>
    <definedName name="trip10">#REF!</definedName>
    <definedName name="Trip12">#REF!</definedName>
    <definedName name="trip12_4x8">#REF!</definedName>
    <definedName name="trip15_4x8">#REF!</definedName>
    <definedName name="trip3">#REF!</definedName>
    <definedName name="trip3_6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lek">#REF!</definedName>
    <definedName name="triplek3mm">#REF!</definedName>
    <definedName name="triplek6mm">#REF!</definedName>
    <definedName name="triplek9">#REF!</definedName>
    <definedName name="TRIPLEKS">#REF!</definedName>
    <definedName name="TRIX">"$#REF!.$I$141"</definedName>
    <definedName name="TRIX_13">"$#REF!.$I$141"</definedName>
    <definedName name="TrkAl">#REF!</definedName>
    <definedName name="TrkTb">#REF!</definedName>
    <definedName name="TrkTp">#REF!</definedName>
    <definedName name="TRL">#REF!</definedName>
    <definedName name="tro">#REF!</definedName>
    <definedName name="TrRol">#REF!</definedName>
    <definedName name="TrsK3">#REF!</definedName>
    <definedName name="TrsPl">#REF!</definedName>
    <definedName name="trtrtr">#REF!</definedName>
    <definedName name="tru10mtc">NA()</definedName>
    <definedName name="tru8mtc">NA()</definedName>
    <definedName name="truck">#REF!</definedName>
    <definedName name="TRUNKING">#REF!</definedName>
    <definedName name="Try">#REF!</definedName>
    <definedName name="tryr" hidden="1">{"'Sheet1'!$A$1"}</definedName>
    <definedName name="ts">#REF!</definedName>
    <definedName name="TS251F">#REF!</definedName>
    <definedName name="tsabun">#REF!</definedName>
    <definedName name="tscb">#REF!</definedName>
    <definedName name="tscs3w">#REF!</definedName>
    <definedName name="tscs6w">#REF!</definedName>
    <definedName name="tservice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s_kr">#REF!</definedName>
    <definedName name="tst">#REF!</definedName>
    <definedName name="Tsuara">#REF!</definedName>
    <definedName name="tsubur">#REF!</definedName>
    <definedName name="TT" hidden="1">{"'Sheet1'!$A$1"}</definedName>
    <definedName name="TT_1P">"$#REF!.$E$4:$AH$18"</definedName>
    <definedName name="TT_3p">"$#REF!.$E$4:$AG$15"</definedName>
    <definedName name="tt1pnc">NA()</definedName>
    <definedName name="tt1pvl">NA()</definedName>
    <definedName name="tt3pnc">NA()</definedName>
    <definedName name="tt3pvl">NA()</definedName>
    <definedName name="TTDD">"'file:///d:/project/energyhouse2/energyhouse2-mainkontraktor/energyhouse2-mainkontraktor-tender/energyhouse2-mainkontraktor-tender-boq/misc/congviec/tam.xls'#$tdtkp.$e$44"+"'file:///d:/project/energyhouse2/energyhouse2-mainkontraktor/energyhouse2-mainkontraktor-tender/energyhouse2-mainkontraktor-tender-boq/misc/congviec/tam.xls'#$tdtkp.$f$44"+"'file:///d:/project/energyhouse2/energyhouse2-mainkontraktor/energyhouse2-mainkontraktor-tender/energyhouse2-mainkontraktor-tender-boq/misc/congviec/tam.xls'#$tdtkp.$g$44"</definedName>
    <definedName name="TTDD3P">NA()</definedName>
    <definedName name="TTDDCT3p">NA()</definedName>
    <definedName name="ttk.lam">#REF!</definedName>
    <definedName name="TTK3p">"'file:///d:/project/energyhouse2/energyhouse2-mainkontraktor/energyhouse2-mainkontraktor-tender/energyhouse2-mainkontraktor-tender-boq/misc/congviec/tam.xls'#$'tongke3p '.$c$295"</definedName>
    <definedName name="ttronmk">"$#REF!.$E$211"</definedName>
    <definedName name="TTTT">#REF!</definedName>
    <definedName name="ttttey" hidden="1">{"'Sheet1'!$A$1"}</definedName>
    <definedName name="tttttttttttttttttttttttttttttt">#REF!</definedName>
    <definedName name="tu">#REF!</definedName>
    <definedName name="TU37D">#REF!</definedName>
    <definedName name="TUAL">#REF!</definedName>
    <definedName name="TUBA">#REF!</definedName>
    <definedName name="TUBAJ">#REF!</definedName>
    <definedName name="TUBE">#REF!</definedName>
    <definedName name="TUCA">#REF!</definedName>
    <definedName name="TUKA">#REF!</definedName>
    <definedName name="tukang">#REF!</definedName>
    <definedName name="Tukang.b">#REF!</definedName>
    <definedName name="Tukang.kayu">#REF!</definedName>
    <definedName name="TUKANG_BATU_SETENGAH_TERAMPIL">#REF!</definedName>
    <definedName name="TUKANG_BATU_SETENGAH_TERAMPIL_23">#REF!</definedName>
    <definedName name="TUKANG_BATU_SETENGAH_TERAMPIL_25">#REF!</definedName>
    <definedName name="TUKANG_BATU_TERAMPIL">#REF!</definedName>
    <definedName name="TUKANG_BATU_TERAMPIL_23">#REF!</definedName>
    <definedName name="TUKANG_BATU_TERAMPIL_25">#REF!</definedName>
    <definedName name="TUKANG_BESI_BETON_SETENGAH_TERAMPIL">#REF!</definedName>
    <definedName name="TUKANG_BESI_BETON_SETENGAH_TERAMPIL_23">#REF!</definedName>
    <definedName name="TUKANG_BESI_BETON_SETENGAH_TERAMPIL_25">#REF!</definedName>
    <definedName name="TUKANG_BESI_BETON_TERAMPIL">#REF!</definedName>
    <definedName name="TUKANG_BESI_BETON_TERAMPIL_23">#REF!</definedName>
    <definedName name="TUKANG_BESI_BETON_TERAMPIL_25">#REF!</definedName>
    <definedName name="TUKANG_BESI_PROFIL_SETENGAH_TERAMPIL">#REF!</definedName>
    <definedName name="TUKANG_BESI_PROFIL_SETENGAH_TERAMPIL_23">#REF!</definedName>
    <definedName name="TUKANG_BESI_PROFIL_SETENGAH_TERAMPIL_25">#REF!</definedName>
    <definedName name="TUKANG_BESI_PROFIL_TERAMPIL">#REF!</definedName>
    <definedName name="TUKANG_BESI_PROFIL_TERAMPIL_23">#REF!</definedName>
    <definedName name="TUKANG_BESI_PROFIL_TERAMPIL_25">#REF!</definedName>
    <definedName name="TUKANG_CAT___PELITUR_SETENGAH_TERAMPIL">#REF!</definedName>
    <definedName name="TUKANG_CAT___PELITUR_SETENGAH_TERAMPIL_23">#REF!</definedName>
    <definedName name="TUKANG_CAT___PELITUR_SETENGAH_TERAMPIL_25">#REF!</definedName>
    <definedName name="TUKANG_CAT___PELITUR_TERAMPIL">#REF!</definedName>
    <definedName name="TUKANG_CAT___PELITUR_TERAMPIL_23">#REF!</definedName>
    <definedName name="TUKANG_CAT___PELITUR_TERAMPIL_25">#REF!</definedName>
    <definedName name="TUKANG_GALI">#REF!</definedName>
    <definedName name="TUKANG_GALI_23">#REF!</definedName>
    <definedName name="TUKANG_GALI_25">#REF!</definedName>
    <definedName name="Tukang_kayu">#REF!</definedName>
    <definedName name="TUKANG_KAYU_SETENGAH_TERAMPIL">#REF!</definedName>
    <definedName name="TUKANG_KAYU_SETENGAH_TERAMPIL_23">#REF!</definedName>
    <definedName name="TUKANG_KAYU_SETENGAH_TERAMPIL_25">#REF!</definedName>
    <definedName name="TUKANG_KAYU_TERAMPIL">#REF!</definedName>
    <definedName name="TUKANG_KAYU_TERAMPIL_23">#REF!</definedName>
    <definedName name="TUKANG_KAYU_TERAMPIL_25">#REF!</definedName>
    <definedName name="Tukang_las">#REF!</definedName>
    <definedName name="TUKANG_MEUBELAIR">#REF!</definedName>
    <definedName name="TUKANG_MEUBELAIR_23">#REF!</definedName>
    <definedName name="TUKANG_MEUBELAIR_25">#REF!</definedName>
    <definedName name="TUKANG_TAMAN">#REF!</definedName>
    <definedName name="TUKANG_TAMAN_23">#REF!</definedName>
    <definedName name="TUKANG_TAMAN_25">#REF!</definedName>
    <definedName name="tukgal">#REF!</definedName>
    <definedName name="tukng">#REF!</definedName>
    <definedName name="tulang">#REF!</definedName>
    <definedName name="tulang24">#REF!</definedName>
    <definedName name="tulang39">#REF!</definedName>
    <definedName name="tulanganB1.1">#REF!</definedName>
    <definedName name="tulanganB1.2">#REF!</definedName>
    <definedName name="tulanganB1.3">#REF!</definedName>
    <definedName name="tulanganB1.4">#REF!</definedName>
    <definedName name="tulanganB1.5">#REF!</definedName>
    <definedName name="tulanganB10.1">#REF!</definedName>
    <definedName name="tulanganB10.2">#REF!</definedName>
    <definedName name="tulanganB10.3">#REF!</definedName>
    <definedName name="tulanganB10.4">#REF!</definedName>
    <definedName name="tulanganB10.5">#REF!</definedName>
    <definedName name="tulanganB2.1">#REF!</definedName>
    <definedName name="tulanganB2.2">#REF!</definedName>
    <definedName name="tulanganB2.3">#REF!</definedName>
    <definedName name="tulanganB2.4">#REF!</definedName>
    <definedName name="tulanganB2.5">#REF!</definedName>
    <definedName name="tulanganB3.1">#REF!</definedName>
    <definedName name="tulanganB3.2">#REF!</definedName>
    <definedName name="tulanganB3.3">#REF!</definedName>
    <definedName name="tulanganB3.4">#REF!</definedName>
    <definedName name="tulanganB3.5">#REF!</definedName>
    <definedName name="tulanganB4.1">#REF!</definedName>
    <definedName name="tulanganB4.2">#REF!</definedName>
    <definedName name="tulanganB4.3">#REF!</definedName>
    <definedName name="tulanganB4.4">#REF!</definedName>
    <definedName name="tulanganB4.5">#REF!</definedName>
    <definedName name="tulanganB5.1">#REF!</definedName>
    <definedName name="tulanganB5.2">#REF!</definedName>
    <definedName name="tulanganB5.3">#REF!</definedName>
    <definedName name="tulanganB5.4">#REF!</definedName>
    <definedName name="tulanganB5.5">#REF!</definedName>
    <definedName name="tulanganB6.1">#REF!</definedName>
    <definedName name="tulanganB6.2">#REF!</definedName>
    <definedName name="tulanganB6.3">#REF!</definedName>
    <definedName name="tulanganB6.4">#REF!</definedName>
    <definedName name="tulanganB6.5">#REF!</definedName>
    <definedName name="tulanganB6.6">#REF!</definedName>
    <definedName name="tulanganB6.7">#REF!</definedName>
    <definedName name="tulanganB7.1">#REF!</definedName>
    <definedName name="tulanganB7.2">#REF!</definedName>
    <definedName name="tulanganB7.3">#REF!</definedName>
    <definedName name="tulanganB7.4">#REF!</definedName>
    <definedName name="tulanganB7.5">#REF!</definedName>
    <definedName name="tulanganB7.6">#REF!</definedName>
    <definedName name="tulanganB7.7">#REF!</definedName>
    <definedName name="tulanganB8.1">#REF!</definedName>
    <definedName name="tulanganB8.2">#REF!</definedName>
    <definedName name="tulanganB8.3">#REF!</definedName>
    <definedName name="tulanganB8.4">#REF!</definedName>
    <definedName name="tulanganB8.5">#REF!</definedName>
    <definedName name="tulanganB9.1">#REF!</definedName>
    <definedName name="tulanganB9.2">#REF!</definedName>
    <definedName name="tulanganB9.3">#REF!</definedName>
    <definedName name="tulanganB9.4">#REF!</definedName>
    <definedName name="tulanganB9.5">#REF!</definedName>
    <definedName name="TULANGANBESIPOLOS">#REF!</definedName>
    <definedName name="TULANGANBESIULIR">#REF!</definedName>
    <definedName name="tulanganBR.1">#REF!</definedName>
    <definedName name="tulanganBTG.1">#REF!</definedName>
    <definedName name="tulanganBTG.1A">#REF!</definedName>
    <definedName name="tulanganBTG.2">#REF!</definedName>
    <definedName name="tulanganBTG.2A">#REF!</definedName>
    <definedName name="tulanganBTG.2B">#REF!</definedName>
    <definedName name="tulanganBTG.3">#REF!</definedName>
    <definedName name="tulanganK1.lt.1">#REF!</definedName>
    <definedName name="tulanganK1.lt.2">#REF!</definedName>
    <definedName name="tulanganK1.lt.3">#REF!</definedName>
    <definedName name="tulanganK1.lt.dsr">#REF!</definedName>
    <definedName name="tulanganK10.lt.1">#REF!</definedName>
    <definedName name="tulanganK10.lt.2">#REF!</definedName>
    <definedName name="tulanganK10.lt.3">#REF!</definedName>
    <definedName name="tulanganK10.lt.dsr">#REF!</definedName>
    <definedName name="tulanganK2.lt.1">#REF!</definedName>
    <definedName name="tulanganK2.lt.2">#REF!</definedName>
    <definedName name="tulanganK2.lt.3">#REF!</definedName>
    <definedName name="tulanganK2.lt.dsr">#REF!</definedName>
    <definedName name="tulanganK3.lt.1">#REF!</definedName>
    <definedName name="tulanganK3.lt.2">#REF!</definedName>
    <definedName name="tulanganK3.lt.3">#REF!</definedName>
    <definedName name="tulanganK3.lt.dsr">#REF!</definedName>
    <definedName name="tulanganK4.lt.1">#REF!</definedName>
    <definedName name="tulanganK4.lt.2">#REF!</definedName>
    <definedName name="tulanganK4.lt.3">#REF!</definedName>
    <definedName name="tulanganK4.lt.dsr">#REF!</definedName>
    <definedName name="tulanganK5.lt.1">#REF!</definedName>
    <definedName name="tulanganK5.lt.2">#REF!</definedName>
    <definedName name="tulanganK5.lt.3">#REF!</definedName>
    <definedName name="tulanganK5.lt.dsr">#REF!</definedName>
    <definedName name="tulanganK6.lt.1">#REF!</definedName>
    <definedName name="tulanganK6.lt.2">#REF!</definedName>
    <definedName name="tulanganK6.lt.3">#REF!</definedName>
    <definedName name="tulanganK6.lt.dsr">#REF!</definedName>
    <definedName name="tulanganK7.lt.1">#REF!</definedName>
    <definedName name="tulanganK7.lt.2">#REF!</definedName>
    <definedName name="tulanganK7.lt.3">#REF!</definedName>
    <definedName name="tulanganK7.lt.dsr">#REF!</definedName>
    <definedName name="tulanganK8.lt.1">#REF!</definedName>
    <definedName name="tulanganK8.lt.2">#REF!</definedName>
    <definedName name="tulanganK8.lt.3">#REF!</definedName>
    <definedName name="tulanganK8.lt.dsr">#REF!</definedName>
    <definedName name="tulanganK9.lt.1">#REF!</definedName>
    <definedName name="tulanganK9.lt.2">#REF!</definedName>
    <definedName name="tulanganK9.lt.3">#REF!</definedName>
    <definedName name="tulanganK9.lt.dsr">#REF!</definedName>
    <definedName name="tulanganKL">#REF!</definedName>
    <definedName name="tulanganKR1">#REF!</definedName>
    <definedName name="tulanganKTG1">#REF!</definedName>
    <definedName name="tulanganKTG1A">#REF!</definedName>
    <definedName name="tulanganKTG2">#REF!</definedName>
    <definedName name="tulanganTB.1">#REF!</definedName>
    <definedName name="tulanganTB.2">#REF!</definedName>
    <definedName name="tulanganTB.3">#REF!</definedName>
    <definedName name="tulanganTB.4">#REF!</definedName>
    <definedName name="tulanganTB.5">#REF!</definedName>
    <definedName name="tulanganTB.6">#REF!</definedName>
    <definedName name="turbo">#REF!</definedName>
    <definedName name="turbogls">#REF!</definedName>
    <definedName name="Turr05">#REF!</definedName>
    <definedName name="Turr10">#REF!</definedName>
    <definedName name="Turr20">#REF!</definedName>
    <definedName name="tusiter">#REF!</definedName>
    <definedName name="tusiter_6">#REF!</definedName>
    <definedName name="tutupatapgenteng">#REF!</definedName>
    <definedName name="tutupmhsiku">#REF!</definedName>
    <definedName name="tutupu30x30">#REF!</definedName>
    <definedName name="tutupu40x40">#REF!</definedName>
    <definedName name="tutupu60x60">#REF!</definedName>
    <definedName name="tutupu80x80">#REF!</definedName>
    <definedName name="tv">#REF!</definedName>
    <definedName name="TV.Nas">#REF!</definedName>
    <definedName name="TV.Phil">#REF!</definedName>
    <definedName name="tv75nc">"$#REF!.$H$113"</definedName>
    <definedName name="tv75vl">"$#REF!.$H$110"</definedName>
    <definedName name="tvoly">#REF!</definedName>
    <definedName name="Twd4k">#REF!</definedName>
    <definedName name="twlk">#N/A</definedName>
    <definedName name="tx1pignc">NA()</definedName>
    <definedName name="tx1pindnc">NA()</definedName>
    <definedName name="tx1pingnc">NA()</definedName>
    <definedName name="tx1pintnc">NA()</definedName>
    <definedName name="tx1pitnc">NA()</definedName>
    <definedName name="tx2mhnnc">NA()</definedName>
    <definedName name="tx2mitnc">NA()</definedName>
    <definedName name="txhnnc">NA()</definedName>
    <definedName name="txig1nc">NA()</definedName>
    <definedName name="txin190nc">NA()</definedName>
    <definedName name="txinnc">NA()</definedName>
    <definedName name="txit1nc">NA()</definedName>
    <definedName name="ty">#REF!</definedName>
    <definedName name="Tyler">#REF!</definedName>
    <definedName name="Type">#REF!</definedName>
    <definedName name="TYPICAL_FLOOR___7_LEVEL">#REF!</definedName>
    <definedName name="tytu" hidden="1">{"'Sheet1'!$A$1"}</definedName>
    <definedName name="tyyy" hidden="1">{"'Sheet1'!$A$1"}</definedName>
    <definedName name="u">#REF!</definedName>
    <definedName name="U.1">#REF!</definedName>
    <definedName name="U.2">#REF!</definedName>
    <definedName name="U.2a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#REF!</definedName>
    <definedName name="u_57M">#REF!</definedName>
    <definedName name="u_cip">#REF!</definedName>
    <definedName name="u_mrtr">#REF!</definedName>
    <definedName name="u_pvc">#REF!</definedName>
    <definedName name="u_scred">#REF!</definedName>
    <definedName name="u30x30">#REF!</definedName>
    <definedName name="u40x40">#REF!</definedName>
    <definedName name="u60x60">#REF!</definedName>
    <definedName name="u80x80">#REF!</definedName>
    <definedName name="ub">#REF!</definedName>
    <definedName name="ubak">#REF!</definedName>
    <definedName name="ubatu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">#REF!</definedName>
    <definedName name="UBLKT">#REF!</definedName>
    <definedName name="UBLKT_9">#REF!</definedName>
    <definedName name="UBLT">#REF!</definedName>
    <definedName name="UBLT_9">#REF!</definedName>
    <definedName name="UBLTT">#REF!</definedName>
    <definedName name="UBLTT_9">#REF!</definedName>
    <definedName name="ubol150">#REF!</definedName>
    <definedName name="ubol200">#REF!</definedName>
    <definedName name="ubol250">#REF!</definedName>
    <definedName name="ubol300">#REF!</definedName>
    <definedName name="ubowplank">#REF!</definedName>
    <definedName name="ubrav">#REF!</definedName>
    <definedName name="ubs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o" hidden="1">{#N/A,#N/A,FALSE,"REK";#N/A,#N/A,FALSE,"rab"}</definedName>
    <definedName name="ugal">#REF!</definedName>
    <definedName name="uhf">#REF!</definedName>
    <definedName name="UINSTKTAG">#N/A</definedName>
    <definedName name="UINSTPEN">#N/A</definedName>
    <definedName name="UINSTSK">#N/A</definedName>
    <definedName name="UjBet">#REF!</definedName>
    <definedName name="UjBhn">#REF!</definedName>
    <definedName name="UjJln">#REF!</definedName>
    <definedName name="UjLst">#REF!</definedName>
    <definedName name="UK">#REF!</definedName>
    <definedName name="UK_9">#REF!</definedName>
    <definedName name="ukayu">#REF!</definedName>
    <definedName name="ukembali">#REF!</definedName>
    <definedName name="ukepala">#REF!</definedName>
    <definedName name="uker20">#REF!</definedName>
    <definedName name="uker30">#REF!</definedName>
    <definedName name="ukir">#REF!</definedName>
    <definedName name="UKK">#REF!</definedName>
    <definedName name="ukol15">#REF!</definedName>
    <definedName name="UKT">#REF!</definedName>
    <definedName name="UKT_9">#REF!</definedName>
    <definedName name="ukur">#REF!</definedName>
    <definedName name="ukuran">#REF!</definedName>
    <definedName name="UkurP">#REF!</definedName>
    <definedName name="ulaker">#REF!</definedName>
    <definedName name="ulwp60">#REF!</definedName>
    <definedName name="umadat">#REF!</definedName>
    <definedName name="UMAN">#REF!</definedName>
    <definedName name="umandor">#REF!</definedName>
    <definedName name="UMK">#REF!</definedName>
    <definedName name="UMK_9">#REF!</definedName>
    <definedName name="UML">#REF!</definedName>
    <definedName name="UML_9">#REF!</definedName>
    <definedName name="UMP">#REF!</definedName>
    <definedName name="UMP_9">#REF!</definedName>
    <definedName name="umum">umum</definedName>
    <definedName name="UMUM01">#REF!</definedName>
    <definedName name="UMUM02">#REF!</definedName>
    <definedName name="UMUM03">#REF!</definedName>
    <definedName name="UMUM04">#REF!</definedName>
    <definedName name="UMUM05">#REF!</definedName>
    <definedName name="UMUM95">#REF!</definedName>
    <definedName name="undercoat">#REF!</definedName>
    <definedName name="UNIT">NA()</definedName>
    <definedName name="UNME">#REF!</definedName>
    <definedName name="unp">#REF!</definedName>
    <definedName name="Untitled">"$#REF!.$A$5:$C$1517"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#REF!</definedName>
    <definedName name="UOKT_9">#REF!</definedName>
    <definedName name="UOT">#REF!</definedName>
    <definedName name="UOT_9">#REF!</definedName>
    <definedName name="up">#REF!</definedName>
    <definedName name="up20d">#N/A</definedName>
    <definedName name="UPAH">#REF!</definedName>
    <definedName name="UPAH?">#REF!</definedName>
    <definedName name="UPAH?_9">#REF!</definedName>
    <definedName name="UPAH_BAHAN_CK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175">#REF!</definedName>
    <definedName name="upah225">#REF!</definedName>
    <definedName name="upahbesi">#REF!</definedName>
    <definedName name="upahborfile">#REF!</definedName>
    <definedName name="upahcerocok">#REF!</definedName>
    <definedName name="upahfabrikasibegi">#REF!</definedName>
    <definedName name="UPAHMELETAKKAN100KG">#REF!</definedName>
    <definedName name="upahpapan">#REF!</definedName>
    <definedName name="upahpasangkusen">#REF!</definedName>
    <definedName name="upahstoot">#REF!</definedName>
    <definedName name="upahwf">#REF!</definedName>
    <definedName name="upasbk5">#REF!</definedName>
    <definedName name="upasbm3">#REF!</definedName>
    <definedName name="upasbm5">#REF!</definedName>
    <definedName name="upasbt">#REF!</definedName>
    <definedName name="upasbtkl">#REF!</definedName>
    <definedName name="upasir">#REF!</definedName>
    <definedName name="upasirPC">#REF!</definedName>
    <definedName name="upasirsloof">#REF!</definedName>
    <definedName name="upekerja">#REF!</definedName>
    <definedName name="Uph">#REF!</definedName>
    <definedName name="uphbatcopondsi">#REF!</definedName>
    <definedName name="uphbesi">#REF!</definedName>
    <definedName name="uphlantkrj">#REF!</definedName>
    <definedName name="UPL">#REF!</definedName>
    <definedName name="uplest3">#REF!</definedName>
    <definedName name="uplest5">#REF!</definedName>
    <definedName name="uplesteran">#REF!</definedName>
    <definedName name="UPO">#REF!</definedName>
    <definedName name="UPO_9">#REF!</definedName>
    <definedName name="upto">#REF!</definedName>
    <definedName name="upurug">#REF!</definedName>
    <definedName name="upvc">#REF!</definedName>
    <definedName name="upvol">#REF!</definedName>
    <definedName name="UR">#REF!</definedName>
    <definedName name="urabat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#REF!</definedName>
    <definedName name="Uraian319">#REF!</definedName>
    <definedName name="URAIAN321">#REF!</definedName>
    <definedName name="Uraian322">#REF!</definedName>
    <definedName name="Uraian323">#REF!</definedName>
    <definedName name="URAIAN323L">#REF!</definedName>
    <definedName name="Uraian324">#REF!</definedName>
    <definedName name="URAIAN33">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kmb">#REF!</definedName>
    <definedName name="urgpsr10">#REF!</definedName>
    <definedName name="urgpsr5">#REF!</definedName>
    <definedName name="urin">#REF!</definedName>
    <definedName name="urinalu370">#REF!</definedName>
    <definedName name="URINALU370M">#REF!</definedName>
    <definedName name="urinar">#REF!</definedName>
    <definedName name="Urinoir">#REF!</definedName>
    <definedName name="urkemb">#REF!</definedName>
    <definedName name="UrnSk">#REF!</definedName>
    <definedName name="UrnTP">#REF!</definedName>
    <definedName name="urpadat">#REF!</definedName>
    <definedName name="urpas">#REF!</definedName>
    <definedName name="urpasir">#REF!</definedName>
    <definedName name="urpasir10">#REF!</definedName>
    <definedName name="urpasir5">#REF!</definedName>
    <definedName name="urr">#REF!</definedName>
    <definedName name="urug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RUGANTNH">#REF!</definedName>
    <definedName name="urugpasir">"$#REF!.$I$33"</definedName>
    <definedName name="urugpdt">#REF!</definedName>
    <definedName name="urugpsr">#REF!</definedName>
    <definedName name="urugtanah">"'file://SERVER3/har-data/STRUCTURE PRICE OF BQ KOMPAS GRAMEDIA.xls'#$analisa.$#REF!$#REF!"</definedName>
    <definedName name="us">#REF!</definedName>
    <definedName name="usa">#REF!</definedName>
    <definedName name="usd">#REF!</definedName>
    <definedName name="USD_RP_RATE">#REF!</definedName>
    <definedName name="USDA">#REF!</definedName>
    <definedName name="useptick">#REF!</definedName>
    <definedName name="usirtu">#REF!</definedName>
    <definedName name="USP">#REF!</definedName>
    <definedName name="USP_9">#REF!</definedName>
    <definedName name="UST">#REF!</definedName>
    <definedName name="UST_9">#REF!</definedName>
    <definedName name="ustamp">#REF!</definedName>
    <definedName name="USUKKRUINGRENGBANGKIRAI">#REF!</definedName>
    <definedName name="ut">#REF!</definedName>
    <definedName name="UTAIAN7614c">#REF!</definedName>
    <definedName name="utanah">#REF!</definedName>
    <definedName name="UTK">#REF!</definedName>
    <definedName name="UTK_9">#REF!</definedName>
    <definedName name="utl">#REF!</definedName>
    <definedName name="uts">#REF!</definedName>
    <definedName name="utul24">#REF!</definedName>
    <definedName name="utul39">#REF!</definedName>
    <definedName name="UU" hidden="1">{"'Sheet1'!$A$1"}</definedName>
    <definedName name="uurugkbl">#REF!</definedName>
    <definedName name="uurugsrt">#REF!</definedName>
    <definedName name="uv">#REF!</definedName>
    <definedName name="uwater">#REF!</definedName>
    <definedName name="uws">#REF!</definedName>
    <definedName name="V">NA()</definedName>
    <definedName name="V_2">#REF!</definedName>
    <definedName name="V_2_23">#REF!</definedName>
    <definedName name="V_2_25">#REF!</definedName>
    <definedName name="V_23">#REF!</definedName>
    <definedName name="V_25">#REF!</definedName>
    <definedName name="V_A">#REF!</definedName>
    <definedName name="V_B">#REF!</definedName>
    <definedName name="V_C">#REF!</definedName>
    <definedName name="V_D">#REF!</definedName>
    <definedName name="Va">#REF!</definedName>
    <definedName name="VAC">#REF!</definedName>
    <definedName name="vadg">STOP:STOPE</definedName>
    <definedName name="vadg_10">#REF!:#REF!</definedName>
    <definedName name="vadg_11">#REF!:#REF!</definedName>
    <definedName name="vadg_12">#REF!:#REF!</definedName>
    <definedName name="vadg_14">#REF!:#REF!</definedName>
    <definedName name="vadg_15">#REF!:#REF!</definedName>
    <definedName name="vadg_16">#REF!:#REF!</definedName>
    <definedName name="vadg_17">#REF!:#REF!</definedName>
    <definedName name="vadg_18">#REF!:#REF!</definedName>
    <definedName name="vadg_19">#REF!:#REF!</definedName>
    <definedName name="vadg_20">#REF!:#REF!</definedName>
    <definedName name="vadg_22">#REF!:#REF!</definedName>
    <definedName name="vadg_23">#REF!:#REF!</definedName>
    <definedName name="vadg_24">#REF!:#REF!</definedName>
    <definedName name="vadg_25">#REF!:#REF!</definedName>
    <definedName name="vadg_5">#REF!:#REF!</definedName>
    <definedName name="vadg_6">#REF!:#REF!</definedName>
    <definedName name="vadg_7">#REF!:#REF!</definedName>
    <definedName name="vadg_8">#REF!:#REF!</definedName>
    <definedName name="val">#REF!</definedName>
    <definedName name="val_23">#REF!</definedName>
    <definedName name="val_25">#REF!</definedName>
    <definedName name="VALUE">NA()</definedName>
    <definedName name="Values_Entered">IF(Loan_Amount*Interest_Rate*Loan_Years*Loan_Start&gt;0,1,0)</definedName>
    <definedName name="Values_Entered_13">IF(#NAME?*#NAME?*#NAME?*#NAME?&gt;0,1,0)</definedName>
    <definedName name="VALVE">#REF!</definedName>
    <definedName name="vc">#REF!</definedName>
    <definedName name="vc_2">#REF!</definedName>
    <definedName name="vc_3">#REF!</definedName>
    <definedName name="vc_4">#REF!</definedName>
    <definedName name="vc_5">#REF!</definedName>
    <definedName name="vc_c">#REF!</definedName>
    <definedName name="vcd">#REF!</definedName>
    <definedName name="VCDD3p">NA()</definedName>
    <definedName name="VCHT">"$#REF!.$H$127"</definedName>
    <definedName name="VCTT">"$#REF!.$H$30"</definedName>
    <definedName name="VCVBT1">"'file:///d:/project/energyhouse2/energyhouse2-mainkontraktor/energyhouse2-mainkontraktor-tender/energyhouse2-mainkontraktor-tender-boq/misc/congviec/tam.xls'#$'vcv-be-tong'.$g$11"</definedName>
    <definedName name="VCVBT2">"'file:///d:/project/energyhouse2/energyhouse2-mainkontraktor/energyhouse2-mainkontraktor-tender/energyhouse2-mainkontraktor-tender-boq/misc/congviec/tam.xls'#$'vcv-be-tong'.$g$17"</definedName>
    <definedName name="vd">#REF!</definedName>
    <definedName name="vd3p">"$#REF!.$X$10"</definedName>
    <definedName name="VDrain">#REF!</definedName>
    <definedName name="vegetation">#REF!</definedName>
    <definedName name="VEHICLES">#REF!</definedName>
    <definedName name="Ventilating_Fan_23">#REF!</definedName>
    <definedName name="Ventilating_Fan_25">#REF!</definedName>
    <definedName name="ver">#REF!</definedName>
    <definedName name="vgfhh" hidden="1">{"'Sheet1'!$A$1"}</definedName>
    <definedName name="vhf">#REF!</definedName>
    <definedName name="VI">#REF!</definedName>
    <definedName name="VibPl">#REF!</definedName>
    <definedName name="Vibr00">#REF!</definedName>
    <definedName name="Vibrator">#REF!</definedName>
    <definedName name="Vibro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iltajima">#REF!</definedName>
    <definedName name="vinyl">#REF!</definedName>
    <definedName name="vinylacrylic">#REF!</definedName>
    <definedName name="Vitri">#REF!</definedName>
    <definedName name="Vitri1">#REF!</definedName>
    <definedName name="Vitri2">#REF!</definedName>
    <definedName name="vl">#REF!</definedName>
    <definedName name="vl1p">"$#REF!.$H$25"</definedName>
    <definedName name="vl3p">"$#REF!.$#REF!$#REF!"</definedName>
    <definedName name="vlam">#REF!</definedName>
    <definedName name="vldd">NA()</definedName>
    <definedName name="vldn400">"$#REF!.$F$41"</definedName>
    <definedName name="vldn600">"$#REF!.$F$27"</definedName>
    <definedName name="VLF">#REF!</definedName>
    <definedName name="VLHC">"'file:///d:/project/energyhouse2/energyhouse2-mainkontraktor/energyhouse2-mainkontraktor-tender/energyhouse2-mainkontraktor-tender-boq/misc/congviec/tam.xls'#$tnhchinh.$i$38"</definedName>
    <definedName name="vltr">NA()</definedName>
    <definedName name="vltram">"$#REF!.$F$11"</definedName>
    <definedName name="VLV">#REF!</definedName>
    <definedName name="Vm">#REF!</definedName>
    <definedName name="vnt40___0">"$#REF!.$W$161"</definedName>
    <definedName name="vnt50___0">"$#REF!.$#REF!$#REF!"</definedName>
    <definedName name="vnt80___0">"$#REF!.$#REF!$#REF!"</definedName>
    <definedName name="vntf100">#REF!</definedName>
    <definedName name="vntf80">#REF!</definedName>
    <definedName name="vol">#REF!</definedName>
    <definedName name="vol.K1.lt.dasar">#REF!</definedName>
    <definedName name="vol.K10.lt.dasar">#REF!</definedName>
    <definedName name="vol.K2.lt.dasar">#REF!</definedName>
    <definedName name="vol.K3.lt.dasar">#REF!</definedName>
    <definedName name="vol.K4.lt.dasar">#REF!</definedName>
    <definedName name="vol.K5.lt.dasar">#REF!</definedName>
    <definedName name="vol.K6.lt.dasar">#REF!</definedName>
    <definedName name="vol.K7.lt.dasar">#REF!</definedName>
    <definedName name="vol.K8.lt.dasar">#REF!</definedName>
    <definedName name="vol.K9.lt.dasar">#REF!</definedName>
    <definedName name="vol.KP.lt.dsr">#REF!</definedName>
    <definedName name="vol.KR1">#REF!</definedName>
    <definedName name="vol.KTG.1">#REF!</definedName>
    <definedName name="vol.KTG.1A">#REF!</definedName>
    <definedName name="vol.KTG.2">#REF!</definedName>
    <definedName name="vol.mejabeton.lt.1">#REF!</definedName>
    <definedName name="vol.mejabeton.lt.3">#REF!</definedName>
    <definedName name="vol.S1.lt.1">#REF!</definedName>
    <definedName name="vol.S1.lt.2">#REF!</definedName>
    <definedName name="vol.S1.lt.3">#REF!</definedName>
    <definedName name="vol.S1.lt.atap">#REF!</definedName>
    <definedName name="vol.S2.3">#REF!</definedName>
    <definedName name="vol.S2.lt.1">#REF!</definedName>
    <definedName name="vol.S2.lt.2">#REF!</definedName>
    <definedName name="vol.S2.lt.atap">#REF!</definedName>
    <definedName name="vol.S3.3">#REF!</definedName>
    <definedName name="vol.S3.lt.1">#REF!</definedName>
    <definedName name="vol.S3.lt.2">#REF!</definedName>
    <definedName name="vol.S3.lt.atap">#REF!</definedName>
    <definedName name="vol.S3.lt.dsr">#REF!</definedName>
    <definedName name="vol.S4.3">#REF!</definedName>
    <definedName name="vol.S4.lt.1">#REF!</definedName>
    <definedName name="vol.S4.lt.2">#REF!</definedName>
    <definedName name="vol.S4.lt.atap">#REF!</definedName>
    <definedName name="vol.S4.lt.dsr">#REF!</definedName>
    <definedName name="vol.S5.lt.1">#REF!</definedName>
    <definedName name="vol.S5.lt.2">#REF!</definedName>
    <definedName name="vol.S5.lt.3">#REF!</definedName>
    <definedName name="vol.S5.lt.atap">#REF!</definedName>
    <definedName name="vol.S5.lt.dsr">#REF!</definedName>
    <definedName name="vol.S5.lt2">#REF!</definedName>
    <definedName name="vol.S5.lt3">#REF!</definedName>
    <definedName name="vol.S6.lt.1">#REF!</definedName>
    <definedName name="vol.S6.lt.2">#REF!</definedName>
    <definedName name="vol.S6.lt.3">#REF!</definedName>
    <definedName name="vol.S6.lt.atap">#REF!</definedName>
    <definedName name="vol.S6.lt.dsr">#REF!</definedName>
    <definedName name="vol.S6.lt2">#REF!</definedName>
    <definedName name="vol.S7.lt.1">#REF!</definedName>
    <definedName name="vol.S7.lt.2">#REF!</definedName>
    <definedName name="vol.S7.lt.3">#REF!</definedName>
    <definedName name="vol.S7.lt.atap">#REF!</definedName>
    <definedName name="vol.S7.lt.dsr">#REF!</definedName>
    <definedName name="vol.tangga1">#REF!</definedName>
    <definedName name="vol.tangga2">#REF!</definedName>
    <definedName name="vol.tangga3">#REF!</definedName>
    <definedName name="volbahanahs">#REF!</definedName>
    <definedName name="volbhn">#REF!</definedName>
    <definedName name="volbhnid">#REF!</definedName>
    <definedName name="VOLBPKP">"$#REF!.$AE$3:$AE$655"</definedName>
    <definedName name="volcbm">#REF!</definedName>
    <definedName name="VolExt">#REF!</definedName>
    <definedName name="VOLGENJING">"$#REF!.$AJ$3:$AJ$592"</definedName>
    <definedName name="VOLGIRI">"$#REF!.$U$3:$U$354"</definedName>
    <definedName name="VOLHALIMUN">"$#REF!.$AY$3:$AY$349"</definedName>
    <definedName name="VOLIKIP">"$#REF!.$Z$3:$Z$592"</definedName>
    <definedName name="volkora">#REF!</definedName>
    <definedName name="VOLMANGGARAI">"$#REF!.$AO$3:$AO$347"</definedName>
    <definedName name="VOLPERTAMINA">"$#REF!.$K$3:$K$693"</definedName>
    <definedName name="VOLPULO">"$#REF!.$E$3:$E$705"</definedName>
    <definedName name="volqs">#REF!</definedName>
    <definedName name="VOLRUMPUT">"$#REF!.$AT$3:$AT$688"</definedName>
    <definedName name="volS6.lt.2">#REF!</definedName>
    <definedName name="VOLTARAKANITA">"$#REF!.$P$3:$P$701"</definedName>
    <definedName name="Volume">#REF!</definedName>
    <definedName name="volume.K6.lt.2">#REF!</definedName>
    <definedName name="volumeB1.1.lt.2">#REF!</definedName>
    <definedName name="volumeB1.1.lt.3">#REF!</definedName>
    <definedName name="volumeB1.1.lt.atap">#REF!</definedName>
    <definedName name="volumeB1.1lt.1">#REF!</definedName>
    <definedName name="volumeB1.2.lt.1">#REF!</definedName>
    <definedName name="volumeB1.2.lt.2">#REF!</definedName>
    <definedName name="volumeB1.2.lt.3">#REF!</definedName>
    <definedName name="volumeB1.2.lt.atap">#REF!</definedName>
    <definedName name="volumeB1.3.lt.1">#REF!</definedName>
    <definedName name="volumeB1.3.lt.2">#REF!</definedName>
    <definedName name="volumeB1.3.lt.3">#REF!</definedName>
    <definedName name="volumeB1.3.lt.atap">#REF!</definedName>
    <definedName name="volumeB1.4.lt.1">#REF!</definedName>
    <definedName name="volumeB1.4.lt.2">#REF!</definedName>
    <definedName name="volumeB1.4.lt.3">#REF!</definedName>
    <definedName name="volumeB1.4.lt.atap">#REF!</definedName>
    <definedName name="volumeB1.5.lt.1">#REF!</definedName>
    <definedName name="volumeB1.5.lt.2">#REF!</definedName>
    <definedName name="volumeB1.5.lt.3">#REF!</definedName>
    <definedName name="volumeB1.5.lt.atap">#REF!</definedName>
    <definedName name="volumeB10.1.lt.2">#REF!</definedName>
    <definedName name="volumeB10.1.lt.3">#REF!</definedName>
    <definedName name="volumeB10.1.lt.atap">#REF!</definedName>
    <definedName name="volumeB10.2.lt.1">#REF!</definedName>
    <definedName name="volumeB10.2.lt.2">#REF!</definedName>
    <definedName name="volumeB10.2.lt.3">#REF!</definedName>
    <definedName name="volumeB10.2.lt.atap">#REF!</definedName>
    <definedName name="volumeB10.3.lt.1">#REF!</definedName>
    <definedName name="volumeB10.3.lt.2">#REF!</definedName>
    <definedName name="volumeB10.3.lt.3">#REF!</definedName>
    <definedName name="volumeB10.3.lt.atap">#REF!</definedName>
    <definedName name="volumeB10.4.lt.1">#REF!</definedName>
    <definedName name="volumeB10.4.lt.2">#REF!</definedName>
    <definedName name="volumeB10.4.lt.3">#REF!</definedName>
    <definedName name="volumeB10.4.lt.atap">#REF!</definedName>
    <definedName name="volumeB10.5.klt.1">#REF!</definedName>
    <definedName name="volumeB10.5.lt.2">#REF!</definedName>
    <definedName name="volumeB10.5.lt.3">#REF!</definedName>
    <definedName name="volumeB10.5.lt.atap">#REF!</definedName>
    <definedName name="volumeB10.lt.1">#REF!</definedName>
    <definedName name="volumeB2.1.lt.1">#REF!</definedName>
    <definedName name="volumeB2.1.lt.2">#REF!</definedName>
    <definedName name="volumeB2.1.lt.3">#REF!</definedName>
    <definedName name="volumeB2.1.lt.atap">#REF!</definedName>
    <definedName name="volumeB2.2.lt.1">#REF!</definedName>
    <definedName name="volumeB2.2.lt.2">#REF!</definedName>
    <definedName name="volumeB2.2.lt.3">#REF!</definedName>
    <definedName name="volumeB2.2.lt.atap">#REF!</definedName>
    <definedName name="volumeB2.3.lt.1">#REF!</definedName>
    <definedName name="volumeB2.3.lt.2">#REF!</definedName>
    <definedName name="volumeB2.3.lt.3">#REF!</definedName>
    <definedName name="volumeB2.3.lt.atap">#REF!</definedName>
    <definedName name="volumeB2.4.lt.1">#REF!</definedName>
    <definedName name="volumeB2.4.lt.2">#REF!</definedName>
    <definedName name="volumeB2.4.lt.3">#REF!</definedName>
    <definedName name="volumeB2.4.lt.atap">#REF!</definedName>
    <definedName name="volumeB2.5.lt.1">#REF!</definedName>
    <definedName name="volumeB2.5.lt.2">#REF!</definedName>
    <definedName name="volumeB2.5.lt.3">#REF!</definedName>
    <definedName name="volumeB2.5.lt.atap">#REF!</definedName>
    <definedName name="volumeB3.1.lt.1">#REF!</definedName>
    <definedName name="volumeB3.1.lt.2">#REF!</definedName>
    <definedName name="volumeB3.1.lt.3">#REF!</definedName>
    <definedName name="volumeB3.1.lt.atap">#REF!</definedName>
    <definedName name="volumeB3.2.lt.1">#REF!</definedName>
    <definedName name="volumeB3.2.lt.2">#REF!</definedName>
    <definedName name="volumeB3.2.lt.3">#REF!</definedName>
    <definedName name="volumeB3.2.lt.atap">#REF!</definedName>
    <definedName name="volumeB3.3.lt.1">#REF!</definedName>
    <definedName name="volumeB3.3.lt.2">#REF!</definedName>
    <definedName name="volumeB3.3.lt.3">#REF!</definedName>
    <definedName name="volumeB3.3.lt.atap">#REF!</definedName>
    <definedName name="volumeB3.4.lt.1">#REF!</definedName>
    <definedName name="volumeB3.4.lt.2">#REF!</definedName>
    <definedName name="volumeB3.4.lt.3">#REF!</definedName>
    <definedName name="volumeB3.4.lt.atap">#REF!</definedName>
    <definedName name="volumeB3.5.lt.1">#REF!</definedName>
    <definedName name="volumeB3.5.lt.2">#REF!</definedName>
    <definedName name="volumeB3.5.lt.3">#REF!</definedName>
    <definedName name="volumeB3.5.lt.atap">#REF!</definedName>
    <definedName name="volumeB4.1.lt.1">#REF!</definedName>
    <definedName name="volumeB4.1.lt.2">#REF!</definedName>
    <definedName name="volumeB4.1.lt.3">#REF!</definedName>
    <definedName name="volumeB4.1.lt.atap">#REF!</definedName>
    <definedName name="volumeB4.2.lt.1">#REF!</definedName>
    <definedName name="volumeB4.2.lt.2">#REF!</definedName>
    <definedName name="volumeB4.2.lt.3">#REF!</definedName>
    <definedName name="volumeB4.2.lt.atap">#REF!</definedName>
    <definedName name="volumeB4.3.lt.1">#REF!</definedName>
    <definedName name="volumeB4.3.lt.2">#REF!</definedName>
    <definedName name="volumeB4.3.lt.3">#REF!</definedName>
    <definedName name="volumeB4.3.lt.atap">#REF!</definedName>
    <definedName name="volumeB4.4.lt.1">#REF!</definedName>
    <definedName name="volumeB4.4.lt.2">#REF!</definedName>
    <definedName name="volumeB4.4.lt.3">#REF!</definedName>
    <definedName name="volumeB4.4.lt.atap">#REF!</definedName>
    <definedName name="volumeB4.5.lt.1">#REF!</definedName>
    <definedName name="volumeB4.5.lt.2">#REF!</definedName>
    <definedName name="volumeB4.5.lt.3">#REF!</definedName>
    <definedName name="volumeB4.5.lt.atap">#REF!</definedName>
    <definedName name="volumeB5.1.lt.1">#REF!</definedName>
    <definedName name="volumeB5.1.lt.2">#REF!</definedName>
    <definedName name="volumeB5.1.lt.3">#REF!</definedName>
    <definedName name="volumeB5.1.lt.atap">#REF!</definedName>
    <definedName name="volumeB5.2.lt.1">#REF!</definedName>
    <definedName name="volumeB5.2.lt.2">#REF!</definedName>
    <definedName name="volumeB5.2.lt.3">#REF!</definedName>
    <definedName name="volumeB5.2.lt.atap">#REF!</definedName>
    <definedName name="volumeB5.3.lt.1">#REF!</definedName>
    <definedName name="volumeB5.3.lt.2">#REF!</definedName>
    <definedName name="volumeB5.3.lt.3">#REF!</definedName>
    <definedName name="volumeB5.3.lt.atap">#REF!</definedName>
    <definedName name="volumeB5.4.lt.1">#REF!</definedName>
    <definedName name="volumeB5.4.lt.2">#REF!</definedName>
    <definedName name="volumeB5.4.lt.3">#REF!</definedName>
    <definedName name="volumeB5.4.lt.atap">#REF!</definedName>
    <definedName name="volumeB5.5.lt.1">#REF!</definedName>
    <definedName name="volumeB5.5.lt.2">#REF!</definedName>
    <definedName name="volumeB5.5.lt.3">#REF!</definedName>
    <definedName name="volumeB5.5.lt.atap">#REF!</definedName>
    <definedName name="volumeB6.1.lt.1">#REF!</definedName>
    <definedName name="volumeB6.1.lt.2">#REF!</definedName>
    <definedName name="volumeB6.1.lt.3">#REF!</definedName>
    <definedName name="volumeB6.1.lt.atap">#REF!</definedName>
    <definedName name="volumeB6.2">#REF!</definedName>
    <definedName name="volumeB6.2.lt.2">#REF!</definedName>
    <definedName name="volumeB6.2.lt.3">#REF!</definedName>
    <definedName name="volumeB6.2.lt.atap">#REF!</definedName>
    <definedName name="volumeB6.3.lt.1">#REF!</definedName>
    <definedName name="volumeB6.3.lt.2">#REF!</definedName>
    <definedName name="volumeB6.3.lt.3">#REF!</definedName>
    <definedName name="volumeB6.3.lt.atap">#REF!</definedName>
    <definedName name="volumeB6.4.lt.1">#REF!</definedName>
    <definedName name="volumeB6.4.lt.2">#REF!</definedName>
    <definedName name="volumeB6.4.lt.3">#REF!</definedName>
    <definedName name="volumeB6.4.lt.atap">#REF!</definedName>
    <definedName name="volumeB6.5.lt.1">#REF!</definedName>
    <definedName name="volumeB6.5.lt.2">#REF!</definedName>
    <definedName name="volumeB6.5.lt.3">#REF!</definedName>
    <definedName name="volumeB6.5.lt.atap">#REF!</definedName>
    <definedName name="volumeB6.6.lt.1">#REF!</definedName>
    <definedName name="volumeB6.6.lt.2">#REF!</definedName>
    <definedName name="volumeB6.6.lt.3">#REF!</definedName>
    <definedName name="volumeB6.6.lt.atap">#REF!</definedName>
    <definedName name="volumeB6.7.lt.1">#REF!</definedName>
    <definedName name="volumeB6.7.lt.2">#REF!</definedName>
    <definedName name="volumeB6.7.lt.3">#REF!</definedName>
    <definedName name="volumeB6.7.lt.atap">#REF!</definedName>
    <definedName name="volumeB7.1.lt.1">#REF!</definedName>
    <definedName name="volumeB7.1.lt.2">#REF!</definedName>
    <definedName name="volumeB7.1.lt.3">#REF!</definedName>
    <definedName name="volumeB7.1.lt.atap">#REF!</definedName>
    <definedName name="volumeB7.2.lt.1">#REF!</definedName>
    <definedName name="volumeB7.2.lt.2">#REF!</definedName>
    <definedName name="volumeB7.2.lt.3">#REF!</definedName>
    <definedName name="volumeB7.2.lt.atap">#REF!</definedName>
    <definedName name="volumeB7.3.lt.1">#REF!</definedName>
    <definedName name="volumeB7.3.lt.2">#REF!</definedName>
    <definedName name="volumeB7.3.lt.3">#REF!</definedName>
    <definedName name="volumeB7.3.lt.atap">#REF!</definedName>
    <definedName name="volumeB7.4.lt.1">#REF!</definedName>
    <definedName name="volumeB7.4.lt.2">#REF!</definedName>
    <definedName name="volumeB7.4.lt.3">#REF!</definedName>
    <definedName name="volumeB7.4.lt.atap">#REF!</definedName>
    <definedName name="volumeB7.5.lt.1">#REF!</definedName>
    <definedName name="volumeB7.5.lt.2">#REF!</definedName>
    <definedName name="volumeB7.5.lt.3">#REF!</definedName>
    <definedName name="volumeB7.5.lt.atap">#REF!</definedName>
    <definedName name="volumeB7.6.lt.1">#REF!</definedName>
    <definedName name="volumeB7.6.lt.2">#REF!</definedName>
    <definedName name="volumeB7.6.lt.3">#REF!</definedName>
    <definedName name="volumeB7.6.lt.atap">#REF!</definedName>
    <definedName name="volumeB7.7.lt.1">#REF!</definedName>
    <definedName name="volumeB7.7.lt.2">#REF!</definedName>
    <definedName name="volumeB7.7.lt.3">#REF!</definedName>
    <definedName name="volumeB7.7.lt.atap">#REF!</definedName>
    <definedName name="volumeB8.1.lt.1">#REF!</definedName>
    <definedName name="volumeB8.1.lt.2">#REF!</definedName>
    <definedName name="volumeB8.1.lt.3">#REF!</definedName>
    <definedName name="volumeB8.1.lt.atap">#REF!</definedName>
    <definedName name="volumeB8.2.lt.1">#REF!</definedName>
    <definedName name="volumeB8.2.lt.2">#REF!</definedName>
    <definedName name="volumeB8.2.lt.3">#REF!</definedName>
    <definedName name="volumeB8.2.lt.atap">#REF!</definedName>
    <definedName name="volumeB8.3.lt.1">#REF!</definedName>
    <definedName name="volumeB8.3.lt.2">#REF!</definedName>
    <definedName name="volumeB8.3.lt.3">#REF!</definedName>
    <definedName name="volumeB8.3.lt.atap">#REF!</definedName>
    <definedName name="volumeB8.4.lt.1">#REF!</definedName>
    <definedName name="volumeB8.4.lt.2">#REF!</definedName>
    <definedName name="volumeB8.4.lt.3">#REF!</definedName>
    <definedName name="volumeB8.4.lt.atap">#REF!</definedName>
    <definedName name="volumeB8.5.lt.1">#REF!</definedName>
    <definedName name="volumeB8.5.lt.2">#REF!</definedName>
    <definedName name="volumeB8.5.lt.3">#REF!</definedName>
    <definedName name="volumeB8.5.lt.atap">#REF!</definedName>
    <definedName name="volumeB9.1.lt.1">#REF!</definedName>
    <definedName name="volumeB9.1.lt.2">#REF!</definedName>
    <definedName name="volumeB9.1.lt.3">#REF!</definedName>
    <definedName name="volumeB9.1.lt.atap">#REF!</definedName>
    <definedName name="volumeB9.2.lt.1">#REF!</definedName>
    <definedName name="volumeB9.2.lt.2">#REF!</definedName>
    <definedName name="volumeB9.2.lt.3">#REF!</definedName>
    <definedName name="volumeB9.2.lt.atap">#REF!</definedName>
    <definedName name="volumeB9.3.lt.1">#REF!</definedName>
    <definedName name="volumeB9.3.lt.2">#REF!</definedName>
    <definedName name="volumeB9.3.lt.3">#REF!</definedName>
    <definedName name="volumeB9.3.lt.atap">#REF!</definedName>
    <definedName name="volumeB9.4.lt.1">#REF!</definedName>
    <definedName name="volumeB9.4.lt.2">#REF!</definedName>
    <definedName name="volumeB9.4.lt.3">#REF!</definedName>
    <definedName name="volumeB9.4.lt.atap">#REF!</definedName>
    <definedName name="volumeB9.5..lt.atap">#REF!</definedName>
    <definedName name="volumeB9.5.lt.1">#REF!</definedName>
    <definedName name="volumeB9.5.lt.2">#REF!</definedName>
    <definedName name="volumeB9.5.lt.3">#REF!</definedName>
    <definedName name="volumeBR.1.ramp">#REF!</definedName>
    <definedName name="volumeBTG.1">#REF!</definedName>
    <definedName name="volumeBTG.1A">#REF!</definedName>
    <definedName name="volumeBTG.2">#REF!</definedName>
    <definedName name="volumeBTG.2A">#REF!</definedName>
    <definedName name="volumeBTG.2B">#REF!</definedName>
    <definedName name="volumeBTG.3">#REF!</definedName>
    <definedName name="volumecatdindingdalam.ltdasar">#REF!</definedName>
    <definedName name="volumecatdindingluar.ltdasar">#REF!</definedName>
    <definedName name="volumeGS">#REF!</definedName>
    <definedName name="volumeK1.lt.1">#REF!</definedName>
    <definedName name="volumeK1.lt.2">#REF!</definedName>
    <definedName name="volumeK1.lt.3">#REF!</definedName>
    <definedName name="volumeK10.lt.1">#REF!</definedName>
    <definedName name="volumeK10.lt.2">#REF!</definedName>
    <definedName name="volumeK10.lt.3">#REF!</definedName>
    <definedName name="volumeK2.lt.1">#REF!</definedName>
    <definedName name="volumeK2.lt.2">#REF!</definedName>
    <definedName name="volumeK2.lt.3">#REF!</definedName>
    <definedName name="volumeK3.lt.1">#REF!</definedName>
    <definedName name="volumeK3.lt.2">#REF!</definedName>
    <definedName name="volumeK3.lt.3">#REF!</definedName>
    <definedName name="volumeK4.lt.1">#REF!</definedName>
    <definedName name="volumeK4.lt.2">#REF!</definedName>
    <definedName name="volumeK4.lt.3">#REF!</definedName>
    <definedName name="volumeK5.lt.1">#REF!</definedName>
    <definedName name="volumeK5.lt.2">#REF!</definedName>
    <definedName name="volumeK5.lt.3">#REF!</definedName>
    <definedName name="volumeK6.lt.1">#REF!</definedName>
    <definedName name="volumeK6.lt.3">#REF!</definedName>
    <definedName name="volumeK7.lt.1">#REF!</definedName>
    <definedName name="volumeK7.lt.2">#REF!</definedName>
    <definedName name="volumeK7.lt.3">#REF!</definedName>
    <definedName name="volumeK8.lt.1">#REF!</definedName>
    <definedName name="volumeK8.lt.2">#REF!</definedName>
    <definedName name="volumeK8.lt.3">#REF!</definedName>
    <definedName name="volumeK9.lt.1">#REF!</definedName>
    <definedName name="volumeK9.lt.2">#REF!</definedName>
    <definedName name="volumeK9.lt.3">#REF!</definedName>
    <definedName name="volumeKL">#REF!</definedName>
    <definedName name="volumemejabeton">#REF!</definedName>
    <definedName name="volumemejabetonlt.1">#REF!</definedName>
    <definedName name="volumeP.1">#REF!</definedName>
    <definedName name="volumeP.2B">#REF!</definedName>
    <definedName name="volumeP.3A">#REF!</definedName>
    <definedName name="volumeP.3B">#REF!</definedName>
    <definedName name="volumeP.4A">#REF!</definedName>
    <definedName name="volumeP.TG.1">#REF!</definedName>
    <definedName name="volumeP.TG.2">#REF!</definedName>
    <definedName name="volumepasanganbata1.3ltdasar">#REF!</definedName>
    <definedName name="volumepasanganbata1.5ltdasar">#REF!</definedName>
    <definedName name="volumeplesteran1.3.ltdasar">#REF!</definedName>
    <definedName name="volumeplesteran1.5.ltdasar">#REF!</definedName>
    <definedName name="volumePR.1">#REF!</definedName>
    <definedName name="volumeS1.lt.dsr">#REF!</definedName>
    <definedName name="volumeS2.lt.dsr">#REF!</definedName>
    <definedName name="volumeS3.lt.1">#REF!</definedName>
    <definedName name="volumeS3.lt.dsr">#REF!</definedName>
    <definedName name="volumeS4.lt.1">#REF!</definedName>
    <definedName name="volumeS4.lt.dsr">#REF!</definedName>
    <definedName name="volumeS5.lt.1">#REF!</definedName>
    <definedName name="volumeS5.lt.dsr">#REF!</definedName>
    <definedName name="volumeS8.lt.dsr">#REF!</definedName>
    <definedName name="volumetangga1">#REF!</definedName>
    <definedName name="volumetangga2">#REF!</definedName>
    <definedName name="volumetangga3">#REF!</definedName>
    <definedName name="volumeTB.1">#REF!</definedName>
    <definedName name="volumeTB.2">#REF!</definedName>
    <definedName name="volumeTB.3">#REF!</definedName>
    <definedName name="volumeTB.4">#REF!</definedName>
    <definedName name="volumeTB.5">#REF!</definedName>
    <definedName name="volumeTB.6">#REF!</definedName>
    <definedName name="vr3p">"$#REF!.$Y$10"</definedName>
    <definedName name="vs">#REF!</definedName>
    <definedName name="VSV_10">#REF!:#REF!</definedName>
    <definedName name="VSV_11">#REF!:#REF!</definedName>
    <definedName name="VSV_12">#REF!:#REF!</definedName>
    <definedName name="VSV_14">#REF!:#REF!</definedName>
    <definedName name="VSV_15">#REF!:#REF!</definedName>
    <definedName name="VSV_16">#REF!:#REF!</definedName>
    <definedName name="VSV_17">#REF!:#REF!</definedName>
    <definedName name="VSV_18">#REF!:#REF!</definedName>
    <definedName name="VSV_19">#REF!:#REF!</definedName>
    <definedName name="VSV_20">#REF!:#REF!</definedName>
    <definedName name="VSV_22">#REF!:#REF!</definedName>
    <definedName name="VSV_23">#REF!:#REF!</definedName>
    <definedName name="VSV_24">#REF!:#REF!</definedName>
    <definedName name="VSV_25">#REF!:#REF!</definedName>
    <definedName name="VSV_5">#REF!:#REF!</definedName>
    <definedName name="VSV_6">#REF!:#REF!</definedName>
    <definedName name="VSV_7">#REF!:#REF!</definedName>
    <definedName name="VSV_8">#REF!:#REF!</definedName>
    <definedName name="Vt">#REF!</definedName>
    <definedName name="vt1pbs">NA()</definedName>
    <definedName name="vtbs">NA()</definedName>
    <definedName name="VUP">#REF!</definedName>
    <definedName name="vv">#REF!</definedName>
    <definedName name="VVV" hidden="1">#REF!</definedName>
    <definedName name="w">#REF!</definedName>
    <definedName name="w.m">#REF!</definedName>
    <definedName name="w.stain">#REF!</definedName>
    <definedName name="w_1">#REF!</definedName>
    <definedName name="w_10">"$#REF!.$I$162"</definedName>
    <definedName name="w_12">#REF!</definedName>
    <definedName name="w_13">#REF!</definedName>
    <definedName name="w_16">#REF!</definedName>
    <definedName name="w_17">#REF!</definedName>
    <definedName name="w_20">#REF!</definedName>
    <definedName name="w_21">#REF!</definedName>
    <definedName name="w_22">#REF!</definedName>
    <definedName name="w_26">#REF!</definedName>
    <definedName name="w_27">#REF!</definedName>
    <definedName name="w_28">#REF!</definedName>
    <definedName name="w_29">#REF!</definedName>
    <definedName name="w_3">#REF!</definedName>
    <definedName name="w_30">#REF!</definedName>
    <definedName name="w_36">#REF!</definedName>
    <definedName name="w_37">#REF!</definedName>
    <definedName name="w_38">#REF!</definedName>
    <definedName name="w_39">#REF!</definedName>
    <definedName name="w_3a">#REF!</definedName>
    <definedName name="w_4">#REF!</definedName>
    <definedName name="w_40">#REF!</definedName>
    <definedName name="w_41">#REF!</definedName>
    <definedName name="w_42">#REF!</definedName>
    <definedName name="w_44">#REF!</definedName>
    <definedName name="w_45">#REF!</definedName>
    <definedName name="w_46">#REF!</definedName>
    <definedName name="w_47">#REF!</definedName>
    <definedName name="w_48">#REF!</definedName>
    <definedName name="w_49">#REF!</definedName>
    <definedName name="w_5">#REF!</definedName>
    <definedName name="w_50">#REF!</definedName>
    <definedName name="w_51">#REF!</definedName>
    <definedName name="w_52">#REF!</definedName>
    <definedName name="w_53">#REF!</definedName>
    <definedName name="w_7">"$#REF!.$I$154"</definedName>
    <definedName name="w_lw">#REF!</definedName>
    <definedName name="w_tx">#REF!</definedName>
    <definedName name="W10x19">"$#REF!.$D$14"</definedName>
    <definedName name="W12x26">"$#REF!.$D$16"</definedName>
    <definedName name="W12x35">"$#REF!.$D$15"</definedName>
    <definedName name="W14x53">"$#REF!.$D$17"</definedName>
    <definedName name="W14x68">"$#REF!.$D$18"</definedName>
    <definedName name="w20_b">#REF!</definedName>
    <definedName name="W4x13">"$#REF!.$D$19"</definedName>
    <definedName name="W8x31">"$#REF!.$D$20"</definedName>
    <definedName name="WA">#REF!</definedName>
    <definedName name="Wahyu">#REF!</definedName>
    <definedName name="wal">#REF!</definedName>
    <definedName name="wallpaper">#REF!</definedName>
    <definedName name="waltermoor">#REF!</definedName>
    <definedName name="waltrmoor">#REF!</definedName>
    <definedName name="warna">#REF!</definedName>
    <definedName name="WasBw">#REF!</definedName>
    <definedName name="washtafel">#REF!</definedName>
    <definedName name="wast">#REF!</definedName>
    <definedName name="Wastafel">#REF!</definedName>
    <definedName name="WasTp">#REF!</definedName>
    <definedName name="WasTw">#REF!</definedName>
    <definedName name="WATE">#REF!</definedName>
    <definedName name="water.prof">#REF!</definedName>
    <definedName name="Water_Tank_Truck">#REF!</definedName>
    <definedName name="waterprof">#REF!</definedName>
    <definedName name="Waterprofingliquid">#REF!</definedName>
    <definedName name="Waterprofingmembrane">#REF!</definedName>
    <definedName name="waterproof">"'file://SERVER3/har-data/STRUCTURE PRICE OF BQ KOMPAS GRAMEDIA.xls'#$analisa.$#REF!$#REF!"</definedName>
    <definedName name="waterproofig">#REF!</definedName>
    <definedName name="waterproofing">#REF!</definedName>
    <definedName name="waterproofingnituthene">#REF!</definedName>
    <definedName name="Waterproofliquit">#REF!</definedName>
    <definedName name="WATERPUMP">#REF!</definedName>
    <definedName name="waterscredd">"'file://SERVER3/har-data/STRUCTURE PRICE OF BQ KOMPAS GRAMEDIA.xls'#$analisa.$#REF!$#REF!"</definedName>
    <definedName name="waterstop">"'file://SERVER3/har-data/STRUCTURE PRICE OF BQ KOMPAS GRAMEDIA.xls'#$analisa.$#REF!$#REF!"</definedName>
    <definedName name="waterstop150">#REF!</definedName>
    <definedName name="Watertank">#REF!</definedName>
    <definedName name="WATERTANKER">#REF!</definedName>
    <definedName name="watproof">#REF!</definedName>
    <definedName name="Wavin">#REF!</definedName>
    <definedName name="wc_2000">#REF!</definedName>
    <definedName name="wd">#REF!</definedName>
    <definedName name="wd.k">#REF!</definedName>
    <definedName name="wd_1">#REF!</definedName>
    <definedName name="wd_2">#REF!</definedName>
    <definedName name="wd_3">#REF!</definedName>
    <definedName name="wd_4">#REF!</definedName>
    <definedName name="wd_5">#REF!</definedName>
    <definedName name="wd_6">#REF!</definedName>
    <definedName name="wd_7">#REF!</definedName>
    <definedName name="wd_8">#REF!</definedName>
    <definedName name="WE">#REF!</definedName>
    <definedName name="WEAR">#REF!</definedName>
    <definedName name="weath">#REF!</definedName>
    <definedName name="weath_6">#REF!</definedName>
    <definedName name="weathershield">#REF!</definedName>
    <definedName name="wedus" hidden="1">#REF!</definedName>
    <definedName name="week">#REF!</definedName>
    <definedName name="WEFA">#REF!</definedName>
    <definedName name="wefb">#REF!</definedName>
    <definedName name="wefger" hidden="1">{"'Sheet1'!$A$1"}</definedName>
    <definedName name="wegtgty" hidden="1">{#N/A,#N/A,FALSE,"REK";#N/A,#N/A,FALSE,"rab"}</definedName>
    <definedName name="werg" hidden="1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gantung">#REF!</definedName>
    <definedName name="wesmeja">#REF!</definedName>
    <definedName name="westafell548">#REF!</definedName>
    <definedName name="wet" hidden="1">{#N/A,#N/A,FALSE,"REK";#N/A,#N/A,FALSE,"Bq-ARS"}</definedName>
    <definedName name="wetwerg" hidden="1">{#N/A,#N/A,FALSE,"REK";#N/A,#N/A,FALSE,"rab"}</definedName>
    <definedName name="weygt" hidden="1">{#N/A,#N/A,FALSE,"REK";#N/A,#N/A,FALSE,"Bq-ARS"}</definedName>
    <definedName name="wf">#REF!</definedName>
    <definedName name="wf_400">#REF!</definedName>
    <definedName name="Wf_Dn">#REF!</definedName>
    <definedName name="Wf_Jp">#REF!</definedName>
    <definedName name="WFL237V1B">#REF!</definedName>
    <definedName name="WFL521V1A">#REF!</definedName>
    <definedName name="wfprof">#REF!</definedName>
    <definedName name="Wg">#REF!</definedName>
    <definedName name="WHEELLOADER">#REF!</definedName>
    <definedName name="wheephole">#REF!</definedName>
    <definedName name="Whell_Roller">#REF!</definedName>
    <definedName name="Whelodr">#REF!</definedName>
    <definedName name="WIDA" hidden="1">{#N/A,#N/A,FALSE,"WP [10]"}</definedName>
    <definedName name="Width">#REF!</definedName>
    <definedName name="Wilka">#REF!</definedName>
    <definedName name="WIN">#REF!</definedName>
    <definedName name="wire6">#REF!</definedName>
    <definedName name="wire8">#REF!</definedName>
    <definedName name="WIRSBO">#REF!</definedName>
    <definedName name="wis">#REF!</definedName>
    <definedName name="wisma">#REF!</definedName>
    <definedName name="wl">#REF!</definedName>
    <definedName name="wl.80hp">#REF!</definedName>
    <definedName name="wl.80hp_9">#REF!</definedName>
    <definedName name="Wlppr">#REF!</definedName>
    <definedName name="wls">#REF!</definedName>
    <definedName name="wm">#REF!</definedName>
    <definedName name="wm_6">#REF!</definedName>
    <definedName name="wmt">#REF!</definedName>
    <definedName name="WOFI">#REF!</definedName>
    <definedName name="wood.f">#REF!</definedName>
    <definedName name="wood.s">#REF!</definedName>
    <definedName name="woodfiler">#REF!</definedName>
    <definedName name="woodstand">#REF!</definedName>
    <definedName name="wp">#REF!</definedName>
    <definedName name="Wp.5">#REF!</definedName>
    <definedName name="Wp.5_9">#REF!</definedName>
    <definedName name="wp_1">#REF!</definedName>
    <definedName name="wp_c">#REF!</definedName>
    <definedName name="wpatap">"'file://SERVER3/har-data/STRUCTURE PRICE OF BQ KOMPAS GRAMEDIA.xls'#$analisa.$#REF!$#REF!"</definedName>
    <definedName name="wpc_bmbt">#REF!</definedName>
    <definedName name="wpc_ml">#REF!</definedName>
    <definedName name="wpc_p">#REF!</definedName>
    <definedName name="WpEml">#REF!</definedName>
    <definedName name="wpliquid">#REF!</definedName>
    <definedName name="wpm">#REF!</definedName>
    <definedName name="wpm_15">#REF!</definedName>
    <definedName name="wpm_mbt">#REF!</definedName>
    <definedName name="wpm_ml">#REF!</definedName>
    <definedName name="wpm_ml1">#REF!</definedName>
    <definedName name="wpm_r">#REF!</definedName>
    <definedName name="wpm_sc">"$#REF!.$H$13"</definedName>
    <definedName name="Wpmbr">#REF!</definedName>
    <definedName name="Wpump">#REF!</definedName>
    <definedName name="WQEYGT" hidden="1">{#N/A,#N/A,FALSE,"REK";#N/A,#N/A,FALSE,"rab"}</definedName>
    <definedName name="wqeygtQWET" hidden="1">{#N/A,#N/A,FALSE,"REK";#N/A,#N/A,FALSE,"rab"}</definedName>
    <definedName name="WR">#REF!</definedName>
    <definedName name="wr_23">#REF!</definedName>
    <definedName name="wr_25">#REF!</definedName>
    <definedName name="wrg" hidden="1">{#N/A,#N/A,FALSE,"REK";#N/A,#N/A,FALSE,"rab"}</definedName>
    <definedName name="Wrms8">#REF!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esume._.Progress." hidden="1">{#N/A,#N/A,FALSE,"WP [10]"}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s">#REF!</definedName>
    <definedName name="ws_105">#REF!</definedName>
    <definedName name="ws_153">#REF!</definedName>
    <definedName name="ws_1530">#REF!</definedName>
    <definedName name="ws_d">"$#REF!.$H$31"</definedName>
    <definedName name="wstop">#REF!</definedName>
    <definedName name="wstpt">#REF!</definedName>
    <definedName name="wstwr">#REF!</definedName>
    <definedName name="Wsubm">#REF!</definedName>
    <definedName name="wt">#REF!</definedName>
    <definedName name="wt.60hp">#REF!</definedName>
    <definedName name="wt.60hp_9">#REF!</definedName>
    <definedName name="Wtank">#REF!</definedName>
    <definedName name="wtc">#REF!</definedName>
    <definedName name="wterprofbahan">#REF!</definedName>
    <definedName name="wterstop">#REF!</definedName>
    <definedName name="wterstopbahan">#REF!</definedName>
    <definedName name="WTP">#REF!</definedName>
    <definedName name="wtrpr">#REF!</definedName>
    <definedName name="wtrst">#REF!</definedName>
    <definedName name="WW" hidden="1">{"'Sheet1'!$A$1"}</definedName>
    <definedName name="WWW">#REF!</definedName>
    <definedName name="wwww">"$#REF!.$#REF!$#REF!"</definedName>
    <definedName name="x">"$#REF!.$#REF!$#REF!:$#REF!$#REF!"</definedName>
    <definedName name="X.1">#REF!</definedName>
    <definedName name="X.2">#REF!</definedName>
    <definedName name="X.3">#REF!</definedName>
    <definedName name="X.4">#REF!</definedName>
    <definedName name="X.5">#REF!</definedName>
    <definedName name="x17dnc">NA()</definedName>
    <definedName name="x17dvl">NA()</definedName>
    <definedName name="x17knc">NA()</definedName>
    <definedName name="x17kvl">NA()</definedName>
    <definedName name="X1pFCOnc">NA()</definedName>
    <definedName name="X1pFCOvc">NA()</definedName>
    <definedName name="X1pFCOvl">NA()</definedName>
    <definedName name="x1pignc">NA()</definedName>
    <definedName name="X1pIGvc">NA()</definedName>
    <definedName name="x1pigvl">NA()</definedName>
    <definedName name="x1pind">"$#REF!.$#REF!$#REF!"</definedName>
    <definedName name="x1pindnc">NA()</definedName>
    <definedName name="x1pindvl">NA()</definedName>
    <definedName name="x1ping">"$#REF!.$#REF!$#REF!"</definedName>
    <definedName name="x1pingnc">NA()</definedName>
    <definedName name="x1pingvl">NA()</definedName>
    <definedName name="x1pint">"$#REF!.$#REF!$#REF!"</definedName>
    <definedName name="x1pintnc">NA()</definedName>
    <definedName name="X1pINTvc">NA()</definedName>
    <definedName name="x1pintvl">NA()</definedName>
    <definedName name="x1pitnc">NA()</definedName>
    <definedName name="X1pITvc">NA()</definedName>
    <definedName name="x1pitvl">NA()</definedName>
    <definedName name="x20knc">NA()</definedName>
    <definedName name="x20kvl">NA()</definedName>
    <definedName name="x22knc">NA()</definedName>
    <definedName name="x22kvl">NA()</definedName>
    <definedName name="x2mig1nc">NA()</definedName>
    <definedName name="x2mig1vl">NA()</definedName>
    <definedName name="x2min1nc">NA()</definedName>
    <definedName name="x2min1vl">NA()</definedName>
    <definedName name="x2mit1vl">NA()</definedName>
    <definedName name="x2mitnc">NA()</definedName>
    <definedName name="XC_16">#REF!</definedName>
    <definedName name="XCCT">0.5</definedName>
    <definedName name="xcx">#REF!</definedName>
    <definedName name="xdsnc">NA()</definedName>
    <definedName name="xdsvl">NA()</definedName>
    <definedName name="xfco">"$#REF!.$#REF!$#REF!"</definedName>
    <definedName name="xfco3p">"$#REF!.$W$10"</definedName>
    <definedName name="xfconc">NA()</definedName>
    <definedName name="xfconc3p">"'file:///d:/project/energyhouse2/energyhouse2-mainkontraktor/energyhouse2-mainkontraktor-tender/energyhouse2-mainkontraktor-tender-boq/misc/congviec/tam.xls'#$'chitiet vl-nc'.$g$94"</definedName>
    <definedName name="xfcotnc">"$#REF!.$H$31"</definedName>
    <definedName name="xfcotvl">"$#REF!.$H$26"</definedName>
    <definedName name="xfcovl">NA()</definedName>
    <definedName name="xfcovl3p">"'file:///d:/project/energyhouse2/energyhouse2-mainkontraktor/energyhouse2-mainkontraktor-tender/energyhouse2-mainkontraktor-tender-boq/misc/congviec/tam.xls'#$'chitiet vl-nc'.$g$90"</definedName>
    <definedName name="xfnc">NA()</definedName>
    <definedName name="xfvl">NA()</definedName>
    <definedName name="xhn">"$#REF!.$#REF!$#REF!"</definedName>
    <definedName name="xhnnc">NA()</definedName>
    <definedName name="xhnvl">NA()</definedName>
    <definedName name="xig">"$#REF!.$#REF!$#REF!"</definedName>
    <definedName name="xig1">"$#REF!.$#REF!$#REF!"</definedName>
    <definedName name="xig1nc">NA()</definedName>
    <definedName name="xig1p">"$#REF!.$N$290"</definedName>
    <definedName name="xig1pnc">NA()</definedName>
    <definedName name="xig1pvl">NA()</definedName>
    <definedName name="xig1vl">NA()</definedName>
    <definedName name="xig2nc">NA()</definedName>
    <definedName name="xig2vl">NA()</definedName>
    <definedName name="xig3p">"$#REF!.$O$110"</definedName>
    <definedName name="xiggnc">"'file:///d:/project/energyhouse2/energyhouse2-mainkontraktor/energyhouse2-mainkontraktor-tender/energyhouse2-mainkontraktor-tender-boq/misc/congviec/tam.xls'#$'chitiet vl-nc'.$g$57"</definedName>
    <definedName name="xiggvl">"'file:///d:/project/energyhouse2/energyhouse2-mainkontraktor/energyhouse2-mainkontraktor-tender/energyhouse2-mainkontraktor-tender-boq/misc/congviec/tam.xls'#$'chitiet vl-nc'.$g$53"</definedName>
    <definedName name="xignc">NA()</definedName>
    <definedName name="xignc3p">"$#REF!.$#REF!#REF!"</definedName>
    <definedName name="xigvl">NA()</definedName>
    <definedName name="xigvl3p">"$#REF!.$#REF!#REF!"</definedName>
    <definedName name="xin">"$#REF!.$#REF!$#REF!"</definedName>
    <definedName name="xin190">"$#REF!.$#REF!$#REF!"</definedName>
    <definedName name="xin1903p">"$#REF!.$Q$110"</definedName>
    <definedName name="xin190nc">NA()</definedName>
    <definedName name="xin190nc3p">"'file:///d:/project/energyhouse2/energyhouse2-mainkontraktor/energyhouse2-mainkontraktor-tender/energyhouse2-mainkontraktor-tender-boq/misc/congviec/tam.xls'#$'chitiet vl-nc'.$g$76"</definedName>
    <definedName name="xin190vl">NA()</definedName>
    <definedName name="xin190vl3p">"'file:///d:/project/energyhouse2/energyhouse2-mainkontraktor/energyhouse2-mainkontraktor-tender/energyhouse2-mainkontraktor-tender-boq/misc/congviec/tam.xls'#$'chitiet vl-nc'.$g$72"</definedName>
    <definedName name="xin2903p">"$#REF!.$R$110"</definedName>
    <definedName name="xin290nc3p">"$#REF!.#REF!#REF!"</definedName>
    <definedName name="xin290vl3p">"$#REF!.#REF!#REF!"</definedName>
    <definedName name="xin3p">"$#REF!.$P$110"</definedName>
    <definedName name="xin901nc">NA()</definedName>
    <definedName name="xin901vl">NA()</definedName>
    <definedName name="xind">"$#REF!.$#REF!$#REF!"</definedName>
    <definedName name="xind1p">"$#REF!.$R$290"</definedName>
    <definedName name="xind1pnc">NA()</definedName>
    <definedName name="xind1pvl">NA()</definedName>
    <definedName name="xind3p">"$#REF!.$S$110"</definedName>
    <definedName name="xindnc">NA()</definedName>
    <definedName name="xindnc1p">"$#REF!.$G$153"</definedName>
    <definedName name="xindnc3p">"'file:///d:/project/energyhouse2/energyhouse2-mainkontraktor/energyhouse2-mainkontraktor-tender/energyhouse2-mainkontraktor-tender-boq/misc/congviec/tam.xls'#$'chitiet vl-nc'.$g$85"</definedName>
    <definedName name="xindvl">NA()</definedName>
    <definedName name="xindvl1p">"$#REF!.$G$147"</definedName>
    <definedName name="xindvl3p">"'file:///d:/project/energyhouse2/energyhouse2-mainkontraktor/energyhouse2-mainkontraktor-tender/energyhouse2-mainkontraktor-tender-boq/misc/congviec/tam.xls'#$'chitiet vl-nc'.$g$80"</definedName>
    <definedName name="xing1p">"$#REF!.$P$290"</definedName>
    <definedName name="xing1pnc">NA()</definedName>
    <definedName name="xing1pvl">NA()</definedName>
    <definedName name="xingnc1p">"$#REF!.$G$141"</definedName>
    <definedName name="xingvl1p">"$#REF!.$G$135"</definedName>
    <definedName name="xinnc">NA()</definedName>
    <definedName name="xinnc3p">"$#REF!.#REF!#REF!"</definedName>
    <definedName name="xint1p">"$#REF!.$Q$290"</definedName>
    <definedName name="xinvl">NA()</definedName>
    <definedName name="xinvl3p">"$#REF!.#REF!#REF!"</definedName>
    <definedName name="xit">"$#REF!.$#REF!$#REF!"</definedName>
    <definedName name="xit1">"$#REF!.$#REF!$#REF!"</definedName>
    <definedName name="xit1nc">NA()</definedName>
    <definedName name="xit1p">"$#REF!.$M$290"</definedName>
    <definedName name="xit1pnc">NA()</definedName>
    <definedName name="xit1pvl">NA()</definedName>
    <definedName name="xit1vl">NA()</definedName>
    <definedName name="xit23p">"$#REF!.$N$110"</definedName>
    <definedName name="xit2nc">NA()</definedName>
    <definedName name="xit2nc3p">"$#REF!.$#REF!#REF!"</definedName>
    <definedName name="xit2vl">NA()</definedName>
    <definedName name="xit2vl3p">"$#REF!.$#REF!#REF!"</definedName>
    <definedName name="xit3p">"$#REF!.$M$110"</definedName>
    <definedName name="xitnc">NA()</definedName>
    <definedName name="xitnc3p">"$#REF!.$#REF!#REF!"</definedName>
    <definedName name="xittnc">"'file:///d:/project/energyhouse2/energyhouse2-mainkontraktor/energyhouse2-mainkontraktor-tender/energyhouse2-mainkontraktor-tender-boq/misc/congviec/tam.xls'#$'chitiet vl-nc'.$g$48"</definedName>
    <definedName name="xittvl">"'file:///d:/project/energyhouse2/energyhouse2-mainkontraktor/energyhouse2-mainkontraktor-tender/energyhouse2-mainkontraktor-tender-boq/misc/congviec/tam.xls'#$'chitiet vl-nc'.$g$44"</definedName>
    <definedName name="xitvl">NA()</definedName>
    <definedName name="xitvl3p">"$#REF!.$#REF!#REF!"</definedName>
    <definedName name="xm">"'file:///d:/project/energyhouse2/energyhouse2-mainkontraktor/energyhouse2-mainkontraktor-tender/energyhouse2-mainkontraktor-tender-boq/misc/do-huong/gt-bo/tktc10-8/phong%20nen/dt-thl7.xls'#$gvl.$n$16"</definedName>
    <definedName name="xr1nc">NA()</definedName>
    <definedName name="xr1vl">NA()</definedName>
    <definedName name="xsddd">#REF!</definedName>
    <definedName name="Xt">#REF!</definedName>
    <definedName name="xtr3pnc">NA()</definedName>
    <definedName name="xtr3pvl">NA()</definedName>
    <definedName name="XX">#REF!</definedName>
    <definedName name="XXA">STOP:STOPE</definedName>
    <definedName name="XXA_10">#REF!:#REF!</definedName>
    <definedName name="XXA_11">#REF!:#REF!</definedName>
    <definedName name="XXA_12">#REF!:#REF!</definedName>
    <definedName name="XXA_14">#REF!:#REF!</definedName>
    <definedName name="XXA_15">#REF!:#REF!</definedName>
    <definedName name="XXA_16">#REF!:#REF!</definedName>
    <definedName name="XXA_17">#REF!:#REF!</definedName>
    <definedName name="XXA_18">#REF!:#REF!</definedName>
    <definedName name="XXA_19">#REF!:#REF!</definedName>
    <definedName name="XXA_20">#REF!:#REF!</definedName>
    <definedName name="XXA_22">#REF!:#REF!</definedName>
    <definedName name="XXA_23">#REF!:#REF!</definedName>
    <definedName name="XXA_24">#REF!:#REF!</definedName>
    <definedName name="XXA_25">#REF!:#REF!</definedName>
    <definedName name="XXA_5">#REF!:#REF!</definedName>
    <definedName name="XXA_6">#REF!:#REF!</definedName>
    <definedName name="XXA_7">#REF!:#REF!</definedName>
    <definedName name="XXA_8">#REF!:#REF!</definedName>
    <definedName name="xxx">#REF!</definedName>
    <definedName name="xxxx">#REF!</definedName>
    <definedName name="xxxxxxxxxxxxxxxxxxxxxxx">#REF!</definedName>
    <definedName name="y">#REF!</definedName>
    <definedName name="Y.1">#REF!</definedName>
    <definedName name="Y.2">#REF!</definedName>
    <definedName name="Y.4">#REF!</definedName>
    <definedName name="Y.Q">#REF!</definedName>
    <definedName name="Y_R">#REF!</definedName>
    <definedName name="yayuk" hidden="1">#REF!</definedName>
    <definedName name="yen">#REF!</definedName>
    <definedName name="Yen_USD">#REF!</definedName>
    <definedName name="YH">#REF!</definedName>
    <definedName name="YI">#REF!</definedName>
    <definedName name="yiy">#REF!</definedName>
    <definedName name="ykk" hidden="1">{"'Sheet1'!$A$1"}</definedName>
    <definedName name="yky" hidden="1">{"'Sheet1'!$A$1"}</definedName>
    <definedName name="yu5u" hidden="1">{"'Sheet1'!$A$1"}</definedName>
    <definedName name="YUIKO">#REF!</definedName>
    <definedName name="YY">#REF!</definedName>
    <definedName name="yyy">#REF!</definedName>
    <definedName name="yyyy">#REF!</definedName>
    <definedName name="Z">NA()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1">#REF!</definedName>
    <definedName name="Z_C5F07B99_5B9B_4D7E_8E51_7715CFFC23CA_.wvu.Rows" hidden="1">#REF!,#REF!,#REF!,#REF!,#REF!,#REF!,#REF!,#REF!,#REF!,#REF!,#REF!,#REF!,#REF!,#REF!,#REF!,#REF!</definedName>
    <definedName name="ZAHRA">#REF!</definedName>
    <definedName name="ZAZ_TT">#REF!</definedName>
    <definedName name="ZBox2">#REF!</definedName>
    <definedName name="ZBox3">#REF!</definedName>
    <definedName name="ZBox5">#REF!</definedName>
    <definedName name="zebo.1">#REF!</definedName>
    <definedName name="zebo.2">#REF!</definedName>
    <definedName name="zebo.3">#REF!</definedName>
    <definedName name="zenk">#REF!</definedName>
    <definedName name="zin">#REF!</definedName>
    <definedName name="zincalum">#REF!</definedName>
    <definedName name="zink">#REF!</definedName>
    <definedName name="zinkdp">#REF!</definedName>
    <definedName name="zinklab">#REF!</definedName>
    <definedName name="ZinkSK508">#REF!</definedName>
    <definedName name="Zncro">#REF!</definedName>
    <definedName name="zx">#REF!</definedName>
    <definedName name="zxf" hidden="1">{"'Sheet1'!$A$1"}</definedName>
    <definedName name="ZZ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80" i="1" l="1"/>
  <c r="A1141" i="1"/>
  <c r="A1125" i="1"/>
  <c r="B1110" i="1"/>
  <c r="A1110" i="1"/>
  <c r="B1095" i="1"/>
  <c r="A1095" i="1"/>
  <c r="B1080" i="1"/>
  <c r="A1080" i="1"/>
  <c r="B1065" i="1"/>
  <c r="A1065" i="1"/>
  <c r="B1050" i="1"/>
  <c r="A1050" i="1"/>
  <c r="B1034" i="1"/>
  <c r="A1034" i="1"/>
  <c r="B1018" i="1"/>
  <c r="A1018" i="1"/>
  <c r="B1002" i="1"/>
  <c r="A1002" i="1"/>
  <c r="G986" i="1"/>
  <c r="G976" i="1"/>
  <c r="G966" i="1"/>
  <c r="G956" i="1"/>
  <c r="G946" i="1"/>
  <c r="G936" i="1"/>
  <c r="G926" i="1"/>
  <c r="G916" i="1"/>
  <c r="G906" i="1"/>
  <c r="G896" i="1"/>
  <c r="G886" i="1"/>
  <c r="G876" i="1"/>
  <c r="G866" i="1"/>
  <c r="G856" i="1"/>
  <c r="I847" i="1"/>
  <c r="G847" i="1"/>
  <c r="I837" i="1"/>
  <c r="G837" i="1"/>
  <c r="I827" i="1"/>
  <c r="G827" i="1"/>
  <c r="I817" i="1"/>
  <c r="G817" i="1"/>
  <c r="I807" i="1"/>
  <c r="G807" i="1"/>
  <c r="I797" i="1"/>
  <c r="G797" i="1"/>
  <c r="I787" i="1"/>
  <c r="G787" i="1"/>
  <c r="I777" i="1"/>
  <c r="G777" i="1"/>
  <c r="I767" i="1"/>
  <c r="G767" i="1"/>
  <c r="I757" i="1"/>
  <c r="G757" i="1"/>
  <c r="I747" i="1"/>
  <c r="G747" i="1"/>
  <c r="H737" i="1"/>
  <c r="G737" i="1"/>
  <c r="F737" i="1"/>
  <c r="I736" i="1"/>
  <c r="H727" i="1"/>
  <c r="G727" i="1"/>
  <c r="F727" i="1"/>
  <c r="I726" i="1"/>
  <c r="H717" i="1"/>
  <c r="G717" i="1"/>
  <c r="F717" i="1"/>
  <c r="I716" i="1"/>
  <c r="H707" i="1"/>
  <c r="G707" i="1"/>
  <c r="F707" i="1"/>
  <c r="I706" i="1"/>
  <c r="H697" i="1"/>
  <c r="G697" i="1"/>
  <c r="F697" i="1"/>
  <c r="I696" i="1"/>
  <c r="H687" i="1"/>
  <c r="L686" i="1"/>
  <c r="K686" i="1"/>
  <c r="L676" i="1"/>
  <c r="K676" i="1"/>
  <c r="I667" i="1"/>
  <c r="G667" i="1"/>
  <c r="L666" i="1"/>
  <c r="K666" i="1"/>
  <c r="I657" i="1"/>
  <c r="G657" i="1"/>
  <c r="L656" i="1"/>
  <c r="K656" i="1"/>
  <c r="I647" i="1"/>
  <c r="G647" i="1"/>
  <c r="L646" i="1"/>
  <c r="K646" i="1"/>
  <c r="I637" i="1"/>
  <c r="G637" i="1"/>
  <c r="L636" i="1"/>
  <c r="K636" i="1"/>
  <c r="I627" i="1"/>
  <c r="G627" i="1"/>
  <c r="L626" i="1"/>
  <c r="K626" i="1"/>
  <c r="I617" i="1"/>
  <c r="G617" i="1"/>
  <c r="L616" i="1"/>
  <c r="K616" i="1"/>
  <c r="I607" i="1"/>
  <c r="G607" i="1"/>
  <c r="L606" i="1"/>
  <c r="K606" i="1"/>
  <c r="I597" i="1"/>
  <c r="G597" i="1"/>
  <c r="L596" i="1"/>
  <c r="K596" i="1"/>
  <c r="I587" i="1"/>
  <c r="G587" i="1"/>
  <c r="L586" i="1"/>
  <c r="K586" i="1"/>
  <c r="L576" i="1"/>
  <c r="K576" i="1"/>
  <c r="I576" i="1"/>
  <c r="G576" i="1"/>
  <c r="G567" i="1"/>
  <c r="I566" i="1"/>
  <c r="H557" i="1"/>
  <c r="G557" i="1"/>
  <c r="F557" i="1"/>
  <c r="I556" i="1"/>
  <c r="H547" i="1"/>
  <c r="G547" i="1"/>
  <c r="F547" i="1"/>
  <c r="I546" i="1"/>
  <c r="H537" i="1"/>
  <c r="G537" i="1"/>
  <c r="F537" i="1"/>
  <c r="I536" i="1"/>
  <c r="H527" i="1"/>
  <c r="G527" i="1"/>
  <c r="F527" i="1"/>
  <c r="I526" i="1"/>
  <c r="I517" i="1"/>
  <c r="H517" i="1"/>
  <c r="G517" i="1"/>
  <c r="F517" i="1"/>
  <c r="I507" i="1"/>
  <c r="G507" i="1"/>
  <c r="I497" i="1"/>
  <c r="G497" i="1"/>
  <c r="I487" i="1"/>
  <c r="G487" i="1"/>
  <c r="I477" i="1"/>
  <c r="G477" i="1"/>
  <c r="I467" i="1"/>
  <c r="G467" i="1"/>
  <c r="I457" i="1"/>
  <c r="G457" i="1"/>
  <c r="I447" i="1"/>
  <c r="G447" i="1"/>
  <c r="H437" i="1"/>
  <c r="G437" i="1"/>
  <c r="F437" i="1"/>
  <c r="I436" i="1"/>
  <c r="H427" i="1"/>
  <c r="G427" i="1"/>
  <c r="F427" i="1"/>
  <c r="I426" i="1"/>
  <c r="H417" i="1"/>
  <c r="G417" i="1"/>
  <c r="F417" i="1"/>
  <c r="I416" i="1"/>
  <c r="H407" i="1"/>
  <c r="G407" i="1"/>
  <c r="F407" i="1"/>
  <c r="I406" i="1"/>
  <c r="H397" i="1"/>
  <c r="G397" i="1"/>
  <c r="F397" i="1"/>
  <c r="I396" i="1"/>
  <c r="H387" i="1"/>
  <c r="J386" i="1"/>
  <c r="G377" i="1"/>
  <c r="J376" i="1"/>
  <c r="G367" i="1"/>
  <c r="J366" i="1"/>
  <c r="G357" i="1"/>
  <c r="D357" i="1"/>
  <c r="J356" i="1"/>
  <c r="AE348" i="1"/>
  <c r="AE347" i="1"/>
  <c r="J347" i="1"/>
  <c r="G347" i="1"/>
  <c r="E347" i="1"/>
  <c r="D347" i="1"/>
  <c r="AE346" i="1"/>
  <c r="AE345" i="1"/>
  <c r="AE344" i="1"/>
  <c r="AE343" i="1"/>
  <c r="AE342" i="1"/>
  <c r="AE341" i="1"/>
  <c r="AE340" i="1"/>
  <c r="AE339" i="1"/>
  <c r="AE338" i="1"/>
  <c r="AE337" i="1"/>
  <c r="G337" i="1"/>
  <c r="E337" i="1"/>
  <c r="D337" i="1"/>
  <c r="AE336" i="1"/>
  <c r="J336" i="1"/>
  <c r="AE335" i="1"/>
  <c r="AE334" i="1"/>
  <c r="AE333" i="1"/>
  <c r="AE332" i="1"/>
  <c r="AE331" i="1"/>
  <c r="AE330" i="1"/>
  <c r="AE329" i="1"/>
  <c r="AE328" i="1"/>
  <c r="AE327" i="1"/>
  <c r="G327" i="1"/>
  <c r="E327" i="1"/>
  <c r="D327" i="1"/>
  <c r="AE326" i="1"/>
  <c r="J326" i="1"/>
  <c r="AE325" i="1"/>
  <c r="AE324" i="1"/>
  <c r="AE323" i="1"/>
  <c r="AE322" i="1"/>
  <c r="AE320" i="1"/>
  <c r="AE319" i="1"/>
  <c r="AE318" i="1"/>
  <c r="AE317" i="1"/>
  <c r="AE316" i="1"/>
  <c r="G316" i="1"/>
  <c r="D316" i="1"/>
  <c r="AE315" i="1"/>
  <c r="J315" i="1"/>
  <c r="AE314" i="1"/>
  <c r="AE313" i="1"/>
  <c r="AE312" i="1"/>
  <c r="AE310" i="1"/>
  <c r="AE309" i="1"/>
  <c r="AE308" i="1"/>
  <c r="AE307" i="1"/>
  <c r="AE306" i="1"/>
  <c r="G306" i="1"/>
  <c r="E306" i="1"/>
  <c r="D306" i="1"/>
  <c r="AE305" i="1"/>
  <c r="J305" i="1"/>
  <c r="AE304" i="1"/>
  <c r="AE303" i="1"/>
  <c r="AE302" i="1"/>
  <c r="AE301" i="1"/>
  <c r="AE300" i="1"/>
  <c r="AE299" i="1"/>
  <c r="AE298" i="1"/>
  <c r="AE297" i="1"/>
  <c r="AE296" i="1"/>
  <c r="G296" i="1"/>
  <c r="E296" i="1"/>
  <c r="D296" i="1"/>
  <c r="AE295" i="1"/>
  <c r="J295" i="1"/>
  <c r="AE294" i="1"/>
  <c r="AE293" i="1"/>
  <c r="AE292" i="1"/>
  <c r="AE291" i="1"/>
  <c r="AE290" i="1"/>
  <c r="G286" i="1"/>
  <c r="E286" i="1"/>
  <c r="D286" i="1"/>
  <c r="AE285" i="1"/>
  <c r="J285" i="1"/>
  <c r="AE284" i="1"/>
  <c r="AE283" i="1"/>
  <c r="AE282" i="1"/>
  <c r="AE281" i="1"/>
  <c r="AE280" i="1"/>
  <c r="AE279" i="1"/>
  <c r="AE278" i="1"/>
  <c r="AE277" i="1"/>
  <c r="AE276" i="1"/>
  <c r="G276" i="1"/>
  <c r="E276" i="1"/>
  <c r="D276" i="1"/>
  <c r="AE275" i="1"/>
  <c r="J275" i="1"/>
  <c r="AE274" i="1"/>
  <c r="AE273" i="1"/>
  <c r="AE272" i="1"/>
  <c r="AE271" i="1"/>
  <c r="AE270" i="1"/>
  <c r="AE269" i="1"/>
  <c r="AE268" i="1"/>
  <c r="AE267" i="1"/>
  <c r="AE266" i="1"/>
  <c r="G266" i="1"/>
  <c r="E266" i="1"/>
  <c r="D266" i="1"/>
  <c r="AE265" i="1"/>
  <c r="J265" i="1"/>
  <c r="CL264" i="1"/>
  <c r="AE264" i="1"/>
  <c r="CL263" i="1"/>
  <c r="AE263" i="1"/>
  <c r="CL262" i="1"/>
  <c r="AE262" i="1"/>
  <c r="CL261" i="1"/>
  <c r="AE261" i="1"/>
  <c r="CL260" i="1"/>
  <c r="AE260" i="1"/>
  <c r="CL259" i="1"/>
  <c r="AE259" i="1"/>
  <c r="CL258" i="1"/>
  <c r="AE258" i="1"/>
  <c r="CL257" i="1"/>
  <c r="AE257" i="1"/>
  <c r="CL256" i="1"/>
  <c r="AE256" i="1"/>
  <c r="G256" i="1"/>
  <c r="E256" i="1"/>
  <c r="D256" i="1"/>
  <c r="CL255" i="1"/>
  <c r="AE255" i="1"/>
  <c r="CL254" i="1"/>
  <c r="AE254" i="1"/>
  <c r="CL253" i="1"/>
  <c r="AE253" i="1"/>
  <c r="CL252" i="1"/>
  <c r="AE252" i="1"/>
  <c r="CL251" i="1"/>
  <c r="AE251" i="1"/>
  <c r="CL250" i="1"/>
  <c r="AE250" i="1"/>
  <c r="AE249" i="1"/>
  <c r="AE248" i="1"/>
  <c r="AE247" i="1"/>
  <c r="AE246" i="1"/>
  <c r="G246" i="1"/>
  <c r="E246" i="1"/>
  <c r="D246" i="1"/>
  <c r="AE245" i="1"/>
  <c r="CL244" i="1"/>
  <c r="AE244" i="1"/>
  <c r="CL243" i="1"/>
  <c r="AE243" i="1"/>
  <c r="CL242" i="1"/>
  <c r="AE242" i="1"/>
  <c r="CL241" i="1"/>
  <c r="AE241" i="1"/>
  <c r="CL240" i="1"/>
  <c r="AE240" i="1"/>
  <c r="CL239" i="1"/>
  <c r="AE239" i="1"/>
  <c r="CL238" i="1"/>
  <c r="AE238" i="1"/>
  <c r="CL237" i="1"/>
  <c r="AE237" i="1"/>
  <c r="CL236" i="1"/>
  <c r="CL235" i="1"/>
  <c r="E235" i="1"/>
  <c r="CL234" i="1"/>
  <c r="CL233" i="1"/>
  <c r="AE233" i="1"/>
  <c r="CL232" i="1"/>
  <c r="AE232" i="1"/>
  <c r="CL231" i="1"/>
  <c r="AE231" i="1"/>
  <c r="CL230" i="1"/>
  <c r="AE230" i="1"/>
  <c r="AE229" i="1"/>
  <c r="AE225" i="1"/>
  <c r="E225" i="1"/>
  <c r="AE224" i="1"/>
  <c r="CL223" i="1"/>
  <c r="AE223" i="1"/>
  <c r="CL222" i="1"/>
  <c r="AE222" i="1"/>
  <c r="CL221" i="1"/>
  <c r="AE221" i="1"/>
  <c r="CL220" i="1"/>
  <c r="CL219" i="1"/>
  <c r="CL218" i="1"/>
  <c r="CL217" i="1"/>
  <c r="AE217" i="1"/>
  <c r="CL216" i="1"/>
  <c r="AE216" i="1"/>
  <c r="CL215" i="1"/>
  <c r="AE215" i="1"/>
  <c r="CL214" i="1"/>
  <c r="AE214" i="1"/>
  <c r="E214" i="1"/>
  <c r="CL213" i="1"/>
  <c r="AE213" i="1"/>
  <c r="CL212" i="1"/>
  <c r="AE212" i="1"/>
  <c r="CL211" i="1"/>
  <c r="AE211" i="1"/>
  <c r="CL210" i="1"/>
  <c r="AE210" i="1"/>
  <c r="AE209" i="1"/>
  <c r="AE208" i="1"/>
  <c r="AE207" i="1"/>
  <c r="AE206" i="1"/>
  <c r="AE205" i="1"/>
  <c r="E205" i="1"/>
  <c r="CL204" i="1"/>
  <c r="AE204" i="1"/>
  <c r="CL203" i="1"/>
  <c r="AE203" i="1"/>
  <c r="CL202" i="1"/>
  <c r="AE202" i="1"/>
  <c r="CL201" i="1"/>
  <c r="AE201" i="1"/>
  <c r="CL200" i="1"/>
  <c r="AE200" i="1"/>
  <c r="CL199" i="1"/>
  <c r="AE199" i="1"/>
  <c r="CL198" i="1"/>
  <c r="AE198" i="1"/>
  <c r="CL197" i="1"/>
  <c r="AE197" i="1"/>
  <c r="CL196" i="1"/>
  <c r="AE196" i="1"/>
  <c r="CL195" i="1"/>
  <c r="AE195" i="1"/>
  <c r="E195" i="1"/>
  <c r="CL194" i="1"/>
  <c r="AE194" i="1"/>
  <c r="CL193" i="1"/>
  <c r="AE193" i="1"/>
  <c r="CL192" i="1"/>
  <c r="AE192" i="1"/>
  <c r="CL191" i="1"/>
  <c r="AE191" i="1"/>
  <c r="AE190" i="1"/>
  <c r="AE189" i="1"/>
  <c r="AE188" i="1"/>
  <c r="AE187" i="1"/>
  <c r="CL186" i="1"/>
  <c r="AE186" i="1"/>
  <c r="AE185" i="1"/>
  <c r="E185" i="1"/>
  <c r="AE184" i="1"/>
  <c r="AE183" i="1"/>
  <c r="AE182" i="1"/>
  <c r="CL181" i="1"/>
  <c r="AE181" i="1"/>
  <c r="CL180" i="1"/>
  <c r="AE180" i="1"/>
  <c r="AE179" i="1"/>
  <c r="AE178" i="1"/>
  <c r="AE177" i="1"/>
  <c r="D176" i="1"/>
  <c r="CL175" i="1"/>
  <c r="CL174" i="1"/>
  <c r="CL173" i="1"/>
  <c r="AE173" i="1"/>
  <c r="AE172" i="1"/>
  <c r="AE171" i="1"/>
  <c r="AE170" i="1"/>
  <c r="AE169" i="1"/>
  <c r="AE168" i="1"/>
  <c r="CL167" i="1"/>
  <c r="AE167" i="1"/>
  <c r="CL166" i="1"/>
  <c r="AE166" i="1"/>
  <c r="DP165" i="1"/>
  <c r="DN165" i="1"/>
  <c r="CL165" i="1"/>
  <c r="AE165" i="1"/>
  <c r="D165" i="1"/>
  <c r="DP164" i="1"/>
  <c r="DN164" i="1"/>
  <c r="CL164" i="1"/>
  <c r="AE164" i="1"/>
  <c r="DP163" i="1"/>
  <c r="DN163" i="1"/>
  <c r="AE163" i="1"/>
  <c r="DP162" i="1"/>
  <c r="DN162" i="1"/>
  <c r="CL162" i="1"/>
  <c r="AE162" i="1"/>
  <c r="DP161" i="1"/>
  <c r="DN161" i="1"/>
  <c r="CL161" i="1"/>
  <c r="DP160" i="1"/>
  <c r="DN160" i="1"/>
  <c r="CL160" i="1"/>
  <c r="DP159" i="1"/>
  <c r="DN159" i="1"/>
  <c r="CL159" i="1"/>
  <c r="BY159" i="1"/>
  <c r="BX159" i="1"/>
  <c r="BW159" i="1"/>
  <c r="BV159" i="1"/>
  <c r="BU159" i="1"/>
  <c r="BT159" i="1"/>
  <c r="CL158" i="1"/>
  <c r="BY158" i="1"/>
  <c r="BX158" i="1"/>
  <c r="BW158" i="1"/>
  <c r="BV158" i="1"/>
  <c r="BU158" i="1"/>
  <c r="BT158" i="1"/>
  <c r="AE158" i="1"/>
  <c r="BY157" i="1"/>
  <c r="BX157" i="1"/>
  <c r="BW157" i="1"/>
  <c r="BV157" i="1"/>
  <c r="BU157" i="1"/>
  <c r="BT157" i="1"/>
  <c r="AE157" i="1"/>
  <c r="CL156" i="1"/>
  <c r="BY156" i="1"/>
  <c r="BX156" i="1"/>
  <c r="BW156" i="1"/>
  <c r="BV156" i="1"/>
  <c r="BU156" i="1"/>
  <c r="BT156" i="1"/>
  <c r="AE156" i="1"/>
  <c r="D156" i="1"/>
  <c r="CL155" i="1"/>
  <c r="BY155" i="1"/>
  <c r="BX155" i="1"/>
  <c r="BW155" i="1"/>
  <c r="BV155" i="1"/>
  <c r="BU155" i="1"/>
  <c r="BT155" i="1"/>
  <c r="AU155" i="1"/>
  <c r="AT155" i="1"/>
  <c r="AS155" i="1"/>
  <c r="AE155" i="1"/>
  <c r="CL154" i="1"/>
  <c r="BY154" i="1"/>
  <c r="BX154" i="1"/>
  <c r="BW154" i="1"/>
  <c r="BV154" i="1"/>
  <c r="BU154" i="1"/>
  <c r="BT154" i="1"/>
  <c r="AU154" i="1"/>
  <c r="AT154" i="1"/>
  <c r="AS154" i="1"/>
  <c r="AE154" i="1"/>
  <c r="DX153" i="1"/>
  <c r="DV153" i="1"/>
  <c r="DP153" i="1"/>
  <c r="CL153" i="1"/>
  <c r="BY153" i="1"/>
  <c r="BX153" i="1"/>
  <c r="BW153" i="1"/>
  <c r="BV153" i="1"/>
  <c r="BU153" i="1"/>
  <c r="BT153" i="1"/>
  <c r="AU153" i="1"/>
  <c r="AT153" i="1"/>
  <c r="AS153" i="1"/>
  <c r="AE153" i="1"/>
  <c r="DX152" i="1"/>
  <c r="DV152" i="1"/>
  <c r="DP152" i="1"/>
  <c r="BY152" i="1"/>
  <c r="BX152" i="1"/>
  <c r="BW152" i="1"/>
  <c r="BV152" i="1"/>
  <c r="BU152" i="1"/>
  <c r="BT152" i="1"/>
  <c r="AU152" i="1"/>
  <c r="AT152" i="1"/>
  <c r="AS152" i="1"/>
  <c r="AE152" i="1"/>
  <c r="DX151" i="1"/>
  <c r="DV151" i="1"/>
  <c r="DP151" i="1"/>
  <c r="BY151" i="1"/>
  <c r="BX151" i="1"/>
  <c r="BW151" i="1"/>
  <c r="BV151" i="1"/>
  <c r="BU151" i="1"/>
  <c r="BT151" i="1"/>
  <c r="AU151" i="1"/>
  <c r="AT151" i="1"/>
  <c r="AS151" i="1"/>
  <c r="AE151" i="1"/>
  <c r="DX150" i="1"/>
  <c r="DV150" i="1"/>
  <c r="DP150" i="1"/>
  <c r="BY150" i="1"/>
  <c r="BX150" i="1"/>
  <c r="BW150" i="1"/>
  <c r="BV150" i="1"/>
  <c r="BU150" i="1"/>
  <c r="BT150" i="1"/>
  <c r="AU150" i="1"/>
  <c r="AT150" i="1"/>
  <c r="AS150" i="1"/>
  <c r="AE150" i="1"/>
  <c r="DX149" i="1"/>
  <c r="DV149" i="1"/>
  <c r="DP149" i="1"/>
  <c r="AU149" i="1"/>
  <c r="AT149" i="1"/>
  <c r="AS149" i="1"/>
  <c r="AE149" i="1"/>
  <c r="DX148" i="1"/>
  <c r="DV148" i="1"/>
  <c r="DP148" i="1"/>
  <c r="CL148" i="1"/>
  <c r="AU148" i="1"/>
  <c r="AT148" i="1"/>
  <c r="AS148" i="1"/>
  <c r="AE148" i="1"/>
  <c r="DX147" i="1"/>
  <c r="DV147" i="1"/>
  <c r="DP147" i="1"/>
  <c r="DN147" i="1"/>
  <c r="CL147" i="1"/>
  <c r="AU147" i="1"/>
  <c r="AT147" i="1"/>
  <c r="AS147" i="1"/>
  <c r="AE147" i="1"/>
  <c r="DE146" i="1"/>
  <c r="CL146" i="1"/>
  <c r="AU146" i="1"/>
  <c r="AT146" i="1"/>
  <c r="AS146" i="1"/>
  <c r="AE146" i="1"/>
  <c r="D146" i="1"/>
  <c r="DE145" i="1"/>
  <c r="CL145" i="1"/>
  <c r="AU145" i="1"/>
  <c r="AT145" i="1"/>
  <c r="AS145" i="1"/>
  <c r="DE144" i="1"/>
  <c r="CL144" i="1"/>
  <c r="AU144" i="1"/>
  <c r="AT144" i="1"/>
  <c r="AS144" i="1"/>
  <c r="DE143" i="1"/>
  <c r="CL143" i="1"/>
  <c r="AU143" i="1"/>
  <c r="AT143" i="1"/>
  <c r="AS143" i="1"/>
  <c r="DE142" i="1"/>
  <c r="CL142" i="1"/>
  <c r="AU142" i="1"/>
  <c r="AT142" i="1"/>
  <c r="AS142" i="1"/>
  <c r="AE142" i="1"/>
  <c r="DE141" i="1"/>
  <c r="CL141" i="1"/>
  <c r="AE141" i="1"/>
  <c r="DW140" i="1"/>
  <c r="DP140" i="1"/>
  <c r="DM140" i="1"/>
  <c r="DE140" i="1"/>
  <c r="CL140" i="1"/>
  <c r="AU140" i="1"/>
  <c r="AT140" i="1"/>
  <c r="AS140" i="1"/>
  <c r="AG140" i="1"/>
  <c r="AF140" i="1"/>
  <c r="DW139" i="1"/>
  <c r="DP139" i="1"/>
  <c r="DM139" i="1"/>
  <c r="DE139" i="1"/>
  <c r="CL139" i="1"/>
  <c r="AU139" i="1"/>
  <c r="AT139" i="1"/>
  <c r="AS139" i="1"/>
  <c r="AG139" i="1"/>
  <c r="AF139" i="1"/>
  <c r="DW138" i="1"/>
  <c r="DP138" i="1"/>
  <c r="DM138" i="1"/>
  <c r="DE138" i="1"/>
  <c r="CL138" i="1"/>
  <c r="AU138" i="1"/>
  <c r="AT138" i="1"/>
  <c r="AS138" i="1"/>
  <c r="AG138" i="1"/>
  <c r="AF138" i="1"/>
  <c r="DW137" i="1"/>
  <c r="DP137" i="1"/>
  <c r="DM137" i="1"/>
  <c r="DE137" i="1"/>
  <c r="CL137" i="1"/>
  <c r="AU137" i="1"/>
  <c r="AT137" i="1"/>
  <c r="AS137" i="1"/>
  <c r="AG137" i="1"/>
  <c r="AF137" i="1"/>
  <c r="DW136" i="1"/>
  <c r="DP136" i="1"/>
  <c r="DM136" i="1"/>
  <c r="DE136" i="1"/>
  <c r="CL136" i="1"/>
  <c r="AU136" i="1"/>
  <c r="AT136" i="1"/>
  <c r="AS136" i="1"/>
  <c r="AG136" i="1"/>
  <c r="AF136" i="1"/>
  <c r="DW135" i="1"/>
  <c r="DP135" i="1"/>
  <c r="DM135" i="1"/>
  <c r="DE135" i="1"/>
  <c r="CL135" i="1"/>
  <c r="AU135" i="1"/>
  <c r="AT135" i="1"/>
  <c r="AS135" i="1"/>
  <c r="AG135" i="1"/>
  <c r="AF135" i="1"/>
  <c r="DW134" i="1"/>
  <c r="DT134" i="1"/>
  <c r="DP134" i="1"/>
  <c r="DM134" i="1"/>
  <c r="DE134" i="1"/>
  <c r="CL134" i="1"/>
  <c r="AU134" i="1"/>
  <c r="AT134" i="1"/>
  <c r="AS134" i="1"/>
  <c r="DW133" i="1"/>
  <c r="DT133" i="1"/>
  <c r="DP133" i="1"/>
  <c r="DM133" i="1"/>
  <c r="DE133" i="1"/>
  <c r="CL133" i="1"/>
  <c r="AU133" i="1"/>
  <c r="AT133" i="1"/>
  <c r="AS133" i="1"/>
  <c r="DW132" i="1"/>
  <c r="DT132" i="1"/>
  <c r="DP132" i="1"/>
  <c r="DM132" i="1"/>
  <c r="DE132" i="1"/>
  <c r="CL132" i="1"/>
  <c r="BD132" i="1"/>
  <c r="BC132" i="1"/>
  <c r="AU132" i="1"/>
  <c r="AT132" i="1"/>
  <c r="AS132" i="1"/>
  <c r="DW131" i="1"/>
  <c r="DT131" i="1"/>
  <c r="DP131" i="1"/>
  <c r="DM131" i="1"/>
  <c r="DE131" i="1"/>
  <c r="CL131" i="1"/>
  <c r="BD131" i="1"/>
  <c r="BC131" i="1"/>
  <c r="AU131" i="1"/>
  <c r="AT131" i="1"/>
  <c r="AS131" i="1"/>
  <c r="D131" i="1"/>
  <c r="DW130" i="1"/>
  <c r="DT130" i="1"/>
  <c r="DP130" i="1"/>
  <c r="DM130" i="1"/>
  <c r="DE130" i="1"/>
  <c r="CL130" i="1"/>
  <c r="AU130" i="1"/>
  <c r="AT130" i="1"/>
  <c r="AS130" i="1"/>
  <c r="AE130" i="1"/>
  <c r="H130" i="1"/>
  <c r="DW129" i="1"/>
  <c r="DT129" i="1"/>
  <c r="DP129" i="1"/>
  <c r="DM129" i="1"/>
  <c r="DE129" i="1"/>
  <c r="CL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AU129" i="1"/>
  <c r="AT129" i="1"/>
  <c r="AS129" i="1"/>
  <c r="AE129" i="1"/>
  <c r="DW128" i="1"/>
  <c r="DT128" i="1"/>
  <c r="DP128" i="1"/>
  <c r="DM128" i="1"/>
  <c r="DE128" i="1"/>
  <c r="CL128" i="1"/>
  <c r="AE128" i="1"/>
  <c r="DW127" i="1"/>
  <c r="DT127" i="1"/>
  <c r="DP127" i="1"/>
  <c r="DM127" i="1"/>
  <c r="DE127" i="1"/>
  <c r="CL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AE127" i="1"/>
  <c r="EG126" i="1"/>
  <c r="DW126" i="1"/>
  <c r="DT126" i="1"/>
  <c r="DP126" i="1"/>
  <c r="DM126" i="1"/>
  <c r="DE126" i="1"/>
  <c r="CL126" i="1"/>
  <c r="AU126" i="1"/>
  <c r="AT126" i="1"/>
  <c r="AS126" i="1"/>
  <c r="AE126" i="1"/>
  <c r="EG125" i="1"/>
  <c r="DW125" i="1"/>
  <c r="DT125" i="1"/>
  <c r="DP125" i="1"/>
  <c r="DM125" i="1"/>
  <c r="DE125" i="1"/>
  <c r="CL125" i="1"/>
  <c r="CA125" i="1"/>
  <c r="BZ125" i="1"/>
  <c r="BY125" i="1"/>
  <c r="BX125" i="1"/>
  <c r="BW125" i="1"/>
  <c r="BV125" i="1"/>
  <c r="BU125" i="1"/>
  <c r="BT125" i="1"/>
  <c r="AU125" i="1"/>
  <c r="AT125" i="1"/>
  <c r="AS125" i="1"/>
  <c r="AE125" i="1"/>
  <c r="EG124" i="1"/>
  <c r="DW124" i="1"/>
  <c r="DT124" i="1"/>
  <c r="DP124" i="1"/>
  <c r="DM124" i="1"/>
  <c r="DE124" i="1"/>
  <c r="CL124" i="1"/>
  <c r="CA124" i="1"/>
  <c r="BZ124" i="1"/>
  <c r="BY124" i="1"/>
  <c r="BX124" i="1"/>
  <c r="BW124" i="1"/>
  <c r="BV124" i="1"/>
  <c r="BU124" i="1"/>
  <c r="BT124" i="1"/>
  <c r="AU124" i="1"/>
  <c r="AT124" i="1"/>
  <c r="AS124" i="1"/>
  <c r="AE124" i="1"/>
  <c r="EG123" i="1"/>
  <c r="DW123" i="1"/>
  <c r="DT123" i="1"/>
  <c r="DP123" i="1"/>
  <c r="DM123" i="1"/>
  <c r="DE123" i="1"/>
  <c r="CL123" i="1"/>
  <c r="CA123" i="1"/>
  <c r="BZ123" i="1"/>
  <c r="BY123" i="1"/>
  <c r="BX123" i="1"/>
  <c r="BW123" i="1"/>
  <c r="BV123" i="1"/>
  <c r="BU123" i="1"/>
  <c r="BT123" i="1"/>
  <c r="AU123" i="1"/>
  <c r="AT123" i="1"/>
  <c r="AS123" i="1"/>
  <c r="AE123" i="1"/>
  <c r="EG122" i="1"/>
  <c r="DE122" i="1"/>
  <c r="CA122" i="1"/>
  <c r="BZ122" i="1"/>
  <c r="BY122" i="1"/>
  <c r="BX122" i="1"/>
  <c r="BW122" i="1"/>
  <c r="BV122" i="1"/>
  <c r="BU122" i="1"/>
  <c r="BT122" i="1"/>
  <c r="AU122" i="1"/>
  <c r="AT122" i="1"/>
  <c r="AS122" i="1"/>
  <c r="AE122" i="1"/>
  <c r="F122" i="1"/>
  <c r="D122" i="1"/>
  <c r="EG121" i="1"/>
  <c r="DE121" i="1"/>
  <c r="CA121" i="1"/>
  <c r="BZ121" i="1"/>
  <c r="BY121" i="1"/>
  <c r="BX121" i="1"/>
  <c r="BW121" i="1"/>
  <c r="BV121" i="1"/>
  <c r="BU121" i="1"/>
  <c r="BT121" i="1"/>
  <c r="AU121" i="1"/>
  <c r="AT121" i="1"/>
  <c r="AS121" i="1"/>
  <c r="AE121" i="1"/>
  <c r="DE120" i="1"/>
  <c r="CA120" i="1"/>
  <c r="BZ120" i="1"/>
  <c r="BY120" i="1"/>
  <c r="BX120" i="1"/>
  <c r="BW120" i="1"/>
  <c r="BV120" i="1"/>
  <c r="BU120" i="1"/>
  <c r="BT120" i="1"/>
  <c r="AU120" i="1"/>
  <c r="AT120" i="1"/>
  <c r="AS120" i="1"/>
  <c r="AE120" i="1"/>
  <c r="DE119" i="1"/>
  <c r="CL119" i="1"/>
  <c r="CA119" i="1"/>
  <c r="BZ119" i="1"/>
  <c r="BY119" i="1"/>
  <c r="BX119" i="1"/>
  <c r="BW119" i="1"/>
  <c r="BV119" i="1"/>
  <c r="BU119" i="1"/>
  <c r="BT119" i="1"/>
  <c r="AU119" i="1"/>
  <c r="AT119" i="1"/>
  <c r="AS119" i="1"/>
  <c r="AE119" i="1"/>
  <c r="DE118" i="1"/>
  <c r="CL118" i="1"/>
  <c r="CA118" i="1"/>
  <c r="BZ118" i="1"/>
  <c r="BY118" i="1"/>
  <c r="BX118" i="1"/>
  <c r="BW118" i="1"/>
  <c r="BV118" i="1"/>
  <c r="BU118" i="1"/>
  <c r="BT118" i="1"/>
  <c r="AU118" i="1"/>
  <c r="AT118" i="1"/>
  <c r="AS118" i="1"/>
  <c r="AE118" i="1"/>
  <c r="DE117" i="1"/>
  <c r="CL117" i="1"/>
  <c r="CA117" i="1"/>
  <c r="BZ117" i="1"/>
  <c r="BY117" i="1"/>
  <c r="BX117" i="1"/>
  <c r="BW117" i="1"/>
  <c r="BV117" i="1"/>
  <c r="BU117" i="1"/>
  <c r="BT117" i="1"/>
  <c r="AU117" i="1"/>
  <c r="AT117" i="1"/>
  <c r="AS117" i="1"/>
  <c r="AE117" i="1"/>
  <c r="EG116" i="1"/>
  <c r="DE116" i="1"/>
  <c r="CL116" i="1"/>
  <c r="CA116" i="1"/>
  <c r="BZ116" i="1"/>
  <c r="BY116" i="1"/>
  <c r="BX116" i="1"/>
  <c r="BW116" i="1"/>
  <c r="BV116" i="1"/>
  <c r="BU116" i="1"/>
  <c r="BT116" i="1"/>
  <c r="BM116" i="1"/>
  <c r="AU116" i="1"/>
  <c r="AT116" i="1"/>
  <c r="AS116" i="1"/>
  <c r="AE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E116" i="1"/>
  <c r="EG115" i="1"/>
  <c r="DE115" i="1"/>
  <c r="CL115" i="1"/>
  <c r="BM115" i="1"/>
  <c r="AU115" i="1"/>
  <c r="AT115" i="1"/>
  <c r="AS115" i="1"/>
  <c r="AE115" i="1"/>
  <c r="EG114" i="1"/>
  <c r="DE114" i="1"/>
  <c r="CL114" i="1"/>
  <c r="BL114" i="1"/>
  <c r="AU114" i="1"/>
  <c r="AT114" i="1"/>
  <c r="AS114" i="1"/>
  <c r="AE114" i="1"/>
  <c r="EG113" i="1"/>
  <c r="DE113" i="1"/>
  <c r="CL113" i="1"/>
  <c r="BL113" i="1"/>
  <c r="AU113" i="1"/>
  <c r="AT113" i="1"/>
  <c r="AS113" i="1"/>
  <c r="AE113" i="1"/>
  <c r="EG112" i="1"/>
  <c r="DR112" i="1"/>
  <c r="DP112" i="1"/>
  <c r="DE112" i="1"/>
  <c r="CL112" i="1"/>
  <c r="BL112" i="1"/>
  <c r="AU112" i="1"/>
  <c r="AT112" i="1"/>
  <c r="AS112" i="1"/>
  <c r="AE112" i="1"/>
  <c r="EG111" i="1"/>
  <c r="DR111" i="1"/>
  <c r="DP111" i="1"/>
  <c r="DE111" i="1"/>
  <c r="CL111" i="1"/>
  <c r="BL111" i="1"/>
  <c r="AU111" i="1"/>
  <c r="AT111" i="1"/>
  <c r="AS111" i="1"/>
  <c r="AE111" i="1"/>
  <c r="EG110" i="1"/>
  <c r="DR110" i="1"/>
  <c r="DP110" i="1"/>
  <c r="DE110" i="1"/>
  <c r="CL110" i="1"/>
  <c r="BL110" i="1"/>
  <c r="AU110" i="1"/>
  <c r="AT110" i="1"/>
  <c r="AS110" i="1"/>
  <c r="AE110" i="1"/>
  <c r="EG109" i="1"/>
  <c r="DR109" i="1"/>
  <c r="DP109" i="1"/>
  <c r="DE109" i="1"/>
  <c r="CL109" i="1"/>
  <c r="BL109" i="1"/>
  <c r="AU109" i="1"/>
  <c r="AT109" i="1"/>
  <c r="AS109" i="1"/>
  <c r="AE109" i="1"/>
  <c r="EG108" i="1"/>
  <c r="DR108" i="1"/>
  <c r="DP108" i="1"/>
  <c r="DE108" i="1"/>
  <c r="CL108" i="1"/>
  <c r="AU108" i="1"/>
  <c r="AT108" i="1"/>
  <c r="AS108" i="1"/>
  <c r="AE108" i="1"/>
  <c r="EG107" i="1"/>
  <c r="EA107" i="1"/>
  <c r="DR107" i="1"/>
  <c r="DP107" i="1"/>
  <c r="DE107" i="1"/>
  <c r="CL107" i="1"/>
  <c r="AU107" i="1"/>
  <c r="AT107" i="1"/>
  <c r="AS107" i="1"/>
  <c r="AE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E107" i="1"/>
  <c r="EG106" i="1"/>
  <c r="EA106" i="1"/>
  <c r="DR106" i="1"/>
  <c r="DP106" i="1"/>
  <c r="DE106" i="1"/>
  <c r="CL106" i="1"/>
  <c r="AU106" i="1"/>
  <c r="AT106" i="1"/>
  <c r="AS106" i="1"/>
  <c r="AE106" i="1"/>
  <c r="EA105" i="1"/>
  <c r="DR105" i="1"/>
  <c r="DP105" i="1"/>
  <c r="DE105" i="1"/>
  <c r="CL105" i="1"/>
  <c r="AU105" i="1"/>
  <c r="AT105" i="1"/>
  <c r="AS105" i="1"/>
  <c r="AE105" i="1"/>
  <c r="EA104" i="1"/>
  <c r="DP104" i="1"/>
  <c r="DE104" i="1"/>
  <c r="CL104" i="1"/>
  <c r="BM104" i="1"/>
  <c r="AU104" i="1"/>
  <c r="AT104" i="1"/>
  <c r="AS104" i="1"/>
  <c r="AE104" i="1"/>
  <c r="EA103" i="1"/>
  <c r="DP103" i="1"/>
  <c r="DE103" i="1"/>
  <c r="CL103" i="1"/>
  <c r="BM103" i="1"/>
  <c r="AU103" i="1"/>
  <c r="AT103" i="1"/>
  <c r="AS103" i="1"/>
  <c r="AE103" i="1"/>
  <c r="EA102" i="1"/>
  <c r="DP102" i="1"/>
  <c r="DE102" i="1"/>
  <c r="CL102" i="1"/>
  <c r="BM102" i="1"/>
  <c r="AU102" i="1"/>
  <c r="AT102" i="1"/>
  <c r="AS102" i="1"/>
  <c r="AE102" i="1"/>
  <c r="EG101" i="1"/>
  <c r="EA101" i="1"/>
  <c r="DE101" i="1"/>
  <c r="BL101" i="1"/>
  <c r="AU101" i="1"/>
  <c r="AT101" i="1"/>
  <c r="AS101" i="1"/>
  <c r="AE101" i="1"/>
  <c r="EG100" i="1"/>
  <c r="EA100" i="1"/>
  <c r="DE100" i="1"/>
  <c r="BL100" i="1"/>
  <c r="AU100" i="1"/>
  <c r="AT100" i="1"/>
  <c r="AS100" i="1"/>
  <c r="AE100" i="1"/>
  <c r="EG99" i="1"/>
  <c r="EA99" i="1"/>
  <c r="DE99" i="1"/>
  <c r="BL99" i="1"/>
  <c r="AU99" i="1"/>
  <c r="AT99" i="1"/>
  <c r="AS99" i="1"/>
  <c r="AE99" i="1"/>
  <c r="EG98" i="1"/>
  <c r="EA98" i="1"/>
  <c r="DE98" i="1"/>
  <c r="CL98" i="1"/>
  <c r="BL98" i="1"/>
  <c r="AU98" i="1"/>
  <c r="AT98" i="1"/>
  <c r="AS98" i="1"/>
  <c r="AE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EG97" i="1"/>
  <c r="EA97" i="1"/>
  <c r="DE97" i="1"/>
  <c r="CL97" i="1"/>
  <c r="BM97" i="1"/>
  <c r="BL97" i="1"/>
  <c r="AE97" i="1"/>
  <c r="EG96" i="1"/>
  <c r="EA96" i="1"/>
  <c r="DR96" i="1"/>
  <c r="DP96" i="1"/>
  <c r="CL96" i="1"/>
  <c r="BL96" i="1"/>
  <c r="AE96" i="1"/>
  <c r="EG95" i="1"/>
  <c r="EA95" i="1"/>
  <c r="DR95" i="1"/>
  <c r="DP95" i="1"/>
  <c r="CL95" i="1"/>
  <c r="CG95" i="1"/>
  <c r="CA95" i="1"/>
  <c r="BZ95" i="1"/>
  <c r="BY95" i="1"/>
  <c r="BX95" i="1"/>
  <c r="BW95" i="1"/>
  <c r="BV95" i="1"/>
  <c r="BU95" i="1"/>
  <c r="BT95" i="1"/>
  <c r="AE95" i="1"/>
  <c r="D95" i="1"/>
  <c r="EG94" i="1"/>
  <c r="EA94" i="1"/>
  <c r="DR94" i="1"/>
  <c r="DP94" i="1"/>
  <c r="CA94" i="1"/>
  <c r="BZ94" i="1"/>
  <c r="BY94" i="1"/>
  <c r="BX94" i="1"/>
  <c r="BW94" i="1"/>
  <c r="BV94" i="1"/>
  <c r="BU94" i="1"/>
  <c r="BT94" i="1"/>
  <c r="AU94" i="1"/>
  <c r="AT94" i="1"/>
  <c r="AS94" i="1"/>
  <c r="EG93" i="1"/>
  <c r="EA93" i="1"/>
  <c r="DR93" i="1"/>
  <c r="DP93" i="1"/>
  <c r="CL93" i="1"/>
  <c r="CA93" i="1"/>
  <c r="BZ93" i="1"/>
  <c r="BY93" i="1"/>
  <c r="BX93" i="1"/>
  <c r="BW93" i="1"/>
  <c r="BV93" i="1"/>
  <c r="BU93" i="1"/>
  <c r="BT93" i="1"/>
  <c r="AU93" i="1"/>
  <c r="AT93" i="1"/>
  <c r="AS93" i="1"/>
  <c r="EG92" i="1"/>
  <c r="EA92" i="1"/>
  <c r="DR92" i="1"/>
  <c r="DP92" i="1"/>
  <c r="CL92" i="1"/>
  <c r="CA92" i="1"/>
  <c r="BZ92" i="1"/>
  <c r="BY92" i="1"/>
  <c r="BX92" i="1"/>
  <c r="BW92" i="1"/>
  <c r="BV92" i="1"/>
  <c r="BU92" i="1"/>
  <c r="BT92" i="1"/>
  <c r="BM92" i="1"/>
  <c r="BF92" i="1"/>
  <c r="AU92" i="1"/>
  <c r="AT92" i="1"/>
  <c r="AS92" i="1"/>
  <c r="EG91" i="1"/>
  <c r="EA91" i="1"/>
  <c r="DR91" i="1"/>
  <c r="DP91" i="1"/>
  <c r="CL91" i="1"/>
  <c r="CG91" i="1"/>
  <c r="CA91" i="1"/>
  <c r="BZ91" i="1"/>
  <c r="BY91" i="1"/>
  <c r="BX91" i="1"/>
  <c r="BW91" i="1"/>
  <c r="BV91" i="1"/>
  <c r="BU91" i="1"/>
  <c r="BT91" i="1"/>
  <c r="BM91" i="1"/>
  <c r="BF91" i="1"/>
  <c r="AU91" i="1"/>
  <c r="AT91" i="1"/>
  <c r="AS91" i="1"/>
  <c r="EA90" i="1"/>
  <c r="DR90" i="1"/>
  <c r="DP90" i="1"/>
  <c r="DE90" i="1"/>
  <c r="CA90" i="1"/>
  <c r="BZ90" i="1"/>
  <c r="BY90" i="1"/>
  <c r="BX90" i="1"/>
  <c r="BW90" i="1"/>
  <c r="BV90" i="1"/>
  <c r="BU90" i="1"/>
  <c r="BT90" i="1"/>
  <c r="BM90" i="1"/>
  <c r="BF90" i="1"/>
  <c r="AU90" i="1"/>
  <c r="AT90" i="1"/>
  <c r="AS90" i="1"/>
  <c r="AH90" i="1"/>
  <c r="AG90" i="1"/>
  <c r="AF90" i="1"/>
  <c r="EA89" i="1"/>
  <c r="DR89" i="1"/>
  <c r="DP89" i="1"/>
  <c r="DE89" i="1"/>
  <c r="CL89" i="1"/>
  <c r="CA89" i="1"/>
  <c r="BZ89" i="1"/>
  <c r="BY89" i="1"/>
  <c r="BX89" i="1"/>
  <c r="BW89" i="1"/>
  <c r="BV89" i="1"/>
  <c r="BU89" i="1"/>
  <c r="BT89" i="1"/>
  <c r="BL89" i="1"/>
  <c r="BE89" i="1"/>
  <c r="AU89" i="1"/>
  <c r="AT89" i="1"/>
  <c r="AS89" i="1"/>
  <c r="AH89" i="1"/>
  <c r="AG89" i="1"/>
  <c r="AF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EA88" i="1"/>
  <c r="DR88" i="1"/>
  <c r="DP88" i="1"/>
  <c r="DE88" i="1"/>
  <c r="CL88" i="1"/>
  <c r="CA88" i="1"/>
  <c r="BZ88" i="1"/>
  <c r="BY88" i="1"/>
  <c r="BX88" i="1"/>
  <c r="BW88" i="1"/>
  <c r="BV88" i="1"/>
  <c r="BU88" i="1"/>
  <c r="BT88" i="1"/>
  <c r="BL88" i="1"/>
  <c r="BE88" i="1"/>
  <c r="AH88" i="1"/>
  <c r="AG88" i="1"/>
  <c r="AF88" i="1"/>
  <c r="EA87" i="1"/>
  <c r="DR87" i="1"/>
  <c r="DP87" i="1"/>
  <c r="DE87" i="1"/>
  <c r="CL87" i="1"/>
  <c r="CA87" i="1"/>
  <c r="BZ87" i="1"/>
  <c r="BY87" i="1"/>
  <c r="BX87" i="1"/>
  <c r="BW87" i="1"/>
  <c r="BV87" i="1"/>
  <c r="BU87" i="1"/>
  <c r="BT87" i="1"/>
  <c r="BL87" i="1"/>
  <c r="BE87" i="1"/>
  <c r="AH87" i="1"/>
  <c r="AG87" i="1"/>
  <c r="AF87" i="1"/>
  <c r="EG86" i="1"/>
  <c r="EA86" i="1"/>
  <c r="DR86" i="1"/>
  <c r="DP86" i="1"/>
  <c r="DE86" i="1"/>
  <c r="CL86" i="1"/>
  <c r="CA86" i="1"/>
  <c r="BZ86" i="1"/>
  <c r="BY86" i="1"/>
  <c r="BX86" i="1"/>
  <c r="BW86" i="1"/>
  <c r="BV86" i="1"/>
  <c r="BU86" i="1"/>
  <c r="BT86" i="1"/>
  <c r="BL86" i="1"/>
  <c r="BE86" i="1"/>
  <c r="AU86" i="1"/>
  <c r="AT86" i="1"/>
  <c r="AS86" i="1"/>
  <c r="AH86" i="1"/>
  <c r="AG86" i="1"/>
  <c r="AF86" i="1"/>
  <c r="D86" i="1"/>
  <c r="EG85" i="1"/>
  <c r="EA85" i="1"/>
  <c r="DP85" i="1"/>
  <c r="DE85" i="1"/>
  <c r="CL85" i="1"/>
  <c r="CG85" i="1"/>
  <c r="BL85" i="1"/>
  <c r="BE85" i="1"/>
  <c r="AU85" i="1"/>
  <c r="AT85" i="1"/>
  <c r="AS85" i="1"/>
  <c r="AH85" i="1"/>
  <c r="AG85" i="1"/>
  <c r="AF85" i="1"/>
  <c r="EG84" i="1"/>
  <c r="EA84" i="1"/>
  <c r="DE84" i="1"/>
  <c r="BL84" i="1"/>
  <c r="BE84" i="1"/>
  <c r="AU84" i="1"/>
  <c r="AT84" i="1"/>
  <c r="AS84" i="1"/>
  <c r="AH84" i="1"/>
  <c r="AG84" i="1"/>
  <c r="AF84" i="1"/>
  <c r="EG83" i="1"/>
  <c r="EA83" i="1"/>
  <c r="DE83" i="1"/>
  <c r="CL83" i="1"/>
  <c r="AU83" i="1"/>
  <c r="AT83" i="1"/>
  <c r="AS83" i="1"/>
  <c r="AH83" i="1"/>
  <c r="AG83" i="1"/>
  <c r="AF83" i="1"/>
  <c r="EG82" i="1"/>
  <c r="EA82" i="1"/>
  <c r="DE82" i="1"/>
  <c r="CL82" i="1"/>
  <c r="AU82" i="1"/>
  <c r="AT82" i="1"/>
  <c r="AS82" i="1"/>
  <c r="AH82" i="1"/>
  <c r="AG82" i="1"/>
  <c r="AF82" i="1"/>
  <c r="EG81" i="1"/>
  <c r="EA81" i="1"/>
  <c r="DE81" i="1"/>
  <c r="CL81" i="1"/>
  <c r="AU81" i="1"/>
  <c r="AT81" i="1"/>
  <c r="AS81" i="1"/>
  <c r="AH81" i="1"/>
  <c r="AG81" i="1"/>
  <c r="AF81" i="1"/>
  <c r="EG80" i="1"/>
  <c r="EA80" i="1"/>
  <c r="DE80" i="1"/>
  <c r="CL80" i="1"/>
  <c r="BM80" i="1"/>
  <c r="AU80" i="1"/>
  <c r="AT80" i="1"/>
  <c r="AS80" i="1"/>
  <c r="AH80" i="1"/>
  <c r="AG80" i="1"/>
  <c r="AF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EG79" i="1"/>
  <c r="EA79" i="1"/>
  <c r="DR79" i="1"/>
  <c r="DP79" i="1"/>
  <c r="DE79" i="1"/>
  <c r="CL79" i="1"/>
  <c r="CG79" i="1"/>
  <c r="BM79" i="1"/>
  <c r="AU79" i="1"/>
  <c r="AT79" i="1"/>
  <c r="AS79" i="1"/>
  <c r="AH79" i="1"/>
  <c r="AG79" i="1"/>
  <c r="AF79" i="1"/>
  <c r="EG78" i="1"/>
  <c r="EA78" i="1"/>
  <c r="DR78" i="1"/>
  <c r="DP78" i="1"/>
  <c r="DE78" i="1"/>
  <c r="CL78" i="1"/>
  <c r="BL78" i="1"/>
  <c r="AH78" i="1"/>
  <c r="AG78" i="1"/>
  <c r="AF78" i="1"/>
  <c r="EG77" i="1"/>
  <c r="EA77" i="1"/>
  <c r="DR77" i="1"/>
  <c r="DP77" i="1"/>
  <c r="DE77" i="1"/>
  <c r="BL77" i="1"/>
  <c r="AH77" i="1"/>
  <c r="AG77" i="1"/>
  <c r="AF77" i="1"/>
  <c r="DR76" i="1"/>
  <c r="DP76" i="1"/>
  <c r="DE76" i="1"/>
  <c r="BL76" i="1"/>
  <c r="AH76" i="1"/>
  <c r="AG76" i="1"/>
  <c r="AF76" i="1"/>
  <c r="DR75" i="1"/>
  <c r="DP75" i="1"/>
  <c r="DE75" i="1"/>
  <c r="BL75" i="1"/>
  <c r="AH75" i="1"/>
  <c r="AG75" i="1"/>
  <c r="AF75" i="1"/>
  <c r="DR74" i="1"/>
  <c r="DP74" i="1"/>
  <c r="DE74" i="1"/>
  <c r="BL74" i="1"/>
  <c r="AH74" i="1"/>
  <c r="AG74" i="1"/>
  <c r="AF74" i="1"/>
  <c r="DR73" i="1"/>
  <c r="DP73" i="1"/>
  <c r="DE73" i="1"/>
  <c r="BL73" i="1"/>
  <c r="AH73" i="1"/>
  <c r="AG73" i="1"/>
  <c r="AF73" i="1"/>
  <c r="EG72" i="1"/>
  <c r="EA72" i="1"/>
  <c r="DR72" i="1"/>
  <c r="DP72" i="1"/>
  <c r="DE72" i="1"/>
  <c r="CL72" i="1"/>
  <c r="AU72" i="1"/>
  <c r="AT72" i="1"/>
  <c r="AS72" i="1"/>
  <c r="AH72" i="1"/>
  <c r="AG72" i="1"/>
  <c r="AF72" i="1"/>
  <c r="EG71" i="1"/>
  <c r="EA71" i="1"/>
  <c r="DR71" i="1"/>
  <c r="DP71" i="1"/>
  <c r="DE71" i="1"/>
  <c r="CL71" i="1"/>
  <c r="AU71" i="1"/>
  <c r="AT71" i="1"/>
  <c r="AS71" i="1"/>
  <c r="AH71" i="1"/>
  <c r="AG71" i="1"/>
  <c r="AF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EG70" i="1"/>
  <c r="EA70" i="1"/>
  <c r="DR70" i="1"/>
  <c r="DP70" i="1"/>
  <c r="DE70" i="1"/>
  <c r="CL70" i="1"/>
  <c r="AU70" i="1"/>
  <c r="AT70" i="1"/>
  <c r="AS70" i="1"/>
  <c r="AH70" i="1"/>
  <c r="AG70" i="1"/>
  <c r="AF70" i="1"/>
  <c r="EG69" i="1"/>
  <c r="DR69" i="1"/>
  <c r="DP69" i="1"/>
  <c r="DE69" i="1"/>
  <c r="CL69" i="1"/>
  <c r="BL69" i="1"/>
  <c r="AU69" i="1"/>
  <c r="AT69" i="1"/>
  <c r="AS69" i="1"/>
  <c r="AH69" i="1"/>
  <c r="AG69" i="1"/>
  <c r="AF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EG68" i="1"/>
  <c r="DR68" i="1"/>
  <c r="DP68" i="1"/>
  <c r="DE68" i="1"/>
  <c r="CL68" i="1"/>
  <c r="BL68" i="1"/>
  <c r="AU68" i="1"/>
  <c r="AT68" i="1"/>
  <c r="AS68" i="1"/>
  <c r="AH68" i="1"/>
  <c r="AG68" i="1"/>
  <c r="AF68" i="1"/>
  <c r="EG67" i="1"/>
  <c r="DR67" i="1"/>
  <c r="DP67" i="1"/>
  <c r="DE67" i="1"/>
  <c r="CL67" i="1"/>
  <c r="BM67" i="1"/>
  <c r="BL67" i="1"/>
  <c r="AU67" i="1"/>
  <c r="AT67" i="1"/>
  <c r="AS67" i="1"/>
  <c r="AH67" i="1"/>
  <c r="AG67" i="1"/>
  <c r="AF67" i="1"/>
  <c r="DP66" i="1"/>
  <c r="DE66" i="1"/>
  <c r="CL66" i="1"/>
  <c r="BM66" i="1"/>
  <c r="BL66" i="1"/>
  <c r="AU66" i="1"/>
  <c r="AT66" i="1"/>
  <c r="AS66" i="1"/>
  <c r="AH66" i="1"/>
  <c r="AG66" i="1"/>
  <c r="AF66" i="1"/>
  <c r="EL65" i="1"/>
  <c r="DE65" i="1"/>
  <c r="CL65" i="1"/>
  <c r="BM65" i="1"/>
  <c r="BL65" i="1"/>
  <c r="AU65" i="1"/>
  <c r="AT65" i="1"/>
  <c r="AS65" i="1"/>
  <c r="AH65" i="1"/>
  <c r="AG65" i="1"/>
  <c r="AF65" i="1"/>
  <c r="EL64" i="1"/>
  <c r="EA64" i="1"/>
  <c r="DZ64" i="1"/>
  <c r="DE64" i="1"/>
  <c r="CL64" i="1"/>
  <c r="BL64" i="1"/>
  <c r="AU64" i="1"/>
  <c r="AT64" i="1"/>
  <c r="AS64" i="1"/>
  <c r="AH64" i="1"/>
  <c r="AG64" i="1"/>
  <c r="AF64" i="1"/>
  <c r="EL63" i="1"/>
  <c r="DZ63" i="1"/>
  <c r="DE63" i="1"/>
  <c r="CL63" i="1"/>
  <c r="BL63" i="1"/>
  <c r="AU63" i="1"/>
  <c r="AT63" i="1"/>
  <c r="AS63" i="1"/>
  <c r="AH63" i="1"/>
  <c r="AG63" i="1"/>
  <c r="AF63" i="1"/>
  <c r="EL62" i="1"/>
  <c r="DZ62" i="1"/>
  <c r="DE62" i="1"/>
  <c r="CL62" i="1"/>
  <c r="BL62" i="1"/>
  <c r="AU62" i="1"/>
  <c r="AT62" i="1"/>
  <c r="AS62" i="1"/>
  <c r="AH62" i="1"/>
  <c r="AG62" i="1"/>
  <c r="AF62" i="1"/>
  <c r="EL61" i="1"/>
  <c r="EG61" i="1"/>
  <c r="DZ61" i="1"/>
  <c r="DE61" i="1"/>
  <c r="CL61" i="1"/>
  <c r="BL61" i="1"/>
  <c r="AU61" i="1"/>
  <c r="AT61" i="1"/>
  <c r="AS61" i="1"/>
  <c r="AH61" i="1"/>
  <c r="AG61" i="1"/>
  <c r="AF61" i="1"/>
  <c r="EL60" i="1"/>
  <c r="EG60" i="1"/>
  <c r="DZ60" i="1"/>
  <c r="DE60" i="1"/>
  <c r="CL60" i="1"/>
  <c r="BM60" i="1"/>
  <c r="BL60" i="1"/>
  <c r="BE60" i="1"/>
  <c r="AU60" i="1"/>
  <c r="AT60" i="1"/>
  <c r="AS60" i="1"/>
  <c r="AH60" i="1"/>
  <c r="AG60" i="1"/>
  <c r="AF60" i="1"/>
  <c r="EL59" i="1"/>
  <c r="EG59" i="1"/>
  <c r="DZ59" i="1"/>
  <c r="DR59" i="1"/>
  <c r="DP59" i="1"/>
  <c r="DE59" i="1"/>
  <c r="CL59" i="1"/>
  <c r="BT59" i="1"/>
  <c r="BL59" i="1"/>
  <c r="BE59" i="1"/>
  <c r="AU59" i="1"/>
  <c r="AT59" i="1"/>
  <c r="AS59" i="1"/>
  <c r="AH59" i="1"/>
  <c r="AG59" i="1"/>
  <c r="AF59" i="1"/>
  <c r="EG58" i="1"/>
  <c r="DZ58" i="1"/>
  <c r="DR58" i="1"/>
  <c r="DP58" i="1"/>
  <c r="DE58" i="1"/>
  <c r="CL58" i="1"/>
  <c r="BS58" i="1"/>
  <c r="BE58" i="1"/>
  <c r="AU58" i="1"/>
  <c r="AT58" i="1"/>
  <c r="AS58" i="1"/>
  <c r="AH58" i="1"/>
  <c r="AG58" i="1"/>
  <c r="AF58" i="1"/>
  <c r="EG57" i="1"/>
  <c r="DZ57" i="1"/>
  <c r="DR57" i="1"/>
  <c r="DP57" i="1"/>
  <c r="DE57" i="1"/>
  <c r="CL57" i="1"/>
  <c r="BT57" i="1"/>
  <c r="BS57" i="1"/>
  <c r="BE57" i="1"/>
  <c r="AU57" i="1"/>
  <c r="AT57" i="1"/>
  <c r="AS57" i="1"/>
  <c r="AH57" i="1"/>
  <c r="AG57" i="1"/>
  <c r="AF57" i="1"/>
  <c r="EG56" i="1"/>
  <c r="DZ56" i="1"/>
  <c r="DR56" i="1"/>
  <c r="DP56" i="1"/>
  <c r="DE56" i="1"/>
  <c r="CL56" i="1"/>
  <c r="BS56" i="1"/>
  <c r="BE56" i="1"/>
  <c r="AU56" i="1"/>
  <c r="AT56" i="1"/>
  <c r="AS56" i="1"/>
  <c r="AH56" i="1"/>
  <c r="AG56" i="1"/>
  <c r="AF56" i="1"/>
  <c r="EL55" i="1"/>
  <c r="EG55" i="1"/>
  <c r="DZ55" i="1"/>
  <c r="DP55" i="1"/>
  <c r="DE55" i="1"/>
  <c r="CL55" i="1"/>
  <c r="BT55" i="1"/>
  <c r="BS55" i="1"/>
  <c r="BM55" i="1"/>
  <c r="BL55" i="1"/>
  <c r="BE55" i="1"/>
  <c r="AU55" i="1"/>
  <c r="AT55" i="1"/>
  <c r="AS55" i="1"/>
  <c r="AH55" i="1"/>
  <c r="AG55" i="1"/>
  <c r="AF55" i="1"/>
  <c r="EL54" i="1"/>
  <c r="EG54" i="1"/>
  <c r="DZ54" i="1"/>
  <c r="CL54" i="1"/>
  <c r="BS54" i="1"/>
  <c r="BL54" i="1"/>
  <c r="BE54" i="1"/>
  <c r="AU54" i="1"/>
  <c r="AT54" i="1"/>
  <c r="AS54" i="1"/>
  <c r="AH54" i="1"/>
  <c r="AG54" i="1"/>
  <c r="AF54" i="1"/>
  <c r="EL53" i="1"/>
  <c r="EG53" i="1"/>
  <c r="DZ53" i="1"/>
  <c r="CL53" i="1"/>
  <c r="BS53" i="1"/>
  <c r="BL53" i="1"/>
  <c r="BE53" i="1"/>
  <c r="AU53" i="1"/>
  <c r="AT53" i="1"/>
  <c r="AS53" i="1"/>
  <c r="AH53" i="1"/>
  <c r="AG53" i="1"/>
  <c r="AF53" i="1"/>
  <c r="EL52" i="1"/>
  <c r="EG52" i="1"/>
  <c r="DZ52" i="1"/>
  <c r="CL52" i="1"/>
  <c r="BS52" i="1"/>
  <c r="BL52" i="1"/>
  <c r="BE52" i="1"/>
  <c r="AU52" i="1"/>
  <c r="AT52" i="1"/>
  <c r="AS52" i="1"/>
  <c r="AH52" i="1"/>
  <c r="AG52" i="1"/>
  <c r="AF52" i="1"/>
  <c r="EA51" i="1"/>
  <c r="DZ51" i="1"/>
  <c r="CL51" i="1"/>
  <c r="BL51" i="1"/>
  <c r="BE51" i="1"/>
  <c r="AU51" i="1"/>
  <c r="AT51" i="1"/>
  <c r="AS51" i="1"/>
  <c r="AH51" i="1"/>
  <c r="AG51" i="1"/>
  <c r="AF51" i="1"/>
  <c r="I51" i="1"/>
  <c r="H51" i="1"/>
  <c r="G51" i="1"/>
  <c r="F51" i="1"/>
  <c r="E51" i="1"/>
  <c r="DZ50" i="1"/>
  <c r="CL50" i="1"/>
  <c r="BL50" i="1"/>
  <c r="BE50" i="1"/>
  <c r="AU50" i="1"/>
  <c r="AT50" i="1"/>
  <c r="AS50" i="1"/>
  <c r="AH50" i="1"/>
  <c r="AG50" i="1"/>
  <c r="AF50" i="1"/>
  <c r="I50" i="1"/>
  <c r="DZ49" i="1"/>
  <c r="CL49" i="1"/>
  <c r="BL49" i="1"/>
  <c r="BE49" i="1"/>
  <c r="AU49" i="1"/>
  <c r="AT49" i="1"/>
  <c r="AS49" i="1"/>
  <c r="AH49" i="1"/>
  <c r="AG49" i="1"/>
  <c r="AF49" i="1"/>
  <c r="I49" i="1"/>
  <c r="H49" i="1"/>
  <c r="G49" i="1"/>
  <c r="F49" i="1"/>
  <c r="E49" i="1"/>
  <c r="DZ48" i="1"/>
  <c r="CL48" i="1"/>
  <c r="BL48" i="1"/>
  <c r="AU48" i="1"/>
  <c r="AT48" i="1"/>
  <c r="AS48" i="1"/>
  <c r="AH48" i="1"/>
  <c r="AG48" i="1"/>
  <c r="AF48" i="1"/>
  <c r="EG47" i="1"/>
  <c r="DZ47" i="1"/>
  <c r="CL47" i="1"/>
  <c r="BL47" i="1"/>
  <c r="AU47" i="1"/>
  <c r="AT47" i="1"/>
  <c r="AS47" i="1"/>
  <c r="AH47" i="1"/>
  <c r="AG47" i="1"/>
  <c r="AF47" i="1"/>
  <c r="I47" i="1"/>
  <c r="F47" i="1"/>
  <c r="E47" i="1"/>
  <c r="EG46" i="1"/>
  <c r="DZ46" i="1"/>
  <c r="CL46" i="1"/>
  <c r="BM46" i="1"/>
  <c r="BL46" i="1"/>
  <c r="AU46" i="1"/>
  <c r="AT46" i="1"/>
  <c r="AS46" i="1"/>
  <c r="AH46" i="1"/>
  <c r="AG46" i="1"/>
  <c r="AF46" i="1"/>
  <c r="I46" i="1"/>
  <c r="EG45" i="1"/>
  <c r="DZ45" i="1"/>
  <c r="CL45" i="1"/>
  <c r="AU45" i="1"/>
  <c r="AT45" i="1"/>
  <c r="AS45" i="1"/>
  <c r="AH45" i="1"/>
  <c r="AG45" i="1"/>
  <c r="AF45" i="1"/>
  <c r="EL44" i="1"/>
  <c r="EG44" i="1"/>
  <c r="DZ44" i="1"/>
  <c r="DQ44" i="1"/>
  <c r="DO44" i="1"/>
  <c r="DI44" i="1"/>
  <c r="DG44" i="1"/>
  <c r="CL44" i="1"/>
  <c r="BT44" i="1"/>
  <c r="BS44" i="1"/>
  <c r="BI44" i="1"/>
  <c r="BE44" i="1"/>
  <c r="AU44" i="1"/>
  <c r="AT44" i="1"/>
  <c r="AS44" i="1"/>
  <c r="AH44" i="1"/>
  <c r="AG44" i="1"/>
  <c r="AF44" i="1"/>
  <c r="H44" i="1"/>
  <c r="G44" i="1"/>
  <c r="F44" i="1"/>
  <c r="E44" i="1"/>
  <c r="EL43" i="1"/>
  <c r="EG43" i="1"/>
  <c r="DZ43" i="1"/>
  <c r="DQ43" i="1"/>
  <c r="DO43" i="1"/>
  <c r="DI43" i="1"/>
  <c r="DG43" i="1"/>
  <c r="CL43" i="1"/>
  <c r="BS43" i="1"/>
  <c r="BI43" i="1"/>
  <c r="BE43" i="1"/>
  <c r="AU43" i="1"/>
  <c r="AT43" i="1"/>
  <c r="AS43" i="1"/>
  <c r="AH43" i="1"/>
  <c r="AG43" i="1"/>
  <c r="AF43" i="1"/>
  <c r="EL42" i="1"/>
  <c r="EG42" i="1"/>
  <c r="DZ42" i="1"/>
  <c r="DQ42" i="1"/>
  <c r="DO42" i="1"/>
  <c r="DI42" i="1"/>
  <c r="DG42" i="1"/>
  <c r="CL42" i="1"/>
  <c r="BI42" i="1"/>
  <c r="BE42" i="1"/>
  <c r="AU42" i="1"/>
  <c r="AT42" i="1"/>
  <c r="AS42" i="1"/>
  <c r="AH42" i="1"/>
  <c r="AG42" i="1"/>
  <c r="AF42" i="1"/>
  <c r="EL41" i="1"/>
  <c r="EG41" i="1"/>
  <c r="DZ41" i="1"/>
  <c r="DQ41" i="1"/>
  <c r="DO41" i="1"/>
  <c r="DI41" i="1"/>
  <c r="DG41" i="1"/>
  <c r="CL41" i="1"/>
  <c r="BI41" i="1"/>
  <c r="BE41" i="1"/>
  <c r="AU41" i="1"/>
  <c r="AT41" i="1"/>
  <c r="AS41" i="1"/>
  <c r="AH41" i="1"/>
  <c r="AG41" i="1"/>
  <c r="AF41" i="1"/>
  <c r="EL40" i="1"/>
  <c r="EG40" i="1"/>
  <c r="DZ40" i="1"/>
  <c r="DQ40" i="1"/>
  <c r="DO40" i="1"/>
  <c r="DI40" i="1"/>
  <c r="DG40" i="1"/>
  <c r="BI40" i="1"/>
  <c r="BE40" i="1"/>
  <c r="AU40" i="1"/>
  <c r="AT40" i="1"/>
  <c r="AS40" i="1"/>
  <c r="AH40" i="1"/>
  <c r="AG40" i="1"/>
  <c r="AF40" i="1"/>
  <c r="EL39" i="1"/>
  <c r="EG39" i="1"/>
  <c r="DZ39" i="1"/>
  <c r="DQ39" i="1"/>
  <c r="DO39" i="1"/>
  <c r="DI39" i="1"/>
  <c r="DG39" i="1"/>
  <c r="BI39" i="1"/>
  <c r="BE39" i="1"/>
  <c r="AU39" i="1"/>
  <c r="AT39" i="1"/>
  <c r="AS39" i="1"/>
  <c r="AH39" i="1"/>
  <c r="AG39" i="1"/>
  <c r="AF39" i="1"/>
  <c r="EL38" i="1"/>
  <c r="EG38" i="1"/>
  <c r="DZ38" i="1"/>
  <c r="DQ38" i="1"/>
  <c r="DO38" i="1"/>
  <c r="DI38" i="1"/>
  <c r="DG38" i="1"/>
  <c r="BI38" i="1"/>
  <c r="BE38" i="1"/>
  <c r="AU38" i="1"/>
  <c r="AT38" i="1"/>
  <c r="AS38" i="1"/>
  <c r="AH38" i="1"/>
  <c r="AG38" i="1"/>
  <c r="AF38" i="1"/>
  <c r="DZ37" i="1"/>
  <c r="DQ37" i="1"/>
  <c r="DO37" i="1"/>
  <c r="DI37" i="1"/>
  <c r="DG37" i="1"/>
  <c r="BM37" i="1"/>
  <c r="BL37" i="1"/>
  <c r="BI37" i="1"/>
  <c r="BE37" i="1"/>
  <c r="AU37" i="1"/>
  <c r="AT37" i="1"/>
  <c r="AS37" i="1"/>
  <c r="AH37" i="1"/>
  <c r="AG37" i="1"/>
  <c r="AF37" i="1"/>
  <c r="DQ36" i="1"/>
  <c r="DO36" i="1"/>
  <c r="DI36" i="1"/>
  <c r="DG36" i="1"/>
  <c r="CL36" i="1"/>
  <c r="BM36" i="1"/>
  <c r="BL36" i="1"/>
  <c r="BI36" i="1"/>
  <c r="BE36" i="1"/>
  <c r="AU36" i="1"/>
  <c r="AT36" i="1"/>
  <c r="AS36" i="1"/>
  <c r="AH36" i="1"/>
  <c r="AG36" i="1"/>
  <c r="AF36" i="1"/>
  <c r="DQ35" i="1"/>
  <c r="DO35" i="1"/>
  <c r="DI35" i="1"/>
  <c r="DG35" i="1"/>
  <c r="CL35" i="1"/>
  <c r="BL35" i="1"/>
  <c r="BI35" i="1"/>
  <c r="BE35" i="1"/>
  <c r="AU35" i="1"/>
  <c r="AT35" i="1"/>
  <c r="AS35" i="1"/>
  <c r="AH35" i="1"/>
  <c r="AG35" i="1"/>
  <c r="AF35" i="1"/>
  <c r="DQ34" i="1"/>
  <c r="DO34" i="1"/>
  <c r="DI34" i="1"/>
  <c r="DG34" i="1"/>
  <c r="CL34" i="1"/>
  <c r="BL34" i="1"/>
  <c r="BI34" i="1"/>
  <c r="BE34" i="1"/>
  <c r="AU34" i="1"/>
  <c r="AT34" i="1"/>
  <c r="AS34" i="1"/>
  <c r="AH34" i="1"/>
  <c r="AG34" i="1"/>
  <c r="AF34" i="1"/>
  <c r="DQ33" i="1"/>
  <c r="DO33" i="1"/>
  <c r="DI33" i="1"/>
  <c r="DG33" i="1"/>
  <c r="CL33" i="1"/>
  <c r="BT33" i="1"/>
  <c r="BS33" i="1"/>
  <c r="BL33" i="1"/>
  <c r="BI33" i="1"/>
  <c r="BE33" i="1"/>
  <c r="AU33" i="1"/>
  <c r="AT33" i="1"/>
  <c r="AS33" i="1"/>
  <c r="AH33" i="1"/>
  <c r="AG33" i="1"/>
  <c r="AF33" i="1"/>
  <c r="DQ32" i="1"/>
  <c r="DO32" i="1"/>
  <c r="DI32" i="1"/>
  <c r="DG32" i="1"/>
  <c r="CL32" i="1"/>
  <c r="BS32" i="1"/>
  <c r="BL32" i="1"/>
  <c r="AU32" i="1"/>
  <c r="AT32" i="1"/>
  <c r="AS32" i="1"/>
  <c r="AH32" i="1"/>
  <c r="AG32" i="1"/>
  <c r="AF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Q31" i="1"/>
  <c r="DO31" i="1"/>
  <c r="DI31" i="1"/>
  <c r="DG31" i="1"/>
  <c r="CL31" i="1"/>
  <c r="BS31" i="1"/>
  <c r="BL31" i="1"/>
  <c r="AU31" i="1"/>
  <c r="AT31" i="1"/>
  <c r="AS31" i="1"/>
  <c r="AH31" i="1"/>
  <c r="AG31" i="1"/>
  <c r="AF31" i="1"/>
  <c r="EG30" i="1"/>
  <c r="EB30" i="1"/>
  <c r="EA30" i="1"/>
  <c r="CL30" i="1"/>
  <c r="BS30" i="1"/>
  <c r="BL30" i="1"/>
  <c r="AU30" i="1"/>
  <c r="AT30" i="1"/>
  <c r="AS30" i="1"/>
  <c r="AH30" i="1"/>
  <c r="AG30" i="1"/>
  <c r="AF30" i="1"/>
  <c r="M30" i="1"/>
  <c r="EG29" i="1"/>
  <c r="EA29" i="1"/>
  <c r="CL29" i="1"/>
  <c r="BS29" i="1"/>
  <c r="BM29" i="1"/>
  <c r="BL29" i="1"/>
  <c r="AU29" i="1"/>
  <c r="AT29" i="1"/>
  <c r="AS29" i="1"/>
  <c r="AH29" i="1"/>
  <c r="AG29" i="1"/>
  <c r="AF29" i="1"/>
  <c r="EG28" i="1"/>
  <c r="EA28" i="1"/>
  <c r="CL28" i="1"/>
  <c r="BS28" i="1"/>
  <c r="BM28" i="1"/>
  <c r="BL28" i="1"/>
  <c r="AU28" i="1"/>
  <c r="AT28" i="1"/>
  <c r="AS28" i="1"/>
  <c r="AH28" i="1"/>
  <c r="AG28" i="1"/>
  <c r="AF28" i="1"/>
  <c r="EG27" i="1"/>
  <c r="EB27" i="1"/>
  <c r="EA27" i="1"/>
  <c r="CL27" i="1"/>
  <c r="BS27" i="1"/>
  <c r="AU27" i="1"/>
  <c r="AT27" i="1"/>
  <c r="AS27" i="1"/>
  <c r="AH27" i="1"/>
  <c r="AG27" i="1"/>
  <c r="AF27" i="1"/>
  <c r="EG26" i="1"/>
  <c r="EA26" i="1"/>
  <c r="CL26" i="1"/>
  <c r="AU26" i="1"/>
  <c r="AT26" i="1"/>
  <c r="AS26" i="1"/>
  <c r="AH26" i="1"/>
  <c r="AG26" i="1"/>
  <c r="AF26" i="1"/>
  <c r="EG25" i="1"/>
  <c r="EA25" i="1"/>
  <c r="CL25" i="1"/>
  <c r="AU25" i="1"/>
  <c r="AT25" i="1"/>
  <c r="AS25" i="1"/>
  <c r="AH25" i="1"/>
  <c r="AG25" i="1"/>
  <c r="AF25" i="1"/>
  <c r="EG24" i="1"/>
  <c r="EA24" i="1"/>
  <c r="CU24" i="1"/>
  <c r="CL24" i="1"/>
  <c r="BL24" i="1"/>
  <c r="AU24" i="1"/>
  <c r="AT24" i="1"/>
  <c r="AS24" i="1"/>
  <c r="AH24" i="1"/>
  <c r="AG24" i="1"/>
  <c r="AF24" i="1"/>
  <c r="EG23" i="1"/>
  <c r="EA23" i="1"/>
  <c r="CU23" i="1"/>
  <c r="CL23" i="1"/>
  <c r="BL23" i="1"/>
  <c r="BG23" i="1"/>
  <c r="AU23" i="1"/>
  <c r="AT23" i="1"/>
  <c r="AS23" i="1"/>
  <c r="AH23" i="1"/>
  <c r="AG23" i="1"/>
  <c r="AF23" i="1"/>
  <c r="EG22" i="1"/>
  <c r="EA22" i="1"/>
  <c r="CU22" i="1"/>
  <c r="CL22" i="1"/>
  <c r="BM22" i="1"/>
  <c r="BL22" i="1"/>
  <c r="BG22" i="1"/>
  <c r="AU22" i="1"/>
  <c r="AT22" i="1"/>
  <c r="AS22" i="1"/>
  <c r="AH22" i="1"/>
  <c r="AG22" i="1"/>
  <c r="AF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EG21" i="1"/>
  <c r="EA21" i="1"/>
  <c r="CU21" i="1"/>
  <c r="CL21" i="1"/>
  <c r="BL21" i="1"/>
  <c r="BG21" i="1"/>
  <c r="AV21" i="1"/>
  <c r="AU21" i="1"/>
  <c r="AT21" i="1"/>
  <c r="AS21" i="1"/>
  <c r="AH21" i="1"/>
  <c r="AG21" i="1"/>
  <c r="AF21" i="1"/>
  <c r="DQ20" i="1"/>
  <c r="DO20" i="1"/>
  <c r="DI20" i="1"/>
  <c r="DG20" i="1"/>
  <c r="CU20" i="1"/>
  <c r="CL20" i="1"/>
  <c r="BL20" i="1"/>
  <c r="BG20" i="1"/>
  <c r="AU20" i="1"/>
  <c r="AT20" i="1"/>
  <c r="AS20" i="1"/>
  <c r="AH20" i="1"/>
  <c r="AG20" i="1"/>
  <c r="AF20" i="1"/>
  <c r="M20" i="1"/>
  <c r="DQ19" i="1"/>
  <c r="DO19" i="1"/>
  <c r="DI19" i="1"/>
  <c r="DG19" i="1"/>
  <c r="CU19" i="1"/>
  <c r="CL19" i="1"/>
  <c r="BL19" i="1"/>
  <c r="AU19" i="1"/>
  <c r="AT19" i="1"/>
  <c r="AS19" i="1"/>
  <c r="AH19" i="1"/>
  <c r="AG19" i="1"/>
  <c r="AF19" i="1"/>
  <c r="DQ18" i="1"/>
  <c r="DO18" i="1"/>
  <c r="DI18" i="1"/>
  <c r="DG18" i="1"/>
  <c r="CU18" i="1"/>
  <c r="CL18" i="1"/>
  <c r="CA18" i="1"/>
  <c r="BL18" i="1"/>
  <c r="AU18" i="1"/>
  <c r="AT18" i="1"/>
  <c r="AS18" i="1"/>
  <c r="AH18" i="1"/>
  <c r="AG18" i="1"/>
  <c r="AF18" i="1"/>
  <c r="DQ17" i="1"/>
  <c r="DO17" i="1"/>
  <c r="DI17" i="1"/>
  <c r="DG17" i="1"/>
  <c r="CU17" i="1"/>
  <c r="CL17" i="1"/>
  <c r="CA17" i="1"/>
  <c r="BS17" i="1"/>
  <c r="AU17" i="1"/>
  <c r="AT17" i="1"/>
  <c r="AS17" i="1"/>
  <c r="AH17" i="1"/>
  <c r="AG17" i="1"/>
  <c r="AF17" i="1"/>
  <c r="EG16" i="1"/>
  <c r="ED16" i="1"/>
  <c r="EA16" i="1"/>
  <c r="DQ16" i="1"/>
  <c r="DO16" i="1"/>
  <c r="DI16" i="1"/>
  <c r="DG16" i="1"/>
  <c r="CU16" i="1"/>
  <c r="CL16" i="1"/>
  <c r="AU16" i="1"/>
  <c r="AT16" i="1"/>
  <c r="AS16" i="1"/>
  <c r="AH16" i="1"/>
  <c r="AG16" i="1"/>
  <c r="AF16" i="1"/>
  <c r="EG15" i="1"/>
  <c r="ED15" i="1"/>
  <c r="EA15" i="1"/>
  <c r="DQ15" i="1"/>
  <c r="DO15" i="1"/>
  <c r="DI15" i="1"/>
  <c r="DG15" i="1"/>
  <c r="CU15" i="1"/>
  <c r="CL15" i="1"/>
  <c r="AU15" i="1"/>
  <c r="AT15" i="1"/>
  <c r="AS15" i="1"/>
  <c r="AH15" i="1"/>
  <c r="AG15" i="1"/>
  <c r="AF15" i="1"/>
  <c r="EG14" i="1"/>
  <c r="ED14" i="1"/>
  <c r="EA14" i="1"/>
  <c r="DQ14" i="1"/>
  <c r="DO14" i="1"/>
  <c r="DI14" i="1"/>
  <c r="DG14" i="1"/>
  <c r="CU14" i="1"/>
  <c r="CL14" i="1"/>
  <c r="BH14" i="1"/>
  <c r="BC14" i="1"/>
  <c r="AU14" i="1"/>
  <c r="AT14" i="1"/>
  <c r="AS14" i="1"/>
  <c r="AH14" i="1"/>
  <c r="AG14" i="1"/>
  <c r="AF14" i="1"/>
  <c r="EG13" i="1"/>
  <c r="ED13" i="1"/>
  <c r="EA13" i="1"/>
  <c r="DQ13" i="1"/>
  <c r="DO13" i="1"/>
  <c r="DI13" i="1"/>
  <c r="DG13" i="1"/>
  <c r="CU13" i="1"/>
  <c r="CL13" i="1"/>
  <c r="BH13" i="1"/>
  <c r="BF13" i="1"/>
  <c r="BC13" i="1"/>
  <c r="AU13" i="1"/>
  <c r="AT13" i="1"/>
  <c r="AS13" i="1"/>
  <c r="AH13" i="1"/>
  <c r="AG13" i="1"/>
  <c r="AF13" i="1"/>
  <c r="EG12" i="1"/>
  <c r="ED12" i="1"/>
  <c r="EA12" i="1"/>
  <c r="DQ12" i="1"/>
  <c r="DO12" i="1"/>
  <c r="DI12" i="1"/>
  <c r="DG12" i="1"/>
  <c r="CU12" i="1"/>
  <c r="CL12" i="1"/>
  <c r="BL12" i="1"/>
  <c r="BH12" i="1"/>
  <c r="BF12" i="1"/>
  <c r="BC12" i="1"/>
  <c r="AU12" i="1"/>
  <c r="AT12" i="1"/>
  <c r="AS12" i="1"/>
  <c r="AH12" i="1"/>
  <c r="AG12" i="1"/>
  <c r="AF12" i="1"/>
  <c r="EG11" i="1"/>
  <c r="ED11" i="1"/>
  <c r="EA11" i="1"/>
  <c r="DQ11" i="1"/>
  <c r="DO11" i="1"/>
  <c r="DI11" i="1"/>
  <c r="DG11" i="1"/>
  <c r="CL11" i="1"/>
  <c r="BL11" i="1"/>
  <c r="BH11" i="1"/>
  <c r="BF11" i="1"/>
  <c r="BC11" i="1"/>
  <c r="AU11" i="1"/>
  <c r="AT11" i="1"/>
  <c r="AS11" i="1"/>
  <c r="AH11" i="1"/>
  <c r="AG11" i="1"/>
  <c r="AF11" i="1"/>
  <c r="EG10" i="1"/>
  <c r="ED10" i="1"/>
  <c r="EA10" i="1"/>
  <c r="DQ10" i="1"/>
  <c r="DO10" i="1"/>
  <c r="DI10" i="1"/>
  <c r="DG10" i="1"/>
  <c r="CU10" i="1"/>
  <c r="CL10" i="1"/>
  <c r="BL10" i="1"/>
  <c r="BH10" i="1"/>
  <c r="BF10" i="1"/>
  <c r="BC10" i="1"/>
  <c r="AU10" i="1"/>
  <c r="AT10" i="1"/>
  <c r="AS10" i="1"/>
  <c r="AH10" i="1"/>
  <c r="AG10" i="1"/>
  <c r="AF10" i="1"/>
  <c r="EH9" i="1"/>
  <c r="EG9" i="1"/>
  <c r="ED9" i="1"/>
  <c r="EA9" i="1"/>
  <c r="DQ9" i="1"/>
  <c r="DO9" i="1"/>
  <c r="DI9" i="1"/>
  <c r="DG9" i="1"/>
  <c r="CU9" i="1"/>
  <c r="CL9" i="1"/>
  <c r="BS9" i="1"/>
  <c r="BL9" i="1"/>
  <c r="BH9" i="1"/>
  <c r="BF9" i="1"/>
  <c r="BC9" i="1"/>
  <c r="AU9" i="1"/>
  <c r="AT9" i="1"/>
  <c r="AS9" i="1"/>
  <c r="AH9" i="1"/>
  <c r="AG9" i="1"/>
  <c r="AF9" i="1"/>
  <c r="EG8" i="1"/>
  <c r="ED8" i="1"/>
  <c r="EA8" i="1"/>
  <c r="DQ8" i="1"/>
  <c r="DO8" i="1"/>
  <c r="DI8" i="1"/>
  <c r="DG8" i="1"/>
  <c r="CU8" i="1"/>
  <c r="CL8" i="1"/>
  <c r="BS8" i="1"/>
  <c r="BL8" i="1"/>
  <c r="BH8" i="1"/>
  <c r="BF8" i="1"/>
  <c r="BC8" i="1"/>
  <c r="AU8" i="1"/>
  <c r="AT8" i="1"/>
  <c r="AS8" i="1"/>
  <c r="AH8" i="1"/>
  <c r="AG8" i="1"/>
  <c r="AF8" i="1"/>
  <c r="P8" i="1"/>
  <c r="N8" i="1"/>
  <c r="L8" i="1"/>
  <c r="K8" i="1"/>
  <c r="J8" i="1"/>
  <c r="I8" i="1"/>
  <c r="H8" i="1"/>
  <c r="G8" i="1"/>
  <c r="F8" i="1"/>
  <c r="E8" i="1"/>
  <c r="EG7" i="1"/>
  <c r="ED7" i="1"/>
  <c r="EA7" i="1"/>
  <c r="DQ7" i="1"/>
  <c r="DO7" i="1"/>
  <c r="DI7" i="1"/>
  <c r="DG7" i="1"/>
  <c r="CU7" i="1"/>
  <c r="CL7" i="1"/>
  <c r="BZ7" i="1"/>
  <c r="BT7" i="1"/>
  <c r="BS7" i="1"/>
  <c r="BL7" i="1"/>
  <c r="BH7" i="1"/>
  <c r="BF7" i="1"/>
  <c r="BC7" i="1"/>
  <c r="AU7" i="1"/>
  <c r="AT7" i="1"/>
  <c r="AS7" i="1"/>
  <c r="AH7" i="1"/>
  <c r="AG7" i="1"/>
  <c r="AF7" i="1"/>
  <c r="CU6" i="1"/>
  <c r="CL6" i="1"/>
  <c r="BZ6" i="1"/>
  <c r="BS6" i="1"/>
  <c r="BL6" i="1"/>
  <c r="BH6" i="1"/>
  <c r="BF6" i="1"/>
  <c r="BC6" i="1"/>
  <c r="AU6" i="1"/>
  <c r="AT6" i="1"/>
  <c r="AS6" i="1"/>
  <c r="AH6" i="1"/>
  <c r="AG6" i="1"/>
  <c r="AF6" i="1"/>
  <c r="CU5" i="1"/>
  <c r="CL5" i="1"/>
  <c r="BL5" i="1"/>
  <c r="BH5" i="1"/>
  <c r="AU5" i="1"/>
  <c r="AT5" i="1"/>
  <c r="AS5" i="1"/>
  <c r="AE5" i="1"/>
  <c r="BL4" i="1"/>
  <c r="A1181" i="1" l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142" i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26" i="1"/>
  <c r="A1127" i="1" s="1"/>
  <c r="A1128" i="1" s="1"/>
  <c r="A1129" i="1" s="1"/>
  <c r="A1130" i="1" s="1"/>
  <c r="A1131" i="1" s="1"/>
  <c r="A1111" i="1"/>
  <c r="A1112" i="1" s="1"/>
  <c r="A1113" i="1" s="1"/>
  <c r="A1114" i="1" s="1"/>
  <c r="A1115" i="1" s="1"/>
  <c r="A1116" i="1" s="1"/>
  <c r="A1117" i="1" s="1"/>
  <c r="A1118" i="1" s="1"/>
  <c r="A1119" i="1" s="1"/>
  <c r="A1096" i="1"/>
  <c r="A1097" i="1" s="1"/>
  <c r="A1098" i="1" s="1"/>
  <c r="A1099" i="1" s="1"/>
  <c r="A1100" i="1" s="1"/>
  <c r="A1101" i="1" s="1"/>
  <c r="A1102" i="1" s="1"/>
  <c r="A1103" i="1" s="1"/>
  <c r="A1104" i="1" s="1"/>
  <c r="A1081" i="1"/>
  <c r="A1082" i="1" s="1"/>
  <c r="A1083" i="1" s="1"/>
  <c r="A1084" i="1" s="1"/>
  <c r="A1085" i="1" s="1"/>
  <c r="A1086" i="1" s="1"/>
  <c r="A1087" i="1" s="1"/>
  <c r="A1088" i="1" s="1"/>
  <c r="A1089" i="1" s="1"/>
  <c r="A1066" i="1"/>
  <c r="A1067" i="1" s="1"/>
  <c r="A1068" i="1" s="1"/>
  <c r="A1069" i="1" s="1"/>
  <c r="A1070" i="1" s="1"/>
  <c r="A1071" i="1" s="1"/>
  <c r="A1072" i="1" s="1"/>
  <c r="A1073" i="1" s="1"/>
  <c r="A1074" i="1" s="1"/>
  <c r="A1051" i="1"/>
  <c r="A1052" i="1" s="1"/>
  <c r="A1053" i="1" s="1"/>
  <c r="A1054" i="1" s="1"/>
  <c r="A1055" i="1" s="1"/>
  <c r="A1056" i="1" s="1"/>
  <c r="A1057" i="1" s="1"/>
  <c r="A1058" i="1" s="1"/>
  <c r="A1059" i="1" s="1"/>
  <c r="A1035" i="1"/>
  <c r="A1036" i="1" s="1"/>
  <c r="A1037" i="1" s="1"/>
  <c r="A1038" i="1" s="1"/>
  <c r="A1039" i="1" s="1"/>
  <c r="A1040" i="1" s="1"/>
  <c r="A1041" i="1" s="1"/>
  <c r="A1042" i="1" s="1"/>
  <c r="A1043" i="1" s="1"/>
  <c r="A1019" i="1"/>
  <c r="A1020" i="1" s="1"/>
  <c r="A1021" i="1" s="1"/>
  <c r="A1022" i="1" s="1"/>
  <c r="A1023" i="1" s="1"/>
  <c r="A1024" i="1" s="1"/>
  <c r="A1025" i="1" s="1"/>
  <c r="A1026" i="1" s="1"/>
  <c r="A1027" i="1" s="1"/>
  <c r="A1003" i="1"/>
  <c r="A1004" i="1" s="1"/>
  <c r="A1005" i="1" s="1"/>
  <c r="A1006" i="1" s="1"/>
  <c r="A1007" i="1" s="1"/>
  <c r="A1008" i="1" s="1"/>
  <c r="A1009" i="1" s="1"/>
  <c r="A1010" i="1" s="1"/>
  <c r="A1011" i="1" s="1"/>
  <c r="G987" i="1"/>
  <c r="G977" i="1"/>
  <c r="G967" i="1"/>
  <c r="G957" i="1"/>
  <c r="G947" i="1"/>
  <c r="G937" i="1"/>
  <c r="G927" i="1"/>
  <c r="G917" i="1"/>
  <c r="G907" i="1"/>
  <c r="G897" i="1"/>
  <c r="G887" i="1"/>
  <c r="G877" i="1"/>
  <c r="G867" i="1"/>
  <c r="G857" i="1"/>
  <c r="I849" i="1"/>
  <c r="G849" i="1"/>
  <c r="I848" i="1"/>
  <c r="G848" i="1"/>
  <c r="I839" i="1"/>
  <c r="G839" i="1"/>
  <c r="I838" i="1"/>
  <c r="G838" i="1"/>
  <c r="I829" i="1"/>
  <c r="G829" i="1"/>
  <c r="I828" i="1"/>
  <c r="G828" i="1"/>
  <c r="I819" i="1"/>
  <c r="G819" i="1"/>
  <c r="I818" i="1"/>
  <c r="G818" i="1"/>
  <c r="I809" i="1"/>
  <c r="G809" i="1"/>
  <c r="I808" i="1"/>
  <c r="G808" i="1"/>
  <c r="I799" i="1"/>
  <c r="G799" i="1"/>
  <c r="I798" i="1"/>
  <c r="G798" i="1"/>
  <c r="I789" i="1"/>
  <c r="G789" i="1"/>
  <c r="I788" i="1"/>
  <c r="G788" i="1"/>
  <c r="I779" i="1"/>
  <c r="G779" i="1"/>
  <c r="I778" i="1"/>
  <c r="G778" i="1"/>
  <c r="I769" i="1"/>
  <c r="G769" i="1"/>
  <c r="I768" i="1"/>
  <c r="G768" i="1"/>
  <c r="I759" i="1"/>
  <c r="G759" i="1"/>
  <c r="I758" i="1"/>
  <c r="G758" i="1"/>
  <c r="I749" i="1"/>
  <c r="G749" i="1"/>
  <c r="I748" i="1"/>
  <c r="G748" i="1"/>
  <c r="H739" i="1"/>
  <c r="G739" i="1"/>
  <c r="F739" i="1"/>
  <c r="H738" i="1"/>
  <c r="G738" i="1"/>
  <c r="F738" i="1"/>
  <c r="I737" i="1"/>
  <c r="H729" i="1"/>
  <c r="G729" i="1"/>
  <c r="F729" i="1"/>
  <c r="H728" i="1"/>
  <c r="G728" i="1"/>
  <c r="F728" i="1"/>
  <c r="I727" i="1"/>
  <c r="H719" i="1"/>
  <c r="G719" i="1"/>
  <c r="F719" i="1"/>
  <c r="H718" i="1"/>
  <c r="G718" i="1"/>
  <c r="F718" i="1"/>
  <c r="I717" i="1"/>
  <c r="H709" i="1"/>
  <c r="G709" i="1"/>
  <c r="F709" i="1"/>
  <c r="H708" i="1"/>
  <c r="G708" i="1"/>
  <c r="F708" i="1"/>
  <c r="I707" i="1"/>
  <c r="H699" i="1"/>
  <c r="G699" i="1"/>
  <c r="F699" i="1"/>
  <c r="H698" i="1"/>
  <c r="G698" i="1"/>
  <c r="F698" i="1"/>
  <c r="I697" i="1"/>
  <c r="H689" i="1"/>
  <c r="H688" i="1"/>
  <c r="L687" i="1"/>
  <c r="K687" i="1"/>
  <c r="L677" i="1"/>
  <c r="K677" i="1"/>
  <c r="I669" i="1"/>
  <c r="G669" i="1"/>
  <c r="I668" i="1"/>
  <c r="G668" i="1"/>
  <c r="L667" i="1"/>
  <c r="K667" i="1"/>
  <c r="I659" i="1"/>
  <c r="G659" i="1"/>
  <c r="I658" i="1"/>
  <c r="G658" i="1"/>
  <c r="L657" i="1"/>
  <c r="K657" i="1"/>
  <c r="I649" i="1"/>
  <c r="G649" i="1"/>
  <c r="I648" i="1"/>
  <c r="G648" i="1"/>
  <c r="L647" i="1"/>
  <c r="K647" i="1"/>
  <c r="I639" i="1"/>
  <c r="G639" i="1"/>
  <c r="I638" i="1"/>
  <c r="G638" i="1"/>
  <c r="L637" i="1"/>
  <c r="K637" i="1"/>
  <c r="I629" i="1"/>
  <c r="G629" i="1"/>
  <c r="I628" i="1"/>
  <c r="G628" i="1"/>
  <c r="L627" i="1"/>
  <c r="K627" i="1"/>
  <c r="I619" i="1"/>
  <c r="G619" i="1"/>
  <c r="I618" i="1"/>
  <c r="G618" i="1"/>
  <c r="L617" i="1"/>
  <c r="K617" i="1"/>
  <c r="I609" i="1"/>
  <c r="G609" i="1"/>
  <c r="I608" i="1"/>
  <c r="G608" i="1"/>
  <c r="L607" i="1"/>
  <c r="K607" i="1"/>
  <c r="I599" i="1"/>
  <c r="G599" i="1"/>
  <c r="I598" i="1"/>
  <c r="G598" i="1"/>
  <c r="L597" i="1"/>
  <c r="K597" i="1"/>
  <c r="I589" i="1"/>
  <c r="G589" i="1"/>
  <c r="I588" i="1"/>
  <c r="G588" i="1"/>
  <c r="L587" i="1"/>
  <c r="K587" i="1"/>
  <c r="L577" i="1"/>
  <c r="K577" i="1"/>
  <c r="I577" i="1"/>
  <c r="G577" i="1"/>
  <c r="G569" i="1"/>
  <c r="G568" i="1"/>
  <c r="I567" i="1"/>
  <c r="H559" i="1"/>
  <c r="G559" i="1"/>
  <c r="F559" i="1"/>
  <c r="H558" i="1"/>
  <c r="G558" i="1"/>
  <c r="F558" i="1"/>
  <c r="I557" i="1"/>
  <c r="H549" i="1"/>
  <c r="G549" i="1"/>
  <c r="F549" i="1"/>
  <c r="H548" i="1"/>
  <c r="G548" i="1"/>
  <c r="F548" i="1"/>
  <c r="I547" i="1"/>
  <c r="H539" i="1"/>
  <c r="G539" i="1"/>
  <c r="F539" i="1"/>
  <c r="H538" i="1"/>
  <c r="G538" i="1"/>
  <c r="F538" i="1"/>
  <c r="I537" i="1"/>
  <c r="H529" i="1"/>
  <c r="G529" i="1"/>
  <c r="F529" i="1"/>
  <c r="H528" i="1"/>
  <c r="G528" i="1"/>
  <c r="F528" i="1"/>
  <c r="I527" i="1"/>
  <c r="I519" i="1"/>
  <c r="H519" i="1"/>
  <c r="G519" i="1"/>
  <c r="F519" i="1"/>
  <c r="I518" i="1"/>
  <c r="H518" i="1"/>
  <c r="G518" i="1"/>
  <c r="F518" i="1"/>
  <c r="I509" i="1"/>
  <c r="G509" i="1"/>
  <c r="I508" i="1"/>
  <c r="G508" i="1"/>
  <c r="I499" i="1"/>
  <c r="G499" i="1"/>
  <c r="I498" i="1"/>
  <c r="G498" i="1"/>
  <c r="I489" i="1"/>
  <c r="G489" i="1"/>
  <c r="I488" i="1"/>
  <c r="G488" i="1"/>
  <c r="I479" i="1"/>
  <c r="G479" i="1"/>
  <c r="I478" i="1"/>
  <c r="G478" i="1"/>
  <c r="I469" i="1"/>
  <c r="G469" i="1"/>
  <c r="I468" i="1"/>
  <c r="G468" i="1"/>
  <c r="I459" i="1"/>
  <c r="G459" i="1"/>
  <c r="I458" i="1"/>
  <c r="G458" i="1"/>
  <c r="I449" i="1"/>
  <c r="G449" i="1"/>
  <c r="I448" i="1"/>
  <c r="G448" i="1"/>
  <c r="H439" i="1"/>
  <c r="G439" i="1"/>
  <c r="F439" i="1"/>
  <c r="H438" i="1"/>
  <c r="G438" i="1"/>
  <c r="F438" i="1"/>
  <c r="I437" i="1"/>
  <c r="H429" i="1"/>
  <c r="G429" i="1"/>
  <c r="F429" i="1"/>
  <c r="H428" i="1"/>
  <c r="G428" i="1"/>
  <c r="F428" i="1"/>
  <c r="I427" i="1"/>
  <c r="H419" i="1"/>
  <c r="G419" i="1"/>
  <c r="F419" i="1"/>
  <c r="H418" i="1"/>
  <c r="G418" i="1"/>
  <c r="F418" i="1"/>
  <c r="I417" i="1"/>
  <c r="H409" i="1"/>
  <c r="G409" i="1"/>
  <c r="F409" i="1"/>
  <c r="H408" i="1"/>
  <c r="G408" i="1"/>
  <c r="F408" i="1"/>
  <c r="I407" i="1"/>
  <c r="H399" i="1"/>
  <c r="G399" i="1"/>
  <c r="F399" i="1"/>
  <c r="H398" i="1"/>
  <c r="G398" i="1"/>
  <c r="F398" i="1"/>
  <c r="I397" i="1"/>
  <c r="H389" i="1"/>
  <c r="H388" i="1"/>
  <c r="J387" i="1"/>
  <c r="G379" i="1"/>
  <c r="G378" i="1"/>
  <c r="J377" i="1"/>
  <c r="G369" i="1"/>
  <c r="G368" i="1"/>
  <c r="J367" i="1"/>
  <c r="G359" i="1"/>
  <c r="D359" i="1"/>
  <c r="G358" i="1"/>
  <c r="D358" i="1"/>
  <c r="J357" i="1"/>
  <c r="J349" i="1"/>
  <c r="G349" i="1"/>
  <c r="E349" i="1"/>
  <c r="D349" i="1"/>
  <c r="AH348" i="1"/>
  <c r="AG348" i="1"/>
  <c r="AF348" i="1"/>
  <c r="J348" i="1"/>
  <c r="G348" i="1"/>
  <c r="E348" i="1"/>
  <c r="D348" i="1"/>
  <c r="AH347" i="1"/>
  <c r="AG347" i="1"/>
  <c r="AF347" i="1"/>
  <c r="AH346" i="1"/>
  <c r="AG346" i="1"/>
  <c r="AF346" i="1"/>
  <c r="AH345" i="1"/>
  <c r="AG345" i="1"/>
  <c r="AF345" i="1"/>
  <c r="AH344" i="1"/>
  <c r="AG344" i="1"/>
  <c r="AF344" i="1"/>
  <c r="AH343" i="1"/>
  <c r="AG343" i="1"/>
  <c r="AF343" i="1"/>
  <c r="AH342" i="1"/>
  <c r="AG342" i="1"/>
  <c r="AF342" i="1"/>
  <c r="AH341" i="1"/>
  <c r="AG341" i="1"/>
  <c r="AF341" i="1"/>
  <c r="AH340" i="1"/>
  <c r="AG340" i="1"/>
  <c r="AF340" i="1"/>
  <c r="AH339" i="1"/>
  <c r="AG339" i="1"/>
  <c r="AF339" i="1"/>
  <c r="G339" i="1"/>
  <c r="E339" i="1"/>
  <c r="D339" i="1"/>
  <c r="AH338" i="1"/>
  <c r="AG338" i="1"/>
  <c r="AF338" i="1"/>
  <c r="G338" i="1"/>
  <c r="E338" i="1"/>
  <c r="D338" i="1"/>
  <c r="AH337" i="1"/>
  <c r="AG337" i="1"/>
  <c r="AF337" i="1"/>
  <c r="J337" i="1"/>
  <c r="AH336" i="1"/>
  <c r="AG336" i="1"/>
  <c r="AF336" i="1"/>
  <c r="AH335" i="1"/>
  <c r="AG335" i="1"/>
  <c r="AF335" i="1"/>
  <c r="AH334" i="1"/>
  <c r="AG334" i="1"/>
  <c r="AF334" i="1"/>
  <c r="AH333" i="1"/>
  <c r="AG333" i="1"/>
  <c r="AF333" i="1"/>
  <c r="AH332" i="1"/>
  <c r="AG332" i="1"/>
  <c r="AF332" i="1"/>
  <c r="AH331" i="1"/>
  <c r="AG331" i="1"/>
  <c r="AF331" i="1"/>
  <c r="AH330" i="1"/>
  <c r="AG330" i="1"/>
  <c r="AF330" i="1"/>
  <c r="AH329" i="1"/>
  <c r="AG329" i="1"/>
  <c r="AF329" i="1"/>
  <c r="G329" i="1"/>
  <c r="E329" i="1"/>
  <c r="D329" i="1"/>
  <c r="AH328" i="1"/>
  <c r="AG328" i="1"/>
  <c r="AF328" i="1"/>
  <c r="G328" i="1"/>
  <c r="E328" i="1"/>
  <c r="D328" i="1"/>
  <c r="AH327" i="1"/>
  <c r="AG327" i="1"/>
  <c r="AF327" i="1"/>
  <c r="J327" i="1"/>
  <c r="AH326" i="1"/>
  <c r="AG326" i="1"/>
  <c r="AF326" i="1"/>
  <c r="AH325" i="1"/>
  <c r="AG325" i="1"/>
  <c r="AF325" i="1"/>
  <c r="AH324" i="1"/>
  <c r="AG324" i="1"/>
  <c r="AF324" i="1"/>
  <c r="AH323" i="1"/>
  <c r="AG323" i="1"/>
  <c r="AF323" i="1"/>
  <c r="AH322" i="1"/>
  <c r="AG322" i="1"/>
  <c r="AF322" i="1"/>
  <c r="AH320" i="1"/>
  <c r="AG320" i="1"/>
  <c r="AF320" i="1"/>
  <c r="AH319" i="1"/>
  <c r="AG319" i="1"/>
  <c r="AF319" i="1"/>
  <c r="AH318" i="1"/>
  <c r="AG318" i="1"/>
  <c r="AF318" i="1"/>
  <c r="G318" i="1"/>
  <c r="D318" i="1"/>
  <c r="AH317" i="1"/>
  <c r="AG317" i="1"/>
  <c r="AF317" i="1"/>
  <c r="G317" i="1"/>
  <c r="D317" i="1"/>
  <c r="AH316" i="1"/>
  <c r="AG316" i="1"/>
  <c r="AF316" i="1"/>
  <c r="J316" i="1"/>
  <c r="AH315" i="1"/>
  <c r="AG315" i="1"/>
  <c r="AF315" i="1"/>
  <c r="AH314" i="1"/>
  <c r="AG314" i="1"/>
  <c r="AF314" i="1"/>
  <c r="AH313" i="1"/>
  <c r="AG313" i="1"/>
  <c r="AF313" i="1"/>
  <c r="AH312" i="1"/>
  <c r="AG312" i="1"/>
  <c r="AF312" i="1"/>
  <c r="AH310" i="1"/>
  <c r="AG310" i="1"/>
  <c r="AF310" i="1"/>
  <c r="AH309" i="1"/>
  <c r="AG309" i="1"/>
  <c r="AF309" i="1"/>
  <c r="AH308" i="1"/>
  <c r="AG308" i="1"/>
  <c r="AF308" i="1"/>
  <c r="G308" i="1"/>
  <c r="E308" i="1"/>
  <c r="D308" i="1"/>
  <c r="AH307" i="1"/>
  <c r="AG307" i="1"/>
  <c r="AF307" i="1"/>
  <c r="G307" i="1"/>
  <c r="E307" i="1"/>
  <c r="D307" i="1"/>
  <c r="AH306" i="1"/>
  <c r="AG306" i="1"/>
  <c r="AF306" i="1"/>
  <c r="J306" i="1"/>
  <c r="AH305" i="1"/>
  <c r="AG305" i="1"/>
  <c r="AF305" i="1"/>
  <c r="AH304" i="1"/>
  <c r="AG304" i="1"/>
  <c r="AF304" i="1"/>
  <c r="AH303" i="1"/>
  <c r="AG303" i="1"/>
  <c r="AF303" i="1"/>
  <c r="AH302" i="1"/>
  <c r="AG302" i="1"/>
  <c r="AF302" i="1"/>
  <c r="AH301" i="1"/>
  <c r="AG301" i="1"/>
  <c r="AF301" i="1"/>
  <c r="AH300" i="1"/>
  <c r="AG300" i="1"/>
  <c r="AF300" i="1"/>
  <c r="AH299" i="1"/>
  <c r="AG299" i="1"/>
  <c r="AF299" i="1"/>
  <c r="AH298" i="1"/>
  <c r="AG298" i="1"/>
  <c r="AF298" i="1"/>
  <c r="G298" i="1"/>
  <c r="E298" i="1"/>
  <c r="D298" i="1"/>
  <c r="AH297" i="1"/>
  <c r="AG297" i="1"/>
  <c r="AF297" i="1"/>
  <c r="G297" i="1"/>
  <c r="E297" i="1"/>
  <c r="D297" i="1"/>
  <c r="AH296" i="1"/>
  <c r="AG296" i="1"/>
  <c r="AF296" i="1"/>
  <c r="J296" i="1"/>
  <c r="AH295" i="1"/>
  <c r="AG295" i="1"/>
  <c r="AF295" i="1"/>
  <c r="AH294" i="1"/>
  <c r="AG294" i="1"/>
  <c r="AF294" i="1"/>
  <c r="AH293" i="1"/>
  <c r="AG293" i="1"/>
  <c r="AF293" i="1"/>
  <c r="AH292" i="1"/>
  <c r="AG292" i="1"/>
  <c r="AF292" i="1"/>
  <c r="AH291" i="1"/>
  <c r="AG291" i="1"/>
  <c r="AF291" i="1"/>
  <c r="AH290" i="1"/>
  <c r="AG290" i="1"/>
  <c r="AF290" i="1"/>
  <c r="G288" i="1"/>
  <c r="E288" i="1"/>
  <c r="D288" i="1"/>
  <c r="G287" i="1"/>
  <c r="E287" i="1"/>
  <c r="D287" i="1"/>
  <c r="J286" i="1"/>
  <c r="AH285" i="1"/>
  <c r="AG285" i="1"/>
  <c r="AF285" i="1"/>
  <c r="AH284" i="1"/>
  <c r="AG284" i="1"/>
  <c r="AF284" i="1"/>
  <c r="AH283" i="1"/>
  <c r="AG283" i="1"/>
  <c r="AF283" i="1"/>
  <c r="AH282" i="1"/>
  <c r="AG282" i="1"/>
  <c r="AF282" i="1"/>
  <c r="AH281" i="1"/>
  <c r="AG281" i="1"/>
  <c r="AF281" i="1"/>
  <c r="AH280" i="1"/>
  <c r="AG280" i="1"/>
  <c r="AF280" i="1"/>
  <c r="AH279" i="1"/>
  <c r="AG279" i="1"/>
  <c r="AF279" i="1"/>
  <c r="AH278" i="1"/>
  <c r="AG278" i="1"/>
  <c r="AF278" i="1"/>
  <c r="G278" i="1"/>
  <c r="E278" i="1"/>
  <c r="D278" i="1"/>
  <c r="AH277" i="1"/>
  <c r="AG277" i="1"/>
  <c r="AF277" i="1"/>
  <c r="G277" i="1"/>
  <c r="E277" i="1"/>
  <c r="D277" i="1"/>
  <c r="AH276" i="1"/>
  <c r="AG276" i="1"/>
  <c r="AF276" i="1"/>
  <c r="J276" i="1"/>
  <c r="AH275" i="1"/>
  <c r="AG275" i="1"/>
  <c r="AF275" i="1"/>
  <c r="AH274" i="1"/>
  <c r="AG274" i="1"/>
  <c r="AF274" i="1"/>
  <c r="AH273" i="1"/>
  <c r="AG273" i="1"/>
  <c r="AF273" i="1"/>
  <c r="AH272" i="1"/>
  <c r="AG272" i="1"/>
  <c r="AF272" i="1"/>
  <c r="AH271" i="1"/>
  <c r="AG271" i="1"/>
  <c r="AF271" i="1"/>
  <c r="AH270" i="1"/>
  <c r="AG270" i="1"/>
  <c r="AF270" i="1"/>
  <c r="AH269" i="1"/>
  <c r="AG269" i="1"/>
  <c r="AF269" i="1"/>
  <c r="AH268" i="1"/>
  <c r="AG268" i="1"/>
  <c r="AF268" i="1"/>
  <c r="AH267" i="1"/>
  <c r="AG267" i="1"/>
  <c r="AF267" i="1"/>
  <c r="G267" i="1"/>
  <c r="G268" i="1" s="1"/>
  <c r="E267" i="1"/>
  <c r="E268" i="1" s="1"/>
  <c r="D267" i="1"/>
  <c r="D268" i="1" s="1"/>
  <c r="AH266" i="1"/>
  <c r="AG266" i="1"/>
  <c r="AF266" i="1"/>
  <c r="J266" i="1"/>
  <c r="AH265" i="1"/>
  <c r="AG265" i="1"/>
  <c r="AF265" i="1"/>
  <c r="AH264" i="1"/>
  <c r="AG264" i="1"/>
  <c r="AF264" i="1"/>
  <c r="AH263" i="1"/>
  <c r="AG263" i="1"/>
  <c r="AF263" i="1"/>
  <c r="AH262" i="1"/>
  <c r="AG262" i="1"/>
  <c r="AF262" i="1"/>
  <c r="AH261" i="1"/>
  <c r="AG261" i="1"/>
  <c r="AF261" i="1"/>
  <c r="AH260" i="1"/>
  <c r="AG260" i="1"/>
  <c r="AF260" i="1"/>
  <c r="AV60" i="1"/>
  <c r="AW60" i="1" s="1"/>
  <c r="AX60" i="1" s="1"/>
  <c r="EA59" i="1"/>
  <c r="EA58" i="1"/>
  <c r="BT58" i="1"/>
  <c r="EA56" i="1"/>
  <c r="CM56" i="1"/>
  <c r="EA55" i="1"/>
  <c r="AV53" i="1"/>
  <c r="AW53" i="1" s="1"/>
  <c r="AX53" i="1" s="1"/>
  <c r="AI53" i="1"/>
  <c r="AJ53" i="1" s="1"/>
  <c r="CM52" i="1"/>
  <c r="AV51" i="1"/>
  <c r="AW51" i="1" s="1"/>
  <c r="AX51" i="1" s="1"/>
  <c r="EA50" i="1"/>
  <c r="AI50" i="1"/>
  <c r="AJ50" i="1" s="1"/>
  <c r="AK50" i="1" s="1"/>
  <c r="BM49" i="1"/>
  <c r="BM48" i="1"/>
  <c r="F48" i="1"/>
  <c r="AV47" i="1"/>
  <c r="AW47" i="1" s="1"/>
  <c r="AI47" i="1"/>
  <c r="AJ47" i="1" s="1"/>
  <c r="AK47" i="1" s="1"/>
  <c r="G46" i="1"/>
  <c r="F45" i="1"/>
  <c r="DT44" i="1"/>
  <c r="AI44" i="1"/>
  <c r="AJ44" i="1" s="1"/>
  <c r="DT43" i="1"/>
  <c r="AI43" i="1"/>
  <c r="AJ43" i="1" s="1"/>
  <c r="DU41" i="1"/>
  <c r="EA40" i="1"/>
  <c r="DS40" i="1"/>
  <c r="DU39" i="1"/>
  <c r="AV39" i="1"/>
  <c r="AW39" i="1" s="1"/>
  <c r="DT38" i="1"/>
  <c r="AV38" i="1"/>
  <c r="AW38" i="1" s="1"/>
  <c r="AI38" i="1"/>
  <c r="AJ38" i="1" s="1"/>
  <c r="EA37" i="1"/>
  <c r="DU37" i="1"/>
  <c r="DS37" i="1"/>
  <c r="DU36" i="1"/>
  <c r="AI36" i="1"/>
  <c r="AJ36" i="1" s="1"/>
  <c r="DV35" i="1"/>
  <c r="DS35" i="1"/>
  <c r="BM35" i="1"/>
  <c r="AV35" i="1"/>
  <c r="AW35" i="1" s="1"/>
  <c r="O35" i="1"/>
  <c r="K35" i="1"/>
  <c r="H35" i="1"/>
  <c r="G35" i="1"/>
  <c r="DV34" i="1"/>
  <c r="DS34" i="1"/>
  <c r="AV34" i="1"/>
  <c r="AW34" i="1" s="1"/>
  <c r="O34" i="1"/>
  <c r="K34" i="1"/>
  <c r="H34" i="1"/>
  <c r="E34" i="1"/>
  <c r="DT33" i="1"/>
  <c r="AV33" i="1"/>
  <c r="AW33" i="1" s="1"/>
  <c r="AX33" i="1" s="1"/>
  <c r="DU32" i="1"/>
  <c r="DS32" i="1"/>
  <c r="CM32" i="1"/>
  <c r="DU31" i="1"/>
  <c r="DS31" i="1"/>
  <c r="BM31" i="1"/>
  <c r="AI31" i="1"/>
  <c r="AJ31" i="1" s="1"/>
  <c r="BT29" i="1"/>
  <c r="BT28" i="1"/>
  <c r="EH27" i="1"/>
  <c r="AV27" i="1"/>
  <c r="AW27" i="1" s="1"/>
  <c r="EH26" i="1"/>
  <c r="AV26" i="1"/>
  <c r="AW26" i="1" s="1"/>
  <c r="EH25" i="1"/>
  <c r="M25" i="1"/>
  <c r="I25" i="1"/>
  <c r="AV24" i="1"/>
  <c r="AW24" i="1" s="1"/>
  <c r="J24" i="1"/>
  <c r="G24" i="1"/>
  <c r="EB22" i="1"/>
  <c r="AV22" i="1"/>
  <c r="AW22" i="1" s="1"/>
  <c r="BM20" i="1"/>
  <c r="DS19" i="1"/>
  <c r="BM19" i="1"/>
  <c r="AV19" i="1"/>
  <c r="AW19" i="1" s="1"/>
  <c r="AI19" i="1"/>
  <c r="AJ19" i="1" s="1"/>
  <c r="AK19" i="1" s="1"/>
  <c r="DV18" i="1"/>
  <c r="DU16" i="1"/>
  <c r="AV16" i="1"/>
  <c r="AW16" i="1" s="1"/>
  <c r="AX16" i="1" s="1"/>
  <c r="EB15" i="1"/>
  <c r="DS15" i="1"/>
  <c r="AV15" i="1"/>
  <c r="AW15" i="1" s="1"/>
  <c r="AX15" i="1" s="1"/>
  <c r="BI14" i="1"/>
  <c r="DU11" i="1"/>
  <c r="AI11" i="1"/>
  <c r="AJ11" i="1" s="1"/>
  <c r="AK11" i="1" s="1"/>
  <c r="EH10" i="1"/>
  <c r="EE10" i="1"/>
  <c r="DS10" i="1"/>
  <c r="EB9" i="1"/>
  <c r="DV9" i="1"/>
  <c r="DS9" i="1"/>
  <c r="BT9" i="1"/>
  <c r="BM9" i="1"/>
  <c r="BI9" i="1"/>
  <c r="AV9" i="1"/>
  <c r="AW9" i="1" s="1"/>
  <c r="AX9" i="1" s="1"/>
  <c r="P9" i="1"/>
  <c r="J9" i="1"/>
  <c r="G9" i="1"/>
  <c r="DU8" i="1"/>
  <c r="EB7" i="1"/>
  <c r="DV7" i="1"/>
  <c r="DU7" i="1"/>
  <c r="DS7" i="1"/>
  <c r="CA6" i="1"/>
  <c r="AV6" i="1"/>
  <c r="AW6" i="1" s="1"/>
  <c r="AV5" i="1"/>
  <c r="AW5" i="1" s="1"/>
  <c r="AX5" i="1" s="1"/>
  <c r="AH5" i="1"/>
  <c r="AG5" i="1"/>
  <c r="K25" i="1"/>
  <c r="F25" i="1"/>
  <c r="Q24" i="1"/>
  <c r="L24" i="1"/>
  <c r="F24" i="1"/>
  <c r="EH22" i="1"/>
  <c r="EH21" i="1"/>
  <c r="EB21" i="1"/>
  <c r="AV20" i="1"/>
  <c r="AW20" i="1" s="1"/>
  <c r="AX20" i="1" s="1"/>
  <c r="DT19" i="1"/>
  <c r="DV17" i="1"/>
  <c r="DT16" i="1"/>
  <c r="CM16" i="1"/>
  <c r="DU15" i="1"/>
  <c r="DV14" i="1"/>
  <c r="DS14" i="1"/>
  <c r="EH13" i="1"/>
  <c r="EE13" i="1"/>
  <c r="DU13" i="1"/>
  <c r="CM12" i="1"/>
  <c r="DT11" i="1"/>
  <c r="EB10" i="1"/>
  <c r="DU10" i="1"/>
  <c r="BI10" i="1"/>
  <c r="AH259" i="1"/>
  <c r="AG259" i="1"/>
  <c r="AF259" i="1"/>
  <c r="AH258" i="1"/>
  <c r="AG258" i="1"/>
  <c r="AF258" i="1"/>
  <c r="G258" i="1"/>
  <c r="E258" i="1"/>
  <c r="D258" i="1"/>
  <c r="AH257" i="1"/>
  <c r="AG257" i="1"/>
  <c r="AF257" i="1"/>
  <c r="G257" i="1"/>
  <c r="E257" i="1"/>
  <c r="D257" i="1"/>
  <c r="AH256" i="1"/>
  <c r="AG256" i="1"/>
  <c r="AF256" i="1"/>
  <c r="AH255" i="1"/>
  <c r="AG255" i="1"/>
  <c r="AF255" i="1"/>
  <c r="AH254" i="1"/>
  <c r="AG254" i="1"/>
  <c r="AF254" i="1"/>
  <c r="AH253" i="1"/>
  <c r="AG253" i="1"/>
  <c r="AF253" i="1"/>
  <c r="AH252" i="1"/>
  <c r="AG252" i="1"/>
  <c r="AF252" i="1"/>
  <c r="AH251" i="1"/>
  <c r="AG251" i="1"/>
  <c r="AF251" i="1"/>
  <c r="AH250" i="1"/>
  <c r="AG250" i="1"/>
  <c r="AF250" i="1"/>
  <c r="AH249" i="1"/>
  <c r="AG249" i="1"/>
  <c r="AF249" i="1"/>
  <c r="AH248" i="1"/>
  <c r="AG248" i="1"/>
  <c r="AF248" i="1"/>
  <c r="G248" i="1"/>
  <c r="E248" i="1"/>
  <c r="D248" i="1"/>
  <c r="AH247" i="1"/>
  <c r="AG247" i="1"/>
  <c r="AF247" i="1"/>
  <c r="G247" i="1"/>
  <c r="E247" i="1"/>
  <c r="D247" i="1"/>
  <c r="AH246" i="1"/>
  <c r="AG246" i="1"/>
  <c r="AF246" i="1"/>
  <c r="AH245" i="1"/>
  <c r="AG245" i="1"/>
  <c r="AF245" i="1"/>
  <c r="AH244" i="1"/>
  <c r="AG244" i="1"/>
  <c r="AF244" i="1"/>
  <c r="AH243" i="1"/>
  <c r="AG243" i="1"/>
  <c r="AF243" i="1"/>
  <c r="AH242" i="1"/>
  <c r="AG242" i="1"/>
  <c r="AF242" i="1"/>
  <c r="AH241" i="1"/>
  <c r="AG241" i="1"/>
  <c r="AF241" i="1"/>
  <c r="AH240" i="1"/>
  <c r="AG240" i="1"/>
  <c r="AF240" i="1"/>
  <c r="AH239" i="1"/>
  <c r="AG239" i="1"/>
  <c r="AF239" i="1"/>
  <c r="AH238" i="1"/>
  <c r="AG238" i="1"/>
  <c r="AF238" i="1"/>
  <c r="AH237" i="1"/>
  <c r="AG237" i="1"/>
  <c r="AF237" i="1"/>
  <c r="E236" i="1"/>
  <c r="AH233" i="1"/>
  <c r="AG233" i="1"/>
  <c r="AF233" i="1"/>
  <c r="AH232" i="1"/>
  <c r="AG232" i="1"/>
  <c r="AF232" i="1"/>
  <c r="AH231" i="1"/>
  <c r="AG231" i="1"/>
  <c r="AF231" i="1"/>
  <c r="AH230" i="1"/>
  <c r="AG230" i="1"/>
  <c r="AF230" i="1"/>
  <c r="AH229" i="1"/>
  <c r="AG229" i="1"/>
  <c r="AF229" i="1"/>
  <c r="E226" i="1"/>
  <c r="AH225" i="1"/>
  <c r="AG225" i="1"/>
  <c r="AF225" i="1"/>
  <c r="AH224" i="1"/>
  <c r="AG224" i="1"/>
  <c r="AF224" i="1"/>
  <c r="AH223" i="1"/>
  <c r="AG223" i="1"/>
  <c r="AF223" i="1"/>
  <c r="AH222" i="1"/>
  <c r="AG222" i="1"/>
  <c r="AF222" i="1"/>
  <c r="AH221" i="1"/>
  <c r="AG221" i="1"/>
  <c r="AF221" i="1"/>
  <c r="AH217" i="1"/>
  <c r="AG217" i="1"/>
  <c r="AF217" i="1"/>
  <c r="AH216" i="1"/>
  <c r="AG216" i="1"/>
  <c r="AF216" i="1"/>
  <c r="AH215" i="1"/>
  <c r="AG215" i="1"/>
  <c r="AF215" i="1"/>
  <c r="E215" i="1"/>
  <c r="AH214" i="1"/>
  <c r="AG214" i="1"/>
  <c r="AF214" i="1"/>
  <c r="AH213" i="1"/>
  <c r="AG213" i="1"/>
  <c r="AF213" i="1"/>
  <c r="AH212" i="1"/>
  <c r="AG212" i="1"/>
  <c r="AF212" i="1"/>
  <c r="AH211" i="1"/>
  <c r="AG211" i="1"/>
  <c r="AF211" i="1"/>
  <c r="AH210" i="1"/>
  <c r="AG210" i="1"/>
  <c r="AF210" i="1"/>
  <c r="AH209" i="1"/>
  <c r="AG209" i="1"/>
  <c r="AF209" i="1"/>
  <c r="AH208" i="1"/>
  <c r="AG208" i="1"/>
  <c r="AF208" i="1"/>
  <c r="AH207" i="1"/>
  <c r="AG207" i="1"/>
  <c r="AF207" i="1"/>
  <c r="AH206" i="1"/>
  <c r="AG206" i="1"/>
  <c r="AF206" i="1"/>
  <c r="E206" i="1"/>
  <c r="AH205" i="1"/>
  <c r="AG205" i="1"/>
  <c r="AF205" i="1"/>
  <c r="AH204" i="1"/>
  <c r="AG204" i="1"/>
  <c r="AF204" i="1"/>
  <c r="AH203" i="1"/>
  <c r="AG203" i="1"/>
  <c r="AF203" i="1"/>
  <c r="AH202" i="1"/>
  <c r="AG202" i="1"/>
  <c r="AF202" i="1"/>
  <c r="AH201" i="1"/>
  <c r="AG201" i="1"/>
  <c r="AF201" i="1"/>
  <c r="AH200" i="1"/>
  <c r="AG200" i="1"/>
  <c r="AF200" i="1"/>
  <c r="AH199" i="1"/>
  <c r="AG199" i="1"/>
  <c r="AF199" i="1"/>
  <c r="AH198" i="1"/>
  <c r="AG198" i="1"/>
  <c r="AF198" i="1"/>
  <c r="AH197" i="1"/>
  <c r="AG197" i="1"/>
  <c r="AF197" i="1"/>
  <c r="AH196" i="1"/>
  <c r="AG196" i="1"/>
  <c r="AF196" i="1"/>
  <c r="E196" i="1"/>
  <c r="AH195" i="1"/>
  <c r="AG195" i="1"/>
  <c r="AF195" i="1"/>
  <c r="AH194" i="1"/>
  <c r="AG194" i="1"/>
  <c r="AF194" i="1"/>
  <c r="AH193" i="1"/>
  <c r="AG193" i="1"/>
  <c r="AF193" i="1"/>
  <c r="AH192" i="1"/>
  <c r="AG192" i="1"/>
  <c r="AF192" i="1"/>
  <c r="AH191" i="1"/>
  <c r="AG191" i="1"/>
  <c r="AF191" i="1"/>
  <c r="AH190" i="1"/>
  <c r="AG190" i="1"/>
  <c r="AF190" i="1"/>
  <c r="AH189" i="1"/>
  <c r="AG189" i="1"/>
  <c r="AF189" i="1"/>
  <c r="AH188" i="1"/>
  <c r="AG188" i="1"/>
  <c r="AF188" i="1"/>
  <c r="AH187" i="1"/>
  <c r="AG187" i="1"/>
  <c r="AF187" i="1"/>
  <c r="AH186" i="1"/>
  <c r="AG186" i="1"/>
  <c r="AF186" i="1"/>
  <c r="E186" i="1"/>
  <c r="AH185" i="1"/>
  <c r="AG185" i="1"/>
  <c r="AF185" i="1"/>
  <c r="AH184" i="1"/>
  <c r="AG184" i="1"/>
  <c r="AF184" i="1"/>
  <c r="AH183" i="1"/>
  <c r="AG183" i="1"/>
  <c r="AF183" i="1"/>
  <c r="AH182" i="1"/>
  <c r="AG182" i="1"/>
  <c r="AF182" i="1"/>
  <c r="AH181" i="1"/>
  <c r="AG181" i="1"/>
  <c r="AF181" i="1"/>
  <c r="AH180" i="1"/>
  <c r="AG180" i="1"/>
  <c r="AF180" i="1"/>
  <c r="AH179" i="1"/>
  <c r="AG179" i="1"/>
  <c r="AF179" i="1"/>
  <c r="AH178" i="1"/>
  <c r="AG178" i="1"/>
  <c r="AF178" i="1"/>
  <c r="D178" i="1"/>
  <c r="AH177" i="1"/>
  <c r="AG177" i="1"/>
  <c r="AF177" i="1"/>
  <c r="D177" i="1"/>
  <c r="AH173" i="1"/>
  <c r="AG173" i="1"/>
  <c r="AF173" i="1"/>
  <c r="AH172" i="1"/>
  <c r="AG172" i="1"/>
  <c r="AF172" i="1"/>
  <c r="AH171" i="1"/>
  <c r="AG171" i="1"/>
  <c r="AF171" i="1"/>
  <c r="AH170" i="1"/>
  <c r="AG170" i="1"/>
  <c r="AF170" i="1"/>
  <c r="AH169" i="1"/>
  <c r="AG169" i="1"/>
  <c r="AF169" i="1"/>
  <c r="AH168" i="1"/>
  <c r="AG168" i="1"/>
  <c r="AF168" i="1"/>
  <c r="AH167" i="1"/>
  <c r="AG167" i="1"/>
  <c r="AF167" i="1"/>
  <c r="AH166" i="1"/>
  <c r="AG166" i="1"/>
  <c r="AF166" i="1"/>
  <c r="D166" i="1"/>
  <c r="AH165" i="1"/>
  <c r="AG165" i="1"/>
  <c r="AF165" i="1"/>
  <c r="AH164" i="1"/>
  <c r="AG164" i="1"/>
  <c r="AF164" i="1"/>
  <c r="AH163" i="1"/>
  <c r="AG163" i="1"/>
  <c r="AF163" i="1"/>
  <c r="AH162" i="1"/>
  <c r="AG162" i="1"/>
  <c r="AF162" i="1"/>
  <c r="AH158" i="1"/>
  <c r="AG158" i="1"/>
  <c r="AF158" i="1"/>
  <c r="D158" i="1"/>
  <c r="AH157" i="1"/>
  <c r="AG157" i="1"/>
  <c r="AF157" i="1"/>
  <c r="D157" i="1"/>
  <c r="AH156" i="1"/>
  <c r="AG156" i="1"/>
  <c r="AF156" i="1"/>
  <c r="AV155" i="1"/>
  <c r="AW155" i="1" s="1"/>
  <c r="AX155" i="1" s="1"/>
  <c r="AH155" i="1"/>
  <c r="AG155" i="1"/>
  <c r="AF155" i="1"/>
  <c r="AV154" i="1"/>
  <c r="AW154" i="1" s="1"/>
  <c r="AX154" i="1" s="1"/>
  <c r="AH154" i="1"/>
  <c r="AG154" i="1"/>
  <c r="AF154" i="1"/>
  <c r="AV153" i="1"/>
  <c r="AW153" i="1" s="1"/>
  <c r="AX153" i="1" s="1"/>
  <c r="AH153" i="1"/>
  <c r="AG153" i="1"/>
  <c r="AF153" i="1"/>
  <c r="AV152" i="1"/>
  <c r="AW152" i="1" s="1"/>
  <c r="AX152" i="1" s="1"/>
  <c r="AH152" i="1"/>
  <c r="AG152" i="1"/>
  <c r="AF152" i="1"/>
  <c r="AV151" i="1"/>
  <c r="AW151" i="1" s="1"/>
  <c r="AX151" i="1" s="1"/>
  <c r="AH151" i="1"/>
  <c r="AG151" i="1"/>
  <c r="AF151" i="1"/>
  <c r="AV150" i="1"/>
  <c r="AW150" i="1" s="1"/>
  <c r="AX150" i="1" s="1"/>
  <c r="AH150" i="1"/>
  <c r="AG150" i="1"/>
  <c r="AF150" i="1"/>
  <c r="AV149" i="1"/>
  <c r="AW149" i="1" s="1"/>
  <c r="AX149" i="1" s="1"/>
  <c r="AH149" i="1"/>
  <c r="AG149" i="1"/>
  <c r="AF149" i="1"/>
  <c r="AV148" i="1"/>
  <c r="AW148" i="1" s="1"/>
  <c r="AX148" i="1" s="1"/>
  <c r="AH148" i="1"/>
  <c r="AG148" i="1"/>
  <c r="AF148" i="1"/>
  <c r="D148" i="1"/>
  <c r="DQ147" i="1"/>
  <c r="AV147" i="1"/>
  <c r="AW147" i="1" s="1"/>
  <c r="AX147" i="1" s="1"/>
  <c r="AH147" i="1"/>
  <c r="AG147" i="1"/>
  <c r="AF147" i="1"/>
  <c r="D147" i="1"/>
  <c r="DG146" i="1"/>
  <c r="AV146" i="1"/>
  <c r="AW146" i="1" s="1"/>
  <c r="AX146" i="1" s="1"/>
  <c r="AH146" i="1"/>
  <c r="AG146" i="1"/>
  <c r="AF146" i="1"/>
  <c r="DG145" i="1"/>
  <c r="AV145" i="1"/>
  <c r="AW145" i="1" s="1"/>
  <c r="AX145" i="1" s="1"/>
  <c r="DG144" i="1"/>
  <c r="AV144" i="1"/>
  <c r="AW144" i="1" s="1"/>
  <c r="AX144" i="1" s="1"/>
  <c r="DG143" i="1"/>
  <c r="AV143" i="1"/>
  <c r="AW143" i="1" s="1"/>
  <c r="AX143" i="1" s="1"/>
  <c r="DG142" i="1"/>
  <c r="AV142" i="1"/>
  <c r="AW142" i="1" s="1"/>
  <c r="AX142" i="1" s="1"/>
  <c r="AH142" i="1"/>
  <c r="AG142" i="1"/>
  <c r="AF142" i="1"/>
  <c r="DG141" i="1"/>
  <c r="AH141" i="1"/>
  <c r="AG141" i="1"/>
  <c r="AF141" i="1"/>
  <c r="DG140" i="1"/>
  <c r="AV140" i="1"/>
  <c r="AW140" i="1" s="1"/>
  <c r="AX140" i="1" s="1"/>
  <c r="AI140" i="1"/>
  <c r="DG139" i="1"/>
  <c r="AV139" i="1"/>
  <c r="AW139" i="1" s="1"/>
  <c r="AX139" i="1" s="1"/>
  <c r="AI139" i="1"/>
  <c r="DG138" i="1"/>
  <c r="AV138" i="1"/>
  <c r="AW138" i="1" s="1"/>
  <c r="AX138" i="1" s="1"/>
  <c r="AI138" i="1"/>
  <c r="DG137" i="1"/>
  <c r="AV137" i="1"/>
  <c r="AW137" i="1" s="1"/>
  <c r="AX137" i="1" s="1"/>
  <c r="AI137" i="1"/>
  <c r="DG136" i="1"/>
  <c r="AV136" i="1"/>
  <c r="AW136" i="1" s="1"/>
  <c r="AX136" i="1" s="1"/>
  <c r="AI136" i="1"/>
  <c r="DG135" i="1"/>
  <c r="AV135" i="1"/>
  <c r="AW135" i="1" s="1"/>
  <c r="AX135" i="1" s="1"/>
  <c r="AI135" i="1"/>
  <c r="DG134" i="1"/>
  <c r="AV134" i="1"/>
  <c r="AW134" i="1" s="1"/>
  <c r="AX134" i="1" s="1"/>
  <c r="DG133" i="1"/>
  <c r="BD133" i="1"/>
  <c r="BD134" i="1" s="1"/>
  <c r="BD135" i="1" s="1"/>
  <c r="BD136" i="1" s="1"/>
  <c r="BD137" i="1" s="1"/>
  <c r="BD138" i="1" s="1"/>
  <c r="BD139" i="1" s="1"/>
  <c r="BD140" i="1" s="1"/>
  <c r="BC133" i="1"/>
  <c r="BC134" i="1" s="1"/>
  <c r="BC135" i="1" s="1"/>
  <c r="BC136" i="1" s="1"/>
  <c r="BC137" i="1" s="1"/>
  <c r="BC138" i="1" s="1"/>
  <c r="BC139" i="1" s="1"/>
  <c r="BC140" i="1" s="1"/>
  <c r="AV133" i="1"/>
  <c r="AW133" i="1" s="1"/>
  <c r="AX133" i="1" s="1"/>
  <c r="D133" i="1"/>
  <c r="DG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AV132" i="1"/>
  <c r="AW132" i="1" s="1"/>
  <c r="AX132" i="1" s="1"/>
  <c r="D132" i="1"/>
  <c r="DG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AV131" i="1"/>
  <c r="AW131" i="1" s="1"/>
  <c r="AX131" i="1" s="1"/>
  <c r="H131" i="1"/>
  <c r="DG130" i="1"/>
  <c r="AV130" i="1"/>
  <c r="AW130" i="1" s="1"/>
  <c r="AX130" i="1" s="1"/>
  <c r="AH130" i="1"/>
  <c r="AG130" i="1"/>
  <c r="DG129" i="1"/>
  <c r="AV129" i="1"/>
  <c r="AW129" i="1" s="1"/>
  <c r="AX129" i="1" s="1"/>
  <c r="AH129" i="1"/>
  <c r="AG129" i="1"/>
  <c r="DG128" i="1"/>
  <c r="AH128" i="1"/>
  <c r="AG128" i="1"/>
  <c r="DG127" i="1"/>
  <c r="AH127" i="1"/>
  <c r="AF127" i="1"/>
  <c r="DG126" i="1"/>
  <c r="AV125" i="1"/>
  <c r="AW125" i="1" s="1"/>
  <c r="AX125" i="1" s="1"/>
  <c r="AH125" i="1"/>
  <c r="AF125" i="1"/>
  <c r="AV124" i="1"/>
  <c r="AW124" i="1" s="1"/>
  <c r="AX124" i="1" s="1"/>
  <c r="AG124" i="1"/>
  <c r="AH123" i="1"/>
  <c r="AF123" i="1"/>
  <c r="DG122" i="1"/>
  <c r="AV122" i="1"/>
  <c r="AW122" i="1" s="1"/>
  <c r="AX122" i="1" s="1"/>
  <c r="AH122" i="1"/>
  <c r="AF122" i="1"/>
  <c r="AV121" i="1"/>
  <c r="AW121" i="1" s="1"/>
  <c r="AX121" i="1" s="1"/>
  <c r="AF121" i="1"/>
  <c r="AH120" i="1"/>
  <c r="AG120" i="1"/>
  <c r="AF120" i="1"/>
  <c r="DG119" i="1"/>
  <c r="AV119" i="1"/>
  <c r="AW119" i="1" s="1"/>
  <c r="AH119" i="1"/>
  <c r="AG119" i="1"/>
  <c r="X119" i="1"/>
  <c r="W119" i="1"/>
  <c r="V119" i="1"/>
  <c r="U119" i="1"/>
  <c r="T119" i="1"/>
  <c r="S119" i="1"/>
  <c r="R119" i="1"/>
  <c r="O119" i="1"/>
  <c r="L119" i="1"/>
  <c r="J119" i="1"/>
  <c r="G119" i="1"/>
  <c r="DG118" i="1"/>
  <c r="AV118" i="1"/>
  <c r="AW118" i="1" s="1"/>
  <c r="AX118" i="1" s="1"/>
  <c r="AF118" i="1"/>
  <c r="X118" i="1"/>
  <c r="W118" i="1"/>
  <c r="V118" i="1"/>
  <c r="T118" i="1"/>
  <c r="R118" i="1"/>
  <c r="P118" i="1"/>
  <c r="O118" i="1"/>
  <c r="N118" i="1"/>
  <c r="M118" i="1"/>
  <c r="L118" i="1"/>
  <c r="K118" i="1"/>
  <c r="J118" i="1"/>
  <c r="I118" i="1"/>
  <c r="H118" i="1"/>
  <c r="G118" i="1"/>
  <c r="E118" i="1"/>
  <c r="DG117" i="1"/>
  <c r="AG117" i="1"/>
  <c r="S117" i="1"/>
  <c r="Q117" i="1"/>
  <c r="N117" i="1"/>
  <c r="K117" i="1"/>
  <c r="I117" i="1"/>
  <c r="E117" i="1"/>
  <c r="DG116" i="1"/>
  <c r="AG116" i="1"/>
  <c r="AV115" i="1"/>
  <c r="AW115" i="1" s="1"/>
  <c r="AX115" i="1" s="1"/>
  <c r="AH115" i="1"/>
  <c r="AG115" i="1"/>
  <c r="AV114" i="1"/>
  <c r="AW114" i="1" s="1"/>
  <c r="AX114" i="1" s="1"/>
  <c r="AF114" i="1"/>
  <c r="BM113" i="1"/>
  <c r="AF113" i="1"/>
  <c r="DG112" i="1"/>
  <c r="AG112" i="1"/>
  <c r="DG111" i="1"/>
  <c r="BM111" i="1"/>
  <c r="AF111" i="1"/>
  <c r="BM110" i="1"/>
  <c r="AV110" i="1"/>
  <c r="AW110" i="1" s="1"/>
  <c r="AX110" i="1" s="1"/>
  <c r="AH110" i="1"/>
  <c r="AF110" i="1"/>
  <c r="X110" i="1"/>
  <c r="W110" i="1"/>
  <c r="V110" i="1"/>
  <c r="K110" i="1"/>
  <c r="J110" i="1"/>
  <c r="I110" i="1"/>
  <c r="H110" i="1"/>
  <c r="G110" i="1"/>
  <c r="E110" i="1"/>
  <c r="BM109" i="1"/>
  <c r="AH109" i="1"/>
  <c r="AG109" i="1"/>
  <c r="V109" i="1"/>
  <c r="S109" i="1"/>
  <c r="Q109" i="1"/>
  <c r="O109" i="1"/>
  <c r="L109" i="1"/>
  <c r="J109" i="1"/>
  <c r="G109" i="1"/>
  <c r="AH108" i="1"/>
  <c r="AF108" i="1"/>
  <c r="X108" i="1"/>
  <c r="W108" i="1"/>
  <c r="V108" i="1"/>
  <c r="T108" i="1"/>
  <c r="R108" i="1"/>
  <c r="P108" i="1"/>
  <c r="N108" i="1"/>
  <c r="M108" i="1"/>
  <c r="K108" i="1"/>
  <c r="I108" i="1"/>
  <c r="G108" i="1"/>
  <c r="E108" i="1"/>
  <c r="DG107" i="1"/>
  <c r="AG107" i="1"/>
  <c r="DG106" i="1"/>
  <c r="AH106" i="1"/>
  <c r="AF106" i="1"/>
  <c r="DG105" i="1"/>
  <c r="AH105" i="1"/>
  <c r="AF105" i="1"/>
  <c r="AH104" i="1"/>
  <c r="AV103" i="1"/>
  <c r="AW103" i="1" s="1"/>
  <c r="AX103" i="1" s="1"/>
  <c r="AG103" i="1"/>
  <c r="AF103" i="1"/>
  <c r="DG102" i="1"/>
  <c r="AH102" i="1"/>
  <c r="AF101" i="1"/>
  <c r="X101" i="1"/>
  <c r="W101" i="1"/>
  <c r="V101" i="1"/>
  <c r="U101" i="1"/>
  <c r="T101" i="1"/>
  <c r="Q101" i="1"/>
  <c r="N101" i="1"/>
  <c r="L101" i="1"/>
  <c r="J101" i="1"/>
  <c r="G101" i="1"/>
  <c r="F101" i="1"/>
  <c r="E101" i="1"/>
  <c r="BM100" i="1"/>
  <c r="AF100" i="1"/>
  <c r="X100" i="1"/>
  <c r="W100" i="1"/>
  <c r="U100" i="1"/>
  <c r="S100" i="1"/>
  <c r="Q100" i="1"/>
  <c r="N100" i="1"/>
  <c r="L100" i="1"/>
  <c r="J100" i="1"/>
  <c r="H100" i="1"/>
  <c r="F100" i="1"/>
  <c r="E100" i="1"/>
  <c r="AF99" i="1"/>
  <c r="X99" i="1"/>
  <c r="W99" i="1"/>
  <c r="V99" i="1"/>
  <c r="T99" i="1"/>
  <c r="R99" i="1"/>
  <c r="P99" i="1"/>
  <c r="N99" i="1"/>
  <c r="M99" i="1"/>
  <c r="K99" i="1"/>
  <c r="I99" i="1"/>
  <c r="G99" i="1"/>
  <c r="E99" i="1"/>
  <c r="DG98" i="1"/>
  <c r="BM98" i="1"/>
  <c r="AH98" i="1"/>
  <c r="AF98" i="1"/>
  <c r="DG97" i="1"/>
  <c r="AH97" i="1"/>
  <c r="AG97" i="1"/>
  <c r="AF97" i="1"/>
  <c r="BM96" i="1"/>
  <c r="BO96" i="1" s="1"/>
  <c r="AH96" i="1"/>
  <c r="AG96" i="1"/>
  <c r="CG92" i="1"/>
  <c r="CG93" i="1" s="1"/>
  <c r="AV92" i="1"/>
  <c r="AW92" i="1" s="1"/>
  <c r="AX92" i="1" s="1"/>
  <c r="X92" i="1"/>
  <c r="W92" i="1"/>
  <c r="X91" i="1"/>
  <c r="V91" i="1"/>
  <c r="T91" i="1"/>
  <c r="R91" i="1"/>
  <c r="P91" i="1"/>
  <c r="M91" i="1"/>
  <c r="K91" i="1"/>
  <c r="I91" i="1"/>
  <c r="F91" i="1"/>
  <c r="DG90" i="1"/>
  <c r="U90" i="1"/>
  <c r="S90" i="1"/>
  <c r="Q90" i="1"/>
  <c r="O90" i="1"/>
  <c r="M90" i="1"/>
  <c r="K90" i="1"/>
  <c r="H90" i="1"/>
  <c r="E90" i="1"/>
  <c r="DG89" i="1"/>
  <c r="AV89" i="1"/>
  <c r="AW89" i="1" s="1"/>
  <c r="AX89" i="1" s="1"/>
  <c r="AI89" i="1"/>
  <c r="AJ89" i="1" s="1"/>
  <c r="AK89" i="1" s="1"/>
  <c r="AI88" i="1"/>
  <c r="AJ88" i="1" s="1"/>
  <c r="AK88" i="1" s="1"/>
  <c r="AI87" i="1"/>
  <c r="AJ87" i="1" s="1"/>
  <c r="AK87" i="1" s="1"/>
  <c r="DG86" i="1"/>
  <c r="BM86" i="1"/>
  <c r="AI86" i="1"/>
  <c r="AJ86" i="1" s="1"/>
  <c r="AK86" i="1" s="1"/>
  <c r="BM85" i="1"/>
  <c r="AI85" i="1"/>
  <c r="AJ85" i="1" s="1"/>
  <c r="AK85" i="1" s="1"/>
  <c r="DG84" i="1"/>
  <c r="BM84" i="1"/>
  <c r="BF84" i="1"/>
  <c r="AI84" i="1"/>
  <c r="AJ84" i="1" s="1"/>
  <c r="AK84" i="1" s="1"/>
  <c r="AV83" i="1"/>
  <c r="AW83" i="1" s="1"/>
  <c r="AX83" i="1" s="1"/>
  <c r="AI83" i="1"/>
  <c r="AJ83" i="1" s="1"/>
  <c r="AK83" i="1" s="1"/>
  <c r="X83" i="1"/>
  <c r="V83" i="1"/>
  <c r="U83" i="1"/>
  <c r="T83" i="1"/>
  <c r="S83" i="1"/>
  <c r="R83" i="1"/>
  <c r="Q83" i="1"/>
  <c r="O83" i="1"/>
  <c r="M83" i="1"/>
  <c r="K83" i="1"/>
  <c r="I83" i="1"/>
  <c r="G83" i="1"/>
  <c r="W82" i="1"/>
  <c r="U82" i="1"/>
  <c r="T82" i="1"/>
  <c r="R82" i="1"/>
  <c r="P82" i="1"/>
  <c r="K82" i="1"/>
  <c r="I82" i="1"/>
  <c r="F82" i="1"/>
  <c r="E82" i="1"/>
  <c r="DG81" i="1"/>
  <c r="AV81" i="1"/>
  <c r="AW81" i="1" s="1"/>
  <c r="X81" i="1"/>
  <c r="W81" i="1"/>
  <c r="U81" i="1"/>
  <c r="S81" i="1"/>
  <c r="P81" i="1"/>
  <c r="M81" i="1"/>
  <c r="L81" i="1"/>
  <c r="I81" i="1"/>
  <c r="G81" i="1"/>
  <c r="F81" i="1"/>
  <c r="CG80" i="1"/>
  <c r="CG81" i="1" s="1"/>
  <c r="CG82" i="1" s="1"/>
  <c r="CG83" i="1" s="1"/>
  <c r="AI80" i="1"/>
  <c r="AJ80" i="1" s="1"/>
  <c r="AI79" i="1"/>
  <c r="AJ79" i="1" s="1"/>
  <c r="AK79" i="1" s="1"/>
  <c r="DG78" i="1"/>
  <c r="AI78" i="1"/>
  <c r="AJ78" i="1" s="1"/>
  <c r="AK78" i="1" s="1"/>
  <c r="DG77" i="1"/>
  <c r="BM77" i="1"/>
  <c r="DG76" i="1"/>
  <c r="BM76" i="1"/>
  <c r="AI76" i="1"/>
  <c r="AJ76" i="1" s="1"/>
  <c r="AK76" i="1" s="1"/>
  <c r="AI75" i="1"/>
  <c r="AJ75" i="1" s="1"/>
  <c r="AK75" i="1" s="1"/>
  <c r="DG74" i="1"/>
  <c r="BM74" i="1"/>
  <c r="AI74" i="1"/>
  <c r="AJ74" i="1" s="1"/>
  <c r="AK74" i="1" s="1"/>
  <c r="P74" i="1"/>
  <c r="O74" i="1"/>
  <c r="M74" i="1"/>
  <c r="K74" i="1"/>
  <c r="H74" i="1"/>
  <c r="F74" i="1"/>
  <c r="E74" i="1"/>
  <c r="Q73" i="1"/>
  <c r="O73" i="1"/>
  <c r="M73" i="1"/>
  <c r="K73" i="1"/>
  <c r="I73" i="1"/>
  <c r="G73" i="1"/>
  <c r="E73" i="1"/>
  <c r="AI69" i="1"/>
  <c r="AJ69" i="1" s="1"/>
  <c r="AK69" i="1" s="1"/>
  <c r="DG68" i="1"/>
  <c r="CM68" i="1"/>
  <c r="BM68" i="1"/>
  <c r="DG67" i="1"/>
  <c r="AV67" i="1"/>
  <c r="AW67" i="1" s="1"/>
  <c r="AX67" i="1" s="1"/>
  <c r="AI67" i="1"/>
  <c r="AJ67" i="1" s="1"/>
  <c r="AK67" i="1" s="1"/>
  <c r="DR66" i="1"/>
  <c r="DG66" i="1"/>
  <c r="DG65" i="1"/>
  <c r="AV65" i="1"/>
  <c r="AW65" i="1" s="1"/>
  <c r="AX65" i="1" s="1"/>
  <c r="AI65" i="1"/>
  <c r="AJ65" i="1" s="1"/>
  <c r="AK65" i="1" s="1"/>
  <c r="DG58" i="1"/>
  <c r="AV58" i="1"/>
  <c r="AW58" i="1" s="1"/>
  <c r="AX58" i="1" s="1"/>
  <c r="AI57" i="1"/>
  <c r="AJ57" i="1" s="1"/>
  <c r="AK57" i="1" s="1"/>
  <c r="BT56" i="1"/>
  <c r="AI55" i="1"/>
  <c r="AJ55" i="1" s="1"/>
  <c r="AK55" i="1" s="1"/>
  <c r="EA54" i="1"/>
  <c r="BT54" i="1"/>
  <c r="BM54" i="1"/>
  <c r="EA53" i="1"/>
  <c r="BM53" i="1"/>
  <c r="AK53" i="1"/>
  <c r="EA52" i="1"/>
  <c r="BT52" i="1"/>
  <c r="BM52" i="1"/>
  <c r="AV52" i="1"/>
  <c r="AW52" i="1" s="1"/>
  <c r="AX52" i="1" s="1"/>
  <c r="AI52" i="1"/>
  <c r="AJ52" i="1" s="1"/>
  <c r="AK52" i="1" s="1"/>
  <c r="BM51" i="1"/>
  <c r="AI51" i="1"/>
  <c r="AJ51" i="1" s="1"/>
  <c r="AK51" i="1" s="1"/>
  <c r="BM50" i="1"/>
  <c r="AV50" i="1"/>
  <c r="AW50" i="1" s="1"/>
  <c r="AX50" i="1" s="1"/>
  <c r="AV49" i="1"/>
  <c r="AW49" i="1" s="1"/>
  <c r="AX49" i="1" s="1"/>
  <c r="G48" i="1"/>
  <c r="E48" i="1"/>
  <c r="AX47" i="1"/>
  <c r="H47" i="1"/>
  <c r="G47" i="1"/>
  <c r="EA46" i="1"/>
  <c r="AV46" i="1"/>
  <c r="AW46" i="1" s="1"/>
  <c r="AX46" i="1" s="1"/>
  <c r="AV45" i="1"/>
  <c r="AW45" i="1" s="1"/>
  <c r="AX45" i="1" s="1"/>
  <c r="H45" i="1"/>
  <c r="DU44" i="1"/>
  <c r="DS44" i="1"/>
  <c r="CM44" i="1"/>
  <c r="AK44" i="1"/>
  <c r="DS43" i="1"/>
  <c r="BT43" i="1"/>
  <c r="AK43" i="1"/>
  <c r="DV42" i="1"/>
  <c r="DT42" i="1"/>
  <c r="AI42" i="1"/>
  <c r="AJ42" i="1" s="1"/>
  <c r="AK42" i="1" s="1"/>
  <c r="EA41" i="1"/>
  <c r="DV41" i="1"/>
  <c r="DT41" i="1"/>
  <c r="AV41" i="1"/>
  <c r="AW41" i="1" s="1"/>
  <c r="AX41" i="1" s="1"/>
  <c r="AI41" i="1"/>
  <c r="AJ41" i="1" s="1"/>
  <c r="AK41" i="1" s="1"/>
  <c r="DV40" i="1"/>
  <c r="DU40" i="1"/>
  <c r="DT40" i="1"/>
  <c r="AI40" i="1"/>
  <c r="AJ40" i="1" s="1"/>
  <c r="AK40" i="1" s="1"/>
  <c r="EA39" i="1"/>
  <c r="DV39" i="1"/>
  <c r="DS39" i="1"/>
  <c r="AX39" i="1"/>
  <c r="AI39" i="1"/>
  <c r="AJ39" i="1" s="1"/>
  <c r="AK39" i="1" s="1"/>
  <c r="DU38" i="1"/>
  <c r="AX38" i="1"/>
  <c r="AK38" i="1"/>
  <c r="AV37" i="1"/>
  <c r="AW37" i="1" s="1"/>
  <c r="AX37" i="1" s="1"/>
  <c r="AI37" i="1"/>
  <c r="AJ37" i="1" s="1"/>
  <c r="AK37" i="1" s="1"/>
  <c r="DT36" i="1"/>
  <c r="AV36" i="1"/>
  <c r="AW36" i="1" s="1"/>
  <c r="AX36" i="1" s="1"/>
  <c r="DU35" i="1"/>
  <c r="AX35" i="1"/>
  <c r="AI35" i="1"/>
  <c r="AJ35" i="1" s="1"/>
  <c r="AK35" i="1" s="1"/>
  <c r="P35" i="1"/>
  <c r="N35" i="1"/>
  <c r="L35" i="1"/>
  <c r="J35" i="1"/>
  <c r="E35" i="1"/>
  <c r="DT34" i="1"/>
  <c r="BM34" i="1"/>
  <c r="AX34" i="1"/>
  <c r="AI34" i="1"/>
  <c r="AJ34" i="1" s="1"/>
  <c r="AK34" i="1" s="1"/>
  <c r="Q34" i="1"/>
  <c r="M34" i="1"/>
  <c r="F34" i="1"/>
  <c r="DU33" i="1"/>
  <c r="BM33" i="1"/>
  <c r="AI33" i="1"/>
  <c r="AJ33" i="1" s="1"/>
  <c r="AK33" i="1" s="1"/>
  <c r="BM32" i="1"/>
  <c r="DV31" i="1"/>
  <c r="DT31" i="1"/>
  <c r="BT31" i="1"/>
  <c r="AV31" i="1"/>
  <c r="AW31" i="1" s="1"/>
  <c r="AX31" i="1" s="1"/>
  <c r="EH30" i="1"/>
  <c r="BT30" i="1"/>
  <c r="AV30" i="1"/>
  <c r="AW30" i="1" s="1"/>
  <c r="AX30" i="1" s="1"/>
  <c r="EH29" i="1"/>
  <c r="EB29" i="1"/>
  <c r="AV29" i="1"/>
  <c r="AW29" i="1" s="1"/>
  <c r="AX29" i="1" s="1"/>
  <c r="AI29" i="1"/>
  <c r="AJ29" i="1" s="1"/>
  <c r="AK29" i="1" s="1"/>
  <c r="EB28" i="1"/>
  <c r="CM28" i="1"/>
  <c r="AV28" i="1"/>
  <c r="AW28" i="1" s="1"/>
  <c r="AX28" i="1" s="1"/>
  <c r="BT27" i="1"/>
  <c r="AX27" i="1"/>
  <c r="AI27" i="1"/>
  <c r="AJ27" i="1" s="1"/>
  <c r="AK27" i="1" s="1"/>
  <c r="AX26" i="1"/>
  <c r="EB25" i="1"/>
  <c r="P25" i="1"/>
  <c r="N25" i="1"/>
  <c r="H25" i="1"/>
  <c r="D25" i="1"/>
  <c r="EB24" i="1"/>
  <c r="CM24" i="1"/>
  <c r="BM24" i="1"/>
  <c r="AX24" i="1"/>
  <c r="AI24" i="1"/>
  <c r="AJ24" i="1" s="1"/>
  <c r="AK24" i="1" s="1"/>
  <c r="O24" i="1"/>
  <c r="M24" i="1"/>
  <c r="E24" i="1"/>
  <c r="AV23" i="1"/>
  <c r="AW23" i="1" s="1"/>
  <c r="AX23" i="1" s="1"/>
  <c r="AW21" i="1"/>
  <c r="AX21" i="1" s="1"/>
  <c r="AI21" i="1"/>
  <c r="AJ21" i="1" s="1"/>
  <c r="AK21" i="1" s="1"/>
  <c r="DU20" i="1"/>
  <c r="DU19" i="1"/>
  <c r="AX19" i="1"/>
  <c r="DT18" i="1"/>
  <c r="BM18" i="1"/>
  <c r="AV18" i="1"/>
  <c r="AW18" i="1" s="1"/>
  <c r="AX18" i="1" s="1"/>
  <c r="DU17" i="1"/>
  <c r="DS17" i="1"/>
  <c r="AI16" i="1"/>
  <c r="AJ16" i="1" s="1"/>
  <c r="AK16" i="1" s="1"/>
  <c r="EH15" i="1"/>
  <c r="DV15" i="1"/>
  <c r="AI15" i="1"/>
  <c r="AJ15" i="1" s="1"/>
  <c r="AK15" i="1" s="1"/>
  <c r="EH14" i="1"/>
  <c r="EE14" i="1"/>
  <c r="DU14" i="1"/>
  <c r="AV14" i="1"/>
  <c r="AW14" i="1" s="1"/>
  <c r="AX14" i="1" s="1"/>
  <c r="AI14" i="1"/>
  <c r="AJ14" i="1" s="1"/>
  <c r="AK14" i="1" s="1"/>
  <c r="DV13" i="1"/>
  <c r="DT13" i="1"/>
  <c r="BI13" i="1"/>
  <c r="EE12" i="1"/>
  <c r="EB12" i="1"/>
  <c r="DV12" i="1"/>
  <c r="DT12" i="1"/>
  <c r="BI12" i="1"/>
  <c r="AV12" i="1"/>
  <c r="AW12" i="1" s="1"/>
  <c r="AX12" i="1" s="1"/>
  <c r="AI12" i="1"/>
  <c r="AJ12" i="1" s="1"/>
  <c r="EH11" i="1"/>
  <c r="EE11" i="1"/>
  <c r="EB11" i="1"/>
  <c r="DV11" i="1"/>
  <c r="DV10" i="1"/>
  <c r="DT10" i="1"/>
  <c r="BM10" i="1"/>
  <c r="AV10" i="1"/>
  <c r="AW10" i="1" s="1"/>
  <c r="AX10" i="1" s="1"/>
  <c r="AI10" i="1"/>
  <c r="AJ10" i="1" s="1"/>
  <c r="AK10" i="1" s="1"/>
  <c r="EE9" i="1"/>
  <c r="DU9" i="1"/>
  <c r="DT9" i="1"/>
  <c r="AI9" i="1"/>
  <c r="AJ9" i="1" s="1"/>
  <c r="AK9" i="1" s="1"/>
  <c r="N9" i="1"/>
  <c r="K9" i="1"/>
  <c r="H9" i="1"/>
  <c r="E9" i="1"/>
  <c r="EE8" i="1"/>
  <c r="EB8" i="1"/>
  <c r="DT8" i="1"/>
  <c r="BT8" i="1"/>
  <c r="BM8" i="1"/>
  <c r="AV8" i="1"/>
  <c r="AW8" i="1" s="1"/>
  <c r="AX8" i="1" s="1"/>
  <c r="AI8" i="1"/>
  <c r="AJ8" i="1" s="1"/>
  <c r="Q8" i="1"/>
  <c r="O8" i="1"/>
  <c r="O9" i="1" s="1"/>
  <c r="M8" i="1"/>
  <c r="M9" i="1" s="1"/>
  <c r="EH7" i="1"/>
  <c r="EE7" i="1"/>
  <c r="DT7" i="1"/>
  <c r="CA7" i="1"/>
  <c r="BM7" i="1"/>
  <c r="BI7" i="1"/>
  <c r="AV7" i="1"/>
  <c r="AW7" i="1" s="1"/>
  <c r="AX7" i="1" s="1"/>
  <c r="AI7" i="1"/>
  <c r="AJ7" i="1" s="1"/>
  <c r="AK7" i="1" s="1"/>
  <c r="BT6" i="1"/>
  <c r="BM6" i="1"/>
  <c r="BI6" i="1"/>
  <c r="AX6" i="1"/>
  <c r="AI6" i="1"/>
  <c r="AJ6" i="1" s="1"/>
  <c r="AK6" i="1" s="1"/>
  <c r="BM5" i="1"/>
  <c r="BI5" i="1"/>
  <c r="AF5" i="1"/>
  <c r="BM4" i="1"/>
  <c r="AF130" i="1"/>
  <c r="AF129" i="1"/>
  <c r="AF128" i="1"/>
  <c r="AG127" i="1"/>
  <c r="AV126" i="1"/>
  <c r="AW126" i="1" s="1"/>
  <c r="AX126" i="1" s="1"/>
  <c r="AH126" i="1"/>
  <c r="AG126" i="1"/>
  <c r="AF126" i="1"/>
  <c r="DG125" i="1"/>
  <c r="AG125" i="1"/>
  <c r="DG124" i="1"/>
  <c r="AH124" i="1"/>
  <c r="AF124" i="1"/>
  <c r="DG123" i="1"/>
  <c r="AV123" i="1"/>
  <c r="AW123" i="1" s="1"/>
  <c r="AX123" i="1" s="1"/>
  <c r="AG123" i="1"/>
  <c r="AG122" i="1"/>
  <c r="DG121" i="1"/>
  <c r="AH121" i="1"/>
  <c r="AG121" i="1"/>
  <c r="DG120" i="1"/>
  <c r="AV120" i="1"/>
  <c r="AW120" i="1" s="1"/>
  <c r="AX120" i="1" s="1"/>
  <c r="AI120" i="1"/>
  <c r="AJ120" i="1" s="1"/>
  <c r="AX119" i="1"/>
  <c r="AF119" i="1"/>
  <c r="Q119" i="1"/>
  <c r="P119" i="1"/>
  <c r="N119" i="1"/>
  <c r="M119" i="1"/>
  <c r="K119" i="1"/>
  <c r="I119" i="1"/>
  <c r="H119" i="1"/>
  <c r="E119" i="1"/>
  <c r="AH118" i="1"/>
  <c r="AG118" i="1"/>
  <c r="U118" i="1"/>
  <c r="S118" i="1"/>
  <c r="Q118" i="1"/>
  <c r="AV117" i="1"/>
  <c r="AW117" i="1" s="1"/>
  <c r="AX117" i="1" s="1"/>
  <c r="AH117" i="1"/>
  <c r="AF117" i="1"/>
  <c r="X117" i="1"/>
  <c r="W117" i="1"/>
  <c r="V117" i="1"/>
  <c r="U117" i="1"/>
  <c r="T117" i="1"/>
  <c r="R117" i="1"/>
  <c r="P117" i="1"/>
  <c r="O117" i="1"/>
  <c r="M117" i="1"/>
  <c r="L117" i="1"/>
  <c r="J117" i="1"/>
  <c r="H117" i="1"/>
  <c r="G117" i="1"/>
  <c r="AV116" i="1"/>
  <c r="AW116" i="1" s="1"/>
  <c r="AX116" i="1" s="1"/>
  <c r="AH116" i="1"/>
  <c r="AF116" i="1"/>
  <c r="DG115" i="1"/>
  <c r="AF115" i="1"/>
  <c r="DG114" i="1"/>
  <c r="BM114" i="1"/>
  <c r="AH114" i="1"/>
  <c r="AG114" i="1"/>
  <c r="DG113" i="1"/>
  <c r="AV113" i="1"/>
  <c r="AW113" i="1" s="1"/>
  <c r="AX113" i="1" s="1"/>
  <c r="AH113" i="1"/>
  <c r="AG113" i="1"/>
  <c r="BM112" i="1"/>
  <c r="AV112" i="1"/>
  <c r="AW112" i="1" s="1"/>
  <c r="AX112" i="1" s="1"/>
  <c r="AH112" i="1"/>
  <c r="AF112" i="1"/>
  <c r="AV111" i="1"/>
  <c r="AW111" i="1" s="1"/>
  <c r="AX111" i="1" s="1"/>
  <c r="AH111" i="1"/>
  <c r="AG111" i="1"/>
  <c r="G111" i="1"/>
  <c r="G112" i="1" s="1"/>
  <c r="DG110" i="1"/>
  <c r="AG110" i="1"/>
  <c r="U110" i="1"/>
  <c r="T110" i="1"/>
  <c r="S110" i="1"/>
  <c r="R110" i="1"/>
  <c r="Q110" i="1"/>
  <c r="P110" i="1"/>
  <c r="O110" i="1"/>
  <c r="N110" i="1"/>
  <c r="M110" i="1"/>
  <c r="L110" i="1"/>
  <c r="DG109" i="1"/>
  <c r="AV109" i="1"/>
  <c r="AW109" i="1" s="1"/>
  <c r="AX109" i="1" s="1"/>
  <c r="AF109" i="1"/>
  <c r="X109" i="1"/>
  <c r="W109" i="1"/>
  <c r="U109" i="1"/>
  <c r="T109" i="1"/>
  <c r="R109" i="1"/>
  <c r="P109" i="1"/>
  <c r="N109" i="1"/>
  <c r="M109" i="1"/>
  <c r="K109" i="1"/>
  <c r="I109" i="1"/>
  <c r="H109" i="1"/>
  <c r="E109" i="1"/>
  <c r="DG108" i="1"/>
  <c r="AV108" i="1"/>
  <c r="AW108" i="1" s="1"/>
  <c r="AX108" i="1" s="1"/>
  <c r="AG108" i="1"/>
  <c r="U108" i="1"/>
  <c r="S108" i="1"/>
  <c r="Q108" i="1"/>
  <c r="O108" i="1"/>
  <c r="L108" i="1"/>
  <c r="J108" i="1"/>
  <c r="H108" i="1"/>
  <c r="AV107" i="1"/>
  <c r="AW107" i="1" s="1"/>
  <c r="AX107" i="1" s="1"/>
  <c r="AH107" i="1"/>
  <c r="AF107" i="1"/>
  <c r="AV106" i="1"/>
  <c r="AW106" i="1" s="1"/>
  <c r="AX106" i="1" s="1"/>
  <c r="AG106" i="1"/>
  <c r="AV105" i="1"/>
  <c r="AW105" i="1" s="1"/>
  <c r="AX105" i="1" s="1"/>
  <c r="AG105" i="1"/>
  <c r="DR104" i="1"/>
  <c r="DG104" i="1"/>
  <c r="AV104" i="1"/>
  <c r="AW104" i="1" s="1"/>
  <c r="AX104" i="1" s="1"/>
  <c r="AG104" i="1"/>
  <c r="AF104" i="1"/>
  <c r="DR103" i="1"/>
  <c r="DG103" i="1"/>
  <c r="AH103" i="1"/>
  <c r="DR102" i="1"/>
  <c r="AV102" i="1"/>
  <c r="AW102" i="1" s="1"/>
  <c r="AX102" i="1" s="1"/>
  <c r="AG102" i="1"/>
  <c r="AF102" i="1"/>
  <c r="X102" i="1"/>
  <c r="X103" i="1" s="1"/>
  <c r="N102" i="1"/>
  <c r="N103" i="1" s="1"/>
  <c r="E102" i="1"/>
  <c r="E103" i="1" s="1"/>
  <c r="DG101" i="1"/>
  <c r="BM101" i="1"/>
  <c r="AV101" i="1"/>
  <c r="AW101" i="1" s="1"/>
  <c r="AX101" i="1" s="1"/>
  <c r="AH101" i="1"/>
  <c r="AG101" i="1"/>
  <c r="S101" i="1"/>
  <c r="R101" i="1"/>
  <c r="P101" i="1"/>
  <c r="O101" i="1"/>
  <c r="M101" i="1"/>
  <c r="K101" i="1"/>
  <c r="I101" i="1"/>
  <c r="H101" i="1"/>
  <c r="DG100" i="1"/>
  <c r="AV100" i="1"/>
  <c r="AW100" i="1" s="1"/>
  <c r="AX100" i="1" s="1"/>
  <c r="AH100" i="1"/>
  <c r="AG100" i="1"/>
  <c r="V100" i="1"/>
  <c r="T100" i="1"/>
  <c r="R100" i="1"/>
  <c r="P100" i="1"/>
  <c r="O100" i="1"/>
  <c r="M100" i="1"/>
  <c r="K100" i="1"/>
  <c r="I100" i="1"/>
  <c r="G100" i="1"/>
  <c r="DG99" i="1"/>
  <c r="BM99" i="1"/>
  <c r="AV99" i="1"/>
  <c r="AW99" i="1" s="1"/>
  <c r="AX99" i="1" s="1"/>
  <c r="AH99" i="1"/>
  <c r="AG99" i="1"/>
  <c r="U99" i="1"/>
  <c r="S99" i="1"/>
  <c r="Q99" i="1"/>
  <c r="O99" i="1"/>
  <c r="L99" i="1"/>
  <c r="J99" i="1"/>
  <c r="H99" i="1"/>
  <c r="F99" i="1"/>
  <c r="AV98" i="1"/>
  <c r="AW98" i="1" s="1"/>
  <c r="AX98" i="1" s="1"/>
  <c r="AG98" i="1"/>
  <c r="CG96" i="1"/>
  <c r="CG97" i="1" s="1"/>
  <c r="CG98" i="1" s="1"/>
  <c r="AF96" i="1"/>
  <c r="AH95" i="1"/>
  <c r="AG95" i="1"/>
  <c r="AF95" i="1"/>
  <c r="AV94" i="1"/>
  <c r="AW94" i="1" s="1"/>
  <c r="AX94" i="1" s="1"/>
  <c r="AV93" i="1"/>
  <c r="AW93" i="1" s="1"/>
  <c r="AX93" i="1" s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AV91" i="1"/>
  <c r="AW91" i="1" s="1"/>
  <c r="AX91" i="1" s="1"/>
  <c r="W91" i="1"/>
  <c r="U91" i="1"/>
  <c r="S91" i="1"/>
  <c r="Q91" i="1"/>
  <c r="O91" i="1"/>
  <c r="N91" i="1"/>
  <c r="L91" i="1"/>
  <c r="J91" i="1"/>
  <c r="H91" i="1"/>
  <c r="G91" i="1"/>
  <c r="E91" i="1"/>
  <c r="AV90" i="1"/>
  <c r="AW90" i="1" s="1"/>
  <c r="AX90" i="1" s="1"/>
  <c r="AI90" i="1"/>
  <c r="AJ90" i="1" s="1"/>
  <c r="AK90" i="1" s="1"/>
  <c r="X90" i="1"/>
  <c r="W90" i="1"/>
  <c r="V90" i="1"/>
  <c r="T90" i="1"/>
  <c r="R90" i="1"/>
  <c r="P90" i="1"/>
  <c r="N90" i="1"/>
  <c r="L90" i="1"/>
  <c r="J90" i="1"/>
  <c r="I90" i="1"/>
  <c r="G90" i="1"/>
  <c r="F90" i="1"/>
  <c r="BM89" i="1"/>
  <c r="BF89" i="1"/>
  <c r="DG88" i="1"/>
  <c r="BM88" i="1"/>
  <c r="BF88" i="1"/>
  <c r="DG87" i="1"/>
  <c r="BM87" i="1"/>
  <c r="BF87" i="1"/>
  <c r="CG86" i="1"/>
  <c r="CG87" i="1" s="1"/>
  <c r="CG88" i="1" s="1"/>
  <c r="CG89" i="1" s="1"/>
  <c r="BF86" i="1"/>
  <c r="AV86" i="1"/>
  <c r="AW86" i="1" s="1"/>
  <c r="AX86" i="1" s="1"/>
  <c r="DR85" i="1"/>
  <c r="DG85" i="1"/>
  <c r="BF85" i="1"/>
  <c r="AV85" i="1"/>
  <c r="AW85" i="1" s="1"/>
  <c r="AX85" i="1" s="1"/>
  <c r="AV84" i="1"/>
  <c r="AW84" i="1" s="1"/>
  <c r="AX84" i="1" s="1"/>
  <c r="DG83" i="1"/>
  <c r="W83" i="1"/>
  <c r="P83" i="1"/>
  <c r="N83" i="1"/>
  <c r="L83" i="1"/>
  <c r="J83" i="1"/>
  <c r="H83" i="1"/>
  <c r="F83" i="1"/>
  <c r="E83" i="1"/>
  <c r="DG82" i="1"/>
  <c r="AV82" i="1"/>
  <c r="AW82" i="1" s="1"/>
  <c r="AX82" i="1" s="1"/>
  <c r="AI82" i="1"/>
  <c r="AJ82" i="1" s="1"/>
  <c r="AK82" i="1" s="1"/>
  <c r="X82" i="1"/>
  <c r="V82" i="1"/>
  <c r="S82" i="1"/>
  <c r="Q82" i="1"/>
  <c r="O82" i="1"/>
  <c r="N82" i="1"/>
  <c r="M82" i="1"/>
  <c r="L82" i="1"/>
  <c r="J82" i="1"/>
  <c r="H82" i="1"/>
  <c r="G82" i="1"/>
  <c r="AX81" i="1"/>
  <c r="AI81" i="1"/>
  <c r="AJ81" i="1" s="1"/>
  <c r="AK81" i="1" s="1"/>
  <c r="V81" i="1"/>
  <c r="T81" i="1"/>
  <c r="R81" i="1"/>
  <c r="Q81" i="1"/>
  <c r="O81" i="1"/>
  <c r="N81" i="1"/>
  <c r="K81" i="1"/>
  <c r="J81" i="1"/>
  <c r="H81" i="1"/>
  <c r="E81" i="1"/>
  <c r="DG80" i="1"/>
  <c r="AV80" i="1"/>
  <c r="AW80" i="1" s="1"/>
  <c r="AX80" i="1" s="1"/>
  <c r="AK80" i="1"/>
  <c r="DG79" i="1"/>
  <c r="AV79" i="1"/>
  <c r="AW79" i="1" s="1"/>
  <c r="AX79" i="1" s="1"/>
  <c r="BM78" i="1"/>
  <c r="AI77" i="1"/>
  <c r="AJ77" i="1" s="1"/>
  <c r="AK77" i="1" s="1"/>
  <c r="DG75" i="1"/>
  <c r="BM75" i="1"/>
  <c r="Q74" i="1"/>
  <c r="N74" i="1"/>
  <c r="L74" i="1"/>
  <c r="J74" i="1"/>
  <c r="I74" i="1"/>
  <c r="G74" i="1"/>
  <c r="D74" i="1"/>
  <c r="DG73" i="1"/>
  <c r="BM73" i="1"/>
  <c r="AI73" i="1"/>
  <c r="AJ73" i="1" s="1"/>
  <c r="AK73" i="1" s="1"/>
  <c r="P73" i="1"/>
  <c r="N73" i="1"/>
  <c r="L73" i="1"/>
  <c r="J73" i="1"/>
  <c r="H73" i="1"/>
  <c r="F73" i="1"/>
  <c r="D73" i="1"/>
  <c r="DG72" i="1"/>
  <c r="CM72" i="1"/>
  <c r="AV72" i="1"/>
  <c r="AW72" i="1" s="1"/>
  <c r="AX72" i="1" s="1"/>
  <c r="AI72" i="1"/>
  <c r="AJ72" i="1" s="1"/>
  <c r="AK72" i="1" s="1"/>
  <c r="DG71" i="1"/>
  <c r="AV71" i="1"/>
  <c r="AW71" i="1" s="1"/>
  <c r="AX71" i="1" s="1"/>
  <c r="AI71" i="1"/>
  <c r="AJ71" i="1" s="1"/>
  <c r="AK71" i="1" s="1"/>
  <c r="DG70" i="1"/>
  <c r="AV70" i="1"/>
  <c r="AW70" i="1" s="1"/>
  <c r="AX70" i="1" s="1"/>
  <c r="AI70" i="1"/>
  <c r="AJ70" i="1" s="1"/>
  <c r="AK70" i="1" s="1"/>
  <c r="DG69" i="1"/>
  <c r="BM69" i="1"/>
  <c r="AV69" i="1"/>
  <c r="AW69" i="1" s="1"/>
  <c r="AX69" i="1" s="1"/>
  <c r="AV68" i="1"/>
  <c r="AW68" i="1" s="1"/>
  <c r="AX68" i="1" s="1"/>
  <c r="AI68" i="1"/>
  <c r="AJ68" i="1" s="1"/>
  <c r="AK68" i="1" s="1"/>
  <c r="AV66" i="1"/>
  <c r="AW66" i="1" s="1"/>
  <c r="AX66" i="1" s="1"/>
  <c r="AI66" i="1"/>
  <c r="AJ66" i="1" s="1"/>
  <c r="AK66" i="1" s="1"/>
  <c r="DG64" i="1"/>
  <c r="CM64" i="1"/>
  <c r="BM64" i="1"/>
  <c r="AV64" i="1"/>
  <c r="AW64" i="1" s="1"/>
  <c r="AX64" i="1" s="1"/>
  <c r="AI64" i="1"/>
  <c r="AJ64" i="1" s="1"/>
  <c r="AK64" i="1" s="1"/>
  <c r="EA63" i="1"/>
  <c r="DG63" i="1"/>
  <c r="BM63" i="1"/>
  <c r="AV63" i="1"/>
  <c r="AW63" i="1" s="1"/>
  <c r="AX63" i="1" s="1"/>
  <c r="AI63" i="1"/>
  <c r="AJ63" i="1" s="1"/>
  <c r="AK63" i="1" s="1"/>
  <c r="EA62" i="1"/>
  <c r="DG62" i="1"/>
  <c r="BM62" i="1"/>
  <c r="AV62" i="1"/>
  <c r="AW62" i="1" s="1"/>
  <c r="AX62" i="1" s="1"/>
  <c r="AI62" i="1"/>
  <c r="AJ62" i="1" s="1"/>
  <c r="AK62" i="1" s="1"/>
  <c r="EA61" i="1"/>
  <c r="DG61" i="1"/>
  <c r="BM61" i="1"/>
  <c r="AV61" i="1"/>
  <c r="AW61" i="1" s="1"/>
  <c r="AX61" i="1" s="1"/>
  <c r="AI61" i="1"/>
  <c r="AJ61" i="1" s="1"/>
  <c r="AK61" i="1" s="1"/>
  <c r="EA60" i="1"/>
  <c r="DG60" i="1"/>
  <c r="CM60" i="1"/>
  <c r="AI60" i="1"/>
  <c r="AJ60" i="1" s="1"/>
  <c r="AK60" i="1" s="1"/>
  <c r="DG59" i="1"/>
  <c r="BM59" i="1"/>
  <c r="AV59" i="1"/>
  <c r="AW59" i="1" s="1"/>
  <c r="AX59" i="1" s="1"/>
  <c r="AI59" i="1"/>
  <c r="AJ59" i="1" s="1"/>
  <c r="AK59" i="1" s="1"/>
  <c r="AI58" i="1"/>
  <c r="AJ58" i="1" s="1"/>
  <c r="AK58" i="1" s="1"/>
  <c r="EA57" i="1"/>
  <c r="DG57" i="1"/>
  <c r="AV57" i="1"/>
  <c r="AW57" i="1" s="1"/>
  <c r="AX57" i="1" s="1"/>
  <c r="DG56" i="1"/>
  <c r="AV56" i="1"/>
  <c r="AW56" i="1" s="1"/>
  <c r="AX56" i="1" s="1"/>
  <c r="AI56" i="1"/>
  <c r="AJ56" i="1" s="1"/>
  <c r="AK56" i="1" s="1"/>
  <c r="DR55" i="1"/>
  <c r="DG55" i="1"/>
  <c r="AV55" i="1"/>
  <c r="AW55" i="1" s="1"/>
  <c r="AX55" i="1" s="1"/>
  <c r="AV54" i="1"/>
  <c r="AW54" i="1" s="1"/>
  <c r="AX54" i="1" s="1"/>
  <c r="AI54" i="1"/>
  <c r="AJ54" i="1" s="1"/>
  <c r="AK54" i="1" s="1"/>
  <c r="BT53" i="1"/>
  <c r="EA49" i="1"/>
  <c r="AI49" i="1"/>
  <c r="AJ49" i="1" s="1"/>
  <c r="AK49" i="1" s="1"/>
  <c r="EA48" i="1"/>
  <c r="CM48" i="1"/>
  <c r="AV48" i="1"/>
  <c r="AW48" i="1" s="1"/>
  <c r="AX48" i="1" s="1"/>
  <c r="AI48" i="1"/>
  <c r="AJ48" i="1" s="1"/>
  <c r="AK48" i="1" s="1"/>
  <c r="H48" i="1"/>
  <c r="EA47" i="1"/>
  <c r="BM47" i="1"/>
  <c r="AI46" i="1"/>
  <c r="AJ46" i="1" s="1"/>
  <c r="AK46" i="1" s="1"/>
  <c r="H46" i="1"/>
  <c r="F46" i="1"/>
  <c r="E46" i="1"/>
  <c r="EA45" i="1"/>
  <c r="AI45" i="1"/>
  <c r="AJ45" i="1" s="1"/>
  <c r="AK45" i="1" s="1"/>
  <c r="G45" i="1"/>
  <c r="E45" i="1"/>
  <c r="EA44" i="1"/>
  <c r="DV44" i="1"/>
  <c r="AV44" i="1"/>
  <c r="AW44" i="1" s="1"/>
  <c r="AX44" i="1" s="1"/>
  <c r="EA43" i="1"/>
  <c r="DV43" i="1"/>
  <c r="DU43" i="1"/>
  <c r="AV43" i="1"/>
  <c r="AW43" i="1" s="1"/>
  <c r="AX43" i="1" s="1"/>
  <c r="EA42" i="1"/>
  <c r="DU42" i="1"/>
  <c r="DS42" i="1"/>
  <c r="AV42" i="1"/>
  <c r="AW42" i="1" s="1"/>
  <c r="AX42" i="1" s="1"/>
  <c r="DS41" i="1"/>
  <c r="AV40" i="1"/>
  <c r="AW40" i="1" s="1"/>
  <c r="AX40" i="1" s="1"/>
  <c r="DT39" i="1"/>
  <c r="EA38" i="1"/>
  <c r="DV38" i="1"/>
  <c r="DS38" i="1"/>
  <c r="DV37" i="1"/>
  <c r="DT37" i="1"/>
  <c r="DV36" i="1"/>
  <c r="DS36" i="1"/>
  <c r="CM36" i="1"/>
  <c r="AK36" i="1"/>
  <c r="DT35" i="1"/>
  <c r="Q35" i="1"/>
  <c r="M35" i="1"/>
  <c r="I35" i="1"/>
  <c r="F35" i="1"/>
  <c r="DU34" i="1"/>
  <c r="P34" i="1"/>
  <c r="N34" i="1"/>
  <c r="L34" i="1"/>
  <c r="J34" i="1"/>
  <c r="I34" i="1"/>
  <c r="G34" i="1"/>
  <c r="DV33" i="1"/>
  <c r="DS33" i="1"/>
  <c r="DV32" i="1"/>
  <c r="DT32" i="1"/>
  <c r="BT32" i="1"/>
  <c r="AV32" i="1"/>
  <c r="AW32" i="1" s="1"/>
  <c r="AX32" i="1" s="1"/>
  <c r="AI32" i="1"/>
  <c r="AJ32" i="1" s="1"/>
  <c r="AK32" i="1" s="1"/>
  <c r="AK31" i="1"/>
  <c r="BM30" i="1"/>
  <c r="AI30" i="1"/>
  <c r="AJ30" i="1" s="1"/>
  <c r="AK30" i="1" s="1"/>
  <c r="EH28" i="1"/>
  <c r="AI28" i="1"/>
  <c r="AJ28" i="1" s="1"/>
  <c r="AK28" i="1" s="1"/>
  <c r="EB26" i="1"/>
  <c r="AI26" i="1"/>
  <c r="AJ26" i="1" s="1"/>
  <c r="AK26" i="1" s="1"/>
  <c r="AV25" i="1"/>
  <c r="AW25" i="1" s="1"/>
  <c r="AX25" i="1" s="1"/>
  <c r="AI25" i="1"/>
  <c r="AJ25" i="1" s="1"/>
  <c r="AK25" i="1" s="1"/>
  <c r="Q25" i="1"/>
  <c r="O25" i="1"/>
  <c r="L25" i="1"/>
  <c r="J25" i="1"/>
  <c r="G25" i="1"/>
  <c r="E25" i="1"/>
  <c r="EH24" i="1"/>
  <c r="P24" i="1"/>
  <c r="N24" i="1"/>
  <c r="K24" i="1"/>
  <c r="I24" i="1"/>
  <c r="H24" i="1"/>
  <c r="D24" i="1"/>
  <c r="EH23" i="1"/>
  <c r="EB23" i="1"/>
  <c r="BM23" i="1"/>
  <c r="AI23" i="1"/>
  <c r="AJ23" i="1" s="1"/>
  <c r="AK23" i="1" s="1"/>
  <c r="AX22" i="1"/>
  <c r="AI22" i="1"/>
  <c r="AJ22" i="1" s="1"/>
  <c r="AK22" i="1" s="1"/>
  <c r="BM21" i="1"/>
  <c r="DV20" i="1"/>
  <c r="DT20" i="1"/>
  <c r="DS20" i="1"/>
  <c r="CM20" i="1"/>
  <c r="AI20" i="1"/>
  <c r="AJ20" i="1" s="1"/>
  <c r="AK20" i="1" s="1"/>
  <c r="DV19" i="1"/>
  <c r="DU18" i="1"/>
  <c r="DS18" i="1"/>
  <c r="AI18" i="1"/>
  <c r="AJ18" i="1" s="1"/>
  <c r="AK18" i="1" s="1"/>
  <c r="DT17" i="1"/>
  <c r="BT17" i="1"/>
  <c r="AV17" i="1"/>
  <c r="AW17" i="1" s="1"/>
  <c r="AX17" i="1" s="1"/>
  <c r="AI17" i="1"/>
  <c r="AJ17" i="1" s="1"/>
  <c r="AK17" i="1" s="1"/>
  <c r="EH16" i="1"/>
  <c r="EE16" i="1"/>
  <c r="EB16" i="1"/>
  <c r="DV16" i="1"/>
  <c r="DS16" i="1"/>
  <c r="EE15" i="1"/>
  <c r="DT15" i="1"/>
  <c r="EB14" i="1"/>
  <c r="DT14" i="1"/>
  <c r="EB13" i="1"/>
  <c r="DS13" i="1"/>
  <c r="AV13" i="1"/>
  <c r="AW13" i="1" s="1"/>
  <c r="AX13" i="1" s="1"/>
  <c r="AI13" i="1"/>
  <c r="AJ13" i="1" s="1"/>
  <c r="AK13" i="1" s="1"/>
  <c r="EH12" i="1"/>
  <c r="DU12" i="1"/>
  <c r="DS12" i="1"/>
  <c r="BM12" i="1"/>
  <c r="AK12" i="1"/>
  <c r="DS11" i="1"/>
  <c r="BM11" i="1"/>
  <c r="BI11" i="1"/>
  <c r="AV11" i="1"/>
  <c r="AW11" i="1" s="1"/>
  <c r="AX11" i="1" s="1"/>
  <c r="L9" i="1"/>
  <c r="I9" i="1"/>
  <c r="F9" i="1"/>
  <c r="EH8" i="1"/>
  <c r="DV8" i="1"/>
  <c r="DS8" i="1"/>
  <c r="CM8" i="1"/>
  <c r="BI8" i="1"/>
  <c r="AK8" i="1"/>
  <c r="G988" i="1" l="1"/>
  <c r="G989" i="1"/>
  <c r="G990" i="1"/>
  <c r="G991" i="1" s="1"/>
  <c r="G978" i="1"/>
  <c r="G979" i="1"/>
  <c r="G968" i="1"/>
  <c r="G969" i="1"/>
  <c r="G970" i="1"/>
  <c r="G971" i="1" s="1"/>
  <c r="G958" i="1"/>
  <c r="G959" i="1"/>
  <c r="G960" i="1"/>
  <c r="G961" i="1" s="1"/>
  <c r="G948" i="1"/>
  <c r="G949" i="1"/>
  <c r="G950" i="1"/>
  <c r="G951" i="1" s="1"/>
  <c r="G938" i="1"/>
  <c r="G939" i="1"/>
  <c r="G940" i="1"/>
  <c r="G941" i="1" s="1"/>
  <c r="G928" i="1"/>
  <c r="G929" i="1"/>
  <c r="G930" i="1"/>
  <c r="G931" i="1" s="1"/>
  <c r="G918" i="1"/>
  <c r="G919" i="1"/>
  <c r="G920" i="1"/>
  <c r="G921" i="1" s="1"/>
  <c r="G908" i="1"/>
  <c r="G909" i="1"/>
  <c r="G910" i="1"/>
  <c r="G911" i="1" s="1"/>
  <c r="G898" i="1"/>
  <c r="G899" i="1"/>
  <c r="G900" i="1"/>
  <c r="G901" i="1" s="1"/>
  <c r="G888" i="1"/>
  <c r="G889" i="1"/>
  <c r="G890" i="1"/>
  <c r="G891" i="1" s="1"/>
  <c r="G878" i="1"/>
  <c r="G879" i="1"/>
  <c r="G880" i="1"/>
  <c r="G881" i="1" s="1"/>
  <c r="G868" i="1"/>
  <c r="G869" i="1"/>
  <c r="G870" i="1"/>
  <c r="G871" i="1" s="1"/>
  <c r="G858" i="1"/>
  <c r="G859" i="1"/>
  <c r="G860" i="1"/>
  <c r="G861" i="1" s="1"/>
  <c r="I738" i="1"/>
  <c r="I739" i="1"/>
  <c r="I740" i="1"/>
  <c r="I741" i="1" s="1"/>
  <c r="I728" i="1"/>
  <c r="I729" i="1"/>
  <c r="I730" i="1"/>
  <c r="I731" i="1" s="1"/>
  <c r="I718" i="1"/>
  <c r="I719" i="1"/>
  <c r="I708" i="1"/>
  <c r="I709" i="1"/>
  <c r="I710" i="1"/>
  <c r="I711" i="1" s="1"/>
  <c r="I698" i="1"/>
  <c r="I699" i="1"/>
  <c r="I700" i="1"/>
  <c r="I701" i="1" s="1"/>
  <c r="L688" i="1"/>
  <c r="L689" i="1"/>
  <c r="L690" i="1"/>
  <c r="L691" i="1" s="1"/>
  <c r="K688" i="1"/>
  <c r="K689" i="1"/>
  <c r="K690" i="1"/>
  <c r="K691" i="1" s="1"/>
  <c r="L678" i="1"/>
  <c r="L679" i="1"/>
  <c r="L680" i="1"/>
  <c r="L681" i="1" s="1"/>
  <c r="K678" i="1"/>
  <c r="K679" i="1"/>
  <c r="K680" i="1"/>
  <c r="K681" i="1" s="1"/>
  <c r="L668" i="1"/>
  <c r="L669" i="1"/>
  <c r="L670" i="1"/>
  <c r="L671" i="1" s="1"/>
  <c r="K668" i="1"/>
  <c r="K669" i="1"/>
  <c r="K670" i="1"/>
  <c r="K671" i="1" s="1"/>
  <c r="L658" i="1"/>
  <c r="L659" i="1"/>
  <c r="L660" i="1"/>
  <c r="L661" i="1" s="1"/>
  <c r="K658" i="1"/>
  <c r="K659" i="1"/>
  <c r="L648" i="1"/>
  <c r="L649" i="1"/>
  <c r="L650" i="1"/>
  <c r="L651" i="1" s="1"/>
  <c r="K648" i="1"/>
  <c r="K649" i="1"/>
  <c r="K650" i="1"/>
  <c r="K651" i="1" s="1"/>
  <c r="L638" i="1"/>
  <c r="L639" i="1"/>
  <c r="L640" i="1"/>
  <c r="L641" i="1" s="1"/>
  <c r="K638" i="1"/>
  <c r="K639" i="1"/>
  <c r="K640" i="1"/>
  <c r="K641" i="1" s="1"/>
  <c r="L628" i="1"/>
  <c r="L629" i="1"/>
  <c r="L630" i="1"/>
  <c r="L631" i="1" s="1"/>
  <c r="K628" i="1"/>
  <c r="K629" i="1"/>
  <c r="L618" i="1"/>
  <c r="L619" i="1"/>
  <c r="L620" i="1"/>
  <c r="L621" i="1" s="1"/>
  <c r="K618" i="1"/>
  <c r="K619" i="1"/>
  <c r="K620" i="1"/>
  <c r="K621" i="1" s="1"/>
  <c r="L608" i="1"/>
  <c r="L609" i="1"/>
  <c r="L610" i="1"/>
  <c r="L611" i="1" s="1"/>
  <c r="K608" i="1"/>
  <c r="K609" i="1"/>
  <c r="K610" i="1"/>
  <c r="K611" i="1" s="1"/>
  <c r="L598" i="1"/>
  <c r="L599" i="1"/>
  <c r="L600" i="1"/>
  <c r="L601" i="1" s="1"/>
  <c r="K598" i="1"/>
  <c r="K599" i="1"/>
  <c r="K600" i="1"/>
  <c r="K601" i="1" s="1"/>
  <c r="L588" i="1"/>
  <c r="L589" i="1"/>
  <c r="L590" i="1"/>
  <c r="L591" i="1" s="1"/>
  <c r="K588" i="1"/>
  <c r="K589" i="1"/>
  <c r="K590" i="1"/>
  <c r="K591" i="1" s="1"/>
  <c r="L578" i="1"/>
  <c r="L579" i="1"/>
  <c r="L580" i="1"/>
  <c r="L581" i="1" s="1"/>
  <c r="K578" i="1"/>
  <c r="K579" i="1"/>
  <c r="K580" i="1"/>
  <c r="K581" i="1" s="1"/>
  <c r="I578" i="1"/>
  <c r="I579" i="1"/>
  <c r="I580" i="1"/>
  <c r="I581" i="1" s="1"/>
  <c r="G578" i="1"/>
  <c r="G579" i="1"/>
  <c r="G580" i="1"/>
  <c r="G581" i="1" s="1"/>
  <c r="I568" i="1"/>
  <c r="I569" i="1"/>
  <c r="I570" i="1"/>
  <c r="I571" i="1" s="1"/>
  <c r="I558" i="1"/>
  <c r="I559" i="1"/>
  <c r="I560" i="1"/>
  <c r="I561" i="1" s="1"/>
  <c r="I548" i="1"/>
  <c r="I549" i="1"/>
  <c r="I550" i="1"/>
  <c r="I551" i="1" s="1"/>
  <c r="I538" i="1"/>
  <c r="I539" i="1"/>
  <c r="I540" i="1"/>
  <c r="I541" i="1" s="1"/>
  <c r="I528" i="1"/>
  <c r="I529" i="1"/>
  <c r="I530" i="1"/>
  <c r="I531" i="1" s="1"/>
  <c r="I438" i="1"/>
  <c r="I439" i="1"/>
  <c r="I440" i="1"/>
  <c r="I441" i="1" s="1"/>
  <c r="I428" i="1"/>
  <c r="I429" i="1"/>
  <c r="I430" i="1"/>
  <c r="I431" i="1" s="1"/>
  <c r="I418" i="1"/>
  <c r="I419" i="1"/>
  <c r="I420" i="1"/>
  <c r="I421" i="1" s="1"/>
  <c r="I408" i="1"/>
  <c r="I409" i="1"/>
  <c r="I410" i="1"/>
  <c r="I411" i="1" s="1"/>
  <c r="I398" i="1"/>
  <c r="I399" i="1"/>
  <c r="I400" i="1"/>
  <c r="I401" i="1" s="1"/>
  <c r="J388" i="1"/>
  <c r="J389" i="1"/>
  <c r="J390" i="1"/>
  <c r="J391" i="1" s="1"/>
  <c r="J378" i="1"/>
  <c r="J379" i="1"/>
  <c r="J380" i="1"/>
  <c r="J381" i="1" s="1"/>
  <c r="J368" i="1"/>
  <c r="J369" i="1"/>
  <c r="J370" i="1"/>
  <c r="J371" i="1" s="1"/>
  <c r="J358" i="1"/>
  <c r="J359" i="1"/>
  <c r="J360" i="1"/>
  <c r="J361" i="1" s="1"/>
  <c r="J338" i="1"/>
  <c r="J339" i="1"/>
  <c r="J340" i="1"/>
  <c r="J341" i="1" s="1"/>
  <c r="J328" i="1"/>
  <c r="J329" i="1"/>
  <c r="J330" i="1"/>
  <c r="J331" i="1" s="1"/>
  <c r="J317" i="1"/>
  <c r="J318" i="1"/>
  <c r="J319" i="1"/>
  <c r="J320" i="1" s="1"/>
  <c r="J307" i="1"/>
  <c r="J308" i="1"/>
  <c r="J309" i="1"/>
  <c r="J310" i="1" s="1"/>
  <c r="J297" i="1"/>
  <c r="J298" i="1"/>
  <c r="J299" i="1"/>
  <c r="J300" i="1" s="1"/>
  <c r="J287" i="1"/>
  <c r="J288" i="1"/>
  <c r="J289" i="1"/>
  <c r="J290" i="1" s="1"/>
  <c r="J277" i="1"/>
  <c r="J278" i="1"/>
  <c r="J279" i="1"/>
  <c r="J280" i="1" s="1"/>
  <c r="J267" i="1"/>
  <c r="J268" i="1" s="1"/>
  <c r="J269" i="1"/>
  <c r="J270" i="1" s="1"/>
  <c r="F52" i="1"/>
  <c r="P10" i="1"/>
  <c r="P11" i="1"/>
  <c r="J10" i="1"/>
  <c r="J11" i="1"/>
  <c r="G10" i="1"/>
  <c r="G11" i="1"/>
  <c r="E237" i="1"/>
  <c r="E238" i="1" s="1"/>
  <c r="E239" i="1"/>
  <c r="E240" i="1" s="1"/>
  <c r="E227" i="1"/>
  <c r="E228" i="1"/>
  <c r="E229" i="1"/>
  <c r="E230" i="1" s="1"/>
  <c r="E207" i="1"/>
  <c r="E208" i="1"/>
  <c r="E209" i="1"/>
  <c r="E210" i="1" s="1"/>
  <c r="E197" i="1"/>
  <c r="E198" i="1"/>
  <c r="E199" i="1"/>
  <c r="E200" i="1" s="1"/>
  <c r="E187" i="1"/>
  <c r="E188" i="1"/>
  <c r="E189" i="1"/>
  <c r="E190" i="1" s="1"/>
  <c r="D167" i="1"/>
  <c r="D168" i="1"/>
  <c r="D169" i="1"/>
  <c r="D170" i="1" s="1"/>
  <c r="H132" i="1"/>
  <c r="H133" i="1"/>
  <c r="H134" i="1"/>
  <c r="H52" i="1"/>
  <c r="H53" i="1"/>
  <c r="H54" i="1" s="1"/>
  <c r="N10" i="1"/>
  <c r="N11" i="1"/>
  <c r="K10" i="1"/>
  <c r="K11" i="1"/>
  <c r="H10" i="1"/>
  <c r="H11" i="1"/>
  <c r="E10" i="1"/>
  <c r="E11" i="1"/>
  <c r="Q9" i="1"/>
  <c r="R8" i="1"/>
  <c r="R9" i="1" s="1"/>
  <c r="O10" i="1"/>
  <c r="O11" i="1"/>
  <c r="M10" i="1"/>
  <c r="G52" i="1"/>
  <c r="G53" i="1"/>
  <c r="G54" i="1" s="1"/>
  <c r="E58" i="1" s="1"/>
  <c r="E59" i="1" s="1"/>
  <c r="E60" i="1" s="1"/>
  <c r="E61" i="1" s="1"/>
  <c r="E52" i="1"/>
  <c r="D72" i="1"/>
  <c r="D75" i="1" s="1"/>
  <c r="D76" i="1" s="1"/>
  <c r="D77" i="1" s="1"/>
  <c r="E72" i="1"/>
  <c r="E75" i="1" s="1"/>
  <c r="E76" i="1" s="1"/>
  <c r="E77" i="1" s="1"/>
  <c r="F72" i="1"/>
  <c r="F75" i="1" s="1"/>
  <c r="F76" i="1" s="1"/>
  <c r="F77" i="1" s="1"/>
  <c r="G72" i="1"/>
  <c r="G75" i="1" s="1"/>
  <c r="G76" i="1" s="1"/>
  <c r="G77" i="1" s="1"/>
  <c r="H72" i="1"/>
  <c r="H75" i="1" s="1"/>
  <c r="H76" i="1" s="1"/>
  <c r="H77" i="1" s="1"/>
  <c r="I72" i="1"/>
  <c r="I75" i="1" s="1"/>
  <c r="I76" i="1" s="1"/>
  <c r="J72" i="1"/>
  <c r="J75" i="1" s="1"/>
  <c r="J76" i="1" s="1"/>
  <c r="J77" i="1" s="1"/>
  <c r="K72" i="1"/>
  <c r="K75" i="1" s="1"/>
  <c r="K76" i="1" s="1"/>
  <c r="L72" i="1"/>
  <c r="L75" i="1" s="1"/>
  <c r="L76" i="1" s="1"/>
  <c r="L77" i="1" s="1"/>
  <c r="M72" i="1"/>
  <c r="M75" i="1" s="1"/>
  <c r="M76" i="1" s="1"/>
  <c r="M77" i="1" s="1"/>
  <c r="N72" i="1"/>
  <c r="N75" i="1" s="1"/>
  <c r="N76" i="1" s="1"/>
  <c r="N77" i="1" s="1"/>
  <c r="P72" i="1"/>
  <c r="P75" i="1" s="1"/>
  <c r="P76" i="1" s="1"/>
  <c r="P77" i="1" s="1"/>
  <c r="BN130" i="1"/>
  <c r="BN133" i="1" s="1"/>
  <c r="BN134" i="1" s="1"/>
  <c r="BN135" i="1" s="1"/>
  <c r="BN136" i="1" s="1"/>
  <c r="BN137" i="1" s="1"/>
  <c r="BN138" i="1" s="1"/>
  <c r="BN139" i="1" s="1"/>
  <c r="BN140" i="1" s="1"/>
  <c r="O72" i="1"/>
  <c r="O75" i="1" s="1"/>
  <c r="O76" i="1" s="1"/>
  <c r="O77" i="1" s="1"/>
  <c r="Q72" i="1"/>
  <c r="Q75" i="1" s="1"/>
  <c r="Q76" i="1" s="1"/>
  <c r="Q77" i="1" s="1"/>
  <c r="BE130" i="1"/>
  <c r="BE133" i="1" s="1"/>
  <c r="BE134" i="1" s="1"/>
  <c r="BE135" i="1" s="1"/>
  <c r="BE136" i="1" s="1"/>
  <c r="BE137" i="1" s="1"/>
  <c r="BE138" i="1" s="1"/>
  <c r="BE139" i="1" s="1"/>
  <c r="BE140" i="1" s="1"/>
  <c r="BF130" i="1"/>
  <c r="BF133" i="1" s="1"/>
  <c r="BF134" i="1" s="1"/>
  <c r="BF135" i="1" s="1"/>
  <c r="BF136" i="1" s="1"/>
  <c r="BF137" i="1" s="1"/>
  <c r="BF138" i="1" s="1"/>
  <c r="BF139" i="1" s="1"/>
  <c r="BF140" i="1" s="1"/>
  <c r="BG130" i="1"/>
  <c r="BG133" i="1" s="1"/>
  <c r="BG134" i="1" s="1"/>
  <c r="BG135" i="1" s="1"/>
  <c r="BG136" i="1" s="1"/>
  <c r="BG137" i="1" s="1"/>
  <c r="BG138" i="1" s="1"/>
  <c r="BG139" i="1" s="1"/>
  <c r="BG140" i="1" s="1"/>
  <c r="BH130" i="1"/>
  <c r="BH133" i="1" s="1"/>
  <c r="BH134" i="1" s="1"/>
  <c r="BH135" i="1" s="1"/>
  <c r="BH136" i="1" s="1"/>
  <c r="BH137" i="1" s="1"/>
  <c r="BH138" i="1" s="1"/>
  <c r="BH139" i="1" s="1"/>
  <c r="BH140" i="1" s="1"/>
  <c r="BI130" i="1"/>
  <c r="BI133" i="1" s="1"/>
  <c r="BI134" i="1" s="1"/>
  <c r="BI135" i="1" s="1"/>
  <c r="BI136" i="1" s="1"/>
  <c r="BI137" i="1" s="1"/>
  <c r="BI138" i="1" s="1"/>
  <c r="BI139" i="1" s="1"/>
  <c r="BI140" i="1" s="1"/>
  <c r="BJ130" i="1"/>
  <c r="BJ133" i="1" s="1"/>
  <c r="BJ134" i="1" s="1"/>
  <c r="BJ135" i="1" s="1"/>
  <c r="BJ136" i="1" s="1"/>
  <c r="BJ137" i="1" s="1"/>
  <c r="BJ138" i="1" s="1"/>
  <c r="BJ139" i="1" s="1"/>
  <c r="BJ140" i="1" s="1"/>
  <c r="BK130" i="1"/>
  <c r="BK133" i="1" s="1"/>
  <c r="BK134" i="1" s="1"/>
  <c r="BK135" i="1" s="1"/>
  <c r="BK136" i="1" s="1"/>
  <c r="BK137" i="1" s="1"/>
  <c r="BK138" i="1" s="1"/>
  <c r="BK139" i="1" s="1"/>
  <c r="BK140" i="1" s="1"/>
  <c r="BL130" i="1"/>
  <c r="BL133" i="1" s="1"/>
  <c r="BL134" i="1" s="1"/>
  <c r="BL135" i="1" s="1"/>
  <c r="BL136" i="1" s="1"/>
  <c r="BL137" i="1" s="1"/>
  <c r="BL138" i="1" s="1"/>
  <c r="BL139" i="1" s="1"/>
  <c r="BL140" i="1" s="1"/>
  <c r="BM130" i="1"/>
  <c r="BM133" i="1" s="1"/>
  <c r="BM134" i="1" s="1"/>
  <c r="BM135" i="1" s="1"/>
  <c r="BM136" i="1" s="1"/>
  <c r="BM137" i="1" s="1"/>
  <c r="BM138" i="1" s="1"/>
  <c r="BM139" i="1" s="1"/>
  <c r="BM140" i="1" s="1"/>
  <c r="BO130" i="1"/>
  <c r="BO133" i="1" s="1"/>
  <c r="BO134" i="1" s="1"/>
  <c r="BO135" i="1" s="1"/>
  <c r="BO136" i="1" s="1"/>
  <c r="BO137" i="1" s="1"/>
  <c r="BO138" i="1" s="1"/>
  <c r="BO139" i="1" s="1"/>
  <c r="BO140" i="1" s="1"/>
  <c r="BP130" i="1"/>
  <c r="BP133" i="1" s="1"/>
  <c r="BP134" i="1" s="1"/>
  <c r="BP135" i="1" s="1"/>
  <c r="BP136" i="1" s="1"/>
  <c r="BP137" i="1" s="1"/>
  <c r="BP138" i="1" s="1"/>
  <c r="BP139" i="1" s="1"/>
  <c r="BP140" i="1" s="1"/>
  <c r="L10" i="1"/>
  <c r="I10" i="1"/>
  <c r="F10" i="1"/>
  <c r="F11" i="1"/>
  <c r="D23" i="1"/>
  <c r="D26" i="1" s="1"/>
  <c r="D27" i="1" s="1"/>
  <c r="H23" i="1"/>
  <c r="H26" i="1" s="1"/>
  <c r="H27" i="1" s="1"/>
  <c r="M23" i="1"/>
  <c r="M26" i="1" s="1"/>
  <c r="M27" i="1" s="1"/>
  <c r="O23" i="1"/>
  <c r="O26" i="1" s="1"/>
  <c r="O27" i="1" s="1"/>
  <c r="F33" i="1"/>
  <c r="F36" i="1" s="1"/>
  <c r="F37" i="1" s="1"/>
  <c r="G33" i="1"/>
  <c r="G36" i="1" s="1"/>
  <c r="G37" i="1" s="1"/>
  <c r="H33" i="1"/>
  <c r="H36" i="1" s="1"/>
  <c r="H37" i="1" s="1"/>
  <c r="J33" i="1"/>
  <c r="J36" i="1" s="1"/>
  <c r="J37" i="1" s="1"/>
  <c r="L33" i="1"/>
  <c r="L36" i="1" s="1"/>
  <c r="L37" i="1" s="1"/>
  <c r="N33" i="1"/>
  <c r="N36" i="1" s="1"/>
  <c r="N37" i="1" s="1"/>
  <c r="P33" i="1"/>
  <c r="P36" i="1" s="1"/>
  <c r="P37" i="1" s="1"/>
  <c r="E23" i="1"/>
  <c r="E26" i="1" s="1"/>
  <c r="E27" i="1" s="1"/>
  <c r="J23" i="1"/>
  <c r="J26" i="1" s="1"/>
  <c r="J27" i="1" s="1"/>
  <c r="N23" i="1"/>
  <c r="N26" i="1" s="1"/>
  <c r="N27" i="1" s="1"/>
  <c r="P23" i="1"/>
  <c r="P26" i="1" s="1"/>
  <c r="P27" i="1" s="1"/>
  <c r="Q23" i="1"/>
  <c r="Q26" i="1" s="1"/>
  <c r="Q27" i="1" s="1"/>
  <c r="I33" i="1"/>
  <c r="I36" i="1" s="1"/>
  <c r="I37" i="1" s="1"/>
  <c r="M33" i="1"/>
  <c r="M36" i="1" s="1"/>
  <c r="M37" i="1" s="1"/>
  <c r="Q33" i="1"/>
  <c r="Q36" i="1" s="1"/>
  <c r="Q37" i="1" s="1"/>
  <c r="G23" i="1"/>
  <c r="G26" i="1" s="1"/>
  <c r="G27" i="1" s="1"/>
  <c r="K23" i="1"/>
  <c r="K26" i="1" s="1"/>
  <c r="K27" i="1" s="1"/>
  <c r="F23" i="1"/>
  <c r="F26" i="1" s="1"/>
  <c r="F27" i="1" s="1"/>
  <c r="I23" i="1"/>
  <c r="I26" i="1" s="1"/>
  <c r="I27" i="1" s="1"/>
  <c r="L23" i="1"/>
  <c r="L26" i="1" s="1"/>
  <c r="L27" i="1" s="1"/>
  <c r="E33" i="1"/>
  <c r="E36" i="1" s="1"/>
  <c r="E37" i="1" s="1"/>
  <c r="K33" i="1"/>
  <c r="K36" i="1" s="1"/>
  <c r="K37" i="1" s="1"/>
  <c r="O33" i="1"/>
  <c r="O36" i="1" s="1"/>
  <c r="O37" i="1" s="1"/>
  <c r="I650" i="1"/>
  <c r="I651" i="1" s="1"/>
  <c r="G650" i="1"/>
  <c r="G651" i="1" s="1"/>
  <c r="I640" i="1"/>
  <c r="I641" i="1" s="1"/>
  <c r="G640" i="1"/>
  <c r="G641" i="1" s="1"/>
  <c r="I630" i="1"/>
  <c r="I631" i="1" s="1"/>
  <c r="G630" i="1"/>
  <c r="G631" i="1" s="1"/>
  <c r="I620" i="1"/>
  <c r="I621" i="1" s="1"/>
  <c r="G620" i="1"/>
  <c r="G621" i="1" s="1"/>
  <c r="I610" i="1"/>
  <c r="I611" i="1" s="1"/>
  <c r="G610" i="1"/>
  <c r="G611" i="1" s="1"/>
  <c r="I600" i="1"/>
  <c r="I601" i="1" s="1"/>
  <c r="G600" i="1"/>
  <c r="G601" i="1" s="1"/>
  <c r="I590" i="1"/>
  <c r="I591" i="1" s="1"/>
  <c r="G590" i="1"/>
  <c r="G591" i="1" s="1"/>
  <c r="G570" i="1"/>
  <c r="G571" i="1" s="1"/>
  <c r="H560" i="1"/>
  <c r="H561" i="1" s="1"/>
  <c r="G560" i="1"/>
  <c r="G561" i="1" s="1"/>
  <c r="F560" i="1"/>
  <c r="F561" i="1" s="1"/>
  <c r="H550" i="1"/>
  <c r="H551" i="1" s="1"/>
  <c r="G550" i="1"/>
  <c r="G551" i="1" s="1"/>
  <c r="F550" i="1"/>
  <c r="F551" i="1" s="1"/>
  <c r="H540" i="1"/>
  <c r="H541" i="1" s="1"/>
  <c r="G540" i="1"/>
  <c r="G541" i="1" s="1"/>
  <c r="F540" i="1"/>
  <c r="F541" i="1" s="1"/>
  <c r="H530" i="1"/>
  <c r="H531" i="1" s="1"/>
  <c r="G530" i="1"/>
  <c r="G531" i="1" s="1"/>
  <c r="F530" i="1"/>
  <c r="F531" i="1" s="1"/>
  <c r="I520" i="1"/>
  <c r="I521" i="1" s="1"/>
  <c r="H520" i="1"/>
  <c r="H521" i="1" s="1"/>
  <c r="G520" i="1"/>
  <c r="G521" i="1" s="1"/>
  <c r="F520" i="1"/>
  <c r="F521" i="1" s="1"/>
  <c r="I510" i="1"/>
  <c r="I511" i="1" s="1"/>
  <c r="G510" i="1"/>
  <c r="G511" i="1" s="1"/>
  <c r="I500" i="1"/>
  <c r="I501" i="1" s="1"/>
  <c r="G500" i="1"/>
  <c r="G501" i="1" s="1"/>
  <c r="I490" i="1"/>
  <c r="I491" i="1" s="1"/>
  <c r="G490" i="1"/>
  <c r="G491" i="1" s="1"/>
  <c r="I480" i="1"/>
  <c r="I481" i="1" s="1"/>
  <c r="G480" i="1"/>
  <c r="G481" i="1" s="1"/>
  <c r="I470" i="1"/>
  <c r="I471" i="1" s="1"/>
  <c r="G470" i="1"/>
  <c r="G471" i="1" s="1"/>
  <c r="I460" i="1"/>
  <c r="I461" i="1" s="1"/>
  <c r="G460" i="1"/>
  <c r="G461" i="1" s="1"/>
  <c r="I450" i="1"/>
  <c r="I451" i="1" s="1"/>
  <c r="G450" i="1"/>
  <c r="G451" i="1" s="1"/>
  <c r="H440" i="1"/>
  <c r="H441" i="1" s="1"/>
  <c r="G440" i="1"/>
  <c r="G441" i="1" s="1"/>
  <c r="F440" i="1"/>
  <c r="F441" i="1" s="1"/>
  <c r="H430" i="1"/>
  <c r="H431" i="1" s="1"/>
  <c r="G430" i="1"/>
  <c r="G431" i="1" s="1"/>
  <c r="F430" i="1"/>
  <c r="F431" i="1" s="1"/>
  <c r="H420" i="1"/>
  <c r="H421" i="1" s="1"/>
  <c r="G420" i="1"/>
  <c r="G421" i="1" s="1"/>
  <c r="F420" i="1"/>
  <c r="F421" i="1" s="1"/>
  <c r="H410" i="1"/>
  <c r="H411" i="1" s="1"/>
  <c r="G410" i="1"/>
  <c r="G411" i="1" s="1"/>
  <c r="F410" i="1"/>
  <c r="F411" i="1" s="1"/>
  <c r="H400" i="1"/>
  <c r="H401" i="1" s="1"/>
  <c r="G400" i="1"/>
  <c r="G401" i="1" s="1"/>
  <c r="F400" i="1"/>
  <c r="F401" i="1" s="1"/>
  <c r="H390" i="1"/>
  <c r="H391" i="1" s="1"/>
  <c r="G380" i="1"/>
  <c r="G381" i="1" s="1"/>
  <c r="G370" i="1"/>
  <c r="G371" i="1" s="1"/>
  <c r="G360" i="1"/>
  <c r="G361" i="1" s="1"/>
  <c r="D360" i="1"/>
  <c r="D361" i="1" s="1"/>
  <c r="J350" i="1"/>
  <c r="J351" i="1" s="1"/>
  <c r="G350" i="1"/>
  <c r="G351" i="1" s="1"/>
  <c r="E350" i="1"/>
  <c r="E351" i="1" s="1"/>
  <c r="D350" i="1"/>
  <c r="D351" i="1" s="1"/>
  <c r="AI348" i="1"/>
  <c r="AJ348" i="1" s="1"/>
  <c r="AI347" i="1"/>
  <c r="AJ347" i="1" s="1"/>
  <c r="AI346" i="1"/>
  <c r="AJ346" i="1" s="1"/>
  <c r="AI345" i="1"/>
  <c r="AJ345" i="1" s="1"/>
  <c r="AI344" i="1"/>
  <c r="AJ344" i="1" s="1"/>
  <c r="AI343" i="1"/>
  <c r="AJ343" i="1" s="1"/>
  <c r="AI342" i="1"/>
  <c r="AJ342" i="1" s="1"/>
  <c r="AI341" i="1"/>
  <c r="AJ341" i="1" s="1"/>
  <c r="AI340" i="1"/>
  <c r="AJ340" i="1" s="1"/>
  <c r="G340" i="1"/>
  <c r="G341" i="1" s="1"/>
  <c r="E340" i="1"/>
  <c r="E341" i="1" s="1"/>
  <c r="D340" i="1"/>
  <c r="D341" i="1" s="1"/>
  <c r="AI339" i="1"/>
  <c r="AJ339" i="1" s="1"/>
  <c r="AI338" i="1"/>
  <c r="AJ338" i="1" s="1"/>
  <c r="AI337" i="1"/>
  <c r="AJ337" i="1" s="1"/>
  <c r="AI336" i="1"/>
  <c r="AJ336" i="1" s="1"/>
  <c r="AI335" i="1"/>
  <c r="AJ335" i="1" s="1"/>
  <c r="AI334" i="1"/>
  <c r="AJ334" i="1" s="1"/>
  <c r="AI333" i="1"/>
  <c r="AJ333" i="1" s="1"/>
  <c r="AI332" i="1"/>
  <c r="AJ332" i="1" s="1"/>
  <c r="AI331" i="1"/>
  <c r="AJ331" i="1" s="1"/>
  <c r="AI330" i="1"/>
  <c r="AJ330" i="1" s="1"/>
  <c r="G330" i="1"/>
  <c r="G331" i="1" s="1"/>
  <c r="E330" i="1"/>
  <c r="E331" i="1" s="1"/>
  <c r="D330" i="1"/>
  <c r="D331" i="1" s="1"/>
  <c r="AI329" i="1"/>
  <c r="AJ329" i="1" s="1"/>
  <c r="AI328" i="1"/>
  <c r="AJ328" i="1" s="1"/>
  <c r="AI327" i="1"/>
  <c r="AJ327" i="1" s="1"/>
  <c r="AI326" i="1"/>
  <c r="AJ326" i="1" s="1"/>
  <c r="AI325" i="1"/>
  <c r="AJ325" i="1" s="1"/>
  <c r="AI324" i="1"/>
  <c r="AJ324" i="1" s="1"/>
  <c r="AI323" i="1"/>
  <c r="AJ323" i="1" s="1"/>
  <c r="AI322" i="1"/>
  <c r="AJ322" i="1" s="1"/>
  <c r="AI320" i="1"/>
  <c r="AJ320" i="1" s="1"/>
  <c r="AI319" i="1"/>
  <c r="AJ319" i="1" s="1"/>
  <c r="G319" i="1"/>
  <c r="G320" i="1" s="1"/>
  <c r="D319" i="1"/>
  <c r="D320" i="1" s="1"/>
  <c r="AI318" i="1"/>
  <c r="AJ318" i="1" s="1"/>
  <c r="AI317" i="1"/>
  <c r="AJ317" i="1" s="1"/>
  <c r="AI316" i="1"/>
  <c r="AJ316" i="1" s="1"/>
  <c r="AI315" i="1"/>
  <c r="AJ315" i="1" s="1"/>
  <c r="AI314" i="1"/>
  <c r="AJ314" i="1" s="1"/>
  <c r="AI313" i="1"/>
  <c r="AJ313" i="1" s="1"/>
  <c r="AI312" i="1"/>
  <c r="AJ312" i="1" s="1"/>
  <c r="AI310" i="1"/>
  <c r="AJ310" i="1" s="1"/>
  <c r="AI309" i="1"/>
  <c r="AJ309" i="1" s="1"/>
  <c r="G309" i="1"/>
  <c r="G310" i="1" s="1"/>
  <c r="E309" i="1"/>
  <c r="E310" i="1" s="1"/>
  <c r="D309" i="1"/>
  <c r="D310" i="1" s="1"/>
  <c r="AI308" i="1"/>
  <c r="AJ308" i="1" s="1"/>
  <c r="AI307" i="1"/>
  <c r="AJ307" i="1" s="1"/>
  <c r="AI306" i="1"/>
  <c r="AJ306" i="1" s="1"/>
  <c r="AI305" i="1"/>
  <c r="AJ305" i="1" s="1"/>
  <c r="AI304" i="1"/>
  <c r="AJ304" i="1" s="1"/>
  <c r="AI303" i="1"/>
  <c r="AJ303" i="1" s="1"/>
  <c r="AI302" i="1"/>
  <c r="AJ302" i="1" s="1"/>
  <c r="AI301" i="1"/>
  <c r="AJ301" i="1" s="1"/>
  <c r="AI300" i="1"/>
  <c r="AJ300" i="1" s="1"/>
  <c r="AI299" i="1"/>
  <c r="AJ299" i="1" s="1"/>
  <c r="G299" i="1"/>
  <c r="G300" i="1" s="1"/>
  <c r="E299" i="1"/>
  <c r="E300" i="1" s="1"/>
  <c r="D299" i="1"/>
  <c r="D300" i="1" s="1"/>
  <c r="AI298" i="1"/>
  <c r="AJ298" i="1" s="1"/>
  <c r="AI297" i="1"/>
  <c r="AJ297" i="1" s="1"/>
  <c r="AI296" i="1"/>
  <c r="AJ296" i="1" s="1"/>
  <c r="AI295" i="1"/>
  <c r="AJ295" i="1" s="1"/>
  <c r="AI294" i="1"/>
  <c r="AJ294" i="1" s="1"/>
  <c r="AI293" i="1"/>
  <c r="AJ293" i="1" s="1"/>
  <c r="AI292" i="1"/>
  <c r="AJ292" i="1" s="1"/>
  <c r="AI291" i="1"/>
  <c r="AJ291" i="1" s="1"/>
  <c r="AI290" i="1"/>
  <c r="AJ290" i="1" s="1"/>
  <c r="G289" i="1"/>
  <c r="G290" i="1" s="1"/>
  <c r="E289" i="1"/>
  <c r="E290" i="1" s="1"/>
  <c r="D289" i="1"/>
  <c r="D290" i="1" s="1"/>
  <c r="AI285" i="1"/>
  <c r="AJ285" i="1" s="1"/>
  <c r="AI284" i="1"/>
  <c r="AJ284" i="1" s="1"/>
  <c r="AI283" i="1"/>
  <c r="AJ283" i="1" s="1"/>
  <c r="AI282" i="1"/>
  <c r="AJ282" i="1" s="1"/>
  <c r="AI281" i="1"/>
  <c r="AJ281" i="1" s="1"/>
  <c r="AI280" i="1"/>
  <c r="AJ280" i="1" s="1"/>
  <c r="AI279" i="1"/>
  <c r="AJ279" i="1" s="1"/>
  <c r="G279" i="1"/>
  <c r="G280" i="1" s="1"/>
  <c r="E279" i="1"/>
  <c r="E280" i="1" s="1"/>
  <c r="D279" i="1"/>
  <c r="D280" i="1" s="1"/>
  <c r="AI278" i="1"/>
  <c r="AJ278" i="1" s="1"/>
  <c r="AI277" i="1"/>
  <c r="AJ277" i="1" s="1"/>
  <c r="AI276" i="1"/>
  <c r="AJ276" i="1" s="1"/>
  <c r="AI275" i="1"/>
  <c r="AJ275" i="1" s="1"/>
  <c r="AI274" i="1"/>
  <c r="AJ274" i="1" s="1"/>
  <c r="AI273" i="1"/>
  <c r="AJ273" i="1" s="1"/>
  <c r="AI272" i="1"/>
  <c r="AJ272" i="1" s="1"/>
  <c r="AI271" i="1"/>
  <c r="AJ271" i="1" s="1"/>
  <c r="AI270" i="1"/>
  <c r="AJ270" i="1" s="1"/>
  <c r="AI269" i="1"/>
  <c r="AJ269" i="1" s="1"/>
  <c r="G269" i="1"/>
  <c r="G270" i="1" s="1"/>
  <c r="E269" i="1"/>
  <c r="E270" i="1" s="1"/>
  <c r="D269" i="1"/>
  <c r="D270" i="1" s="1"/>
  <c r="AI268" i="1"/>
  <c r="AJ268" i="1" s="1"/>
  <c r="AI267" i="1"/>
  <c r="AJ267" i="1" s="1"/>
  <c r="AI266" i="1"/>
  <c r="AJ266" i="1" s="1"/>
  <c r="AI265" i="1"/>
  <c r="AJ265" i="1" s="1"/>
  <c r="AI264" i="1"/>
  <c r="AJ264" i="1" s="1"/>
  <c r="AI263" i="1"/>
  <c r="AJ263" i="1" s="1"/>
  <c r="AI262" i="1"/>
  <c r="AJ262" i="1" s="1"/>
  <c r="AI261" i="1"/>
  <c r="AJ261" i="1" s="1"/>
  <c r="AI260" i="1"/>
  <c r="AJ260" i="1" s="1"/>
  <c r="AI5" i="1"/>
  <c r="AJ5" i="1" s="1"/>
  <c r="AK5" i="1" s="1"/>
  <c r="W120" i="1"/>
  <c r="W121" i="1" s="1"/>
  <c r="W122" i="1" s="1"/>
  <c r="T120" i="1"/>
  <c r="T121" i="1" s="1"/>
  <c r="T122" i="1" s="1"/>
  <c r="R120" i="1"/>
  <c r="R121" i="1" s="1"/>
  <c r="R122" i="1" s="1"/>
  <c r="P120" i="1"/>
  <c r="P121" i="1" s="1"/>
  <c r="P122" i="1" s="1"/>
  <c r="J120" i="1"/>
  <c r="J121" i="1" s="1"/>
  <c r="J122" i="1" s="1"/>
  <c r="E120" i="1"/>
  <c r="E121" i="1" s="1"/>
  <c r="E122" i="1" s="1"/>
  <c r="S111" i="1"/>
  <c r="S112" i="1" s="1"/>
  <c r="K111" i="1"/>
  <c r="K112" i="1" s="1"/>
  <c r="AI106" i="1"/>
  <c r="AJ106" i="1" s="1"/>
  <c r="V102" i="1"/>
  <c r="V103" i="1" s="1"/>
  <c r="T93" i="1"/>
  <c r="T94" i="1" s="1"/>
  <c r="T95" i="1" s="1"/>
  <c r="O93" i="1"/>
  <c r="O94" i="1" s="1"/>
  <c r="O95" i="1" s="1"/>
  <c r="K93" i="1"/>
  <c r="K94" i="1" s="1"/>
  <c r="K95" i="1" s="1"/>
  <c r="G93" i="1"/>
  <c r="G94" i="1" s="1"/>
  <c r="G95" i="1" s="1"/>
  <c r="L84" i="1"/>
  <c r="L85" i="1" s="1"/>
  <c r="L86" i="1" s="1"/>
  <c r="I850" i="1"/>
  <c r="I851" i="1" s="1"/>
  <c r="G840" i="1"/>
  <c r="G841" i="1" s="1"/>
  <c r="G830" i="1"/>
  <c r="G831" i="1" s="1"/>
  <c r="G820" i="1"/>
  <c r="G821" i="1" s="1"/>
  <c r="G810" i="1"/>
  <c r="G811" i="1" s="1"/>
  <c r="I800" i="1"/>
  <c r="I801" i="1" s="1"/>
  <c r="I790" i="1"/>
  <c r="I791" i="1" s="1"/>
  <c r="G780" i="1"/>
  <c r="G781" i="1" s="1"/>
  <c r="I770" i="1"/>
  <c r="I771" i="1" s="1"/>
  <c r="G760" i="1"/>
  <c r="G761" i="1" s="1"/>
  <c r="G750" i="1"/>
  <c r="G751" i="1" s="1"/>
  <c r="G740" i="1"/>
  <c r="G741" i="1" s="1"/>
  <c r="H730" i="1"/>
  <c r="H731" i="1" s="1"/>
  <c r="F730" i="1"/>
  <c r="F731" i="1" s="1"/>
  <c r="G720" i="1"/>
  <c r="G721" i="1" s="1"/>
  <c r="G710" i="1"/>
  <c r="G711" i="1" s="1"/>
  <c r="G700" i="1"/>
  <c r="G701" i="1" s="1"/>
  <c r="G670" i="1"/>
  <c r="G671" i="1" s="1"/>
  <c r="I660" i="1"/>
  <c r="I661" i="1" s="1"/>
  <c r="AI259" i="1"/>
  <c r="AJ259" i="1" s="1"/>
  <c r="G259" i="1"/>
  <c r="G260" i="1" s="1"/>
  <c r="E259" i="1"/>
  <c r="E260" i="1" s="1"/>
  <c r="D259" i="1"/>
  <c r="D260" i="1" s="1"/>
  <c r="AI258" i="1"/>
  <c r="AJ258" i="1" s="1"/>
  <c r="AI257" i="1"/>
  <c r="AJ257" i="1" s="1"/>
  <c r="AI256" i="1"/>
  <c r="AJ256" i="1" s="1"/>
  <c r="AI255" i="1"/>
  <c r="AJ255" i="1" s="1"/>
  <c r="AI254" i="1"/>
  <c r="AJ254" i="1" s="1"/>
  <c r="AI253" i="1"/>
  <c r="AJ253" i="1" s="1"/>
  <c r="AI252" i="1"/>
  <c r="AJ252" i="1" s="1"/>
  <c r="AI251" i="1"/>
  <c r="AJ251" i="1" s="1"/>
  <c r="AI250" i="1"/>
  <c r="AJ250" i="1" s="1"/>
  <c r="AI249" i="1"/>
  <c r="AJ249" i="1" s="1"/>
  <c r="G249" i="1"/>
  <c r="G250" i="1" s="1"/>
  <c r="E249" i="1"/>
  <c r="E250" i="1" s="1"/>
  <c r="D249" i="1"/>
  <c r="D250" i="1" s="1"/>
  <c r="AI248" i="1"/>
  <c r="AJ248" i="1" s="1"/>
  <c r="AI247" i="1"/>
  <c r="AJ247" i="1" s="1"/>
  <c r="AI246" i="1"/>
  <c r="AJ246" i="1" s="1"/>
  <c r="AI245" i="1"/>
  <c r="AJ245" i="1" s="1"/>
  <c r="AI244" i="1"/>
  <c r="AJ244" i="1" s="1"/>
  <c r="AI243" i="1"/>
  <c r="AJ243" i="1" s="1"/>
  <c r="AI242" i="1"/>
  <c r="AJ242" i="1" s="1"/>
  <c r="AI241" i="1"/>
  <c r="AJ241" i="1" s="1"/>
  <c r="AI240" i="1"/>
  <c r="AJ240" i="1" s="1"/>
  <c r="AI239" i="1"/>
  <c r="AJ239" i="1" s="1"/>
  <c r="AI238" i="1"/>
  <c r="AJ238" i="1" s="1"/>
  <c r="AI237" i="1"/>
  <c r="AJ237" i="1" s="1"/>
  <c r="AI233" i="1"/>
  <c r="AJ233" i="1" s="1"/>
  <c r="AI232" i="1"/>
  <c r="AJ232" i="1" s="1"/>
  <c r="AI231" i="1"/>
  <c r="AJ231" i="1" s="1"/>
  <c r="AI230" i="1"/>
  <c r="AJ230" i="1" s="1"/>
  <c r="AI229" i="1"/>
  <c r="AJ229" i="1" s="1"/>
  <c r="AI225" i="1"/>
  <c r="AJ225" i="1" s="1"/>
  <c r="AI224" i="1"/>
  <c r="AJ224" i="1" s="1"/>
  <c r="AI223" i="1"/>
  <c r="AJ223" i="1" s="1"/>
  <c r="AI222" i="1"/>
  <c r="AJ222" i="1" s="1"/>
  <c r="AI221" i="1"/>
  <c r="AJ221" i="1" s="1"/>
  <c r="AI217" i="1"/>
  <c r="AJ217" i="1" s="1"/>
  <c r="AI216" i="1"/>
  <c r="AJ216" i="1" s="1"/>
  <c r="E216" i="1"/>
  <c r="AI215" i="1"/>
  <c r="AJ215" i="1" s="1"/>
  <c r="AI214" i="1"/>
  <c r="AJ214" i="1" s="1"/>
  <c r="AI213" i="1"/>
  <c r="AJ213" i="1" s="1"/>
  <c r="AI212" i="1"/>
  <c r="AJ212" i="1" s="1"/>
  <c r="AI211" i="1"/>
  <c r="AJ211" i="1" s="1"/>
  <c r="AI210" i="1"/>
  <c r="AJ210" i="1" s="1"/>
  <c r="AI209" i="1"/>
  <c r="AJ209" i="1" s="1"/>
  <c r="AI208" i="1"/>
  <c r="AJ208" i="1" s="1"/>
  <c r="AI207" i="1"/>
  <c r="AJ207" i="1" s="1"/>
  <c r="AI206" i="1"/>
  <c r="AJ206" i="1" s="1"/>
  <c r="AI205" i="1"/>
  <c r="AJ205" i="1" s="1"/>
  <c r="AI204" i="1"/>
  <c r="AJ204" i="1" s="1"/>
  <c r="AI203" i="1"/>
  <c r="AJ203" i="1" s="1"/>
  <c r="AI202" i="1"/>
  <c r="AJ202" i="1" s="1"/>
  <c r="AI201" i="1"/>
  <c r="AJ201" i="1" s="1"/>
  <c r="AI200" i="1"/>
  <c r="AJ200" i="1" s="1"/>
  <c r="AI199" i="1"/>
  <c r="AJ199" i="1" s="1"/>
  <c r="AI198" i="1"/>
  <c r="AJ198" i="1" s="1"/>
  <c r="AI197" i="1"/>
  <c r="AJ197" i="1" s="1"/>
  <c r="AI196" i="1"/>
  <c r="AJ196" i="1" s="1"/>
  <c r="AI195" i="1"/>
  <c r="AJ195" i="1" s="1"/>
  <c r="AI194" i="1"/>
  <c r="AJ194" i="1" s="1"/>
  <c r="AI193" i="1"/>
  <c r="AJ193" i="1" s="1"/>
  <c r="AI192" i="1"/>
  <c r="AJ192" i="1" s="1"/>
  <c r="AI191" i="1"/>
  <c r="AJ191" i="1" s="1"/>
  <c r="AI190" i="1"/>
  <c r="AJ190" i="1" s="1"/>
  <c r="AI189" i="1"/>
  <c r="AJ189" i="1" s="1"/>
  <c r="AI188" i="1"/>
  <c r="AJ188" i="1" s="1"/>
  <c r="AI187" i="1"/>
  <c r="AJ187" i="1" s="1"/>
  <c r="AI186" i="1"/>
  <c r="AJ186" i="1" s="1"/>
  <c r="AI185" i="1"/>
  <c r="AJ185" i="1" s="1"/>
  <c r="AI184" i="1"/>
  <c r="AJ184" i="1" s="1"/>
  <c r="AI183" i="1"/>
  <c r="AJ183" i="1" s="1"/>
  <c r="AI182" i="1"/>
  <c r="AJ182" i="1" s="1"/>
  <c r="AI181" i="1"/>
  <c r="AJ181" i="1" s="1"/>
  <c r="AI180" i="1"/>
  <c r="AJ180" i="1" s="1"/>
  <c r="AI179" i="1"/>
  <c r="AJ179" i="1" s="1"/>
  <c r="D179" i="1"/>
  <c r="D180" i="1" s="1"/>
  <c r="AI178" i="1"/>
  <c r="AJ178" i="1" s="1"/>
  <c r="AI177" i="1"/>
  <c r="AJ177" i="1" s="1"/>
  <c r="AI173" i="1"/>
  <c r="AJ173" i="1" s="1"/>
  <c r="AI172" i="1"/>
  <c r="AJ172" i="1" s="1"/>
  <c r="AI171" i="1"/>
  <c r="AJ171" i="1" s="1"/>
  <c r="AI170" i="1"/>
  <c r="AJ170" i="1" s="1"/>
  <c r="AI169" i="1"/>
  <c r="AJ169" i="1" s="1"/>
  <c r="AI168" i="1"/>
  <c r="AJ168" i="1" s="1"/>
  <c r="AI167" i="1"/>
  <c r="AJ167" i="1" s="1"/>
  <c r="AI166" i="1"/>
  <c r="AJ166" i="1" s="1"/>
  <c r="AI165" i="1"/>
  <c r="AJ165" i="1" s="1"/>
  <c r="AI164" i="1"/>
  <c r="AJ164" i="1" s="1"/>
  <c r="AI163" i="1"/>
  <c r="AJ163" i="1" s="1"/>
  <c r="AI162" i="1"/>
  <c r="AJ162" i="1" s="1"/>
  <c r="D159" i="1"/>
  <c r="D160" i="1" s="1"/>
  <c r="AI158" i="1"/>
  <c r="AJ158" i="1" s="1"/>
  <c r="AI157" i="1"/>
  <c r="AJ157" i="1" s="1"/>
  <c r="AI156" i="1"/>
  <c r="AJ156" i="1" s="1"/>
  <c r="AI155" i="1"/>
  <c r="AJ155" i="1" s="1"/>
  <c r="AI154" i="1"/>
  <c r="AJ154" i="1" s="1"/>
  <c r="AI153" i="1"/>
  <c r="AJ153" i="1" s="1"/>
  <c r="AI152" i="1"/>
  <c r="AJ152" i="1" s="1"/>
  <c r="AI151" i="1"/>
  <c r="AJ151" i="1" s="1"/>
  <c r="AI150" i="1"/>
  <c r="AJ150" i="1" s="1"/>
  <c r="AI149" i="1"/>
  <c r="AJ149" i="1" s="1"/>
  <c r="D149" i="1"/>
  <c r="D150" i="1" s="1"/>
  <c r="AI148" i="1"/>
  <c r="AJ148" i="1" s="1"/>
  <c r="AI147" i="1"/>
  <c r="AJ147" i="1" s="1"/>
  <c r="AI146" i="1"/>
  <c r="AJ146" i="1" s="1"/>
  <c r="AI142" i="1"/>
  <c r="AJ142" i="1" s="1"/>
  <c r="AI141" i="1"/>
  <c r="AJ141" i="1" s="1"/>
  <c r="D134" i="1"/>
  <c r="AI130" i="1"/>
  <c r="AJ130" i="1" s="1"/>
  <c r="AI126" i="1"/>
  <c r="AJ126" i="1" s="1"/>
  <c r="AI125" i="1"/>
  <c r="AJ125" i="1" s="1"/>
  <c r="AI124" i="1"/>
  <c r="AJ124" i="1" s="1"/>
  <c r="AI122" i="1"/>
  <c r="AJ122" i="1" s="1"/>
  <c r="AI121" i="1"/>
  <c r="AJ121" i="1" s="1"/>
  <c r="X120" i="1"/>
  <c r="X121" i="1" s="1"/>
  <c r="X122" i="1" s="1"/>
  <c r="V120" i="1"/>
  <c r="V121" i="1" s="1"/>
  <c r="V122" i="1" s="1"/>
  <c r="U120" i="1"/>
  <c r="U121" i="1" s="1"/>
  <c r="U122" i="1" s="1"/>
  <c r="S120" i="1"/>
  <c r="S121" i="1" s="1"/>
  <c r="S122" i="1" s="1"/>
  <c r="Q120" i="1"/>
  <c r="Q121" i="1" s="1"/>
  <c r="Q122" i="1" s="1"/>
  <c r="O120" i="1"/>
  <c r="O121" i="1" s="1"/>
  <c r="O122" i="1" s="1"/>
  <c r="M120" i="1"/>
  <c r="M121" i="1" s="1"/>
  <c r="M122" i="1" s="1"/>
  <c r="K120" i="1"/>
  <c r="K121" i="1" s="1"/>
  <c r="K122" i="1" s="1"/>
  <c r="I120" i="1"/>
  <c r="I121" i="1" s="1"/>
  <c r="I122" i="1" s="1"/>
  <c r="G120" i="1"/>
  <c r="G121" i="1" s="1"/>
  <c r="G122" i="1" s="1"/>
  <c r="AI118" i="1"/>
  <c r="AJ118" i="1" s="1"/>
  <c r="AI117" i="1"/>
  <c r="AJ117" i="1" s="1"/>
  <c r="AI116" i="1"/>
  <c r="AJ116" i="1" s="1"/>
  <c r="AI114" i="1"/>
  <c r="AJ114" i="1" s="1"/>
  <c r="AI113" i="1"/>
  <c r="AJ113" i="1" s="1"/>
  <c r="X111" i="1"/>
  <c r="X112" i="1" s="1"/>
  <c r="V111" i="1"/>
  <c r="V112" i="1" s="1"/>
  <c r="T111" i="1"/>
  <c r="T112" i="1" s="1"/>
  <c r="R111" i="1"/>
  <c r="R112" i="1" s="1"/>
  <c r="P111" i="1"/>
  <c r="P112" i="1" s="1"/>
  <c r="N111" i="1"/>
  <c r="N112" i="1" s="1"/>
  <c r="L111" i="1"/>
  <c r="L112" i="1" s="1"/>
  <c r="J111" i="1"/>
  <c r="J112" i="1" s="1"/>
  <c r="H111" i="1"/>
  <c r="H112" i="1" s="1"/>
  <c r="E111" i="1"/>
  <c r="E112" i="1" s="1"/>
  <c r="AI103" i="1"/>
  <c r="AJ103" i="1" s="1"/>
  <c r="W102" i="1"/>
  <c r="W103" i="1" s="1"/>
  <c r="U102" i="1"/>
  <c r="U103" i="1" s="1"/>
  <c r="S102" i="1"/>
  <c r="S103" i="1" s="1"/>
  <c r="Q102" i="1"/>
  <c r="Q103" i="1" s="1"/>
  <c r="O102" i="1"/>
  <c r="O103" i="1" s="1"/>
  <c r="M102" i="1"/>
  <c r="M103" i="1" s="1"/>
  <c r="K102" i="1"/>
  <c r="K103" i="1" s="1"/>
  <c r="H102" i="1"/>
  <c r="H103" i="1" s="1"/>
  <c r="F102" i="1"/>
  <c r="F103" i="1" s="1"/>
  <c r="AI101" i="1"/>
  <c r="AJ101" i="1" s="1"/>
  <c r="AI99" i="1"/>
  <c r="AJ99" i="1" s="1"/>
  <c r="AI97" i="1"/>
  <c r="AJ97" i="1" s="1"/>
  <c r="W93" i="1"/>
  <c r="W94" i="1" s="1"/>
  <c r="W95" i="1" s="1"/>
  <c r="U93" i="1"/>
  <c r="U94" i="1" s="1"/>
  <c r="U95" i="1" s="1"/>
  <c r="S93" i="1"/>
  <c r="S94" i="1" s="1"/>
  <c r="S95" i="1" s="1"/>
  <c r="R93" i="1"/>
  <c r="R94" i="1" s="1"/>
  <c r="R95" i="1" s="1"/>
  <c r="P93" i="1"/>
  <c r="P94" i="1" s="1"/>
  <c r="P95" i="1" s="1"/>
  <c r="N93" i="1"/>
  <c r="N94" i="1" s="1"/>
  <c r="N95" i="1" s="1"/>
  <c r="L93" i="1"/>
  <c r="L94" i="1" s="1"/>
  <c r="L95" i="1" s="1"/>
  <c r="J93" i="1"/>
  <c r="J94" i="1" s="1"/>
  <c r="J95" i="1" s="1"/>
  <c r="H93" i="1"/>
  <c r="H94" i="1" s="1"/>
  <c r="H95" i="1" s="1"/>
  <c r="F93" i="1"/>
  <c r="F94" i="1" s="1"/>
  <c r="F95" i="1" s="1"/>
  <c r="X84" i="1"/>
  <c r="X85" i="1" s="1"/>
  <c r="X86" i="1" s="1"/>
  <c r="U84" i="1"/>
  <c r="U85" i="1" s="1"/>
  <c r="U86" i="1" s="1"/>
  <c r="S84" i="1"/>
  <c r="S85" i="1" s="1"/>
  <c r="S86" i="1" s="1"/>
  <c r="Q84" i="1"/>
  <c r="Q85" i="1" s="1"/>
  <c r="Q86" i="1" s="1"/>
  <c r="O84" i="1"/>
  <c r="O85" i="1" s="1"/>
  <c r="O86" i="1" s="1"/>
  <c r="M84" i="1"/>
  <c r="M85" i="1" s="1"/>
  <c r="M86" i="1" s="1"/>
  <c r="K84" i="1"/>
  <c r="K85" i="1" s="1"/>
  <c r="K86" i="1" s="1"/>
  <c r="I84" i="1"/>
  <c r="I85" i="1" s="1"/>
  <c r="I86" i="1" s="1"/>
  <c r="F84" i="1"/>
  <c r="F85" i="1" s="1"/>
  <c r="F86" i="1" s="1"/>
  <c r="AI129" i="1"/>
  <c r="AJ129" i="1" s="1"/>
  <c r="AI128" i="1"/>
  <c r="AJ128" i="1" s="1"/>
  <c r="AI127" i="1"/>
  <c r="AJ127" i="1" s="1"/>
  <c r="AI123" i="1"/>
  <c r="AJ123" i="1" s="1"/>
  <c r="N120" i="1"/>
  <c r="N121" i="1" s="1"/>
  <c r="N122" i="1" s="1"/>
  <c r="L120" i="1"/>
  <c r="L121" i="1" s="1"/>
  <c r="L122" i="1" s="1"/>
  <c r="H120" i="1"/>
  <c r="H121" i="1" s="1"/>
  <c r="H122" i="1" s="1"/>
  <c r="AI119" i="1"/>
  <c r="AJ119" i="1" s="1"/>
  <c r="AI115" i="1"/>
  <c r="AJ115" i="1" s="1"/>
  <c r="AI112" i="1"/>
  <c r="AJ112" i="1" s="1"/>
  <c r="AI111" i="1"/>
  <c r="AJ111" i="1" s="1"/>
  <c r="W111" i="1"/>
  <c r="W112" i="1" s="1"/>
  <c r="U111" i="1"/>
  <c r="U112" i="1" s="1"/>
  <c r="Q111" i="1"/>
  <c r="Q112" i="1" s="1"/>
  <c r="O111" i="1"/>
  <c r="O112" i="1" s="1"/>
  <c r="M111" i="1"/>
  <c r="M112" i="1" s="1"/>
  <c r="I111" i="1"/>
  <c r="I112" i="1" s="1"/>
  <c r="AI110" i="1"/>
  <c r="AJ110" i="1" s="1"/>
  <c r="AI109" i="1"/>
  <c r="AJ109" i="1" s="1"/>
  <c r="AI108" i="1"/>
  <c r="AJ108" i="1" s="1"/>
  <c r="AI107" i="1"/>
  <c r="AJ107" i="1" s="1"/>
  <c r="AI105" i="1"/>
  <c r="AJ105" i="1" s="1"/>
  <c r="AI104" i="1"/>
  <c r="AJ104" i="1" s="1"/>
  <c r="AI102" i="1"/>
  <c r="AJ102" i="1" s="1"/>
  <c r="T102" i="1"/>
  <c r="T103" i="1" s="1"/>
  <c r="R102" i="1"/>
  <c r="R103" i="1" s="1"/>
  <c r="P102" i="1"/>
  <c r="P103" i="1" s="1"/>
  <c r="L102" i="1"/>
  <c r="L103" i="1" s="1"/>
  <c r="J102" i="1"/>
  <c r="J103" i="1" s="1"/>
  <c r="I102" i="1"/>
  <c r="I103" i="1" s="1"/>
  <c r="G102" i="1"/>
  <c r="G103" i="1" s="1"/>
  <c r="AI100" i="1"/>
  <c r="AJ100" i="1" s="1"/>
  <c r="AI98" i="1"/>
  <c r="AJ98" i="1" s="1"/>
  <c r="AI96" i="1"/>
  <c r="AJ96" i="1" s="1"/>
  <c r="AI95" i="1"/>
  <c r="AJ95" i="1" s="1"/>
  <c r="X93" i="1"/>
  <c r="X94" i="1" s="1"/>
  <c r="X95" i="1" s="1"/>
  <c r="V93" i="1"/>
  <c r="V94" i="1" s="1"/>
  <c r="V95" i="1" s="1"/>
  <c r="Q93" i="1"/>
  <c r="Q94" i="1" s="1"/>
  <c r="Q95" i="1" s="1"/>
  <c r="M93" i="1"/>
  <c r="M94" i="1" s="1"/>
  <c r="M95" i="1" s="1"/>
  <c r="I93" i="1"/>
  <c r="I94" i="1" s="1"/>
  <c r="I95" i="1" s="1"/>
  <c r="E93" i="1"/>
  <c r="E94" i="1" s="1"/>
  <c r="E95" i="1" s="1"/>
  <c r="W84" i="1"/>
  <c r="W85" i="1" s="1"/>
  <c r="W86" i="1" s="1"/>
  <c r="V84" i="1"/>
  <c r="V85" i="1" s="1"/>
  <c r="V86" i="1" s="1"/>
  <c r="T84" i="1"/>
  <c r="T85" i="1" s="1"/>
  <c r="T86" i="1" s="1"/>
  <c r="R84" i="1"/>
  <c r="R85" i="1" s="1"/>
  <c r="R86" i="1" s="1"/>
  <c r="P84" i="1"/>
  <c r="P85" i="1" s="1"/>
  <c r="P86" i="1" s="1"/>
  <c r="N84" i="1"/>
  <c r="N85" i="1" s="1"/>
  <c r="N86" i="1" s="1"/>
  <c r="J84" i="1"/>
  <c r="J85" i="1" s="1"/>
  <c r="J86" i="1" s="1"/>
  <c r="H84" i="1"/>
  <c r="H85" i="1" s="1"/>
  <c r="H86" i="1" s="1"/>
  <c r="G84" i="1"/>
  <c r="G85" i="1" s="1"/>
  <c r="G86" i="1" s="1"/>
  <c r="E84" i="1"/>
  <c r="E85" i="1" s="1"/>
  <c r="E86" i="1" s="1"/>
  <c r="G850" i="1"/>
  <c r="G851" i="1" s="1"/>
  <c r="I840" i="1"/>
  <c r="I841" i="1" s="1"/>
  <c r="I830" i="1"/>
  <c r="I831" i="1" s="1"/>
  <c r="I820" i="1"/>
  <c r="I821" i="1" s="1"/>
  <c r="I810" i="1"/>
  <c r="I811" i="1" s="1"/>
  <c r="G800" i="1"/>
  <c r="G801" i="1" s="1"/>
  <c r="G790" i="1"/>
  <c r="G791" i="1" s="1"/>
  <c r="I780" i="1"/>
  <c r="I781" i="1" s="1"/>
  <c r="G770" i="1"/>
  <c r="G771" i="1" s="1"/>
  <c r="I760" i="1"/>
  <c r="I761" i="1" s="1"/>
  <c r="I750" i="1"/>
  <c r="I751" i="1" s="1"/>
  <c r="H740" i="1"/>
  <c r="H741" i="1" s="1"/>
  <c r="F740" i="1"/>
  <c r="F741" i="1" s="1"/>
  <c r="G730" i="1"/>
  <c r="G731" i="1" s="1"/>
  <c r="H720" i="1"/>
  <c r="H721" i="1" s="1"/>
  <c r="F720" i="1"/>
  <c r="F721" i="1" s="1"/>
  <c r="H710" i="1"/>
  <c r="H711" i="1" s="1"/>
  <c r="F710" i="1"/>
  <c r="F711" i="1" s="1"/>
  <c r="H700" i="1"/>
  <c r="H701" i="1" s="1"/>
  <c r="F700" i="1"/>
  <c r="F701" i="1" s="1"/>
  <c r="H690" i="1"/>
  <c r="H691" i="1" s="1"/>
  <c r="I670" i="1"/>
  <c r="I671" i="1" s="1"/>
  <c r="G660" i="1"/>
  <c r="G661" i="1" s="1"/>
  <c r="P12" i="1" l="1"/>
  <c r="P13" i="1"/>
  <c r="J12" i="1"/>
  <c r="J13" i="1"/>
  <c r="G12" i="1"/>
  <c r="G13" i="1"/>
  <c r="N12" i="1"/>
  <c r="N13" i="1"/>
  <c r="K12" i="1"/>
  <c r="K13" i="1"/>
  <c r="H12" i="1"/>
  <c r="H13" i="1"/>
  <c r="E12" i="1"/>
  <c r="Q10" i="1"/>
  <c r="R10" i="1"/>
  <c r="O12" i="1"/>
  <c r="F12" i="1"/>
  <c r="E218" i="1"/>
  <c r="E217" i="1"/>
  <c r="D135" i="1"/>
  <c r="K630" i="1"/>
  <c r="K631" i="1" s="1"/>
  <c r="F53" i="1"/>
  <c r="F54" i="1" s="1"/>
  <c r="H135" i="1"/>
  <c r="H136" i="1"/>
  <c r="M11" i="1"/>
  <c r="E53" i="1"/>
  <c r="E54" i="1" s="1"/>
  <c r="L11" i="1"/>
  <c r="I11" i="1"/>
  <c r="K77" i="1"/>
  <c r="I77" i="1"/>
  <c r="G980" i="1"/>
  <c r="G981" i="1" s="1"/>
  <c r="I720" i="1"/>
  <c r="I721" i="1" s="1"/>
  <c r="K660" i="1"/>
  <c r="K661" i="1" s="1"/>
  <c r="P14" i="1" l="1"/>
  <c r="P16" i="1"/>
  <c r="J14" i="1"/>
  <c r="J16" i="1"/>
  <c r="G14" i="1"/>
  <c r="G16" i="1"/>
  <c r="N14" i="1"/>
  <c r="N16" i="1"/>
  <c r="K14" i="1"/>
  <c r="K16" i="1"/>
  <c r="H14" i="1"/>
  <c r="H16" i="1"/>
  <c r="H137" i="1"/>
  <c r="M12" i="1"/>
  <c r="L12" i="1"/>
  <c r="I12" i="1"/>
  <c r="E13" i="1"/>
  <c r="D136" i="1"/>
  <c r="D137" i="1"/>
  <c r="Q11" i="1"/>
  <c r="R11" i="1"/>
  <c r="O13" i="1"/>
  <c r="F13" i="1"/>
  <c r="E219" i="1"/>
  <c r="E220" i="1" s="1"/>
  <c r="H139" i="1" l="1"/>
  <c r="H140" i="1"/>
  <c r="E16" i="1"/>
  <c r="E14" i="1"/>
  <c r="D138" i="1"/>
  <c r="D139" i="1"/>
  <c r="Q12" i="1"/>
  <c r="R12" i="1"/>
  <c r="R13" i="1"/>
  <c r="O16" i="1"/>
  <c r="O14" i="1"/>
  <c r="F16" i="1"/>
  <c r="F14" i="1"/>
  <c r="H138" i="1"/>
  <c r="M13" i="1"/>
  <c r="L13" i="1"/>
  <c r="I13" i="1"/>
  <c r="R14" i="1" l="1"/>
  <c r="R16" i="1"/>
  <c r="M14" i="1"/>
  <c r="M16" i="1"/>
  <c r="L14" i="1"/>
  <c r="L16" i="1"/>
  <c r="I14" i="1"/>
  <c r="I16" i="1"/>
  <c r="D140" i="1"/>
  <c r="Q13" i="1"/>
  <c r="Q16" i="1" l="1"/>
  <c r="Q14" i="1"/>
</calcChain>
</file>

<file path=xl/sharedStrings.xml><?xml version="1.0" encoding="utf-8"?>
<sst xmlns="http://schemas.openxmlformats.org/spreadsheetml/2006/main" count="5552" uniqueCount="1050">
  <si>
    <t>PRICE LIST INSULFLEX</t>
  </si>
  <si>
    <t>KETEBALAN</t>
  </si>
  <si>
    <t>UKURAN</t>
  </si>
  <si>
    <t>PRICE LIST BUTTERFLY VALVE 10K</t>
  </si>
  <si>
    <t>PRICE LIST AUTOMATIC AIR VENT</t>
  </si>
  <si>
    <t>PRICE LIST THERMOMETER</t>
  </si>
  <si>
    <t>CONTROLING &amp; SENSOR (HONEYWELL)</t>
  </si>
  <si>
    <t>BALANCING VALVE</t>
  </si>
  <si>
    <t>Update Price 14 mei 2024</t>
  </si>
  <si>
    <t>REDUCER SCH 40</t>
  </si>
  <si>
    <t>SIZE</t>
  </si>
  <si>
    <t xml:space="preserve">Unit </t>
  </si>
  <si>
    <t>Insulation</t>
  </si>
  <si>
    <t>Mat. Bantu</t>
  </si>
  <si>
    <t>Support</t>
  </si>
  <si>
    <t>TOTAL</t>
  </si>
  <si>
    <t>Vendor</t>
  </si>
  <si>
    <t xml:space="preserve">Tanpa </t>
  </si>
  <si>
    <t>TEE SCH 40</t>
  </si>
  <si>
    <t>LEMBAR</t>
  </si>
  <si>
    <t>ROLL</t>
  </si>
  <si>
    <t>Size</t>
  </si>
  <si>
    <t>Price</t>
  </si>
  <si>
    <t>Vendor margin Est.</t>
  </si>
  <si>
    <t xml:space="preserve">YOSHITAKE CAST IRON BODY, 10K Scew </t>
  </si>
  <si>
    <t>Sika, Alumunium Body, Straight Compact , Gold Colour</t>
  </si>
  <si>
    <t>THREE WAY MOTORIZED VALVE MODULATING 1 1/4" s/d 6")</t>
  </si>
  <si>
    <t>HONEY WELL</t>
  </si>
  <si>
    <t>REFRIGERANT PIPE UNIT PRICE ANALYSIS</t>
  </si>
  <si>
    <t>&amp; hanger</t>
  </si>
  <si>
    <t>margin est.</t>
  </si>
  <si>
    <t>Isolasi</t>
  </si>
  <si>
    <t>mm</t>
  </si>
  <si>
    <t>Inch</t>
  </si>
  <si>
    <t>Meter</t>
  </si>
  <si>
    <r>
      <t>Harga / M</t>
    </r>
    <r>
      <rPr>
        <b/>
        <sz val="11"/>
        <color indexed="8"/>
        <rFont val="Calibri"/>
        <family val="2"/>
      </rPr>
      <t>²</t>
    </r>
  </si>
  <si>
    <t>Harga / Lembar</t>
  </si>
  <si>
    <t>Harga / Roll</t>
  </si>
  <si>
    <t>Vendor Margin</t>
  </si>
  <si>
    <t>Harga / Meter</t>
  </si>
  <si>
    <t>2"</t>
  </si>
  <si>
    <t>No.</t>
  </si>
  <si>
    <t>Part Number</t>
  </si>
  <si>
    <t>Description</t>
  </si>
  <si>
    <t>Pricelist IDR</t>
  </si>
  <si>
    <t>Total Price</t>
  </si>
  <si>
    <t>Type</t>
  </si>
  <si>
    <t>Pipa PVC Rucika standart</t>
  </si>
  <si>
    <t>Jasa</t>
  </si>
  <si>
    <t>PIPA PPR RUCIKA KELEN GREEN (4m/BATANG)</t>
  </si>
  <si>
    <t>ASTM B 88 ex. INABA DENKO</t>
  </si>
  <si>
    <t>3/4"</t>
  </si>
  <si>
    <t>X</t>
  </si>
  <si>
    <t>1/2"</t>
  </si>
  <si>
    <t>1/8</t>
  </si>
  <si>
    <t>1.22 x 0.914</t>
  </si>
  <si>
    <t>1.22 x 9.14</t>
  </si>
  <si>
    <t>2 1/2"</t>
  </si>
  <si>
    <t>Range</t>
  </si>
  <si>
    <t>1 1/4"</t>
  </si>
  <si>
    <t>V5013P1002</t>
  </si>
  <si>
    <t>Three Way Valve 1 1/4" Screw End</t>
  </si>
  <si>
    <t>Kombi -2- Plus</t>
  </si>
  <si>
    <t>V5032Y0015HW</t>
  </si>
  <si>
    <t>Balancing Valve DN15</t>
  </si>
  <si>
    <t>DN</t>
  </si>
  <si>
    <t>OD (mm)</t>
  </si>
  <si>
    <t>4 M/ Batang (Pricelist)</t>
  </si>
  <si>
    <t>4 M/ Batang (Vendor margin Est.)</t>
  </si>
  <si>
    <t>5.8 M/ Batang (Pricelist)</t>
  </si>
  <si>
    <t>5.8 M/ Batang (Vendor margin Est.)</t>
  </si>
  <si>
    <t>PN10</t>
  </si>
  <si>
    <t>PN16</t>
  </si>
  <si>
    <t>PN20</t>
  </si>
  <si>
    <t>Discount --&gt;</t>
  </si>
  <si>
    <t>1"</t>
  </si>
  <si>
    <t>1/4</t>
  </si>
  <si>
    <t>3"</t>
  </si>
  <si>
    <t>1 /2"</t>
  </si>
  <si>
    <r>
      <t>0°C - 50</t>
    </r>
    <r>
      <rPr>
        <sz val="11"/>
        <color indexed="8"/>
        <rFont val="Calibri"/>
        <family val="2"/>
      </rPr>
      <t>°</t>
    </r>
    <r>
      <rPr>
        <sz val="9.35"/>
        <color indexed="8"/>
        <rFont val="Calibri"/>
        <family val="2"/>
      </rPr>
      <t>C</t>
    </r>
  </si>
  <si>
    <t>ML7420A8088-E</t>
  </si>
  <si>
    <t>Valve Actuator 20 mm Stem Travel 600N for Two Position and Modulating</t>
  </si>
  <si>
    <t>Threaded End</t>
  </si>
  <si>
    <t>V5032Y0020HW</t>
  </si>
  <si>
    <t>Balancing Valve DN20</t>
  </si>
  <si>
    <t>AW**</t>
  </si>
  <si>
    <t>D****</t>
  </si>
  <si>
    <t>D***</t>
  </si>
  <si>
    <t>inch</t>
  </si>
  <si>
    <t>Exclude PPN</t>
  </si>
  <si>
    <t>Include PPN</t>
  </si>
  <si>
    <t>Vendor Margin Estimate</t>
  </si>
  <si>
    <t>Pipe Size</t>
  </si>
  <si>
    <t>6.35 mm</t>
  </si>
  <si>
    <t>9.52 mm</t>
  </si>
  <si>
    <t>12.7 mm</t>
  </si>
  <si>
    <t>15.88 mm</t>
  </si>
  <si>
    <t>19.05 mm</t>
  </si>
  <si>
    <t>22.23 mm</t>
  </si>
  <si>
    <t>25.4 mm</t>
  </si>
  <si>
    <t>28.58 mm</t>
  </si>
  <si>
    <t>31.75 mm</t>
  </si>
  <si>
    <t>34.93 mm</t>
  </si>
  <si>
    <t>38.10 mm</t>
  </si>
  <si>
    <t>41.28 mm</t>
  </si>
  <si>
    <t>44.45 mm</t>
  </si>
  <si>
    <t>53.98 mm</t>
  </si>
  <si>
    <t>3/8</t>
  </si>
  <si>
    <t>4"</t>
  </si>
  <si>
    <r>
      <t>0°C - 60</t>
    </r>
    <r>
      <rPr>
        <sz val="11"/>
        <color indexed="8"/>
        <rFont val="Calibri"/>
        <family val="2"/>
      </rPr>
      <t>°</t>
    </r>
    <r>
      <rPr>
        <sz val="9.35"/>
        <color indexed="8"/>
        <rFont val="Calibri"/>
        <family val="2"/>
      </rPr>
      <t>C</t>
    </r>
  </si>
  <si>
    <t>TB7980A1006/U</t>
  </si>
  <si>
    <t>Digital Modulating Tempearture Controller</t>
  </si>
  <si>
    <t>Connection</t>
  </si>
  <si>
    <t>V5032Y0025HW</t>
  </si>
  <si>
    <t>Balancing Valve DN25</t>
  </si>
  <si>
    <t>Pipe c/w insulation (per meter)</t>
  </si>
  <si>
    <t>1/2</t>
  </si>
  <si>
    <t>5"</t>
  </si>
  <si>
    <t>50014157-001/U</t>
  </si>
  <si>
    <t>Remote Duct Temperature Sensor for TB7980A1006</t>
  </si>
  <si>
    <t>V5032Y0032HW</t>
  </si>
  <si>
    <t>Balancing Valve DN32</t>
  </si>
  <si>
    <t>After Discount</t>
  </si>
  <si>
    <t>5/8</t>
  </si>
  <si>
    <t>6"</t>
  </si>
  <si>
    <t>1 1/2"</t>
  </si>
  <si>
    <t>V5013P1010</t>
  </si>
  <si>
    <t>Three Way Valve 1 1/2" Screw End</t>
  </si>
  <si>
    <t>V5032Y0040HW</t>
  </si>
  <si>
    <t>Balancing Valve DN40</t>
  </si>
  <si>
    <t>fittings + mat bantu</t>
  </si>
  <si>
    <t>3/4</t>
  </si>
  <si>
    <t>8"</t>
  </si>
  <si>
    <t>V5032Y0050HW</t>
  </si>
  <si>
    <t>Balancing Valve DN50</t>
  </si>
  <si>
    <t>Total</t>
  </si>
  <si>
    <t>10"</t>
  </si>
  <si>
    <t>support + hanger</t>
  </si>
  <si>
    <t>1 1/4</t>
  </si>
  <si>
    <t>12"</t>
  </si>
  <si>
    <t>V4 &amp; V5 Kombi - F</t>
  </si>
  <si>
    <t>V4-BLC-GP16-G065</t>
  </si>
  <si>
    <t>Balancing Valve DN65</t>
  </si>
  <si>
    <t>V5013P1028</t>
  </si>
  <si>
    <t>Three Way Valve 2" Screw End</t>
  </si>
  <si>
    <t>Series</t>
  </si>
  <si>
    <t>V4-BLC-GP16-G080</t>
  </si>
  <si>
    <t>Balancing Valve DN80</t>
  </si>
  <si>
    <t>After Contractor profit</t>
  </si>
  <si>
    <t>1 x 2.5</t>
  </si>
  <si>
    <t>Honey Well</t>
  </si>
  <si>
    <t>Arita</t>
  </si>
  <si>
    <t>Flanged</t>
  </si>
  <si>
    <t>V4-BLC-GP16-G100</t>
  </si>
  <si>
    <t>Balancing Valve DN100</t>
  </si>
  <si>
    <t>Ends</t>
  </si>
  <si>
    <t>V4-BLC-GP16-G125</t>
  </si>
  <si>
    <t>Balancing Valve DN125</t>
  </si>
  <si>
    <t>Labour</t>
  </si>
  <si>
    <t>INSULFEX TAPE &amp; ADHESIVE</t>
  </si>
  <si>
    <t>PRICE LIST BUTTERFLY VALVE 16K</t>
  </si>
  <si>
    <t>V4-BLC-GP16-G150</t>
  </si>
  <si>
    <t>Balancing Valve DN150</t>
  </si>
  <si>
    <t>V5329A2077</t>
  </si>
  <si>
    <t>Three Way Valve 2 1/2" Flanged End</t>
  </si>
  <si>
    <t>V4-BLC-GP16-G200</t>
  </si>
  <si>
    <t>Balancing Valve DN200</t>
  </si>
  <si>
    <t>NAMA BARANG</t>
  </si>
  <si>
    <t xml:space="preserve">Harga </t>
  </si>
  <si>
    <t>Harga Vendor Margin</t>
  </si>
  <si>
    <t>V4-BLC-GP16-G250</t>
  </si>
  <si>
    <t>Balancing Valve DN250</t>
  </si>
  <si>
    <t>COUPLER PPR</t>
  </si>
  <si>
    <t>CAP PPR</t>
  </si>
  <si>
    <t>LEBAR</t>
  </si>
  <si>
    <t>TEBAL</t>
  </si>
  <si>
    <t>PANJANG</t>
  </si>
  <si>
    <t>( Unit )</t>
  </si>
  <si>
    <t>(Unit)</t>
  </si>
  <si>
    <t>V4-BLC-GP16-G300</t>
  </si>
  <si>
    <t>Balancing Valve DN300</t>
  </si>
  <si>
    <t>DRAIN PIPE UNIT PRICE ANALYSIS</t>
  </si>
  <si>
    <t>Insluflex Tape 1"</t>
  </si>
  <si>
    <t>25 mm</t>
  </si>
  <si>
    <t>3 mm</t>
  </si>
  <si>
    <t>9.14 mtr</t>
  </si>
  <si>
    <t>V4-BLC-GP16-G350</t>
  </si>
  <si>
    <t>Balancing Valve DN350</t>
  </si>
  <si>
    <t>Insulflex Tape 2"</t>
  </si>
  <si>
    <t>50 mm</t>
  </si>
  <si>
    <t>V5329A2085</t>
  </si>
  <si>
    <t>Three Way Valve 3" Flanged End</t>
  </si>
  <si>
    <t>V4-BLC-GP16-G400</t>
  </si>
  <si>
    <t>Balancing Valve DN400</t>
  </si>
  <si>
    <t>Pipa PVC</t>
  </si>
  <si>
    <t>Insulflex Adhesive ( Kaleng @ 800 ml )</t>
  </si>
  <si>
    <t>V4-BLC-GP16-G450</t>
  </si>
  <si>
    <t>Balancing Valve DN450</t>
  </si>
  <si>
    <t>Notes</t>
  </si>
  <si>
    <t>Insulflex Cork Tape</t>
  </si>
  <si>
    <t>PRICE LIST PRESSURE GAUGE</t>
  </si>
  <si>
    <t>V4-BLC-GP16-G500</t>
  </si>
  <si>
    <t>Balancing Valve DN500</t>
  </si>
  <si>
    <t>* AW / VP : Pipa untuk tekanan kerja 10 Kg / cm²</t>
  </si>
  <si>
    <t>Material Internal : Brass, Material Socket : Brass</t>
  </si>
  <si>
    <t>V4-BLC-GP16-G600</t>
  </si>
  <si>
    <t>Balancing Valve DN600</t>
  </si>
  <si>
    <t>*** D / VU : Pipa untuk aplikasi air limbah.</t>
  </si>
  <si>
    <t>Support &amp; hanger</t>
  </si>
  <si>
    <t>V5050A2088</t>
  </si>
  <si>
    <t>Three Way Valve 4" Flanged End</t>
  </si>
  <si>
    <t>DN: Diameter Nominal | OD: Outside Diameter</t>
  </si>
  <si>
    <t>Price List Gate Valve CI Body, JIS 10K Flange</t>
  </si>
  <si>
    <t>ML7421B8012-E</t>
  </si>
  <si>
    <t>Valve Actuator 20 mm Stem Travel 800N for Two Position and Modulating</t>
  </si>
  <si>
    <t>Vendor margin est.</t>
  </si>
  <si>
    <t>0 - 10 Kg</t>
  </si>
  <si>
    <t>0 - 15 Kg</t>
  </si>
  <si>
    <t>Pipa PVC JIS K-6741 / K-6742 UNTUK APLIKASI AIR BERSIH &amp; AIR LIMBAH</t>
  </si>
  <si>
    <t>PRICE LIST Pipa Welded Stainless Steel Sch 10, Sch 20 &amp; Sch 40</t>
  </si>
  <si>
    <t>0 - 20 Kg</t>
  </si>
  <si>
    <t>V5050A2106</t>
  </si>
  <si>
    <t>Three Way Valve 5" Flanged End</t>
  </si>
  <si>
    <t>0 - 25 Kg</t>
  </si>
  <si>
    <t>VP**</t>
  </si>
  <si>
    <t>VU****</t>
  </si>
  <si>
    <t>VU***</t>
  </si>
  <si>
    <t>_SCH 10_</t>
  </si>
  <si>
    <t>_SCH 20_</t>
  </si>
  <si>
    <t>0 - 35 Kg</t>
  </si>
  <si>
    <t>Elbow PVC</t>
  </si>
  <si>
    <t>Merk</t>
  </si>
  <si>
    <t>Harga/6 Meter</t>
  </si>
  <si>
    <t xml:space="preserve">Harga Vendor Margin EstimateVendor </t>
  </si>
  <si>
    <t>0 - 50 Kg</t>
  </si>
  <si>
    <t>SPINDO / TETSURA</t>
  </si>
  <si>
    <t>0 - 75 Kg</t>
  </si>
  <si>
    <t>V5050A2114</t>
  </si>
  <si>
    <t>Three Way Valve 6" Flanged End</t>
  </si>
  <si>
    <t>REDUCER FEMALE PPR</t>
  </si>
  <si>
    <t>1.1/4"</t>
  </si>
  <si>
    <t>ELBOW 45° PPR</t>
  </si>
  <si>
    <t>FEMALE THREAD TEE PPR</t>
  </si>
  <si>
    <t>1.1/2"</t>
  </si>
  <si>
    <t>25x20</t>
  </si>
  <si>
    <t>DN
(mm)</t>
  </si>
  <si>
    <t xml:space="preserve">Harga Exc. PPN </t>
  </si>
  <si>
    <t xml:space="preserve">Harga Inc. PPN </t>
  </si>
  <si>
    <t>Harga Exc. PPN (Rp)</t>
  </si>
  <si>
    <t>Harga Inc. PPN (Rp)</t>
  </si>
  <si>
    <t>32x20</t>
  </si>
  <si>
    <t>20x1/2"</t>
  </si>
  <si>
    <t>2.1/2"</t>
  </si>
  <si>
    <t>TWO WAY MOTORIZED VALVE MODULATING 1 1/4" s/d 6")</t>
  </si>
  <si>
    <t>32x25</t>
  </si>
  <si>
    <t>20x3/4"</t>
  </si>
  <si>
    <t>PRICE LIST FLOW SWITCH</t>
  </si>
  <si>
    <t>40x20</t>
  </si>
  <si>
    <t>25x1/2"</t>
  </si>
  <si>
    <t>Model : FG 61 KB - B23</t>
  </si>
  <si>
    <t>V5011P1012</t>
  </si>
  <si>
    <t>Two Way Valve 1 1/4" Screw End</t>
  </si>
  <si>
    <t>40x25</t>
  </si>
  <si>
    <t>25x3/4"</t>
  </si>
  <si>
    <t>BJLS thickness</t>
  </si>
  <si>
    <t>BJLS 1</t>
  </si>
  <si>
    <t>BJLS 0.8</t>
  </si>
  <si>
    <t>BJLS 0.6</t>
  </si>
  <si>
    <t>BJLS 0.5</t>
  </si>
  <si>
    <t>Maker</t>
  </si>
  <si>
    <t>40x32</t>
  </si>
  <si>
    <t>32x1/2"</t>
  </si>
  <si>
    <t>Yoshitake</t>
  </si>
  <si>
    <t>50x20</t>
  </si>
  <si>
    <t>32x3/4"</t>
  </si>
  <si>
    <t>BJLS LOKFOM</t>
  </si>
  <si>
    <t>--&gt; include ppn 10%</t>
  </si>
  <si>
    <t>Price List Check Valve, JIS 10K Flange</t>
  </si>
  <si>
    <t>HoneyWell</t>
  </si>
  <si>
    <t>50x25</t>
  </si>
  <si>
    <t>32x1"</t>
  </si>
  <si>
    <t>After discount 5%</t>
  </si>
  <si>
    <t>V5011P1020</t>
  </si>
  <si>
    <t>Two Way Valve 1 1/2" Screw End</t>
  </si>
  <si>
    <t>50x32</t>
  </si>
  <si>
    <r>
      <t>Outter glasswool dens. 32 kg/m</t>
    </r>
    <r>
      <rPr>
        <sz val="11"/>
        <color indexed="8"/>
        <rFont val="Calibri"/>
        <family val="2"/>
      </rPr>
      <t>³ 2 inch</t>
    </r>
  </si>
  <si>
    <t>50x40</t>
  </si>
  <si>
    <t>Alumunium foil DS-FR</t>
  </si>
  <si>
    <t>_SCH 40_</t>
  </si>
  <si>
    <t>63x25</t>
  </si>
  <si>
    <r>
      <t>Inner glasswool dens. 32 kg/m</t>
    </r>
    <r>
      <rPr>
        <sz val="11"/>
        <color indexed="8"/>
        <rFont val="Calibri"/>
        <family val="2"/>
      </rPr>
      <t>³ 1 inch</t>
    </r>
  </si>
  <si>
    <t>PRICE LIST PRESSURE REDUCING VALVE</t>
  </si>
  <si>
    <t>63x32</t>
  </si>
  <si>
    <t>Glasscloth</t>
  </si>
  <si>
    <t>V5011P1038</t>
  </si>
  <si>
    <t>Two Way Valve 2" Screw End</t>
  </si>
  <si>
    <t>63x40</t>
  </si>
  <si>
    <t>Spindle pin</t>
  </si>
  <si>
    <t>63x50</t>
  </si>
  <si>
    <t>ELBOW 90° PPR</t>
  </si>
  <si>
    <t>FLANGE ADAPTOR PPR</t>
  </si>
  <si>
    <t>Wire mesh</t>
  </si>
  <si>
    <t>75x32</t>
  </si>
  <si>
    <t>Harga exclude PPN</t>
  </si>
  <si>
    <t>Harga Include PPN</t>
  </si>
  <si>
    <t>Material bantu, support &amp; hanger</t>
  </si>
  <si>
    <t>Reducing  Socket (AW)</t>
  </si>
  <si>
    <t>Flange PVC</t>
  </si>
  <si>
    <t>75x40</t>
  </si>
  <si>
    <r>
      <t>TOTAL PRICE /m</t>
    </r>
    <r>
      <rPr>
        <b/>
        <sz val="11"/>
        <color indexed="8"/>
        <rFont val="Calibri"/>
        <family val="2"/>
      </rPr>
      <t>²</t>
    </r>
  </si>
  <si>
    <t>V5328A1179</t>
  </si>
  <si>
    <t>Two Way Valve 2 1/2" Flanged End</t>
  </si>
  <si>
    <t>Isi/Box</t>
  </si>
  <si>
    <t>Harga/Pcs</t>
  </si>
  <si>
    <t>Vendor Margin Est</t>
  </si>
  <si>
    <t>75x50</t>
  </si>
  <si>
    <t>75x63</t>
  </si>
  <si>
    <t>20 x 16</t>
  </si>
  <si>
    <t>¾" x ½"</t>
  </si>
  <si>
    <t>90x32</t>
  </si>
  <si>
    <t>25 x 16</t>
  </si>
  <si>
    <t>1" x ½"</t>
  </si>
  <si>
    <t>2½"</t>
  </si>
  <si>
    <t>90x40</t>
  </si>
  <si>
    <t>Price List Y - Strainer, JIS 10K Flange</t>
  </si>
  <si>
    <t>25 x 20</t>
  </si>
  <si>
    <t>1" x ¾"</t>
  </si>
  <si>
    <t>90x50</t>
  </si>
  <si>
    <t>MALE THREAD TEE PPR</t>
  </si>
  <si>
    <t>POLYURETHANE DUCT</t>
  </si>
  <si>
    <t>35 x 16</t>
  </si>
  <si>
    <t>1¼" x ½"</t>
  </si>
  <si>
    <t>90x63</t>
  </si>
  <si>
    <t>HargaInc. PPN (Rp)</t>
  </si>
  <si>
    <t>Gantungan &amp; mat bantu</t>
  </si>
  <si>
    <t>12"'</t>
  </si>
  <si>
    <t>35 x 20</t>
  </si>
  <si>
    <t>1¼" x ¾"</t>
  </si>
  <si>
    <t>90x75</t>
  </si>
  <si>
    <r>
      <t>TOTAL PRICE/m</t>
    </r>
    <r>
      <rPr>
        <sz val="11"/>
        <color indexed="8"/>
        <rFont val="Calibri"/>
        <family val="2"/>
      </rPr>
      <t>²</t>
    </r>
  </si>
  <si>
    <t>35 x 25</t>
  </si>
  <si>
    <t>1¼" x 1"</t>
  </si>
  <si>
    <t>110x50</t>
  </si>
  <si>
    <t>include margin vendor</t>
  </si>
  <si>
    <t>40 x 16</t>
  </si>
  <si>
    <t>1½" x ½"</t>
  </si>
  <si>
    <t>110x63</t>
  </si>
  <si>
    <t>14"</t>
  </si>
  <si>
    <t>40 x 20</t>
  </si>
  <si>
    <t>1½" x ¾"</t>
  </si>
  <si>
    <t>110x75</t>
  </si>
  <si>
    <t>Diffuser</t>
  </si>
  <si>
    <t>40 x 25</t>
  </si>
  <si>
    <t>1½" x 1"</t>
  </si>
  <si>
    <t>Elbow PVC (AW)</t>
  </si>
  <si>
    <t>110x90</t>
  </si>
  <si>
    <t>Grill</t>
  </si>
  <si>
    <t>40 x 35</t>
  </si>
  <si>
    <t>1½" x 1¼"</t>
  </si>
  <si>
    <t>160x110</t>
  </si>
  <si>
    <t>VD/FD</t>
  </si>
  <si>
    <t>50 x 16</t>
  </si>
  <si>
    <t>2" x ½"</t>
  </si>
  <si>
    <t>REDUCER MALE / FEMALE PPR</t>
  </si>
  <si>
    <t xml:space="preserve">32x1"  </t>
  </si>
  <si>
    <t>Spigot</t>
  </si>
  <si>
    <t>50 x 20</t>
  </si>
  <si>
    <t>2" x ¾"</t>
  </si>
  <si>
    <t>½"</t>
  </si>
  <si>
    <t>Flex 350 2</t>
  </si>
  <si>
    <t>50 x 25</t>
  </si>
  <si>
    <t>2" x 1"</t>
  </si>
  <si>
    <t>¾"</t>
  </si>
  <si>
    <t>Spindo</t>
  </si>
  <si>
    <t>16"</t>
  </si>
  <si>
    <t>50 x 35</t>
  </si>
  <si>
    <t>2" x 1¼"</t>
  </si>
  <si>
    <t>REDUCED ELBOW PPR</t>
  </si>
  <si>
    <t>50 x 40</t>
  </si>
  <si>
    <t>2" x 1½"</t>
  </si>
  <si>
    <t>1¼"</t>
  </si>
  <si>
    <t>65 x 40</t>
  </si>
  <si>
    <t>2½" x 1½"</t>
  </si>
  <si>
    <t>1½"</t>
  </si>
  <si>
    <t>PIPA SCH 40</t>
  </si>
  <si>
    <t>Price List Gate Valve Bronze 150# Screw (Fig.E)</t>
  </si>
  <si>
    <t>PRICE LIST Pipa Welded Stainless Steel Sch 10, Sch 20 &amp; Sch 40 (BASED PRICE)</t>
  </si>
  <si>
    <t>65 x 50</t>
  </si>
  <si>
    <t>2½" x 2"</t>
  </si>
  <si>
    <t>32X20</t>
  </si>
  <si>
    <t>SIZE :</t>
  </si>
  <si>
    <t>75 x 20</t>
  </si>
  <si>
    <t>3" x ¾"</t>
  </si>
  <si>
    <t>32X25</t>
  </si>
  <si>
    <t>18"</t>
  </si>
  <si>
    <r>
      <rPr>
        <b/>
        <sz val="10"/>
        <rFont val="Calibri"/>
        <family val="1"/>
      </rPr>
      <t>SGP / MEDIUM</t>
    </r>
  </si>
  <si>
    <r>
      <rPr>
        <sz val="9"/>
        <rFont val="Arial MT"/>
        <family val="2"/>
      </rPr>
      <t>ELBOW 90D</t>
    </r>
  </si>
  <si>
    <t>75 x 25</t>
  </si>
  <si>
    <t>3" x 1"</t>
  </si>
  <si>
    <r>
      <rPr>
        <sz val="9"/>
        <rFont val="Arial MT"/>
        <family val="2"/>
      </rPr>
      <t>ELBOW 45D</t>
    </r>
  </si>
  <si>
    <t>75 x 35</t>
  </si>
  <si>
    <t>3" x 1¼"</t>
  </si>
  <si>
    <r>
      <rPr>
        <sz val="9"/>
        <rFont val="Arial MT"/>
        <family val="2"/>
      </rPr>
      <t>EQUAL TEE</t>
    </r>
  </si>
  <si>
    <t>CONTROLING &amp; SENSOR</t>
  </si>
  <si>
    <t>75 x 40</t>
  </si>
  <si>
    <t>3" x 1½"</t>
  </si>
  <si>
    <t>REDUCER TEE PPR</t>
  </si>
  <si>
    <t>EQUAL TEE PPR</t>
  </si>
  <si>
    <r>
      <rPr>
        <sz val="9"/>
        <rFont val="Arial MT"/>
        <family val="2"/>
      </rPr>
      <t>RED.TEE</t>
    </r>
  </si>
  <si>
    <t>FCU and Thermostat</t>
  </si>
  <si>
    <t>75 x 50</t>
  </si>
  <si>
    <t>3" x 2"</t>
  </si>
  <si>
    <t>Tanpa Isolasi</t>
  </si>
  <si>
    <t>Fitting Drat Glav</t>
  </si>
  <si>
    <t xml:space="preserve">Vendor </t>
  </si>
  <si>
    <r>
      <rPr>
        <sz val="9"/>
        <rFont val="Arial MT"/>
        <family val="2"/>
      </rPr>
      <t>RED.CONC</t>
    </r>
  </si>
  <si>
    <t>75 x 65</t>
  </si>
  <si>
    <t>3" x 2½"</t>
  </si>
  <si>
    <t>25x20x25</t>
  </si>
  <si>
    <t>20"</t>
  </si>
  <si>
    <t>margin Est. Tanpa Isolasi</t>
  </si>
  <si>
    <r>
      <rPr>
        <b/>
        <sz val="10"/>
        <rFont val="Calibri"/>
        <family val="1"/>
      </rPr>
      <t>SCH 40</t>
    </r>
  </si>
  <si>
    <t>VC6013AF1000T</t>
  </si>
  <si>
    <t>Two Way Motorized Valve On Off 1/2"</t>
  </si>
  <si>
    <t>100 x 40</t>
  </si>
  <si>
    <t>4" x 1½"</t>
  </si>
  <si>
    <t>32x20x32</t>
  </si>
  <si>
    <t>24"</t>
  </si>
  <si>
    <t>22"</t>
  </si>
  <si>
    <t>Elbow 90°</t>
  </si>
  <si>
    <t>3/8"</t>
  </si>
  <si>
    <t>VC6013AJC1000T</t>
  </si>
  <si>
    <t>Two Way Motorized Valve On Off 3/4"</t>
  </si>
  <si>
    <t>100 x 50</t>
  </si>
  <si>
    <t>4" x 2"</t>
  </si>
  <si>
    <t>32x25x32</t>
  </si>
  <si>
    <t>ELBOW SCH 40</t>
  </si>
  <si>
    <t>1/4"</t>
  </si>
  <si>
    <t>VC6013APC1000T</t>
  </si>
  <si>
    <t>Two Way Motorized Valve On Off 1"</t>
  </si>
  <si>
    <t>100 x 65</t>
  </si>
  <si>
    <t>4" x 2½"</t>
  </si>
  <si>
    <t>40x20x40</t>
  </si>
  <si>
    <t>VCZBD1100/U + VC6013ZZ00</t>
  </si>
  <si>
    <t>Two Way Motorized Valve On Off 1 1/4"</t>
  </si>
  <si>
    <t>100 x 75</t>
  </si>
  <si>
    <t>4" x 3"</t>
  </si>
  <si>
    <t>40x25x40</t>
  </si>
  <si>
    <t>Price List Gate Valve Bronze 125# Screw (Fig.FH)</t>
  </si>
  <si>
    <t>Price List Check Valve Bronze 125# Screw (Fig.R)</t>
  </si>
  <si>
    <t>VCZBD1100/U</t>
  </si>
  <si>
    <t>Two Way Valve On Off 1 1/4"</t>
  </si>
  <si>
    <t>125 x 75</t>
  </si>
  <si>
    <t>5" x 3"</t>
  </si>
  <si>
    <t>Socket (AW)</t>
  </si>
  <si>
    <t>40x32x40</t>
  </si>
  <si>
    <t>VC6013ZZ00</t>
  </si>
  <si>
    <t>Valve Acuator On Off</t>
  </si>
  <si>
    <t>125 x 100</t>
  </si>
  <si>
    <t>5" x 4"</t>
  </si>
  <si>
    <t>50x20x50</t>
  </si>
  <si>
    <t>PRICE LIST Pipa Welded Stainless Steel Sch 10, Sch 20 &amp; Sch 40 (VENDOR MARGIN ESTIMATE)</t>
  </si>
  <si>
    <t>150 x 75</t>
  </si>
  <si>
    <t>6" x 3"</t>
  </si>
  <si>
    <t>50x25x50</t>
  </si>
  <si>
    <t>VC7931AF1111T</t>
  </si>
  <si>
    <t>Two Way Motorized Valve Modulating 1/2"</t>
  </si>
  <si>
    <t>150 x 100</t>
  </si>
  <si>
    <t>6" x 4"</t>
  </si>
  <si>
    <t>50x32x50</t>
  </si>
  <si>
    <t>VC7931AJ1111T</t>
  </si>
  <si>
    <t>Two Way Motorized Valve Modulating 3/4"</t>
  </si>
  <si>
    <t>150 x 125</t>
  </si>
  <si>
    <t>6" x 5"</t>
  </si>
  <si>
    <t>50x40x50</t>
  </si>
  <si>
    <t>Elbow 45°</t>
  </si>
  <si>
    <t>-</t>
  </si>
  <si>
    <t>VC7931AP1111T</t>
  </si>
  <si>
    <t>Two Way Motorized Valve Modulating 1"</t>
  </si>
  <si>
    <t>200 x 100</t>
  </si>
  <si>
    <t>8" x 4"</t>
  </si>
  <si>
    <t>63x20x63</t>
  </si>
  <si>
    <t>VC7931BF1111T</t>
  </si>
  <si>
    <t>Two Way Motorized Valve Modulating 1 1/4"</t>
  </si>
  <si>
    <t>200 x 125</t>
  </si>
  <si>
    <t>8" x 5"</t>
  </si>
  <si>
    <t>63x25x63</t>
  </si>
  <si>
    <t>FLANGE 10K SCH 40</t>
  </si>
  <si>
    <t>VC7931ZZ11T</t>
  </si>
  <si>
    <t>Valve Actuator Modulating</t>
  </si>
  <si>
    <t>200 x 150</t>
  </si>
  <si>
    <t>8" x 6"</t>
  </si>
  <si>
    <t>63x32x63</t>
  </si>
  <si>
    <t>MALE THREAD JOINT PPR</t>
  </si>
  <si>
    <t>250 x 200</t>
  </si>
  <si>
    <t>10" x 8"</t>
  </si>
  <si>
    <t>63x40x63</t>
  </si>
  <si>
    <t>VC6013ME6000T</t>
  </si>
  <si>
    <t>Three Way Motorized Valve Modulating 1/2"</t>
  </si>
  <si>
    <t>63x50x63</t>
  </si>
  <si>
    <t>VC6013MJC6000T</t>
  </si>
  <si>
    <t>Three Way Motorized Valve Modulating 3/4"</t>
  </si>
  <si>
    <t>75x25x75</t>
  </si>
  <si>
    <t>REDUCER PVC CLASS AW</t>
  </si>
  <si>
    <t>VC6013MP6000T</t>
  </si>
  <si>
    <t>Three Way Motorized Valve Modulating 1"</t>
  </si>
  <si>
    <t>75x32x75</t>
  </si>
  <si>
    <t>Price List Ball Valve Brass 400# Screw (Fig.T)</t>
  </si>
  <si>
    <t>TEE (AW)</t>
  </si>
  <si>
    <t>75x40x75</t>
  </si>
  <si>
    <t>Tee</t>
  </si>
  <si>
    <t>VC7931ME6111T</t>
  </si>
  <si>
    <t>75x50x75</t>
  </si>
  <si>
    <t>VC7931MH6111T</t>
  </si>
  <si>
    <t>75x63x75</t>
  </si>
  <si>
    <t>VC7931MP6111T</t>
  </si>
  <si>
    <t>90x32x90</t>
  </si>
  <si>
    <t>40x1-1/4"</t>
  </si>
  <si>
    <t>BLIND FLANGE  10K SCH 40</t>
  </si>
  <si>
    <t>VC7931NF1111T</t>
  </si>
  <si>
    <t>90x40x90</t>
  </si>
  <si>
    <t>50x1-1/2"</t>
  </si>
  <si>
    <r>
      <t>Elbow 45</t>
    </r>
    <r>
      <rPr>
        <sz val="11"/>
        <color theme="1"/>
        <rFont val="Aptos Narrow"/>
        <family val="2"/>
      </rPr>
      <t>°</t>
    </r>
    <r>
      <rPr>
        <sz val="10"/>
        <rFont val="Arial"/>
        <family val="2"/>
      </rPr>
      <t xml:space="preserve"> PVC AW</t>
    </r>
  </si>
  <si>
    <t>90x50x90</t>
  </si>
  <si>
    <t>63x2"</t>
  </si>
  <si>
    <t>90x63x90</t>
  </si>
  <si>
    <t>75x2-1/2"</t>
  </si>
  <si>
    <t>90x75x90</t>
  </si>
  <si>
    <t>90x3"</t>
  </si>
  <si>
    <t>SGP / MEDIUM</t>
  </si>
  <si>
    <t>ELBOW 90D</t>
  </si>
  <si>
    <t>T6360A5013</t>
  </si>
  <si>
    <t>Heating or Cooling only, Separate package</t>
  </si>
  <si>
    <t>110x50x110</t>
  </si>
  <si>
    <t>Shock Drat</t>
  </si>
  <si>
    <t>ELBOW 45D</t>
  </si>
  <si>
    <t>T6373A1108</t>
  </si>
  <si>
    <t>2 Pipe, Heating or Cooling , on off, 3 speed</t>
  </si>
  <si>
    <t>110x63x110</t>
  </si>
  <si>
    <t>EQUAL TEE</t>
  </si>
  <si>
    <t>T6373A1108N</t>
  </si>
  <si>
    <t>2 pipe , heating or cooling only</t>
  </si>
  <si>
    <t>110x75x110</t>
  </si>
  <si>
    <t>FEMALE THREAD JOINT PPR</t>
  </si>
  <si>
    <t>RED.TEE</t>
  </si>
  <si>
    <t>T6800V2WN</t>
  </si>
  <si>
    <t>Thermostat Hallo LCD Backlight, White (Vertical)</t>
  </si>
  <si>
    <t>110x90x110</t>
  </si>
  <si>
    <t>RED.CONC</t>
  </si>
  <si>
    <t>T6800H2WN</t>
  </si>
  <si>
    <t>Thermostat Hallo LCD Backlight, White (Horizontal)</t>
  </si>
  <si>
    <t>160x90x160</t>
  </si>
  <si>
    <t>FLANGE PN16 SCH 40</t>
  </si>
  <si>
    <t>Price List Y - Strainer Bronze 150# Screw (Fig.Y)</t>
  </si>
  <si>
    <t>SCH 40</t>
  </si>
  <si>
    <t>TF228WN/U</t>
  </si>
  <si>
    <t>Thermostat On off</t>
  </si>
  <si>
    <t>160x110x160</t>
  </si>
  <si>
    <t>TF428WN/U</t>
  </si>
  <si>
    <t>Thermostat On off White Housing</t>
  </si>
  <si>
    <t>TF428DN/U</t>
  </si>
  <si>
    <t>Thermostat On off Black Housing</t>
  </si>
  <si>
    <t>TF428SN/U</t>
  </si>
  <si>
    <t>Thermostat On off Silver Housing</t>
  </si>
  <si>
    <t>D-Nipple</t>
  </si>
  <si>
    <t>TF428GN/U</t>
  </si>
  <si>
    <t>Thermostat On off Rose Gold Housing</t>
  </si>
  <si>
    <t>TF428CN/U</t>
  </si>
  <si>
    <t>Thermostat On off Copper Housing</t>
  </si>
  <si>
    <t>TF428LN/U</t>
  </si>
  <si>
    <t>Thermostat On off Silver Hairline Housing Housing</t>
  </si>
  <si>
    <t>TF428KN/U</t>
  </si>
  <si>
    <t>Thermostat On off Gold Hairline Housing Housing</t>
  </si>
  <si>
    <t>TF428WN-A/U</t>
  </si>
  <si>
    <t>Thermostat On Off Gray</t>
  </si>
  <si>
    <t>WFS-1001-H</t>
  </si>
  <si>
    <t>Water Flow Switch</t>
  </si>
  <si>
    <t>WFS-1002-H</t>
  </si>
  <si>
    <t>Water Flow Switch (20 bar)</t>
  </si>
  <si>
    <t>E121-1/2A</t>
  </si>
  <si>
    <t>Automatic Air Vent 1/2"</t>
  </si>
  <si>
    <t>Water Mur</t>
  </si>
  <si>
    <t>E121-3/8A</t>
  </si>
  <si>
    <t>Automatic Air Vent 3/8"</t>
  </si>
  <si>
    <t>STRAIGHT WAY VALVE PPR</t>
  </si>
  <si>
    <t xml:space="preserve">SPINDO WELDED </t>
  </si>
  <si>
    <t>MEDIUM SNI</t>
  </si>
  <si>
    <t>ASTM A53 A SCH 40</t>
  </si>
  <si>
    <t>HITAM</t>
  </si>
  <si>
    <t>weight</t>
  </si>
  <si>
    <t>GALVANIZED</t>
  </si>
  <si>
    <r>
      <rPr>
        <b/>
        <sz val="10"/>
        <rFont val="Calibri"/>
        <family val="1"/>
      </rPr>
      <t>HITAM</t>
    </r>
  </si>
  <si>
    <r>
      <rPr>
        <b/>
        <sz val="10"/>
        <rFont val="Calibri"/>
        <family val="1"/>
      </rPr>
      <t>weight</t>
    </r>
  </si>
  <si>
    <r>
      <rPr>
        <b/>
        <sz val="10"/>
        <rFont val="Calibri"/>
        <family val="1"/>
      </rPr>
      <t>GALVANIZED</t>
    </r>
  </si>
  <si>
    <t>TFM228KN/U</t>
  </si>
  <si>
    <t>TFM Series On Off switch with 3 speed fan, with occupancy  mode, remote sensor, high accuracy thermostat</t>
  </si>
  <si>
    <t>HARGA MULIA KABEL (KABELINDO)</t>
  </si>
  <si>
    <t>TFM428KNM/U</t>
  </si>
  <si>
    <t>TFM Series Modbus On Off with 3 speed fan, with occupancy mode, remote sensor terminal, high accuracy thermostat</t>
  </si>
  <si>
    <t>TFM428KNB/U</t>
  </si>
  <si>
    <t>TFM Series BACnet On Off with 3 speed fan, with occupancy mode, remote sensor terminal, high accuracy thermostat</t>
  </si>
  <si>
    <t>TFM223KN/U</t>
  </si>
  <si>
    <t>TFM Series Modulating with 3 speed fan, with occupancy mode, remote sensor terminal, high accuracy thermostat</t>
  </si>
  <si>
    <t>Size Cable</t>
  </si>
  <si>
    <t>NYA</t>
  </si>
  <si>
    <t>NYAF</t>
  </si>
  <si>
    <t>NYM</t>
  </si>
  <si>
    <t>NYY</t>
  </si>
  <si>
    <t>NYMHY / NYYHY</t>
  </si>
  <si>
    <t>NYR / NYFGBY</t>
  </si>
  <si>
    <t>N2XSY</t>
  </si>
  <si>
    <t>N2XSEFGBY</t>
  </si>
  <si>
    <t>Shock Weld</t>
  </si>
  <si>
    <t>TFM223KNM/U</t>
  </si>
  <si>
    <t>TFM Series Modbus Modulating with 3 speed fan, with occupancy mode, remote sensor terminal, high accuracy thermostat</t>
  </si>
  <si>
    <t>0.6 / 1 kV</t>
  </si>
  <si>
    <t>12/20 (24) KV</t>
  </si>
  <si>
    <t>12/20(24)KV</t>
  </si>
  <si>
    <t>TFM223KNB/U</t>
  </si>
  <si>
    <t>TFM Series BACnet Modulating with 3 speed fan, with occupancy mode, remote sensor terminal, high accuracy thermostat</t>
  </si>
  <si>
    <t>Kenaikan harga 2021</t>
  </si>
  <si>
    <r>
      <t>1.5 mm</t>
    </r>
    <r>
      <rPr>
        <b/>
        <sz val="11"/>
        <color indexed="8"/>
        <rFont val="Calibri"/>
        <family val="2"/>
      </rPr>
      <t>²</t>
    </r>
  </si>
  <si>
    <t>Pipa Galv Medium</t>
  </si>
  <si>
    <t>PRICE LIST FITTING SCREW BLACK STEEL &amp;  GALVANIZED "TSP" (BANDED)               </t>
  </si>
  <si>
    <t>Water flow Switch</t>
  </si>
  <si>
    <t>Harga 2021</t>
  </si>
  <si>
    <t>Water flow Switch (20 bar)</t>
  </si>
  <si>
    <t>Automatic Air Vent 1/2" ( 12 PCS )</t>
  </si>
  <si>
    <t>KNIE/ELBOW 90D</t>
  </si>
  <si>
    <t>DPTE100</t>
  </si>
  <si>
    <t>Differential Pressure Transmitter</t>
  </si>
  <si>
    <t>Double Nipple PVC (AW)</t>
  </si>
  <si>
    <t>SOCKET</t>
  </si>
  <si>
    <t>DPS200</t>
  </si>
  <si>
    <t>Differential Pressure Switch</t>
  </si>
  <si>
    <t>DPS400</t>
  </si>
  <si>
    <t>W.MOER/UNION</t>
  </si>
  <si>
    <t>43196000-001</t>
  </si>
  <si>
    <t>High Temp Kit untuk valve steam</t>
  </si>
  <si>
    <t>150 x 50</t>
  </si>
  <si>
    <t>6" x 2"</t>
  </si>
  <si>
    <t>PLUG</t>
  </si>
  <si>
    <t>VCZZ1100/U</t>
  </si>
  <si>
    <t>2 Way Characterized Cartridge (Valve Cartridge)</t>
  </si>
  <si>
    <t>DOP/CAP</t>
  </si>
  <si>
    <t>VS4016AJ1000T</t>
  </si>
  <si>
    <t>2 Way On Off Spring Return 3/4"</t>
  </si>
  <si>
    <r>
      <t>2.5 mm</t>
    </r>
    <r>
      <rPr>
        <b/>
        <sz val="11"/>
        <color indexed="8"/>
        <rFont val="Calibri"/>
        <family val="2"/>
      </rPr>
      <t>²</t>
    </r>
  </si>
  <si>
    <t>Shock Drat Luar PVC (AW)</t>
  </si>
  <si>
    <t>V.SOCK/REDUCER</t>
  </si>
  <si>
    <t>SSW2-CN</t>
  </si>
  <si>
    <t>Aux Switch untuk 5 &amp; 10 Newton, non spring return actuator</t>
  </si>
  <si>
    <t>SPIRAL TIPIS SNI 0039 : 2013</t>
  </si>
  <si>
    <r>
      <rPr>
        <b/>
        <sz val="10"/>
        <rFont val="Calibri"/>
        <family val="1"/>
      </rPr>
      <t>SPIRAL MEDIUM SNI 0039 : 2013</t>
    </r>
  </si>
  <si>
    <t>V.TEE/RED.TEE</t>
  </si>
  <si>
    <t>VCZZ1000/U</t>
  </si>
  <si>
    <t>VALVE CARTRIDGE - 2 WAY STD</t>
  </si>
  <si>
    <t>SIZE  ( INCH )</t>
  </si>
  <si>
    <t>TEBAL (mm)</t>
  </si>
  <si>
    <t>HARGA/BTG</t>
  </si>
  <si>
    <t>V.RING/BUSHING</t>
  </si>
  <si>
    <t>VCZZ6000/U</t>
  </si>
  <si>
    <t>VALVE CARTRIDGE - 3 WAY STD</t>
  </si>
  <si>
    <t>GALVANIS</t>
  </si>
  <si>
    <r>
      <rPr>
        <b/>
        <sz val="10"/>
        <rFont val="Calibri"/>
        <family val="1"/>
      </rPr>
      <t>GALVANIS</t>
    </r>
  </si>
  <si>
    <t>SW2-CN</t>
  </si>
  <si>
    <t>Aux Switch untuk 20 &amp; 30 Newton, non spring return actuator</t>
  </si>
  <si>
    <t>5,0</t>
  </si>
  <si>
    <r>
      <rPr>
        <sz val="10"/>
        <rFont val="Calibri"/>
        <family val="1"/>
      </rPr>
      <t>10"</t>
    </r>
  </si>
  <si>
    <r>
      <rPr>
        <sz val="10"/>
        <rFont val="Calibri"/>
        <family val="1"/>
      </rPr>
      <t>6,4</t>
    </r>
  </si>
  <si>
    <t>Plug</t>
  </si>
  <si>
    <t>VENDOR MARGIN ESTIMATE</t>
  </si>
  <si>
    <t>GD250W4NB</t>
  </si>
  <si>
    <t>CO Sensor</t>
  </si>
  <si>
    <r>
      <rPr>
        <sz val="10"/>
        <rFont val="Calibri"/>
        <family val="1"/>
      </rPr>
      <t>12"</t>
    </r>
  </si>
  <si>
    <t>5,6</t>
  </si>
  <si>
    <r>
      <rPr>
        <sz val="10"/>
        <rFont val="Calibri"/>
        <family val="1"/>
      </rPr>
      <t>14"</t>
    </r>
  </si>
  <si>
    <r>
      <rPr>
        <sz val="10"/>
        <rFont val="Calibri"/>
        <family val="1"/>
      </rPr>
      <t>16"</t>
    </r>
  </si>
  <si>
    <t>MOTORIZED DAMPER Price List 2024 (HONEYWELL)</t>
  </si>
  <si>
    <t>6,4</t>
  </si>
  <si>
    <r>
      <rPr>
        <sz val="10"/>
        <rFont val="Calibri"/>
        <family val="1"/>
      </rPr>
      <t>18"</t>
    </r>
  </si>
  <si>
    <r>
      <rPr>
        <sz val="10"/>
        <rFont val="Calibri"/>
        <family val="1"/>
      </rPr>
      <t>9,5</t>
    </r>
  </si>
  <si>
    <r>
      <rPr>
        <sz val="10"/>
        <rFont val="Calibri"/>
        <family val="1"/>
      </rPr>
      <t>20"</t>
    </r>
  </si>
  <si>
    <t>DOUBLE NIPPLE</t>
  </si>
  <si>
    <t>CN4605A1001</t>
  </si>
  <si>
    <t>5 Nm, 230V, Floating Control, Non Spring Return, no feedback and without aux Switch</t>
  </si>
  <si>
    <r>
      <rPr>
        <sz val="10"/>
        <rFont val="Calibri"/>
        <family val="1"/>
      </rPr>
      <t>24"</t>
    </r>
  </si>
  <si>
    <r>
      <t>4 mm</t>
    </r>
    <r>
      <rPr>
        <b/>
        <sz val="11"/>
        <color indexed="8"/>
        <rFont val="Calibri"/>
        <family val="2"/>
      </rPr>
      <t>²</t>
    </r>
  </si>
  <si>
    <t>CN4610A1001</t>
  </si>
  <si>
    <t>10 Nm, 230V, Floating Control, Non Spring Return, no feedback and without aux Switch</t>
  </si>
  <si>
    <t>CN4620A1001</t>
  </si>
  <si>
    <t>20 Nm, 230V, Floating Control, Non Spring Return, no feedback and without aux Switch</t>
  </si>
  <si>
    <t>CN4634A1001</t>
  </si>
  <si>
    <t>34 Nm, 230V, Floating Control, Non Spring Return, no feedback and without aux Switch</t>
  </si>
  <si>
    <r>
      <rPr>
        <b/>
        <sz val="10"/>
        <rFont val="Calibri"/>
        <family val="1"/>
      </rPr>
      <t>SPIRAL TEBAL SNI 0039 : 2013</t>
    </r>
  </si>
  <si>
    <r>
      <rPr>
        <b/>
        <sz val="10"/>
        <rFont val="Calibri"/>
        <family val="1"/>
      </rPr>
      <t>SIZE  ( INCH )</t>
    </r>
  </si>
  <si>
    <r>
      <t>TEBAL</t>
    </r>
    <r>
      <rPr>
        <b/>
        <sz val="10"/>
        <rFont val="Calibri"/>
        <family val="2"/>
      </rPr>
      <t xml:space="preserve"> (mm)</t>
    </r>
  </si>
  <si>
    <r>
      <rPr>
        <b/>
        <sz val="10"/>
        <rFont val="Calibri"/>
        <family val="1"/>
      </rPr>
      <t>HARGA/BTG</t>
    </r>
  </si>
  <si>
    <t>CN6105A1011</t>
  </si>
  <si>
    <t>5 Nm, 24Vac/Vdc, Floating Control, Non Spring Return, no feedback and without aux Switch</t>
  </si>
  <si>
    <t>CN6110A1003</t>
  </si>
  <si>
    <t>10 Nm, 24Vac/Vdc, Floating Control, Non Spring Return, no feedback and without aux Switch</t>
  </si>
  <si>
    <r>
      <rPr>
        <sz val="10"/>
        <rFont val="Calibri"/>
        <family val="1"/>
      </rPr>
      <t>9,3</t>
    </r>
  </si>
  <si>
    <t>Shock Drat Dalam PVC (AW)</t>
  </si>
  <si>
    <t>CN6110A1201</t>
  </si>
  <si>
    <t>10 Nm, 24Vac/Vdc, Floating Control, Non Spring Return, no feedback and with aux Switch</t>
  </si>
  <si>
    <r>
      <rPr>
        <sz val="10"/>
        <rFont val="Calibri"/>
        <family val="1"/>
      </rPr>
      <t>10,3</t>
    </r>
  </si>
  <si>
    <t>CN6120A1002</t>
  </si>
  <si>
    <t>20 Nm, 24Vac/Vdc, Floating Control, Non Spring Return, no feedback and without aux Switch</t>
  </si>
  <si>
    <r>
      <rPr>
        <sz val="10"/>
        <rFont val="Calibri"/>
        <family val="1"/>
      </rPr>
      <t>11,1</t>
    </r>
  </si>
  <si>
    <t>CN6134A1003</t>
  </si>
  <si>
    <t>34 Nm, 24Vac/Vdc, Floating Control, Non Spring Return, no feedback and without aux Switch</t>
  </si>
  <si>
    <r>
      <rPr>
        <sz val="10"/>
        <rFont val="Calibri"/>
        <family val="1"/>
      </rPr>
      <t>12,7</t>
    </r>
  </si>
  <si>
    <r>
      <t>6 mm</t>
    </r>
    <r>
      <rPr>
        <b/>
        <sz val="11"/>
        <color indexed="8"/>
        <rFont val="Calibri"/>
        <family val="2"/>
      </rPr>
      <t>²</t>
    </r>
  </si>
  <si>
    <t>CN7505A2001</t>
  </si>
  <si>
    <t>5 Nm, 24Vac/Vdc, Modulating Control, Non Spring Return, Voltage feedback Signal and without aux Switch</t>
  </si>
  <si>
    <t>CN7510A2001</t>
  </si>
  <si>
    <t>10 Nm, 24Vac/Vdc, Modulating Control, Non Spring Return, Voltage feedback Signal and without aux Switch</t>
  </si>
  <si>
    <t>CN7220A2007</t>
  </si>
  <si>
    <t>20 Nm, 24Vac/Vdc, Modulating Control, Non Spring Return, Voltage feedback Signal and without aux Switch</t>
  </si>
  <si>
    <t>CN7234A2008</t>
  </si>
  <si>
    <t>34 Nm, 24Vac/Vdc, Modulating Control, Non Spring Return, Voltage feedback Signal and without aux Switch</t>
  </si>
  <si>
    <t>MOT FIRE / SMOKE DAMPER (HONEYWELL)</t>
  </si>
  <si>
    <t>MS4604F1210/B</t>
  </si>
  <si>
    <t>Fire Damper Actuator UL555S, 3,4Nm, 230Vac, with 2 aux swtiches</t>
  </si>
  <si>
    <r>
      <t>10 mm</t>
    </r>
    <r>
      <rPr>
        <b/>
        <sz val="11"/>
        <color indexed="8"/>
        <rFont val="Calibri"/>
        <family val="2"/>
      </rPr>
      <t>²</t>
    </r>
  </si>
  <si>
    <t>MS4609F1210/B</t>
  </si>
  <si>
    <t>Fire Damper Actuator UL555S, 9Nm, 230Vac, with 2 aux swtiches</t>
  </si>
  <si>
    <t>Tee  PVC (AW)</t>
  </si>
  <si>
    <t>MS4620F1203/B</t>
  </si>
  <si>
    <t>Fire Damper Actuator UL555S, 23Nm, 230Vac, with 2 aux swtiches</t>
  </si>
  <si>
    <t>PART NUMBER</t>
  </si>
  <si>
    <t>DESCRIPTION</t>
  </si>
  <si>
    <t>PRICE LIST 2024 IDR    </t>
  </si>
  <si>
    <t>PRESSURE DIFFERENTIAL VALVE (PDV) (HONEYWELL)</t>
  </si>
  <si>
    <r>
      <rPr>
        <sz val="10.5"/>
        <rFont val="Arial MT"/>
        <family val="2"/>
      </rPr>
      <t>P7620C0062B</t>
    </r>
  </si>
  <si>
    <r>
      <rPr>
        <sz val="10.5"/>
        <rFont val="Arial MT"/>
        <family val="2"/>
      </rPr>
      <t>Pressure Transmitter</t>
    </r>
  </si>
  <si>
    <r>
      <rPr>
        <sz val="10.5"/>
        <rFont val="Arial MT"/>
        <family val="2"/>
      </rPr>
      <t>P7620C0160B</t>
    </r>
  </si>
  <si>
    <r>
      <rPr>
        <sz val="10.5"/>
        <color rgb="FFFF0000"/>
        <rFont val="Arial MT"/>
        <family val="2"/>
      </rPr>
      <t>P7620A1012</t>
    </r>
  </si>
  <si>
    <r>
      <rPr>
        <sz val="10.5"/>
        <color rgb="FFFF0000"/>
        <rFont val="Arial MT"/>
        <family val="2"/>
      </rPr>
      <t>T775U2006/U</t>
    </r>
  </si>
  <si>
    <r>
      <rPr>
        <sz val="10.5"/>
        <rFont val="Arial MT"/>
        <family val="2"/>
      </rPr>
      <t>Electronic Universal Controller</t>
    </r>
  </si>
  <si>
    <r>
      <t>1x0.75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</si>
  <si>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Two Way Valve sesuai ukuran</t>
    </r>
  </si>
  <si>
    <r>
      <rPr>
        <sz val="10.5"/>
        <rFont val="Arial MT"/>
        <family val="2"/>
      </rPr>
      <t>Actuator sesuai ukuran</t>
    </r>
  </si>
  <si>
    <r>
      <rPr>
        <sz val="10.5"/>
        <rFont val="Arial MT"/>
        <family val="2"/>
      </rPr>
      <t>T775U2016/U</t>
    </r>
  </si>
  <si>
    <t>MOTORIZED BUTTERFLY VALVE ON OFF (HONEYWELL)</t>
  </si>
  <si>
    <r>
      <rPr>
        <sz val="10.5"/>
        <rFont val="Arial MT"/>
        <family val="2"/>
      </rPr>
      <t>V4ABFW16-050-012</t>
    </r>
  </si>
  <si>
    <r>
      <rPr>
        <sz val="10.5"/>
        <rFont val="Arial MT"/>
        <family val="2"/>
      </rPr>
      <t>2" (OM-1)</t>
    </r>
  </si>
  <si>
    <r>
      <rPr>
        <sz val="10.5"/>
        <rFont val="Arial MT"/>
        <family val="2"/>
      </rPr>
      <t>V4ABFW16-065-012</t>
    </r>
  </si>
  <si>
    <r>
      <rPr>
        <sz val="10.5"/>
        <rFont val="Arial MT"/>
        <family val="2"/>
      </rPr>
      <t>2 1/2" (OM-1)</t>
    </r>
  </si>
  <si>
    <r>
      <rPr>
        <sz val="10.5"/>
        <rFont val="Arial MT"/>
        <family val="2"/>
      </rPr>
      <t>V4ABFW16-080-012</t>
    </r>
  </si>
  <si>
    <r>
      <rPr>
        <sz val="10.5"/>
        <rFont val="Arial MT"/>
        <family val="2"/>
      </rPr>
      <t>3" (OM-1)</t>
    </r>
  </si>
  <si>
    <r>
      <t>1x1.5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</si>
  <si>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V4ABFW16-100-012</t>
    </r>
  </si>
  <si>
    <r>
      <rPr>
        <sz val="10.5"/>
        <rFont val="Arial MT"/>
        <family val="2"/>
      </rPr>
      <t>4" (OM-1)</t>
    </r>
  </si>
  <si>
    <r>
      <rPr>
        <sz val="10.5"/>
        <rFont val="Arial MT"/>
        <family val="2"/>
      </rPr>
      <t>V4ABFW16-125-012</t>
    </r>
  </si>
  <si>
    <r>
      <rPr>
        <sz val="10.5"/>
        <rFont val="Arial MT"/>
        <family val="2"/>
      </rPr>
      <t>5" (OM-2)</t>
    </r>
  </si>
  <si>
    <r>
      <rPr>
        <sz val="10.5"/>
        <rFont val="Arial MT"/>
        <family val="2"/>
      </rPr>
      <t>V4ABFW16-150-012</t>
    </r>
  </si>
  <si>
    <r>
      <rPr>
        <sz val="10.5"/>
        <rFont val="Arial MT"/>
        <family val="2"/>
      </rPr>
      <t>6" (OM-2)</t>
    </r>
  </si>
  <si>
    <r>
      <rPr>
        <sz val="10.5"/>
        <rFont val="Arial MT"/>
        <family val="2"/>
      </rPr>
      <t>V4ABFW16-200-012</t>
    </r>
  </si>
  <si>
    <r>
      <rPr>
        <sz val="10.5"/>
        <rFont val="Arial MT"/>
        <family val="2"/>
      </rPr>
      <t>8" (OM-3)</t>
    </r>
  </si>
  <si>
    <r>
      <rPr>
        <sz val="10.5"/>
        <rFont val="Arial MT"/>
        <family val="2"/>
      </rPr>
      <t>V4ABFW16-250-012</t>
    </r>
  </si>
  <si>
    <r>
      <rPr>
        <sz val="10.5"/>
        <rFont val="Arial MT"/>
        <family val="2"/>
      </rPr>
      <t>10" (OM-4)</t>
    </r>
  </si>
  <si>
    <r>
      <rPr>
        <sz val="10.5"/>
        <rFont val="Arial MT"/>
        <family val="2"/>
      </rPr>
      <t>V4ABFW16-300-012</t>
    </r>
  </si>
  <si>
    <r>
      <rPr>
        <sz val="10.5"/>
        <rFont val="Arial MT"/>
        <family val="2"/>
      </rPr>
      <t>12" (OM-4)</t>
    </r>
  </si>
  <si>
    <r>
      <rPr>
        <sz val="10.5"/>
        <rFont val="Arial MT"/>
        <family val="2"/>
      </rPr>
      <t>V4ABFW16-350-012</t>
    </r>
  </si>
  <si>
    <r>
      <rPr>
        <sz val="10.5"/>
        <rFont val="Arial MT"/>
        <family val="2"/>
      </rPr>
      <t>14" (OM-7)</t>
    </r>
  </si>
  <si>
    <r>
      <rPr>
        <sz val="10.5"/>
        <rFont val="Arial MT"/>
        <family val="2"/>
      </rPr>
      <t>V4ABFW16-400-012</t>
    </r>
  </si>
  <si>
    <r>
      <rPr>
        <sz val="10.5"/>
        <rFont val="Arial MT"/>
        <family val="2"/>
      </rPr>
      <t>16" (OM-8)</t>
    </r>
  </si>
  <si>
    <r>
      <rPr>
        <sz val="10.5"/>
        <rFont val="Arial MT"/>
        <family val="2"/>
      </rPr>
      <t>V4ABFW16-450-012</t>
    </r>
  </si>
  <si>
    <r>
      <rPr>
        <sz val="10.5"/>
        <rFont val="Arial MT"/>
        <family val="2"/>
      </rPr>
      <t>18" (OM-9)</t>
    </r>
  </si>
  <si>
    <r>
      <rPr>
        <sz val="10.5"/>
        <rFont val="Arial MT"/>
        <family val="2"/>
      </rPr>
      <t>V4ABFW16-500-012</t>
    </r>
  </si>
  <si>
    <r>
      <rPr>
        <sz val="10.5"/>
        <rFont val="Arial MT"/>
        <family val="2"/>
      </rPr>
      <t>20" (OM-10)</t>
    </r>
  </si>
  <si>
    <r>
      <t>1x2.5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</si>
  <si>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V4ABFW16-600-012</t>
    </r>
  </si>
  <si>
    <r>
      <rPr>
        <sz val="10.5"/>
        <rFont val="Arial MT"/>
        <family val="2"/>
      </rPr>
      <t>24" (OM-12)</t>
    </r>
  </si>
  <si>
    <t>MOTORIZED BUTTERFLY VALVE MODULATING (HONEYWELL)</t>
  </si>
  <si>
    <r>
      <rPr>
        <sz val="10.5"/>
        <rFont val="Arial MT"/>
        <family val="2"/>
      </rPr>
      <t>V4ABFW16-050-112</t>
    </r>
  </si>
  <si>
    <r>
      <rPr>
        <sz val="10.5"/>
        <rFont val="Arial MT"/>
        <family val="2"/>
      </rPr>
      <t>2" (OM-P1)</t>
    </r>
  </si>
  <si>
    <r>
      <rPr>
        <sz val="10.5"/>
        <rFont val="Arial MT"/>
        <family val="2"/>
      </rPr>
      <t>V4ABFW16-065-112</t>
    </r>
  </si>
  <si>
    <r>
      <rPr>
        <sz val="10.5"/>
        <rFont val="Arial MT"/>
        <family val="2"/>
      </rPr>
      <t>2 1/2" (OM-P1)</t>
    </r>
  </si>
  <si>
    <r>
      <rPr>
        <sz val="10.5"/>
        <rFont val="Arial MT"/>
        <family val="2"/>
      </rPr>
      <t>V4ABFW16-080-112</t>
    </r>
  </si>
  <si>
    <r>
      <rPr>
        <sz val="10.5"/>
        <rFont val="Arial MT"/>
        <family val="2"/>
      </rPr>
      <t>3" (OM-P1)</t>
    </r>
  </si>
  <si>
    <r>
      <rPr>
        <sz val="10.5"/>
        <rFont val="Arial MT"/>
        <family val="2"/>
      </rPr>
      <t>V4ABFW16-100-112</t>
    </r>
  </si>
  <si>
    <r>
      <rPr>
        <sz val="10.5"/>
        <rFont val="Arial MT"/>
        <family val="2"/>
      </rPr>
      <t>4" (OM-P1)</t>
    </r>
  </si>
  <si>
    <r>
      <t>1x4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</si>
  <si>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V4ABFW16-125-112</t>
    </r>
  </si>
  <si>
    <r>
      <rPr>
        <sz val="10.5"/>
        <rFont val="Arial MT"/>
        <family val="2"/>
      </rPr>
      <t>5" (OM-P2)</t>
    </r>
  </si>
  <si>
    <r>
      <rPr>
        <sz val="10.5"/>
        <rFont val="Arial MT"/>
        <family val="2"/>
      </rPr>
      <t>V4ABFW16-150-112</t>
    </r>
  </si>
  <si>
    <r>
      <rPr>
        <sz val="10.5"/>
        <rFont val="Arial MT"/>
        <family val="2"/>
      </rPr>
      <t>6" (OM-P2)</t>
    </r>
  </si>
  <si>
    <r>
      <rPr>
        <sz val="10.5"/>
        <rFont val="Arial MT"/>
        <family val="2"/>
      </rPr>
      <t>V4ABFW16-200-112</t>
    </r>
  </si>
  <si>
    <r>
      <rPr>
        <sz val="10.5"/>
        <rFont val="Arial MT"/>
        <family val="2"/>
      </rPr>
      <t>8" (OM-P3)</t>
    </r>
  </si>
  <si>
    <r>
      <rPr>
        <sz val="10.5"/>
        <rFont val="Arial MT"/>
        <family val="2"/>
      </rPr>
      <t>V4ABFW16-250-112</t>
    </r>
  </si>
  <si>
    <r>
      <rPr>
        <sz val="10.5"/>
        <rFont val="Arial MT"/>
        <family val="2"/>
      </rPr>
      <t>10" (OM-P4)</t>
    </r>
  </si>
  <si>
    <r>
      <rPr>
        <sz val="10.5"/>
        <rFont val="Arial MT"/>
        <family val="2"/>
      </rPr>
      <t>V4ABFW16-300-112</t>
    </r>
  </si>
  <si>
    <r>
      <rPr>
        <sz val="10.5"/>
        <rFont val="Arial MT"/>
        <family val="2"/>
      </rPr>
      <t>12" (OM-P4)</t>
    </r>
  </si>
  <si>
    <t>Flange PVC (AW)</t>
  </si>
  <si>
    <r>
      <rPr>
        <sz val="10.5"/>
        <rFont val="Arial MT"/>
        <family val="2"/>
      </rPr>
      <t>V4ABFW16-350-112</t>
    </r>
  </si>
  <si>
    <r>
      <rPr>
        <sz val="10.5"/>
        <rFont val="Arial MT"/>
        <family val="2"/>
      </rPr>
      <t>14" (OM-P7)</t>
    </r>
  </si>
  <si>
    <r>
      <rPr>
        <sz val="10.5"/>
        <rFont val="Arial MT"/>
        <family val="2"/>
      </rPr>
      <t>V4ABFW16-400-112</t>
    </r>
  </si>
  <si>
    <r>
      <rPr>
        <sz val="10.5"/>
        <rFont val="Arial MT"/>
        <family val="2"/>
      </rPr>
      <t>16" (OM-P8)</t>
    </r>
  </si>
  <si>
    <r>
      <rPr>
        <sz val="10.5"/>
        <rFont val="Arial MT"/>
        <family val="2"/>
      </rPr>
      <t>V4ABFW16-450-112</t>
    </r>
  </si>
  <si>
    <r>
      <rPr>
        <sz val="10.5"/>
        <rFont val="Arial MT"/>
        <family val="2"/>
      </rPr>
      <t>18" (OM-P9)</t>
    </r>
  </si>
  <si>
    <r>
      <rPr>
        <sz val="10.5"/>
        <rFont val="Arial MT"/>
        <family val="2"/>
      </rPr>
      <t>V4ABFW16-500-112</t>
    </r>
  </si>
  <si>
    <r>
      <rPr>
        <sz val="10.5"/>
        <rFont val="Arial MT"/>
        <family val="2"/>
      </rPr>
      <t>20" (OM-P10)</t>
    </r>
  </si>
  <si>
    <r>
      <rPr>
        <sz val="10.5"/>
        <rFont val="Arial MT"/>
        <family val="2"/>
      </rPr>
      <t>V4ABFW16-600-112</t>
    </r>
  </si>
  <si>
    <r>
      <rPr>
        <sz val="10.5"/>
        <rFont val="Arial MT"/>
        <family val="2"/>
      </rPr>
      <t>24" (OM-P12)</t>
    </r>
  </si>
  <si>
    <r>
      <t>1x6 mm</t>
    </r>
    <r>
      <rPr>
        <b/>
        <sz val="11"/>
        <color indexed="8"/>
        <rFont val="Calibri"/>
        <family val="2"/>
      </rPr>
      <t>²</t>
    </r>
  </si>
  <si>
    <t>Water Mur / Union Thread (AW)</t>
  </si>
  <si>
    <r>
      <rPr>
        <sz val="10.5"/>
        <rFont val="Arial MT"/>
        <family val="2"/>
      </rPr>
      <t>MOTORIZED BUTTERFLY VALVE ON OFF</t>
    </r>
    <r>
      <rPr>
        <b/>
        <sz val="14"/>
        <rFont val="Arial MT"/>
      </rPr>
      <t xml:space="preserve"> (HONEYWELL)</t>
    </r>
  </si>
  <si>
    <r>
      <rPr>
        <sz val="10.5"/>
        <rFont val="Arial MT"/>
        <family val="2"/>
      </rPr>
      <t>V9BFW16-050 = 1.327.449</t>
    </r>
  </si>
  <si>
    <r>
      <rPr>
        <sz val="10.5"/>
        <rFont val="Arial MT"/>
        <family val="2"/>
      </rPr>
      <t>NOM16H0050 = 7.603.182</t>
    </r>
  </si>
  <si>
    <r>
      <rPr>
        <sz val="10.5"/>
        <rFont val="Arial MT"/>
        <family val="2"/>
      </rPr>
      <t>V9BFW16-065 = 1.449.840</t>
    </r>
  </si>
  <si>
    <r>
      <rPr>
        <sz val="10.5"/>
        <rFont val="Arial MT"/>
        <family val="2"/>
      </rPr>
      <t>V9BFW16-080 = 1.617.417</t>
    </r>
  </si>
  <si>
    <r>
      <rPr>
        <sz val="10.5"/>
        <rFont val="Arial MT"/>
        <family val="2"/>
      </rPr>
      <t>V9BFW16-100 = 1.922.448</t>
    </r>
  </si>
  <si>
    <r>
      <t>1x10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</si>
  <si>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V9BFW16-125 = 2.838.168</t>
    </r>
  </si>
  <si>
    <r>
      <rPr>
        <sz val="10.5"/>
        <rFont val="Arial MT"/>
        <family val="2"/>
      </rPr>
      <t>NOM16H0080 = 10.227.954</t>
    </r>
  </si>
  <si>
    <t>Pipe PVC Rucika Class</t>
  </si>
  <si>
    <r>
      <rPr>
        <sz val="10.5"/>
        <rFont val="Arial MT"/>
        <family val="2"/>
      </rPr>
      <t>V9BFW16-150 = 2.929.803</t>
    </r>
  </si>
  <si>
    <r>
      <rPr>
        <sz val="10.5"/>
        <rFont val="Arial MT"/>
        <family val="2"/>
      </rPr>
      <t>NOM16H0200 = 18.502.704</t>
    </r>
  </si>
  <si>
    <r>
      <rPr>
        <sz val="10.5"/>
        <rFont val="Arial MT"/>
        <family val="2"/>
      </rPr>
      <t>V9BFW16-200 = 5.341.182</t>
    </r>
  </si>
  <si>
    <t>AW</t>
  </si>
  <si>
    <r>
      <rPr>
        <sz val="10.5"/>
        <rFont val="Arial MT"/>
        <family val="2"/>
      </rPr>
      <t>V9BFW16-250 = 7.904.445</t>
    </r>
  </si>
  <si>
    <r>
      <rPr>
        <sz val="10.5"/>
        <rFont val="Arial MT"/>
        <family val="2"/>
      </rPr>
      <t>NOM16H0400 = 21.076.011</t>
    </r>
  </si>
  <si>
    <t>VP</t>
  </si>
  <si>
    <r>
      <rPr>
        <sz val="10.5"/>
        <rFont val="Arial MT"/>
        <family val="2"/>
      </rPr>
      <t>V9BFW16-300 = 10.986.765</t>
    </r>
  </si>
  <si>
    <r>
      <rPr>
        <sz val="10.5"/>
        <rFont val="Arial MT"/>
        <family val="2"/>
      </rPr>
      <t>V9BFW16-350 = 19.380.141</t>
    </r>
  </si>
  <si>
    <r>
      <rPr>
        <sz val="10.5"/>
        <rFont val="Arial MT"/>
        <family val="2"/>
      </rPr>
      <t>NOM16H0800 = 29.468.133</t>
    </r>
  </si>
  <si>
    <r>
      <rPr>
        <sz val="10.5"/>
        <rFont val="Arial MT"/>
        <family val="2"/>
      </rPr>
      <t>V9BFW16-400 = 27.484.176</t>
    </r>
  </si>
  <si>
    <r>
      <rPr>
        <sz val="10.5"/>
        <rFont val="Arial MT"/>
        <family val="2"/>
      </rPr>
      <t>V9BFW16-450 = 36.898.086</t>
    </r>
  </si>
  <si>
    <r>
      <rPr>
        <sz val="10.5"/>
        <rFont val="Arial MT"/>
        <family val="2"/>
      </rPr>
      <t>NOM16H2000 = 49.828.011</t>
    </r>
  </si>
  <si>
    <r>
      <rPr>
        <sz val="10.5"/>
        <rFont val="Arial MT"/>
        <family val="2"/>
      </rPr>
      <t>V9BFW16-500 = 43.603.746</t>
    </r>
  </si>
  <si>
    <r>
      <rPr>
        <sz val="10.5"/>
        <rFont val="Arial MT"/>
        <family val="2"/>
      </rPr>
      <t>V9BFW16-600 = 73.848.264</t>
    </r>
  </si>
  <si>
    <r>
      <rPr>
        <sz val="10.5"/>
        <rFont val="Arial MT"/>
        <family val="2"/>
      </rPr>
      <t>NOM16H2000B = 49.828.011</t>
    </r>
  </si>
  <si>
    <r>
      <t>1x16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</si>
  <si>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V9BFW16-700 = 162.539.487</t>
    </r>
  </si>
  <si>
    <r>
      <rPr>
        <sz val="10.5"/>
        <rFont val="Arial MT"/>
        <family val="2"/>
      </rPr>
      <t>NOM16H4000 = 64.575.570</t>
    </r>
  </si>
  <si>
    <t>D</t>
  </si>
  <si>
    <t>VU</t>
  </si>
  <si>
    <r>
      <rPr>
        <sz val="10.5"/>
        <rFont val="Arial MT"/>
        <family val="2"/>
      </rPr>
      <t>NOM16H0050P = 16.443.432</t>
    </r>
  </si>
  <si>
    <r>
      <t>1x25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</si>
  <si>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NOM16H0080P = 19.135.362</t>
    </r>
  </si>
  <si>
    <r>
      <rPr>
        <sz val="10.5"/>
        <rFont val="Arial MT"/>
        <family val="2"/>
      </rPr>
      <t>NOM16H0200P = 27.342.957</t>
    </r>
  </si>
  <si>
    <r>
      <rPr>
        <sz val="10.5"/>
        <rFont val="Arial MT"/>
        <family val="2"/>
      </rPr>
      <t>NOM16H0400P = 29.916.891</t>
    </r>
  </si>
  <si>
    <r>
      <rPr>
        <sz val="10.5"/>
        <rFont val="Arial MT"/>
        <family val="2"/>
      </rPr>
      <t>NOM16H0800P = 38.469.684</t>
    </r>
  </si>
  <si>
    <r>
      <rPr>
        <sz val="10.5"/>
        <rFont val="Arial MT"/>
        <family val="2"/>
      </rPr>
      <t>NOM16H2000P = 57.249.177</t>
    </r>
  </si>
  <si>
    <r>
      <rPr>
        <sz val="10.5"/>
        <rFont val="Arial MT"/>
        <family val="2"/>
      </rPr>
      <t>NOM16H2000PB = 57.249.177</t>
    </r>
  </si>
  <si>
    <r>
      <t>1x35 mm</t>
    </r>
    <r>
      <rPr>
        <b/>
        <sz val="11"/>
        <color indexed="8"/>
        <rFont val="Calibri"/>
        <family val="2"/>
      </rPr>
      <t>²</t>
    </r>
  </si>
  <si>
    <r>
      <rPr>
        <sz val="10.5"/>
        <rFont val="Arial MT"/>
        <family val="2"/>
      </rPr>
      <t>NOM16H4000P = 73.416.450</t>
    </r>
  </si>
  <si>
    <r>
      <t>1x50 mm</t>
    </r>
    <r>
      <rPr>
        <b/>
        <sz val="11"/>
        <color indexed="8"/>
        <rFont val="Calibri"/>
        <family val="2"/>
      </rPr>
      <t>²</t>
    </r>
  </si>
  <si>
    <r>
      <t>1x70 mm</t>
    </r>
    <r>
      <rPr>
        <b/>
        <sz val="11"/>
        <color indexed="8"/>
        <rFont val="Calibri"/>
        <family val="2"/>
      </rPr>
      <t>²</t>
    </r>
  </si>
  <si>
    <t>Flexible Rubber Tozen</t>
  </si>
  <si>
    <t>Twinflex Drat BSPT</t>
  </si>
  <si>
    <t>Twinflex D/I Flange JIS 10K</t>
  </si>
  <si>
    <t>Twinflex D/I Flange PN 16K</t>
  </si>
  <si>
    <r>
      <t>1x95 mm</t>
    </r>
    <r>
      <rPr>
        <b/>
        <sz val="11"/>
        <color indexed="8"/>
        <rFont val="Calibri"/>
        <family val="2"/>
      </rPr>
      <t>²</t>
    </r>
  </si>
  <si>
    <t>Twinflex  JIS 16K,MS Flange</t>
  </si>
  <si>
    <t>Twinflex JIS 20K,MS Flange</t>
  </si>
  <si>
    <r>
      <t>1x120 mm</t>
    </r>
    <r>
      <rPr>
        <b/>
        <sz val="11"/>
        <color indexed="8"/>
        <rFont val="Calibri"/>
        <family val="2"/>
      </rPr>
      <t>²</t>
    </r>
  </si>
  <si>
    <r>
      <t>1x150 mm</t>
    </r>
    <r>
      <rPr>
        <b/>
        <sz val="11"/>
        <color indexed="8"/>
        <rFont val="Calibri"/>
        <family val="2"/>
      </rPr>
      <t>²</t>
    </r>
  </si>
  <si>
    <r>
      <t>1x185 mm</t>
    </r>
    <r>
      <rPr>
        <b/>
        <sz val="11"/>
        <color indexed="8"/>
        <rFont val="Calibri"/>
        <family val="2"/>
      </rPr>
      <t>²</t>
    </r>
  </si>
  <si>
    <r>
      <t>1x240 mm</t>
    </r>
    <r>
      <rPr>
        <b/>
        <sz val="11"/>
        <color indexed="8"/>
        <rFont val="Calibri"/>
        <family val="2"/>
      </rPr>
      <t>²</t>
    </r>
  </si>
  <si>
    <r>
      <t>1x300 mm</t>
    </r>
    <r>
      <rPr>
        <b/>
        <sz val="11"/>
        <color indexed="8"/>
        <rFont val="Calibri"/>
        <family val="2"/>
      </rPr>
      <t>²</t>
    </r>
  </si>
  <si>
    <r>
      <t>1x400 mm</t>
    </r>
    <r>
      <rPr>
        <b/>
        <sz val="11"/>
        <color indexed="8"/>
        <rFont val="Calibri"/>
        <family val="2"/>
      </rPr>
      <t>²</t>
    </r>
  </si>
  <si>
    <r>
      <t>1x500 mm</t>
    </r>
    <r>
      <rPr>
        <b/>
        <sz val="11"/>
        <color indexed="8"/>
        <rFont val="Calibri"/>
        <family val="2"/>
      </rPr>
      <t>²</t>
    </r>
  </si>
  <si>
    <r>
      <t>1x630 mm</t>
    </r>
    <r>
      <rPr>
        <b/>
        <sz val="11"/>
        <color indexed="8"/>
        <rFont val="Calibri"/>
        <family val="2"/>
      </rPr>
      <t>²</t>
    </r>
  </si>
  <si>
    <r>
      <t>2x0.75 mm</t>
    </r>
    <r>
      <rPr>
        <b/>
        <sz val="11"/>
        <color indexed="8"/>
        <rFont val="Calibri"/>
        <family val="2"/>
      </rPr>
      <t>²</t>
    </r>
  </si>
  <si>
    <r>
      <t>2x1.5 mm</t>
    </r>
    <r>
      <rPr>
        <b/>
        <sz val="11"/>
        <color indexed="8"/>
        <rFont val="Calibri"/>
        <family val="2"/>
      </rPr>
      <t>²</t>
    </r>
  </si>
  <si>
    <r>
      <t>2x2.5 mm</t>
    </r>
    <r>
      <rPr>
        <b/>
        <sz val="11"/>
        <color indexed="8"/>
        <rFont val="Calibri"/>
        <family val="2"/>
      </rPr>
      <t>²</t>
    </r>
  </si>
  <si>
    <r>
      <t>2x4 mm</t>
    </r>
    <r>
      <rPr>
        <b/>
        <sz val="11"/>
        <color indexed="8"/>
        <rFont val="Calibri"/>
        <family val="2"/>
      </rPr>
      <t>²</t>
    </r>
  </si>
  <si>
    <r>
      <t>2x6 mm</t>
    </r>
    <r>
      <rPr>
        <b/>
        <sz val="11"/>
        <color indexed="8"/>
        <rFont val="Calibri"/>
        <family val="2"/>
      </rPr>
      <t>²</t>
    </r>
  </si>
  <si>
    <r>
      <t>2x10 mm</t>
    </r>
    <r>
      <rPr>
        <b/>
        <sz val="11"/>
        <color indexed="8"/>
        <rFont val="Calibri"/>
        <family val="2"/>
      </rPr>
      <t>²</t>
    </r>
  </si>
  <si>
    <r>
      <t>2x16 mm</t>
    </r>
    <r>
      <rPr>
        <b/>
        <sz val="11"/>
        <color indexed="8"/>
        <rFont val="Calibri"/>
        <family val="2"/>
      </rPr>
      <t>²</t>
    </r>
  </si>
  <si>
    <r>
      <t>2x25 mm</t>
    </r>
    <r>
      <rPr>
        <b/>
        <sz val="11"/>
        <color indexed="8"/>
        <rFont val="Calibri"/>
        <family val="2"/>
      </rPr>
      <t>²</t>
    </r>
  </si>
  <si>
    <r>
      <t>2x35 mm</t>
    </r>
    <r>
      <rPr>
        <b/>
        <sz val="11"/>
        <color indexed="8"/>
        <rFont val="Calibri"/>
        <family val="2"/>
      </rPr>
      <t>²</t>
    </r>
  </si>
  <si>
    <r>
      <t>2x50 mm</t>
    </r>
    <r>
      <rPr>
        <b/>
        <sz val="11"/>
        <color indexed="8"/>
        <rFont val="Calibri"/>
        <family val="2"/>
      </rPr>
      <t>²</t>
    </r>
  </si>
  <si>
    <r>
      <t>2x70 mm</t>
    </r>
    <r>
      <rPr>
        <b/>
        <sz val="11"/>
        <color indexed="8"/>
        <rFont val="Calibri"/>
        <family val="2"/>
      </rPr>
      <t>²</t>
    </r>
  </si>
  <si>
    <r>
      <t>2x95 mm</t>
    </r>
    <r>
      <rPr>
        <b/>
        <sz val="11"/>
        <color indexed="8"/>
        <rFont val="Calibri"/>
        <family val="2"/>
      </rPr>
      <t>²</t>
    </r>
  </si>
  <si>
    <r>
      <t>2x120 mm</t>
    </r>
    <r>
      <rPr>
        <b/>
        <sz val="11"/>
        <color indexed="8"/>
        <rFont val="Calibri"/>
        <family val="2"/>
      </rPr>
      <t>²</t>
    </r>
  </si>
  <si>
    <r>
      <t>3x1.5 mm</t>
    </r>
    <r>
      <rPr>
        <b/>
        <sz val="11"/>
        <color indexed="8"/>
        <rFont val="Calibri"/>
        <family val="2"/>
      </rPr>
      <t>²</t>
    </r>
  </si>
  <si>
    <r>
      <t>3x2.5 mm</t>
    </r>
    <r>
      <rPr>
        <b/>
        <sz val="11"/>
        <color indexed="8"/>
        <rFont val="Calibri"/>
        <family val="2"/>
      </rPr>
      <t>²</t>
    </r>
  </si>
  <si>
    <r>
      <t>3x4 mm</t>
    </r>
    <r>
      <rPr>
        <b/>
        <sz val="11"/>
        <color indexed="8"/>
        <rFont val="Calibri"/>
        <family val="2"/>
      </rPr>
      <t>²</t>
    </r>
  </si>
  <si>
    <r>
      <t>3x6 mm</t>
    </r>
    <r>
      <rPr>
        <b/>
        <sz val="11"/>
        <color indexed="8"/>
        <rFont val="Calibri"/>
        <family val="2"/>
      </rPr>
      <t>²</t>
    </r>
  </si>
  <si>
    <r>
      <t>3x10 mm</t>
    </r>
    <r>
      <rPr>
        <b/>
        <sz val="11"/>
        <color indexed="8"/>
        <rFont val="Calibri"/>
        <family val="2"/>
      </rPr>
      <t>²</t>
    </r>
  </si>
  <si>
    <r>
      <t>3x16 mm</t>
    </r>
    <r>
      <rPr>
        <b/>
        <sz val="11"/>
        <color indexed="8"/>
        <rFont val="Calibri"/>
        <family val="2"/>
      </rPr>
      <t>²</t>
    </r>
  </si>
  <si>
    <r>
      <t>3x25 mm</t>
    </r>
    <r>
      <rPr>
        <b/>
        <sz val="11"/>
        <color indexed="8"/>
        <rFont val="Calibri"/>
        <family val="2"/>
      </rPr>
      <t>²</t>
    </r>
  </si>
  <si>
    <r>
      <t>3x35 mm</t>
    </r>
    <r>
      <rPr>
        <b/>
        <sz val="11"/>
        <color indexed="8"/>
        <rFont val="Calibri"/>
        <family val="2"/>
      </rPr>
      <t>²</t>
    </r>
  </si>
  <si>
    <r>
      <t>3x50 mm</t>
    </r>
    <r>
      <rPr>
        <b/>
        <sz val="11"/>
        <color indexed="8"/>
        <rFont val="Calibri"/>
        <family val="2"/>
      </rPr>
      <t>²</t>
    </r>
  </si>
  <si>
    <t>Kenaikan harga 2025</t>
  </si>
  <si>
    <r>
      <t>3x70 mm</t>
    </r>
    <r>
      <rPr>
        <b/>
        <sz val="11"/>
        <color indexed="8"/>
        <rFont val="Calibri"/>
        <family val="2"/>
      </rPr>
      <t>²</t>
    </r>
  </si>
  <si>
    <r>
      <t>3x95 mm</t>
    </r>
    <r>
      <rPr>
        <b/>
        <sz val="11"/>
        <color indexed="8"/>
        <rFont val="Calibri"/>
        <family val="2"/>
      </rPr>
      <t>²</t>
    </r>
  </si>
  <si>
    <r>
      <t>3x120 mm</t>
    </r>
    <r>
      <rPr>
        <b/>
        <sz val="11"/>
        <color indexed="8"/>
        <rFont val="Calibri"/>
        <family val="2"/>
      </rPr>
      <t>²</t>
    </r>
  </si>
  <si>
    <r>
      <t>3x150 mm</t>
    </r>
    <r>
      <rPr>
        <b/>
        <sz val="11"/>
        <color indexed="8"/>
        <rFont val="Calibri"/>
        <family val="2"/>
      </rPr>
      <t>²</t>
    </r>
  </si>
  <si>
    <r>
      <t>3x185 mm</t>
    </r>
    <r>
      <rPr>
        <b/>
        <sz val="11"/>
        <color indexed="8"/>
        <rFont val="Calibri"/>
        <family val="2"/>
      </rPr>
      <t>²</t>
    </r>
  </si>
  <si>
    <r>
      <t>3x240 mm</t>
    </r>
    <r>
      <rPr>
        <b/>
        <sz val="11"/>
        <color indexed="8"/>
        <rFont val="Calibri"/>
        <family val="2"/>
      </rPr>
      <t>²</t>
    </r>
  </si>
  <si>
    <r>
      <t>3x300 mm</t>
    </r>
    <r>
      <rPr>
        <b/>
        <sz val="11"/>
        <color indexed="8"/>
        <rFont val="Calibri"/>
        <family val="2"/>
      </rPr>
      <t>²</t>
    </r>
  </si>
  <si>
    <r>
      <t>3x400 mm</t>
    </r>
    <r>
      <rPr>
        <b/>
        <sz val="11"/>
        <color indexed="8"/>
        <rFont val="Calibri"/>
        <family val="2"/>
      </rPr>
      <t>²</t>
    </r>
  </si>
  <si>
    <r>
      <t>4x0.75 mm</t>
    </r>
    <r>
      <rPr>
        <b/>
        <sz val="11"/>
        <color indexed="8"/>
        <rFont val="Calibri"/>
        <family val="2"/>
      </rPr>
      <t>²</t>
    </r>
  </si>
  <si>
    <r>
      <t>4x1.5 mm</t>
    </r>
    <r>
      <rPr>
        <b/>
        <sz val="11"/>
        <color indexed="8"/>
        <rFont val="Calibri"/>
        <family val="2"/>
      </rPr>
      <t>²</t>
    </r>
  </si>
  <si>
    <r>
      <t>4x2.5 mm</t>
    </r>
    <r>
      <rPr>
        <b/>
        <sz val="11"/>
        <color indexed="8"/>
        <rFont val="Calibri"/>
        <family val="2"/>
      </rPr>
      <t>²</t>
    </r>
  </si>
  <si>
    <r>
      <t>4x4 mm</t>
    </r>
    <r>
      <rPr>
        <b/>
        <sz val="11"/>
        <color indexed="8"/>
        <rFont val="Calibri"/>
        <family val="2"/>
      </rPr>
      <t>²</t>
    </r>
  </si>
  <si>
    <r>
      <t>4x6 mm</t>
    </r>
    <r>
      <rPr>
        <b/>
        <sz val="11"/>
        <color indexed="8"/>
        <rFont val="Calibri"/>
        <family val="2"/>
      </rPr>
      <t>²</t>
    </r>
  </si>
  <si>
    <r>
      <t>4x10 mm</t>
    </r>
    <r>
      <rPr>
        <b/>
        <sz val="11"/>
        <color indexed="8"/>
        <rFont val="Calibri"/>
        <family val="2"/>
      </rPr>
      <t>²</t>
    </r>
  </si>
  <si>
    <r>
      <t>4x16 mm</t>
    </r>
    <r>
      <rPr>
        <b/>
        <sz val="11"/>
        <color indexed="8"/>
        <rFont val="Calibri"/>
        <family val="2"/>
      </rPr>
      <t>²</t>
    </r>
  </si>
  <si>
    <r>
      <t>4x25 mm</t>
    </r>
    <r>
      <rPr>
        <b/>
        <sz val="11"/>
        <color indexed="8"/>
        <rFont val="Calibri"/>
        <family val="2"/>
      </rPr>
      <t>²</t>
    </r>
  </si>
  <si>
    <r>
      <t>4x35 mm</t>
    </r>
    <r>
      <rPr>
        <b/>
        <sz val="11"/>
        <color indexed="8"/>
        <rFont val="Calibri"/>
        <family val="2"/>
      </rPr>
      <t>²</t>
    </r>
  </si>
  <si>
    <r>
      <t>4x50 mm</t>
    </r>
    <r>
      <rPr>
        <b/>
        <sz val="11"/>
        <color indexed="8"/>
        <rFont val="Calibri"/>
        <family val="2"/>
      </rPr>
      <t>²</t>
    </r>
  </si>
  <si>
    <r>
      <t>4x70 mm</t>
    </r>
    <r>
      <rPr>
        <b/>
        <sz val="11"/>
        <color indexed="8"/>
        <rFont val="Calibri"/>
        <family val="2"/>
      </rPr>
      <t>²</t>
    </r>
  </si>
  <si>
    <r>
      <t>4x95 mm</t>
    </r>
    <r>
      <rPr>
        <b/>
        <sz val="11"/>
        <color indexed="8"/>
        <rFont val="Calibri"/>
        <family val="2"/>
      </rPr>
      <t>²</t>
    </r>
  </si>
  <si>
    <r>
      <t>4x120 mm</t>
    </r>
    <r>
      <rPr>
        <b/>
        <sz val="11"/>
        <color indexed="8"/>
        <rFont val="Calibri"/>
        <family val="2"/>
      </rPr>
      <t>²</t>
    </r>
  </si>
  <si>
    <r>
      <t>4x150 mm</t>
    </r>
    <r>
      <rPr>
        <b/>
        <sz val="11"/>
        <color indexed="8"/>
        <rFont val="Calibri"/>
        <family val="2"/>
      </rPr>
      <t>²</t>
    </r>
  </si>
  <si>
    <r>
      <t>4x185 mm</t>
    </r>
    <r>
      <rPr>
        <b/>
        <sz val="11"/>
        <color indexed="8"/>
        <rFont val="Calibri"/>
        <family val="2"/>
      </rPr>
      <t>²</t>
    </r>
  </si>
  <si>
    <r>
      <t>4x240 mm</t>
    </r>
    <r>
      <rPr>
        <b/>
        <sz val="11"/>
        <color indexed="8"/>
        <rFont val="Calibri"/>
        <family val="2"/>
      </rPr>
      <t>²</t>
    </r>
  </si>
  <si>
    <r>
      <t>4x300 mm</t>
    </r>
    <r>
      <rPr>
        <b/>
        <sz val="11"/>
        <color indexed="8"/>
        <rFont val="Calibri"/>
        <family val="2"/>
      </rPr>
      <t>²</t>
    </r>
  </si>
  <si>
    <r>
      <t>5x1.5 mm</t>
    </r>
    <r>
      <rPr>
        <b/>
        <sz val="11"/>
        <color indexed="8"/>
        <rFont val="Calibri"/>
        <family val="2"/>
      </rPr>
      <t>²</t>
    </r>
  </si>
  <si>
    <r>
      <t>7x1.5 mm</t>
    </r>
    <r>
      <rPr>
        <b/>
        <sz val="11"/>
        <color indexed="8"/>
        <rFont val="Calibri"/>
        <family val="2"/>
      </rPr>
      <t>²</t>
    </r>
  </si>
  <si>
    <r>
      <t>10x1.5 mm</t>
    </r>
    <r>
      <rPr>
        <b/>
        <sz val="11"/>
        <color indexed="8"/>
        <rFont val="Calibri"/>
        <family val="2"/>
      </rPr>
      <t>²</t>
    </r>
  </si>
  <si>
    <r>
      <t>12x1.5 mm</t>
    </r>
    <r>
      <rPr>
        <b/>
        <sz val="11"/>
        <color indexed="8"/>
        <rFont val="Calibri"/>
        <family val="2"/>
      </rPr>
      <t>²</t>
    </r>
  </si>
  <si>
    <r>
      <t>19x1.5 mm</t>
    </r>
    <r>
      <rPr>
        <b/>
        <sz val="11"/>
        <color indexed="8"/>
        <rFont val="Calibri"/>
        <family val="2"/>
      </rPr>
      <t>²</t>
    </r>
  </si>
  <si>
    <r>
      <t>24x1.5 mm</t>
    </r>
    <r>
      <rPr>
        <b/>
        <sz val="11"/>
        <color indexed="8"/>
        <rFont val="Calibri"/>
        <family val="2"/>
      </rPr>
      <t>²</t>
    </r>
  </si>
  <si>
    <r>
      <t>30x1.5 mm</t>
    </r>
    <r>
      <rPr>
        <b/>
        <sz val="11"/>
        <color indexed="8"/>
        <rFont val="Calibri"/>
        <family val="2"/>
      </rPr>
      <t>²</t>
    </r>
  </si>
  <si>
    <r>
      <t>5x2.5 mm</t>
    </r>
    <r>
      <rPr>
        <b/>
        <sz val="11"/>
        <color indexed="8"/>
        <rFont val="Calibri"/>
        <family val="2"/>
      </rPr>
      <t>²</t>
    </r>
  </si>
  <si>
    <r>
      <t>7x2.5 mm</t>
    </r>
    <r>
      <rPr>
        <b/>
        <sz val="11"/>
        <color indexed="8"/>
        <rFont val="Calibri"/>
        <family val="2"/>
      </rPr>
      <t>²</t>
    </r>
  </si>
  <si>
    <r>
      <t>10x2.5 mm</t>
    </r>
    <r>
      <rPr>
        <b/>
        <sz val="11"/>
        <color indexed="8"/>
        <rFont val="Calibri"/>
        <family val="2"/>
      </rPr>
      <t>²</t>
    </r>
  </si>
  <si>
    <r>
      <t>12x2.5 mm</t>
    </r>
    <r>
      <rPr>
        <b/>
        <sz val="11"/>
        <color indexed="8"/>
        <rFont val="Calibri"/>
        <family val="2"/>
      </rPr>
      <t>²</t>
    </r>
  </si>
  <si>
    <r>
      <t>19x2.5 mm</t>
    </r>
    <r>
      <rPr>
        <b/>
        <sz val="11"/>
        <color indexed="8"/>
        <rFont val="Calibri"/>
        <family val="2"/>
      </rPr>
      <t>²</t>
    </r>
  </si>
  <si>
    <r>
      <t>24x2.5 mm</t>
    </r>
    <r>
      <rPr>
        <b/>
        <sz val="11"/>
        <color indexed="8"/>
        <rFont val="Calibri"/>
        <family val="2"/>
      </rPr>
      <t>²</t>
    </r>
  </si>
  <si>
    <r>
      <t>30x2.5 mm</t>
    </r>
    <r>
      <rPr>
        <b/>
        <sz val="11"/>
        <color indexed="8"/>
        <rFont val="Calibri"/>
        <family val="2"/>
      </rPr>
      <t>²</t>
    </r>
  </si>
  <si>
    <t>CABLE LADDER , CABLE TRAY , UNDERFLOOR DUCT MERK (THREE START)</t>
  </si>
  <si>
    <t>I.</t>
  </si>
  <si>
    <t xml:space="preserve">CABLE LADDER TYPE SLU </t>
  </si>
  <si>
    <t>H: 100 mm</t>
  </si>
  <si>
    <t>L : 3000 mm</t>
  </si>
  <si>
    <t>WIDTH</t>
  </si>
  <si>
    <t>STRAIGHT</t>
  </si>
  <si>
    <t>ELBOW</t>
  </si>
  <si>
    <t>TEE</t>
  </si>
  <si>
    <t>CROSS</t>
  </si>
  <si>
    <t>IRR/ORR</t>
  </si>
  <si>
    <t>REDUCER</t>
  </si>
  <si>
    <t>COVER</t>
  </si>
  <si>
    <t>II.</t>
  </si>
  <si>
    <t>H: 50 mm</t>
  </si>
  <si>
    <t>III.</t>
  </si>
  <si>
    <t>CABLE LADDER TYPE SLW</t>
  </si>
  <si>
    <t>H: 100mm</t>
  </si>
  <si>
    <t>IV.</t>
  </si>
  <si>
    <t>CABLE TRAY TYPE TRC</t>
  </si>
  <si>
    <t>V</t>
  </si>
  <si>
    <t>H : 50 mm</t>
  </si>
  <si>
    <t>VI.</t>
  </si>
  <si>
    <t>CABLE TRAY TYPE TRU</t>
  </si>
  <si>
    <t>H : 100 mm</t>
  </si>
  <si>
    <t>VII.</t>
  </si>
  <si>
    <t>VIII.</t>
  </si>
  <si>
    <t>COVER ACCESSORIES</t>
  </si>
  <si>
    <t>IX.</t>
  </si>
  <si>
    <t>CABLE LADDER BETON / WIREMESH P : 3000 mm</t>
  </si>
  <si>
    <t>NO.</t>
  </si>
  <si>
    <t>Jointing Ladder Beton c/w Mur Baut</t>
  </si>
  <si>
    <t xml:space="preserve">/Set </t>
  </si>
  <si>
    <t>Hanger Fastener</t>
  </si>
  <si>
    <t>/pcs</t>
  </si>
  <si>
    <t>X.</t>
  </si>
  <si>
    <t>SUPPORT PART LADDER &amp; TRAY</t>
  </si>
  <si>
    <t>Specification</t>
  </si>
  <si>
    <t>Unit</t>
  </si>
  <si>
    <t>Jointing Set c/w mur &amp; baut</t>
  </si>
  <si>
    <t>T : 100 mm</t>
  </si>
  <si>
    <t>/Set</t>
  </si>
  <si>
    <t>T : 50 mm</t>
  </si>
  <si>
    <t>Jointing Set c/w mur &amp; baut SLW</t>
  </si>
  <si>
    <t>Vertical Hinger</t>
  </si>
  <si>
    <t>/Pcs</t>
  </si>
  <si>
    <t>Horizontal Hinger</t>
  </si>
  <si>
    <t>Bracket Support</t>
  </si>
  <si>
    <t>W : 50 mm</t>
  </si>
  <si>
    <t>W : 100 mm</t>
  </si>
  <si>
    <t>W : 150 mm</t>
  </si>
  <si>
    <t>W : 200 mm</t>
  </si>
  <si>
    <t>W : 250 mm</t>
  </si>
  <si>
    <t>W : 300 mm</t>
  </si>
  <si>
    <t>W : 400 mm</t>
  </si>
  <si>
    <t>W : 500 mm</t>
  </si>
  <si>
    <t>W : 600 mm</t>
  </si>
  <si>
    <t>W : 700 mm</t>
  </si>
  <si>
    <t>W : 800 mm</t>
  </si>
  <si>
    <t>W : 900 mm</t>
  </si>
  <si>
    <t>W : 1000 mm</t>
  </si>
  <si>
    <t>Hanger Beam</t>
  </si>
  <si>
    <t>Hanger Road</t>
  </si>
  <si>
    <t>Dia. 10mm P : 1000mm</t>
  </si>
  <si>
    <t>Dia. 12mm P : 1000mm</t>
  </si>
  <si>
    <t xml:space="preserve">Straight Separator </t>
  </si>
  <si>
    <t>H : 50mm</t>
  </si>
  <si>
    <t>H : 100mm</t>
  </si>
  <si>
    <t>Hold Down Clamp</t>
  </si>
  <si>
    <t>Hold Down Clip</t>
  </si>
  <si>
    <t>XI.</t>
  </si>
  <si>
    <t>Clamp Cover</t>
  </si>
  <si>
    <t>100 mm</t>
  </si>
  <si>
    <t>150 mm</t>
  </si>
  <si>
    <t>200 mm</t>
  </si>
  <si>
    <t>300 mm</t>
  </si>
  <si>
    <t>400 mm</t>
  </si>
  <si>
    <t>500 mm</t>
  </si>
  <si>
    <t>600 mm</t>
  </si>
  <si>
    <t>700 mm</t>
  </si>
  <si>
    <t>800 mm</t>
  </si>
  <si>
    <t>900 mm</t>
  </si>
  <si>
    <t>1000 mm</t>
  </si>
  <si>
    <t xml:space="preserve">End Stopper </t>
  </si>
  <si>
    <t>METAL</t>
  </si>
  <si>
    <t>CHANNELS TYPE</t>
  </si>
  <si>
    <t>CD.7.7-2</t>
  </si>
  <si>
    <t>/Mtr</t>
  </si>
  <si>
    <t>CD.12.7-2</t>
  </si>
  <si>
    <t>CD.15.9-2</t>
  </si>
  <si>
    <t>CD.7.6.6-3</t>
  </si>
  <si>
    <t>CD.12.6.6-3</t>
  </si>
  <si>
    <t>CD.7.5.7.5.7.5-3</t>
  </si>
  <si>
    <t>CD.10.10.10-3</t>
  </si>
  <si>
    <t>RISER</t>
  </si>
  <si>
    <t>ALL TYPE</t>
  </si>
  <si>
    <t>DUCT CONNECTOR</t>
  </si>
  <si>
    <t>OUTLET BOX TYPE</t>
  </si>
  <si>
    <t>M</t>
  </si>
  <si>
    <t>SS</t>
  </si>
  <si>
    <t>SB</t>
  </si>
  <si>
    <t>BS</t>
  </si>
  <si>
    <t>BB</t>
  </si>
  <si>
    <t>BSE</t>
  </si>
  <si>
    <t>BBE</t>
  </si>
  <si>
    <t>SSE</t>
  </si>
  <si>
    <t>SBE</t>
  </si>
  <si>
    <t>ACESSORIES</t>
  </si>
  <si>
    <t>STOP KONTAK</t>
  </si>
  <si>
    <t>OUTLET TELEPHONE</t>
  </si>
  <si>
    <t>OUTLET DATA CAT 6</t>
  </si>
  <si>
    <t>JUNCTION BOX TYPE</t>
  </si>
  <si>
    <t>S</t>
  </si>
  <si>
    <t>B</t>
  </si>
  <si>
    <t>PVC</t>
  </si>
  <si>
    <t>CHANNELS PVC</t>
  </si>
  <si>
    <t xml:space="preserve">UK. 1 x 75 </t>
  </si>
  <si>
    <t>UK. 1 x 100</t>
  </si>
  <si>
    <t>FIXING CLIP</t>
  </si>
  <si>
    <t xml:space="preserve">UK. 3 x 75 </t>
  </si>
  <si>
    <t>UK. 3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</si>
</sst>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IDR]\ * #,##0_);_([$IDR]\ * \(#,##0\);_([$IDR]\ * &quot;-&quot;_);_(@_)"/>
    <numFmt numFmtId="166" formatCode="_(* #,##0_);_(* \(#,##0\);_(* &quot;-&quot;??_);_(@_)"/>
    <numFmt numFmtId="167" formatCode="_(&quot;$&quot;* #,##0.00_);_(&quot;$&quot;* \(#,##0.00\);_(&quot;$&quot;* &quot;-&quot;??_);_(@_)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1"/>
      <color theme="8" tint="-0.499984740745262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indexed="8"/>
      <name val="Calibri"/>
      <family val="2"/>
    </font>
    <font>
      <sz val="9.35"/>
      <color indexed="8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 MT"/>
    </font>
    <font>
      <sz val="9"/>
      <name val="Arial MT"/>
    </font>
    <font>
      <b/>
      <sz val="10"/>
      <name val="Calibri"/>
      <family val="2"/>
    </font>
    <font>
      <b/>
      <sz val="10"/>
      <name val="Calibri"/>
      <family val="1"/>
    </font>
    <font>
      <sz val="9"/>
      <name val="Arial MT"/>
      <family val="2"/>
    </font>
    <font>
      <sz val="11"/>
      <color theme="1"/>
      <name val="Calibri 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Calibri"/>
      <family val="1"/>
    </font>
    <font>
      <sz val="10.5"/>
      <name val="Arial MT"/>
    </font>
    <font>
      <b/>
      <sz val="14"/>
      <name val="Arial MT"/>
    </font>
    <font>
      <sz val="10.5"/>
      <name val="Arial MT"/>
      <family val="2"/>
    </font>
    <font>
      <sz val="10.5"/>
      <color rgb="FF000000"/>
      <name val="Arial MT"/>
      <family val="2"/>
    </font>
    <font>
      <sz val="10.5"/>
      <color rgb="FFFF0000"/>
      <name val="Arial MT"/>
      <family val="2"/>
    </font>
    <font>
      <b/>
      <sz val="10.5"/>
      <name val="Arial MT"/>
    </font>
    <font>
      <b/>
      <sz val="14"/>
      <name val="Arial MT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167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662">
    <xf numFmtId="0" fontId="0" fillId="0" borderId="0" xfId="0"/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6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3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2" borderId="6" xfId="3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1" fillId="0" borderId="0" xfId="3" applyNumberFormat="1"/>
    <xf numFmtId="164" fontId="2" fillId="0" borderId="8" xfId="3" applyNumberFormat="1" applyFont="1" applyBorder="1" applyAlignment="1">
      <alignment horizontal="center" vertical="center"/>
    </xf>
    <xf numFmtId="164" fontId="2" fillId="2" borderId="8" xfId="3" applyNumberFormat="1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7" fillId="0" borderId="0" xfId="3" applyNumberFormat="1" applyFont="1"/>
    <xf numFmtId="164" fontId="2" fillId="0" borderId="13" xfId="3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3" xfId="3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0" xfId="3" applyNumberFormat="1" applyFont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0" xfId="3" applyNumberFormat="1" applyFont="1" applyFill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0" borderId="18" xfId="4" applyFont="1" applyBorder="1"/>
    <xf numFmtId="164" fontId="4" fillId="0" borderId="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2" xfId="4" applyFont="1" applyBorder="1" applyAlignment="1">
      <alignment horizontal="center"/>
    </xf>
    <xf numFmtId="164" fontId="1" fillId="0" borderId="12" xfId="4" applyFont="1" applyBorder="1"/>
    <xf numFmtId="164" fontId="1" fillId="0" borderId="2" xfId="4" applyFont="1" applyBorder="1"/>
    <xf numFmtId="164" fontId="1" fillId="2" borderId="12" xfId="5" applyFont="1" applyFill="1" applyBorder="1"/>
    <xf numFmtId="164" fontId="0" fillId="0" borderId="12" xfId="0" applyNumberFormat="1" applyBorder="1"/>
    <xf numFmtId="164" fontId="1" fillId="0" borderId="7" xfId="4" applyFont="1" applyBorder="1" applyAlignment="1">
      <alignment horizontal="center"/>
    </xf>
    <xf numFmtId="164" fontId="1" fillId="2" borderId="2" xfId="5" applyFont="1" applyFill="1" applyBorder="1"/>
    <xf numFmtId="164" fontId="0" fillId="0" borderId="4" xfId="0" applyNumberFormat="1" applyBorder="1" applyAlignment="1">
      <alignment horizontal="center"/>
    </xf>
    <xf numFmtId="164" fontId="0" fillId="0" borderId="0" xfId="0" quotePrefix="1" applyNumberFormat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0" borderId="7" xfId="4" applyFont="1" applyBorder="1"/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1" fillId="0" borderId="21" xfId="4" applyFont="1" applyBorder="1"/>
    <xf numFmtId="164" fontId="2" fillId="0" borderId="0" xfId="0" applyNumberFormat="1" applyFont="1" applyAlignment="1">
      <alignment horizontal="center"/>
    </xf>
    <xf numFmtId="164" fontId="0" fillId="0" borderId="22" xfId="0" applyNumberFormat="1" applyBorder="1"/>
    <xf numFmtId="164" fontId="0" fillId="0" borderId="23" xfId="0" applyNumberFormat="1" applyBorder="1"/>
    <xf numFmtId="165" fontId="0" fillId="0" borderId="23" xfId="0" applyNumberFormat="1" applyBorder="1"/>
    <xf numFmtId="165" fontId="1" fillId="0" borderId="24" xfId="4" applyNumberFormat="1" applyFont="1" applyBorder="1"/>
    <xf numFmtId="165" fontId="0" fillId="0" borderId="15" xfId="0" applyNumberFormat="1" applyBorder="1"/>
    <xf numFmtId="164" fontId="0" fillId="0" borderId="25" xfId="0" applyNumberFormat="1" applyBorder="1"/>
    <xf numFmtId="164" fontId="1" fillId="0" borderId="23" xfId="4" applyFont="1" applyBorder="1"/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 wrapText="1"/>
    </xf>
    <xf numFmtId="164" fontId="2" fillId="0" borderId="29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164" fontId="2" fillId="0" borderId="29" xfId="0" applyNumberFormat="1" applyFont="1" applyBorder="1" applyAlignment="1">
      <alignment horizontal="center" vertical="center"/>
    </xf>
    <xf numFmtId="164" fontId="10" fillId="0" borderId="0" xfId="3" applyNumberFormat="1" applyFont="1"/>
    <xf numFmtId="164" fontId="11" fillId="0" borderId="0" xfId="3" applyNumberFormat="1" applyFont="1" applyAlignment="1">
      <alignment horizontal="center"/>
    </xf>
    <xf numFmtId="164" fontId="12" fillId="0" borderId="0" xfId="3" applyNumberFormat="1" applyFont="1"/>
    <xf numFmtId="164" fontId="13" fillId="0" borderId="0" xfId="3" applyNumberFormat="1" applyFont="1"/>
    <xf numFmtId="164" fontId="14" fillId="0" borderId="0" xfId="3" applyNumberFormat="1" applyFont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1" fillId="0" borderId="0" xfId="4" applyFont="1" applyAlignment="1">
      <alignment horizontal="center"/>
    </xf>
    <xf numFmtId="164" fontId="1" fillId="0" borderId="15" xfId="4" applyFont="1" applyBorder="1"/>
    <xf numFmtId="164" fontId="1" fillId="0" borderId="0" xfId="4" applyFont="1"/>
    <xf numFmtId="164" fontId="1" fillId="2" borderId="15" xfId="5" applyFont="1" applyFill="1" applyBorder="1"/>
    <xf numFmtId="164" fontId="0" fillId="0" borderId="6" xfId="0" applyNumberFormat="1" applyBorder="1"/>
    <xf numFmtId="164" fontId="2" fillId="0" borderId="0" xfId="3" applyNumberFormat="1" applyFont="1"/>
    <xf numFmtId="164" fontId="1" fillId="0" borderId="6" xfId="4" applyFont="1" applyBorder="1" applyAlignment="1">
      <alignment horizontal="center"/>
    </xf>
    <xf numFmtId="164" fontId="1" fillId="0" borderId="9" xfId="4" applyFont="1" applyBorder="1"/>
    <xf numFmtId="164" fontId="1" fillId="0" borderId="8" xfId="4" applyFont="1" applyBorder="1"/>
    <xf numFmtId="164" fontId="1" fillId="0" borderId="6" xfId="4" applyFont="1" applyBorder="1"/>
    <xf numFmtId="164" fontId="1" fillId="2" borderId="8" xfId="5" applyFont="1" applyFill="1" applyBorder="1"/>
    <xf numFmtId="164" fontId="1" fillId="0" borderId="4" xfId="4" applyFont="1" applyBorder="1"/>
    <xf numFmtId="164" fontId="1" fillId="0" borderId="0" xfId="4" applyFont="1" applyBorder="1"/>
    <xf numFmtId="164" fontId="0" fillId="0" borderId="19" xfId="0" applyNumberFormat="1" applyBorder="1"/>
    <xf numFmtId="164" fontId="0" fillId="0" borderId="20" xfId="0" applyNumberFormat="1" applyBorder="1"/>
    <xf numFmtId="165" fontId="0" fillId="0" borderId="20" xfId="0" applyNumberFormat="1" applyBorder="1"/>
    <xf numFmtId="165" fontId="1" fillId="0" borderId="21" xfId="4" applyNumberFormat="1" applyFont="1" applyBorder="1"/>
    <xf numFmtId="164" fontId="0" fillId="0" borderId="31" xfId="0" applyNumberFormat="1" applyBorder="1"/>
    <xf numFmtId="164" fontId="1" fillId="0" borderId="20" xfId="4" applyFont="1" applyBorder="1"/>
    <xf numFmtId="164" fontId="2" fillId="0" borderId="32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 wrapText="1"/>
    </xf>
    <xf numFmtId="164" fontId="2" fillId="0" borderId="35" xfId="0" applyNumberFormat="1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164" fontId="2" fillId="0" borderId="36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/>
    </xf>
    <xf numFmtId="164" fontId="17" fillId="0" borderId="33" xfId="3" applyNumberFormat="1" applyFont="1" applyBorder="1"/>
    <xf numFmtId="164" fontId="17" fillId="2" borderId="33" xfId="3" applyNumberFormat="1" applyFont="1" applyFill="1" applyBorder="1"/>
    <xf numFmtId="164" fontId="17" fillId="2" borderId="35" xfId="3" applyNumberFormat="1" applyFont="1" applyFill="1" applyBorder="1"/>
    <xf numFmtId="164" fontId="17" fillId="2" borderId="37" xfId="3" applyNumberFormat="1" applyFont="1" applyFill="1" applyBorder="1"/>
    <xf numFmtId="164" fontId="17" fillId="2" borderId="31" xfId="3" applyNumberFormat="1" applyFont="1" applyFill="1" applyBorder="1"/>
    <xf numFmtId="164" fontId="17" fillId="3" borderId="35" xfId="3" applyNumberFormat="1" applyFont="1" applyFill="1" applyBorder="1"/>
    <xf numFmtId="164" fontId="17" fillId="3" borderId="37" xfId="3" applyNumberFormat="1" applyFont="1" applyFill="1" applyBorder="1"/>
    <xf numFmtId="164" fontId="18" fillId="0" borderId="0" xfId="3" applyNumberFormat="1" applyFont="1"/>
    <xf numFmtId="164" fontId="1" fillId="0" borderId="13" xfId="3" applyNumberFormat="1" applyBorder="1"/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1" fillId="0" borderId="11" xfId="4" applyFont="1" applyBorder="1" applyAlignment="1">
      <alignment horizontal="center"/>
    </xf>
    <xf numFmtId="164" fontId="1" fillId="0" borderId="13" xfId="4" applyFont="1" applyBorder="1"/>
    <xf numFmtId="164" fontId="1" fillId="0" borderId="11" xfId="4" applyFont="1" applyBorder="1"/>
    <xf numFmtId="164" fontId="1" fillId="2" borderId="13" xfId="5" applyFont="1" applyFill="1" applyBorder="1"/>
    <xf numFmtId="164" fontId="0" fillId="0" borderId="13" xfId="0" applyNumberFormat="1" applyBorder="1"/>
    <xf numFmtId="164" fontId="1" fillId="0" borderId="13" xfId="4" applyFont="1" applyBorder="1" applyAlignment="1">
      <alignment horizontal="center"/>
    </xf>
    <xf numFmtId="164" fontId="1" fillId="0" borderId="14" xfId="4" applyFont="1" applyBorder="1"/>
    <xf numFmtId="164" fontId="1" fillId="2" borderId="11" xfId="5" applyFont="1" applyFill="1" applyBorder="1"/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166" fontId="0" fillId="0" borderId="35" xfId="0" applyNumberFormat="1" applyBorder="1" applyAlignment="1">
      <alignment horizontal="center"/>
    </xf>
    <xf numFmtId="166" fontId="0" fillId="0" borderId="35" xfId="0" applyNumberFormat="1" applyBorder="1"/>
    <xf numFmtId="166" fontId="0" fillId="0" borderId="33" xfId="0" applyNumberFormat="1" applyBorder="1"/>
    <xf numFmtId="166" fontId="0" fillId="0" borderId="36" xfId="0" applyNumberFormat="1" applyBorder="1" applyAlignment="1">
      <alignment horizontal="center"/>
    </xf>
    <xf numFmtId="166" fontId="0" fillId="0" borderId="0" xfId="0" applyNumberFormat="1"/>
    <xf numFmtId="165" fontId="0" fillId="0" borderId="35" xfId="0" applyNumberFormat="1" applyBorder="1"/>
    <xf numFmtId="165" fontId="0" fillId="0" borderId="35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4" fontId="1" fillId="0" borderId="38" xfId="3" applyNumberFormat="1" applyBorder="1"/>
    <xf numFmtId="164" fontId="1" fillId="0" borderId="38" xfId="5" applyFont="1" applyBorder="1"/>
    <xf numFmtId="164" fontId="1" fillId="0" borderId="39" xfId="5" applyFont="1" applyBorder="1"/>
    <xf numFmtId="164" fontId="1" fillId="0" borderId="40" xfId="5" applyFont="1" applyBorder="1"/>
    <xf numFmtId="164" fontId="1" fillId="0" borderId="0" xfId="5" applyFont="1"/>
    <xf numFmtId="164" fontId="0" fillId="0" borderId="11" xfId="0" applyNumberFormat="1" applyBorder="1"/>
    <xf numFmtId="165" fontId="0" fillId="0" borderId="13" xfId="0" applyNumberFormat="1" applyBorder="1"/>
    <xf numFmtId="165" fontId="1" fillId="0" borderId="14" xfId="4" applyNumberFormat="1" applyFont="1" applyBorder="1"/>
    <xf numFmtId="165" fontId="0" fillId="4" borderId="12" xfId="0" applyNumberFormat="1" applyFill="1" applyBorder="1"/>
    <xf numFmtId="164" fontId="1" fillId="0" borderId="15" xfId="3" applyNumberFormat="1" applyBorder="1"/>
    <xf numFmtId="164" fontId="0" fillId="0" borderId="15" xfId="0" applyNumberFormat="1" applyBorder="1"/>
    <xf numFmtId="164" fontId="1" fillId="0" borderId="4" xfId="4" applyFont="1" applyBorder="1" applyAlignment="1">
      <alignment horizontal="center"/>
    </xf>
    <xf numFmtId="164" fontId="1" fillId="2" borderId="0" xfId="5" applyFont="1" applyFill="1" applyBorder="1"/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5" fontId="0" fillId="0" borderId="6" xfId="0" applyNumberFormat="1" applyBorder="1"/>
    <xf numFmtId="164" fontId="0" fillId="0" borderId="4" xfId="0" applyNumberFormat="1" applyBorder="1"/>
    <xf numFmtId="164" fontId="1" fillId="0" borderId="10" xfId="4" applyFont="1" applyBorder="1" applyAlignment="1">
      <alignment horizontal="center"/>
    </xf>
    <xf numFmtId="164" fontId="0" fillId="0" borderId="10" xfId="0" applyNumberFormat="1" applyBorder="1"/>
    <xf numFmtId="164" fontId="2" fillId="0" borderId="38" xfId="3" applyNumberFormat="1" applyFont="1" applyBorder="1" applyAlignment="1">
      <alignment horizontal="right"/>
    </xf>
    <xf numFmtId="164" fontId="17" fillId="0" borderId="38" xfId="5" applyFont="1" applyBorder="1"/>
    <xf numFmtId="164" fontId="17" fillId="0" borderId="39" xfId="5" applyFont="1" applyBorder="1"/>
    <xf numFmtId="164" fontId="17" fillId="0" borderId="40" xfId="5" applyFont="1" applyBorder="1"/>
    <xf numFmtId="164" fontId="17" fillId="0" borderId="0" xfId="5" applyFont="1"/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" fillId="0" borderId="43" xfId="4" applyFont="1" applyBorder="1"/>
    <xf numFmtId="164" fontId="0" fillId="0" borderId="7" xfId="0" applyNumberFormat="1" applyBorder="1" applyAlignment="1">
      <alignment horizontal="center"/>
    </xf>
    <xf numFmtId="164" fontId="2" fillId="0" borderId="33" xfId="3" applyNumberFormat="1" applyFont="1" applyBorder="1" applyAlignment="1">
      <alignment horizontal="right"/>
    </xf>
    <xf numFmtId="164" fontId="17" fillId="0" borderId="35" xfId="3" applyNumberFormat="1" applyFont="1" applyBorder="1"/>
    <xf numFmtId="164" fontId="17" fillId="0" borderId="37" xfId="3" applyNumberFormat="1" applyFont="1" applyBorder="1"/>
    <xf numFmtId="164" fontId="17" fillId="0" borderId="31" xfId="3" applyNumberFormat="1" applyFont="1" applyBorder="1"/>
    <xf numFmtId="164" fontId="17" fillId="0" borderId="44" xfId="3" applyNumberFormat="1" applyFont="1" applyBorder="1" applyAlignment="1">
      <alignment horizontal="right"/>
    </xf>
    <xf numFmtId="164" fontId="17" fillId="2" borderId="44" xfId="3" applyNumberFormat="1" applyFont="1" applyFill="1" applyBorder="1"/>
    <xf numFmtId="164" fontId="17" fillId="2" borderId="45" xfId="3" applyNumberFormat="1" applyFont="1" applyFill="1" applyBorder="1"/>
    <xf numFmtId="164" fontId="17" fillId="2" borderId="46" xfId="3" applyNumberFormat="1" applyFont="1" applyFill="1" applyBorder="1"/>
    <xf numFmtId="164" fontId="17" fillId="3" borderId="45" xfId="3" applyNumberFormat="1" applyFont="1" applyFill="1" applyBorder="1"/>
    <xf numFmtId="164" fontId="18" fillId="0" borderId="15" xfId="3" applyNumberFormat="1" applyFont="1" applyBorder="1"/>
    <xf numFmtId="164" fontId="18" fillId="0" borderId="13" xfId="3" applyNumberFormat="1" applyFont="1" applyBorder="1"/>
    <xf numFmtId="164" fontId="1" fillId="0" borderId="10" xfId="4" applyFont="1" applyBorder="1"/>
    <xf numFmtId="164" fontId="1" fillId="0" borderId="44" xfId="3" applyNumberFormat="1" applyBorder="1"/>
    <xf numFmtId="164" fontId="1" fillId="0" borderId="45" xfId="3" applyNumberFormat="1" applyBorder="1"/>
    <xf numFmtId="164" fontId="1" fillId="0" borderId="47" xfId="3" applyNumberFormat="1" applyBorder="1"/>
    <xf numFmtId="164" fontId="1" fillId="0" borderId="46" xfId="3" applyNumberFormat="1" applyBorder="1"/>
    <xf numFmtId="164" fontId="2" fillId="0" borderId="38" xfId="5" applyFont="1" applyBorder="1"/>
    <xf numFmtId="164" fontId="2" fillId="0" borderId="39" xfId="5" applyFont="1" applyBorder="1"/>
    <xf numFmtId="164" fontId="2" fillId="0" borderId="40" xfId="5" applyFont="1" applyBorder="1"/>
    <xf numFmtId="164" fontId="2" fillId="0" borderId="0" xfId="5" applyFont="1"/>
    <xf numFmtId="164" fontId="0" fillId="0" borderId="48" xfId="0" applyNumberFormat="1" applyBorder="1" applyAlignment="1">
      <alignment horizontal="center" vertical="center"/>
    </xf>
    <xf numFmtId="166" fontId="0" fillId="0" borderId="49" xfId="0" applyNumberFormat="1" applyBorder="1" applyAlignment="1">
      <alignment horizontal="center" vertical="center"/>
    </xf>
    <xf numFmtId="165" fontId="0" fillId="0" borderId="49" xfId="0" applyNumberFormat="1" applyBorder="1"/>
    <xf numFmtId="165" fontId="0" fillId="0" borderId="49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4" fontId="1" fillId="0" borderId="51" xfId="3" applyNumberFormat="1" applyBorder="1"/>
    <xf numFmtId="164" fontId="1" fillId="0" borderId="34" xfId="3" applyNumberFormat="1" applyBorder="1"/>
    <xf numFmtId="164" fontId="1" fillId="0" borderId="52" xfId="3" applyNumberFormat="1" applyBorder="1"/>
    <xf numFmtId="164" fontId="1" fillId="0" borderId="53" xfId="3" applyNumberFormat="1" applyBorder="1"/>
    <xf numFmtId="164" fontId="0" fillId="0" borderId="54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1" fillId="0" borderId="55" xfId="4" applyFont="1" applyBorder="1"/>
    <xf numFmtId="164" fontId="2" fillId="0" borderId="9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1" fillId="0" borderId="17" xfId="4" applyFont="1" applyBorder="1"/>
    <xf numFmtId="164" fontId="0" fillId="0" borderId="48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1" fillId="0" borderId="50" xfId="4" applyFont="1" applyBorder="1"/>
    <xf numFmtId="164" fontId="2" fillId="0" borderId="14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0" fillId="0" borderId="54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 vertical="center"/>
    </xf>
    <xf numFmtId="166" fontId="0" fillId="0" borderId="49" xfId="0" applyNumberFormat="1" applyBorder="1" applyAlignment="1">
      <alignment horizontal="center"/>
    </xf>
    <xf numFmtId="166" fontId="0" fillId="0" borderId="49" xfId="0" applyNumberFormat="1" applyBorder="1"/>
    <xf numFmtId="166" fontId="0" fillId="0" borderId="56" xfId="0" applyNumberFormat="1" applyBorder="1"/>
    <xf numFmtId="166" fontId="0" fillId="0" borderId="50" xfId="0" applyNumberFormat="1" applyBorder="1" applyAlignment="1">
      <alignment horizontal="center"/>
    </xf>
    <xf numFmtId="164" fontId="2" fillId="0" borderId="35" xfId="0" applyNumberFormat="1" applyFont="1" applyBorder="1"/>
    <xf numFmtId="164" fontId="2" fillId="2" borderId="0" xfId="3" applyNumberFormat="1" applyFont="1" applyFill="1" applyAlignment="1">
      <alignment horizontal="center" vertical="center"/>
    </xf>
    <xf numFmtId="164" fontId="0" fillId="0" borderId="32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2" fillId="0" borderId="0" xfId="3" applyNumberFormat="1" applyFont="1" applyAlignment="1">
      <alignment horizontal="left"/>
    </xf>
    <xf numFmtId="164" fontId="2" fillId="0" borderId="0" xfId="3" applyNumberFormat="1" applyFont="1" applyAlignment="1">
      <alignment horizontal="center"/>
    </xf>
    <xf numFmtId="164" fontId="0" fillId="0" borderId="32" xfId="0" applyNumberFormat="1" applyBorder="1"/>
    <xf numFmtId="164" fontId="0" fillId="0" borderId="35" xfId="0" applyNumberFormat="1" applyBorder="1"/>
    <xf numFmtId="164" fontId="0" fillId="0" borderId="33" xfId="0" applyNumberFormat="1" applyBorder="1"/>
    <xf numFmtId="164" fontId="0" fillId="0" borderId="48" xfId="0" applyNumberFormat="1" applyBorder="1"/>
    <xf numFmtId="164" fontId="0" fillId="0" borderId="49" xfId="0" applyNumberFormat="1" applyBorder="1"/>
    <xf numFmtId="164" fontId="0" fillId="0" borderId="56" xfId="0" applyNumberFormat="1" applyBorder="1"/>
    <xf numFmtId="164" fontId="0" fillId="0" borderId="42" xfId="0" applyNumberFormat="1" applyBorder="1"/>
    <xf numFmtId="164" fontId="1" fillId="0" borderId="42" xfId="4" applyFont="1" applyBorder="1"/>
    <xf numFmtId="164" fontId="2" fillId="2" borderId="0" xfId="3" applyNumberFormat="1" applyFont="1" applyFill="1"/>
    <xf numFmtId="164" fontId="1" fillId="2" borderId="0" xfId="3" applyNumberFormat="1" applyFill="1"/>
    <xf numFmtId="164" fontId="4" fillId="0" borderId="0" xfId="0" applyNumberFormat="1" applyFont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1" fillId="0" borderId="24" xfId="4" applyFont="1" applyBorder="1"/>
    <xf numFmtId="164" fontId="9" fillId="0" borderId="0" xfId="0" applyNumberFormat="1" applyFont="1" applyAlignment="1">
      <alignment horizontal="center" vertical="center" wrapText="1"/>
    </xf>
    <xf numFmtId="165" fontId="0" fillId="0" borderId="35" xfId="0" applyNumberFormat="1" applyBorder="1" applyAlignment="1">
      <alignment vertical="center"/>
    </xf>
    <xf numFmtId="164" fontId="19" fillId="0" borderId="0" xfId="0" applyNumberFormat="1" applyFont="1" applyAlignment="1">
      <alignment horizontal="center"/>
    </xf>
    <xf numFmtId="164" fontId="1" fillId="0" borderId="15" xfId="4" applyFont="1" applyBorder="1" applyAlignment="1">
      <alignment horizontal="center"/>
    </xf>
    <xf numFmtId="164" fontId="1" fillId="0" borderId="5" xfId="4" applyFont="1" applyBorder="1"/>
    <xf numFmtId="165" fontId="0" fillId="0" borderId="33" xfId="0" applyNumberFormat="1" applyBorder="1"/>
    <xf numFmtId="165" fontId="0" fillId="0" borderId="37" xfId="0" applyNumberFormat="1" applyBorder="1"/>
    <xf numFmtId="165" fontId="0" fillId="0" borderId="0" xfId="0" applyNumberFormat="1"/>
    <xf numFmtId="164" fontId="0" fillId="0" borderId="17" xfId="0" applyNumberFormat="1" applyBorder="1"/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57" xfId="0" applyNumberFormat="1" applyFont="1" applyBorder="1" applyAlignment="1">
      <alignment horizontal="center"/>
    </xf>
    <xf numFmtId="164" fontId="0" fillId="0" borderId="38" xfId="0" applyNumberFormat="1" applyBorder="1"/>
    <xf numFmtId="164" fontId="2" fillId="0" borderId="58" xfId="0" applyNumberFormat="1" applyFont="1" applyBorder="1" applyAlignment="1">
      <alignment horizontal="center" vertical="center"/>
    </xf>
    <xf numFmtId="164" fontId="2" fillId="0" borderId="59" xfId="0" applyNumberFormat="1" applyFont="1" applyBorder="1" applyAlignment="1">
      <alignment horizontal="center" vertical="center"/>
    </xf>
    <xf numFmtId="164" fontId="2" fillId="0" borderId="60" xfId="0" applyNumberFormat="1" applyFont="1" applyBorder="1"/>
    <xf numFmtId="164" fontId="2" fillId="0" borderId="26" xfId="0" applyNumberFormat="1" applyFont="1" applyBorder="1"/>
    <xf numFmtId="164" fontId="2" fillId="0" borderId="29" xfId="0" applyNumberFormat="1" applyFont="1" applyBorder="1"/>
    <xf numFmtId="164" fontId="2" fillId="0" borderId="30" xfId="0" applyNumberFormat="1" applyFont="1" applyBorder="1"/>
    <xf numFmtId="166" fontId="0" fillId="0" borderId="54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165" fontId="0" fillId="0" borderId="55" xfId="0" applyNumberFormat="1" applyBorder="1"/>
    <xf numFmtId="165" fontId="0" fillId="0" borderId="36" xfId="0" applyNumberFormat="1" applyBorder="1"/>
    <xf numFmtId="166" fontId="0" fillId="0" borderId="32" xfId="0" applyNumberForma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8" fillId="0" borderId="45" xfId="3" applyNumberFormat="1" applyFont="1" applyBorder="1"/>
    <xf numFmtId="164" fontId="17" fillId="2" borderId="35" xfId="3" applyNumberFormat="1" applyFont="1" applyFill="1" applyBorder="1" applyAlignment="1">
      <alignment horizontal="center"/>
    </xf>
    <xf numFmtId="164" fontId="1" fillId="0" borderId="39" xfId="3" applyNumberFormat="1" applyBorder="1"/>
    <xf numFmtId="164" fontId="18" fillId="0" borderId="39" xfId="3" applyNumberFormat="1" applyFont="1" applyBorder="1"/>
    <xf numFmtId="164" fontId="18" fillId="0" borderId="39" xfId="6" applyFont="1" applyBorder="1"/>
    <xf numFmtId="164" fontId="1" fillId="0" borderId="38" xfId="3" quotePrefix="1" applyNumberFormat="1" applyBorder="1" applyAlignment="1">
      <alignment horizontal="left"/>
    </xf>
    <xf numFmtId="164" fontId="1" fillId="0" borderId="0" xfId="3" quotePrefix="1" applyNumberFormat="1" applyAlignment="1">
      <alignment horizontal="left"/>
    </xf>
    <xf numFmtId="165" fontId="0" fillId="0" borderId="56" xfId="0" applyNumberFormat="1" applyBorder="1"/>
    <xf numFmtId="165" fontId="0" fillId="0" borderId="61" xfId="0" applyNumberFormat="1" applyBorder="1"/>
    <xf numFmtId="165" fontId="0" fillId="0" borderId="50" xfId="0" applyNumberFormat="1" applyBorder="1"/>
    <xf numFmtId="164" fontId="1" fillId="0" borderId="38" xfId="3" applyNumberFormat="1" applyBorder="1" applyAlignment="1">
      <alignment horizontal="left"/>
    </xf>
    <xf numFmtId="164" fontId="1" fillId="0" borderId="0" xfId="3" applyNumberFormat="1" applyAlignment="1">
      <alignment horizontal="left"/>
    </xf>
    <xf numFmtId="164" fontId="1" fillId="0" borderId="39" xfId="6" applyFont="1" applyBorder="1"/>
    <xf numFmtId="166" fontId="0" fillId="0" borderId="48" xfId="0" applyNumberFormat="1" applyBorder="1" applyAlignment="1">
      <alignment horizontal="center" vertical="center"/>
    </xf>
    <xf numFmtId="164" fontId="1" fillId="0" borderId="0" xfId="3" applyNumberFormat="1" applyAlignment="1">
      <alignment horizontal="left"/>
    </xf>
    <xf numFmtId="164" fontId="2" fillId="0" borderId="26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62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0" fillId="0" borderId="28" xfId="0" applyNumberFormat="1" applyBorder="1"/>
    <xf numFmtId="164" fontId="0" fillId="0" borderId="63" xfId="0" applyNumberFormat="1" applyBorder="1"/>
    <xf numFmtId="166" fontId="0" fillId="0" borderId="32" xfId="0" applyNumberFormat="1" applyBorder="1"/>
    <xf numFmtId="164" fontId="2" fillId="2" borderId="35" xfId="3" applyNumberFormat="1" applyFont="1" applyFill="1" applyBorder="1"/>
    <xf numFmtId="164" fontId="2" fillId="2" borderId="35" xfId="6" applyFont="1" applyFill="1" applyBorder="1"/>
    <xf numFmtId="164" fontId="2" fillId="0" borderId="32" xfId="0" applyNumberFormat="1" applyFont="1" applyBorder="1" applyAlignment="1">
      <alignment horizontal="center"/>
    </xf>
    <xf numFmtId="164" fontId="2" fillId="0" borderId="45" xfId="0" applyNumberFormat="1" applyFont="1" applyBorder="1" applyAlignment="1">
      <alignment horizontal="center" vertical="center"/>
    </xf>
    <xf numFmtId="164" fontId="2" fillId="0" borderId="64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/>
    </xf>
    <xf numFmtId="164" fontId="2" fillId="0" borderId="65" xfId="0" applyNumberFormat="1" applyFont="1" applyBorder="1" applyAlignment="1">
      <alignment horizontal="center" vertical="center"/>
    </xf>
    <xf numFmtId="164" fontId="2" fillId="0" borderId="63" xfId="0" applyNumberFormat="1" applyFont="1" applyBorder="1" applyAlignment="1">
      <alignment horizontal="center" vertical="center"/>
    </xf>
    <xf numFmtId="164" fontId="1" fillId="0" borderId="0" xfId="6" applyFont="1"/>
    <xf numFmtId="164" fontId="2" fillId="0" borderId="34" xfId="0" applyNumberFormat="1" applyFont="1" applyBorder="1" applyAlignment="1">
      <alignment horizontal="center" vertical="center"/>
    </xf>
    <xf numFmtId="164" fontId="2" fillId="0" borderId="55" xfId="0" applyNumberFormat="1" applyFont="1" applyBorder="1" applyAlignment="1">
      <alignment horizontal="center" vertical="center"/>
    </xf>
    <xf numFmtId="164" fontId="2" fillId="0" borderId="51" xfId="0" applyNumberFormat="1" applyFont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5" fontId="0" fillId="0" borderId="44" xfId="0" applyNumberFormat="1" applyBorder="1" applyAlignment="1">
      <alignment vertical="center"/>
    </xf>
    <xf numFmtId="165" fontId="0" fillId="0" borderId="47" xfId="0" applyNumberFormat="1" applyBorder="1" applyAlignment="1">
      <alignment vertical="center"/>
    </xf>
    <xf numFmtId="165" fontId="0" fillId="0" borderId="33" xfId="0" applyNumberFormat="1" applyBorder="1" applyAlignment="1">
      <alignment vertical="center"/>
    </xf>
    <xf numFmtId="165" fontId="0" fillId="0" borderId="37" xfId="0" applyNumberFormat="1" applyBorder="1" applyAlignment="1">
      <alignment vertical="center"/>
    </xf>
    <xf numFmtId="166" fontId="0" fillId="0" borderId="21" xfId="0" applyNumberFormat="1" applyBorder="1" applyAlignment="1">
      <alignment vertical="center"/>
    </xf>
    <xf numFmtId="166" fontId="0" fillId="0" borderId="48" xfId="0" applyNumberFormat="1" applyBorder="1"/>
    <xf numFmtId="165" fontId="0" fillId="0" borderId="38" xfId="0" applyNumberFormat="1" applyBorder="1" applyAlignment="1">
      <alignment vertical="center"/>
    </xf>
    <xf numFmtId="165" fontId="0" fillId="0" borderId="40" xfId="0" applyNumberFormat="1" applyBorder="1" applyAlignment="1">
      <alignment vertical="center"/>
    </xf>
    <xf numFmtId="164" fontId="2" fillId="0" borderId="45" xfId="3" applyNumberFormat="1" applyFont="1" applyBorder="1"/>
    <xf numFmtId="164" fontId="1" fillId="0" borderId="45" xfId="4" applyBorder="1"/>
    <xf numFmtId="164" fontId="0" fillId="0" borderId="26" xfId="0" applyNumberFormat="1" applyBorder="1"/>
    <xf numFmtId="164" fontId="0" fillId="0" borderId="29" xfId="0" applyNumberFormat="1" applyBorder="1"/>
    <xf numFmtId="164" fontId="1" fillId="0" borderId="67" xfId="3" applyNumberFormat="1" applyBorder="1"/>
    <xf numFmtId="164" fontId="1" fillId="0" borderId="67" xfId="4" applyBorder="1"/>
    <xf numFmtId="165" fontId="0" fillId="0" borderId="49" xfId="0" applyNumberFormat="1" applyBorder="1" applyAlignment="1">
      <alignment vertical="center"/>
    </xf>
    <xf numFmtId="165" fontId="0" fillId="0" borderId="56" xfId="0" applyNumberFormat="1" applyBorder="1" applyAlignment="1">
      <alignment vertical="center"/>
    </xf>
    <xf numFmtId="165" fontId="0" fillId="0" borderId="61" xfId="0" applyNumberFormat="1" applyBorder="1" applyAlignment="1">
      <alignment vertical="center"/>
    </xf>
    <xf numFmtId="166" fontId="0" fillId="0" borderId="43" xfId="0" applyNumberFormat="1" applyBorder="1" applyAlignment="1">
      <alignment vertical="center"/>
    </xf>
    <xf numFmtId="165" fontId="0" fillId="0" borderId="35" xfId="1" applyNumberFormat="1" applyFont="1" applyBorder="1"/>
    <xf numFmtId="165" fontId="0" fillId="0" borderId="36" xfId="1" applyNumberFormat="1" applyFont="1" applyBorder="1"/>
    <xf numFmtId="164" fontId="1" fillId="2" borderId="35" xfId="3" applyNumberFormat="1" applyFill="1" applyBorder="1"/>
    <xf numFmtId="164" fontId="0" fillId="0" borderId="39" xfId="0" applyNumberFormat="1" applyBorder="1"/>
    <xf numFmtId="164" fontId="1" fillId="0" borderId="35" xfId="3" applyNumberFormat="1" applyBorder="1"/>
    <xf numFmtId="164" fontId="1" fillId="0" borderId="35" xfId="4" applyBorder="1"/>
    <xf numFmtId="164" fontId="1" fillId="0" borderId="0" xfId="4"/>
    <xf numFmtId="166" fontId="2" fillId="0" borderId="0" xfId="0" applyNumberFormat="1" applyFont="1" applyAlignment="1">
      <alignment horizontal="center"/>
    </xf>
    <xf numFmtId="164" fontId="19" fillId="0" borderId="0" xfId="0" applyNumberFormat="1" applyFont="1"/>
    <xf numFmtId="166" fontId="2" fillId="0" borderId="26" xfId="0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3" xfId="0" applyNumberFormat="1" applyFont="1" applyBorder="1" applyAlignment="1">
      <alignment horizontal="center" vertical="center"/>
    </xf>
    <xf numFmtId="166" fontId="0" fillId="0" borderId="45" xfId="0" applyNumberFormat="1" applyBorder="1" applyAlignment="1">
      <alignment horizontal="center" vertical="center"/>
    </xf>
    <xf numFmtId="165" fontId="0" fillId="0" borderId="45" xfId="0" applyNumberFormat="1" applyBorder="1" applyAlignment="1">
      <alignment vertical="center"/>
    </xf>
    <xf numFmtId="165" fontId="0" fillId="0" borderId="45" xfId="0" applyNumberForma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6" fontId="2" fillId="0" borderId="35" xfId="0" applyNumberFormat="1" applyFont="1" applyBorder="1" applyAlignment="1">
      <alignment horizontal="center" vertical="center"/>
    </xf>
    <xf numFmtId="166" fontId="2" fillId="0" borderId="34" xfId="0" applyNumberFormat="1" applyFont="1" applyBorder="1" applyAlignment="1">
      <alignment horizontal="center" vertical="center"/>
    </xf>
    <xf numFmtId="166" fontId="2" fillId="0" borderId="51" xfId="0" applyNumberFormat="1" applyFont="1" applyBorder="1" applyAlignment="1">
      <alignment horizontal="center" vertical="center"/>
    </xf>
    <xf numFmtId="166" fontId="2" fillId="0" borderId="55" xfId="0" applyNumberFormat="1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/>
    <xf numFmtId="165" fontId="0" fillId="0" borderId="8" xfId="0" applyNumberFormat="1" applyBorder="1" applyAlignment="1">
      <alignment horizontal="center" vertical="center"/>
    </xf>
    <xf numFmtId="165" fontId="0" fillId="0" borderId="49" xfId="1" applyNumberFormat="1" applyFont="1" applyBorder="1"/>
    <xf numFmtId="165" fontId="0" fillId="0" borderId="50" xfId="1" applyNumberFormat="1" applyFont="1" applyBorder="1"/>
    <xf numFmtId="164" fontId="1" fillId="0" borderId="0" xfId="4" applyFill="1" applyBorder="1"/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0" borderId="29" xfId="0" applyNumberFormat="1" applyFont="1" applyBorder="1"/>
    <xf numFmtId="166" fontId="2" fillId="0" borderId="30" xfId="0" applyNumberFormat="1" applyFont="1" applyBorder="1" applyAlignment="1">
      <alignment horizontal="center" vertical="center"/>
    </xf>
    <xf numFmtId="166" fontId="2" fillId="0" borderId="26" xfId="0" applyNumberFormat="1" applyFont="1" applyBorder="1"/>
    <xf numFmtId="164" fontId="19" fillId="0" borderId="68" xfId="0" applyNumberFormat="1" applyFont="1" applyBorder="1" applyAlignment="1">
      <alignment horizontal="center"/>
    </xf>
    <xf numFmtId="166" fontId="0" fillId="0" borderId="31" xfId="0" applyNumberFormat="1" applyBorder="1" applyAlignment="1">
      <alignment horizontal="center" vertical="center"/>
    </xf>
    <xf numFmtId="164" fontId="21" fillId="0" borderId="69" xfId="0" applyNumberFormat="1" applyFont="1" applyBorder="1" applyAlignment="1">
      <alignment horizontal="center" vertical="top" wrapText="1"/>
    </xf>
    <xf numFmtId="164" fontId="21" fillId="0" borderId="70" xfId="0" applyNumberFormat="1" applyFont="1" applyBorder="1" applyAlignment="1">
      <alignment horizontal="center" vertical="top" wrapText="1"/>
    </xf>
    <xf numFmtId="164" fontId="21" fillId="0" borderId="71" xfId="0" applyNumberFormat="1" applyFont="1" applyBorder="1" applyAlignment="1">
      <alignment horizontal="center" vertical="top" wrapText="1"/>
    </xf>
    <xf numFmtId="164" fontId="21" fillId="0" borderId="71" xfId="0" applyNumberFormat="1" applyFont="1" applyBorder="1" applyAlignment="1">
      <alignment horizontal="left" vertical="top" wrapText="1" indent="4"/>
    </xf>
    <xf numFmtId="164" fontId="22" fillId="0" borderId="0" xfId="0" applyNumberFormat="1" applyFont="1" applyAlignment="1">
      <alignment horizontal="left" vertical="top" wrapText="1" indent="4"/>
    </xf>
    <xf numFmtId="164" fontId="23" fillId="0" borderId="72" xfId="0" applyNumberFormat="1" applyFont="1" applyBorder="1" applyAlignment="1">
      <alignment horizontal="left" textRotation="90" wrapText="1"/>
    </xf>
    <xf numFmtId="164" fontId="22" fillId="0" borderId="71" xfId="0" applyNumberFormat="1" applyFont="1" applyBorder="1" applyAlignment="1">
      <alignment horizontal="left" vertical="top" wrapText="1"/>
    </xf>
    <xf numFmtId="164" fontId="23" fillId="0" borderId="73" xfId="0" applyNumberFormat="1" applyFont="1" applyBorder="1" applyAlignment="1">
      <alignment horizontal="left" textRotation="90" wrapText="1"/>
    </xf>
    <xf numFmtId="164" fontId="1" fillId="0" borderId="0" xfId="4" applyFont="1" applyFill="1" applyBorder="1" applyAlignment="1">
      <alignment horizontal="center"/>
    </xf>
    <xf numFmtId="164" fontId="1" fillId="0" borderId="0" xfId="4" applyFont="1" applyFill="1" applyBorder="1"/>
    <xf numFmtId="164" fontId="1" fillId="0" borderId="0" xfId="5" applyFont="1" applyFill="1" applyBorder="1"/>
    <xf numFmtId="164" fontId="0" fillId="0" borderId="0" xfId="3" applyNumberFormat="1" applyFont="1"/>
    <xf numFmtId="164" fontId="1" fillId="5" borderId="0" xfId="3" applyNumberFormat="1" applyFill="1"/>
    <xf numFmtId="164" fontId="23" fillId="0" borderId="74" xfId="0" applyNumberFormat="1" applyFont="1" applyBorder="1" applyAlignment="1">
      <alignment horizontal="left" textRotation="90" wrapText="1"/>
    </xf>
    <xf numFmtId="164" fontId="2" fillId="2" borderId="11" xfId="3" applyNumberFormat="1" applyFont="1" applyFill="1" applyBorder="1" applyAlignment="1">
      <alignment horizontal="center" vertical="center"/>
    </xf>
    <xf numFmtId="164" fontId="0" fillId="0" borderId="8" xfId="0" applyNumberFormat="1" applyBorder="1"/>
    <xf numFmtId="165" fontId="1" fillId="0" borderId="6" xfId="4" applyNumberFormat="1" applyFont="1" applyBorder="1"/>
    <xf numFmtId="164" fontId="2" fillId="0" borderId="7" xfId="0" applyNumberFormat="1" applyFont="1" applyBorder="1" applyAlignment="1">
      <alignment horizontal="center" vertical="center"/>
    </xf>
    <xf numFmtId="164" fontId="26" fillId="0" borderId="8" xfId="0" applyNumberFormat="1" applyFont="1" applyBorder="1" applyAlignment="1">
      <alignment horizontal="center"/>
    </xf>
    <xf numFmtId="164" fontId="1" fillId="0" borderId="7" xfId="4" applyFont="1" applyBorder="1" applyAlignment="1"/>
    <xf numFmtId="164" fontId="1" fillId="0" borderId="8" xfId="5" applyFont="1" applyFill="1" applyBorder="1"/>
    <xf numFmtId="164" fontId="1" fillId="0" borderId="6" xfId="4" applyFont="1" applyFill="1" applyBorder="1"/>
    <xf numFmtId="165" fontId="1" fillId="0" borderId="15" xfId="4" applyNumberFormat="1" applyFont="1" applyBorder="1"/>
    <xf numFmtId="166" fontId="0" fillId="0" borderId="75" xfId="0" applyNumberForma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6" fillId="0" borderId="0" xfId="0" applyNumberFormat="1" applyFont="1" applyAlignment="1">
      <alignment horizontal="center"/>
    </xf>
    <xf numFmtId="164" fontId="1" fillId="0" borderId="4" xfId="4" applyFont="1" applyBorder="1" applyAlignment="1"/>
    <xf numFmtId="164" fontId="1" fillId="0" borderId="15" xfId="4" applyFont="1" applyFill="1" applyBorder="1"/>
    <xf numFmtId="164" fontId="1" fillId="0" borderId="4" xfId="4" applyFont="1" applyFill="1" applyBorder="1" applyAlignment="1"/>
    <xf numFmtId="165" fontId="1" fillId="0" borderId="15" xfId="4" applyNumberFormat="1" applyFont="1" applyFill="1" applyBorder="1"/>
    <xf numFmtId="166" fontId="2" fillId="0" borderId="0" xfId="0" applyNumberFormat="1" applyFont="1"/>
    <xf numFmtId="164" fontId="0" fillId="0" borderId="14" xfId="0" applyNumberFormat="1" applyBorder="1"/>
    <xf numFmtId="165" fontId="0" fillId="0" borderId="11" xfId="0" applyNumberFormat="1" applyBorder="1"/>
    <xf numFmtId="165" fontId="1" fillId="0" borderId="13" xfId="4" applyNumberFormat="1" applyFont="1" applyFill="1" applyBorder="1"/>
    <xf numFmtId="164" fontId="0" fillId="0" borderId="9" xfId="0" applyNumberFormat="1" applyBorder="1"/>
    <xf numFmtId="164" fontId="2" fillId="0" borderId="10" xfId="0" applyNumberFormat="1" applyFont="1" applyBorder="1" applyAlignment="1">
      <alignment horizontal="center" vertical="center"/>
    </xf>
    <xf numFmtId="164" fontId="26" fillId="0" borderId="11" xfId="0" applyNumberFormat="1" applyFont="1" applyBorder="1" applyAlignment="1">
      <alignment horizontal="center"/>
    </xf>
    <xf numFmtId="164" fontId="1" fillId="0" borderId="10" xfId="4" applyFont="1" applyFill="1" applyBorder="1" applyAlignment="1"/>
    <xf numFmtId="164" fontId="1" fillId="0" borderId="13" xfId="4" applyFont="1" applyFill="1" applyBorder="1"/>
    <xf numFmtId="164" fontId="1" fillId="0" borderId="11" xfId="5" applyFont="1" applyFill="1" applyBorder="1"/>
    <xf numFmtId="164" fontId="23" fillId="0" borderId="72" xfId="0" applyNumberFormat="1" applyFont="1" applyBorder="1" applyAlignment="1">
      <alignment horizontal="center" vertical="center" textRotation="90" wrapText="1"/>
    </xf>
    <xf numFmtId="164" fontId="2" fillId="6" borderId="6" xfId="4" quotePrefix="1" applyFont="1" applyFill="1" applyBorder="1" applyAlignment="1">
      <alignment horizontal="center"/>
    </xf>
    <xf numFmtId="164" fontId="2" fillId="6" borderId="8" xfId="4" quotePrefix="1" applyFont="1" applyFill="1" applyBorder="1" applyAlignment="1">
      <alignment horizontal="center"/>
    </xf>
    <xf numFmtId="164" fontId="23" fillId="0" borderId="73" xfId="0" applyNumberFormat="1" applyFont="1" applyBorder="1" applyAlignment="1">
      <alignment horizontal="center" vertical="center" textRotation="90" wrapText="1"/>
    </xf>
    <xf numFmtId="164" fontId="2" fillId="6" borderId="15" xfId="4" quotePrefix="1" applyFont="1" applyFill="1" applyBorder="1" applyAlignment="1">
      <alignment horizontal="center"/>
    </xf>
    <xf numFmtId="164" fontId="2" fillId="6" borderId="0" xfId="4" quotePrefix="1" applyFont="1" applyFill="1" applyBorder="1" applyAlignment="1">
      <alignment horizontal="center"/>
    </xf>
    <xf numFmtId="164" fontId="1" fillId="0" borderId="15" xfId="4" applyFont="1" applyFill="1" applyBorder="1" applyAlignment="1"/>
    <xf numFmtId="165" fontId="1" fillId="0" borderId="13" xfId="4" applyNumberFormat="1" applyFont="1" applyBorder="1"/>
    <xf numFmtId="164" fontId="23" fillId="0" borderId="74" xfId="0" applyNumberFormat="1" applyFont="1" applyBorder="1" applyAlignment="1">
      <alignment horizontal="center" vertical="center" textRotation="90" wrapText="1"/>
    </xf>
    <xf numFmtId="164" fontId="0" fillId="0" borderId="76" xfId="0" applyNumberFormat="1" applyBorder="1" applyAlignment="1">
      <alignment horizontal="center" vertical="center"/>
    </xf>
    <xf numFmtId="164" fontId="0" fillId="0" borderId="77" xfId="0" applyNumberFormat="1" applyBorder="1"/>
    <xf numFmtId="164" fontId="0" fillId="0" borderId="77" xfId="0" applyNumberFormat="1" applyBorder="1" applyAlignment="1">
      <alignment horizontal="center" vertical="center"/>
    </xf>
    <xf numFmtId="165" fontId="0" fillId="0" borderId="78" xfId="0" applyNumberFormat="1" applyBorder="1" applyAlignment="1">
      <alignment vertical="center"/>
    </xf>
    <xf numFmtId="165" fontId="0" fillId="0" borderId="79" xfId="0" applyNumberFormat="1" applyBorder="1" applyAlignment="1">
      <alignment vertical="center"/>
    </xf>
    <xf numFmtId="164" fontId="1" fillId="0" borderId="0" xfId="4" applyFont="1" applyBorder="1" applyAlignment="1">
      <alignment horizontal="center"/>
    </xf>
    <xf numFmtId="164" fontId="2" fillId="0" borderId="15" xfId="3" applyNumberFormat="1" applyFont="1" applyBorder="1" applyAlignment="1">
      <alignment horizontal="center" vertical="center"/>
    </xf>
    <xf numFmtId="164" fontId="2" fillId="2" borderId="15" xfId="3" applyNumberFormat="1" applyFont="1" applyFill="1" applyBorder="1" applyAlignment="1">
      <alignment horizontal="center" vertical="center"/>
    </xf>
    <xf numFmtId="164" fontId="1" fillId="0" borderId="13" xfId="4" applyFont="1" applyFill="1" applyBorder="1" applyAlignment="1"/>
    <xf numFmtId="164" fontId="2" fillId="0" borderId="1" xfId="0" applyNumberFormat="1" applyFont="1" applyBorder="1" applyAlignment="1">
      <alignment horizontal="center" vertical="center"/>
    </xf>
    <xf numFmtId="164" fontId="1" fillId="0" borderId="3" xfId="4" applyFont="1" applyBorder="1"/>
    <xf numFmtId="164" fontId="1" fillId="0" borderId="8" xfId="4" applyFont="1" applyBorder="1" applyAlignment="1">
      <alignment horizontal="center"/>
    </xf>
    <xf numFmtId="164" fontId="1" fillId="2" borderId="6" xfId="5" applyFont="1" applyFill="1" applyBorder="1"/>
    <xf numFmtId="164" fontId="1" fillId="0" borderId="10" xfId="3" applyNumberFormat="1" applyBorder="1"/>
    <xf numFmtId="165" fontId="0" fillId="0" borderId="44" xfId="1" applyNumberFormat="1" applyFont="1" applyBorder="1" applyAlignment="1">
      <alignment vertical="center"/>
    </xf>
    <xf numFmtId="165" fontId="0" fillId="0" borderId="47" xfId="1" applyNumberFormat="1" applyFont="1" applyBorder="1" applyAlignment="1">
      <alignment vertical="center"/>
    </xf>
    <xf numFmtId="165" fontId="0" fillId="0" borderId="38" xfId="1" applyNumberFormat="1" applyFont="1" applyBorder="1" applyAlignment="1">
      <alignment vertical="center"/>
    </xf>
    <xf numFmtId="165" fontId="0" fillId="0" borderId="40" xfId="1" applyNumberFormat="1" applyFont="1" applyBorder="1" applyAlignment="1">
      <alignment vertical="center"/>
    </xf>
    <xf numFmtId="164" fontId="1" fillId="0" borderId="4" xfId="3" applyNumberFormat="1" applyBorder="1"/>
    <xf numFmtId="164" fontId="19" fillId="0" borderId="68" xfId="0" applyNumberFormat="1" applyFont="1" applyBorder="1"/>
    <xf numFmtId="164" fontId="4" fillId="0" borderId="12" xfId="0" applyNumberFormat="1" applyFont="1" applyBorder="1"/>
    <xf numFmtId="165" fontId="0" fillId="0" borderId="15" xfId="0" applyNumberFormat="1" applyBorder="1" applyAlignment="1">
      <alignment horizontal="center" vertical="center"/>
    </xf>
    <xf numFmtId="165" fontId="1" fillId="0" borderId="15" xfId="4" applyNumberFormat="1" applyFon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64" fontId="1" fillId="0" borderId="6" xfId="4" applyFont="1" applyBorder="1" applyAlignment="1"/>
    <xf numFmtId="164" fontId="18" fillId="0" borderId="10" xfId="3" applyNumberFormat="1" applyFont="1" applyBorder="1"/>
    <xf numFmtId="164" fontId="0" fillId="0" borderId="39" xfId="0" applyNumberFormat="1" applyBorder="1" applyAlignment="1">
      <alignment horizontal="center"/>
    </xf>
    <xf numFmtId="164" fontId="1" fillId="0" borderId="15" xfId="2" applyNumberFormat="1" applyFont="1" applyBorder="1"/>
    <xf numFmtId="165" fontId="0" fillId="0" borderId="13" xfId="0" applyNumberFormat="1" applyBorder="1" applyAlignment="1">
      <alignment horizontal="center" vertical="center"/>
    </xf>
    <xf numFmtId="165" fontId="1" fillId="0" borderId="13" xfId="4" applyNumberFormat="1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6" fontId="0" fillId="0" borderId="23" xfId="0" applyNumberFormat="1" applyBorder="1"/>
    <xf numFmtId="166" fontId="7" fillId="0" borderId="23" xfId="0" applyNumberFormat="1" applyFont="1" applyBorder="1" applyAlignment="1">
      <alignment horizontal="center"/>
    </xf>
    <xf numFmtId="166" fontId="0" fillId="0" borderId="6" xfId="0" applyNumberFormat="1" applyBorder="1"/>
    <xf numFmtId="166" fontId="2" fillId="0" borderId="20" xfId="0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 wrapText="1"/>
    </xf>
    <xf numFmtId="166" fontId="0" fillId="0" borderId="15" xfId="0" applyNumberFormat="1" applyBorder="1" applyAlignment="1">
      <alignment horizontal="center"/>
    </xf>
    <xf numFmtId="166" fontId="23" fillId="0" borderId="20" xfId="0" applyNumberFormat="1" applyFont="1" applyBorder="1" applyAlignment="1">
      <alignment horizontal="center" vertical="center" wrapText="1"/>
    </xf>
    <xf numFmtId="166" fontId="23" fillId="7" borderId="20" xfId="0" applyNumberFormat="1" applyFont="1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6" fontId="0" fillId="0" borderId="20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/>
    </xf>
    <xf numFmtId="165" fontId="28" fillId="0" borderId="20" xfId="0" applyNumberFormat="1" applyFont="1" applyBorder="1" applyAlignment="1">
      <alignment horizontal="center" vertical="center" shrinkToFit="1"/>
    </xf>
    <xf numFmtId="166" fontId="28" fillId="7" borderId="20" xfId="0" applyNumberFormat="1" applyFont="1" applyFill="1" applyBorder="1" applyAlignment="1">
      <alignment horizontal="center" vertical="center" shrinkToFit="1"/>
    </xf>
    <xf numFmtId="164" fontId="29" fillId="0" borderId="0" xfId="3" applyNumberFormat="1" applyFont="1" applyAlignment="1">
      <alignment horizontal="center" vertical="center"/>
    </xf>
    <xf numFmtId="164" fontId="1" fillId="0" borderId="0" xfId="3" applyNumberFormat="1" applyAlignment="1">
      <alignment vertical="center"/>
    </xf>
    <xf numFmtId="164" fontId="0" fillId="0" borderId="0" xfId="0" applyNumberFormat="1" applyAlignment="1">
      <alignment vertical="center"/>
    </xf>
    <xf numFmtId="164" fontId="2" fillId="0" borderId="7" xfId="0" applyNumberFormat="1" applyFont="1" applyBorder="1"/>
    <xf numFmtId="164" fontId="19" fillId="0" borderId="0" xfId="0" applyNumberFormat="1" applyFont="1" applyAlignment="1">
      <alignment horizontal="center" vertical="center"/>
    </xf>
    <xf numFmtId="164" fontId="1" fillId="8" borderId="0" xfId="3" applyNumberFormat="1" applyFill="1"/>
    <xf numFmtId="164" fontId="0" fillId="0" borderId="5" xfId="0" applyNumberFormat="1" applyBorder="1"/>
    <xf numFmtId="164" fontId="2" fillId="8" borderId="15" xfId="0" applyNumberFormat="1" applyFont="1" applyFill="1" applyBorder="1"/>
    <xf numFmtId="164" fontId="2" fillId="0" borderId="23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2" borderId="15" xfId="0" applyNumberFormat="1" applyFill="1" applyBorder="1"/>
    <xf numFmtId="166" fontId="0" fillId="0" borderId="42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6" fontId="0" fillId="0" borderId="42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5" fontId="28" fillId="0" borderId="42" xfId="0" applyNumberFormat="1" applyFont="1" applyBorder="1" applyAlignment="1">
      <alignment horizontal="center" vertical="center" shrinkToFit="1"/>
    </xf>
    <xf numFmtId="166" fontId="28" fillId="7" borderId="42" xfId="0" applyNumberFormat="1" applyFont="1" applyFill="1" applyBorder="1" applyAlignment="1">
      <alignment horizontal="center" vertical="center" shrinkToFit="1"/>
    </xf>
    <xf numFmtId="164" fontId="0" fillId="0" borderId="5" xfId="0" applyNumberFormat="1" applyBorder="1" applyAlignment="1">
      <alignment horizontal="center" vertical="center"/>
    </xf>
    <xf numFmtId="164" fontId="0" fillId="0" borderId="15" xfId="2" applyNumberFormat="1" applyFont="1" applyBorder="1" applyAlignment="1">
      <alignment horizontal="center" vertical="center" wrapText="1"/>
    </xf>
    <xf numFmtId="164" fontId="1" fillId="0" borderId="8" xfId="4" applyFont="1" applyFill="1" applyBorder="1" applyAlignment="1">
      <alignment horizontal="center"/>
    </xf>
    <xf numFmtId="164" fontId="1" fillId="0" borderId="9" xfId="4" applyFont="1" applyFill="1" applyBorder="1" applyAlignment="1">
      <alignment horizontal="center"/>
    </xf>
    <xf numFmtId="164" fontId="1" fillId="0" borderId="0" xfId="4" applyFill="1" applyAlignment="1">
      <alignment horizontal="center"/>
    </xf>
    <xf numFmtId="164" fontId="2" fillId="0" borderId="7" xfId="3" applyNumberFormat="1" applyFont="1" applyBorder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164" fontId="1" fillId="0" borderId="5" xfId="4" applyFont="1" applyFill="1" applyBorder="1" applyAlignment="1">
      <alignment horizontal="center"/>
    </xf>
    <xf numFmtId="164" fontId="2" fillId="0" borderId="10" xfId="3" applyNumberFormat="1" applyFont="1" applyBorder="1" applyAlignment="1">
      <alignment horizontal="center" vertical="center"/>
    </xf>
    <xf numFmtId="164" fontId="2" fillId="0" borderId="11" xfId="3" applyNumberFormat="1" applyFont="1" applyBorder="1" applyAlignment="1">
      <alignment horizontal="center" vertical="center"/>
    </xf>
    <xf numFmtId="166" fontId="30" fillId="0" borderId="26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center"/>
    </xf>
    <xf numFmtId="166" fontId="23" fillId="0" borderId="29" xfId="0" applyNumberFormat="1" applyFont="1" applyBorder="1" applyAlignment="1">
      <alignment horizontal="center" vertical="center" wrapText="1"/>
    </xf>
    <xf numFmtId="166" fontId="23" fillId="0" borderId="29" xfId="0" applyNumberFormat="1" applyFont="1" applyBorder="1" applyAlignment="1">
      <alignment horizontal="center" vertical="top" wrapText="1"/>
    </xf>
    <xf numFmtId="166" fontId="23" fillId="0" borderId="30" xfId="0" applyNumberFormat="1" applyFont="1" applyBorder="1" applyAlignment="1">
      <alignment horizontal="center" vertical="top" wrapText="1"/>
    </xf>
    <xf numFmtId="164" fontId="0" fillId="8" borderId="4" xfId="0" applyNumberFormat="1" applyFill="1" applyBorder="1"/>
    <xf numFmtId="164" fontId="2" fillId="0" borderId="42" xfId="0" applyNumberFormat="1" applyFon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165" fontId="0" fillId="0" borderId="78" xfId="1" applyNumberFormat="1" applyFont="1" applyBorder="1" applyAlignment="1">
      <alignment vertical="center"/>
    </xf>
    <xf numFmtId="165" fontId="0" fillId="0" borderId="79" xfId="1" applyNumberFormat="1" applyFont="1" applyBorder="1" applyAlignment="1">
      <alignment vertical="center"/>
    </xf>
    <xf numFmtId="166" fontId="30" fillId="0" borderId="32" xfId="0" applyNumberFormat="1" applyFont="1" applyBorder="1" applyAlignment="1">
      <alignment horizontal="center" vertical="center"/>
    </xf>
    <xf numFmtId="166" fontId="2" fillId="0" borderId="35" xfId="0" applyNumberFormat="1" applyFont="1" applyBorder="1" applyAlignment="1">
      <alignment horizontal="center" vertical="center"/>
    </xf>
    <xf numFmtId="166" fontId="2" fillId="0" borderId="35" xfId="0" applyNumberFormat="1" applyFont="1" applyBorder="1" applyAlignment="1">
      <alignment horizontal="center" vertical="center" wrapText="1"/>
    </xf>
    <xf numFmtId="166" fontId="2" fillId="0" borderId="36" xfId="0" applyNumberFormat="1" applyFont="1" applyBorder="1" applyAlignment="1">
      <alignment horizontal="center" vertical="center" wrapText="1"/>
    </xf>
    <xf numFmtId="166" fontId="23" fillId="0" borderId="35" xfId="0" applyNumberFormat="1" applyFont="1" applyBorder="1" applyAlignment="1">
      <alignment horizontal="center" vertical="center" wrapText="1"/>
    </xf>
    <xf numFmtId="166" fontId="23" fillId="0" borderId="35" xfId="0" applyNumberFormat="1" applyFont="1" applyBorder="1" applyAlignment="1">
      <alignment horizontal="center" vertical="center" wrapText="1"/>
    </xf>
    <xf numFmtId="166" fontId="0" fillId="0" borderId="35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wrapText="1"/>
    </xf>
    <xf numFmtId="164" fontId="0" fillId="2" borderId="4" xfId="0" applyNumberFormat="1" applyFill="1" applyBorder="1"/>
    <xf numFmtId="164" fontId="0" fillId="0" borderId="0" xfId="0" applyNumberFormat="1" applyAlignment="1">
      <alignment horizontal="center" vertical="center" wrapText="1"/>
    </xf>
    <xf numFmtId="164" fontId="2" fillId="0" borderId="13" xfId="0" applyNumberFormat="1" applyFont="1" applyBorder="1"/>
    <xf numFmtId="164" fontId="1" fillId="0" borderId="11" xfId="4" applyFont="1" applyFill="1" applyBorder="1" applyAlignment="1">
      <alignment horizontal="center"/>
    </xf>
    <xf numFmtId="164" fontId="1" fillId="0" borderId="14" xfId="4" applyFont="1" applyFill="1" applyBorder="1" applyAlignment="1">
      <alignment horizontal="center"/>
    </xf>
    <xf numFmtId="164" fontId="1" fillId="0" borderId="0" xfId="4" applyFont="1" applyFill="1" applyAlignment="1">
      <alignment horizontal="center"/>
    </xf>
    <xf numFmtId="164" fontId="5" fillId="0" borderId="11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/>
    <xf numFmtId="166" fontId="0" fillId="0" borderId="49" xfId="0" applyNumberFormat="1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164" fontId="1" fillId="0" borderId="8" xfId="4" applyFont="1" applyFill="1" applyBorder="1"/>
    <xf numFmtId="164" fontId="1" fillId="0" borderId="9" xfId="4" applyFont="1" applyFill="1" applyBorder="1"/>
    <xf numFmtId="164" fontId="1" fillId="0" borderId="0" xfId="4" applyFill="1"/>
    <xf numFmtId="164" fontId="0" fillId="0" borderId="3" xfId="0" applyNumberFormat="1" applyBorder="1" applyAlignment="1">
      <alignment horizontal="center" vertical="center"/>
    </xf>
    <xf numFmtId="164" fontId="1" fillId="0" borderId="5" xfId="4" applyFont="1" applyFill="1" applyBorder="1"/>
    <xf numFmtId="164" fontId="23" fillId="0" borderId="58" xfId="0" applyNumberFormat="1" applyFont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 wrapText="1"/>
    </xf>
    <xf numFmtId="164" fontId="2" fillId="0" borderId="59" xfId="0" applyNumberFormat="1" applyFont="1" applyBorder="1" applyAlignment="1">
      <alignment horizontal="center"/>
    </xf>
    <xf numFmtId="164" fontId="2" fillId="0" borderId="60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 wrapText="1"/>
    </xf>
    <xf numFmtId="164" fontId="2" fillId="0" borderId="59" xfId="0" applyNumberFormat="1" applyFont="1" applyBorder="1" applyAlignment="1">
      <alignment horizontal="center" vertical="center" wrapText="1"/>
    </xf>
    <xf numFmtId="164" fontId="2" fillId="0" borderId="60" xfId="0" applyNumberFormat="1" applyFont="1" applyBorder="1" applyAlignment="1">
      <alignment horizontal="center" vertical="center" wrapText="1"/>
    </xf>
    <xf numFmtId="164" fontId="0" fillId="0" borderId="54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164" fontId="1" fillId="0" borderId="11" xfId="4" applyFont="1" applyFill="1" applyBorder="1"/>
    <xf numFmtId="164" fontId="1" fillId="0" borderId="14" xfId="4" applyFont="1" applyFill="1" applyBorder="1"/>
    <xf numFmtId="164" fontId="1" fillId="0" borderId="0" xfId="4" applyFont="1" applyFill="1"/>
    <xf numFmtId="164" fontId="20" fillId="0" borderId="8" xfId="3" applyNumberFormat="1" applyFont="1" applyBorder="1"/>
    <xf numFmtId="164" fontId="20" fillId="0" borderId="9" xfId="3" applyNumberFormat="1" applyFont="1" applyBorder="1"/>
    <xf numFmtId="164" fontId="20" fillId="0" borderId="0" xfId="3" applyNumberFormat="1" applyFont="1"/>
    <xf numFmtId="164" fontId="20" fillId="0" borderId="5" xfId="3" applyNumberFormat="1" applyFont="1" applyBorder="1"/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wrapText="1"/>
    </xf>
    <xf numFmtId="164" fontId="0" fillId="0" borderId="8" xfId="0" applyNumberFormat="1" applyBorder="1" applyAlignment="1">
      <alignment horizontal="center" vertical="center"/>
    </xf>
    <xf numFmtId="164" fontId="20" fillId="0" borderId="11" xfId="3" applyNumberFormat="1" applyFont="1" applyBorder="1"/>
    <xf numFmtId="164" fontId="20" fillId="0" borderId="14" xfId="3" applyNumberFormat="1" applyFont="1" applyBorder="1"/>
    <xf numFmtId="164" fontId="0" fillId="0" borderId="11" xfId="0" applyNumberForma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32" fillId="0" borderId="80" xfId="0" applyNumberFormat="1" applyFont="1" applyBorder="1" applyAlignment="1">
      <alignment horizontal="center" vertical="center" wrapText="1"/>
    </xf>
    <xf numFmtId="164" fontId="32" fillId="0" borderId="81" xfId="0" applyNumberFormat="1" applyFont="1" applyBorder="1" applyAlignment="1">
      <alignment horizontal="center" vertical="center" wrapText="1"/>
    </xf>
    <xf numFmtId="164" fontId="32" fillId="0" borderId="82" xfId="0" applyNumberFormat="1" applyFont="1" applyBorder="1" applyAlignment="1">
      <alignment horizontal="center" vertical="center" wrapText="1"/>
    </xf>
    <xf numFmtId="164" fontId="33" fillId="0" borderId="83" xfId="0" applyNumberFormat="1" applyFont="1" applyBorder="1" applyAlignment="1">
      <alignment horizontal="center" vertical="center" wrapText="1"/>
    </xf>
    <xf numFmtId="164" fontId="33" fillId="0" borderId="71" xfId="0" applyNumberFormat="1" applyFont="1" applyBorder="1" applyAlignment="1">
      <alignment horizontal="center" vertical="center" wrapText="1"/>
    </xf>
    <xf numFmtId="164" fontId="33" fillId="0" borderId="84" xfId="0" applyNumberFormat="1" applyFont="1" applyBorder="1" applyAlignment="1">
      <alignment horizontal="center" vertical="center" wrapText="1"/>
    </xf>
    <xf numFmtId="164" fontId="32" fillId="0" borderId="83" xfId="0" applyNumberFormat="1" applyFont="1" applyBorder="1" applyAlignment="1">
      <alignment horizontal="left" vertical="top"/>
    </xf>
    <xf numFmtId="164" fontId="32" fillId="0" borderId="71" xfId="0" applyNumberFormat="1" applyFont="1" applyBorder="1" applyAlignment="1">
      <alignment horizontal="left" vertical="top"/>
    </xf>
    <xf numFmtId="165" fontId="35" fillId="0" borderId="71" xfId="0" applyNumberFormat="1" applyFont="1" applyBorder="1" applyAlignment="1">
      <alignment horizontal="right" vertical="top" shrinkToFit="1"/>
    </xf>
    <xf numFmtId="165" fontId="0" fillId="0" borderId="84" xfId="0" applyNumberFormat="1" applyBorder="1"/>
    <xf numFmtId="165" fontId="0" fillId="0" borderId="71" xfId="0" applyNumberFormat="1" applyBorder="1" applyAlignment="1">
      <alignment horizontal="left"/>
    </xf>
    <xf numFmtId="164" fontId="0" fillId="0" borderId="83" xfId="0" applyNumberFormat="1" applyBorder="1" applyAlignment="1">
      <alignment horizontal="left"/>
    </xf>
    <xf numFmtId="164" fontId="32" fillId="0" borderId="85" xfId="0" applyNumberFormat="1" applyFont="1" applyBorder="1" applyAlignment="1">
      <alignment horizontal="left" vertical="top"/>
    </xf>
    <xf numFmtId="164" fontId="32" fillId="0" borderId="86" xfId="0" applyNumberFormat="1" applyFont="1" applyBorder="1" applyAlignment="1">
      <alignment horizontal="left" vertical="top"/>
    </xf>
    <xf numFmtId="165" fontId="35" fillId="0" borderId="86" xfId="0" applyNumberFormat="1" applyFont="1" applyBorder="1" applyAlignment="1">
      <alignment horizontal="right" vertical="top" shrinkToFit="1"/>
    </xf>
    <xf numFmtId="165" fontId="0" fillId="0" borderId="87" xfId="0" applyNumberFormat="1" applyBorder="1"/>
    <xf numFmtId="0" fontId="37" fillId="0" borderId="80" xfId="0" applyFont="1" applyBorder="1" applyAlignment="1">
      <alignment horizontal="center" vertical="center" wrapText="1"/>
    </xf>
    <xf numFmtId="0" fontId="37" fillId="0" borderId="81" xfId="0" applyFont="1" applyBorder="1" applyAlignment="1">
      <alignment horizontal="center" vertical="center" wrapText="1"/>
    </xf>
    <xf numFmtId="164" fontId="37" fillId="0" borderId="82" xfId="0" applyNumberFormat="1" applyFont="1" applyBorder="1" applyAlignment="1">
      <alignment horizontal="center" vertical="center" wrapText="1"/>
    </xf>
    <xf numFmtId="0" fontId="32" fillId="0" borderId="83" xfId="0" applyFont="1" applyBorder="1" applyAlignment="1">
      <alignment horizontal="left" vertical="top" wrapText="1"/>
    </xf>
    <xf numFmtId="0" fontId="32" fillId="0" borderId="71" xfId="0" applyFont="1" applyBorder="1" applyAlignment="1">
      <alignment horizontal="left" vertical="top" wrapText="1"/>
    </xf>
    <xf numFmtId="0" fontId="32" fillId="0" borderId="85" xfId="0" applyFont="1" applyBorder="1" applyAlignment="1">
      <alignment horizontal="left" vertical="top" wrapText="1"/>
    </xf>
    <xf numFmtId="0" fontId="32" fillId="0" borderId="86" xfId="0" applyFont="1" applyBorder="1" applyAlignment="1">
      <alignment horizontal="left" vertical="top" wrapText="1"/>
    </xf>
    <xf numFmtId="164" fontId="38" fillId="0" borderId="88" xfId="0" applyNumberFormat="1" applyFont="1" applyBorder="1" applyAlignment="1">
      <alignment horizontal="center" vertical="center" wrapText="1"/>
    </xf>
    <xf numFmtId="164" fontId="33" fillId="0" borderId="72" xfId="0" applyNumberFormat="1" applyFont="1" applyBorder="1" applyAlignment="1">
      <alignment horizontal="center" vertical="center" wrapText="1"/>
    </xf>
    <xf numFmtId="164" fontId="33" fillId="0" borderId="89" xfId="0" applyNumberFormat="1" applyFont="1" applyBorder="1" applyAlignment="1">
      <alignment horizontal="center" vertical="center" wrapText="1"/>
    </xf>
    <xf numFmtId="0" fontId="37" fillId="0" borderId="82" xfId="0" applyFont="1" applyBorder="1" applyAlignment="1">
      <alignment horizontal="center" vertical="center" wrapText="1"/>
    </xf>
    <xf numFmtId="165" fontId="35" fillId="0" borderId="84" xfId="0" applyNumberFormat="1" applyFont="1" applyBorder="1" applyAlignment="1">
      <alignment horizontal="right" vertical="top" shrinkToFit="1"/>
    </xf>
    <xf numFmtId="164" fontId="0" fillId="8" borderId="15" xfId="0" applyNumberFormat="1" applyFill="1" applyBorder="1"/>
    <xf numFmtId="0" fontId="32" fillId="0" borderId="83" xfId="0" applyFont="1" applyBorder="1" applyAlignment="1">
      <alignment horizontal="left" vertical="top"/>
    </xf>
    <xf numFmtId="0" fontId="32" fillId="0" borderId="71" xfId="0" applyFont="1" applyBorder="1" applyAlignment="1">
      <alignment horizontal="left" vertical="top"/>
    </xf>
    <xf numFmtId="164" fontId="1" fillId="0" borderId="6" xfId="4" applyFont="1" applyFill="1" applyBorder="1" applyAlignment="1">
      <alignment horizontal="center"/>
    </xf>
    <xf numFmtId="0" fontId="32" fillId="0" borderId="85" xfId="0" applyFont="1" applyBorder="1" applyAlignment="1">
      <alignment horizontal="left" vertical="top"/>
    </xf>
    <xf numFmtId="0" fontId="32" fillId="0" borderId="86" xfId="0" applyFont="1" applyBorder="1" applyAlignment="1">
      <alignment horizontal="left" vertical="top"/>
    </xf>
    <xf numFmtId="165" fontId="35" fillId="0" borderId="87" xfId="0" applyNumberFormat="1" applyFont="1" applyBorder="1" applyAlignment="1">
      <alignment horizontal="right" vertical="top" shrinkToFit="1"/>
    </xf>
    <xf numFmtId="0" fontId="32" fillId="0" borderId="83" xfId="0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164" fontId="20" fillId="0" borderId="6" xfId="3" applyNumberFormat="1" applyFont="1" applyBorder="1"/>
    <xf numFmtId="0" fontId="32" fillId="0" borderId="85" xfId="0" applyFont="1" applyBorder="1" applyAlignment="1">
      <alignment horizontal="center" vertical="center" wrapText="1"/>
    </xf>
    <xf numFmtId="0" fontId="32" fillId="0" borderId="86" xfId="0" applyFont="1" applyBorder="1" applyAlignment="1">
      <alignment horizontal="center" vertical="center" wrapText="1"/>
    </xf>
    <xf numFmtId="164" fontId="2" fillId="0" borderId="6" xfId="0" applyNumberFormat="1" applyFont="1" applyBorder="1"/>
    <xf numFmtId="164" fontId="2" fillId="0" borderId="15" xfId="0" applyNumberFormat="1" applyFont="1" applyBorder="1"/>
    <xf numFmtId="164" fontId="2" fillId="0" borderId="0" xfId="4" applyFont="1" applyFill="1" applyAlignment="1">
      <alignment horizontal="center"/>
    </xf>
    <xf numFmtId="164" fontId="2" fillId="0" borderId="0" xfId="4" applyFont="1" applyFill="1"/>
    <xf numFmtId="164" fontId="2" fillId="0" borderId="0" xfId="4" applyFont="1" applyFill="1" applyBorder="1" applyAlignment="1">
      <alignment horizontal="center"/>
    </xf>
    <xf numFmtId="164" fontId="2" fillId="0" borderId="0" xfId="4" applyFont="1" applyFill="1" applyBorder="1"/>
    <xf numFmtId="164" fontId="2" fillId="2" borderId="15" xfId="0" applyNumberFormat="1" applyFont="1" applyFill="1" applyBorder="1"/>
    <xf numFmtId="164" fontId="2" fillId="0" borderId="5" xfId="4" applyFont="1" applyFill="1" applyBorder="1" applyAlignment="1">
      <alignment horizontal="center"/>
    </xf>
    <xf numFmtId="164" fontId="2" fillId="0" borderId="11" xfId="0" applyNumberFormat="1" applyFont="1" applyBorder="1"/>
    <xf numFmtId="164" fontId="2" fillId="8" borderId="0" xfId="0" applyNumberFormat="1" applyFont="1" applyFill="1"/>
    <xf numFmtId="164" fontId="2" fillId="2" borderId="0" xfId="0" applyNumberFormat="1" applyFont="1" applyFill="1"/>
    <xf numFmtId="164" fontId="2" fillId="0" borderId="4" xfId="0" applyNumberFormat="1" applyFont="1" applyBorder="1"/>
    <xf numFmtId="164" fontId="2" fillId="0" borderId="8" xfId="0" applyNumberFormat="1" applyFont="1" applyBorder="1" applyAlignment="1">
      <alignment horizontal="center"/>
    </xf>
    <xf numFmtId="164" fontId="2" fillId="8" borderId="5" xfId="0" applyNumberFormat="1" applyFont="1" applyFill="1" applyBorder="1"/>
    <xf numFmtId="164" fontId="2" fillId="2" borderId="5" xfId="0" applyNumberFormat="1" applyFont="1" applyFill="1" applyBorder="1"/>
    <xf numFmtId="164" fontId="2" fillId="0" borderId="14" xfId="0" applyNumberFormat="1" applyFont="1" applyBorder="1"/>
    <xf numFmtId="164" fontId="1" fillId="0" borderId="0" xfId="4" applyFill="1" applyBorder="1" applyAlignment="1">
      <alignment horizontal="center"/>
    </xf>
    <xf numFmtId="164" fontId="1" fillId="0" borderId="15" xfId="4" applyFill="1" applyBorder="1"/>
    <xf numFmtId="164" fontId="39" fillId="0" borderId="0" xfId="0" applyNumberFormat="1" applyFont="1" applyAlignment="1">
      <alignment horizontal="center"/>
    </xf>
    <xf numFmtId="164" fontId="4" fillId="0" borderId="0" xfId="0" applyNumberFormat="1" applyFont="1"/>
    <xf numFmtId="164" fontId="39" fillId="0" borderId="0" xfId="0" applyNumberFormat="1" applyFont="1" applyAlignment="1">
      <alignment horizontal="right"/>
    </xf>
    <xf numFmtId="164" fontId="39" fillId="0" borderId="0" xfId="0" applyNumberFormat="1" applyFont="1"/>
    <xf numFmtId="164" fontId="39" fillId="0" borderId="15" xfId="0" applyNumberFormat="1" applyFont="1" applyBorder="1" applyAlignment="1">
      <alignment horizontal="center"/>
    </xf>
    <xf numFmtId="164" fontId="39" fillId="0" borderId="6" xfId="0" applyNumberFormat="1" applyFont="1" applyBorder="1" applyAlignment="1">
      <alignment horizontal="center"/>
    </xf>
    <xf numFmtId="164" fontId="39" fillId="0" borderId="6" xfId="0" applyNumberFormat="1" applyFont="1" applyBorder="1"/>
    <xf numFmtId="164" fontId="39" fillId="0" borderId="6" xfId="0" quotePrefix="1" applyNumberFormat="1" applyFont="1" applyBorder="1" applyAlignment="1">
      <alignment horizontal="center"/>
    </xf>
    <xf numFmtId="164" fontId="39" fillId="0" borderId="5" xfId="0" applyNumberFormat="1" applyFont="1" applyBorder="1"/>
    <xf numFmtId="164" fontId="39" fillId="0" borderId="15" xfId="0" applyNumberFormat="1" applyFont="1" applyBorder="1"/>
    <xf numFmtId="164" fontId="39" fillId="0" borderId="13" xfId="0" applyNumberFormat="1" applyFont="1" applyBorder="1" applyAlignment="1">
      <alignment horizontal="center"/>
    </xf>
    <xf numFmtId="164" fontId="39" fillId="0" borderId="11" xfId="0" applyNumberFormat="1" applyFont="1" applyBorder="1"/>
    <xf numFmtId="164" fontId="39" fillId="0" borderId="13" xfId="0" applyNumberFormat="1" applyFont="1" applyBorder="1"/>
    <xf numFmtId="164" fontId="39" fillId="0" borderId="14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39" fillId="0" borderId="11" xfId="0" applyNumberFormat="1" applyFont="1" applyBorder="1" applyAlignment="1">
      <alignment horizontal="center"/>
    </xf>
    <xf numFmtId="164" fontId="39" fillId="0" borderId="14" xfId="0" applyNumberFormat="1" applyFont="1" applyBorder="1" applyAlignment="1">
      <alignment horizontal="center"/>
    </xf>
    <xf numFmtId="164" fontId="39" fillId="0" borderId="0" xfId="0" quotePrefix="1" applyNumberFormat="1" applyFont="1" applyAlignment="1">
      <alignment horizontal="center"/>
    </xf>
    <xf numFmtId="164" fontId="39" fillId="0" borderId="0" xfId="0" applyNumberFormat="1" applyFont="1" applyAlignment="1">
      <alignment horizontal="left"/>
    </xf>
    <xf numFmtId="164" fontId="39" fillId="0" borderId="4" xfId="0" applyNumberFormat="1" applyFont="1" applyBorder="1" applyAlignment="1">
      <alignment horizontal="center"/>
    </xf>
    <xf numFmtId="164" fontId="39" fillId="0" borderId="4" xfId="0" applyNumberFormat="1" applyFont="1" applyBorder="1" applyAlignment="1">
      <alignment horizontal="left"/>
    </xf>
    <xf numFmtId="164" fontId="39" fillId="0" borderId="15" xfId="0" applyNumberFormat="1" applyFont="1" applyBorder="1" applyAlignment="1">
      <alignment horizontal="left"/>
    </xf>
    <xf numFmtId="164" fontId="39" fillId="0" borderId="15" xfId="0" quotePrefix="1" applyNumberFormat="1" applyFont="1" applyBorder="1"/>
    <xf numFmtId="164" fontId="39" fillId="0" borderId="10" xfId="0" applyNumberFormat="1" applyFont="1" applyBorder="1" applyAlignment="1">
      <alignment horizontal="center"/>
    </xf>
    <xf numFmtId="164" fontId="39" fillId="0" borderId="10" xfId="0" applyNumberFormat="1" applyFont="1" applyBorder="1" applyAlignment="1">
      <alignment horizontal="left"/>
    </xf>
    <xf numFmtId="164" fontId="39" fillId="0" borderId="13" xfId="0" applyNumberFormat="1" applyFont="1" applyBorder="1" applyAlignment="1">
      <alignment horizontal="left"/>
    </xf>
    <xf numFmtId="164" fontId="39" fillId="0" borderId="13" xfId="0" quotePrefix="1" applyNumberFormat="1" applyFont="1" applyBorder="1"/>
    <xf numFmtId="164" fontId="39" fillId="0" borderId="5" xfId="0" quotePrefix="1" applyNumberFormat="1" applyFont="1" applyBorder="1"/>
    <xf numFmtId="164" fontId="39" fillId="0" borderId="11" xfId="0" applyNumberFormat="1" applyFont="1" applyBorder="1" applyAlignment="1">
      <alignment horizontal="left"/>
    </xf>
    <xf numFmtId="164" fontId="39" fillId="0" borderId="14" xfId="0" quotePrefix="1" applyNumberFormat="1" applyFont="1" applyBorder="1"/>
    <xf numFmtId="164" fontId="39" fillId="0" borderId="7" xfId="0" applyNumberFormat="1" applyFont="1" applyBorder="1" applyAlignment="1">
      <alignment horizontal="center"/>
    </xf>
    <xf numFmtId="164" fontId="39" fillId="0" borderId="7" xfId="0" applyNumberFormat="1" applyFont="1" applyBorder="1" applyAlignment="1">
      <alignment horizontal="left"/>
    </xf>
    <xf numFmtId="164" fontId="39" fillId="0" borderId="9" xfId="0" applyNumberFormat="1" applyFont="1" applyBorder="1"/>
    <xf numFmtId="164" fontId="39" fillId="0" borderId="8" xfId="0" applyNumberFormat="1" applyFont="1" applyBorder="1" applyAlignment="1">
      <alignment horizontal="left"/>
    </xf>
    <xf numFmtId="164" fontId="39" fillId="0" borderId="9" xfId="0" quotePrefix="1" applyNumberFormat="1" applyFont="1" applyBorder="1"/>
  </cellXfs>
  <cellStyles count="7">
    <cellStyle name="Comma 2 2" xfId="5" xr:uid="{B61A4885-9C59-4102-8EB5-CED98AC2AC18}"/>
    <cellStyle name="Comma 3" xfId="6" xr:uid="{BE345B96-C110-417C-90F8-A105A8AC6B48}"/>
    <cellStyle name="Comma 4" xfId="4" xr:uid="{093A4329-EF25-4959-8315-D58BB3B25F3A}"/>
    <cellStyle name="Currency" xfId="1" builtinId="4"/>
    <cellStyle name="Hyperlink" xfId="2" builtinId="8"/>
    <cellStyle name="Normal" xfId="0" builtinId="0"/>
    <cellStyle name="Normal 2 2" xfId="3" xr:uid="{7B9C1302-95D8-4701-B403-9CC434F0E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123</xdr:col>
      <xdr:colOff>66676</xdr:colOff>
      <xdr:row>63</xdr:row>
      <xdr:rowOff>28575</xdr:rowOff>
    </xdr:from>
    <xdr:to>
      <xdr:col>124</xdr:col>
      <xdr:colOff>361950</xdr:colOff>
      <xdr:row>71</xdr:row>
      <xdr:rowOff>12767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F2055-6D97-44F5-B914-0FFD4D72F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05256" y="13203555"/>
          <a:ext cx="1285874" cy="166821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123</xdr:col>
      <xdr:colOff>38101</xdr:colOff>
      <xdr:row>52</xdr:row>
      <xdr:rowOff>21277</xdr:rowOff>
    </xdr:from>
    <xdr:to>
      <xdr:col>124</xdr:col>
      <xdr:colOff>504825</xdr:colOff>
      <xdr:row>60</xdr:row>
      <xdr:rowOff>28808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FA5EA2-2C04-4A87-BC5B-908F64C26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076681" y="11085517"/>
          <a:ext cx="1457324" cy="155439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101</xdr:col>
      <xdr:colOff>342901</xdr:colOff>
      <xdr:row>51</xdr:row>
      <xdr:rowOff>65828</xdr:rowOff>
    </xdr:from>
    <xdr:to>
      <xdr:col>102</xdr:col>
      <xdr:colOff>1104900</xdr:colOff>
      <xdr:row>59</xdr:row>
      <xdr:rowOff>124066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ABB0AC-CF8B-421A-BAE2-817CA021B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874281" y="10939568"/>
          <a:ext cx="1386839" cy="160509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101</xdr:col>
      <xdr:colOff>276224</xdr:colOff>
      <xdr:row>4</xdr:row>
      <xdr:rowOff>57150</xdr:rowOff>
    </xdr:from>
    <xdr:to>
      <xdr:col>102</xdr:col>
      <xdr:colOff>1101887</xdr:colOff>
      <xdr:row>13</xdr:row>
      <xdr:rowOff>183011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DBE83C-7942-432B-AB4C-195081389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807604" y="1200150"/>
          <a:ext cx="1450503" cy="186322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101</xdr:col>
      <xdr:colOff>150893</xdr:colOff>
      <xdr:row>28</xdr:row>
      <xdr:rowOff>57150</xdr:rowOff>
    </xdr:from>
    <xdr:to>
      <xdr:col>102</xdr:col>
      <xdr:colOff>1113513</xdr:colOff>
      <xdr:row>38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B9567B-18B7-4AEE-9CC7-6DDEE37A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82273" y="6275070"/>
          <a:ext cx="1587460" cy="19507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123</xdr:col>
      <xdr:colOff>57150</xdr:colOff>
      <xdr:row>82</xdr:row>
      <xdr:rowOff>19051</xdr:rowOff>
    </xdr:from>
    <xdr:to>
      <xdr:col>124</xdr:col>
      <xdr:colOff>510268</xdr:colOff>
      <xdr:row>91</xdr:row>
      <xdr:rowOff>133351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C48713-D413-4BAC-843B-70944D5B9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095730" y="17194531"/>
          <a:ext cx="1443718" cy="195834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101</xdr:col>
      <xdr:colOff>571500</xdr:colOff>
      <xdr:row>93</xdr:row>
      <xdr:rowOff>47624</xdr:rowOff>
    </xdr:from>
    <xdr:to>
      <xdr:col>102</xdr:col>
      <xdr:colOff>1109305</xdr:colOff>
      <xdr:row>99</xdr:row>
      <xdr:rowOff>181134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F9C030-B12A-4444-9E6F-0A01362E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02880" y="19448144"/>
          <a:ext cx="1162645" cy="13146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22AGRI-EPL\Downloads\01.%20BOQ_Installation%20Chiller(R6).xlsx" TargetMode="External"/><Relationship Id="rId1" Type="http://schemas.openxmlformats.org/officeDocument/2006/relationships/externalLinkPath" Target="file:///C:\Users\D22AGRI-EPL\Downloads\01.%20BOQ_Installation%20Chiller(R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outation RC Opsi 1"/>
      <sheetName val="BOQ Replace VEA Opsi1"/>
      <sheetName val="BOQ (Non Cbl Chiler Exis)"/>
      <sheetName val="Qout (Non Cbl Chiler Exis)"/>
      <sheetName val="BOQ (Non Cbl Chiler Exis) (1)"/>
      <sheetName val="Qoutation RC Opsi 2"/>
      <sheetName val="BOQ Replace VEA Opsi 2"/>
      <sheetName val="New Pricelist"/>
      <sheetName val="Sheet2"/>
      <sheetName val="Prilemina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FS-100@-H" TargetMode="External"/><Relationship Id="rId2" Type="http://schemas.openxmlformats.org/officeDocument/2006/relationships/hyperlink" Target="mailto:WFS-100@-H" TargetMode="External"/><Relationship Id="rId1" Type="http://schemas.openxmlformats.org/officeDocument/2006/relationships/hyperlink" Target="mailto:WFS-100@-H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00E8-E879-434B-8943-998D6EA7BC9D}">
  <sheetPr>
    <tabColor theme="9" tint="0.39997558519241921"/>
  </sheetPr>
  <dimension ref="A1:EL1303"/>
  <sheetViews>
    <sheetView tabSelected="1" topLeftCell="BG1" zoomScale="72" zoomScaleNormal="100" workbookViewId="0">
      <selection activeCell="BM17" sqref="BM17"/>
    </sheetView>
  </sheetViews>
  <sheetFormatPr defaultRowHeight="14.4"/>
  <cols>
    <col min="1" max="1" width="19" style="1" bestFit="1" customWidth="1"/>
    <col min="2" max="2" width="14.88671875" style="1" customWidth="1"/>
    <col min="3" max="3" width="33.44140625" style="1" customWidth="1"/>
    <col min="4" max="4" width="31.109375" style="1" customWidth="1"/>
    <col min="5" max="5" width="22.6640625" style="1" bestFit="1" customWidth="1"/>
    <col min="6" max="6" width="21" style="1" bestFit="1" customWidth="1"/>
    <col min="7" max="7" width="19.44140625" style="1" bestFit="1" customWidth="1"/>
    <col min="8" max="8" width="23.6640625" style="1" bestFit="1" customWidth="1"/>
    <col min="9" max="9" width="21" style="1" bestFit="1" customWidth="1"/>
    <col min="10" max="10" width="20.33203125" style="1" bestFit="1" customWidth="1"/>
    <col min="11" max="12" width="19.33203125" style="1" bestFit="1" customWidth="1"/>
    <col min="13" max="13" width="13.5546875" style="1" bestFit="1" customWidth="1"/>
    <col min="14" max="14" width="15.44140625" style="1" bestFit="1" customWidth="1"/>
    <col min="15" max="15" width="24.44140625" style="1" bestFit="1" customWidth="1"/>
    <col min="16" max="16" width="14.33203125" style="1" bestFit="1" customWidth="1"/>
    <col min="17" max="17" width="14.5546875" style="1" bestFit="1" customWidth="1"/>
    <col min="18" max="18" width="15.88671875" style="1" bestFit="1" customWidth="1"/>
    <col min="19" max="19" width="11.5546875" style="1" bestFit="1" customWidth="1"/>
    <col min="20" max="20" width="12.5546875" style="1" bestFit="1" customWidth="1"/>
    <col min="21" max="21" width="11.6640625" style="1" bestFit="1" customWidth="1"/>
    <col min="22" max="22" width="12.109375" style="1" bestFit="1" customWidth="1"/>
    <col min="23" max="23" width="10.6640625" style="1" bestFit="1" customWidth="1"/>
    <col min="24" max="24" width="10.5546875" style="1" bestFit="1" customWidth="1"/>
    <col min="25" max="25" width="9.33203125" style="1" bestFit="1" customWidth="1"/>
    <col min="26" max="26" width="10.5546875" style="1" bestFit="1" customWidth="1"/>
    <col min="27" max="27" width="35" style="1" bestFit="1" customWidth="1"/>
    <col min="28" max="28" width="6.44140625" style="1" bestFit="1" customWidth="1"/>
    <col min="29" max="29" width="2.88671875" style="1" bestFit="1" customWidth="1"/>
    <col min="30" max="30" width="6.44140625" style="1" bestFit="1" customWidth="1"/>
    <col min="31" max="31" width="14.33203125" style="1" bestFit="1" customWidth="1"/>
    <col min="32" max="32" width="13.33203125" style="1" bestFit="1" customWidth="1"/>
    <col min="33" max="33" width="15.33203125" style="1" bestFit="1" customWidth="1"/>
    <col min="34" max="34" width="13.33203125" style="1" bestFit="1" customWidth="1"/>
    <col min="35" max="35" width="13.88671875" style="1" customWidth="1"/>
    <col min="36" max="36" width="14.44140625" style="1" bestFit="1" customWidth="1"/>
    <col min="37" max="37" width="14.33203125" style="1" bestFit="1" customWidth="1"/>
    <col min="38" max="38" width="9.33203125" style="1" bestFit="1" customWidth="1"/>
    <col min="39" max="39" width="8.88671875" style="1"/>
    <col min="40" max="40" width="27.109375" style="1" bestFit="1" customWidth="1"/>
    <col min="41" max="41" width="12.44140625" style="1" bestFit="1" customWidth="1"/>
    <col min="42" max="43" width="11.88671875" style="1" bestFit="1" customWidth="1"/>
    <col min="44" max="45" width="13.33203125" style="1" bestFit="1" customWidth="1"/>
    <col min="46" max="46" width="14.109375" style="1" bestFit="1" customWidth="1"/>
    <col min="47" max="47" width="13.6640625" style="1" bestFit="1" customWidth="1"/>
    <col min="48" max="48" width="13.5546875" style="1" bestFit="1" customWidth="1"/>
    <col min="49" max="49" width="15.33203125" style="1" bestFit="1" customWidth="1"/>
    <col min="50" max="50" width="24.33203125" style="1" bestFit="1" customWidth="1"/>
    <col min="51" max="51" width="9.33203125" style="1" bestFit="1" customWidth="1"/>
    <col min="52" max="52" width="8.88671875" style="1"/>
    <col min="53" max="53" width="9.33203125" style="1" bestFit="1" customWidth="1"/>
    <col min="54" max="54" width="22.33203125" style="1" bestFit="1" customWidth="1"/>
    <col min="55" max="55" width="17.44140625" style="1" bestFit="1" customWidth="1"/>
    <col min="56" max="56" width="18" style="1" bestFit="1" customWidth="1"/>
    <col min="57" max="57" width="34.5546875" style="1" customWidth="1"/>
    <col min="58" max="58" width="29.5546875" style="1" customWidth="1"/>
    <col min="59" max="59" width="25.88671875" style="1" customWidth="1"/>
    <col min="60" max="60" width="18.44140625" style="1" bestFit="1" customWidth="1"/>
    <col min="61" max="61" width="34.5546875" style="1" customWidth="1"/>
    <col min="62" max="62" width="13.44140625" style="1" bestFit="1" customWidth="1"/>
    <col min="63" max="63" width="13" style="1" bestFit="1" customWidth="1"/>
    <col min="64" max="64" width="18.33203125" style="1" bestFit="1" customWidth="1"/>
    <col min="65" max="65" width="23.5546875" style="1" bestFit="1" customWidth="1"/>
    <col min="66" max="66" width="11.6640625" style="1" bestFit="1" customWidth="1"/>
    <col min="67" max="67" width="12.5546875" style="1" bestFit="1" customWidth="1"/>
    <col min="68" max="68" width="11.5546875" style="1" bestFit="1" customWidth="1"/>
    <col min="69" max="69" width="9.33203125" style="1" bestFit="1" customWidth="1"/>
    <col min="70" max="70" width="14.88671875" style="1" bestFit="1" customWidth="1"/>
    <col min="71" max="71" width="18.33203125" style="1" bestFit="1" customWidth="1"/>
    <col min="72" max="72" width="23.6640625" style="1" bestFit="1" customWidth="1"/>
    <col min="73" max="74" width="16.33203125" style="1" bestFit="1" customWidth="1"/>
    <col min="75" max="77" width="17.44140625" style="1" bestFit="1" customWidth="1"/>
    <col min="78" max="78" width="16.88671875" style="1" bestFit="1" customWidth="1"/>
    <col min="79" max="79" width="23.6640625" style="1" bestFit="1" customWidth="1"/>
    <col min="80" max="81" width="23.5546875" style="1" customWidth="1"/>
    <col min="82" max="82" width="8.88671875" style="1"/>
    <col min="83" max="83" width="9.33203125" style="1" bestFit="1" customWidth="1"/>
    <col min="84" max="84" width="8.88671875" style="1"/>
    <col min="85" max="85" width="7.33203125" style="1" bestFit="1" customWidth="1"/>
    <col min="86" max="86" width="9.33203125" style="1" bestFit="1" customWidth="1"/>
    <col min="87" max="87" width="26" style="1" bestFit="1" customWidth="1"/>
    <col min="88" max="88" width="71" style="1" bestFit="1" customWidth="1"/>
    <col min="89" max="89" width="16.6640625" style="1" customWidth="1"/>
    <col min="90" max="90" width="27.44140625" style="1" bestFit="1" customWidth="1"/>
    <col min="91" max="91" width="17.44140625" style="1" bestFit="1" customWidth="1"/>
    <col min="92" max="92" width="9.33203125" style="1" bestFit="1" customWidth="1"/>
    <col min="93" max="93" width="8.88671875" style="1"/>
    <col min="94" max="94" width="5.6640625" style="1" bestFit="1" customWidth="1"/>
    <col min="95" max="95" width="17.109375" style="1" customWidth="1"/>
    <col min="96" max="96" width="22" style="1" bestFit="1" customWidth="1"/>
    <col min="97" max="97" width="71" style="1" bestFit="1" customWidth="1"/>
    <col min="98" max="98" width="18.6640625" style="1" bestFit="1" customWidth="1"/>
    <col min="99" max="99" width="27.44140625" style="1" bestFit="1" customWidth="1"/>
    <col min="100" max="100" width="16.44140625" style="1" bestFit="1" customWidth="1"/>
    <col min="101" max="101" width="9.33203125" style="1" bestFit="1" customWidth="1"/>
    <col min="102" max="102" width="8.88671875" style="1"/>
    <col min="103" max="103" width="18.5546875" style="1" customWidth="1"/>
    <col min="104" max="104" width="9.33203125" style="1" bestFit="1" customWidth="1"/>
    <col min="105" max="105" width="8.88671875" style="1"/>
    <col min="106" max="106" width="9.5546875" style="1" bestFit="1" customWidth="1"/>
    <col min="107" max="107" width="14.109375" style="1" bestFit="1" customWidth="1"/>
    <col min="108" max="108" width="8.88671875" style="1"/>
    <col min="109" max="109" width="14.109375" style="1" bestFit="1" customWidth="1"/>
    <col min="110" max="110" width="9.33203125" style="1" bestFit="1" customWidth="1"/>
    <col min="111" max="111" width="14.109375" style="1" bestFit="1" customWidth="1"/>
    <col min="112" max="112" width="8.88671875" style="1"/>
    <col min="113" max="113" width="14.109375" style="1" bestFit="1" customWidth="1"/>
    <col min="114" max="114" width="9.33203125" style="1" bestFit="1" customWidth="1"/>
    <col min="115" max="115" width="18.33203125" style="1" bestFit="1" customWidth="1"/>
    <col min="116" max="116" width="14.44140625" style="1" customWidth="1"/>
    <col min="117" max="117" width="15.44140625" style="1" bestFit="1" customWidth="1"/>
    <col min="118" max="118" width="15.109375" style="1" customWidth="1"/>
    <col min="119" max="119" width="15.33203125" style="1" bestFit="1" customWidth="1"/>
    <col min="120" max="120" width="16.109375" style="1" customWidth="1"/>
    <col min="121" max="121" width="14.109375" style="1" bestFit="1" customWidth="1"/>
    <col min="122" max="122" width="12.44140625" style="1" bestFit="1" customWidth="1"/>
    <col min="123" max="123" width="14.109375" style="1" bestFit="1" customWidth="1"/>
    <col min="124" max="124" width="14.44140625" style="1" customWidth="1"/>
    <col min="125" max="125" width="15.44140625" style="1" bestFit="1" customWidth="1"/>
    <col min="126" max="126" width="16" style="1" customWidth="1"/>
    <col min="127" max="127" width="15.5546875" style="1" customWidth="1"/>
    <col min="128" max="128" width="15.44140625" style="1" bestFit="1" customWidth="1"/>
    <col min="129" max="129" width="20.109375" style="1" bestFit="1" customWidth="1"/>
    <col min="130" max="130" width="20" style="1" bestFit="1" customWidth="1"/>
    <col min="131" max="131" width="24.109375" style="1" customWidth="1"/>
    <col min="132" max="132" width="23.109375" style="1" customWidth="1"/>
    <col min="133" max="134" width="14.109375" style="1" bestFit="1" customWidth="1"/>
    <col min="135" max="135" width="23.6640625" style="1" bestFit="1" customWidth="1"/>
    <col min="136" max="136" width="19.109375" style="1" bestFit="1" customWidth="1"/>
    <col min="137" max="137" width="24.109375" style="1" bestFit="1" customWidth="1"/>
    <col min="138" max="138" width="23.6640625" style="1" bestFit="1" customWidth="1"/>
    <col min="139" max="139" width="8.88671875" style="1"/>
    <col min="140" max="140" width="20.109375" style="1" bestFit="1" customWidth="1"/>
    <col min="141" max="141" width="20" style="1" bestFit="1" customWidth="1"/>
    <col min="142" max="142" width="24.109375" style="1" bestFit="1" customWidth="1"/>
    <col min="143" max="258" width="8.88671875" style="1"/>
    <col min="259" max="259" width="18.88671875" style="1" bestFit="1" customWidth="1"/>
    <col min="260" max="260" width="14.88671875" style="1" customWidth="1"/>
    <col min="261" max="261" width="33.44140625" style="1" customWidth="1"/>
    <col min="262" max="262" width="31.109375" style="1" customWidth="1"/>
    <col min="263" max="263" width="22.5546875" style="1" bestFit="1" customWidth="1"/>
    <col min="264" max="264" width="20.88671875" style="1" bestFit="1" customWidth="1"/>
    <col min="265" max="266" width="19.33203125" style="1" bestFit="1" customWidth="1"/>
    <col min="267" max="267" width="20.88671875" style="1" bestFit="1" customWidth="1"/>
    <col min="268" max="268" width="16.33203125" style="1" bestFit="1" customWidth="1"/>
    <col min="269" max="270" width="19.109375" style="1" bestFit="1" customWidth="1"/>
    <col min="271" max="271" width="13.44140625" style="1" bestFit="1" customWidth="1"/>
    <col min="272" max="272" width="15.33203125" style="1" bestFit="1" customWidth="1"/>
    <col min="273" max="273" width="24.33203125" style="1" bestFit="1" customWidth="1"/>
    <col min="274" max="274" width="12.88671875" style="1" bestFit="1" customWidth="1"/>
    <col min="275" max="276" width="12.5546875" style="1" bestFit="1" customWidth="1"/>
    <col min="277" max="277" width="10.5546875" style="1" bestFit="1" customWidth="1"/>
    <col min="278" max="278" width="12.44140625" style="1" bestFit="1" customWidth="1"/>
    <col min="279" max="279" width="11.5546875" style="1" bestFit="1" customWidth="1"/>
    <col min="280" max="280" width="12" style="1" bestFit="1" customWidth="1"/>
    <col min="281" max="281" width="10.5546875" style="1" bestFit="1" customWidth="1"/>
    <col min="282" max="283" width="8.88671875" style="1"/>
    <col min="284" max="284" width="10.5546875" style="1" bestFit="1" customWidth="1"/>
    <col min="285" max="285" width="35" style="1" bestFit="1" customWidth="1"/>
    <col min="286" max="286" width="6.44140625" style="1" bestFit="1" customWidth="1"/>
    <col min="287" max="287" width="2.88671875" style="1" bestFit="1" customWidth="1"/>
    <col min="288" max="288" width="6.44140625" style="1" bestFit="1" customWidth="1"/>
    <col min="289" max="289" width="13.44140625" style="1" bestFit="1" customWidth="1"/>
    <col min="290" max="290" width="12.88671875" style="1" bestFit="1" customWidth="1"/>
    <col min="291" max="291" width="15.109375" style="1" bestFit="1" customWidth="1"/>
    <col min="292" max="292" width="12.88671875" style="1" bestFit="1" customWidth="1"/>
    <col min="293" max="293" width="13.88671875" style="1" customWidth="1"/>
    <col min="294" max="294" width="14.33203125" style="1" bestFit="1" customWidth="1"/>
    <col min="295" max="297" width="8.88671875" style="1"/>
    <col min="298" max="298" width="15.5546875" style="1" bestFit="1" customWidth="1"/>
    <col min="299" max="301" width="8.88671875" style="1"/>
    <col min="302" max="302" width="13.109375" style="1" bestFit="1" customWidth="1"/>
    <col min="303" max="303" width="12.88671875" style="1" bestFit="1" customWidth="1"/>
    <col min="304" max="304" width="14" style="1" bestFit="1" customWidth="1"/>
    <col min="305" max="305" width="12.33203125" style="1" bestFit="1" customWidth="1"/>
    <col min="306" max="306" width="13.44140625" style="1" bestFit="1" customWidth="1"/>
    <col min="307" max="307" width="15.109375" style="1" bestFit="1" customWidth="1"/>
    <col min="308" max="311" width="8.88671875" style="1"/>
    <col min="312" max="312" width="11.5546875" style="1" customWidth="1"/>
    <col min="313" max="313" width="12.109375" style="1" bestFit="1" customWidth="1"/>
    <col min="314" max="314" width="14" style="1" bestFit="1" customWidth="1"/>
    <col min="315" max="315" width="19.109375" style="1" bestFit="1" customWidth="1"/>
    <col min="316" max="316" width="23.44140625" style="1" bestFit="1" customWidth="1"/>
    <col min="317" max="317" width="25.88671875" style="1" bestFit="1" customWidth="1"/>
    <col min="318" max="318" width="18.33203125" style="1" bestFit="1" customWidth="1"/>
    <col min="319" max="319" width="17.109375" style="1" bestFit="1" customWidth="1"/>
    <col min="320" max="320" width="13.33203125" style="1" bestFit="1" customWidth="1"/>
    <col min="321" max="321" width="8.88671875" style="1"/>
    <col min="322" max="322" width="18.109375" style="1" bestFit="1" customWidth="1"/>
    <col min="323" max="323" width="23.44140625" style="1" bestFit="1" customWidth="1"/>
    <col min="324" max="327" width="8.88671875" style="1"/>
    <col min="328" max="328" width="14.88671875" style="1" bestFit="1" customWidth="1"/>
    <col min="329" max="329" width="18.109375" style="1" bestFit="1" customWidth="1"/>
    <col min="330" max="330" width="23.44140625" style="1" bestFit="1" customWidth="1"/>
    <col min="331" max="334" width="8.88671875" style="1"/>
    <col min="335" max="335" width="11" style="1" bestFit="1" customWidth="1"/>
    <col min="336" max="336" width="15.44140625" style="1" bestFit="1" customWidth="1"/>
    <col min="337" max="337" width="23.44140625" style="1" bestFit="1" customWidth="1"/>
    <col min="338" max="340" width="8.88671875" style="1"/>
    <col min="341" max="341" width="5.109375" style="1" customWidth="1"/>
    <col min="342" max="342" width="8.88671875" style="1"/>
    <col min="343" max="343" width="26" style="1" bestFit="1" customWidth="1"/>
    <col min="344" max="344" width="71" style="1" bestFit="1" customWidth="1"/>
    <col min="345" max="345" width="17.5546875" style="1" bestFit="1" customWidth="1"/>
    <col min="346" max="346" width="27.33203125" style="1" bestFit="1" customWidth="1"/>
    <col min="347" max="347" width="17.33203125" style="1" bestFit="1" customWidth="1"/>
    <col min="348" max="349" width="8.88671875" style="1"/>
    <col min="350" max="350" width="5.6640625" style="1" bestFit="1" customWidth="1"/>
    <col min="351" max="351" width="15.44140625" style="1" bestFit="1" customWidth="1"/>
    <col min="352" max="352" width="22" style="1" bestFit="1" customWidth="1"/>
    <col min="353" max="353" width="71" style="1" bestFit="1" customWidth="1"/>
    <col min="354" max="354" width="18.5546875" style="1" bestFit="1" customWidth="1"/>
    <col min="355" max="355" width="27.33203125" style="1" bestFit="1" customWidth="1"/>
    <col min="356" max="356" width="16.44140625" style="1" bestFit="1" customWidth="1"/>
    <col min="357" max="514" width="8.88671875" style="1"/>
    <col min="515" max="515" width="18.88671875" style="1" bestFit="1" customWidth="1"/>
    <col min="516" max="516" width="14.88671875" style="1" customWidth="1"/>
    <col min="517" max="517" width="33.44140625" style="1" customWidth="1"/>
    <col min="518" max="518" width="31.109375" style="1" customWidth="1"/>
    <col min="519" max="519" width="22.5546875" style="1" bestFit="1" customWidth="1"/>
    <col min="520" max="520" width="20.88671875" style="1" bestFit="1" customWidth="1"/>
    <col min="521" max="522" width="19.33203125" style="1" bestFit="1" customWidth="1"/>
    <col min="523" max="523" width="20.88671875" style="1" bestFit="1" customWidth="1"/>
    <col min="524" max="524" width="16.33203125" style="1" bestFit="1" customWidth="1"/>
    <col min="525" max="526" width="19.109375" style="1" bestFit="1" customWidth="1"/>
    <col min="527" max="527" width="13.44140625" style="1" bestFit="1" customWidth="1"/>
    <col min="528" max="528" width="15.33203125" style="1" bestFit="1" customWidth="1"/>
    <col min="529" max="529" width="24.33203125" style="1" bestFit="1" customWidth="1"/>
    <col min="530" max="530" width="12.88671875" style="1" bestFit="1" customWidth="1"/>
    <col min="531" max="532" width="12.5546875" style="1" bestFit="1" customWidth="1"/>
    <col min="533" max="533" width="10.5546875" style="1" bestFit="1" customWidth="1"/>
    <col min="534" max="534" width="12.44140625" style="1" bestFit="1" customWidth="1"/>
    <col min="535" max="535" width="11.5546875" style="1" bestFit="1" customWidth="1"/>
    <col min="536" max="536" width="12" style="1" bestFit="1" customWidth="1"/>
    <col min="537" max="537" width="10.5546875" style="1" bestFit="1" customWidth="1"/>
    <col min="538" max="539" width="8.88671875" style="1"/>
    <col min="540" max="540" width="10.5546875" style="1" bestFit="1" customWidth="1"/>
    <col min="541" max="541" width="35" style="1" bestFit="1" customWidth="1"/>
    <col min="542" max="542" width="6.44140625" style="1" bestFit="1" customWidth="1"/>
    <col min="543" max="543" width="2.88671875" style="1" bestFit="1" customWidth="1"/>
    <col min="544" max="544" width="6.44140625" style="1" bestFit="1" customWidth="1"/>
    <col min="545" max="545" width="13.44140625" style="1" bestFit="1" customWidth="1"/>
    <col min="546" max="546" width="12.88671875" style="1" bestFit="1" customWidth="1"/>
    <col min="547" max="547" width="15.109375" style="1" bestFit="1" customWidth="1"/>
    <col min="548" max="548" width="12.88671875" style="1" bestFit="1" customWidth="1"/>
    <col min="549" max="549" width="13.88671875" style="1" customWidth="1"/>
    <col min="550" max="550" width="14.33203125" style="1" bestFit="1" customWidth="1"/>
    <col min="551" max="553" width="8.88671875" style="1"/>
    <col min="554" max="554" width="15.5546875" style="1" bestFit="1" customWidth="1"/>
    <col min="555" max="557" width="8.88671875" style="1"/>
    <col min="558" max="558" width="13.109375" style="1" bestFit="1" customWidth="1"/>
    <col min="559" max="559" width="12.88671875" style="1" bestFit="1" customWidth="1"/>
    <col min="560" max="560" width="14" style="1" bestFit="1" customWidth="1"/>
    <col min="561" max="561" width="12.33203125" style="1" bestFit="1" customWidth="1"/>
    <col min="562" max="562" width="13.44140625" style="1" bestFit="1" customWidth="1"/>
    <col min="563" max="563" width="15.109375" style="1" bestFit="1" customWidth="1"/>
    <col min="564" max="567" width="8.88671875" style="1"/>
    <col min="568" max="568" width="11.5546875" style="1" customWidth="1"/>
    <col min="569" max="569" width="12.109375" style="1" bestFit="1" customWidth="1"/>
    <col min="570" max="570" width="14" style="1" bestFit="1" customWidth="1"/>
    <col min="571" max="571" width="19.109375" style="1" bestFit="1" customWidth="1"/>
    <col min="572" max="572" width="23.44140625" style="1" bestFit="1" customWidth="1"/>
    <col min="573" max="573" width="25.88671875" style="1" bestFit="1" customWidth="1"/>
    <col min="574" max="574" width="18.33203125" style="1" bestFit="1" customWidth="1"/>
    <col min="575" max="575" width="17.109375" style="1" bestFit="1" customWidth="1"/>
    <col min="576" max="576" width="13.33203125" style="1" bestFit="1" customWidth="1"/>
    <col min="577" max="577" width="8.88671875" style="1"/>
    <col min="578" max="578" width="18.109375" style="1" bestFit="1" customWidth="1"/>
    <col min="579" max="579" width="23.44140625" style="1" bestFit="1" customWidth="1"/>
    <col min="580" max="583" width="8.88671875" style="1"/>
    <col min="584" max="584" width="14.88671875" style="1" bestFit="1" customWidth="1"/>
    <col min="585" max="585" width="18.109375" style="1" bestFit="1" customWidth="1"/>
    <col min="586" max="586" width="23.44140625" style="1" bestFit="1" customWidth="1"/>
    <col min="587" max="590" width="8.88671875" style="1"/>
    <col min="591" max="591" width="11" style="1" bestFit="1" customWidth="1"/>
    <col min="592" max="592" width="15.44140625" style="1" bestFit="1" customWidth="1"/>
    <col min="593" max="593" width="23.44140625" style="1" bestFit="1" customWidth="1"/>
    <col min="594" max="596" width="8.88671875" style="1"/>
    <col min="597" max="597" width="5.109375" style="1" customWidth="1"/>
    <col min="598" max="598" width="8.88671875" style="1"/>
    <col min="599" max="599" width="26" style="1" bestFit="1" customWidth="1"/>
    <col min="600" max="600" width="71" style="1" bestFit="1" customWidth="1"/>
    <col min="601" max="601" width="17.5546875" style="1" bestFit="1" customWidth="1"/>
    <col min="602" max="602" width="27.33203125" style="1" bestFit="1" customWidth="1"/>
    <col min="603" max="603" width="17.33203125" style="1" bestFit="1" customWidth="1"/>
    <col min="604" max="605" width="8.88671875" style="1"/>
    <col min="606" max="606" width="5.6640625" style="1" bestFit="1" customWidth="1"/>
    <col min="607" max="607" width="15.44140625" style="1" bestFit="1" customWidth="1"/>
    <col min="608" max="608" width="22" style="1" bestFit="1" customWidth="1"/>
    <col min="609" max="609" width="71" style="1" bestFit="1" customWidth="1"/>
    <col min="610" max="610" width="18.5546875" style="1" bestFit="1" customWidth="1"/>
    <col min="611" max="611" width="27.33203125" style="1" bestFit="1" customWidth="1"/>
    <col min="612" max="612" width="16.44140625" style="1" bestFit="1" customWidth="1"/>
    <col min="613" max="770" width="8.88671875" style="1"/>
    <col min="771" max="771" width="18.88671875" style="1" bestFit="1" customWidth="1"/>
    <col min="772" max="772" width="14.88671875" style="1" customWidth="1"/>
    <col min="773" max="773" width="33.44140625" style="1" customWidth="1"/>
    <col min="774" max="774" width="31.109375" style="1" customWidth="1"/>
    <col min="775" max="775" width="22.5546875" style="1" bestFit="1" customWidth="1"/>
    <col min="776" max="776" width="20.88671875" style="1" bestFit="1" customWidth="1"/>
    <col min="777" max="778" width="19.33203125" style="1" bestFit="1" customWidth="1"/>
    <col min="779" max="779" width="20.88671875" style="1" bestFit="1" customWidth="1"/>
    <col min="780" max="780" width="16.33203125" style="1" bestFit="1" customWidth="1"/>
    <col min="781" max="782" width="19.109375" style="1" bestFit="1" customWidth="1"/>
    <col min="783" max="783" width="13.44140625" style="1" bestFit="1" customWidth="1"/>
    <col min="784" max="784" width="15.33203125" style="1" bestFit="1" customWidth="1"/>
    <col min="785" max="785" width="24.33203125" style="1" bestFit="1" customWidth="1"/>
    <col min="786" max="786" width="12.88671875" style="1" bestFit="1" customWidth="1"/>
    <col min="787" max="788" width="12.5546875" style="1" bestFit="1" customWidth="1"/>
    <col min="789" max="789" width="10.5546875" style="1" bestFit="1" customWidth="1"/>
    <col min="790" max="790" width="12.44140625" style="1" bestFit="1" customWidth="1"/>
    <col min="791" max="791" width="11.5546875" style="1" bestFit="1" customWidth="1"/>
    <col min="792" max="792" width="12" style="1" bestFit="1" customWidth="1"/>
    <col min="793" max="793" width="10.5546875" style="1" bestFit="1" customWidth="1"/>
    <col min="794" max="795" width="8.88671875" style="1"/>
    <col min="796" max="796" width="10.5546875" style="1" bestFit="1" customWidth="1"/>
    <col min="797" max="797" width="35" style="1" bestFit="1" customWidth="1"/>
    <col min="798" max="798" width="6.44140625" style="1" bestFit="1" customWidth="1"/>
    <col min="799" max="799" width="2.88671875" style="1" bestFit="1" customWidth="1"/>
    <col min="800" max="800" width="6.44140625" style="1" bestFit="1" customWidth="1"/>
    <col min="801" max="801" width="13.44140625" style="1" bestFit="1" customWidth="1"/>
    <col min="802" max="802" width="12.88671875" style="1" bestFit="1" customWidth="1"/>
    <col min="803" max="803" width="15.109375" style="1" bestFit="1" customWidth="1"/>
    <col min="804" max="804" width="12.88671875" style="1" bestFit="1" customWidth="1"/>
    <col min="805" max="805" width="13.88671875" style="1" customWidth="1"/>
    <col min="806" max="806" width="14.33203125" style="1" bestFit="1" customWidth="1"/>
    <col min="807" max="809" width="8.88671875" style="1"/>
    <col min="810" max="810" width="15.5546875" style="1" bestFit="1" customWidth="1"/>
    <col min="811" max="813" width="8.88671875" style="1"/>
    <col min="814" max="814" width="13.109375" style="1" bestFit="1" customWidth="1"/>
    <col min="815" max="815" width="12.88671875" style="1" bestFit="1" customWidth="1"/>
    <col min="816" max="816" width="14" style="1" bestFit="1" customWidth="1"/>
    <col min="817" max="817" width="12.33203125" style="1" bestFit="1" customWidth="1"/>
    <col min="818" max="818" width="13.44140625" style="1" bestFit="1" customWidth="1"/>
    <col min="819" max="819" width="15.109375" style="1" bestFit="1" customWidth="1"/>
    <col min="820" max="823" width="8.88671875" style="1"/>
    <col min="824" max="824" width="11.5546875" style="1" customWidth="1"/>
    <col min="825" max="825" width="12.109375" style="1" bestFit="1" customWidth="1"/>
    <col min="826" max="826" width="14" style="1" bestFit="1" customWidth="1"/>
    <col min="827" max="827" width="19.109375" style="1" bestFit="1" customWidth="1"/>
    <col min="828" max="828" width="23.44140625" style="1" bestFit="1" customWidth="1"/>
    <col min="829" max="829" width="25.88671875" style="1" bestFit="1" customWidth="1"/>
    <col min="830" max="830" width="18.33203125" style="1" bestFit="1" customWidth="1"/>
    <col min="831" max="831" width="17.109375" style="1" bestFit="1" customWidth="1"/>
    <col min="832" max="832" width="13.33203125" style="1" bestFit="1" customWidth="1"/>
    <col min="833" max="833" width="8.88671875" style="1"/>
    <col min="834" max="834" width="18.109375" style="1" bestFit="1" customWidth="1"/>
    <col min="835" max="835" width="23.44140625" style="1" bestFit="1" customWidth="1"/>
    <col min="836" max="839" width="8.88671875" style="1"/>
    <col min="840" max="840" width="14.88671875" style="1" bestFit="1" customWidth="1"/>
    <col min="841" max="841" width="18.109375" style="1" bestFit="1" customWidth="1"/>
    <col min="842" max="842" width="23.44140625" style="1" bestFit="1" customWidth="1"/>
    <col min="843" max="846" width="8.88671875" style="1"/>
    <col min="847" max="847" width="11" style="1" bestFit="1" customWidth="1"/>
    <col min="848" max="848" width="15.44140625" style="1" bestFit="1" customWidth="1"/>
    <col min="849" max="849" width="23.44140625" style="1" bestFit="1" customWidth="1"/>
    <col min="850" max="852" width="8.88671875" style="1"/>
    <col min="853" max="853" width="5.109375" style="1" customWidth="1"/>
    <col min="854" max="854" width="8.88671875" style="1"/>
    <col min="855" max="855" width="26" style="1" bestFit="1" customWidth="1"/>
    <col min="856" max="856" width="71" style="1" bestFit="1" customWidth="1"/>
    <col min="857" max="857" width="17.5546875" style="1" bestFit="1" customWidth="1"/>
    <col min="858" max="858" width="27.33203125" style="1" bestFit="1" customWidth="1"/>
    <col min="859" max="859" width="17.33203125" style="1" bestFit="1" customWidth="1"/>
    <col min="860" max="861" width="8.88671875" style="1"/>
    <col min="862" max="862" width="5.6640625" style="1" bestFit="1" customWidth="1"/>
    <col min="863" max="863" width="15.44140625" style="1" bestFit="1" customWidth="1"/>
    <col min="864" max="864" width="22" style="1" bestFit="1" customWidth="1"/>
    <col min="865" max="865" width="71" style="1" bestFit="1" customWidth="1"/>
    <col min="866" max="866" width="18.5546875" style="1" bestFit="1" customWidth="1"/>
    <col min="867" max="867" width="27.33203125" style="1" bestFit="1" customWidth="1"/>
    <col min="868" max="868" width="16.44140625" style="1" bestFit="1" customWidth="1"/>
    <col min="869" max="1026" width="8.88671875" style="1"/>
    <col min="1027" max="1027" width="18.88671875" style="1" bestFit="1" customWidth="1"/>
    <col min="1028" max="1028" width="14.88671875" style="1" customWidth="1"/>
    <col min="1029" max="1029" width="33.44140625" style="1" customWidth="1"/>
    <col min="1030" max="1030" width="31.109375" style="1" customWidth="1"/>
    <col min="1031" max="1031" width="22.5546875" style="1" bestFit="1" customWidth="1"/>
    <col min="1032" max="1032" width="20.88671875" style="1" bestFit="1" customWidth="1"/>
    <col min="1033" max="1034" width="19.33203125" style="1" bestFit="1" customWidth="1"/>
    <col min="1035" max="1035" width="20.88671875" style="1" bestFit="1" customWidth="1"/>
    <col min="1036" max="1036" width="16.33203125" style="1" bestFit="1" customWidth="1"/>
    <col min="1037" max="1038" width="19.109375" style="1" bestFit="1" customWidth="1"/>
    <col min="1039" max="1039" width="13.44140625" style="1" bestFit="1" customWidth="1"/>
    <col min="1040" max="1040" width="15.33203125" style="1" bestFit="1" customWidth="1"/>
    <col min="1041" max="1041" width="24.33203125" style="1" bestFit="1" customWidth="1"/>
    <col min="1042" max="1042" width="12.88671875" style="1" bestFit="1" customWidth="1"/>
    <col min="1043" max="1044" width="12.5546875" style="1" bestFit="1" customWidth="1"/>
    <col min="1045" max="1045" width="10.5546875" style="1" bestFit="1" customWidth="1"/>
    <col min="1046" max="1046" width="12.44140625" style="1" bestFit="1" customWidth="1"/>
    <col min="1047" max="1047" width="11.5546875" style="1" bestFit="1" customWidth="1"/>
    <col min="1048" max="1048" width="12" style="1" bestFit="1" customWidth="1"/>
    <col min="1049" max="1049" width="10.5546875" style="1" bestFit="1" customWidth="1"/>
    <col min="1050" max="1051" width="8.88671875" style="1"/>
    <col min="1052" max="1052" width="10.5546875" style="1" bestFit="1" customWidth="1"/>
    <col min="1053" max="1053" width="35" style="1" bestFit="1" customWidth="1"/>
    <col min="1054" max="1054" width="6.44140625" style="1" bestFit="1" customWidth="1"/>
    <col min="1055" max="1055" width="2.88671875" style="1" bestFit="1" customWidth="1"/>
    <col min="1056" max="1056" width="6.44140625" style="1" bestFit="1" customWidth="1"/>
    <col min="1057" max="1057" width="13.44140625" style="1" bestFit="1" customWidth="1"/>
    <col min="1058" max="1058" width="12.88671875" style="1" bestFit="1" customWidth="1"/>
    <col min="1059" max="1059" width="15.109375" style="1" bestFit="1" customWidth="1"/>
    <col min="1060" max="1060" width="12.88671875" style="1" bestFit="1" customWidth="1"/>
    <col min="1061" max="1061" width="13.88671875" style="1" customWidth="1"/>
    <col min="1062" max="1062" width="14.33203125" style="1" bestFit="1" customWidth="1"/>
    <col min="1063" max="1065" width="8.88671875" style="1"/>
    <col min="1066" max="1066" width="15.5546875" style="1" bestFit="1" customWidth="1"/>
    <col min="1067" max="1069" width="8.88671875" style="1"/>
    <col min="1070" max="1070" width="13.109375" style="1" bestFit="1" customWidth="1"/>
    <col min="1071" max="1071" width="12.88671875" style="1" bestFit="1" customWidth="1"/>
    <col min="1072" max="1072" width="14" style="1" bestFit="1" customWidth="1"/>
    <col min="1073" max="1073" width="12.33203125" style="1" bestFit="1" customWidth="1"/>
    <col min="1074" max="1074" width="13.44140625" style="1" bestFit="1" customWidth="1"/>
    <col min="1075" max="1075" width="15.109375" style="1" bestFit="1" customWidth="1"/>
    <col min="1076" max="1079" width="8.88671875" style="1"/>
    <col min="1080" max="1080" width="11.5546875" style="1" customWidth="1"/>
    <col min="1081" max="1081" width="12.109375" style="1" bestFit="1" customWidth="1"/>
    <col min="1082" max="1082" width="14" style="1" bestFit="1" customWidth="1"/>
    <col min="1083" max="1083" width="19.109375" style="1" bestFit="1" customWidth="1"/>
    <col min="1084" max="1084" width="23.44140625" style="1" bestFit="1" customWidth="1"/>
    <col min="1085" max="1085" width="25.88671875" style="1" bestFit="1" customWidth="1"/>
    <col min="1086" max="1086" width="18.33203125" style="1" bestFit="1" customWidth="1"/>
    <col min="1087" max="1087" width="17.109375" style="1" bestFit="1" customWidth="1"/>
    <col min="1088" max="1088" width="13.33203125" style="1" bestFit="1" customWidth="1"/>
    <col min="1089" max="1089" width="8.88671875" style="1"/>
    <col min="1090" max="1090" width="18.109375" style="1" bestFit="1" customWidth="1"/>
    <col min="1091" max="1091" width="23.44140625" style="1" bestFit="1" customWidth="1"/>
    <col min="1092" max="1095" width="8.88671875" style="1"/>
    <col min="1096" max="1096" width="14.88671875" style="1" bestFit="1" customWidth="1"/>
    <col min="1097" max="1097" width="18.109375" style="1" bestFit="1" customWidth="1"/>
    <col min="1098" max="1098" width="23.44140625" style="1" bestFit="1" customWidth="1"/>
    <col min="1099" max="1102" width="8.88671875" style="1"/>
    <col min="1103" max="1103" width="11" style="1" bestFit="1" customWidth="1"/>
    <col min="1104" max="1104" width="15.44140625" style="1" bestFit="1" customWidth="1"/>
    <col min="1105" max="1105" width="23.44140625" style="1" bestFit="1" customWidth="1"/>
    <col min="1106" max="1108" width="8.88671875" style="1"/>
    <col min="1109" max="1109" width="5.109375" style="1" customWidth="1"/>
    <col min="1110" max="1110" width="8.88671875" style="1"/>
    <col min="1111" max="1111" width="26" style="1" bestFit="1" customWidth="1"/>
    <col min="1112" max="1112" width="71" style="1" bestFit="1" customWidth="1"/>
    <col min="1113" max="1113" width="17.5546875" style="1" bestFit="1" customWidth="1"/>
    <col min="1114" max="1114" width="27.33203125" style="1" bestFit="1" customWidth="1"/>
    <col min="1115" max="1115" width="17.33203125" style="1" bestFit="1" customWidth="1"/>
    <col min="1116" max="1117" width="8.88671875" style="1"/>
    <col min="1118" max="1118" width="5.6640625" style="1" bestFit="1" customWidth="1"/>
    <col min="1119" max="1119" width="15.44140625" style="1" bestFit="1" customWidth="1"/>
    <col min="1120" max="1120" width="22" style="1" bestFit="1" customWidth="1"/>
    <col min="1121" max="1121" width="71" style="1" bestFit="1" customWidth="1"/>
    <col min="1122" max="1122" width="18.5546875" style="1" bestFit="1" customWidth="1"/>
    <col min="1123" max="1123" width="27.33203125" style="1" bestFit="1" customWidth="1"/>
    <col min="1124" max="1124" width="16.44140625" style="1" bestFit="1" customWidth="1"/>
    <col min="1125" max="1282" width="8.88671875" style="1"/>
    <col min="1283" max="1283" width="18.88671875" style="1" bestFit="1" customWidth="1"/>
    <col min="1284" max="1284" width="14.88671875" style="1" customWidth="1"/>
    <col min="1285" max="1285" width="33.44140625" style="1" customWidth="1"/>
    <col min="1286" max="1286" width="31.109375" style="1" customWidth="1"/>
    <col min="1287" max="1287" width="22.5546875" style="1" bestFit="1" customWidth="1"/>
    <col min="1288" max="1288" width="20.88671875" style="1" bestFit="1" customWidth="1"/>
    <col min="1289" max="1290" width="19.33203125" style="1" bestFit="1" customWidth="1"/>
    <col min="1291" max="1291" width="20.88671875" style="1" bestFit="1" customWidth="1"/>
    <col min="1292" max="1292" width="16.33203125" style="1" bestFit="1" customWidth="1"/>
    <col min="1293" max="1294" width="19.109375" style="1" bestFit="1" customWidth="1"/>
    <col min="1295" max="1295" width="13.44140625" style="1" bestFit="1" customWidth="1"/>
    <col min="1296" max="1296" width="15.33203125" style="1" bestFit="1" customWidth="1"/>
    <col min="1297" max="1297" width="24.33203125" style="1" bestFit="1" customWidth="1"/>
    <col min="1298" max="1298" width="12.88671875" style="1" bestFit="1" customWidth="1"/>
    <col min="1299" max="1300" width="12.5546875" style="1" bestFit="1" customWidth="1"/>
    <col min="1301" max="1301" width="10.5546875" style="1" bestFit="1" customWidth="1"/>
    <col min="1302" max="1302" width="12.44140625" style="1" bestFit="1" customWidth="1"/>
    <col min="1303" max="1303" width="11.5546875" style="1" bestFit="1" customWidth="1"/>
    <col min="1304" max="1304" width="12" style="1" bestFit="1" customWidth="1"/>
    <col min="1305" max="1305" width="10.5546875" style="1" bestFit="1" customWidth="1"/>
    <col min="1306" max="1307" width="8.88671875" style="1"/>
    <col min="1308" max="1308" width="10.5546875" style="1" bestFit="1" customWidth="1"/>
    <col min="1309" max="1309" width="35" style="1" bestFit="1" customWidth="1"/>
    <col min="1310" max="1310" width="6.44140625" style="1" bestFit="1" customWidth="1"/>
    <col min="1311" max="1311" width="2.88671875" style="1" bestFit="1" customWidth="1"/>
    <col min="1312" max="1312" width="6.44140625" style="1" bestFit="1" customWidth="1"/>
    <col min="1313" max="1313" width="13.44140625" style="1" bestFit="1" customWidth="1"/>
    <col min="1314" max="1314" width="12.88671875" style="1" bestFit="1" customWidth="1"/>
    <col min="1315" max="1315" width="15.109375" style="1" bestFit="1" customWidth="1"/>
    <col min="1316" max="1316" width="12.88671875" style="1" bestFit="1" customWidth="1"/>
    <col min="1317" max="1317" width="13.88671875" style="1" customWidth="1"/>
    <col min="1318" max="1318" width="14.33203125" style="1" bestFit="1" customWidth="1"/>
    <col min="1319" max="1321" width="8.88671875" style="1"/>
    <col min="1322" max="1322" width="15.5546875" style="1" bestFit="1" customWidth="1"/>
    <col min="1323" max="1325" width="8.88671875" style="1"/>
    <col min="1326" max="1326" width="13.109375" style="1" bestFit="1" customWidth="1"/>
    <col min="1327" max="1327" width="12.88671875" style="1" bestFit="1" customWidth="1"/>
    <col min="1328" max="1328" width="14" style="1" bestFit="1" customWidth="1"/>
    <col min="1329" max="1329" width="12.33203125" style="1" bestFit="1" customWidth="1"/>
    <col min="1330" max="1330" width="13.44140625" style="1" bestFit="1" customWidth="1"/>
    <col min="1331" max="1331" width="15.109375" style="1" bestFit="1" customWidth="1"/>
    <col min="1332" max="1335" width="8.88671875" style="1"/>
    <col min="1336" max="1336" width="11.5546875" style="1" customWidth="1"/>
    <col min="1337" max="1337" width="12.109375" style="1" bestFit="1" customWidth="1"/>
    <col min="1338" max="1338" width="14" style="1" bestFit="1" customWidth="1"/>
    <col min="1339" max="1339" width="19.109375" style="1" bestFit="1" customWidth="1"/>
    <col min="1340" max="1340" width="23.44140625" style="1" bestFit="1" customWidth="1"/>
    <col min="1341" max="1341" width="25.88671875" style="1" bestFit="1" customWidth="1"/>
    <col min="1342" max="1342" width="18.33203125" style="1" bestFit="1" customWidth="1"/>
    <col min="1343" max="1343" width="17.109375" style="1" bestFit="1" customWidth="1"/>
    <col min="1344" max="1344" width="13.33203125" style="1" bestFit="1" customWidth="1"/>
    <col min="1345" max="1345" width="8.88671875" style="1"/>
    <col min="1346" max="1346" width="18.109375" style="1" bestFit="1" customWidth="1"/>
    <col min="1347" max="1347" width="23.44140625" style="1" bestFit="1" customWidth="1"/>
    <col min="1348" max="1351" width="8.88671875" style="1"/>
    <col min="1352" max="1352" width="14.88671875" style="1" bestFit="1" customWidth="1"/>
    <col min="1353" max="1353" width="18.109375" style="1" bestFit="1" customWidth="1"/>
    <col min="1354" max="1354" width="23.44140625" style="1" bestFit="1" customWidth="1"/>
    <col min="1355" max="1358" width="8.88671875" style="1"/>
    <col min="1359" max="1359" width="11" style="1" bestFit="1" customWidth="1"/>
    <col min="1360" max="1360" width="15.44140625" style="1" bestFit="1" customWidth="1"/>
    <col min="1361" max="1361" width="23.44140625" style="1" bestFit="1" customWidth="1"/>
    <col min="1362" max="1364" width="8.88671875" style="1"/>
    <col min="1365" max="1365" width="5.109375" style="1" customWidth="1"/>
    <col min="1366" max="1366" width="8.88671875" style="1"/>
    <col min="1367" max="1367" width="26" style="1" bestFit="1" customWidth="1"/>
    <col min="1368" max="1368" width="71" style="1" bestFit="1" customWidth="1"/>
    <col min="1369" max="1369" width="17.5546875" style="1" bestFit="1" customWidth="1"/>
    <col min="1370" max="1370" width="27.33203125" style="1" bestFit="1" customWidth="1"/>
    <col min="1371" max="1371" width="17.33203125" style="1" bestFit="1" customWidth="1"/>
    <col min="1372" max="1373" width="8.88671875" style="1"/>
    <col min="1374" max="1374" width="5.6640625" style="1" bestFit="1" customWidth="1"/>
    <col min="1375" max="1375" width="15.44140625" style="1" bestFit="1" customWidth="1"/>
    <col min="1376" max="1376" width="22" style="1" bestFit="1" customWidth="1"/>
    <col min="1377" max="1377" width="71" style="1" bestFit="1" customWidth="1"/>
    <col min="1378" max="1378" width="18.5546875" style="1" bestFit="1" customWidth="1"/>
    <col min="1379" max="1379" width="27.33203125" style="1" bestFit="1" customWidth="1"/>
    <col min="1380" max="1380" width="16.44140625" style="1" bestFit="1" customWidth="1"/>
    <col min="1381" max="1538" width="8.88671875" style="1"/>
    <col min="1539" max="1539" width="18.88671875" style="1" bestFit="1" customWidth="1"/>
    <col min="1540" max="1540" width="14.88671875" style="1" customWidth="1"/>
    <col min="1541" max="1541" width="33.44140625" style="1" customWidth="1"/>
    <col min="1542" max="1542" width="31.109375" style="1" customWidth="1"/>
    <col min="1543" max="1543" width="22.5546875" style="1" bestFit="1" customWidth="1"/>
    <col min="1544" max="1544" width="20.88671875" style="1" bestFit="1" customWidth="1"/>
    <col min="1545" max="1546" width="19.33203125" style="1" bestFit="1" customWidth="1"/>
    <col min="1547" max="1547" width="20.88671875" style="1" bestFit="1" customWidth="1"/>
    <col min="1548" max="1548" width="16.33203125" style="1" bestFit="1" customWidth="1"/>
    <col min="1549" max="1550" width="19.109375" style="1" bestFit="1" customWidth="1"/>
    <col min="1551" max="1551" width="13.44140625" style="1" bestFit="1" customWidth="1"/>
    <col min="1552" max="1552" width="15.33203125" style="1" bestFit="1" customWidth="1"/>
    <col min="1553" max="1553" width="24.33203125" style="1" bestFit="1" customWidth="1"/>
    <col min="1554" max="1554" width="12.88671875" style="1" bestFit="1" customWidth="1"/>
    <col min="1555" max="1556" width="12.5546875" style="1" bestFit="1" customWidth="1"/>
    <col min="1557" max="1557" width="10.5546875" style="1" bestFit="1" customWidth="1"/>
    <col min="1558" max="1558" width="12.44140625" style="1" bestFit="1" customWidth="1"/>
    <col min="1559" max="1559" width="11.5546875" style="1" bestFit="1" customWidth="1"/>
    <col min="1560" max="1560" width="12" style="1" bestFit="1" customWidth="1"/>
    <col min="1561" max="1561" width="10.5546875" style="1" bestFit="1" customWidth="1"/>
    <col min="1562" max="1563" width="8.88671875" style="1"/>
    <col min="1564" max="1564" width="10.5546875" style="1" bestFit="1" customWidth="1"/>
    <col min="1565" max="1565" width="35" style="1" bestFit="1" customWidth="1"/>
    <col min="1566" max="1566" width="6.44140625" style="1" bestFit="1" customWidth="1"/>
    <col min="1567" max="1567" width="2.88671875" style="1" bestFit="1" customWidth="1"/>
    <col min="1568" max="1568" width="6.44140625" style="1" bestFit="1" customWidth="1"/>
    <col min="1569" max="1569" width="13.44140625" style="1" bestFit="1" customWidth="1"/>
    <col min="1570" max="1570" width="12.88671875" style="1" bestFit="1" customWidth="1"/>
    <col min="1571" max="1571" width="15.109375" style="1" bestFit="1" customWidth="1"/>
    <col min="1572" max="1572" width="12.88671875" style="1" bestFit="1" customWidth="1"/>
    <col min="1573" max="1573" width="13.88671875" style="1" customWidth="1"/>
    <col min="1574" max="1574" width="14.33203125" style="1" bestFit="1" customWidth="1"/>
    <col min="1575" max="1577" width="8.88671875" style="1"/>
    <col min="1578" max="1578" width="15.5546875" style="1" bestFit="1" customWidth="1"/>
    <col min="1579" max="1581" width="8.88671875" style="1"/>
    <col min="1582" max="1582" width="13.109375" style="1" bestFit="1" customWidth="1"/>
    <col min="1583" max="1583" width="12.88671875" style="1" bestFit="1" customWidth="1"/>
    <col min="1584" max="1584" width="14" style="1" bestFit="1" customWidth="1"/>
    <col min="1585" max="1585" width="12.33203125" style="1" bestFit="1" customWidth="1"/>
    <col min="1586" max="1586" width="13.44140625" style="1" bestFit="1" customWidth="1"/>
    <col min="1587" max="1587" width="15.109375" style="1" bestFit="1" customWidth="1"/>
    <col min="1588" max="1591" width="8.88671875" style="1"/>
    <col min="1592" max="1592" width="11.5546875" style="1" customWidth="1"/>
    <col min="1593" max="1593" width="12.109375" style="1" bestFit="1" customWidth="1"/>
    <col min="1594" max="1594" width="14" style="1" bestFit="1" customWidth="1"/>
    <col min="1595" max="1595" width="19.109375" style="1" bestFit="1" customWidth="1"/>
    <col min="1596" max="1596" width="23.44140625" style="1" bestFit="1" customWidth="1"/>
    <col min="1597" max="1597" width="25.88671875" style="1" bestFit="1" customWidth="1"/>
    <col min="1598" max="1598" width="18.33203125" style="1" bestFit="1" customWidth="1"/>
    <col min="1599" max="1599" width="17.109375" style="1" bestFit="1" customWidth="1"/>
    <col min="1600" max="1600" width="13.33203125" style="1" bestFit="1" customWidth="1"/>
    <col min="1601" max="1601" width="8.88671875" style="1"/>
    <col min="1602" max="1602" width="18.109375" style="1" bestFit="1" customWidth="1"/>
    <col min="1603" max="1603" width="23.44140625" style="1" bestFit="1" customWidth="1"/>
    <col min="1604" max="1607" width="8.88671875" style="1"/>
    <col min="1608" max="1608" width="14.88671875" style="1" bestFit="1" customWidth="1"/>
    <col min="1609" max="1609" width="18.109375" style="1" bestFit="1" customWidth="1"/>
    <col min="1610" max="1610" width="23.44140625" style="1" bestFit="1" customWidth="1"/>
    <col min="1611" max="1614" width="8.88671875" style="1"/>
    <col min="1615" max="1615" width="11" style="1" bestFit="1" customWidth="1"/>
    <col min="1616" max="1616" width="15.44140625" style="1" bestFit="1" customWidth="1"/>
    <col min="1617" max="1617" width="23.44140625" style="1" bestFit="1" customWidth="1"/>
    <col min="1618" max="1620" width="8.88671875" style="1"/>
    <col min="1621" max="1621" width="5.109375" style="1" customWidth="1"/>
    <col min="1622" max="1622" width="8.88671875" style="1"/>
    <col min="1623" max="1623" width="26" style="1" bestFit="1" customWidth="1"/>
    <col min="1624" max="1624" width="71" style="1" bestFit="1" customWidth="1"/>
    <col min="1625" max="1625" width="17.5546875" style="1" bestFit="1" customWidth="1"/>
    <col min="1626" max="1626" width="27.33203125" style="1" bestFit="1" customWidth="1"/>
    <col min="1627" max="1627" width="17.33203125" style="1" bestFit="1" customWidth="1"/>
    <col min="1628" max="1629" width="8.88671875" style="1"/>
    <col min="1630" max="1630" width="5.6640625" style="1" bestFit="1" customWidth="1"/>
    <col min="1631" max="1631" width="15.44140625" style="1" bestFit="1" customWidth="1"/>
    <col min="1632" max="1632" width="22" style="1" bestFit="1" customWidth="1"/>
    <col min="1633" max="1633" width="71" style="1" bestFit="1" customWidth="1"/>
    <col min="1634" max="1634" width="18.5546875" style="1" bestFit="1" customWidth="1"/>
    <col min="1635" max="1635" width="27.33203125" style="1" bestFit="1" customWidth="1"/>
    <col min="1636" max="1636" width="16.44140625" style="1" bestFit="1" customWidth="1"/>
    <col min="1637" max="1794" width="8.88671875" style="1"/>
    <col min="1795" max="1795" width="18.88671875" style="1" bestFit="1" customWidth="1"/>
    <col min="1796" max="1796" width="14.88671875" style="1" customWidth="1"/>
    <col min="1797" max="1797" width="33.44140625" style="1" customWidth="1"/>
    <col min="1798" max="1798" width="31.109375" style="1" customWidth="1"/>
    <col min="1799" max="1799" width="22.5546875" style="1" bestFit="1" customWidth="1"/>
    <col min="1800" max="1800" width="20.88671875" style="1" bestFit="1" customWidth="1"/>
    <col min="1801" max="1802" width="19.33203125" style="1" bestFit="1" customWidth="1"/>
    <col min="1803" max="1803" width="20.88671875" style="1" bestFit="1" customWidth="1"/>
    <col min="1804" max="1804" width="16.33203125" style="1" bestFit="1" customWidth="1"/>
    <col min="1805" max="1806" width="19.109375" style="1" bestFit="1" customWidth="1"/>
    <col min="1807" max="1807" width="13.44140625" style="1" bestFit="1" customWidth="1"/>
    <col min="1808" max="1808" width="15.33203125" style="1" bestFit="1" customWidth="1"/>
    <col min="1809" max="1809" width="24.33203125" style="1" bestFit="1" customWidth="1"/>
    <col min="1810" max="1810" width="12.88671875" style="1" bestFit="1" customWidth="1"/>
    <col min="1811" max="1812" width="12.5546875" style="1" bestFit="1" customWidth="1"/>
    <col min="1813" max="1813" width="10.5546875" style="1" bestFit="1" customWidth="1"/>
    <col min="1814" max="1814" width="12.44140625" style="1" bestFit="1" customWidth="1"/>
    <col min="1815" max="1815" width="11.5546875" style="1" bestFit="1" customWidth="1"/>
    <col min="1816" max="1816" width="12" style="1" bestFit="1" customWidth="1"/>
    <col min="1817" max="1817" width="10.5546875" style="1" bestFit="1" customWidth="1"/>
    <col min="1818" max="1819" width="8.88671875" style="1"/>
    <col min="1820" max="1820" width="10.5546875" style="1" bestFit="1" customWidth="1"/>
    <col min="1821" max="1821" width="35" style="1" bestFit="1" customWidth="1"/>
    <col min="1822" max="1822" width="6.44140625" style="1" bestFit="1" customWidth="1"/>
    <col min="1823" max="1823" width="2.88671875" style="1" bestFit="1" customWidth="1"/>
    <col min="1824" max="1824" width="6.44140625" style="1" bestFit="1" customWidth="1"/>
    <col min="1825" max="1825" width="13.44140625" style="1" bestFit="1" customWidth="1"/>
    <col min="1826" max="1826" width="12.88671875" style="1" bestFit="1" customWidth="1"/>
    <col min="1827" max="1827" width="15.109375" style="1" bestFit="1" customWidth="1"/>
    <col min="1828" max="1828" width="12.88671875" style="1" bestFit="1" customWidth="1"/>
    <col min="1829" max="1829" width="13.88671875" style="1" customWidth="1"/>
    <col min="1830" max="1830" width="14.33203125" style="1" bestFit="1" customWidth="1"/>
    <col min="1831" max="1833" width="8.88671875" style="1"/>
    <col min="1834" max="1834" width="15.5546875" style="1" bestFit="1" customWidth="1"/>
    <col min="1835" max="1837" width="8.88671875" style="1"/>
    <col min="1838" max="1838" width="13.109375" style="1" bestFit="1" customWidth="1"/>
    <col min="1839" max="1839" width="12.88671875" style="1" bestFit="1" customWidth="1"/>
    <col min="1840" max="1840" width="14" style="1" bestFit="1" customWidth="1"/>
    <col min="1841" max="1841" width="12.33203125" style="1" bestFit="1" customWidth="1"/>
    <col min="1842" max="1842" width="13.44140625" style="1" bestFit="1" customWidth="1"/>
    <col min="1843" max="1843" width="15.109375" style="1" bestFit="1" customWidth="1"/>
    <col min="1844" max="1847" width="8.88671875" style="1"/>
    <col min="1848" max="1848" width="11.5546875" style="1" customWidth="1"/>
    <col min="1849" max="1849" width="12.109375" style="1" bestFit="1" customWidth="1"/>
    <col min="1850" max="1850" width="14" style="1" bestFit="1" customWidth="1"/>
    <col min="1851" max="1851" width="19.109375" style="1" bestFit="1" customWidth="1"/>
    <col min="1852" max="1852" width="23.44140625" style="1" bestFit="1" customWidth="1"/>
    <col min="1853" max="1853" width="25.88671875" style="1" bestFit="1" customWidth="1"/>
    <col min="1854" max="1854" width="18.33203125" style="1" bestFit="1" customWidth="1"/>
    <col min="1855" max="1855" width="17.109375" style="1" bestFit="1" customWidth="1"/>
    <col min="1856" max="1856" width="13.33203125" style="1" bestFit="1" customWidth="1"/>
    <col min="1857" max="1857" width="8.88671875" style="1"/>
    <col min="1858" max="1858" width="18.109375" style="1" bestFit="1" customWidth="1"/>
    <col min="1859" max="1859" width="23.44140625" style="1" bestFit="1" customWidth="1"/>
    <col min="1860" max="1863" width="8.88671875" style="1"/>
    <col min="1864" max="1864" width="14.88671875" style="1" bestFit="1" customWidth="1"/>
    <col min="1865" max="1865" width="18.109375" style="1" bestFit="1" customWidth="1"/>
    <col min="1866" max="1866" width="23.44140625" style="1" bestFit="1" customWidth="1"/>
    <col min="1867" max="1870" width="8.88671875" style="1"/>
    <col min="1871" max="1871" width="11" style="1" bestFit="1" customWidth="1"/>
    <col min="1872" max="1872" width="15.44140625" style="1" bestFit="1" customWidth="1"/>
    <col min="1873" max="1873" width="23.44140625" style="1" bestFit="1" customWidth="1"/>
    <col min="1874" max="1876" width="8.88671875" style="1"/>
    <col min="1877" max="1877" width="5.109375" style="1" customWidth="1"/>
    <col min="1878" max="1878" width="8.88671875" style="1"/>
    <col min="1879" max="1879" width="26" style="1" bestFit="1" customWidth="1"/>
    <col min="1880" max="1880" width="71" style="1" bestFit="1" customWidth="1"/>
    <col min="1881" max="1881" width="17.5546875" style="1" bestFit="1" customWidth="1"/>
    <col min="1882" max="1882" width="27.33203125" style="1" bestFit="1" customWidth="1"/>
    <col min="1883" max="1883" width="17.33203125" style="1" bestFit="1" customWidth="1"/>
    <col min="1884" max="1885" width="8.88671875" style="1"/>
    <col min="1886" max="1886" width="5.6640625" style="1" bestFit="1" customWidth="1"/>
    <col min="1887" max="1887" width="15.44140625" style="1" bestFit="1" customWidth="1"/>
    <col min="1888" max="1888" width="22" style="1" bestFit="1" customWidth="1"/>
    <col min="1889" max="1889" width="71" style="1" bestFit="1" customWidth="1"/>
    <col min="1890" max="1890" width="18.5546875" style="1" bestFit="1" customWidth="1"/>
    <col min="1891" max="1891" width="27.33203125" style="1" bestFit="1" customWidth="1"/>
    <col min="1892" max="1892" width="16.44140625" style="1" bestFit="1" customWidth="1"/>
    <col min="1893" max="2050" width="8.88671875" style="1"/>
    <col min="2051" max="2051" width="18.88671875" style="1" bestFit="1" customWidth="1"/>
    <col min="2052" max="2052" width="14.88671875" style="1" customWidth="1"/>
    <col min="2053" max="2053" width="33.44140625" style="1" customWidth="1"/>
    <col min="2054" max="2054" width="31.109375" style="1" customWidth="1"/>
    <col min="2055" max="2055" width="22.5546875" style="1" bestFit="1" customWidth="1"/>
    <col min="2056" max="2056" width="20.88671875" style="1" bestFit="1" customWidth="1"/>
    <col min="2057" max="2058" width="19.33203125" style="1" bestFit="1" customWidth="1"/>
    <col min="2059" max="2059" width="20.88671875" style="1" bestFit="1" customWidth="1"/>
    <col min="2060" max="2060" width="16.33203125" style="1" bestFit="1" customWidth="1"/>
    <col min="2061" max="2062" width="19.109375" style="1" bestFit="1" customWidth="1"/>
    <col min="2063" max="2063" width="13.44140625" style="1" bestFit="1" customWidth="1"/>
    <col min="2064" max="2064" width="15.33203125" style="1" bestFit="1" customWidth="1"/>
    <col min="2065" max="2065" width="24.33203125" style="1" bestFit="1" customWidth="1"/>
    <col min="2066" max="2066" width="12.88671875" style="1" bestFit="1" customWidth="1"/>
    <col min="2067" max="2068" width="12.5546875" style="1" bestFit="1" customWidth="1"/>
    <col min="2069" max="2069" width="10.5546875" style="1" bestFit="1" customWidth="1"/>
    <col min="2070" max="2070" width="12.44140625" style="1" bestFit="1" customWidth="1"/>
    <col min="2071" max="2071" width="11.5546875" style="1" bestFit="1" customWidth="1"/>
    <col min="2072" max="2072" width="12" style="1" bestFit="1" customWidth="1"/>
    <col min="2073" max="2073" width="10.5546875" style="1" bestFit="1" customWidth="1"/>
    <col min="2074" max="2075" width="8.88671875" style="1"/>
    <col min="2076" max="2076" width="10.5546875" style="1" bestFit="1" customWidth="1"/>
    <col min="2077" max="2077" width="35" style="1" bestFit="1" customWidth="1"/>
    <col min="2078" max="2078" width="6.44140625" style="1" bestFit="1" customWidth="1"/>
    <col min="2079" max="2079" width="2.88671875" style="1" bestFit="1" customWidth="1"/>
    <col min="2080" max="2080" width="6.44140625" style="1" bestFit="1" customWidth="1"/>
    <col min="2081" max="2081" width="13.44140625" style="1" bestFit="1" customWidth="1"/>
    <col min="2082" max="2082" width="12.88671875" style="1" bestFit="1" customWidth="1"/>
    <col min="2083" max="2083" width="15.109375" style="1" bestFit="1" customWidth="1"/>
    <col min="2084" max="2084" width="12.88671875" style="1" bestFit="1" customWidth="1"/>
    <col min="2085" max="2085" width="13.88671875" style="1" customWidth="1"/>
    <col min="2086" max="2086" width="14.33203125" style="1" bestFit="1" customWidth="1"/>
    <col min="2087" max="2089" width="8.88671875" style="1"/>
    <col min="2090" max="2090" width="15.5546875" style="1" bestFit="1" customWidth="1"/>
    <col min="2091" max="2093" width="8.88671875" style="1"/>
    <col min="2094" max="2094" width="13.109375" style="1" bestFit="1" customWidth="1"/>
    <col min="2095" max="2095" width="12.88671875" style="1" bestFit="1" customWidth="1"/>
    <col min="2096" max="2096" width="14" style="1" bestFit="1" customWidth="1"/>
    <col min="2097" max="2097" width="12.33203125" style="1" bestFit="1" customWidth="1"/>
    <col min="2098" max="2098" width="13.44140625" style="1" bestFit="1" customWidth="1"/>
    <col min="2099" max="2099" width="15.109375" style="1" bestFit="1" customWidth="1"/>
    <col min="2100" max="2103" width="8.88671875" style="1"/>
    <col min="2104" max="2104" width="11.5546875" style="1" customWidth="1"/>
    <col min="2105" max="2105" width="12.109375" style="1" bestFit="1" customWidth="1"/>
    <col min="2106" max="2106" width="14" style="1" bestFit="1" customWidth="1"/>
    <col min="2107" max="2107" width="19.109375" style="1" bestFit="1" customWidth="1"/>
    <col min="2108" max="2108" width="23.44140625" style="1" bestFit="1" customWidth="1"/>
    <col min="2109" max="2109" width="25.88671875" style="1" bestFit="1" customWidth="1"/>
    <col min="2110" max="2110" width="18.33203125" style="1" bestFit="1" customWidth="1"/>
    <col min="2111" max="2111" width="17.109375" style="1" bestFit="1" customWidth="1"/>
    <col min="2112" max="2112" width="13.33203125" style="1" bestFit="1" customWidth="1"/>
    <col min="2113" max="2113" width="8.88671875" style="1"/>
    <col min="2114" max="2114" width="18.109375" style="1" bestFit="1" customWidth="1"/>
    <col min="2115" max="2115" width="23.44140625" style="1" bestFit="1" customWidth="1"/>
    <col min="2116" max="2119" width="8.88671875" style="1"/>
    <col min="2120" max="2120" width="14.88671875" style="1" bestFit="1" customWidth="1"/>
    <col min="2121" max="2121" width="18.109375" style="1" bestFit="1" customWidth="1"/>
    <col min="2122" max="2122" width="23.44140625" style="1" bestFit="1" customWidth="1"/>
    <col min="2123" max="2126" width="8.88671875" style="1"/>
    <col min="2127" max="2127" width="11" style="1" bestFit="1" customWidth="1"/>
    <col min="2128" max="2128" width="15.44140625" style="1" bestFit="1" customWidth="1"/>
    <col min="2129" max="2129" width="23.44140625" style="1" bestFit="1" customWidth="1"/>
    <col min="2130" max="2132" width="8.88671875" style="1"/>
    <col min="2133" max="2133" width="5.109375" style="1" customWidth="1"/>
    <col min="2134" max="2134" width="8.88671875" style="1"/>
    <col min="2135" max="2135" width="26" style="1" bestFit="1" customWidth="1"/>
    <col min="2136" max="2136" width="71" style="1" bestFit="1" customWidth="1"/>
    <col min="2137" max="2137" width="17.5546875" style="1" bestFit="1" customWidth="1"/>
    <col min="2138" max="2138" width="27.33203125" style="1" bestFit="1" customWidth="1"/>
    <col min="2139" max="2139" width="17.33203125" style="1" bestFit="1" customWidth="1"/>
    <col min="2140" max="2141" width="8.88671875" style="1"/>
    <col min="2142" max="2142" width="5.6640625" style="1" bestFit="1" customWidth="1"/>
    <col min="2143" max="2143" width="15.44140625" style="1" bestFit="1" customWidth="1"/>
    <col min="2144" max="2144" width="22" style="1" bestFit="1" customWidth="1"/>
    <col min="2145" max="2145" width="71" style="1" bestFit="1" customWidth="1"/>
    <col min="2146" max="2146" width="18.5546875" style="1" bestFit="1" customWidth="1"/>
    <col min="2147" max="2147" width="27.33203125" style="1" bestFit="1" customWidth="1"/>
    <col min="2148" max="2148" width="16.44140625" style="1" bestFit="1" customWidth="1"/>
    <col min="2149" max="2306" width="8.88671875" style="1"/>
    <col min="2307" max="2307" width="18.88671875" style="1" bestFit="1" customWidth="1"/>
    <col min="2308" max="2308" width="14.88671875" style="1" customWidth="1"/>
    <col min="2309" max="2309" width="33.44140625" style="1" customWidth="1"/>
    <col min="2310" max="2310" width="31.109375" style="1" customWidth="1"/>
    <col min="2311" max="2311" width="22.5546875" style="1" bestFit="1" customWidth="1"/>
    <col min="2312" max="2312" width="20.88671875" style="1" bestFit="1" customWidth="1"/>
    <col min="2313" max="2314" width="19.33203125" style="1" bestFit="1" customWidth="1"/>
    <col min="2315" max="2315" width="20.88671875" style="1" bestFit="1" customWidth="1"/>
    <col min="2316" max="2316" width="16.33203125" style="1" bestFit="1" customWidth="1"/>
    <col min="2317" max="2318" width="19.109375" style="1" bestFit="1" customWidth="1"/>
    <col min="2319" max="2319" width="13.44140625" style="1" bestFit="1" customWidth="1"/>
    <col min="2320" max="2320" width="15.33203125" style="1" bestFit="1" customWidth="1"/>
    <col min="2321" max="2321" width="24.33203125" style="1" bestFit="1" customWidth="1"/>
    <col min="2322" max="2322" width="12.88671875" style="1" bestFit="1" customWidth="1"/>
    <col min="2323" max="2324" width="12.5546875" style="1" bestFit="1" customWidth="1"/>
    <col min="2325" max="2325" width="10.5546875" style="1" bestFit="1" customWidth="1"/>
    <col min="2326" max="2326" width="12.44140625" style="1" bestFit="1" customWidth="1"/>
    <col min="2327" max="2327" width="11.5546875" style="1" bestFit="1" customWidth="1"/>
    <col min="2328" max="2328" width="12" style="1" bestFit="1" customWidth="1"/>
    <col min="2329" max="2329" width="10.5546875" style="1" bestFit="1" customWidth="1"/>
    <col min="2330" max="2331" width="8.88671875" style="1"/>
    <col min="2332" max="2332" width="10.5546875" style="1" bestFit="1" customWidth="1"/>
    <col min="2333" max="2333" width="35" style="1" bestFit="1" customWidth="1"/>
    <col min="2334" max="2334" width="6.44140625" style="1" bestFit="1" customWidth="1"/>
    <col min="2335" max="2335" width="2.88671875" style="1" bestFit="1" customWidth="1"/>
    <col min="2336" max="2336" width="6.44140625" style="1" bestFit="1" customWidth="1"/>
    <col min="2337" max="2337" width="13.44140625" style="1" bestFit="1" customWidth="1"/>
    <col min="2338" max="2338" width="12.88671875" style="1" bestFit="1" customWidth="1"/>
    <col min="2339" max="2339" width="15.109375" style="1" bestFit="1" customWidth="1"/>
    <col min="2340" max="2340" width="12.88671875" style="1" bestFit="1" customWidth="1"/>
    <col min="2341" max="2341" width="13.88671875" style="1" customWidth="1"/>
    <col min="2342" max="2342" width="14.33203125" style="1" bestFit="1" customWidth="1"/>
    <col min="2343" max="2345" width="8.88671875" style="1"/>
    <col min="2346" max="2346" width="15.5546875" style="1" bestFit="1" customWidth="1"/>
    <col min="2347" max="2349" width="8.88671875" style="1"/>
    <col min="2350" max="2350" width="13.109375" style="1" bestFit="1" customWidth="1"/>
    <col min="2351" max="2351" width="12.88671875" style="1" bestFit="1" customWidth="1"/>
    <col min="2352" max="2352" width="14" style="1" bestFit="1" customWidth="1"/>
    <col min="2353" max="2353" width="12.33203125" style="1" bestFit="1" customWidth="1"/>
    <col min="2354" max="2354" width="13.44140625" style="1" bestFit="1" customWidth="1"/>
    <col min="2355" max="2355" width="15.109375" style="1" bestFit="1" customWidth="1"/>
    <col min="2356" max="2359" width="8.88671875" style="1"/>
    <col min="2360" max="2360" width="11.5546875" style="1" customWidth="1"/>
    <col min="2361" max="2361" width="12.109375" style="1" bestFit="1" customWidth="1"/>
    <col min="2362" max="2362" width="14" style="1" bestFit="1" customWidth="1"/>
    <col min="2363" max="2363" width="19.109375" style="1" bestFit="1" customWidth="1"/>
    <col min="2364" max="2364" width="23.44140625" style="1" bestFit="1" customWidth="1"/>
    <col min="2365" max="2365" width="25.88671875" style="1" bestFit="1" customWidth="1"/>
    <col min="2366" max="2366" width="18.33203125" style="1" bestFit="1" customWidth="1"/>
    <col min="2367" max="2367" width="17.109375" style="1" bestFit="1" customWidth="1"/>
    <col min="2368" max="2368" width="13.33203125" style="1" bestFit="1" customWidth="1"/>
    <col min="2369" max="2369" width="8.88671875" style="1"/>
    <col min="2370" max="2370" width="18.109375" style="1" bestFit="1" customWidth="1"/>
    <col min="2371" max="2371" width="23.44140625" style="1" bestFit="1" customWidth="1"/>
    <col min="2372" max="2375" width="8.88671875" style="1"/>
    <col min="2376" max="2376" width="14.88671875" style="1" bestFit="1" customWidth="1"/>
    <col min="2377" max="2377" width="18.109375" style="1" bestFit="1" customWidth="1"/>
    <col min="2378" max="2378" width="23.44140625" style="1" bestFit="1" customWidth="1"/>
    <col min="2379" max="2382" width="8.88671875" style="1"/>
    <col min="2383" max="2383" width="11" style="1" bestFit="1" customWidth="1"/>
    <col min="2384" max="2384" width="15.44140625" style="1" bestFit="1" customWidth="1"/>
    <col min="2385" max="2385" width="23.44140625" style="1" bestFit="1" customWidth="1"/>
    <col min="2386" max="2388" width="8.88671875" style="1"/>
    <col min="2389" max="2389" width="5.109375" style="1" customWidth="1"/>
    <col min="2390" max="2390" width="8.88671875" style="1"/>
    <col min="2391" max="2391" width="26" style="1" bestFit="1" customWidth="1"/>
    <col min="2392" max="2392" width="71" style="1" bestFit="1" customWidth="1"/>
    <col min="2393" max="2393" width="17.5546875" style="1" bestFit="1" customWidth="1"/>
    <col min="2394" max="2394" width="27.33203125" style="1" bestFit="1" customWidth="1"/>
    <col min="2395" max="2395" width="17.33203125" style="1" bestFit="1" customWidth="1"/>
    <col min="2396" max="2397" width="8.88671875" style="1"/>
    <col min="2398" max="2398" width="5.6640625" style="1" bestFit="1" customWidth="1"/>
    <col min="2399" max="2399" width="15.44140625" style="1" bestFit="1" customWidth="1"/>
    <col min="2400" max="2400" width="22" style="1" bestFit="1" customWidth="1"/>
    <col min="2401" max="2401" width="71" style="1" bestFit="1" customWidth="1"/>
    <col min="2402" max="2402" width="18.5546875" style="1" bestFit="1" customWidth="1"/>
    <col min="2403" max="2403" width="27.33203125" style="1" bestFit="1" customWidth="1"/>
    <col min="2404" max="2404" width="16.44140625" style="1" bestFit="1" customWidth="1"/>
    <col min="2405" max="2562" width="8.88671875" style="1"/>
    <col min="2563" max="2563" width="18.88671875" style="1" bestFit="1" customWidth="1"/>
    <col min="2564" max="2564" width="14.88671875" style="1" customWidth="1"/>
    <col min="2565" max="2565" width="33.44140625" style="1" customWidth="1"/>
    <col min="2566" max="2566" width="31.109375" style="1" customWidth="1"/>
    <col min="2567" max="2567" width="22.5546875" style="1" bestFit="1" customWidth="1"/>
    <col min="2568" max="2568" width="20.88671875" style="1" bestFit="1" customWidth="1"/>
    <col min="2569" max="2570" width="19.33203125" style="1" bestFit="1" customWidth="1"/>
    <col min="2571" max="2571" width="20.88671875" style="1" bestFit="1" customWidth="1"/>
    <col min="2572" max="2572" width="16.33203125" style="1" bestFit="1" customWidth="1"/>
    <col min="2573" max="2574" width="19.109375" style="1" bestFit="1" customWidth="1"/>
    <col min="2575" max="2575" width="13.44140625" style="1" bestFit="1" customWidth="1"/>
    <col min="2576" max="2576" width="15.33203125" style="1" bestFit="1" customWidth="1"/>
    <col min="2577" max="2577" width="24.33203125" style="1" bestFit="1" customWidth="1"/>
    <col min="2578" max="2578" width="12.88671875" style="1" bestFit="1" customWidth="1"/>
    <col min="2579" max="2580" width="12.5546875" style="1" bestFit="1" customWidth="1"/>
    <col min="2581" max="2581" width="10.5546875" style="1" bestFit="1" customWidth="1"/>
    <col min="2582" max="2582" width="12.44140625" style="1" bestFit="1" customWidth="1"/>
    <col min="2583" max="2583" width="11.5546875" style="1" bestFit="1" customWidth="1"/>
    <col min="2584" max="2584" width="12" style="1" bestFit="1" customWidth="1"/>
    <col min="2585" max="2585" width="10.5546875" style="1" bestFit="1" customWidth="1"/>
    <col min="2586" max="2587" width="8.88671875" style="1"/>
    <col min="2588" max="2588" width="10.5546875" style="1" bestFit="1" customWidth="1"/>
    <col min="2589" max="2589" width="35" style="1" bestFit="1" customWidth="1"/>
    <col min="2590" max="2590" width="6.44140625" style="1" bestFit="1" customWidth="1"/>
    <col min="2591" max="2591" width="2.88671875" style="1" bestFit="1" customWidth="1"/>
    <col min="2592" max="2592" width="6.44140625" style="1" bestFit="1" customWidth="1"/>
    <col min="2593" max="2593" width="13.44140625" style="1" bestFit="1" customWidth="1"/>
    <col min="2594" max="2594" width="12.88671875" style="1" bestFit="1" customWidth="1"/>
    <col min="2595" max="2595" width="15.109375" style="1" bestFit="1" customWidth="1"/>
    <col min="2596" max="2596" width="12.88671875" style="1" bestFit="1" customWidth="1"/>
    <col min="2597" max="2597" width="13.88671875" style="1" customWidth="1"/>
    <col min="2598" max="2598" width="14.33203125" style="1" bestFit="1" customWidth="1"/>
    <col min="2599" max="2601" width="8.88671875" style="1"/>
    <col min="2602" max="2602" width="15.5546875" style="1" bestFit="1" customWidth="1"/>
    <col min="2603" max="2605" width="8.88671875" style="1"/>
    <col min="2606" max="2606" width="13.109375" style="1" bestFit="1" customWidth="1"/>
    <col min="2607" max="2607" width="12.88671875" style="1" bestFit="1" customWidth="1"/>
    <col min="2608" max="2608" width="14" style="1" bestFit="1" customWidth="1"/>
    <col min="2609" max="2609" width="12.33203125" style="1" bestFit="1" customWidth="1"/>
    <col min="2610" max="2610" width="13.44140625" style="1" bestFit="1" customWidth="1"/>
    <col min="2611" max="2611" width="15.109375" style="1" bestFit="1" customWidth="1"/>
    <col min="2612" max="2615" width="8.88671875" style="1"/>
    <col min="2616" max="2616" width="11.5546875" style="1" customWidth="1"/>
    <col min="2617" max="2617" width="12.109375" style="1" bestFit="1" customWidth="1"/>
    <col min="2618" max="2618" width="14" style="1" bestFit="1" customWidth="1"/>
    <col min="2619" max="2619" width="19.109375" style="1" bestFit="1" customWidth="1"/>
    <col min="2620" max="2620" width="23.44140625" style="1" bestFit="1" customWidth="1"/>
    <col min="2621" max="2621" width="25.88671875" style="1" bestFit="1" customWidth="1"/>
    <col min="2622" max="2622" width="18.33203125" style="1" bestFit="1" customWidth="1"/>
    <col min="2623" max="2623" width="17.109375" style="1" bestFit="1" customWidth="1"/>
    <col min="2624" max="2624" width="13.33203125" style="1" bestFit="1" customWidth="1"/>
    <col min="2625" max="2625" width="8.88671875" style="1"/>
    <col min="2626" max="2626" width="18.109375" style="1" bestFit="1" customWidth="1"/>
    <col min="2627" max="2627" width="23.44140625" style="1" bestFit="1" customWidth="1"/>
    <col min="2628" max="2631" width="8.88671875" style="1"/>
    <col min="2632" max="2632" width="14.88671875" style="1" bestFit="1" customWidth="1"/>
    <col min="2633" max="2633" width="18.109375" style="1" bestFit="1" customWidth="1"/>
    <col min="2634" max="2634" width="23.44140625" style="1" bestFit="1" customWidth="1"/>
    <col min="2635" max="2638" width="8.88671875" style="1"/>
    <col min="2639" max="2639" width="11" style="1" bestFit="1" customWidth="1"/>
    <col min="2640" max="2640" width="15.44140625" style="1" bestFit="1" customWidth="1"/>
    <col min="2641" max="2641" width="23.44140625" style="1" bestFit="1" customWidth="1"/>
    <col min="2642" max="2644" width="8.88671875" style="1"/>
    <col min="2645" max="2645" width="5.109375" style="1" customWidth="1"/>
    <col min="2646" max="2646" width="8.88671875" style="1"/>
    <col min="2647" max="2647" width="26" style="1" bestFit="1" customWidth="1"/>
    <col min="2648" max="2648" width="71" style="1" bestFit="1" customWidth="1"/>
    <col min="2649" max="2649" width="17.5546875" style="1" bestFit="1" customWidth="1"/>
    <col min="2650" max="2650" width="27.33203125" style="1" bestFit="1" customWidth="1"/>
    <col min="2651" max="2651" width="17.33203125" style="1" bestFit="1" customWidth="1"/>
    <col min="2652" max="2653" width="8.88671875" style="1"/>
    <col min="2654" max="2654" width="5.6640625" style="1" bestFit="1" customWidth="1"/>
    <col min="2655" max="2655" width="15.44140625" style="1" bestFit="1" customWidth="1"/>
    <col min="2656" max="2656" width="22" style="1" bestFit="1" customWidth="1"/>
    <col min="2657" max="2657" width="71" style="1" bestFit="1" customWidth="1"/>
    <col min="2658" max="2658" width="18.5546875" style="1" bestFit="1" customWidth="1"/>
    <col min="2659" max="2659" width="27.33203125" style="1" bestFit="1" customWidth="1"/>
    <col min="2660" max="2660" width="16.44140625" style="1" bestFit="1" customWidth="1"/>
    <col min="2661" max="2818" width="8.88671875" style="1"/>
    <col min="2819" max="2819" width="18.88671875" style="1" bestFit="1" customWidth="1"/>
    <col min="2820" max="2820" width="14.88671875" style="1" customWidth="1"/>
    <col min="2821" max="2821" width="33.44140625" style="1" customWidth="1"/>
    <col min="2822" max="2822" width="31.109375" style="1" customWidth="1"/>
    <col min="2823" max="2823" width="22.5546875" style="1" bestFit="1" customWidth="1"/>
    <col min="2824" max="2824" width="20.88671875" style="1" bestFit="1" customWidth="1"/>
    <col min="2825" max="2826" width="19.33203125" style="1" bestFit="1" customWidth="1"/>
    <col min="2827" max="2827" width="20.88671875" style="1" bestFit="1" customWidth="1"/>
    <col min="2828" max="2828" width="16.33203125" style="1" bestFit="1" customWidth="1"/>
    <col min="2829" max="2830" width="19.109375" style="1" bestFit="1" customWidth="1"/>
    <col min="2831" max="2831" width="13.44140625" style="1" bestFit="1" customWidth="1"/>
    <col min="2832" max="2832" width="15.33203125" style="1" bestFit="1" customWidth="1"/>
    <col min="2833" max="2833" width="24.33203125" style="1" bestFit="1" customWidth="1"/>
    <col min="2834" max="2834" width="12.88671875" style="1" bestFit="1" customWidth="1"/>
    <col min="2835" max="2836" width="12.5546875" style="1" bestFit="1" customWidth="1"/>
    <col min="2837" max="2837" width="10.5546875" style="1" bestFit="1" customWidth="1"/>
    <col min="2838" max="2838" width="12.44140625" style="1" bestFit="1" customWidth="1"/>
    <col min="2839" max="2839" width="11.5546875" style="1" bestFit="1" customWidth="1"/>
    <col min="2840" max="2840" width="12" style="1" bestFit="1" customWidth="1"/>
    <col min="2841" max="2841" width="10.5546875" style="1" bestFit="1" customWidth="1"/>
    <col min="2842" max="2843" width="8.88671875" style="1"/>
    <col min="2844" max="2844" width="10.5546875" style="1" bestFit="1" customWidth="1"/>
    <col min="2845" max="2845" width="35" style="1" bestFit="1" customWidth="1"/>
    <col min="2846" max="2846" width="6.44140625" style="1" bestFit="1" customWidth="1"/>
    <col min="2847" max="2847" width="2.88671875" style="1" bestFit="1" customWidth="1"/>
    <col min="2848" max="2848" width="6.44140625" style="1" bestFit="1" customWidth="1"/>
    <col min="2849" max="2849" width="13.44140625" style="1" bestFit="1" customWidth="1"/>
    <col min="2850" max="2850" width="12.88671875" style="1" bestFit="1" customWidth="1"/>
    <col min="2851" max="2851" width="15.109375" style="1" bestFit="1" customWidth="1"/>
    <col min="2852" max="2852" width="12.88671875" style="1" bestFit="1" customWidth="1"/>
    <col min="2853" max="2853" width="13.88671875" style="1" customWidth="1"/>
    <col min="2854" max="2854" width="14.33203125" style="1" bestFit="1" customWidth="1"/>
    <col min="2855" max="2857" width="8.88671875" style="1"/>
    <col min="2858" max="2858" width="15.5546875" style="1" bestFit="1" customWidth="1"/>
    <col min="2859" max="2861" width="8.88671875" style="1"/>
    <col min="2862" max="2862" width="13.109375" style="1" bestFit="1" customWidth="1"/>
    <col min="2863" max="2863" width="12.88671875" style="1" bestFit="1" customWidth="1"/>
    <col min="2864" max="2864" width="14" style="1" bestFit="1" customWidth="1"/>
    <col min="2865" max="2865" width="12.33203125" style="1" bestFit="1" customWidth="1"/>
    <col min="2866" max="2866" width="13.44140625" style="1" bestFit="1" customWidth="1"/>
    <col min="2867" max="2867" width="15.109375" style="1" bestFit="1" customWidth="1"/>
    <col min="2868" max="2871" width="8.88671875" style="1"/>
    <col min="2872" max="2872" width="11.5546875" style="1" customWidth="1"/>
    <col min="2873" max="2873" width="12.109375" style="1" bestFit="1" customWidth="1"/>
    <col min="2874" max="2874" width="14" style="1" bestFit="1" customWidth="1"/>
    <col min="2875" max="2875" width="19.109375" style="1" bestFit="1" customWidth="1"/>
    <col min="2876" max="2876" width="23.44140625" style="1" bestFit="1" customWidth="1"/>
    <col min="2877" max="2877" width="25.88671875" style="1" bestFit="1" customWidth="1"/>
    <col min="2878" max="2878" width="18.33203125" style="1" bestFit="1" customWidth="1"/>
    <col min="2879" max="2879" width="17.109375" style="1" bestFit="1" customWidth="1"/>
    <col min="2880" max="2880" width="13.33203125" style="1" bestFit="1" customWidth="1"/>
    <col min="2881" max="2881" width="8.88671875" style="1"/>
    <col min="2882" max="2882" width="18.109375" style="1" bestFit="1" customWidth="1"/>
    <col min="2883" max="2883" width="23.44140625" style="1" bestFit="1" customWidth="1"/>
    <col min="2884" max="2887" width="8.88671875" style="1"/>
    <col min="2888" max="2888" width="14.88671875" style="1" bestFit="1" customWidth="1"/>
    <col min="2889" max="2889" width="18.109375" style="1" bestFit="1" customWidth="1"/>
    <col min="2890" max="2890" width="23.44140625" style="1" bestFit="1" customWidth="1"/>
    <col min="2891" max="2894" width="8.88671875" style="1"/>
    <col min="2895" max="2895" width="11" style="1" bestFit="1" customWidth="1"/>
    <col min="2896" max="2896" width="15.44140625" style="1" bestFit="1" customWidth="1"/>
    <col min="2897" max="2897" width="23.44140625" style="1" bestFit="1" customWidth="1"/>
    <col min="2898" max="2900" width="8.88671875" style="1"/>
    <col min="2901" max="2901" width="5.109375" style="1" customWidth="1"/>
    <col min="2902" max="2902" width="8.88671875" style="1"/>
    <col min="2903" max="2903" width="26" style="1" bestFit="1" customWidth="1"/>
    <col min="2904" max="2904" width="71" style="1" bestFit="1" customWidth="1"/>
    <col min="2905" max="2905" width="17.5546875" style="1" bestFit="1" customWidth="1"/>
    <col min="2906" max="2906" width="27.33203125" style="1" bestFit="1" customWidth="1"/>
    <col min="2907" max="2907" width="17.33203125" style="1" bestFit="1" customWidth="1"/>
    <col min="2908" max="2909" width="8.88671875" style="1"/>
    <col min="2910" max="2910" width="5.6640625" style="1" bestFit="1" customWidth="1"/>
    <col min="2911" max="2911" width="15.44140625" style="1" bestFit="1" customWidth="1"/>
    <col min="2912" max="2912" width="22" style="1" bestFit="1" customWidth="1"/>
    <col min="2913" max="2913" width="71" style="1" bestFit="1" customWidth="1"/>
    <col min="2914" max="2914" width="18.5546875" style="1" bestFit="1" customWidth="1"/>
    <col min="2915" max="2915" width="27.33203125" style="1" bestFit="1" customWidth="1"/>
    <col min="2916" max="2916" width="16.44140625" style="1" bestFit="1" customWidth="1"/>
    <col min="2917" max="3074" width="8.88671875" style="1"/>
    <col min="3075" max="3075" width="18.88671875" style="1" bestFit="1" customWidth="1"/>
    <col min="3076" max="3076" width="14.88671875" style="1" customWidth="1"/>
    <col min="3077" max="3077" width="33.44140625" style="1" customWidth="1"/>
    <col min="3078" max="3078" width="31.109375" style="1" customWidth="1"/>
    <col min="3079" max="3079" width="22.5546875" style="1" bestFit="1" customWidth="1"/>
    <col min="3080" max="3080" width="20.88671875" style="1" bestFit="1" customWidth="1"/>
    <col min="3081" max="3082" width="19.33203125" style="1" bestFit="1" customWidth="1"/>
    <col min="3083" max="3083" width="20.88671875" style="1" bestFit="1" customWidth="1"/>
    <col min="3084" max="3084" width="16.33203125" style="1" bestFit="1" customWidth="1"/>
    <col min="3085" max="3086" width="19.109375" style="1" bestFit="1" customWidth="1"/>
    <col min="3087" max="3087" width="13.44140625" style="1" bestFit="1" customWidth="1"/>
    <col min="3088" max="3088" width="15.33203125" style="1" bestFit="1" customWidth="1"/>
    <col min="3089" max="3089" width="24.33203125" style="1" bestFit="1" customWidth="1"/>
    <col min="3090" max="3090" width="12.88671875" style="1" bestFit="1" customWidth="1"/>
    <col min="3091" max="3092" width="12.5546875" style="1" bestFit="1" customWidth="1"/>
    <col min="3093" max="3093" width="10.5546875" style="1" bestFit="1" customWidth="1"/>
    <col min="3094" max="3094" width="12.44140625" style="1" bestFit="1" customWidth="1"/>
    <col min="3095" max="3095" width="11.5546875" style="1" bestFit="1" customWidth="1"/>
    <col min="3096" max="3096" width="12" style="1" bestFit="1" customWidth="1"/>
    <col min="3097" max="3097" width="10.5546875" style="1" bestFit="1" customWidth="1"/>
    <col min="3098" max="3099" width="8.88671875" style="1"/>
    <col min="3100" max="3100" width="10.5546875" style="1" bestFit="1" customWidth="1"/>
    <col min="3101" max="3101" width="35" style="1" bestFit="1" customWidth="1"/>
    <col min="3102" max="3102" width="6.44140625" style="1" bestFit="1" customWidth="1"/>
    <col min="3103" max="3103" width="2.88671875" style="1" bestFit="1" customWidth="1"/>
    <col min="3104" max="3104" width="6.44140625" style="1" bestFit="1" customWidth="1"/>
    <col min="3105" max="3105" width="13.44140625" style="1" bestFit="1" customWidth="1"/>
    <col min="3106" max="3106" width="12.88671875" style="1" bestFit="1" customWidth="1"/>
    <col min="3107" max="3107" width="15.109375" style="1" bestFit="1" customWidth="1"/>
    <col min="3108" max="3108" width="12.88671875" style="1" bestFit="1" customWidth="1"/>
    <col min="3109" max="3109" width="13.88671875" style="1" customWidth="1"/>
    <col min="3110" max="3110" width="14.33203125" style="1" bestFit="1" customWidth="1"/>
    <col min="3111" max="3113" width="8.88671875" style="1"/>
    <col min="3114" max="3114" width="15.5546875" style="1" bestFit="1" customWidth="1"/>
    <col min="3115" max="3117" width="8.88671875" style="1"/>
    <col min="3118" max="3118" width="13.109375" style="1" bestFit="1" customWidth="1"/>
    <col min="3119" max="3119" width="12.88671875" style="1" bestFit="1" customWidth="1"/>
    <col min="3120" max="3120" width="14" style="1" bestFit="1" customWidth="1"/>
    <col min="3121" max="3121" width="12.33203125" style="1" bestFit="1" customWidth="1"/>
    <col min="3122" max="3122" width="13.44140625" style="1" bestFit="1" customWidth="1"/>
    <col min="3123" max="3123" width="15.109375" style="1" bestFit="1" customWidth="1"/>
    <col min="3124" max="3127" width="8.88671875" style="1"/>
    <col min="3128" max="3128" width="11.5546875" style="1" customWidth="1"/>
    <col min="3129" max="3129" width="12.109375" style="1" bestFit="1" customWidth="1"/>
    <col min="3130" max="3130" width="14" style="1" bestFit="1" customWidth="1"/>
    <col min="3131" max="3131" width="19.109375" style="1" bestFit="1" customWidth="1"/>
    <col min="3132" max="3132" width="23.44140625" style="1" bestFit="1" customWidth="1"/>
    <col min="3133" max="3133" width="25.88671875" style="1" bestFit="1" customWidth="1"/>
    <col min="3134" max="3134" width="18.33203125" style="1" bestFit="1" customWidth="1"/>
    <col min="3135" max="3135" width="17.109375" style="1" bestFit="1" customWidth="1"/>
    <col min="3136" max="3136" width="13.33203125" style="1" bestFit="1" customWidth="1"/>
    <col min="3137" max="3137" width="8.88671875" style="1"/>
    <col min="3138" max="3138" width="18.109375" style="1" bestFit="1" customWidth="1"/>
    <col min="3139" max="3139" width="23.44140625" style="1" bestFit="1" customWidth="1"/>
    <col min="3140" max="3143" width="8.88671875" style="1"/>
    <col min="3144" max="3144" width="14.88671875" style="1" bestFit="1" customWidth="1"/>
    <col min="3145" max="3145" width="18.109375" style="1" bestFit="1" customWidth="1"/>
    <col min="3146" max="3146" width="23.44140625" style="1" bestFit="1" customWidth="1"/>
    <col min="3147" max="3150" width="8.88671875" style="1"/>
    <col min="3151" max="3151" width="11" style="1" bestFit="1" customWidth="1"/>
    <col min="3152" max="3152" width="15.44140625" style="1" bestFit="1" customWidth="1"/>
    <col min="3153" max="3153" width="23.44140625" style="1" bestFit="1" customWidth="1"/>
    <col min="3154" max="3156" width="8.88671875" style="1"/>
    <col min="3157" max="3157" width="5.109375" style="1" customWidth="1"/>
    <col min="3158" max="3158" width="8.88671875" style="1"/>
    <col min="3159" max="3159" width="26" style="1" bestFit="1" customWidth="1"/>
    <col min="3160" max="3160" width="71" style="1" bestFit="1" customWidth="1"/>
    <col min="3161" max="3161" width="17.5546875" style="1" bestFit="1" customWidth="1"/>
    <col min="3162" max="3162" width="27.33203125" style="1" bestFit="1" customWidth="1"/>
    <col min="3163" max="3163" width="17.33203125" style="1" bestFit="1" customWidth="1"/>
    <col min="3164" max="3165" width="8.88671875" style="1"/>
    <col min="3166" max="3166" width="5.6640625" style="1" bestFit="1" customWidth="1"/>
    <col min="3167" max="3167" width="15.44140625" style="1" bestFit="1" customWidth="1"/>
    <col min="3168" max="3168" width="22" style="1" bestFit="1" customWidth="1"/>
    <col min="3169" max="3169" width="71" style="1" bestFit="1" customWidth="1"/>
    <col min="3170" max="3170" width="18.5546875" style="1" bestFit="1" customWidth="1"/>
    <col min="3171" max="3171" width="27.33203125" style="1" bestFit="1" customWidth="1"/>
    <col min="3172" max="3172" width="16.44140625" style="1" bestFit="1" customWidth="1"/>
    <col min="3173" max="3330" width="8.88671875" style="1"/>
    <col min="3331" max="3331" width="18.88671875" style="1" bestFit="1" customWidth="1"/>
    <col min="3332" max="3332" width="14.88671875" style="1" customWidth="1"/>
    <col min="3333" max="3333" width="33.44140625" style="1" customWidth="1"/>
    <col min="3334" max="3334" width="31.109375" style="1" customWidth="1"/>
    <col min="3335" max="3335" width="22.5546875" style="1" bestFit="1" customWidth="1"/>
    <col min="3336" max="3336" width="20.88671875" style="1" bestFit="1" customWidth="1"/>
    <col min="3337" max="3338" width="19.33203125" style="1" bestFit="1" customWidth="1"/>
    <col min="3339" max="3339" width="20.88671875" style="1" bestFit="1" customWidth="1"/>
    <col min="3340" max="3340" width="16.33203125" style="1" bestFit="1" customWidth="1"/>
    <col min="3341" max="3342" width="19.109375" style="1" bestFit="1" customWidth="1"/>
    <col min="3343" max="3343" width="13.44140625" style="1" bestFit="1" customWidth="1"/>
    <col min="3344" max="3344" width="15.33203125" style="1" bestFit="1" customWidth="1"/>
    <col min="3345" max="3345" width="24.33203125" style="1" bestFit="1" customWidth="1"/>
    <col min="3346" max="3346" width="12.88671875" style="1" bestFit="1" customWidth="1"/>
    <col min="3347" max="3348" width="12.5546875" style="1" bestFit="1" customWidth="1"/>
    <col min="3349" max="3349" width="10.5546875" style="1" bestFit="1" customWidth="1"/>
    <col min="3350" max="3350" width="12.44140625" style="1" bestFit="1" customWidth="1"/>
    <col min="3351" max="3351" width="11.5546875" style="1" bestFit="1" customWidth="1"/>
    <col min="3352" max="3352" width="12" style="1" bestFit="1" customWidth="1"/>
    <col min="3353" max="3353" width="10.5546875" style="1" bestFit="1" customWidth="1"/>
    <col min="3354" max="3355" width="8.88671875" style="1"/>
    <col min="3356" max="3356" width="10.5546875" style="1" bestFit="1" customWidth="1"/>
    <col min="3357" max="3357" width="35" style="1" bestFit="1" customWidth="1"/>
    <col min="3358" max="3358" width="6.44140625" style="1" bestFit="1" customWidth="1"/>
    <col min="3359" max="3359" width="2.88671875" style="1" bestFit="1" customWidth="1"/>
    <col min="3360" max="3360" width="6.44140625" style="1" bestFit="1" customWidth="1"/>
    <col min="3361" max="3361" width="13.44140625" style="1" bestFit="1" customWidth="1"/>
    <col min="3362" max="3362" width="12.88671875" style="1" bestFit="1" customWidth="1"/>
    <col min="3363" max="3363" width="15.109375" style="1" bestFit="1" customWidth="1"/>
    <col min="3364" max="3364" width="12.88671875" style="1" bestFit="1" customWidth="1"/>
    <col min="3365" max="3365" width="13.88671875" style="1" customWidth="1"/>
    <col min="3366" max="3366" width="14.33203125" style="1" bestFit="1" customWidth="1"/>
    <col min="3367" max="3369" width="8.88671875" style="1"/>
    <col min="3370" max="3370" width="15.5546875" style="1" bestFit="1" customWidth="1"/>
    <col min="3371" max="3373" width="8.88671875" style="1"/>
    <col min="3374" max="3374" width="13.109375" style="1" bestFit="1" customWidth="1"/>
    <col min="3375" max="3375" width="12.88671875" style="1" bestFit="1" customWidth="1"/>
    <col min="3376" max="3376" width="14" style="1" bestFit="1" customWidth="1"/>
    <col min="3377" max="3377" width="12.33203125" style="1" bestFit="1" customWidth="1"/>
    <col min="3378" max="3378" width="13.44140625" style="1" bestFit="1" customWidth="1"/>
    <col min="3379" max="3379" width="15.109375" style="1" bestFit="1" customWidth="1"/>
    <col min="3380" max="3383" width="8.88671875" style="1"/>
    <col min="3384" max="3384" width="11.5546875" style="1" customWidth="1"/>
    <col min="3385" max="3385" width="12.109375" style="1" bestFit="1" customWidth="1"/>
    <col min="3386" max="3386" width="14" style="1" bestFit="1" customWidth="1"/>
    <col min="3387" max="3387" width="19.109375" style="1" bestFit="1" customWidth="1"/>
    <col min="3388" max="3388" width="23.44140625" style="1" bestFit="1" customWidth="1"/>
    <col min="3389" max="3389" width="25.88671875" style="1" bestFit="1" customWidth="1"/>
    <col min="3390" max="3390" width="18.33203125" style="1" bestFit="1" customWidth="1"/>
    <col min="3391" max="3391" width="17.109375" style="1" bestFit="1" customWidth="1"/>
    <col min="3392" max="3392" width="13.33203125" style="1" bestFit="1" customWidth="1"/>
    <col min="3393" max="3393" width="8.88671875" style="1"/>
    <col min="3394" max="3394" width="18.109375" style="1" bestFit="1" customWidth="1"/>
    <col min="3395" max="3395" width="23.44140625" style="1" bestFit="1" customWidth="1"/>
    <col min="3396" max="3399" width="8.88671875" style="1"/>
    <col min="3400" max="3400" width="14.88671875" style="1" bestFit="1" customWidth="1"/>
    <col min="3401" max="3401" width="18.109375" style="1" bestFit="1" customWidth="1"/>
    <col min="3402" max="3402" width="23.44140625" style="1" bestFit="1" customWidth="1"/>
    <col min="3403" max="3406" width="8.88671875" style="1"/>
    <col min="3407" max="3407" width="11" style="1" bestFit="1" customWidth="1"/>
    <col min="3408" max="3408" width="15.44140625" style="1" bestFit="1" customWidth="1"/>
    <col min="3409" max="3409" width="23.44140625" style="1" bestFit="1" customWidth="1"/>
    <col min="3410" max="3412" width="8.88671875" style="1"/>
    <col min="3413" max="3413" width="5.109375" style="1" customWidth="1"/>
    <col min="3414" max="3414" width="8.88671875" style="1"/>
    <col min="3415" max="3415" width="26" style="1" bestFit="1" customWidth="1"/>
    <col min="3416" max="3416" width="71" style="1" bestFit="1" customWidth="1"/>
    <col min="3417" max="3417" width="17.5546875" style="1" bestFit="1" customWidth="1"/>
    <col min="3418" max="3418" width="27.33203125" style="1" bestFit="1" customWidth="1"/>
    <col min="3419" max="3419" width="17.33203125" style="1" bestFit="1" customWidth="1"/>
    <col min="3420" max="3421" width="8.88671875" style="1"/>
    <col min="3422" max="3422" width="5.6640625" style="1" bestFit="1" customWidth="1"/>
    <col min="3423" max="3423" width="15.44140625" style="1" bestFit="1" customWidth="1"/>
    <col min="3424" max="3424" width="22" style="1" bestFit="1" customWidth="1"/>
    <col min="3425" max="3425" width="71" style="1" bestFit="1" customWidth="1"/>
    <col min="3426" max="3426" width="18.5546875" style="1" bestFit="1" customWidth="1"/>
    <col min="3427" max="3427" width="27.33203125" style="1" bestFit="1" customWidth="1"/>
    <col min="3428" max="3428" width="16.44140625" style="1" bestFit="1" customWidth="1"/>
    <col min="3429" max="3586" width="8.88671875" style="1"/>
    <col min="3587" max="3587" width="18.88671875" style="1" bestFit="1" customWidth="1"/>
    <col min="3588" max="3588" width="14.88671875" style="1" customWidth="1"/>
    <col min="3589" max="3589" width="33.44140625" style="1" customWidth="1"/>
    <col min="3590" max="3590" width="31.109375" style="1" customWidth="1"/>
    <col min="3591" max="3591" width="22.5546875" style="1" bestFit="1" customWidth="1"/>
    <col min="3592" max="3592" width="20.88671875" style="1" bestFit="1" customWidth="1"/>
    <col min="3593" max="3594" width="19.33203125" style="1" bestFit="1" customWidth="1"/>
    <col min="3595" max="3595" width="20.88671875" style="1" bestFit="1" customWidth="1"/>
    <col min="3596" max="3596" width="16.33203125" style="1" bestFit="1" customWidth="1"/>
    <col min="3597" max="3598" width="19.109375" style="1" bestFit="1" customWidth="1"/>
    <col min="3599" max="3599" width="13.44140625" style="1" bestFit="1" customWidth="1"/>
    <col min="3600" max="3600" width="15.33203125" style="1" bestFit="1" customWidth="1"/>
    <col min="3601" max="3601" width="24.33203125" style="1" bestFit="1" customWidth="1"/>
    <col min="3602" max="3602" width="12.88671875" style="1" bestFit="1" customWidth="1"/>
    <col min="3603" max="3604" width="12.5546875" style="1" bestFit="1" customWidth="1"/>
    <col min="3605" max="3605" width="10.5546875" style="1" bestFit="1" customWidth="1"/>
    <col min="3606" max="3606" width="12.44140625" style="1" bestFit="1" customWidth="1"/>
    <col min="3607" max="3607" width="11.5546875" style="1" bestFit="1" customWidth="1"/>
    <col min="3608" max="3608" width="12" style="1" bestFit="1" customWidth="1"/>
    <col min="3609" max="3609" width="10.5546875" style="1" bestFit="1" customWidth="1"/>
    <col min="3610" max="3611" width="8.88671875" style="1"/>
    <col min="3612" max="3612" width="10.5546875" style="1" bestFit="1" customWidth="1"/>
    <col min="3613" max="3613" width="35" style="1" bestFit="1" customWidth="1"/>
    <col min="3614" max="3614" width="6.44140625" style="1" bestFit="1" customWidth="1"/>
    <col min="3615" max="3615" width="2.88671875" style="1" bestFit="1" customWidth="1"/>
    <col min="3616" max="3616" width="6.44140625" style="1" bestFit="1" customWidth="1"/>
    <col min="3617" max="3617" width="13.44140625" style="1" bestFit="1" customWidth="1"/>
    <col min="3618" max="3618" width="12.88671875" style="1" bestFit="1" customWidth="1"/>
    <col min="3619" max="3619" width="15.109375" style="1" bestFit="1" customWidth="1"/>
    <col min="3620" max="3620" width="12.88671875" style="1" bestFit="1" customWidth="1"/>
    <col min="3621" max="3621" width="13.88671875" style="1" customWidth="1"/>
    <col min="3622" max="3622" width="14.33203125" style="1" bestFit="1" customWidth="1"/>
    <col min="3623" max="3625" width="8.88671875" style="1"/>
    <col min="3626" max="3626" width="15.5546875" style="1" bestFit="1" customWidth="1"/>
    <col min="3627" max="3629" width="8.88671875" style="1"/>
    <col min="3630" max="3630" width="13.109375" style="1" bestFit="1" customWidth="1"/>
    <col min="3631" max="3631" width="12.88671875" style="1" bestFit="1" customWidth="1"/>
    <col min="3632" max="3632" width="14" style="1" bestFit="1" customWidth="1"/>
    <col min="3633" max="3633" width="12.33203125" style="1" bestFit="1" customWidth="1"/>
    <col min="3634" max="3634" width="13.44140625" style="1" bestFit="1" customWidth="1"/>
    <col min="3635" max="3635" width="15.109375" style="1" bestFit="1" customWidth="1"/>
    <col min="3636" max="3639" width="8.88671875" style="1"/>
    <col min="3640" max="3640" width="11.5546875" style="1" customWidth="1"/>
    <col min="3641" max="3641" width="12.109375" style="1" bestFit="1" customWidth="1"/>
    <col min="3642" max="3642" width="14" style="1" bestFit="1" customWidth="1"/>
    <col min="3643" max="3643" width="19.109375" style="1" bestFit="1" customWidth="1"/>
    <col min="3644" max="3644" width="23.44140625" style="1" bestFit="1" customWidth="1"/>
    <col min="3645" max="3645" width="25.88671875" style="1" bestFit="1" customWidth="1"/>
    <col min="3646" max="3646" width="18.33203125" style="1" bestFit="1" customWidth="1"/>
    <col min="3647" max="3647" width="17.109375" style="1" bestFit="1" customWidth="1"/>
    <col min="3648" max="3648" width="13.33203125" style="1" bestFit="1" customWidth="1"/>
    <col min="3649" max="3649" width="8.88671875" style="1"/>
    <col min="3650" max="3650" width="18.109375" style="1" bestFit="1" customWidth="1"/>
    <col min="3651" max="3651" width="23.44140625" style="1" bestFit="1" customWidth="1"/>
    <col min="3652" max="3655" width="8.88671875" style="1"/>
    <col min="3656" max="3656" width="14.88671875" style="1" bestFit="1" customWidth="1"/>
    <col min="3657" max="3657" width="18.109375" style="1" bestFit="1" customWidth="1"/>
    <col min="3658" max="3658" width="23.44140625" style="1" bestFit="1" customWidth="1"/>
    <col min="3659" max="3662" width="8.88671875" style="1"/>
    <col min="3663" max="3663" width="11" style="1" bestFit="1" customWidth="1"/>
    <col min="3664" max="3664" width="15.44140625" style="1" bestFit="1" customWidth="1"/>
    <col min="3665" max="3665" width="23.44140625" style="1" bestFit="1" customWidth="1"/>
    <col min="3666" max="3668" width="8.88671875" style="1"/>
    <col min="3669" max="3669" width="5.109375" style="1" customWidth="1"/>
    <col min="3670" max="3670" width="8.88671875" style="1"/>
    <col min="3671" max="3671" width="26" style="1" bestFit="1" customWidth="1"/>
    <col min="3672" max="3672" width="71" style="1" bestFit="1" customWidth="1"/>
    <col min="3673" max="3673" width="17.5546875" style="1" bestFit="1" customWidth="1"/>
    <col min="3674" max="3674" width="27.33203125" style="1" bestFit="1" customWidth="1"/>
    <col min="3675" max="3675" width="17.33203125" style="1" bestFit="1" customWidth="1"/>
    <col min="3676" max="3677" width="8.88671875" style="1"/>
    <col min="3678" max="3678" width="5.6640625" style="1" bestFit="1" customWidth="1"/>
    <col min="3679" max="3679" width="15.44140625" style="1" bestFit="1" customWidth="1"/>
    <col min="3680" max="3680" width="22" style="1" bestFit="1" customWidth="1"/>
    <col min="3681" max="3681" width="71" style="1" bestFit="1" customWidth="1"/>
    <col min="3682" max="3682" width="18.5546875" style="1" bestFit="1" customWidth="1"/>
    <col min="3683" max="3683" width="27.33203125" style="1" bestFit="1" customWidth="1"/>
    <col min="3684" max="3684" width="16.44140625" style="1" bestFit="1" customWidth="1"/>
    <col min="3685" max="3842" width="8.88671875" style="1"/>
    <col min="3843" max="3843" width="18.88671875" style="1" bestFit="1" customWidth="1"/>
    <col min="3844" max="3844" width="14.88671875" style="1" customWidth="1"/>
    <col min="3845" max="3845" width="33.44140625" style="1" customWidth="1"/>
    <col min="3846" max="3846" width="31.109375" style="1" customWidth="1"/>
    <col min="3847" max="3847" width="22.5546875" style="1" bestFit="1" customWidth="1"/>
    <col min="3848" max="3848" width="20.88671875" style="1" bestFit="1" customWidth="1"/>
    <col min="3849" max="3850" width="19.33203125" style="1" bestFit="1" customWidth="1"/>
    <col min="3851" max="3851" width="20.88671875" style="1" bestFit="1" customWidth="1"/>
    <col min="3852" max="3852" width="16.33203125" style="1" bestFit="1" customWidth="1"/>
    <col min="3853" max="3854" width="19.109375" style="1" bestFit="1" customWidth="1"/>
    <col min="3855" max="3855" width="13.44140625" style="1" bestFit="1" customWidth="1"/>
    <col min="3856" max="3856" width="15.33203125" style="1" bestFit="1" customWidth="1"/>
    <col min="3857" max="3857" width="24.33203125" style="1" bestFit="1" customWidth="1"/>
    <col min="3858" max="3858" width="12.88671875" style="1" bestFit="1" customWidth="1"/>
    <col min="3859" max="3860" width="12.5546875" style="1" bestFit="1" customWidth="1"/>
    <col min="3861" max="3861" width="10.5546875" style="1" bestFit="1" customWidth="1"/>
    <col min="3862" max="3862" width="12.44140625" style="1" bestFit="1" customWidth="1"/>
    <col min="3863" max="3863" width="11.5546875" style="1" bestFit="1" customWidth="1"/>
    <col min="3864" max="3864" width="12" style="1" bestFit="1" customWidth="1"/>
    <col min="3865" max="3865" width="10.5546875" style="1" bestFit="1" customWidth="1"/>
    <col min="3866" max="3867" width="8.88671875" style="1"/>
    <col min="3868" max="3868" width="10.5546875" style="1" bestFit="1" customWidth="1"/>
    <col min="3869" max="3869" width="35" style="1" bestFit="1" customWidth="1"/>
    <col min="3870" max="3870" width="6.44140625" style="1" bestFit="1" customWidth="1"/>
    <col min="3871" max="3871" width="2.88671875" style="1" bestFit="1" customWidth="1"/>
    <col min="3872" max="3872" width="6.44140625" style="1" bestFit="1" customWidth="1"/>
    <col min="3873" max="3873" width="13.44140625" style="1" bestFit="1" customWidth="1"/>
    <col min="3874" max="3874" width="12.88671875" style="1" bestFit="1" customWidth="1"/>
    <col min="3875" max="3875" width="15.109375" style="1" bestFit="1" customWidth="1"/>
    <col min="3876" max="3876" width="12.88671875" style="1" bestFit="1" customWidth="1"/>
    <col min="3877" max="3877" width="13.88671875" style="1" customWidth="1"/>
    <col min="3878" max="3878" width="14.33203125" style="1" bestFit="1" customWidth="1"/>
    <col min="3879" max="3881" width="8.88671875" style="1"/>
    <col min="3882" max="3882" width="15.5546875" style="1" bestFit="1" customWidth="1"/>
    <col min="3883" max="3885" width="8.88671875" style="1"/>
    <col min="3886" max="3886" width="13.109375" style="1" bestFit="1" customWidth="1"/>
    <col min="3887" max="3887" width="12.88671875" style="1" bestFit="1" customWidth="1"/>
    <col min="3888" max="3888" width="14" style="1" bestFit="1" customWidth="1"/>
    <col min="3889" max="3889" width="12.33203125" style="1" bestFit="1" customWidth="1"/>
    <col min="3890" max="3890" width="13.44140625" style="1" bestFit="1" customWidth="1"/>
    <col min="3891" max="3891" width="15.109375" style="1" bestFit="1" customWidth="1"/>
    <col min="3892" max="3895" width="8.88671875" style="1"/>
    <col min="3896" max="3896" width="11.5546875" style="1" customWidth="1"/>
    <col min="3897" max="3897" width="12.109375" style="1" bestFit="1" customWidth="1"/>
    <col min="3898" max="3898" width="14" style="1" bestFit="1" customWidth="1"/>
    <col min="3899" max="3899" width="19.109375" style="1" bestFit="1" customWidth="1"/>
    <col min="3900" max="3900" width="23.44140625" style="1" bestFit="1" customWidth="1"/>
    <col min="3901" max="3901" width="25.88671875" style="1" bestFit="1" customWidth="1"/>
    <col min="3902" max="3902" width="18.33203125" style="1" bestFit="1" customWidth="1"/>
    <col min="3903" max="3903" width="17.109375" style="1" bestFit="1" customWidth="1"/>
    <col min="3904" max="3904" width="13.33203125" style="1" bestFit="1" customWidth="1"/>
    <col min="3905" max="3905" width="8.88671875" style="1"/>
    <col min="3906" max="3906" width="18.109375" style="1" bestFit="1" customWidth="1"/>
    <col min="3907" max="3907" width="23.44140625" style="1" bestFit="1" customWidth="1"/>
    <col min="3908" max="3911" width="8.88671875" style="1"/>
    <col min="3912" max="3912" width="14.88671875" style="1" bestFit="1" customWidth="1"/>
    <col min="3913" max="3913" width="18.109375" style="1" bestFit="1" customWidth="1"/>
    <col min="3914" max="3914" width="23.44140625" style="1" bestFit="1" customWidth="1"/>
    <col min="3915" max="3918" width="8.88671875" style="1"/>
    <col min="3919" max="3919" width="11" style="1" bestFit="1" customWidth="1"/>
    <col min="3920" max="3920" width="15.44140625" style="1" bestFit="1" customWidth="1"/>
    <col min="3921" max="3921" width="23.44140625" style="1" bestFit="1" customWidth="1"/>
    <col min="3922" max="3924" width="8.88671875" style="1"/>
    <col min="3925" max="3925" width="5.109375" style="1" customWidth="1"/>
    <col min="3926" max="3926" width="8.88671875" style="1"/>
    <col min="3927" max="3927" width="26" style="1" bestFit="1" customWidth="1"/>
    <col min="3928" max="3928" width="71" style="1" bestFit="1" customWidth="1"/>
    <col min="3929" max="3929" width="17.5546875" style="1" bestFit="1" customWidth="1"/>
    <col min="3930" max="3930" width="27.33203125" style="1" bestFit="1" customWidth="1"/>
    <col min="3931" max="3931" width="17.33203125" style="1" bestFit="1" customWidth="1"/>
    <col min="3932" max="3933" width="8.88671875" style="1"/>
    <col min="3934" max="3934" width="5.6640625" style="1" bestFit="1" customWidth="1"/>
    <col min="3935" max="3935" width="15.44140625" style="1" bestFit="1" customWidth="1"/>
    <col min="3936" max="3936" width="22" style="1" bestFit="1" customWidth="1"/>
    <col min="3937" max="3937" width="71" style="1" bestFit="1" customWidth="1"/>
    <col min="3938" max="3938" width="18.5546875" style="1" bestFit="1" customWidth="1"/>
    <col min="3939" max="3939" width="27.33203125" style="1" bestFit="1" customWidth="1"/>
    <col min="3940" max="3940" width="16.44140625" style="1" bestFit="1" customWidth="1"/>
    <col min="3941" max="4098" width="8.88671875" style="1"/>
    <col min="4099" max="4099" width="18.88671875" style="1" bestFit="1" customWidth="1"/>
    <col min="4100" max="4100" width="14.88671875" style="1" customWidth="1"/>
    <col min="4101" max="4101" width="33.44140625" style="1" customWidth="1"/>
    <col min="4102" max="4102" width="31.109375" style="1" customWidth="1"/>
    <col min="4103" max="4103" width="22.5546875" style="1" bestFit="1" customWidth="1"/>
    <col min="4104" max="4104" width="20.88671875" style="1" bestFit="1" customWidth="1"/>
    <col min="4105" max="4106" width="19.33203125" style="1" bestFit="1" customWidth="1"/>
    <col min="4107" max="4107" width="20.88671875" style="1" bestFit="1" customWidth="1"/>
    <col min="4108" max="4108" width="16.33203125" style="1" bestFit="1" customWidth="1"/>
    <col min="4109" max="4110" width="19.109375" style="1" bestFit="1" customWidth="1"/>
    <col min="4111" max="4111" width="13.44140625" style="1" bestFit="1" customWidth="1"/>
    <col min="4112" max="4112" width="15.33203125" style="1" bestFit="1" customWidth="1"/>
    <col min="4113" max="4113" width="24.33203125" style="1" bestFit="1" customWidth="1"/>
    <col min="4114" max="4114" width="12.88671875" style="1" bestFit="1" customWidth="1"/>
    <col min="4115" max="4116" width="12.5546875" style="1" bestFit="1" customWidth="1"/>
    <col min="4117" max="4117" width="10.5546875" style="1" bestFit="1" customWidth="1"/>
    <col min="4118" max="4118" width="12.44140625" style="1" bestFit="1" customWidth="1"/>
    <col min="4119" max="4119" width="11.5546875" style="1" bestFit="1" customWidth="1"/>
    <col min="4120" max="4120" width="12" style="1" bestFit="1" customWidth="1"/>
    <col min="4121" max="4121" width="10.5546875" style="1" bestFit="1" customWidth="1"/>
    <col min="4122" max="4123" width="8.88671875" style="1"/>
    <col min="4124" max="4124" width="10.5546875" style="1" bestFit="1" customWidth="1"/>
    <col min="4125" max="4125" width="35" style="1" bestFit="1" customWidth="1"/>
    <col min="4126" max="4126" width="6.44140625" style="1" bestFit="1" customWidth="1"/>
    <col min="4127" max="4127" width="2.88671875" style="1" bestFit="1" customWidth="1"/>
    <col min="4128" max="4128" width="6.44140625" style="1" bestFit="1" customWidth="1"/>
    <col min="4129" max="4129" width="13.44140625" style="1" bestFit="1" customWidth="1"/>
    <col min="4130" max="4130" width="12.88671875" style="1" bestFit="1" customWidth="1"/>
    <col min="4131" max="4131" width="15.109375" style="1" bestFit="1" customWidth="1"/>
    <col min="4132" max="4132" width="12.88671875" style="1" bestFit="1" customWidth="1"/>
    <col min="4133" max="4133" width="13.88671875" style="1" customWidth="1"/>
    <col min="4134" max="4134" width="14.33203125" style="1" bestFit="1" customWidth="1"/>
    <col min="4135" max="4137" width="8.88671875" style="1"/>
    <col min="4138" max="4138" width="15.5546875" style="1" bestFit="1" customWidth="1"/>
    <col min="4139" max="4141" width="8.88671875" style="1"/>
    <col min="4142" max="4142" width="13.109375" style="1" bestFit="1" customWidth="1"/>
    <col min="4143" max="4143" width="12.88671875" style="1" bestFit="1" customWidth="1"/>
    <col min="4144" max="4144" width="14" style="1" bestFit="1" customWidth="1"/>
    <col min="4145" max="4145" width="12.33203125" style="1" bestFit="1" customWidth="1"/>
    <col min="4146" max="4146" width="13.44140625" style="1" bestFit="1" customWidth="1"/>
    <col min="4147" max="4147" width="15.109375" style="1" bestFit="1" customWidth="1"/>
    <col min="4148" max="4151" width="8.88671875" style="1"/>
    <col min="4152" max="4152" width="11.5546875" style="1" customWidth="1"/>
    <col min="4153" max="4153" width="12.109375" style="1" bestFit="1" customWidth="1"/>
    <col min="4154" max="4154" width="14" style="1" bestFit="1" customWidth="1"/>
    <col min="4155" max="4155" width="19.109375" style="1" bestFit="1" customWidth="1"/>
    <col min="4156" max="4156" width="23.44140625" style="1" bestFit="1" customWidth="1"/>
    <col min="4157" max="4157" width="25.88671875" style="1" bestFit="1" customWidth="1"/>
    <col min="4158" max="4158" width="18.33203125" style="1" bestFit="1" customWidth="1"/>
    <col min="4159" max="4159" width="17.109375" style="1" bestFit="1" customWidth="1"/>
    <col min="4160" max="4160" width="13.33203125" style="1" bestFit="1" customWidth="1"/>
    <col min="4161" max="4161" width="8.88671875" style="1"/>
    <col min="4162" max="4162" width="18.109375" style="1" bestFit="1" customWidth="1"/>
    <col min="4163" max="4163" width="23.44140625" style="1" bestFit="1" customWidth="1"/>
    <col min="4164" max="4167" width="8.88671875" style="1"/>
    <col min="4168" max="4168" width="14.88671875" style="1" bestFit="1" customWidth="1"/>
    <col min="4169" max="4169" width="18.109375" style="1" bestFit="1" customWidth="1"/>
    <col min="4170" max="4170" width="23.44140625" style="1" bestFit="1" customWidth="1"/>
    <col min="4171" max="4174" width="8.88671875" style="1"/>
    <col min="4175" max="4175" width="11" style="1" bestFit="1" customWidth="1"/>
    <col min="4176" max="4176" width="15.44140625" style="1" bestFit="1" customWidth="1"/>
    <col min="4177" max="4177" width="23.44140625" style="1" bestFit="1" customWidth="1"/>
    <col min="4178" max="4180" width="8.88671875" style="1"/>
    <col min="4181" max="4181" width="5.109375" style="1" customWidth="1"/>
    <col min="4182" max="4182" width="8.88671875" style="1"/>
    <col min="4183" max="4183" width="26" style="1" bestFit="1" customWidth="1"/>
    <col min="4184" max="4184" width="71" style="1" bestFit="1" customWidth="1"/>
    <col min="4185" max="4185" width="17.5546875" style="1" bestFit="1" customWidth="1"/>
    <col min="4186" max="4186" width="27.33203125" style="1" bestFit="1" customWidth="1"/>
    <col min="4187" max="4187" width="17.33203125" style="1" bestFit="1" customWidth="1"/>
    <col min="4188" max="4189" width="8.88671875" style="1"/>
    <col min="4190" max="4190" width="5.6640625" style="1" bestFit="1" customWidth="1"/>
    <col min="4191" max="4191" width="15.44140625" style="1" bestFit="1" customWidth="1"/>
    <col min="4192" max="4192" width="22" style="1" bestFit="1" customWidth="1"/>
    <col min="4193" max="4193" width="71" style="1" bestFit="1" customWidth="1"/>
    <col min="4194" max="4194" width="18.5546875" style="1" bestFit="1" customWidth="1"/>
    <col min="4195" max="4195" width="27.33203125" style="1" bestFit="1" customWidth="1"/>
    <col min="4196" max="4196" width="16.44140625" style="1" bestFit="1" customWidth="1"/>
    <col min="4197" max="4354" width="8.88671875" style="1"/>
    <col min="4355" max="4355" width="18.88671875" style="1" bestFit="1" customWidth="1"/>
    <col min="4356" max="4356" width="14.88671875" style="1" customWidth="1"/>
    <col min="4357" max="4357" width="33.44140625" style="1" customWidth="1"/>
    <col min="4358" max="4358" width="31.109375" style="1" customWidth="1"/>
    <col min="4359" max="4359" width="22.5546875" style="1" bestFit="1" customWidth="1"/>
    <col min="4360" max="4360" width="20.88671875" style="1" bestFit="1" customWidth="1"/>
    <col min="4361" max="4362" width="19.33203125" style="1" bestFit="1" customWidth="1"/>
    <col min="4363" max="4363" width="20.88671875" style="1" bestFit="1" customWidth="1"/>
    <col min="4364" max="4364" width="16.33203125" style="1" bestFit="1" customWidth="1"/>
    <col min="4365" max="4366" width="19.109375" style="1" bestFit="1" customWidth="1"/>
    <col min="4367" max="4367" width="13.44140625" style="1" bestFit="1" customWidth="1"/>
    <col min="4368" max="4368" width="15.33203125" style="1" bestFit="1" customWidth="1"/>
    <col min="4369" max="4369" width="24.33203125" style="1" bestFit="1" customWidth="1"/>
    <col min="4370" max="4370" width="12.88671875" style="1" bestFit="1" customWidth="1"/>
    <col min="4371" max="4372" width="12.5546875" style="1" bestFit="1" customWidth="1"/>
    <col min="4373" max="4373" width="10.5546875" style="1" bestFit="1" customWidth="1"/>
    <col min="4374" max="4374" width="12.44140625" style="1" bestFit="1" customWidth="1"/>
    <col min="4375" max="4375" width="11.5546875" style="1" bestFit="1" customWidth="1"/>
    <col min="4376" max="4376" width="12" style="1" bestFit="1" customWidth="1"/>
    <col min="4377" max="4377" width="10.5546875" style="1" bestFit="1" customWidth="1"/>
    <col min="4378" max="4379" width="8.88671875" style="1"/>
    <col min="4380" max="4380" width="10.5546875" style="1" bestFit="1" customWidth="1"/>
    <col min="4381" max="4381" width="35" style="1" bestFit="1" customWidth="1"/>
    <col min="4382" max="4382" width="6.44140625" style="1" bestFit="1" customWidth="1"/>
    <col min="4383" max="4383" width="2.88671875" style="1" bestFit="1" customWidth="1"/>
    <col min="4384" max="4384" width="6.44140625" style="1" bestFit="1" customWidth="1"/>
    <col min="4385" max="4385" width="13.44140625" style="1" bestFit="1" customWidth="1"/>
    <col min="4386" max="4386" width="12.88671875" style="1" bestFit="1" customWidth="1"/>
    <col min="4387" max="4387" width="15.109375" style="1" bestFit="1" customWidth="1"/>
    <col min="4388" max="4388" width="12.88671875" style="1" bestFit="1" customWidth="1"/>
    <col min="4389" max="4389" width="13.88671875" style="1" customWidth="1"/>
    <col min="4390" max="4390" width="14.33203125" style="1" bestFit="1" customWidth="1"/>
    <col min="4391" max="4393" width="8.88671875" style="1"/>
    <col min="4394" max="4394" width="15.5546875" style="1" bestFit="1" customWidth="1"/>
    <col min="4395" max="4397" width="8.88671875" style="1"/>
    <col min="4398" max="4398" width="13.109375" style="1" bestFit="1" customWidth="1"/>
    <col min="4399" max="4399" width="12.88671875" style="1" bestFit="1" customWidth="1"/>
    <col min="4400" max="4400" width="14" style="1" bestFit="1" customWidth="1"/>
    <col min="4401" max="4401" width="12.33203125" style="1" bestFit="1" customWidth="1"/>
    <col min="4402" max="4402" width="13.44140625" style="1" bestFit="1" customWidth="1"/>
    <col min="4403" max="4403" width="15.109375" style="1" bestFit="1" customWidth="1"/>
    <col min="4404" max="4407" width="8.88671875" style="1"/>
    <col min="4408" max="4408" width="11.5546875" style="1" customWidth="1"/>
    <col min="4409" max="4409" width="12.109375" style="1" bestFit="1" customWidth="1"/>
    <col min="4410" max="4410" width="14" style="1" bestFit="1" customWidth="1"/>
    <col min="4411" max="4411" width="19.109375" style="1" bestFit="1" customWidth="1"/>
    <col min="4412" max="4412" width="23.44140625" style="1" bestFit="1" customWidth="1"/>
    <col min="4413" max="4413" width="25.88671875" style="1" bestFit="1" customWidth="1"/>
    <col min="4414" max="4414" width="18.33203125" style="1" bestFit="1" customWidth="1"/>
    <col min="4415" max="4415" width="17.109375" style="1" bestFit="1" customWidth="1"/>
    <col min="4416" max="4416" width="13.33203125" style="1" bestFit="1" customWidth="1"/>
    <col min="4417" max="4417" width="8.88671875" style="1"/>
    <col min="4418" max="4418" width="18.109375" style="1" bestFit="1" customWidth="1"/>
    <col min="4419" max="4419" width="23.44140625" style="1" bestFit="1" customWidth="1"/>
    <col min="4420" max="4423" width="8.88671875" style="1"/>
    <col min="4424" max="4424" width="14.88671875" style="1" bestFit="1" customWidth="1"/>
    <col min="4425" max="4425" width="18.109375" style="1" bestFit="1" customWidth="1"/>
    <col min="4426" max="4426" width="23.44140625" style="1" bestFit="1" customWidth="1"/>
    <col min="4427" max="4430" width="8.88671875" style="1"/>
    <col min="4431" max="4431" width="11" style="1" bestFit="1" customWidth="1"/>
    <col min="4432" max="4432" width="15.44140625" style="1" bestFit="1" customWidth="1"/>
    <col min="4433" max="4433" width="23.44140625" style="1" bestFit="1" customWidth="1"/>
    <col min="4434" max="4436" width="8.88671875" style="1"/>
    <col min="4437" max="4437" width="5.109375" style="1" customWidth="1"/>
    <col min="4438" max="4438" width="8.88671875" style="1"/>
    <col min="4439" max="4439" width="26" style="1" bestFit="1" customWidth="1"/>
    <col min="4440" max="4440" width="71" style="1" bestFit="1" customWidth="1"/>
    <col min="4441" max="4441" width="17.5546875" style="1" bestFit="1" customWidth="1"/>
    <col min="4442" max="4442" width="27.33203125" style="1" bestFit="1" customWidth="1"/>
    <col min="4443" max="4443" width="17.33203125" style="1" bestFit="1" customWidth="1"/>
    <col min="4444" max="4445" width="8.88671875" style="1"/>
    <col min="4446" max="4446" width="5.6640625" style="1" bestFit="1" customWidth="1"/>
    <col min="4447" max="4447" width="15.44140625" style="1" bestFit="1" customWidth="1"/>
    <col min="4448" max="4448" width="22" style="1" bestFit="1" customWidth="1"/>
    <col min="4449" max="4449" width="71" style="1" bestFit="1" customWidth="1"/>
    <col min="4450" max="4450" width="18.5546875" style="1" bestFit="1" customWidth="1"/>
    <col min="4451" max="4451" width="27.33203125" style="1" bestFit="1" customWidth="1"/>
    <col min="4452" max="4452" width="16.44140625" style="1" bestFit="1" customWidth="1"/>
    <col min="4453" max="4610" width="8.88671875" style="1"/>
    <col min="4611" max="4611" width="18.88671875" style="1" bestFit="1" customWidth="1"/>
    <col min="4612" max="4612" width="14.88671875" style="1" customWidth="1"/>
    <col min="4613" max="4613" width="33.44140625" style="1" customWidth="1"/>
    <col min="4614" max="4614" width="31.109375" style="1" customWidth="1"/>
    <col min="4615" max="4615" width="22.5546875" style="1" bestFit="1" customWidth="1"/>
    <col min="4616" max="4616" width="20.88671875" style="1" bestFit="1" customWidth="1"/>
    <col min="4617" max="4618" width="19.33203125" style="1" bestFit="1" customWidth="1"/>
    <col min="4619" max="4619" width="20.88671875" style="1" bestFit="1" customWidth="1"/>
    <col min="4620" max="4620" width="16.33203125" style="1" bestFit="1" customWidth="1"/>
    <col min="4621" max="4622" width="19.109375" style="1" bestFit="1" customWidth="1"/>
    <col min="4623" max="4623" width="13.44140625" style="1" bestFit="1" customWidth="1"/>
    <col min="4624" max="4624" width="15.33203125" style="1" bestFit="1" customWidth="1"/>
    <col min="4625" max="4625" width="24.33203125" style="1" bestFit="1" customWidth="1"/>
    <col min="4626" max="4626" width="12.88671875" style="1" bestFit="1" customWidth="1"/>
    <col min="4627" max="4628" width="12.5546875" style="1" bestFit="1" customWidth="1"/>
    <col min="4629" max="4629" width="10.5546875" style="1" bestFit="1" customWidth="1"/>
    <col min="4630" max="4630" width="12.44140625" style="1" bestFit="1" customWidth="1"/>
    <col min="4631" max="4631" width="11.5546875" style="1" bestFit="1" customWidth="1"/>
    <col min="4632" max="4632" width="12" style="1" bestFit="1" customWidth="1"/>
    <col min="4633" max="4633" width="10.5546875" style="1" bestFit="1" customWidth="1"/>
    <col min="4634" max="4635" width="8.88671875" style="1"/>
    <col min="4636" max="4636" width="10.5546875" style="1" bestFit="1" customWidth="1"/>
    <col min="4637" max="4637" width="35" style="1" bestFit="1" customWidth="1"/>
    <col min="4638" max="4638" width="6.44140625" style="1" bestFit="1" customWidth="1"/>
    <col min="4639" max="4639" width="2.88671875" style="1" bestFit="1" customWidth="1"/>
    <col min="4640" max="4640" width="6.44140625" style="1" bestFit="1" customWidth="1"/>
    <col min="4641" max="4641" width="13.44140625" style="1" bestFit="1" customWidth="1"/>
    <col min="4642" max="4642" width="12.88671875" style="1" bestFit="1" customWidth="1"/>
    <col min="4643" max="4643" width="15.109375" style="1" bestFit="1" customWidth="1"/>
    <col min="4644" max="4644" width="12.88671875" style="1" bestFit="1" customWidth="1"/>
    <col min="4645" max="4645" width="13.88671875" style="1" customWidth="1"/>
    <col min="4646" max="4646" width="14.33203125" style="1" bestFit="1" customWidth="1"/>
    <col min="4647" max="4649" width="8.88671875" style="1"/>
    <col min="4650" max="4650" width="15.5546875" style="1" bestFit="1" customWidth="1"/>
    <col min="4651" max="4653" width="8.88671875" style="1"/>
    <col min="4654" max="4654" width="13.109375" style="1" bestFit="1" customWidth="1"/>
    <col min="4655" max="4655" width="12.88671875" style="1" bestFit="1" customWidth="1"/>
    <col min="4656" max="4656" width="14" style="1" bestFit="1" customWidth="1"/>
    <col min="4657" max="4657" width="12.33203125" style="1" bestFit="1" customWidth="1"/>
    <col min="4658" max="4658" width="13.44140625" style="1" bestFit="1" customWidth="1"/>
    <col min="4659" max="4659" width="15.109375" style="1" bestFit="1" customWidth="1"/>
    <col min="4660" max="4663" width="8.88671875" style="1"/>
    <col min="4664" max="4664" width="11.5546875" style="1" customWidth="1"/>
    <col min="4665" max="4665" width="12.109375" style="1" bestFit="1" customWidth="1"/>
    <col min="4666" max="4666" width="14" style="1" bestFit="1" customWidth="1"/>
    <col min="4667" max="4667" width="19.109375" style="1" bestFit="1" customWidth="1"/>
    <col min="4668" max="4668" width="23.44140625" style="1" bestFit="1" customWidth="1"/>
    <col min="4669" max="4669" width="25.88671875" style="1" bestFit="1" customWidth="1"/>
    <col min="4670" max="4670" width="18.33203125" style="1" bestFit="1" customWidth="1"/>
    <col min="4671" max="4671" width="17.109375" style="1" bestFit="1" customWidth="1"/>
    <col min="4672" max="4672" width="13.33203125" style="1" bestFit="1" customWidth="1"/>
    <col min="4673" max="4673" width="8.88671875" style="1"/>
    <col min="4674" max="4674" width="18.109375" style="1" bestFit="1" customWidth="1"/>
    <col min="4675" max="4675" width="23.44140625" style="1" bestFit="1" customWidth="1"/>
    <col min="4676" max="4679" width="8.88671875" style="1"/>
    <col min="4680" max="4680" width="14.88671875" style="1" bestFit="1" customWidth="1"/>
    <col min="4681" max="4681" width="18.109375" style="1" bestFit="1" customWidth="1"/>
    <col min="4682" max="4682" width="23.44140625" style="1" bestFit="1" customWidth="1"/>
    <col min="4683" max="4686" width="8.88671875" style="1"/>
    <col min="4687" max="4687" width="11" style="1" bestFit="1" customWidth="1"/>
    <col min="4688" max="4688" width="15.44140625" style="1" bestFit="1" customWidth="1"/>
    <col min="4689" max="4689" width="23.44140625" style="1" bestFit="1" customWidth="1"/>
    <col min="4690" max="4692" width="8.88671875" style="1"/>
    <col min="4693" max="4693" width="5.109375" style="1" customWidth="1"/>
    <col min="4694" max="4694" width="8.88671875" style="1"/>
    <col min="4695" max="4695" width="26" style="1" bestFit="1" customWidth="1"/>
    <col min="4696" max="4696" width="71" style="1" bestFit="1" customWidth="1"/>
    <col min="4697" max="4697" width="17.5546875" style="1" bestFit="1" customWidth="1"/>
    <col min="4698" max="4698" width="27.33203125" style="1" bestFit="1" customWidth="1"/>
    <col min="4699" max="4699" width="17.33203125" style="1" bestFit="1" customWidth="1"/>
    <col min="4700" max="4701" width="8.88671875" style="1"/>
    <col min="4702" max="4702" width="5.6640625" style="1" bestFit="1" customWidth="1"/>
    <col min="4703" max="4703" width="15.44140625" style="1" bestFit="1" customWidth="1"/>
    <col min="4704" max="4704" width="22" style="1" bestFit="1" customWidth="1"/>
    <col min="4705" max="4705" width="71" style="1" bestFit="1" customWidth="1"/>
    <col min="4706" max="4706" width="18.5546875" style="1" bestFit="1" customWidth="1"/>
    <col min="4707" max="4707" width="27.33203125" style="1" bestFit="1" customWidth="1"/>
    <col min="4708" max="4708" width="16.44140625" style="1" bestFit="1" customWidth="1"/>
    <col min="4709" max="4866" width="8.88671875" style="1"/>
    <col min="4867" max="4867" width="18.88671875" style="1" bestFit="1" customWidth="1"/>
    <col min="4868" max="4868" width="14.88671875" style="1" customWidth="1"/>
    <col min="4869" max="4869" width="33.44140625" style="1" customWidth="1"/>
    <col min="4870" max="4870" width="31.109375" style="1" customWidth="1"/>
    <col min="4871" max="4871" width="22.5546875" style="1" bestFit="1" customWidth="1"/>
    <col min="4872" max="4872" width="20.88671875" style="1" bestFit="1" customWidth="1"/>
    <col min="4873" max="4874" width="19.33203125" style="1" bestFit="1" customWidth="1"/>
    <col min="4875" max="4875" width="20.88671875" style="1" bestFit="1" customWidth="1"/>
    <col min="4876" max="4876" width="16.33203125" style="1" bestFit="1" customWidth="1"/>
    <col min="4877" max="4878" width="19.109375" style="1" bestFit="1" customWidth="1"/>
    <col min="4879" max="4879" width="13.44140625" style="1" bestFit="1" customWidth="1"/>
    <col min="4880" max="4880" width="15.33203125" style="1" bestFit="1" customWidth="1"/>
    <col min="4881" max="4881" width="24.33203125" style="1" bestFit="1" customWidth="1"/>
    <col min="4882" max="4882" width="12.88671875" style="1" bestFit="1" customWidth="1"/>
    <col min="4883" max="4884" width="12.5546875" style="1" bestFit="1" customWidth="1"/>
    <col min="4885" max="4885" width="10.5546875" style="1" bestFit="1" customWidth="1"/>
    <col min="4886" max="4886" width="12.44140625" style="1" bestFit="1" customWidth="1"/>
    <col min="4887" max="4887" width="11.5546875" style="1" bestFit="1" customWidth="1"/>
    <col min="4888" max="4888" width="12" style="1" bestFit="1" customWidth="1"/>
    <col min="4889" max="4889" width="10.5546875" style="1" bestFit="1" customWidth="1"/>
    <col min="4890" max="4891" width="8.88671875" style="1"/>
    <col min="4892" max="4892" width="10.5546875" style="1" bestFit="1" customWidth="1"/>
    <col min="4893" max="4893" width="35" style="1" bestFit="1" customWidth="1"/>
    <col min="4894" max="4894" width="6.44140625" style="1" bestFit="1" customWidth="1"/>
    <col min="4895" max="4895" width="2.88671875" style="1" bestFit="1" customWidth="1"/>
    <col min="4896" max="4896" width="6.44140625" style="1" bestFit="1" customWidth="1"/>
    <col min="4897" max="4897" width="13.44140625" style="1" bestFit="1" customWidth="1"/>
    <col min="4898" max="4898" width="12.88671875" style="1" bestFit="1" customWidth="1"/>
    <col min="4899" max="4899" width="15.109375" style="1" bestFit="1" customWidth="1"/>
    <col min="4900" max="4900" width="12.88671875" style="1" bestFit="1" customWidth="1"/>
    <col min="4901" max="4901" width="13.88671875" style="1" customWidth="1"/>
    <col min="4902" max="4902" width="14.33203125" style="1" bestFit="1" customWidth="1"/>
    <col min="4903" max="4905" width="8.88671875" style="1"/>
    <col min="4906" max="4906" width="15.5546875" style="1" bestFit="1" customWidth="1"/>
    <col min="4907" max="4909" width="8.88671875" style="1"/>
    <col min="4910" max="4910" width="13.109375" style="1" bestFit="1" customWidth="1"/>
    <col min="4911" max="4911" width="12.88671875" style="1" bestFit="1" customWidth="1"/>
    <col min="4912" max="4912" width="14" style="1" bestFit="1" customWidth="1"/>
    <col min="4913" max="4913" width="12.33203125" style="1" bestFit="1" customWidth="1"/>
    <col min="4914" max="4914" width="13.44140625" style="1" bestFit="1" customWidth="1"/>
    <col min="4915" max="4915" width="15.109375" style="1" bestFit="1" customWidth="1"/>
    <col min="4916" max="4919" width="8.88671875" style="1"/>
    <col min="4920" max="4920" width="11.5546875" style="1" customWidth="1"/>
    <col min="4921" max="4921" width="12.109375" style="1" bestFit="1" customWidth="1"/>
    <col min="4922" max="4922" width="14" style="1" bestFit="1" customWidth="1"/>
    <col min="4923" max="4923" width="19.109375" style="1" bestFit="1" customWidth="1"/>
    <col min="4924" max="4924" width="23.44140625" style="1" bestFit="1" customWidth="1"/>
    <col min="4925" max="4925" width="25.88671875" style="1" bestFit="1" customWidth="1"/>
    <col min="4926" max="4926" width="18.33203125" style="1" bestFit="1" customWidth="1"/>
    <col min="4927" max="4927" width="17.109375" style="1" bestFit="1" customWidth="1"/>
    <col min="4928" max="4928" width="13.33203125" style="1" bestFit="1" customWidth="1"/>
    <col min="4929" max="4929" width="8.88671875" style="1"/>
    <col min="4930" max="4930" width="18.109375" style="1" bestFit="1" customWidth="1"/>
    <col min="4931" max="4931" width="23.44140625" style="1" bestFit="1" customWidth="1"/>
    <col min="4932" max="4935" width="8.88671875" style="1"/>
    <col min="4936" max="4936" width="14.88671875" style="1" bestFit="1" customWidth="1"/>
    <col min="4937" max="4937" width="18.109375" style="1" bestFit="1" customWidth="1"/>
    <col min="4938" max="4938" width="23.44140625" style="1" bestFit="1" customWidth="1"/>
    <col min="4939" max="4942" width="8.88671875" style="1"/>
    <col min="4943" max="4943" width="11" style="1" bestFit="1" customWidth="1"/>
    <col min="4944" max="4944" width="15.44140625" style="1" bestFit="1" customWidth="1"/>
    <col min="4945" max="4945" width="23.44140625" style="1" bestFit="1" customWidth="1"/>
    <col min="4946" max="4948" width="8.88671875" style="1"/>
    <col min="4949" max="4949" width="5.109375" style="1" customWidth="1"/>
    <col min="4950" max="4950" width="8.88671875" style="1"/>
    <col min="4951" max="4951" width="26" style="1" bestFit="1" customWidth="1"/>
    <col min="4952" max="4952" width="71" style="1" bestFit="1" customWidth="1"/>
    <col min="4953" max="4953" width="17.5546875" style="1" bestFit="1" customWidth="1"/>
    <col min="4954" max="4954" width="27.33203125" style="1" bestFit="1" customWidth="1"/>
    <col min="4955" max="4955" width="17.33203125" style="1" bestFit="1" customWidth="1"/>
    <col min="4956" max="4957" width="8.88671875" style="1"/>
    <col min="4958" max="4958" width="5.6640625" style="1" bestFit="1" customWidth="1"/>
    <col min="4959" max="4959" width="15.44140625" style="1" bestFit="1" customWidth="1"/>
    <col min="4960" max="4960" width="22" style="1" bestFit="1" customWidth="1"/>
    <col min="4961" max="4961" width="71" style="1" bestFit="1" customWidth="1"/>
    <col min="4962" max="4962" width="18.5546875" style="1" bestFit="1" customWidth="1"/>
    <col min="4963" max="4963" width="27.33203125" style="1" bestFit="1" customWidth="1"/>
    <col min="4964" max="4964" width="16.44140625" style="1" bestFit="1" customWidth="1"/>
    <col min="4965" max="5122" width="8.88671875" style="1"/>
    <col min="5123" max="5123" width="18.88671875" style="1" bestFit="1" customWidth="1"/>
    <col min="5124" max="5124" width="14.88671875" style="1" customWidth="1"/>
    <col min="5125" max="5125" width="33.44140625" style="1" customWidth="1"/>
    <col min="5126" max="5126" width="31.109375" style="1" customWidth="1"/>
    <col min="5127" max="5127" width="22.5546875" style="1" bestFit="1" customWidth="1"/>
    <col min="5128" max="5128" width="20.88671875" style="1" bestFit="1" customWidth="1"/>
    <col min="5129" max="5130" width="19.33203125" style="1" bestFit="1" customWidth="1"/>
    <col min="5131" max="5131" width="20.88671875" style="1" bestFit="1" customWidth="1"/>
    <col min="5132" max="5132" width="16.33203125" style="1" bestFit="1" customWidth="1"/>
    <col min="5133" max="5134" width="19.109375" style="1" bestFit="1" customWidth="1"/>
    <col min="5135" max="5135" width="13.44140625" style="1" bestFit="1" customWidth="1"/>
    <col min="5136" max="5136" width="15.33203125" style="1" bestFit="1" customWidth="1"/>
    <col min="5137" max="5137" width="24.33203125" style="1" bestFit="1" customWidth="1"/>
    <col min="5138" max="5138" width="12.88671875" style="1" bestFit="1" customWidth="1"/>
    <col min="5139" max="5140" width="12.5546875" style="1" bestFit="1" customWidth="1"/>
    <col min="5141" max="5141" width="10.5546875" style="1" bestFit="1" customWidth="1"/>
    <col min="5142" max="5142" width="12.44140625" style="1" bestFit="1" customWidth="1"/>
    <col min="5143" max="5143" width="11.5546875" style="1" bestFit="1" customWidth="1"/>
    <col min="5144" max="5144" width="12" style="1" bestFit="1" customWidth="1"/>
    <col min="5145" max="5145" width="10.5546875" style="1" bestFit="1" customWidth="1"/>
    <col min="5146" max="5147" width="8.88671875" style="1"/>
    <col min="5148" max="5148" width="10.5546875" style="1" bestFit="1" customWidth="1"/>
    <col min="5149" max="5149" width="35" style="1" bestFit="1" customWidth="1"/>
    <col min="5150" max="5150" width="6.44140625" style="1" bestFit="1" customWidth="1"/>
    <col min="5151" max="5151" width="2.88671875" style="1" bestFit="1" customWidth="1"/>
    <col min="5152" max="5152" width="6.44140625" style="1" bestFit="1" customWidth="1"/>
    <col min="5153" max="5153" width="13.44140625" style="1" bestFit="1" customWidth="1"/>
    <col min="5154" max="5154" width="12.88671875" style="1" bestFit="1" customWidth="1"/>
    <col min="5155" max="5155" width="15.109375" style="1" bestFit="1" customWidth="1"/>
    <col min="5156" max="5156" width="12.88671875" style="1" bestFit="1" customWidth="1"/>
    <col min="5157" max="5157" width="13.88671875" style="1" customWidth="1"/>
    <col min="5158" max="5158" width="14.33203125" style="1" bestFit="1" customWidth="1"/>
    <col min="5159" max="5161" width="8.88671875" style="1"/>
    <col min="5162" max="5162" width="15.5546875" style="1" bestFit="1" customWidth="1"/>
    <col min="5163" max="5165" width="8.88671875" style="1"/>
    <col min="5166" max="5166" width="13.109375" style="1" bestFit="1" customWidth="1"/>
    <col min="5167" max="5167" width="12.88671875" style="1" bestFit="1" customWidth="1"/>
    <col min="5168" max="5168" width="14" style="1" bestFit="1" customWidth="1"/>
    <col min="5169" max="5169" width="12.33203125" style="1" bestFit="1" customWidth="1"/>
    <col min="5170" max="5170" width="13.44140625" style="1" bestFit="1" customWidth="1"/>
    <col min="5171" max="5171" width="15.109375" style="1" bestFit="1" customWidth="1"/>
    <col min="5172" max="5175" width="8.88671875" style="1"/>
    <col min="5176" max="5176" width="11.5546875" style="1" customWidth="1"/>
    <col min="5177" max="5177" width="12.109375" style="1" bestFit="1" customWidth="1"/>
    <col min="5178" max="5178" width="14" style="1" bestFit="1" customWidth="1"/>
    <col min="5179" max="5179" width="19.109375" style="1" bestFit="1" customWidth="1"/>
    <col min="5180" max="5180" width="23.44140625" style="1" bestFit="1" customWidth="1"/>
    <col min="5181" max="5181" width="25.88671875" style="1" bestFit="1" customWidth="1"/>
    <col min="5182" max="5182" width="18.33203125" style="1" bestFit="1" customWidth="1"/>
    <col min="5183" max="5183" width="17.109375" style="1" bestFit="1" customWidth="1"/>
    <col min="5184" max="5184" width="13.33203125" style="1" bestFit="1" customWidth="1"/>
    <col min="5185" max="5185" width="8.88671875" style="1"/>
    <col min="5186" max="5186" width="18.109375" style="1" bestFit="1" customWidth="1"/>
    <col min="5187" max="5187" width="23.44140625" style="1" bestFit="1" customWidth="1"/>
    <col min="5188" max="5191" width="8.88671875" style="1"/>
    <col min="5192" max="5192" width="14.88671875" style="1" bestFit="1" customWidth="1"/>
    <col min="5193" max="5193" width="18.109375" style="1" bestFit="1" customWidth="1"/>
    <col min="5194" max="5194" width="23.44140625" style="1" bestFit="1" customWidth="1"/>
    <col min="5195" max="5198" width="8.88671875" style="1"/>
    <col min="5199" max="5199" width="11" style="1" bestFit="1" customWidth="1"/>
    <col min="5200" max="5200" width="15.44140625" style="1" bestFit="1" customWidth="1"/>
    <col min="5201" max="5201" width="23.44140625" style="1" bestFit="1" customWidth="1"/>
    <col min="5202" max="5204" width="8.88671875" style="1"/>
    <col min="5205" max="5205" width="5.109375" style="1" customWidth="1"/>
    <col min="5206" max="5206" width="8.88671875" style="1"/>
    <col min="5207" max="5207" width="26" style="1" bestFit="1" customWidth="1"/>
    <col min="5208" max="5208" width="71" style="1" bestFit="1" customWidth="1"/>
    <col min="5209" max="5209" width="17.5546875" style="1" bestFit="1" customWidth="1"/>
    <col min="5210" max="5210" width="27.33203125" style="1" bestFit="1" customWidth="1"/>
    <col min="5211" max="5211" width="17.33203125" style="1" bestFit="1" customWidth="1"/>
    <col min="5212" max="5213" width="8.88671875" style="1"/>
    <col min="5214" max="5214" width="5.6640625" style="1" bestFit="1" customWidth="1"/>
    <col min="5215" max="5215" width="15.44140625" style="1" bestFit="1" customWidth="1"/>
    <col min="5216" max="5216" width="22" style="1" bestFit="1" customWidth="1"/>
    <col min="5217" max="5217" width="71" style="1" bestFit="1" customWidth="1"/>
    <col min="5218" max="5218" width="18.5546875" style="1" bestFit="1" customWidth="1"/>
    <col min="5219" max="5219" width="27.33203125" style="1" bestFit="1" customWidth="1"/>
    <col min="5220" max="5220" width="16.44140625" style="1" bestFit="1" customWidth="1"/>
    <col min="5221" max="5378" width="8.88671875" style="1"/>
    <col min="5379" max="5379" width="18.88671875" style="1" bestFit="1" customWidth="1"/>
    <col min="5380" max="5380" width="14.88671875" style="1" customWidth="1"/>
    <col min="5381" max="5381" width="33.44140625" style="1" customWidth="1"/>
    <col min="5382" max="5382" width="31.109375" style="1" customWidth="1"/>
    <col min="5383" max="5383" width="22.5546875" style="1" bestFit="1" customWidth="1"/>
    <col min="5384" max="5384" width="20.88671875" style="1" bestFit="1" customWidth="1"/>
    <col min="5385" max="5386" width="19.33203125" style="1" bestFit="1" customWidth="1"/>
    <col min="5387" max="5387" width="20.88671875" style="1" bestFit="1" customWidth="1"/>
    <col min="5388" max="5388" width="16.33203125" style="1" bestFit="1" customWidth="1"/>
    <col min="5389" max="5390" width="19.109375" style="1" bestFit="1" customWidth="1"/>
    <col min="5391" max="5391" width="13.44140625" style="1" bestFit="1" customWidth="1"/>
    <col min="5392" max="5392" width="15.33203125" style="1" bestFit="1" customWidth="1"/>
    <col min="5393" max="5393" width="24.33203125" style="1" bestFit="1" customWidth="1"/>
    <col min="5394" max="5394" width="12.88671875" style="1" bestFit="1" customWidth="1"/>
    <col min="5395" max="5396" width="12.5546875" style="1" bestFit="1" customWidth="1"/>
    <col min="5397" max="5397" width="10.5546875" style="1" bestFit="1" customWidth="1"/>
    <col min="5398" max="5398" width="12.44140625" style="1" bestFit="1" customWidth="1"/>
    <col min="5399" max="5399" width="11.5546875" style="1" bestFit="1" customWidth="1"/>
    <col min="5400" max="5400" width="12" style="1" bestFit="1" customWidth="1"/>
    <col min="5401" max="5401" width="10.5546875" style="1" bestFit="1" customWidth="1"/>
    <col min="5402" max="5403" width="8.88671875" style="1"/>
    <col min="5404" max="5404" width="10.5546875" style="1" bestFit="1" customWidth="1"/>
    <col min="5405" max="5405" width="35" style="1" bestFit="1" customWidth="1"/>
    <col min="5406" max="5406" width="6.44140625" style="1" bestFit="1" customWidth="1"/>
    <col min="5407" max="5407" width="2.88671875" style="1" bestFit="1" customWidth="1"/>
    <col min="5408" max="5408" width="6.44140625" style="1" bestFit="1" customWidth="1"/>
    <col min="5409" max="5409" width="13.44140625" style="1" bestFit="1" customWidth="1"/>
    <col min="5410" max="5410" width="12.88671875" style="1" bestFit="1" customWidth="1"/>
    <col min="5411" max="5411" width="15.109375" style="1" bestFit="1" customWidth="1"/>
    <col min="5412" max="5412" width="12.88671875" style="1" bestFit="1" customWidth="1"/>
    <col min="5413" max="5413" width="13.88671875" style="1" customWidth="1"/>
    <col min="5414" max="5414" width="14.33203125" style="1" bestFit="1" customWidth="1"/>
    <col min="5415" max="5417" width="8.88671875" style="1"/>
    <col min="5418" max="5418" width="15.5546875" style="1" bestFit="1" customWidth="1"/>
    <col min="5419" max="5421" width="8.88671875" style="1"/>
    <col min="5422" max="5422" width="13.109375" style="1" bestFit="1" customWidth="1"/>
    <col min="5423" max="5423" width="12.88671875" style="1" bestFit="1" customWidth="1"/>
    <col min="5424" max="5424" width="14" style="1" bestFit="1" customWidth="1"/>
    <col min="5425" max="5425" width="12.33203125" style="1" bestFit="1" customWidth="1"/>
    <col min="5426" max="5426" width="13.44140625" style="1" bestFit="1" customWidth="1"/>
    <col min="5427" max="5427" width="15.109375" style="1" bestFit="1" customWidth="1"/>
    <col min="5428" max="5431" width="8.88671875" style="1"/>
    <col min="5432" max="5432" width="11.5546875" style="1" customWidth="1"/>
    <col min="5433" max="5433" width="12.109375" style="1" bestFit="1" customWidth="1"/>
    <col min="5434" max="5434" width="14" style="1" bestFit="1" customWidth="1"/>
    <col min="5435" max="5435" width="19.109375" style="1" bestFit="1" customWidth="1"/>
    <col min="5436" max="5436" width="23.44140625" style="1" bestFit="1" customWidth="1"/>
    <col min="5437" max="5437" width="25.88671875" style="1" bestFit="1" customWidth="1"/>
    <col min="5438" max="5438" width="18.33203125" style="1" bestFit="1" customWidth="1"/>
    <col min="5439" max="5439" width="17.109375" style="1" bestFit="1" customWidth="1"/>
    <col min="5440" max="5440" width="13.33203125" style="1" bestFit="1" customWidth="1"/>
    <col min="5441" max="5441" width="8.88671875" style="1"/>
    <col min="5442" max="5442" width="18.109375" style="1" bestFit="1" customWidth="1"/>
    <col min="5443" max="5443" width="23.44140625" style="1" bestFit="1" customWidth="1"/>
    <col min="5444" max="5447" width="8.88671875" style="1"/>
    <col min="5448" max="5448" width="14.88671875" style="1" bestFit="1" customWidth="1"/>
    <col min="5449" max="5449" width="18.109375" style="1" bestFit="1" customWidth="1"/>
    <col min="5450" max="5450" width="23.44140625" style="1" bestFit="1" customWidth="1"/>
    <col min="5451" max="5454" width="8.88671875" style="1"/>
    <col min="5455" max="5455" width="11" style="1" bestFit="1" customWidth="1"/>
    <col min="5456" max="5456" width="15.44140625" style="1" bestFit="1" customWidth="1"/>
    <col min="5457" max="5457" width="23.44140625" style="1" bestFit="1" customWidth="1"/>
    <col min="5458" max="5460" width="8.88671875" style="1"/>
    <col min="5461" max="5461" width="5.109375" style="1" customWidth="1"/>
    <col min="5462" max="5462" width="8.88671875" style="1"/>
    <col min="5463" max="5463" width="26" style="1" bestFit="1" customWidth="1"/>
    <col min="5464" max="5464" width="71" style="1" bestFit="1" customWidth="1"/>
    <col min="5465" max="5465" width="17.5546875" style="1" bestFit="1" customWidth="1"/>
    <col min="5466" max="5466" width="27.33203125" style="1" bestFit="1" customWidth="1"/>
    <col min="5467" max="5467" width="17.33203125" style="1" bestFit="1" customWidth="1"/>
    <col min="5468" max="5469" width="8.88671875" style="1"/>
    <col min="5470" max="5470" width="5.6640625" style="1" bestFit="1" customWidth="1"/>
    <col min="5471" max="5471" width="15.44140625" style="1" bestFit="1" customWidth="1"/>
    <col min="5472" max="5472" width="22" style="1" bestFit="1" customWidth="1"/>
    <col min="5473" max="5473" width="71" style="1" bestFit="1" customWidth="1"/>
    <col min="5474" max="5474" width="18.5546875" style="1" bestFit="1" customWidth="1"/>
    <col min="5475" max="5475" width="27.33203125" style="1" bestFit="1" customWidth="1"/>
    <col min="5476" max="5476" width="16.44140625" style="1" bestFit="1" customWidth="1"/>
    <col min="5477" max="5634" width="8.88671875" style="1"/>
    <col min="5635" max="5635" width="18.88671875" style="1" bestFit="1" customWidth="1"/>
    <col min="5636" max="5636" width="14.88671875" style="1" customWidth="1"/>
    <col min="5637" max="5637" width="33.44140625" style="1" customWidth="1"/>
    <col min="5638" max="5638" width="31.109375" style="1" customWidth="1"/>
    <col min="5639" max="5639" width="22.5546875" style="1" bestFit="1" customWidth="1"/>
    <col min="5640" max="5640" width="20.88671875" style="1" bestFit="1" customWidth="1"/>
    <col min="5641" max="5642" width="19.33203125" style="1" bestFit="1" customWidth="1"/>
    <col min="5643" max="5643" width="20.88671875" style="1" bestFit="1" customWidth="1"/>
    <col min="5644" max="5644" width="16.33203125" style="1" bestFit="1" customWidth="1"/>
    <col min="5645" max="5646" width="19.109375" style="1" bestFit="1" customWidth="1"/>
    <col min="5647" max="5647" width="13.44140625" style="1" bestFit="1" customWidth="1"/>
    <col min="5648" max="5648" width="15.33203125" style="1" bestFit="1" customWidth="1"/>
    <col min="5649" max="5649" width="24.33203125" style="1" bestFit="1" customWidth="1"/>
    <col min="5650" max="5650" width="12.88671875" style="1" bestFit="1" customWidth="1"/>
    <col min="5651" max="5652" width="12.5546875" style="1" bestFit="1" customWidth="1"/>
    <col min="5653" max="5653" width="10.5546875" style="1" bestFit="1" customWidth="1"/>
    <col min="5654" max="5654" width="12.44140625" style="1" bestFit="1" customWidth="1"/>
    <col min="5655" max="5655" width="11.5546875" style="1" bestFit="1" customWidth="1"/>
    <col min="5656" max="5656" width="12" style="1" bestFit="1" customWidth="1"/>
    <col min="5657" max="5657" width="10.5546875" style="1" bestFit="1" customWidth="1"/>
    <col min="5658" max="5659" width="8.88671875" style="1"/>
    <col min="5660" max="5660" width="10.5546875" style="1" bestFit="1" customWidth="1"/>
    <col min="5661" max="5661" width="35" style="1" bestFit="1" customWidth="1"/>
    <col min="5662" max="5662" width="6.44140625" style="1" bestFit="1" customWidth="1"/>
    <col min="5663" max="5663" width="2.88671875" style="1" bestFit="1" customWidth="1"/>
    <col min="5664" max="5664" width="6.44140625" style="1" bestFit="1" customWidth="1"/>
    <col min="5665" max="5665" width="13.44140625" style="1" bestFit="1" customWidth="1"/>
    <col min="5666" max="5666" width="12.88671875" style="1" bestFit="1" customWidth="1"/>
    <col min="5667" max="5667" width="15.109375" style="1" bestFit="1" customWidth="1"/>
    <col min="5668" max="5668" width="12.88671875" style="1" bestFit="1" customWidth="1"/>
    <col min="5669" max="5669" width="13.88671875" style="1" customWidth="1"/>
    <col min="5670" max="5670" width="14.33203125" style="1" bestFit="1" customWidth="1"/>
    <col min="5671" max="5673" width="8.88671875" style="1"/>
    <col min="5674" max="5674" width="15.5546875" style="1" bestFit="1" customWidth="1"/>
    <col min="5675" max="5677" width="8.88671875" style="1"/>
    <col min="5678" max="5678" width="13.109375" style="1" bestFit="1" customWidth="1"/>
    <col min="5679" max="5679" width="12.88671875" style="1" bestFit="1" customWidth="1"/>
    <col min="5680" max="5680" width="14" style="1" bestFit="1" customWidth="1"/>
    <col min="5681" max="5681" width="12.33203125" style="1" bestFit="1" customWidth="1"/>
    <col min="5682" max="5682" width="13.44140625" style="1" bestFit="1" customWidth="1"/>
    <col min="5683" max="5683" width="15.109375" style="1" bestFit="1" customWidth="1"/>
    <col min="5684" max="5687" width="8.88671875" style="1"/>
    <col min="5688" max="5688" width="11.5546875" style="1" customWidth="1"/>
    <col min="5689" max="5689" width="12.109375" style="1" bestFit="1" customWidth="1"/>
    <col min="5690" max="5690" width="14" style="1" bestFit="1" customWidth="1"/>
    <col min="5691" max="5691" width="19.109375" style="1" bestFit="1" customWidth="1"/>
    <col min="5692" max="5692" width="23.44140625" style="1" bestFit="1" customWidth="1"/>
    <col min="5693" max="5693" width="25.88671875" style="1" bestFit="1" customWidth="1"/>
    <col min="5694" max="5694" width="18.33203125" style="1" bestFit="1" customWidth="1"/>
    <col min="5695" max="5695" width="17.109375" style="1" bestFit="1" customWidth="1"/>
    <col min="5696" max="5696" width="13.33203125" style="1" bestFit="1" customWidth="1"/>
    <col min="5697" max="5697" width="8.88671875" style="1"/>
    <col min="5698" max="5698" width="18.109375" style="1" bestFit="1" customWidth="1"/>
    <col min="5699" max="5699" width="23.44140625" style="1" bestFit="1" customWidth="1"/>
    <col min="5700" max="5703" width="8.88671875" style="1"/>
    <col min="5704" max="5704" width="14.88671875" style="1" bestFit="1" customWidth="1"/>
    <col min="5705" max="5705" width="18.109375" style="1" bestFit="1" customWidth="1"/>
    <col min="5706" max="5706" width="23.44140625" style="1" bestFit="1" customWidth="1"/>
    <col min="5707" max="5710" width="8.88671875" style="1"/>
    <col min="5711" max="5711" width="11" style="1" bestFit="1" customWidth="1"/>
    <col min="5712" max="5712" width="15.44140625" style="1" bestFit="1" customWidth="1"/>
    <col min="5713" max="5713" width="23.44140625" style="1" bestFit="1" customWidth="1"/>
    <col min="5714" max="5716" width="8.88671875" style="1"/>
    <col min="5717" max="5717" width="5.109375" style="1" customWidth="1"/>
    <col min="5718" max="5718" width="8.88671875" style="1"/>
    <col min="5719" max="5719" width="26" style="1" bestFit="1" customWidth="1"/>
    <col min="5720" max="5720" width="71" style="1" bestFit="1" customWidth="1"/>
    <col min="5721" max="5721" width="17.5546875" style="1" bestFit="1" customWidth="1"/>
    <col min="5722" max="5722" width="27.33203125" style="1" bestFit="1" customWidth="1"/>
    <col min="5723" max="5723" width="17.33203125" style="1" bestFit="1" customWidth="1"/>
    <col min="5724" max="5725" width="8.88671875" style="1"/>
    <col min="5726" max="5726" width="5.6640625" style="1" bestFit="1" customWidth="1"/>
    <col min="5727" max="5727" width="15.44140625" style="1" bestFit="1" customWidth="1"/>
    <col min="5728" max="5728" width="22" style="1" bestFit="1" customWidth="1"/>
    <col min="5729" max="5729" width="71" style="1" bestFit="1" customWidth="1"/>
    <col min="5730" max="5730" width="18.5546875" style="1" bestFit="1" customWidth="1"/>
    <col min="5731" max="5731" width="27.33203125" style="1" bestFit="1" customWidth="1"/>
    <col min="5732" max="5732" width="16.44140625" style="1" bestFit="1" customWidth="1"/>
    <col min="5733" max="5890" width="8.88671875" style="1"/>
    <col min="5891" max="5891" width="18.88671875" style="1" bestFit="1" customWidth="1"/>
    <col min="5892" max="5892" width="14.88671875" style="1" customWidth="1"/>
    <col min="5893" max="5893" width="33.44140625" style="1" customWidth="1"/>
    <col min="5894" max="5894" width="31.109375" style="1" customWidth="1"/>
    <col min="5895" max="5895" width="22.5546875" style="1" bestFit="1" customWidth="1"/>
    <col min="5896" max="5896" width="20.88671875" style="1" bestFit="1" customWidth="1"/>
    <col min="5897" max="5898" width="19.33203125" style="1" bestFit="1" customWidth="1"/>
    <col min="5899" max="5899" width="20.88671875" style="1" bestFit="1" customWidth="1"/>
    <col min="5900" max="5900" width="16.33203125" style="1" bestFit="1" customWidth="1"/>
    <col min="5901" max="5902" width="19.109375" style="1" bestFit="1" customWidth="1"/>
    <col min="5903" max="5903" width="13.44140625" style="1" bestFit="1" customWidth="1"/>
    <col min="5904" max="5904" width="15.33203125" style="1" bestFit="1" customWidth="1"/>
    <col min="5905" max="5905" width="24.33203125" style="1" bestFit="1" customWidth="1"/>
    <col min="5906" max="5906" width="12.88671875" style="1" bestFit="1" customWidth="1"/>
    <col min="5907" max="5908" width="12.5546875" style="1" bestFit="1" customWidth="1"/>
    <col min="5909" max="5909" width="10.5546875" style="1" bestFit="1" customWidth="1"/>
    <col min="5910" max="5910" width="12.44140625" style="1" bestFit="1" customWidth="1"/>
    <col min="5911" max="5911" width="11.5546875" style="1" bestFit="1" customWidth="1"/>
    <col min="5912" max="5912" width="12" style="1" bestFit="1" customWidth="1"/>
    <col min="5913" max="5913" width="10.5546875" style="1" bestFit="1" customWidth="1"/>
    <col min="5914" max="5915" width="8.88671875" style="1"/>
    <col min="5916" max="5916" width="10.5546875" style="1" bestFit="1" customWidth="1"/>
    <col min="5917" max="5917" width="35" style="1" bestFit="1" customWidth="1"/>
    <col min="5918" max="5918" width="6.44140625" style="1" bestFit="1" customWidth="1"/>
    <col min="5919" max="5919" width="2.88671875" style="1" bestFit="1" customWidth="1"/>
    <col min="5920" max="5920" width="6.44140625" style="1" bestFit="1" customWidth="1"/>
    <col min="5921" max="5921" width="13.44140625" style="1" bestFit="1" customWidth="1"/>
    <col min="5922" max="5922" width="12.88671875" style="1" bestFit="1" customWidth="1"/>
    <col min="5923" max="5923" width="15.109375" style="1" bestFit="1" customWidth="1"/>
    <col min="5924" max="5924" width="12.88671875" style="1" bestFit="1" customWidth="1"/>
    <col min="5925" max="5925" width="13.88671875" style="1" customWidth="1"/>
    <col min="5926" max="5926" width="14.33203125" style="1" bestFit="1" customWidth="1"/>
    <col min="5927" max="5929" width="8.88671875" style="1"/>
    <col min="5930" max="5930" width="15.5546875" style="1" bestFit="1" customWidth="1"/>
    <col min="5931" max="5933" width="8.88671875" style="1"/>
    <col min="5934" max="5934" width="13.109375" style="1" bestFit="1" customWidth="1"/>
    <col min="5935" max="5935" width="12.88671875" style="1" bestFit="1" customWidth="1"/>
    <col min="5936" max="5936" width="14" style="1" bestFit="1" customWidth="1"/>
    <col min="5937" max="5937" width="12.33203125" style="1" bestFit="1" customWidth="1"/>
    <col min="5938" max="5938" width="13.44140625" style="1" bestFit="1" customWidth="1"/>
    <col min="5939" max="5939" width="15.109375" style="1" bestFit="1" customWidth="1"/>
    <col min="5940" max="5943" width="8.88671875" style="1"/>
    <col min="5944" max="5944" width="11.5546875" style="1" customWidth="1"/>
    <col min="5945" max="5945" width="12.109375" style="1" bestFit="1" customWidth="1"/>
    <col min="5946" max="5946" width="14" style="1" bestFit="1" customWidth="1"/>
    <col min="5947" max="5947" width="19.109375" style="1" bestFit="1" customWidth="1"/>
    <col min="5948" max="5948" width="23.44140625" style="1" bestFit="1" customWidth="1"/>
    <col min="5949" max="5949" width="25.88671875" style="1" bestFit="1" customWidth="1"/>
    <col min="5950" max="5950" width="18.33203125" style="1" bestFit="1" customWidth="1"/>
    <col min="5951" max="5951" width="17.109375" style="1" bestFit="1" customWidth="1"/>
    <col min="5952" max="5952" width="13.33203125" style="1" bestFit="1" customWidth="1"/>
    <col min="5953" max="5953" width="8.88671875" style="1"/>
    <col min="5954" max="5954" width="18.109375" style="1" bestFit="1" customWidth="1"/>
    <col min="5955" max="5955" width="23.44140625" style="1" bestFit="1" customWidth="1"/>
    <col min="5956" max="5959" width="8.88671875" style="1"/>
    <col min="5960" max="5960" width="14.88671875" style="1" bestFit="1" customWidth="1"/>
    <col min="5961" max="5961" width="18.109375" style="1" bestFit="1" customWidth="1"/>
    <col min="5962" max="5962" width="23.44140625" style="1" bestFit="1" customWidth="1"/>
    <col min="5963" max="5966" width="8.88671875" style="1"/>
    <col min="5967" max="5967" width="11" style="1" bestFit="1" customWidth="1"/>
    <col min="5968" max="5968" width="15.44140625" style="1" bestFit="1" customWidth="1"/>
    <col min="5969" max="5969" width="23.44140625" style="1" bestFit="1" customWidth="1"/>
    <col min="5970" max="5972" width="8.88671875" style="1"/>
    <col min="5973" max="5973" width="5.109375" style="1" customWidth="1"/>
    <col min="5974" max="5974" width="8.88671875" style="1"/>
    <col min="5975" max="5975" width="26" style="1" bestFit="1" customWidth="1"/>
    <col min="5976" max="5976" width="71" style="1" bestFit="1" customWidth="1"/>
    <col min="5977" max="5977" width="17.5546875" style="1" bestFit="1" customWidth="1"/>
    <col min="5978" max="5978" width="27.33203125" style="1" bestFit="1" customWidth="1"/>
    <col min="5979" max="5979" width="17.33203125" style="1" bestFit="1" customWidth="1"/>
    <col min="5980" max="5981" width="8.88671875" style="1"/>
    <col min="5982" max="5982" width="5.6640625" style="1" bestFit="1" customWidth="1"/>
    <col min="5983" max="5983" width="15.44140625" style="1" bestFit="1" customWidth="1"/>
    <col min="5984" max="5984" width="22" style="1" bestFit="1" customWidth="1"/>
    <col min="5985" max="5985" width="71" style="1" bestFit="1" customWidth="1"/>
    <col min="5986" max="5986" width="18.5546875" style="1" bestFit="1" customWidth="1"/>
    <col min="5987" max="5987" width="27.33203125" style="1" bestFit="1" customWidth="1"/>
    <col min="5988" max="5988" width="16.44140625" style="1" bestFit="1" customWidth="1"/>
    <col min="5989" max="6146" width="8.88671875" style="1"/>
    <col min="6147" max="6147" width="18.88671875" style="1" bestFit="1" customWidth="1"/>
    <col min="6148" max="6148" width="14.88671875" style="1" customWidth="1"/>
    <col min="6149" max="6149" width="33.44140625" style="1" customWidth="1"/>
    <col min="6150" max="6150" width="31.109375" style="1" customWidth="1"/>
    <col min="6151" max="6151" width="22.5546875" style="1" bestFit="1" customWidth="1"/>
    <col min="6152" max="6152" width="20.88671875" style="1" bestFit="1" customWidth="1"/>
    <col min="6153" max="6154" width="19.33203125" style="1" bestFit="1" customWidth="1"/>
    <col min="6155" max="6155" width="20.88671875" style="1" bestFit="1" customWidth="1"/>
    <col min="6156" max="6156" width="16.33203125" style="1" bestFit="1" customWidth="1"/>
    <col min="6157" max="6158" width="19.109375" style="1" bestFit="1" customWidth="1"/>
    <col min="6159" max="6159" width="13.44140625" style="1" bestFit="1" customWidth="1"/>
    <col min="6160" max="6160" width="15.33203125" style="1" bestFit="1" customWidth="1"/>
    <col min="6161" max="6161" width="24.33203125" style="1" bestFit="1" customWidth="1"/>
    <col min="6162" max="6162" width="12.88671875" style="1" bestFit="1" customWidth="1"/>
    <col min="6163" max="6164" width="12.5546875" style="1" bestFit="1" customWidth="1"/>
    <col min="6165" max="6165" width="10.5546875" style="1" bestFit="1" customWidth="1"/>
    <col min="6166" max="6166" width="12.44140625" style="1" bestFit="1" customWidth="1"/>
    <col min="6167" max="6167" width="11.5546875" style="1" bestFit="1" customWidth="1"/>
    <col min="6168" max="6168" width="12" style="1" bestFit="1" customWidth="1"/>
    <col min="6169" max="6169" width="10.5546875" style="1" bestFit="1" customWidth="1"/>
    <col min="6170" max="6171" width="8.88671875" style="1"/>
    <col min="6172" max="6172" width="10.5546875" style="1" bestFit="1" customWidth="1"/>
    <col min="6173" max="6173" width="35" style="1" bestFit="1" customWidth="1"/>
    <col min="6174" max="6174" width="6.44140625" style="1" bestFit="1" customWidth="1"/>
    <col min="6175" max="6175" width="2.88671875" style="1" bestFit="1" customWidth="1"/>
    <col min="6176" max="6176" width="6.44140625" style="1" bestFit="1" customWidth="1"/>
    <col min="6177" max="6177" width="13.44140625" style="1" bestFit="1" customWidth="1"/>
    <col min="6178" max="6178" width="12.88671875" style="1" bestFit="1" customWidth="1"/>
    <col min="6179" max="6179" width="15.109375" style="1" bestFit="1" customWidth="1"/>
    <col min="6180" max="6180" width="12.88671875" style="1" bestFit="1" customWidth="1"/>
    <col min="6181" max="6181" width="13.88671875" style="1" customWidth="1"/>
    <col min="6182" max="6182" width="14.33203125" style="1" bestFit="1" customWidth="1"/>
    <col min="6183" max="6185" width="8.88671875" style="1"/>
    <col min="6186" max="6186" width="15.5546875" style="1" bestFit="1" customWidth="1"/>
    <col min="6187" max="6189" width="8.88671875" style="1"/>
    <col min="6190" max="6190" width="13.109375" style="1" bestFit="1" customWidth="1"/>
    <col min="6191" max="6191" width="12.88671875" style="1" bestFit="1" customWidth="1"/>
    <col min="6192" max="6192" width="14" style="1" bestFit="1" customWidth="1"/>
    <col min="6193" max="6193" width="12.33203125" style="1" bestFit="1" customWidth="1"/>
    <col min="6194" max="6194" width="13.44140625" style="1" bestFit="1" customWidth="1"/>
    <col min="6195" max="6195" width="15.109375" style="1" bestFit="1" customWidth="1"/>
    <col min="6196" max="6199" width="8.88671875" style="1"/>
    <col min="6200" max="6200" width="11.5546875" style="1" customWidth="1"/>
    <col min="6201" max="6201" width="12.109375" style="1" bestFit="1" customWidth="1"/>
    <col min="6202" max="6202" width="14" style="1" bestFit="1" customWidth="1"/>
    <col min="6203" max="6203" width="19.109375" style="1" bestFit="1" customWidth="1"/>
    <col min="6204" max="6204" width="23.44140625" style="1" bestFit="1" customWidth="1"/>
    <col min="6205" max="6205" width="25.88671875" style="1" bestFit="1" customWidth="1"/>
    <col min="6206" max="6206" width="18.33203125" style="1" bestFit="1" customWidth="1"/>
    <col min="6207" max="6207" width="17.109375" style="1" bestFit="1" customWidth="1"/>
    <col min="6208" max="6208" width="13.33203125" style="1" bestFit="1" customWidth="1"/>
    <col min="6209" max="6209" width="8.88671875" style="1"/>
    <col min="6210" max="6210" width="18.109375" style="1" bestFit="1" customWidth="1"/>
    <col min="6211" max="6211" width="23.44140625" style="1" bestFit="1" customWidth="1"/>
    <col min="6212" max="6215" width="8.88671875" style="1"/>
    <col min="6216" max="6216" width="14.88671875" style="1" bestFit="1" customWidth="1"/>
    <col min="6217" max="6217" width="18.109375" style="1" bestFit="1" customWidth="1"/>
    <col min="6218" max="6218" width="23.44140625" style="1" bestFit="1" customWidth="1"/>
    <col min="6219" max="6222" width="8.88671875" style="1"/>
    <col min="6223" max="6223" width="11" style="1" bestFit="1" customWidth="1"/>
    <col min="6224" max="6224" width="15.44140625" style="1" bestFit="1" customWidth="1"/>
    <col min="6225" max="6225" width="23.44140625" style="1" bestFit="1" customWidth="1"/>
    <col min="6226" max="6228" width="8.88671875" style="1"/>
    <col min="6229" max="6229" width="5.109375" style="1" customWidth="1"/>
    <col min="6230" max="6230" width="8.88671875" style="1"/>
    <col min="6231" max="6231" width="26" style="1" bestFit="1" customWidth="1"/>
    <col min="6232" max="6232" width="71" style="1" bestFit="1" customWidth="1"/>
    <col min="6233" max="6233" width="17.5546875" style="1" bestFit="1" customWidth="1"/>
    <col min="6234" max="6234" width="27.33203125" style="1" bestFit="1" customWidth="1"/>
    <col min="6235" max="6235" width="17.33203125" style="1" bestFit="1" customWidth="1"/>
    <col min="6236" max="6237" width="8.88671875" style="1"/>
    <col min="6238" max="6238" width="5.6640625" style="1" bestFit="1" customWidth="1"/>
    <col min="6239" max="6239" width="15.44140625" style="1" bestFit="1" customWidth="1"/>
    <col min="6240" max="6240" width="22" style="1" bestFit="1" customWidth="1"/>
    <col min="6241" max="6241" width="71" style="1" bestFit="1" customWidth="1"/>
    <col min="6242" max="6242" width="18.5546875" style="1" bestFit="1" customWidth="1"/>
    <col min="6243" max="6243" width="27.33203125" style="1" bestFit="1" customWidth="1"/>
    <col min="6244" max="6244" width="16.44140625" style="1" bestFit="1" customWidth="1"/>
    <col min="6245" max="6402" width="8.88671875" style="1"/>
    <col min="6403" max="6403" width="18.88671875" style="1" bestFit="1" customWidth="1"/>
    <col min="6404" max="6404" width="14.88671875" style="1" customWidth="1"/>
    <col min="6405" max="6405" width="33.44140625" style="1" customWidth="1"/>
    <col min="6406" max="6406" width="31.109375" style="1" customWidth="1"/>
    <col min="6407" max="6407" width="22.5546875" style="1" bestFit="1" customWidth="1"/>
    <col min="6408" max="6408" width="20.88671875" style="1" bestFit="1" customWidth="1"/>
    <col min="6409" max="6410" width="19.33203125" style="1" bestFit="1" customWidth="1"/>
    <col min="6411" max="6411" width="20.88671875" style="1" bestFit="1" customWidth="1"/>
    <col min="6412" max="6412" width="16.33203125" style="1" bestFit="1" customWidth="1"/>
    <col min="6413" max="6414" width="19.109375" style="1" bestFit="1" customWidth="1"/>
    <col min="6415" max="6415" width="13.44140625" style="1" bestFit="1" customWidth="1"/>
    <col min="6416" max="6416" width="15.33203125" style="1" bestFit="1" customWidth="1"/>
    <col min="6417" max="6417" width="24.33203125" style="1" bestFit="1" customWidth="1"/>
    <col min="6418" max="6418" width="12.88671875" style="1" bestFit="1" customWidth="1"/>
    <col min="6419" max="6420" width="12.5546875" style="1" bestFit="1" customWidth="1"/>
    <col min="6421" max="6421" width="10.5546875" style="1" bestFit="1" customWidth="1"/>
    <col min="6422" max="6422" width="12.44140625" style="1" bestFit="1" customWidth="1"/>
    <col min="6423" max="6423" width="11.5546875" style="1" bestFit="1" customWidth="1"/>
    <col min="6424" max="6424" width="12" style="1" bestFit="1" customWidth="1"/>
    <col min="6425" max="6425" width="10.5546875" style="1" bestFit="1" customWidth="1"/>
    <col min="6426" max="6427" width="8.88671875" style="1"/>
    <col min="6428" max="6428" width="10.5546875" style="1" bestFit="1" customWidth="1"/>
    <col min="6429" max="6429" width="35" style="1" bestFit="1" customWidth="1"/>
    <col min="6430" max="6430" width="6.44140625" style="1" bestFit="1" customWidth="1"/>
    <col min="6431" max="6431" width="2.88671875" style="1" bestFit="1" customWidth="1"/>
    <col min="6432" max="6432" width="6.44140625" style="1" bestFit="1" customWidth="1"/>
    <col min="6433" max="6433" width="13.44140625" style="1" bestFit="1" customWidth="1"/>
    <col min="6434" max="6434" width="12.88671875" style="1" bestFit="1" customWidth="1"/>
    <col min="6435" max="6435" width="15.109375" style="1" bestFit="1" customWidth="1"/>
    <col min="6436" max="6436" width="12.88671875" style="1" bestFit="1" customWidth="1"/>
    <col min="6437" max="6437" width="13.88671875" style="1" customWidth="1"/>
    <col min="6438" max="6438" width="14.33203125" style="1" bestFit="1" customWidth="1"/>
    <col min="6439" max="6441" width="8.88671875" style="1"/>
    <col min="6442" max="6442" width="15.5546875" style="1" bestFit="1" customWidth="1"/>
    <col min="6443" max="6445" width="8.88671875" style="1"/>
    <col min="6446" max="6446" width="13.109375" style="1" bestFit="1" customWidth="1"/>
    <col min="6447" max="6447" width="12.88671875" style="1" bestFit="1" customWidth="1"/>
    <col min="6448" max="6448" width="14" style="1" bestFit="1" customWidth="1"/>
    <col min="6449" max="6449" width="12.33203125" style="1" bestFit="1" customWidth="1"/>
    <col min="6450" max="6450" width="13.44140625" style="1" bestFit="1" customWidth="1"/>
    <col min="6451" max="6451" width="15.109375" style="1" bestFit="1" customWidth="1"/>
    <col min="6452" max="6455" width="8.88671875" style="1"/>
    <col min="6456" max="6456" width="11.5546875" style="1" customWidth="1"/>
    <col min="6457" max="6457" width="12.109375" style="1" bestFit="1" customWidth="1"/>
    <col min="6458" max="6458" width="14" style="1" bestFit="1" customWidth="1"/>
    <col min="6459" max="6459" width="19.109375" style="1" bestFit="1" customWidth="1"/>
    <col min="6460" max="6460" width="23.44140625" style="1" bestFit="1" customWidth="1"/>
    <col min="6461" max="6461" width="25.88671875" style="1" bestFit="1" customWidth="1"/>
    <col min="6462" max="6462" width="18.33203125" style="1" bestFit="1" customWidth="1"/>
    <col min="6463" max="6463" width="17.109375" style="1" bestFit="1" customWidth="1"/>
    <col min="6464" max="6464" width="13.33203125" style="1" bestFit="1" customWidth="1"/>
    <col min="6465" max="6465" width="8.88671875" style="1"/>
    <col min="6466" max="6466" width="18.109375" style="1" bestFit="1" customWidth="1"/>
    <col min="6467" max="6467" width="23.44140625" style="1" bestFit="1" customWidth="1"/>
    <col min="6468" max="6471" width="8.88671875" style="1"/>
    <col min="6472" max="6472" width="14.88671875" style="1" bestFit="1" customWidth="1"/>
    <col min="6473" max="6473" width="18.109375" style="1" bestFit="1" customWidth="1"/>
    <col min="6474" max="6474" width="23.44140625" style="1" bestFit="1" customWidth="1"/>
    <col min="6475" max="6478" width="8.88671875" style="1"/>
    <col min="6479" max="6479" width="11" style="1" bestFit="1" customWidth="1"/>
    <col min="6480" max="6480" width="15.44140625" style="1" bestFit="1" customWidth="1"/>
    <col min="6481" max="6481" width="23.44140625" style="1" bestFit="1" customWidth="1"/>
    <col min="6482" max="6484" width="8.88671875" style="1"/>
    <col min="6485" max="6485" width="5.109375" style="1" customWidth="1"/>
    <col min="6486" max="6486" width="8.88671875" style="1"/>
    <col min="6487" max="6487" width="26" style="1" bestFit="1" customWidth="1"/>
    <col min="6488" max="6488" width="71" style="1" bestFit="1" customWidth="1"/>
    <col min="6489" max="6489" width="17.5546875" style="1" bestFit="1" customWidth="1"/>
    <col min="6490" max="6490" width="27.33203125" style="1" bestFit="1" customWidth="1"/>
    <col min="6491" max="6491" width="17.33203125" style="1" bestFit="1" customWidth="1"/>
    <col min="6492" max="6493" width="8.88671875" style="1"/>
    <col min="6494" max="6494" width="5.6640625" style="1" bestFit="1" customWidth="1"/>
    <col min="6495" max="6495" width="15.44140625" style="1" bestFit="1" customWidth="1"/>
    <col min="6496" max="6496" width="22" style="1" bestFit="1" customWidth="1"/>
    <col min="6497" max="6497" width="71" style="1" bestFit="1" customWidth="1"/>
    <col min="6498" max="6498" width="18.5546875" style="1" bestFit="1" customWidth="1"/>
    <col min="6499" max="6499" width="27.33203125" style="1" bestFit="1" customWidth="1"/>
    <col min="6500" max="6500" width="16.44140625" style="1" bestFit="1" customWidth="1"/>
    <col min="6501" max="6658" width="8.88671875" style="1"/>
    <col min="6659" max="6659" width="18.88671875" style="1" bestFit="1" customWidth="1"/>
    <col min="6660" max="6660" width="14.88671875" style="1" customWidth="1"/>
    <col min="6661" max="6661" width="33.44140625" style="1" customWidth="1"/>
    <col min="6662" max="6662" width="31.109375" style="1" customWidth="1"/>
    <col min="6663" max="6663" width="22.5546875" style="1" bestFit="1" customWidth="1"/>
    <col min="6664" max="6664" width="20.88671875" style="1" bestFit="1" customWidth="1"/>
    <col min="6665" max="6666" width="19.33203125" style="1" bestFit="1" customWidth="1"/>
    <col min="6667" max="6667" width="20.88671875" style="1" bestFit="1" customWidth="1"/>
    <col min="6668" max="6668" width="16.33203125" style="1" bestFit="1" customWidth="1"/>
    <col min="6669" max="6670" width="19.109375" style="1" bestFit="1" customWidth="1"/>
    <col min="6671" max="6671" width="13.44140625" style="1" bestFit="1" customWidth="1"/>
    <col min="6672" max="6672" width="15.33203125" style="1" bestFit="1" customWidth="1"/>
    <col min="6673" max="6673" width="24.33203125" style="1" bestFit="1" customWidth="1"/>
    <col min="6674" max="6674" width="12.88671875" style="1" bestFit="1" customWidth="1"/>
    <col min="6675" max="6676" width="12.5546875" style="1" bestFit="1" customWidth="1"/>
    <col min="6677" max="6677" width="10.5546875" style="1" bestFit="1" customWidth="1"/>
    <col min="6678" max="6678" width="12.44140625" style="1" bestFit="1" customWidth="1"/>
    <col min="6679" max="6679" width="11.5546875" style="1" bestFit="1" customWidth="1"/>
    <col min="6680" max="6680" width="12" style="1" bestFit="1" customWidth="1"/>
    <col min="6681" max="6681" width="10.5546875" style="1" bestFit="1" customWidth="1"/>
    <col min="6682" max="6683" width="8.88671875" style="1"/>
    <col min="6684" max="6684" width="10.5546875" style="1" bestFit="1" customWidth="1"/>
    <col min="6685" max="6685" width="35" style="1" bestFit="1" customWidth="1"/>
    <col min="6686" max="6686" width="6.44140625" style="1" bestFit="1" customWidth="1"/>
    <col min="6687" max="6687" width="2.88671875" style="1" bestFit="1" customWidth="1"/>
    <col min="6688" max="6688" width="6.44140625" style="1" bestFit="1" customWidth="1"/>
    <col min="6689" max="6689" width="13.44140625" style="1" bestFit="1" customWidth="1"/>
    <col min="6690" max="6690" width="12.88671875" style="1" bestFit="1" customWidth="1"/>
    <col min="6691" max="6691" width="15.109375" style="1" bestFit="1" customWidth="1"/>
    <col min="6692" max="6692" width="12.88671875" style="1" bestFit="1" customWidth="1"/>
    <col min="6693" max="6693" width="13.88671875" style="1" customWidth="1"/>
    <col min="6694" max="6694" width="14.33203125" style="1" bestFit="1" customWidth="1"/>
    <col min="6695" max="6697" width="8.88671875" style="1"/>
    <col min="6698" max="6698" width="15.5546875" style="1" bestFit="1" customWidth="1"/>
    <col min="6699" max="6701" width="8.88671875" style="1"/>
    <col min="6702" max="6702" width="13.109375" style="1" bestFit="1" customWidth="1"/>
    <col min="6703" max="6703" width="12.88671875" style="1" bestFit="1" customWidth="1"/>
    <col min="6704" max="6704" width="14" style="1" bestFit="1" customWidth="1"/>
    <col min="6705" max="6705" width="12.33203125" style="1" bestFit="1" customWidth="1"/>
    <col min="6706" max="6706" width="13.44140625" style="1" bestFit="1" customWidth="1"/>
    <col min="6707" max="6707" width="15.109375" style="1" bestFit="1" customWidth="1"/>
    <col min="6708" max="6711" width="8.88671875" style="1"/>
    <col min="6712" max="6712" width="11.5546875" style="1" customWidth="1"/>
    <col min="6713" max="6713" width="12.109375" style="1" bestFit="1" customWidth="1"/>
    <col min="6714" max="6714" width="14" style="1" bestFit="1" customWidth="1"/>
    <col min="6715" max="6715" width="19.109375" style="1" bestFit="1" customWidth="1"/>
    <col min="6716" max="6716" width="23.44140625" style="1" bestFit="1" customWidth="1"/>
    <col min="6717" max="6717" width="25.88671875" style="1" bestFit="1" customWidth="1"/>
    <col min="6718" max="6718" width="18.33203125" style="1" bestFit="1" customWidth="1"/>
    <col min="6719" max="6719" width="17.109375" style="1" bestFit="1" customWidth="1"/>
    <col min="6720" max="6720" width="13.33203125" style="1" bestFit="1" customWidth="1"/>
    <col min="6721" max="6721" width="8.88671875" style="1"/>
    <col min="6722" max="6722" width="18.109375" style="1" bestFit="1" customWidth="1"/>
    <col min="6723" max="6723" width="23.44140625" style="1" bestFit="1" customWidth="1"/>
    <col min="6724" max="6727" width="8.88671875" style="1"/>
    <col min="6728" max="6728" width="14.88671875" style="1" bestFit="1" customWidth="1"/>
    <col min="6729" max="6729" width="18.109375" style="1" bestFit="1" customWidth="1"/>
    <col min="6730" max="6730" width="23.44140625" style="1" bestFit="1" customWidth="1"/>
    <col min="6731" max="6734" width="8.88671875" style="1"/>
    <col min="6735" max="6735" width="11" style="1" bestFit="1" customWidth="1"/>
    <col min="6736" max="6736" width="15.44140625" style="1" bestFit="1" customWidth="1"/>
    <col min="6737" max="6737" width="23.44140625" style="1" bestFit="1" customWidth="1"/>
    <col min="6738" max="6740" width="8.88671875" style="1"/>
    <col min="6741" max="6741" width="5.109375" style="1" customWidth="1"/>
    <col min="6742" max="6742" width="8.88671875" style="1"/>
    <col min="6743" max="6743" width="26" style="1" bestFit="1" customWidth="1"/>
    <col min="6744" max="6744" width="71" style="1" bestFit="1" customWidth="1"/>
    <col min="6745" max="6745" width="17.5546875" style="1" bestFit="1" customWidth="1"/>
    <col min="6746" max="6746" width="27.33203125" style="1" bestFit="1" customWidth="1"/>
    <col min="6747" max="6747" width="17.33203125" style="1" bestFit="1" customWidth="1"/>
    <col min="6748" max="6749" width="8.88671875" style="1"/>
    <col min="6750" max="6750" width="5.6640625" style="1" bestFit="1" customWidth="1"/>
    <col min="6751" max="6751" width="15.44140625" style="1" bestFit="1" customWidth="1"/>
    <col min="6752" max="6752" width="22" style="1" bestFit="1" customWidth="1"/>
    <col min="6753" max="6753" width="71" style="1" bestFit="1" customWidth="1"/>
    <col min="6754" max="6754" width="18.5546875" style="1" bestFit="1" customWidth="1"/>
    <col min="6755" max="6755" width="27.33203125" style="1" bestFit="1" customWidth="1"/>
    <col min="6756" max="6756" width="16.44140625" style="1" bestFit="1" customWidth="1"/>
    <col min="6757" max="6914" width="8.88671875" style="1"/>
    <col min="6915" max="6915" width="18.88671875" style="1" bestFit="1" customWidth="1"/>
    <col min="6916" max="6916" width="14.88671875" style="1" customWidth="1"/>
    <col min="6917" max="6917" width="33.44140625" style="1" customWidth="1"/>
    <col min="6918" max="6918" width="31.109375" style="1" customWidth="1"/>
    <col min="6919" max="6919" width="22.5546875" style="1" bestFit="1" customWidth="1"/>
    <col min="6920" max="6920" width="20.88671875" style="1" bestFit="1" customWidth="1"/>
    <col min="6921" max="6922" width="19.33203125" style="1" bestFit="1" customWidth="1"/>
    <col min="6923" max="6923" width="20.88671875" style="1" bestFit="1" customWidth="1"/>
    <col min="6924" max="6924" width="16.33203125" style="1" bestFit="1" customWidth="1"/>
    <col min="6925" max="6926" width="19.109375" style="1" bestFit="1" customWidth="1"/>
    <col min="6927" max="6927" width="13.44140625" style="1" bestFit="1" customWidth="1"/>
    <col min="6928" max="6928" width="15.33203125" style="1" bestFit="1" customWidth="1"/>
    <col min="6929" max="6929" width="24.33203125" style="1" bestFit="1" customWidth="1"/>
    <col min="6930" max="6930" width="12.88671875" style="1" bestFit="1" customWidth="1"/>
    <col min="6931" max="6932" width="12.5546875" style="1" bestFit="1" customWidth="1"/>
    <col min="6933" max="6933" width="10.5546875" style="1" bestFit="1" customWidth="1"/>
    <col min="6934" max="6934" width="12.44140625" style="1" bestFit="1" customWidth="1"/>
    <col min="6935" max="6935" width="11.5546875" style="1" bestFit="1" customWidth="1"/>
    <col min="6936" max="6936" width="12" style="1" bestFit="1" customWidth="1"/>
    <col min="6937" max="6937" width="10.5546875" style="1" bestFit="1" customWidth="1"/>
    <col min="6938" max="6939" width="8.88671875" style="1"/>
    <col min="6940" max="6940" width="10.5546875" style="1" bestFit="1" customWidth="1"/>
    <col min="6941" max="6941" width="35" style="1" bestFit="1" customWidth="1"/>
    <col min="6942" max="6942" width="6.44140625" style="1" bestFit="1" customWidth="1"/>
    <col min="6943" max="6943" width="2.88671875" style="1" bestFit="1" customWidth="1"/>
    <col min="6944" max="6944" width="6.44140625" style="1" bestFit="1" customWidth="1"/>
    <col min="6945" max="6945" width="13.44140625" style="1" bestFit="1" customWidth="1"/>
    <col min="6946" max="6946" width="12.88671875" style="1" bestFit="1" customWidth="1"/>
    <col min="6947" max="6947" width="15.109375" style="1" bestFit="1" customWidth="1"/>
    <col min="6948" max="6948" width="12.88671875" style="1" bestFit="1" customWidth="1"/>
    <col min="6949" max="6949" width="13.88671875" style="1" customWidth="1"/>
    <col min="6950" max="6950" width="14.33203125" style="1" bestFit="1" customWidth="1"/>
    <col min="6951" max="6953" width="8.88671875" style="1"/>
    <col min="6954" max="6954" width="15.5546875" style="1" bestFit="1" customWidth="1"/>
    <col min="6955" max="6957" width="8.88671875" style="1"/>
    <col min="6958" max="6958" width="13.109375" style="1" bestFit="1" customWidth="1"/>
    <col min="6959" max="6959" width="12.88671875" style="1" bestFit="1" customWidth="1"/>
    <col min="6960" max="6960" width="14" style="1" bestFit="1" customWidth="1"/>
    <col min="6961" max="6961" width="12.33203125" style="1" bestFit="1" customWidth="1"/>
    <col min="6962" max="6962" width="13.44140625" style="1" bestFit="1" customWidth="1"/>
    <col min="6963" max="6963" width="15.109375" style="1" bestFit="1" customWidth="1"/>
    <col min="6964" max="6967" width="8.88671875" style="1"/>
    <col min="6968" max="6968" width="11.5546875" style="1" customWidth="1"/>
    <col min="6969" max="6969" width="12.109375" style="1" bestFit="1" customWidth="1"/>
    <col min="6970" max="6970" width="14" style="1" bestFit="1" customWidth="1"/>
    <col min="6971" max="6971" width="19.109375" style="1" bestFit="1" customWidth="1"/>
    <col min="6972" max="6972" width="23.44140625" style="1" bestFit="1" customWidth="1"/>
    <col min="6973" max="6973" width="25.88671875" style="1" bestFit="1" customWidth="1"/>
    <col min="6974" max="6974" width="18.33203125" style="1" bestFit="1" customWidth="1"/>
    <col min="6975" max="6975" width="17.109375" style="1" bestFit="1" customWidth="1"/>
    <col min="6976" max="6976" width="13.33203125" style="1" bestFit="1" customWidth="1"/>
    <col min="6977" max="6977" width="8.88671875" style="1"/>
    <col min="6978" max="6978" width="18.109375" style="1" bestFit="1" customWidth="1"/>
    <col min="6979" max="6979" width="23.44140625" style="1" bestFit="1" customWidth="1"/>
    <col min="6980" max="6983" width="8.88671875" style="1"/>
    <col min="6984" max="6984" width="14.88671875" style="1" bestFit="1" customWidth="1"/>
    <col min="6985" max="6985" width="18.109375" style="1" bestFit="1" customWidth="1"/>
    <col min="6986" max="6986" width="23.44140625" style="1" bestFit="1" customWidth="1"/>
    <col min="6987" max="6990" width="8.88671875" style="1"/>
    <col min="6991" max="6991" width="11" style="1" bestFit="1" customWidth="1"/>
    <col min="6992" max="6992" width="15.44140625" style="1" bestFit="1" customWidth="1"/>
    <col min="6993" max="6993" width="23.44140625" style="1" bestFit="1" customWidth="1"/>
    <col min="6994" max="6996" width="8.88671875" style="1"/>
    <col min="6997" max="6997" width="5.109375" style="1" customWidth="1"/>
    <col min="6998" max="6998" width="8.88671875" style="1"/>
    <col min="6999" max="6999" width="26" style="1" bestFit="1" customWidth="1"/>
    <col min="7000" max="7000" width="71" style="1" bestFit="1" customWidth="1"/>
    <col min="7001" max="7001" width="17.5546875" style="1" bestFit="1" customWidth="1"/>
    <col min="7002" max="7002" width="27.33203125" style="1" bestFit="1" customWidth="1"/>
    <col min="7003" max="7003" width="17.33203125" style="1" bestFit="1" customWidth="1"/>
    <col min="7004" max="7005" width="8.88671875" style="1"/>
    <col min="7006" max="7006" width="5.6640625" style="1" bestFit="1" customWidth="1"/>
    <col min="7007" max="7007" width="15.44140625" style="1" bestFit="1" customWidth="1"/>
    <col min="7008" max="7008" width="22" style="1" bestFit="1" customWidth="1"/>
    <col min="7009" max="7009" width="71" style="1" bestFit="1" customWidth="1"/>
    <col min="7010" max="7010" width="18.5546875" style="1" bestFit="1" customWidth="1"/>
    <col min="7011" max="7011" width="27.33203125" style="1" bestFit="1" customWidth="1"/>
    <col min="7012" max="7012" width="16.44140625" style="1" bestFit="1" customWidth="1"/>
    <col min="7013" max="7170" width="8.88671875" style="1"/>
    <col min="7171" max="7171" width="18.88671875" style="1" bestFit="1" customWidth="1"/>
    <col min="7172" max="7172" width="14.88671875" style="1" customWidth="1"/>
    <col min="7173" max="7173" width="33.44140625" style="1" customWidth="1"/>
    <col min="7174" max="7174" width="31.109375" style="1" customWidth="1"/>
    <col min="7175" max="7175" width="22.5546875" style="1" bestFit="1" customWidth="1"/>
    <col min="7176" max="7176" width="20.88671875" style="1" bestFit="1" customWidth="1"/>
    <col min="7177" max="7178" width="19.33203125" style="1" bestFit="1" customWidth="1"/>
    <col min="7179" max="7179" width="20.88671875" style="1" bestFit="1" customWidth="1"/>
    <col min="7180" max="7180" width="16.33203125" style="1" bestFit="1" customWidth="1"/>
    <col min="7181" max="7182" width="19.109375" style="1" bestFit="1" customWidth="1"/>
    <col min="7183" max="7183" width="13.44140625" style="1" bestFit="1" customWidth="1"/>
    <col min="7184" max="7184" width="15.33203125" style="1" bestFit="1" customWidth="1"/>
    <col min="7185" max="7185" width="24.33203125" style="1" bestFit="1" customWidth="1"/>
    <col min="7186" max="7186" width="12.88671875" style="1" bestFit="1" customWidth="1"/>
    <col min="7187" max="7188" width="12.5546875" style="1" bestFit="1" customWidth="1"/>
    <col min="7189" max="7189" width="10.5546875" style="1" bestFit="1" customWidth="1"/>
    <col min="7190" max="7190" width="12.44140625" style="1" bestFit="1" customWidth="1"/>
    <col min="7191" max="7191" width="11.5546875" style="1" bestFit="1" customWidth="1"/>
    <col min="7192" max="7192" width="12" style="1" bestFit="1" customWidth="1"/>
    <col min="7193" max="7193" width="10.5546875" style="1" bestFit="1" customWidth="1"/>
    <col min="7194" max="7195" width="8.88671875" style="1"/>
    <col min="7196" max="7196" width="10.5546875" style="1" bestFit="1" customWidth="1"/>
    <col min="7197" max="7197" width="35" style="1" bestFit="1" customWidth="1"/>
    <col min="7198" max="7198" width="6.44140625" style="1" bestFit="1" customWidth="1"/>
    <col min="7199" max="7199" width="2.88671875" style="1" bestFit="1" customWidth="1"/>
    <col min="7200" max="7200" width="6.44140625" style="1" bestFit="1" customWidth="1"/>
    <col min="7201" max="7201" width="13.44140625" style="1" bestFit="1" customWidth="1"/>
    <col min="7202" max="7202" width="12.88671875" style="1" bestFit="1" customWidth="1"/>
    <col min="7203" max="7203" width="15.109375" style="1" bestFit="1" customWidth="1"/>
    <col min="7204" max="7204" width="12.88671875" style="1" bestFit="1" customWidth="1"/>
    <col min="7205" max="7205" width="13.88671875" style="1" customWidth="1"/>
    <col min="7206" max="7206" width="14.33203125" style="1" bestFit="1" customWidth="1"/>
    <col min="7207" max="7209" width="8.88671875" style="1"/>
    <col min="7210" max="7210" width="15.5546875" style="1" bestFit="1" customWidth="1"/>
    <col min="7211" max="7213" width="8.88671875" style="1"/>
    <col min="7214" max="7214" width="13.109375" style="1" bestFit="1" customWidth="1"/>
    <col min="7215" max="7215" width="12.88671875" style="1" bestFit="1" customWidth="1"/>
    <col min="7216" max="7216" width="14" style="1" bestFit="1" customWidth="1"/>
    <col min="7217" max="7217" width="12.33203125" style="1" bestFit="1" customWidth="1"/>
    <col min="7218" max="7218" width="13.44140625" style="1" bestFit="1" customWidth="1"/>
    <col min="7219" max="7219" width="15.109375" style="1" bestFit="1" customWidth="1"/>
    <col min="7220" max="7223" width="8.88671875" style="1"/>
    <col min="7224" max="7224" width="11.5546875" style="1" customWidth="1"/>
    <col min="7225" max="7225" width="12.109375" style="1" bestFit="1" customWidth="1"/>
    <col min="7226" max="7226" width="14" style="1" bestFit="1" customWidth="1"/>
    <col min="7227" max="7227" width="19.109375" style="1" bestFit="1" customWidth="1"/>
    <col min="7228" max="7228" width="23.44140625" style="1" bestFit="1" customWidth="1"/>
    <col min="7229" max="7229" width="25.88671875" style="1" bestFit="1" customWidth="1"/>
    <col min="7230" max="7230" width="18.33203125" style="1" bestFit="1" customWidth="1"/>
    <col min="7231" max="7231" width="17.109375" style="1" bestFit="1" customWidth="1"/>
    <col min="7232" max="7232" width="13.33203125" style="1" bestFit="1" customWidth="1"/>
    <col min="7233" max="7233" width="8.88671875" style="1"/>
    <col min="7234" max="7234" width="18.109375" style="1" bestFit="1" customWidth="1"/>
    <col min="7235" max="7235" width="23.44140625" style="1" bestFit="1" customWidth="1"/>
    <col min="7236" max="7239" width="8.88671875" style="1"/>
    <col min="7240" max="7240" width="14.88671875" style="1" bestFit="1" customWidth="1"/>
    <col min="7241" max="7241" width="18.109375" style="1" bestFit="1" customWidth="1"/>
    <col min="7242" max="7242" width="23.44140625" style="1" bestFit="1" customWidth="1"/>
    <col min="7243" max="7246" width="8.88671875" style="1"/>
    <col min="7247" max="7247" width="11" style="1" bestFit="1" customWidth="1"/>
    <col min="7248" max="7248" width="15.44140625" style="1" bestFit="1" customWidth="1"/>
    <col min="7249" max="7249" width="23.44140625" style="1" bestFit="1" customWidth="1"/>
    <col min="7250" max="7252" width="8.88671875" style="1"/>
    <col min="7253" max="7253" width="5.109375" style="1" customWidth="1"/>
    <col min="7254" max="7254" width="8.88671875" style="1"/>
    <col min="7255" max="7255" width="26" style="1" bestFit="1" customWidth="1"/>
    <col min="7256" max="7256" width="71" style="1" bestFit="1" customWidth="1"/>
    <col min="7257" max="7257" width="17.5546875" style="1" bestFit="1" customWidth="1"/>
    <col min="7258" max="7258" width="27.33203125" style="1" bestFit="1" customWidth="1"/>
    <col min="7259" max="7259" width="17.33203125" style="1" bestFit="1" customWidth="1"/>
    <col min="7260" max="7261" width="8.88671875" style="1"/>
    <col min="7262" max="7262" width="5.6640625" style="1" bestFit="1" customWidth="1"/>
    <col min="7263" max="7263" width="15.44140625" style="1" bestFit="1" customWidth="1"/>
    <col min="7264" max="7264" width="22" style="1" bestFit="1" customWidth="1"/>
    <col min="7265" max="7265" width="71" style="1" bestFit="1" customWidth="1"/>
    <col min="7266" max="7266" width="18.5546875" style="1" bestFit="1" customWidth="1"/>
    <col min="7267" max="7267" width="27.33203125" style="1" bestFit="1" customWidth="1"/>
    <col min="7268" max="7268" width="16.44140625" style="1" bestFit="1" customWidth="1"/>
    <col min="7269" max="7426" width="8.88671875" style="1"/>
    <col min="7427" max="7427" width="18.88671875" style="1" bestFit="1" customWidth="1"/>
    <col min="7428" max="7428" width="14.88671875" style="1" customWidth="1"/>
    <col min="7429" max="7429" width="33.44140625" style="1" customWidth="1"/>
    <col min="7430" max="7430" width="31.109375" style="1" customWidth="1"/>
    <col min="7431" max="7431" width="22.5546875" style="1" bestFit="1" customWidth="1"/>
    <col min="7432" max="7432" width="20.88671875" style="1" bestFit="1" customWidth="1"/>
    <col min="7433" max="7434" width="19.33203125" style="1" bestFit="1" customWidth="1"/>
    <col min="7435" max="7435" width="20.88671875" style="1" bestFit="1" customWidth="1"/>
    <col min="7436" max="7436" width="16.33203125" style="1" bestFit="1" customWidth="1"/>
    <col min="7437" max="7438" width="19.109375" style="1" bestFit="1" customWidth="1"/>
    <col min="7439" max="7439" width="13.44140625" style="1" bestFit="1" customWidth="1"/>
    <col min="7440" max="7440" width="15.33203125" style="1" bestFit="1" customWidth="1"/>
    <col min="7441" max="7441" width="24.33203125" style="1" bestFit="1" customWidth="1"/>
    <col min="7442" max="7442" width="12.88671875" style="1" bestFit="1" customWidth="1"/>
    <col min="7443" max="7444" width="12.5546875" style="1" bestFit="1" customWidth="1"/>
    <col min="7445" max="7445" width="10.5546875" style="1" bestFit="1" customWidth="1"/>
    <col min="7446" max="7446" width="12.44140625" style="1" bestFit="1" customWidth="1"/>
    <col min="7447" max="7447" width="11.5546875" style="1" bestFit="1" customWidth="1"/>
    <col min="7448" max="7448" width="12" style="1" bestFit="1" customWidth="1"/>
    <col min="7449" max="7449" width="10.5546875" style="1" bestFit="1" customWidth="1"/>
    <col min="7450" max="7451" width="8.88671875" style="1"/>
    <col min="7452" max="7452" width="10.5546875" style="1" bestFit="1" customWidth="1"/>
    <col min="7453" max="7453" width="35" style="1" bestFit="1" customWidth="1"/>
    <col min="7454" max="7454" width="6.44140625" style="1" bestFit="1" customWidth="1"/>
    <col min="7455" max="7455" width="2.88671875" style="1" bestFit="1" customWidth="1"/>
    <col min="7456" max="7456" width="6.44140625" style="1" bestFit="1" customWidth="1"/>
    <col min="7457" max="7457" width="13.44140625" style="1" bestFit="1" customWidth="1"/>
    <col min="7458" max="7458" width="12.88671875" style="1" bestFit="1" customWidth="1"/>
    <col min="7459" max="7459" width="15.109375" style="1" bestFit="1" customWidth="1"/>
    <col min="7460" max="7460" width="12.88671875" style="1" bestFit="1" customWidth="1"/>
    <col min="7461" max="7461" width="13.88671875" style="1" customWidth="1"/>
    <col min="7462" max="7462" width="14.33203125" style="1" bestFit="1" customWidth="1"/>
    <col min="7463" max="7465" width="8.88671875" style="1"/>
    <col min="7466" max="7466" width="15.5546875" style="1" bestFit="1" customWidth="1"/>
    <col min="7467" max="7469" width="8.88671875" style="1"/>
    <col min="7470" max="7470" width="13.109375" style="1" bestFit="1" customWidth="1"/>
    <col min="7471" max="7471" width="12.88671875" style="1" bestFit="1" customWidth="1"/>
    <col min="7472" max="7472" width="14" style="1" bestFit="1" customWidth="1"/>
    <col min="7473" max="7473" width="12.33203125" style="1" bestFit="1" customWidth="1"/>
    <col min="7474" max="7474" width="13.44140625" style="1" bestFit="1" customWidth="1"/>
    <col min="7475" max="7475" width="15.109375" style="1" bestFit="1" customWidth="1"/>
    <col min="7476" max="7479" width="8.88671875" style="1"/>
    <col min="7480" max="7480" width="11.5546875" style="1" customWidth="1"/>
    <col min="7481" max="7481" width="12.109375" style="1" bestFit="1" customWidth="1"/>
    <col min="7482" max="7482" width="14" style="1" bestFit="1" customWidth="1"/>
    <col min="7483" max="7483" width="19.109375" style="1" bestFit="1" customWidth="1"/>
    <col min="7484" max="7484" width="23.44140625" style="1" bestFit="1" customWidth="1"/>
    <col min="7485" max="7485" width="25.88671875" style="1" bestFit="1" customWidth="1"/>
    <col min="7486" max="7486" width="18.33203125" style="1" bestFit="1" customWidth="1"/>
    <col min="7487" max="7487" width="17.109375" style="1" bestFit="1" customWidth="1"/>
    <col min="7488" max="7488" width="13.33203125" style="1" bestFit="1" customWidth="1"/>
    <col min="7489" max="7489" width="8.88671875" style="1"/>
    <col min="7490" max="7490" width="18.109375" style="1" bestFit="1" customWidth="1"/>
    <col min="7491" max="7491" width="23.44140625" style="1" bestFit="1" customWidth="1"/>
    <col min="7492" max="7495" width="8.88671875" style="1"/>
    <col min="7496" max="7496" width="14.88671875" style="1" bestFit="1" customWidth="1"/>
    <col min="7497" max="7497" width="18.109375" style="1" bestFit="1" customWidth="1"/>
    <col min="7498" max="7498" width="23.44140625" style="1" bestFit="1" customWidth="1"/>
    <col min="7499" max="7502" width="8.88671875" style="1"/>
    <col min="7503" max="7503" width="11" style="1" bestFit="1" customWidth="1"/>
    <col min="7504" max="7504" width="15.44140625" style="1" bestFit="1" customWidth="1"/>
    <col min="7505" max="7505" width="23.44140625" style="1" bestFit="1" customWidth="1"/>
    <col min="7506" max="7508" width="8.88671875" style="1"/>
    <col min="7509" max="7509" width="5.109375" style="1" customWidth="1"/>
    <col min="7510" max="7510" width="8.88671875" style="1"/>
    <col min="7511" max="7511" width="26" style="1" bestFit="1" customWidth="1"/>
    <col min="7512" max="7512" width="71" style="1" bestFit="1" customWidth="1"/>
    <col min="7513" max="7513" width="17.5546875" style="1" bestFit="1" customWidth="1"/>
    <col min="7514" max="7514" width="27.33203125" style="1" bestFit="1" customWidth="1"/>
    <col min="7515" max="7515" width="17.33203125" style="1" bestFit="1" customWidth="1"/>
    <col min="7516" max="7517" width="8.88671875" style="1"/>
    <col min="7518" max="7518" width="5.6640625" style="1" bestFit="1" customWidth="1"/>
    <col min="7519" max="7519" width="15.44140625" style="1" bestFit="1" customWidth="1"/>
    <col min="7520" max="7520" width="22" style="1" bestFit="1" customWidth="1"/>
    <col min="7521" max="7521" width="71" style="1" bestFit="1" customWidth="1"/>
    <col min="7522" max="7522" width="18.5546875" style="1" bestFit="1" customWidth="1"/>
    <col min="7523" max="7523" width="27.33203125" style="1" bestFit="1" customWidth="1"/>
    <col min="7524" max="7524" width="16.44140625" style="1" bestFit="1" customWidth="1"/>
    <col min="7525" max="7682" width="8.88671875" style="1"/>
    <col min="7683" max="7683" width="18.88671875" style="1" bestFit="1" customWidth="1"/>
    <col min="7684" max="7684" width="14.88671875" style="1" customWidth="1"/>
    <col min="7685" max="7685" width="33.44140625" style="1" customWidth="1"/>
    <col min="7686" max="7686" width="31.109375" style="1" customWidth="1"/>
    <col min="7687" max="7687" width="22.5546875" style="1" bestFit="1" customWidth="1"/>
    <col min="7688" max="7688" width="20.88671875" style="1" bestFit="1" customWidth="1"/>
    <col min="7689" max="7690" width="19.33203125" style="1" bestFit="1" customWidth="1"/>
    <col min="7691" max="7691" width="20.88671875" style="1" bestFit="1" customWidth="1"/>
    <col min="7692" max="7692" width="16.33203125" style="1" bestFit="1" customWidth="1"/>
    <col min="7693" max="7694" width="19.109375" style="1" bestFit="1" customWidth="1"/>
    <col min="7695" max="7695" width="13.44140625" style="1" bestFit="1" customWidth="1"/>
    <col min="7696" max="7696" width="15.33203125" style="1" bestFit="1" customWidth="1"/>
    <col min="7697" max="7697" width="24.33203125" style="1" bestFit="1" customWidth="1"/>
    <col min="7698" max="7698" width="12.88671875" style="1" bestFit="1" customWidth="1"/>
    <col min="7699" max="7700" width="12.5546875" style="1" bestFit="1" customWidth="1"/>
    <col min="7701" max="7701" width="10.5546875" style="1" bestFit="1" customWidth="1"/>
    <col min="7702" max="7702" width="12.44140625" style="1" bestFit="1" customWidth="1"/>
    <col min="7703" max="7703" width="11.5546875" style="1" bestFit="1" customWidth="1"/>
    <col min="7704" max="7704" width="12" style="1" bestFit="1" customWidth="1"/>
    <col min="7705" max="7705" width="10.5546875" style="1" bestFit="1" customWidth="1"/>
    <col min="7706" max="7707" width="8.88671875" style="1"/>
    <col min="7708" max="7708" width="10.5546875" style="1" bestFit="1" customWidth="1"/>
    <col min="7709" max="7709" width="35" style="1" bestFit="1" customWidth="1"/>
    <col min="7710" max="7710" width="6.44140625" style="1" bestFit="1" customWidth="1"/>
    <col min="7711" max="7711" width="2.88671875" style="1" bestFit="1" customWidth="1"/>
    <col min="7712" max="7712" width="6.44140625" style="1" bestFit="1" customWidth="1"/>
    <col min="7713" max="7713" width="13.44140625" style="1" bestFit="1" customWidth="1"/>
    <col min="7714" max="7714" width="12.88671875" style="1" bestFit="1" customWidth="1"/>
    <col min="7715" max="7715" width="15.109375" style="1" bestFit="1" customWidth="1"/>
    <col min="7716" max="7716" width="12.88671875" style="1" bestFit="1" customWidth="1"/>
    <col min="7717" max="7717" width="13.88671875" style="1" customWidth="1"/>
    <col min="7718" max="7718" width="14.33203125" style="1" bestFit="1" customWidth="1"/>
    <col min="7719" max="7721" width="8.88671875" style="1"/>
    <col min="7722" max="7722" width="15.5546875" style="1" bestFit="1" customWidth="1"/>
    <col min="7723" max="7725" width="8.88671875" style="1"/>
    <col min="7726" max="7726" width="13.109375" style="1" bestFit="1" customWidth="1"/>
    <col min="7727" max="7727" width="12.88671875" style="1" bestFit="1" customWidth="1"/>
    <col min="7728" max="7728" width="14" style="1" bestFit="1" customWidth="1"/>
    <col min="7729" max="7729" width="12.33203125" style="1" bestFit="1" customWidth="1"/>
    <col min="7730" max="7730" width="13.44140625" style="1" bestFit="1" customWidth="1"/>
    <col min="7731" max="7731" width="15.109375" style="1" bestFit="1" customWidth="1"/>
    <col min="7732" max="7735" width="8.88671875" style="1"/>
    <col min="7736" max="7736" width="11.5546875" style="1" customWidth="1"/>
    <col min="7737" max="7737" width="12.109375" style="1" bestFit="1" customWidth="1"/>
    <col min="7738" max="7738" width="14" style="1" bestFit="1" customWidth="1"/>
    <col min="7739" max="7739" width="19.109375" style="1" bestFit="1" customWidth="1"/>
    <col min="7740" max="7740" width="23.44140625" style="1" bestFit="1" customWidth="1"/>
    <col min="7741" max="7741" width="25.88671875" style="1" bestFit="1" customWidth="1"/>
    <col min="7742" max="7742" width="18.33203125" style="1" bestFit="1" customWidth="1"/>
    <col min="7743" max="7743" width="17.109375" style="1" bestFit="1" customWidth="1"/>
    <col min="7744" max="7744" width="13.33203125" style="1" bestFit="1" customWidth="1"/>
    <col min="7745" max="7745" width="8.88671875" style="1"/>
    <col min="7746" max="7746" width="18.109375" style="1" bestFit="1" customWidth="1"/>
    <col min="7747" max="7747" width="23.44140625" style="1" bestFit="1" customWidth="1"/>
    <col min="7748" max="7751" width="8.88671875" style="1"/>
    <col min="7752" max="7752" width="14.88671875" style="1" bestFit="1" customWidth="1"/>
    <col min="7753" max="7753" width="18.109375" style="1" bestFit="1" customWidth="1"/>
    <col min="7754" max="7754" width="23.44140625" style="1" bestFit="1" customWidth="1"/>
    <col min="7755" max="7758" width="8.88671875" style="1"/>
    <col min="7759" max="7759" width="11" style="1" bestFit="1" customWidth="1"/>
    <col min="7760" max="7760" width="15.44140625" style="1" bestFit="1" customWidth="1"/>
    <col min="7761" max="7761" width="23.44140625" style="1" bestFit="1" customWidth="1"/>
    <col min="7762" max="7764" width="8.88671875" style="1"/>
    <col min="7765" max="7765" width="5.109375" style="1" customWidth="1"/>
    <col min="7766" max="7766" width="8.88671875" style="1"/>
    <col min="7767" max="7767" width="26" style="1" bestFit="1" customWidth="1"/>
    <col min="7768" max="7768" width="71" style="1" bestFit="1" customWidth="1"/>
    <col min="7769" max="7769" width="17.5546875" style="1" bestFit="1" customWidth="1"/>
    <col min="7770" max="7770" width="27.33203125" style="1" bestFit="1" customWidth="1"/>
    <col min="7771" max="7771" width="17.33203125" style="1" bestFit="1" customWidth="1"/>
    <col min="7772" max="7773" width="8.88671875" style="1"/>
    <col min="7774" max="7774" width="5.6640625" style="1" bestFit="1" customWidth="1"/>
    <col min="7775" max="7775" width="15.44140625" style="1" bestFit="1" customWidth="1"/>
    <col min="7776" max="7776" width="22" style="1" bestFit="1" customWidth="1"/>
    <col min="7777" max="7777" width="71" style="1" bestFit="1" customWidth="1"/>
    <col min="7778" max="7778" width="18.5546875" style="1" bestFit="1" customWidth="1"/>
    <col min="7779" max="7779" width="27.33203125" style="1" bestFit="1" customWidth="1"/>
    <col min="7780" max="7780" width="16.44140625" style="1" bestFit="1" customWidth="1"/>
    <col min="7781" max="7938" width="8.88671875" style="1"/>
    <col min="7939" max="7939" width="18.88671875" style="1" bestFit="1" customWidth="1"/>
    <col min="7940" max="7940" width="14.88671875" style="1" customWidth="1"/>
    <col min="7941" max="7941" width="33.44140625" style="1" customWidth="1"/>
    <col min="7942" max="7942" width="31.109375" style="1" customWidth="1"/>
    <col min="7943" max="7943" width="22.5546875" style="1" bestFit="1" customWidth="1"/>
    <col min="7944" max="7944" width="20.88671875" style="1" bestFit="1" customWidth="1"/>
    <col min="7945" max="7946" width="19.33203125" style="1" bestFit="1" customWidth="1"/>
    <col min="7947" max="7947" width="20.88671875" style="1" bestFit="1" customWidth="1"/>
    <col min="7948" max="7948" width="16.33203125" style="1" bestFit="1" customWidth="1"/>
    <col min="7949" max="7950" width="19.109375" style="1" bestFit="1" customWidth="1"/>
    <col min="7951" max="7951" width="13.44140625" style="1" bestFit="1" customWidth="1"/>
    <col min="7952" max="7952" width="15.33203125" style="1" bestFit="1" customWidth="1"/>
    <col min="7953" max="7953" width="24.33203125" style="1" bestFit="1" customWidth="1"/>
    <col min="7954" max="7954" width="12.88671875" style="1" bestFit="1" customWidth="1"/>
    <col min="7955" max="7956" width="12.5546875" style="1" bestFit="1" customWidth="1"/>
    <col min="7957" max="7957" width="10.5546875" style="1" bestFit="1" customWidth="1"/>
    <col min="7958" max="7958" width="12.44140625" style="1" bestFit="1" customWidth="1"/>
    <col min="7959" max="7959" width="11.5546875" style="1" bestFit="1" customWidth="1"/>
    <col min="7960" max="7960" width="12" style="1" bestFit="1" customWidth="1"/>
    <col min="7961" max="7961" width="10.5546875" style="1" bestFit="1" customWidth="1"/>
    <col min="7962" max="7963" width="8.88671875" style="1"/>
    <col min="7964" max="7964" width="10.5546875" style="1" bestFit="1" customWidth="1"/>
    <col min="7965" max="7965" width="35" style="1" bestFit="1" customWidth="1"/>
    <col min="7966" max="7966" width="6.44140625" style="1" bestFit="1" customWidth="1"/>
    <col min="7967" max="7967" width="2.88671875" style="1" bestFit="1" customWidth="1"/>
    <col min="7968" max="7968" width="6.44140625" style="1" bestFit="1" customWidth="1"/>
    <col min="7969" max="7969" width="13.44140625" style="1" bestFit="1" customWidth="1"/>
    <col min="7970" max="7970" width="12.88671875" style="1" bestFit="1" customWidth="1"/>
    <col min="7971" max="7971" width="15.109375" style="1" bestFit="1" customWidth="1"/>
    <col min="7972" max="7972" width="12.88671875" style="1" bestFit="1" customWidth="1"/>
    <col min="7973" max="7973" width="13.88671875" style="1" customWidth="1"/>
    <col min="7974" max="7974" width="14.33203125" style="1" bestFit="1" customWidth="1"/>
    <col min="7975" max="7977" width="8.88671875" style="1"/>
    <col min="7978" max="7978" width="15.5546875" style="1" bestFit="1" customWidth="1"/>
    <col min="7979" max="7981" width="8.88671875" style="1"/>
    <col min="7982" max="7982" width="13.109375" style="1" bestFit="1" customWidth="1"/>
    <col min="7983" max="7983" width="12.88671875" style="1" bestFit="1" customWidth="1"/>
    <col min="7984" max="7984" width="14" style="1" bestFit="1" customWidth="1"/>
    <col min="7985" max="7985" width="12.33203125" style="1" bestFit="1" customWidth="1"/>
    <col min="7986" max="7986" width="13.44140625" style="1" bestFit="1" customWidth="1"/>
    <col min="7987" max="7987" width="15.109375" style="1" bestFit="1" customWidth="1"/>
    <col min="7988" max="7991" width="8.88671875" style="1"/>
    <col min="7992" max="7992" width="11.5546875" style="1" customWidth="1"/>
    <col min="7993" max="7993" width="12.109375" style="1" bestFit="1" customWidth="1"/>
    <col min="7994" max="7994" width="14" style="1" bestFit="1" customWidth="1"/>
    <col min="7995" max="7995" width="19.109375" style="1" bestFit="1" customWidth="1"/>
    <col min="7996" max="7996" width="23.44140625" style="1" bestFit="1" customWidth="1"/>
    <col min="7997" max="7997" width="25.88671875" style="1" bestFit="1" customWidth="1"/>
    <col min="7998" max="7998" width="18.33203125" style="1" bestFit="1" customWidth="1"/>
    <col min="7999" max="7999" width="17.109375" style="1" bestFit="1" customWidth="1"/>
    <col min="8000" max="8000" width="13.33203125" style="1" bestFit="1" customWidth="1"/>
    <col min="8001" max="8001" width="8.88671875" style="1"/>
    <col min="8002" max="8002" width="18.109375" style="1" bestFit="1" customWidth="1"/>
    <col min="8003" max="8003" width="23.44140625" style="1" bestFit="1" customWidth="1"/>
    <col min="8004" max="8007" width="8.88671875" style="1"/>
    <col min="8008" max="8008" width="14.88671875" style="1" bestFit="1" customWidth="1"/>
    <col min="8009" max="8009" width="18.109375" style="1" bestFit="1" customWidth="1"/>
    <col min="8010" max="8010" width="23.44140625" style="1" bestFit="1" customWidth="1"/>
    <col min="8011" max="8014" width="8.88671875" style="1"/>
    <col min="8015" max="8015" width="11" style="1" bestFit="1" customWidth="1"/>
    <col min="8016" max="8016" width="15.44140625" style="1" bestFit="1" customWidth="1"/>
    <col min="8017" max="8017" width="23.44140625" style="1" bestFit="1" customWidth="1"/>
    <col min="8018" max="8020" width="8.88671875" style="1"/>
    <col min="8021" max="8021" width="5.109375" style="1" customWidth="1"/>
    <col min="8022" max="8022" width="8.88671875" style="1"/>
    <col min="8023" max="8023" width="26" style="1" bestFit="1" customWidth="1"/>
    <col min="8024" max="8024" width="71" style="1" bestFit="1" customWidth="1"/>
    <col min="8025" max="8025" width="17.5546875" style="1" bestFit="1" customWidth="1"/>
    <col min="8026" max="8026" width="27.33203125" style="1" bestFit="1" customWidth="1"/>
    <col min="8027" max="8027" width="17.33203125" style="1" bestFit="1" customWidth="1"/>
    <col min="8028" max="8029" width="8.88671875" style="1"/>
    <col min="8030" max="8030" width="5.6640625" style="1" bestFit="1" customWidth="1"/>
    <col min="8031" max="8031" width="15.44140625" style="1" bestFit="1" customWidth="1"/>
    <col min="8032" max="8032" width="22" style="1" bestFit="1" customWidth="1"/>
    <col min="8033" max="8033" width="71" style="1" bestFit="1" customWidth="1"/>
    <col min="8034" max="8034" width="18.5546875" style="1" bestFit="1" customWidth="1"/>
    <col min="8035" max="8035" width="27.33203125" style="1" bestFit="1" customWidth="1"/>
    <col min="8036" max="8036" width="16.44140625" style="1" bestFit="1" customWidth="1"/>
    <col min="8037" max="8194" width="8.88671875" style="1"/>
    <col min="8195" max="8195" width="18.88671875" style="1" bestFit="1" customWidth="1"/>
    <col min="8196" max="8196" width="14.88671875" style="1" customWidth="1"/>
    <col min="8197" max="8197" width="33.44140625" style="1" customWidth="1"/>
    <col min="8198" max="8198" width="31.109375" style="1" customWidth="1"/>
    <col min="8199" max="8199" width="22.5546875" style="1" bestFit="1" customWidth="1"/>
    <col min="8200" max="8200" width="20.88671875" style="1" bestFit="1" customWidth="1"/>
    <col min="8201" max="8202" width="19.33203125" style="1" bestFit="1" customWidth="1"/>
    <col min="8203" max="8203" width="20.88671875" style="1" bestFit="1" customWidth="1"/>
    <col min="8204" max="8204" width="16.33203125" style="1" bestFit="1" customWidth="1"/>
    <col min="8205" max="8206" width="19.109375" style="1" bestFit="1" customWidth="1"/>
    <col min="8207" max="8207" width="13.44140625" style="1" bestFit="1" customWidth="1"/>
    <col min="8208" max="8208" width="15.33203125" style="1" bestFit="1" customWidth="1"/>
    <col min="8209" max="8209" width="24.33203125" style="1" bestFit="1" customWidth="1"/>
    <col min="8210" max="8210" width="12.88671875" style="1" bestFit="1" customWidth="1"/>
    <col min="8211" max="8212" width="12.5546875" style="1" bestFit="1" customWidth="1"/>
    <col min="8213" max="8213" width="10.5546875" style="1" bestFit="1" customWidth="1"/>
    <col min="8214" max="8214" width="12.44140625" style="1" bestFit="1" customWidth="1"/>
    <col min="8215" max="8215" width="11.5546875" style="1" bestFit="1" customWidth="1"/>
    <col min="8216" max="8216" width="12" style="1" bestFit="1" customWidth="1"/>
    <col min="8217" max="8217" width="10.5546875" style="1" bestFit="1" customWidth="1"/>
    <col min="8218" max="8219" width="8.88671875" style="1"/>
    <col min="8220" max="8220" width="10.5546875" style="1" bestFit="1" customWidth="1"/>
    <col min="8221" max="8221" width="35" style="1" bestFit="1" customWidth="1"/>
    <col min="8222" max="8222" width="6.44140625" style="1" bestFit="1" customWidth="1"/>
    <col min="8223" max="8223" width="2.88671875" style="1" bestFit="1" customWidth="1"/>
    <col min="8224" max="8224" width="6.44140625" style="1" bestFit="1" customWidth="1"/>
    <col min="8225" max="8225" width="13.44140625" style="1" bestFit="1" customWidth="1"/>
    <col min="8226" max="8226" width="12.88671875" style="1" bestFit="1" customWidth="1"/>
    <col min="8227" max="8227" width="15.109375" style="1" bestFit="1" customWidth="1"/>
    <col min="8228" max="8228" width="12.88671875" style="1" bestFit="1" customWidth="1"/>
    <col min="8229" max="8229" width="13.88671875" style="1" customWidth="1"/>
    <col min="8230" max="8230" width="14.33203125" style="1" bestFit="1" customWidth="1"/>
    <col min="8231" max="8233" width="8.88671875" style="1"/>
    <col min="8234" max="8234" width="15.5546875" style="1" bestFit="1" customWidth="1"/>
    <col min="8235" max="8237" width="8.88671875" style="1"/>
    <col min="8238" max="8238" width="13.109375" style="1" bestFit="1" customWidth="1"/>
    <col min="8239" max="8239" width="12.88671875" style="1" bestFit="1" customWidth="1"/>
    <col min="8240" max="8240" width="14" style="1" bestFit="1" customWidth="1"/>
    <col min="8241" max="8241" width="12.33203125" style="1" bestFit="1" customWidth="1"/>
    <col min="8242" max="8242" width="13.44140625" style="1" bestFit="1" customWidth="1"/>
    <col min="8243" max="8243" width="15.109375" style="1" bestFit="1" customWidth="1"/>
    <col min="8244" max="8247" width="8.88671875" style="1"/>
    <col min="8248" max="8248" width="11.5546875" style="1" customWidth="1"/>
    <col min="8249" max="8249" width="12.109375" style="1" bestFit="1" customWidth="1"/>
    <col min="8250" max="8250" width="14" style="1" bestFit="1" customWidth="1"/>
    <col min="8251" max="8251" width="19.109375" style="1" bestFit="1" customWidth="1"/>
    <col min="8252" max="8252" width="23.44140625" style="1" bestFit="1" customWidth="1"/>
    <col min="8253" max="8253" width="25.88671875" style="1" bestFit="1" customWidth="1"/>
    <col min="8254" max="8254" width="18.33203125" style="1" bestFit="1" customWidth="1"/>
    <col min="8255" max="8255" width="17.109375" style="1" bestFit="1" customWidth="1"/>
    <col min="8256" max="8256" width="13.33203125" style="1" bestFit="1" customWidth="1"/>
    <col min="8257" max="8257" width="8.88671875" style="1"/>
    <col min="8258" max="8258" width="18.109375" style="1" bestFit="1" customWidth="1"/>
    <col min="8259" max="8259" width="23.44140625" style="1" bestFit="1" customWidth="1"/>
    <col min="8260" max="8263" width="8.88671875" style="1"/>
    <col min="8264" max="8264" width="14.88671875" style="1" bestFit="1" customWidth="1"/>
    <col min="8265" max="8265" width="18.109375" style="1" bestFit="1" customWidth="1"/>
    <col min="8266" max="8266" width="23.44140625" style="1" bestFit="1" customWidth="1"/>
    <col min="8267" max="8270" width="8.88671875" style="1"/>
    <col min="8271" max="8271" width="11" style="1" bestFit="1" customWidth="1"/>
    <col min="8272" max="8272" width="15.44140625" style="1" bestFit="1" customWidth="1"/>
    <col min="8273" max="8273" width="23.44140625" style="1" bestFit="1" customWidth="1"/>
    <col min="8274" max="8276" width="8.88671875" style="1"/>
    <col min="8277" max="8277" width="5.109375" style="1" customWidth="1"/>
    <col min="8278" max="8278" width="8.88671875" style="1"/>
    <col min="8279" max="8279" width="26" style="1" bestFit="1" customWidth="1"/>
    <col min="8280" max="8280" width="71" style="1" bestFit="1" customWidth="1"/>
    <col min="8281" max="8281" width="17.5546875" style="1" bestFit="1" customWidth="1"/>
    <col min="8282" max="8282" width="27.33203125" style="1" bestFit="1" customWidth="1"/>
    <col min="8283" max="8283" width="17.33203125" style="1" bestFit="1" customWidth="1"/>
    <col min="8284" max="8285" width="8.88671875" style="1"/>
    <col min="8286" max="8286" width="5.6640625" style="1" bestFit="1" customWidth="1"/>
    <col min="8287" max="8287" width="15.44140625" style="1" bestFit="1" customWidth="1"/>
    <col min="8288" max="8288" width="22" style="1" bestFit="1" customWidth="1"/>
    <col min="8289" max="8289" width="71" style="1" bestFit="1" customWidth="1"/>
    <col min="8290" max="8290" width="18.5546875" style="1" bestFit="1" customWidth="1"/>
    <col min="8291" max="8291" width="27.33203125" style="1" bestFit="1" customWidth="1"/>
    <col min="8292" max="8292" width="16.44140625" style="1" bestFit="1" customWidth="1"/>
    <col min="8293" max="8450" width="8.88671875" style="1"/>
    <col min="8451" max="8451" width="18.88671875" style="1" bestFit="1" customWidth="1"/>
    <col min="8452" max="8452" width="14.88671875" style="1" customWidth="1"/>
    <col min="8453" max="8453" width="33.44140625" style="1" customWidth="1"/>
    <col min="8454" max="8454" width="31.109375" style="1" customWidth="1"/>
    <col min="8455" max="8455" width="22.5546875" style="1" bestFit="1" customWidth="1"/>
    <col min="8456" max="8456" width="20.88671875" style="1" bestFit="1" customWidth="1"/>
    <col min="8457" max="8458" width="19.33203125" style="1" bestFit="1" customWidth="1"/>
    <col min="8459" max="8459" width="20.88671875" style="1" bestFit="1" customWidth="1"/>
    <col min="8460" max="8460" width="16.33203125" style="1" bestFit="1" customWidth="1"/>
    <col min="8461" max="8462" width="19.109375" style="1" bestFit="1" customWidth="1"/>
    <col min="8463" max="8463" width="13.44140625" style="1" bestFit="1" customWidth="1"/>
    <col min="8464" max="8464" width="15.33203125" style="1" bestFit="1" customWidth="1"/>
    <col min="8465" max="8465" width="24.33203125" style="1" bestFit="1" customWidth="1"/>
    <col min="8466" max="8466" width="12.88671875" style="1" bestFit="1" customWidth="1"/>
    <col min="8467" max="8468" width="12.5546875" style="1" bestFit="1" customWidth="1"/>
    <col min="8469" max="8469" width="10.5546875" style="1" bestFit="1" customWidth="1"/>
    <col min="8470" max="8470" width="12.44140625" style="1" bestFit="1" customWidth="1"/>
    <col min="8471" max="8471" width="11.5546875" style="1" bestFit="1" customWidth="1"/>
    <col min="8472" max="8472" width="12" style="1" bestFit="1" customWidth="1"/>
    <col min="8473" max="8473" width="10.5546875" style="1" bestFit="1" customWidth="1"/>
    <col min="8474" max="8475" width="8.88671875" style="1"/>
    <col min="8476" max="8476" width="10.5546875" style="1" bestFit="1" customWidth="1"/>
    <col min="8477" max="8477" width="35" style="1" bestFit="1" customWidth="1"/>
    <col min="8478" max="8478" width="6.44140625" style="1" bestFit="1" customWidth="1"/>
    <col min="8479" max="8479" width="2.88671875" style="1" bestFit="1" customWidth="1"/>
    <col min="8480" max="8480" width="6.44140625" style="1" bestFit="1" customWidth="1"/>
    <col min="8481" max="8481" width="13.44140625" style="1" bestFit="1" customWidth="1"/>
    <col min="8482" max="8482" width="12.88671875" style="1" bestFit="1" customWidth="1"/>
    <col min="8483" max="8483" width="15.109375" style="1" bestFit="1" customWidth="1"/>
    <col min="8484" max="8484" width="12.88671875" style="1" bestFit="1" customWidth="1"/>
    <col min="8485" max="8485" width="13.88671875" style="1" customWidth="1"/>
    <col min="8486" max="8486" width="14.33203125" style="1" bestFit="1" customWidth="1"/>
    <col min="8487" max="8489" width="8.88671875" style="1"/>
    <col min="8490" max="8490" width="15.5546875" style="1" bestFit="1" customWidth="1"/>
    <col min="8491" max="8493" width="8.88671875" style="1"/>
    <col min="8494" max="8494" width="13.109375" style="1" bestFit="1" customWidth="1"/>
    <col min="8495" max="8495" width="12.88671875" style="1" bestFit="1" customWidth="1"/>
    <col min="8496" max="8496" width="14" style="1" bestFit="1" customWidth="1"/>
    <col min="8497" max="8497" width="12.33203125" style="1" bestFit="1" customWidth="1"/>
    <col min="8498" max="8498" width="13.44140625" style="1" bestFit="1" customWidth="1"/>
    <col min="8499" max="8499" width="15.109375" style="1" bestFit="1" customWidth="1"/>
    <col min="8500" max="8503" width="8.88671875" style="1"/>
    <col min="8504" max="8504" width="11.5546875" style="1" customWidth="1"/>
    <col min="8505" max="8505" width="12.109375" style="1" bestFit="1" customWidth="1"/>
    <col min="8506" max="8506" width="14" style="1" bestFit="1" customWidth="1"/>
    <col min="8507" max="8507" width="19.109375" style="1" bestFit="1" customWidth="1"/>
    <col min="8508" max="8508" width="23.44140625" style="1" bestFit="1" customWidth="1"/>
    <col min="8509" max="8509" width="25.88671875" style="1" bestFit="1" customWidth="1"/>
    <col min="8510" max="8510" width="18.33203125" style="1" bestFit="1" customWidth="1"/>
    <col min="8511" max="8511" width="17.109375" style="1" bestFit="1" customWidth="1"/>
    <col min="8512" max="8512" width="13.33203125" style="1" bestFit="1" customWidth="1"/>
    <col min="8513" max="8513" width="8.88671875" style="1"/>
    <col min="8514" max="8514" width="18.109375" style="1" bestFit="1" customWidth="1"/>
    <col min="8515" max="8515" width="23.44140625" style="1" bestFit="1" customWidth="1"/>
    <col min="8516" max="8519" width="8.88671875" style="1"/>
    <col min="8520" max="8520" width="14.88671875" style="1" bestFit="1" customWidth="1"/>
    <col min="8521" max="8521" width="18.109375" style="1" bestFit="1" customWidth="1"/>
    <col min="8522" max="8522" width="23.44140625" style="1" bestFit="1" customWidth="1"/>
    <col min="8523" max="8526" width="8.88671875" style="1"/>
    <col min="8527" max="8527" width="11" style="1" bestFit="1" customWidth="1"/>
    <col min="8528" max="8528" width="15.44140625" style="1" bestFit="1" customWidth="1"/>
    <col min="8529" max="8529" width="23.44140625" style="1" bestFit="1" customWidth="1"/>
    <col min="8530" max="8532" width="8.88671875" style="1"/>
    <col min="8533" max="8533" width="5.109375" style="1" customWidth="1"/>
    <col min="8534" max="8534" width="8.88671875" style="1"/>
    <col min="8535" max="8535" width="26" style="1" bestFit="1" customWidth="1"/>
    <col min="8536" max="8536" width="71" style="1" bestFit="1" customWidth="1"/>
    <col min="8537" max="8537" width="17.5546875" style="1" bestFit="1" customWidth="1"/>
    <col min="8538" max="8538" width="27.33203125" style="1" bestFit="1" customWidth="1"/>
    <col min="8539" max="8539" width="17.33203125" style="1" bestFit="1" customWidth="1"/>
    <col min="8540" max="8541" width="8.88671875" style="1"/>
    <col min="8542" max="8542" width="5.6640625" style="1" bestFit="1" customWidth="1"/>
    <col min="8543" max="8543" width="15.44140625" style="1" bestFit="1" customWidth="1"/>
    <col min="8544" max="8544" width="22" style="1" bestFit="1" customWidth="1"/>
    <col min="8545" max="8545" width="71" style="1" bestFit="1" customWidth="1"/>
    <col min="8546" max="8546" width="18.5546875" style="1" bestFit="1" customWidth="1"/>
    <col min="8547" max="8547" width="27.33203125" style="1" bestFit="1" customWidth="1"/>
    <col min="8548" max="8548" width="16.44140625" style="1" bestFit="1" customWidth="1"/>
    <col min="8549" max="8706" width="8.88671875" style="1"/>
    <col min="8707" max="8707" width="18.88671875" style="1" bestFit="1" customWidth="1"/>
    <col min="8708" max="8708" width="14.88671875" style="1" customWidth="1"/>
    <col min="8709" max="8709" width="33.44140625" style="1" customWidth="1"/>
    <col min="8710" max="8710" width="31.109375" style="1" customWidth="1"/>
    <col min="8711" max="8711" width="22.5546875" style="1" bestFit="1" customWidth="1"/>
    <col min="8712" max="8712" width="20.88671875" style="1" bestFit="1" customWidth="1"/>
    <col min="8713" max="8714" width="19.33203125" style="1" bestFit="1" customWidth="1"/>
    <col min="8715" max="8715" width="20.88671875" style="1" bestFit="1" customWidth="1"/>
    <col min="8716" max="8716" width="16.33203125" style="1" bestFit="1" customWidth="1"/>
    <col min="8717" max="8718" width="19.109375" style="1" bestFit="1" customWidth="1"/>
    <col min="8719" max="8719" width="13.44140625" style="1" bestFit="1" customWidth="1"/>
    <col min="8720" max="8720" width="15.33203125" style="1" bestFit="1" customWidth="1"/>
    <col min="8721" max="8721" width="24.33203125" style="1" bestFit="1" customWidth="1"/>
    <col min="8722" max="8722" width="12.88671875" style="1" bestFit="1" customWidth="1"/>
    <col min="8723" max="8724" width="12.5546875" style="1" bestFit="1" customWidth="1"/>
    <col min="8725" max="8725" width="10.5546875" style="1" bestFit="1" customWidth="1"/>
    <col min="8726" max="8726" width="12.44140625" style="1" bestFit="1" customWidth="1"/>
    <col min="8727" max="8727" width="11.5546875" style="1" bestFit="1" customWidth="1"/>
    <col min="8728" max="8728" width="12" style="1" bestFit="1" customWidth="1"/>
    <col min="8729" max="8729" width="10.5546875" style="1" bestFit="1" customWidth="1"/>
    <col min="8730" max="8731" width="8.88671875" style="1"/>
    <col min="8732" max="8732" width="10.5546875" style="1" bestFit="1" customWidth="1"/>
    <col min="8733" max="8733" width="35" style="1" bestFit="1" customWidth="1"/>
    <col min="8734" max="8734" width="6.44140625" style="1" bestFit="1" customWidth="1"/>
    <col min="8735" max="8735" width="2.88671875" style="1" bestFit="1" customWidth="1"/>
    <col min="8736" max="8736" width="6.44140625" style="1" bestFit="1" customWidth="1"/>
    <col min="8737" max="8737" width="13.44140625" style="1" bestFit="1" customWidth="1"/>
    <col min="8738" max="8738" width="12.88671875" style="1" bestFit="1" customWidth="1"/>
    <col min="8739" max="8739" width="15.109375" style="1" bestFit="1" customWidth="1"/>
    <col min="8740" max="8740" width="12.88671875" style="1" bestFit="1" customWidth="1"/>
    <col min="8741" max="8741" width="13.88671875" style="1" customWidth="1"/>
    <col min="8742" max="8742" width="14.33203125" style="1" bestFit="1" customWidth="1"/>
    <col min="8743" max="8745" width="8.88671875" style="1"/>
    <col min="8746" max="8746" width="15.5546875" style="1" bestFit="1" customWidth="1"/>
    <col min="8747" max="8749" width="8.88671875" style="1"/>
    <col min="8750" max="8750" width="13.109375" style="1" bestFit="1" customWidth="1"/>
    <col min="8751" max="8751" width="12.88671875" style="1" bestFit="1" customWidth="1"/>
    <col min="8752" max="8752" width="14" style="1" bestFit="1" customWidth="1"/>
    <col min="8753" max="8753" width="12.33203125" style="1" bestFit="1" customWidth="1"/>
    <col min="8754" max="8754" width="13.44140625" style="1" bestFit="1" customWidth="1"/>
    <col min="8755" max="8755" width="15.109375" style="1" bestFit="1" customWidth="1"/>
    <col min="8756" max="8759" width="8.88671875" style="1"/>
    <col min="8760" max="8760" width="11.5546875" style="1" customWidth="1"/>
    <col min="8761" max="8761" width="12.109375" style="1" bestFit="1" customWidth="1"/>
    <col min="8762" max="8762" width="14" style="1" bestFit="1" customWidth="1"/>
    <col min="8763" max="8763" width="19.109375" style="1" bestFit="1" customWidth="1"/>
    <col min="8764" max="8764" width="23.44140625" style="1" bestFit="1" customWidth="1"/>
    <col min="8765" max="8765" width="25.88671875" style="1" bestFit="1" customWidth="1"/>
    <col min="8766" max="8766" width="18.33203125" style="1" bestFit="1" customWidth="1"/>
    <col min="8767" max="8767" width="17.109375" style="1" bestFit="1" customWidth="1"/>
    <col min="8768" max="8768" width="13.33203125" style="1" bestFit="1" customWidth="1"/>
    <col min="8769" max="8769" width="8.88671875" style="1"/>
    <col min="8770" max="8770" width="18.109375" style="1" bestFit="1" customWidth="1"/>
    <col min="8771" max="8771" width="23.44140625" style="1" bestFit="1" customWidth="1"/>
    <col min="8772" max="8775" width="8.88671875" style="1"/>
    <col min="8776" max="8776" width="14.88671875" style="1" bestFit="1" customWidth="1"/>
    <col min="8777" max="8777" width="18.109375" style="1" bestFit="1" customWidth="1"/>
    <col min="8778" max="8778" width="23.44140625" style="1" bestFit="1" customWidth="1"/>
    <col min="8779" max="8782" width="8.88671875" style="1"/>
    <col min="8783" max="8783" width="11" style="1" bestFit="1" customWidth="1"/>
    <col min="8784" max="8784" width="15.44140625" style="1" bestFit="1" customWidth="1"/>
    <col min="8785" max="8785" width="23.44140625" style="1" bestFit="1" customWidth="1"/>
    <col min="8786" max="8788" width="8.88671875" style="1"/>
    <col min="8789" max="8789" width="5.109375" style="1" customWidth="1"/>
    <col min="8790" max="8790" width="8.88671875" style="1"/>
    <col min="8791" max="8791" width="26" style="1" bestFit="1" customWidth="1"/>
    <col min="8792" max="8792" width="71" style="1" bestFit="1" customWidth="1"/>
    <col min="8793" max="8793" width="17.5546875" style="1" bestFit="1" customWidth="1"/>
    <col min="8794" max="8794" width="27.33203125" style="1" bestFit="1" customWidth="1"/>
    <col min="8795" max="8795" width="17.33203125" style="1" bestFit="1" customWidth="1"/>
    <col min="8796" max="8797" width="8.88671875" style="1"/>
    <col min="8798" max="8798" width="5.6640625" style="1" bestFit="1" customWidth="1"/>
    <col min="8799" max="8799" width="15.44140625" style="1" bestFit="1" customWidth="1"/>
    <col min="8800" max="8800" width="22" style="1" bestFit="1" customWidth="1"/>
    <col min="8801" max="8801" width="71" style="1" bestFit="1" customWidth="1"/>
    <col min="8802" max="8802" width="18.5546875" style="1" bestFit="1" customWidth="1"/>
    <col min="8803" max="8803" width="27.33203125" style="1" bestFit="1" customWidth="1"/>
    <col min="8804" max="8804" width="16.44140625" style="1" bestFit="1" customWidth="1"/>
    <col min="8805" max="8962" width="8.88671875" style="1"/>
    <col min="8963" max="8963" width="18.88671875" style="1" bestFit="1" customWidth="1"/>
    <col min="8964" max="8964" width="14.88671875" style="1" customWidth="1"/>
    <col min="8965" max="8965" width="33.44140625" style="1" customWidth="1"/>
    <col min="8966" max="8966" width="31.109375" style="1" customWidth="1"/>
    <col min="8967" max="8967" width="22.5546875" style="1" bestFit="1" customWidth="1"/>
    <col min="8968" max="8968" width="20.88671875" style="1" bestFit="1" customWidth="1"/>
    <col min="8969" max="8970" width="19.33203125" style="1" bestFit="1" customWidth="1"/>
    <col min="8971" max="8971" width="20.88671875" style="1" bestFit="1" customWidth="1"/>
    <col min="8972" max="8972" width="16.33203125" style="1" bestFit="1" customWidth="1"/>
    <col min="8973" max="8974" width="19.109375" style="1" bestFit="1" customWidth="1"/>
    <col min="8975" max="8975" width="13.44140625" style="1" bestFit="1" customWidth="1"/>
    <col min="8976" max="8976" width="15.33203125" style="1" bestFit="1" customWidth="1"/>
    <col min="8977" max="8977" width="24.33203125" style="1" bestFit="1" customWidth="1"/>
    <col min="8978" max="8978" width="12.88671875" style="1" bestFit="1" customWidth="1"/>
    <col min="8979" max="8980" width="12.5546875" style="1" bestFit="1" customWidth="1"/>
    <col min="8981" max="8981" width="10.5546875" style="1" bestFit="1" customWidth="1"/>
    <col min="8982" max="8982" width="12.44140625" style="1" bestFit="1" customWidth="1"/>
    <col min="8983" max="8983" width="11.5546875" style="1" bestFit="1" customWidth="1"/>
    <col min="8984" max="8984" width="12" style="1" bestFit="1" customWidth="1"/>
    <col min="8985" max="8985" width="10.5546875" style="1" bestFit="1" customWidth="1"/>
    <col min="8986" max="8987" width="8.88671875" style="1"/>
    <col min="8988" max="8988" width="10.5546875" style="1" bestFit="1" customWidth="1"/>
    <col min="8989" max="8989" width="35" style="1" bestFit="1" customWidth="1"/>
    <col min="8990" max="8990" width="6.44140625" style="1" bestFit="1" customWidth="1"/>
    <col min="8991" max="8991" width="2.88671875" style="1" bestFit="1" customWidth="1"/>
    <col min="8992" max="8992" width="6.44140625" style="1" bestFit="1" customWidth="1"/>
    <col min="8993" max="8993" width="13.44140625" style="1" bestFit="1" customWidth="1"/>
    <col min="8994" max="8994" width="12.88671875" style="1" bestFit="1" customWidth="1"/>
    <col min="8995" max="8995" width="15.109375" style="1" bestFit="1" customWidth="1"/>
    <col min="8996" max="8996" width="12.88671875" style="1" bestFit="1" customWidth="1"/>
    <col min="8997" max="8997" width="13.88671875" style="1" customWidth="1"/>
    <col min="8998" max="8998" width="14.33203125" style="1" bestFit="1" customWidth="1"/>
    <col min="8999" max="9001" width="8.88671875" style="1"/>
    <col min="9002" max="9002" width="15.5546875" style="1" bestFit="1" customWidth="1"/>
    <col min="9003" max="9005" width="8.88671875" style="1"/>
    <col min="9006" max="9006" width="13.109375" style="1" bestFit="1" customWidth="1"/>
    <col min="9007" max="9007" width="12.88671875" style="1" bestFit="1" customWidth="1"/>
    <col min="9008" max="9008" width="14" style="1" bestFit="1" customWidth="1"/>
    <col min="9009" max="9009" width="12.33203125" style="1" bestFit="1" customWidth="1"/>
    <col min="9010" max="9010" width="13.44140625" style="1" bestFit="1" customWidth="1"/>
    <col min="9011" max="9011" width="15.109375" style="1" bestFit="1" customWidth="1"/>
    <col min="9012" max="9015" width="8.88671875" style="1"/>
    <col min="9016" max="9016" width="11.5546875" style="1" customWidth="1"/>
    <col min="9017" max="9017" width="12.109375" style="1" bestFit="1" customWidth="1"/>
    <col min="9018" max="9018" width="14" style="1" bestFit="1" customWidth="1"/>
    <col min="9019" max="9019" width="19.109375" style="1" bestFit="1" customWidth="1"/>
    <col min="9020" max="9020" width="23.44140625" style="1" bestFit="1" customWidth="1"/>
    <col min="9021" max="9021" width="25.88671875" style="1" bestFit="1" customWidth="1"/>
    <col min="9022" max="9022" width="18.33203125" style="1" bestFit="1" customWidth="1"/>
    <col min="9023" max="9023" width="17.109375" style="1" bestFit="1" customWidth="1"/>
    <col min="9024" max="9024" width="13.33203125" style="1" bestFit="1" customWidth="1"/>
    <col min="9025" max="9025" width="8.88671875" style="1"/>
    <col min="9026" max="9026" width="18.109375" style="1" bestFit="1" customWidth="1"/>
    <col min="9027" max="9027" width="23.44140625" style="1" bestFit="1" customWidth="1"/>
    <col min="9028" max="9031" width="8.88671875" style="1"/>
    <col min="9032" max="9032" width="14.88671875" style="1" bestFit="1" customWidth="1"/>
    <col min="9033" max="9033" width="18.109375" style="1" bestFit="1" customWidth="1"/>
    <col min="9034" max="9034" width="23.44140625" style="1" bestFit="1" customWidth="1"/>
    <col min="9035" max="9038" width="8.88671875" style="1"/>
    <col min="9039" max="9039" width="11" style="1" bestFit="1" customWidth="1"/>
    <col min="9040" max="9040" width="15.44140625" style="1" bestFit="1" customWidth="1"/>
    <col min="9041" max="9041" width="23.44140625" style="1" bestFit="1" customWidth="1"/>
    <col min="9042" max="9044" width="8.88671875" style="1"/>
    <col min="9045" max="9045" width="5.109375" style="1" customWidth="1"/>
    <col min="9046" max="9046" width="8.88671875" style="1"/>
    <col min="9047" max="9047" width="26" style="1" bestFit="1" customWidth="1"/>
    <col min="9048" max="9048" width="71" style="1" bestFit="1" customWidth="1"/>
    <col min="9049" max="9049" width="17.5546875" style="1" bestFit="1" customWidth="1"/>
    <col min="9050" max="9050" width="27.33203125" style="1" bestFit="1" customWidth="1"/>
    <col min="9051" max="9051" width="17.33203125" style="1" bestFit="1" customWidth="1"/>
    <col min="9052" max="9053" width="8.88671875" style="1"/>
    <col min="9054" max="9054" width="5.6640625" style="1" bestFit="1" customWidth="1"/>
    <col min="9055" max="9055" width="15.44140625" style="1" bestFit="1" customWidth="1"/>
    <col min="9056" max="9056" width="22" style="1" bestFit="1" customWidth="1"/>
    <col min="9057" max="9057" width="71" style="1" bestFit="1" customWidth="1"/>
    <col min="9058" max="9058" width="18.5546875" style="1" bestFit="1" customWidth="1"/>
    <col min="9059" max="9059" width="27.33203125" style="1" bestFit="1" customWidth="1"/>
    <col min="9060" max="9060" width="16.44140625" style="1" bestFit="1" customWidth="1"/>
    <col min="9061" max="9218" width="8.88671875" style="1"/>
    <col min="9219" max="9219" width="18.88671875" style="1" bestFit="1" customWidth="1"/>
    <col min="9220" max="9220" width="14.88671875" style="1" customWidth="1"/>
    <col min="9221" max="9221" width="33.44140625" style="1" customWidth="1"/>
    <col min="9222" max="9222" width="31.109375" style="1" customWidth="1"/>
    <col min="9223" max="9223" width="22.5546875" style="1" bestFit="1" customWidth="1"/>
    <col min="9224" max="9224" width="20.88671875" style="1" bestFit="1" customWidth="1"/>
    <col min="9225" max="9226" width="19.33203125" style="1" bestFit="1" customWidth="1"/>
    <col min="9227" max="9227" width="20.88671875" style="1" bestFit="1" customWidth="1"/>
    <col min="9228" max="9228" width="16.33203125" style="1" bestFit="1" customWidth="1"/>
    <col min="9229" max="9230" width="19.109375" style="1" bestFit="1" customWidth="1"/>
    <col min="9231" max="9231" width="13.44140625" style="1" bestFit="1" customWidth="1"/>
    <col min="9232" max="9232" width="15.33203125" style="1" bestFit="1" customWidth="1"/>
    <col min="9233" max="9233" width="24.33203125" style="1" bestFit="1" customWidth="1"/>
    <col min="9234" max="9234" width="12.88671875" style="1" bestFit="1" customWidth="1"/>
    <col min="9235" max="9236" width="12.5546875" style="1" bestFit="1" customWidth="1"/>
    <col min="9237" max="9237" width="10.5546875" style="1" bestFit="1" customWidth="1"/>
    <col min="9238" max="9238" width="12.44140625" style="1" bestFit="1" customWidth="1"/>
    <col min="9239" max="9239" width="11.5546875" style="1" bestFit="1" customWidth="1"/>
    <col min="9240" max="9240" width="12" style="1" bestFit="1" customWidth="1"/>
    <col min="9241" max="9241" width="10.5546875" style="1" bestFit="1" customWidth="1"/>
    <col min="9242" max="9243" width="8.88671875" style="1"/>
    <col min="9244" max="9244" width="10.5546875" style="1" bestFit="1" customWidth="1"/>
    <col min="9245" max="9245" width="35" style="1" bestFit="1" customWidth="1"/>
    <col min="9246" max="9246" width="6.44140625" style="1" bestFit="1" customWidth="1"/>
    <col min="9247" max="9247" width="2.88671875" style="1" bestFit="1" customWidth="1"/>
    <col min="9248" max="9248" width="6.44140625" style="1" bestFit="1" customWidth="1"/>
    <col min="9249" max="9249" width="13.44140625" style="1" bestFit="1" customWidth="1"/>
    <col min="9250" max="9250" width="12.88671875" style="1" bestFit="1" customWidth="1"/>
    <col min="9251" max="9251" width="15.109375" style="1" bestFit="1" customWidth="1"/>
    <col min="9252" max="9252" width="12.88671875" style="1" bestFit="1" customWidth="1"/>
    <col min="9253" max="9253" width="13.88671875" style="1" customWidth="1"/>
    <col min="9254" max="9254" width="14.33203125" style="1" bestFit="1" customWidth="1"/>
    <col min="9255" max="9257" width="8.88671875" style="1"/>
    <col min="9258" max="9258" width="15.5546875" style="1" bestFit="1" customWidth="1"/>
    <col min="9259" max="9261" width="8.88671875" style="1"/>
    <col min="9262" max="9262" width="13.109375" style="1" bestFit="1" customWidth="1"/>
    <col min="9263" max="9263" width="12.88671875" style="1" bestFit="1" customWidth="1"/>
    <col min="9264" max="9264" width="14" style="1" bestFit="1" customWidth="1"/>
    <col min="9265" max="9265" width="12.33203125" style="1" bestFit="1" customWidth="1"/>
    <col min="9266" max="9266" width="13.44140625" style="1" bestFit="1" customWidth="1"/>
    <col min="9267" max="9267" width="15.109375" style="1" bestFit="1" customWidth="1"/>
    <col min="9268" max="9271" width="8.88671875" style="1"/>
    <col min="9272" max="9272" width="11.5546875" style="1" customWidth="1"/>
    <col min="9273" max="9273" width="12.109375" style="1" bestFit="1" customWidth="1"/>
    <col min="9274" max="9274" width="14" style="1" bestFit="1" customWidth="1"/>
    <col min="9275" max="9275" width="19.109375" style="1" bestFit="1" customWidth="1"/>
    <col min="9276" max="9276" width="23.44140625" style="1" bestFit="1" customWidth="1"/>
    <col min="9277" max="9277" width="25.88671875" style="1" bestFit="1" customWidth="1"/>
    <col min="9278" max="9278" width="18.33203125" style="1" bestFit="1" customWidth="1"/>
    <col min="9279" max="9279" width="17.109375" style="1" bestFit="1" customWidth="1"/>
    <col min="9280" max="9280" width="13.33203125" style="1" bestFit="1" customWidth="1"/>
    <col min="9281" max="9281" width="8.88671875" style="1"/>
    <col min="9282" max="9282" width="18.109375" style="1" bestFit="1" customWidth="1"/>
    <col min="9283" max="9283" width="23.44140625" style="1" bestFit="1" customWidth="1"/>
    <col min="9284" max="9287" width="8.88671875" style="1"/>
    <col min="9288" max="9288" width="14.88671875" style="1" bestFit="1" customWidth="1"/>
    <col min="9289" max="9289" width="18.109375" style="1" bestFit="1" customWidth="1"/>
    <col min="9290" max="9290" width="23.44140625" style="1" bestFit="1" customWidth="1"/>
    <col min="9291" max="9294" width="8.88671875" style="1"/>
    <col min="9295" max="9295" width="11" style="1" bestFit="1" customWidth="1"/>
    <col min="9296" max="9296" width="15.44140625" style="1" bestFit="1" customWidth="1"/>
    <col min="9297" max="9297" width="23.44140625" style="1" bestFit="1" customWidth="1"/>
    <col min="9298" max="9300" width="8.88671875" style="1"/>
    <col min="9301" max="9301" width="5.109375" style="1" customWidth="1"/>
    <col min="9302" max="9302" width="8.88671875" style="1"/>
    <col min="9303" max="9303" width="26" style="1" bestFit="1" customWidth="1"/>
    <col min="9304" max="9304" width="71" style="1" bestFit="1" customWidth="1"/>
    <col min="9305" max="9305" width="17.5546875" style="1" bestFit="1" customWidth="1"/>
    <col min="9306" max="9306" width="27.33203125" style="1" bestFit="1" customWidth="1"/>
    <col min="9307" max="9307" width="17.33203125" style="1" bestFit="1" customWidth="1"/>
    <col min="9308" max="9309" width="8.88671875" style="1"/>
    <col min="9310" max="9310" width="5.6640625" style="1" bestFit="1" customWidth="1"/>
    <col min="9311" max="9311" width="15.44140625" style="1" bestFit="1" customWidth="1"/>
    <col min="9312" max="9312" width="22" style="1" bestFit="1" customWidth="1"/>
    <col min="9313" max="9313" width="71" style="1" bestFit="1" customWidth="1"/>
    <col min="9314" max="9314" width="18.5546875" style="1" bestFit="1" customWidth="1"/>
    <col min="9315" max="9315" width="27.33203125" style="1" bestFit="1" customWidth="1"/>
    <col min="9316" max="9316" width="16.44140625" style="1" bestFit="1" customWidth="1"/>
    <col min="9317" max="9474" width="8.88671875" style="1"/>
    <col min="9475" max="9475" width="18.88671875" style="1" bestFit="1" customWidth="1"/>
    <col min="9476" max="9476" width="14.88671875" style="1" customWidth="1"/>
    <col min="9477" max="9477" width="33.44140625" style="1" customWidth="1"/>
    <col min="9478" max="9478" width="31.109375" style="1" customWidth="1"/>
    <col min="9479" max="9479" width="22.5546875" style="1" bestFit="1" customWidth="1"/>
    <col min="9480" max="9480" width="20.88671875" style="1" bestFit="1" customWidth="1"/>
    <col min="9481" max="9482" width="19.33203125" style="1" bestFit="1" customWidth="1"/>
    <col min="9483" max="9483" width="20.88671875" style="1" bestFit="1" customWidth="1"/>
    <col min="9484" max="9484" width="16.33203125" style="1" bestFit="1" customWidth="1"/>
    <col min="9485" max="9486" width="19.109375" style="1" bestFit="1" customWidth="1"/>
    <col min="9487" max="9487" width="13.44140625" style="1" bestFit="1" customWidth="1"/>
    <col min="9488" max="9488" width="15.33203125" style="1" bestFit="1" customWidth="1"/>
    <col min="9489" max="9489" width="24.33203125" style="1" bestFit="1" customWidth="1"/>
    <col min="9490" max="9490" width="12.88671875" style="1" bestFit="1" customWidth="1"/>
    <col min="9491" max="9492" width="12.5546875" style="1" bestFit="1" customWidth="1"/>
    <col min="9493" max="9493" width="10.5546875" style="1" bestFit="1" customWidth="1"/>
    <col min="9494" max="9494" width="12.44140625" style="1" bestFit="1" customWidth="1"/>
    <col min="9495" max="9495" width="11.5546875" style="1" bestFit="1" customWidth="1"/>
    <col min="9496" max="9496" width="12" style="1" bestFit="1" customWidth="1"/>
    <col min="9497" max="9497" width="10.5546875" style="1" bestFit="1" customWidth="1"/>
    <col min="9498" max="9499" width="8.88671875" style="1"/>
    <col min="9500" max="9500" width="10.5546875" style="1" bestFit="1" customWidth="1"/>
    <col min="9501" max="9501" width="35" style="1" bestFit="1" customWidth="1"/>
    <col min="9502" max="9502" width="6.44140625" style="1" bestFit="1" customWidth="1"/>
    <col min="9503" max="9503" width="2.88671875" style="1" bestFit="1" customWidth="1"/>
    <col min="9504" max="9504" width="6.44140625" style="1" bestFit="1" customWidth="1"/>
    <col min="9505" max="9505" width="13.44140625" style="1" bestFit="1" customWidth="1"/>
    <col min="9506" max="9506" width="12.88671875" style="1" bestFit="1" customWidth="1"/>
    <col min="9507" max="9507" width="15.109375" style="1" bestFit="1" customWidth="1"/>
    <col min="9508" max="9508" width="12.88671875" style="1" bestFit="1" customWidth="1"/>
    <col min="9509" max="9509" width="13.88671875" style="1" customWidth="1"/>
    <col min="9510" max="9510" width="14.33203125" style="1" bestFit="1" customWidth="1"/>
    <col min="9511" max="9513" width="8.88671875" style="1"/>
    <col min="9514" max="9514" width="15.5546875" style="1" bestFit="1" customWidth="1"/>
    <col min="9515" max="9517" width="8.88671875" style="1"/>
    <col min="9518" max="9518" width="13.109375" style="1" bestFit="1" customWidth="1"/>
    <col min="9519" max="9519" width="12.88671875" style="1" bestFit="1" customWidth="1"/>
    <col min="9520" max="9520" width="14" style="1" bestFit="1" customWidth="1"/>
    <col min="9521" max="9521" width="12.33203125" style="1" bestFit="1" customWidth="1"/>
    <col min="9522" max="9522" width="13.44140625" style="1" bestFit="1" customWidth="1"/>
    <col min="9523" max="9523" width="15.109375" style="1" bestFit="1" customWidth="1"/>
    <col min="9524" max="9527" width="8.88671875" style="1"/>
    <col min="9528" max="9528" width="11.5546875" style="1" customWidth="1"/>
    <col min="9529" max="9529" width="12.109375" style="1" bestFit="1" customWidth="1"/>
    <col min="9530" max="9530" width="14" style="1" bestFit="1" customWidth="1"/>
    <col min="9531" max="9531" width="19.109375" style="1" bestFit="1" customWidth="1"/>
    <col min="9532" max="9532" width="23.44140625" style="1" bestFit="1" customWidth="1"/>
    <col min="9533" max="9533" width="25.88671875" style="1" bestFit="1" customWidth="1"/>
    <col min="9534" max="9534" width="18.33203125" style="1" bestFit="1" customWidth="1"/>
    <col min="9535" max="9535" width="17.109375" style="1" bestFit="1" customWidth="1"/>
    <col min="9536" max="9536" width="13.33203125" style="1" bestFit="1" customWidth="1"/>
    <col min="9537" max="9537" width="8.88671875" style="1"/>
    <col min="9538" max="9538" width="18.109375" style="1" bestFit="1" customWidth="1"/>
    <col min="9539" max="9539" width="23.44140625" style="1" bestFit="1" customWidth="1"/>
    <col min="9540" max="9543" width="8.88671875" style="1"/>
    <col min="9544" max="9544" width="14.88671875" style="1" bestFit="1" customWidth="1"/>
    <col min="9545" max="9545" width="18.109375" style="1" bestFit="1" customWidth="1"/>
    <col min="9546" max="9546" width="23.44140625" style="1" bestFit="1" customWidth="1"/>
    <col min="9547" max="9550" width="8.88671875" style="1"/>
    <col min="9551" max="9551" width="11" style="1" bestFit="1" customWidth="1"/>
    <col min="9552" max="9552" width="15.44140625" style="1" bestFit="1" customWidth="1"/>
    <col min="9553" max="9553" width="23.44140625" style="1" bestFit="1" customWidth="1"/>
    <col min="9554" max="9556" width="8.88671875" style="1"/>
    <col min="9557" max="9557" width="5.109375" style="1" customWidth="1"/>
    <col min="9558" max="9558" width="8.88671875" style="1"/>
    <col min="9559" max="9559" width="26" style="1" bestFit="1" customWidth="1"/>
    <col min="9560" max="9560" width="71" style="1" bestFit="1" customWidth="1"/>
    <col min="9561" max="9561" width="17.5546875" style="1" bestFit="1" customWidth="1"/>
    <col min="9562" max="9562" width="27.33203125" style="1" bestFit="1" customWidth="1"/>
    <col min="9563" max="9563" width="17.33203125" style="1" bestFit="1" customWidth="1"/>
    <col min="9564" max="9565" width="8.88671875" style="1"/>
    <col min="9566" max="9566" width="5.6640625" style="1" bestFit="1" customWidth="1"/>
    <col min="9567" max="9567" width="15.44140625" style="1" bestFit="1" customWidth="1"/>
    <col min="9568" max="9568" width="22" style="1" bestFit="1" customWidth="1"/>
    <col min="9569" max="9569" width="71" style="1" bestFit="1" customWidth="1"/>
    <col min="9570" max="9570" width="18.5546875" style="1" bestFit="1" customWidth="1"/>
    <col min="9571" max="9571" width="27.33203125" style="1" bestFit="1" customWidth="1"/>
    <col min="9572" max="9572" width="16.44140625" style="1" bestFit="1" customWidth="1"/>
    <col min="9573" max="9730" width="8.88671875" style="1"/>
    <col min="9731" max="9731" width="18.88671875" style="1" bestFit="1" customWidth="1"/>
    <col min="9732" max="9732" width="14.88671875" style="1" customWidth="1"/>
    <col min="9733" max="9733" width="33.44140625" style="1" customWidth="1"/>
    <col min="9734" max="9734" width="31.109375" style="1" customWidth="1"/>
    <col min="9735" max="9735" width="22.5546875" style="1" bestFit="1" customWidth="1"/>
    <col min="9736" max="9736" width="20.88671875" style="1" bestFit="1" customWidth="1"/>
    <col min="9737" max="9738" width="19.33203125" style="1" bestFit="1" customWidth="1"/>
    <col min="9739" max="9739" width="20.88671875" style="1" bestFit="1" customWidth="1"/>
    <col min="9740" max="9740" width="16.33203125" style="1" bestFit="1" customWidth="1"/>
    <col min="9741" max="9742" width="19.109375" style="1" bestFit="1" customWidth="1"/>
    <col min="9743" max="9743" width="13.44140625" style="1" bestFit="1" customWidth="1"/>
    <col min="9744" max="9744" width="15.33203125" style="1" bestFit="1" customWidth="1"/>
    <col min="9745" max="9745" width="24.33203125" style="1" bestFit="1" customWidth="1"/>
    <col min="9746" max="9746" width="12.88671875" style="1" bestFit="1" customWidth="1"/>
    <col min="9747" max="9748" width="12.5546875" style="1" bestFit="1" customWidth="1"/>
    <col min="9749" max="9749" width="10.5546875" style="1" bestFit="1" customWidth="1"/>
    <col min="9750" max="9750" width="12.44140625" style="1" bestFit="1" customWidth="1"/>
    <col min="9751" max="9751" width="11.5546875" style="1" bestFit="1" customWidth="1"/>
    <col min="9752" max="9752" width="12" style="1" bestFit="1" customWidth="1"/>
    <col min="9753" max="9753" width="10.5546875" style="1" bestFit="1" customWidth="1"/>
    <col min="9754" max="9755" width="8.88671875" style="1"/>
    <col min="9756" max="9756" width="10.5546875" style="1" bestFit="1" customWidth="1"/>
    <col min="9757" max="9757" width="35" style="1" bestFit="1" customWidth="1"/>
    <col min="9758" max="9758" width="6.44140625" style="1" bestFit="1" customWidth="1"/>
    <col min="9759" max="9759" width="2.88671875" style="1" bestFit="1" customWidth="1"/>
    <col min="9760" max="9760" width="6.44140625" style="1" bestFit="1" customWidth="1"/>
    <col min="9761" max="9761" width="13.44140625" style="1" bestFit="1" customWidth="1"/>
    <col min="9762" max="9762" width="12.88671875" style="1" bestFit="1" customWidth="1"/>
    <col min="9763" max="9763" width="15.109375" style="1" bestFit="1" customWidth="1"/>
    <col min="9764" max="9764" width="12.88671875" style="1" bestFit="1" customWidth="1"/>
    <col min="9765" max="9765" width="13.88671875" style="1" customWidth="1"/>
    <col min="9766" max="9766" width="14.33203125" style="1" bestFit="1" customWidth="1"/>
    <col min="9767" max="9769" width="8.88671875" style="1"/>
    <col min="9770" max="9770" width="15.5546875" style="1" bestFit="1" customWidth="1"/>
    <col min="9771" max="9773" width="8.88671875" style="1"/>
    <col min="9774" max="9774" width="13.109375" style="1" bestFit="1" customWidth="1"/>
    <col min="9775" max="9775" width="12.88671875" style="1" bestFit="1" customWidth="1"/>
    <col min="9776" max="9776" width="14" style="1" bestFit="1" customWidth="1"/>
    <col min="9777" max="9777" width="12.33203125" style="1" bestFit="1" customWidth="1"/>
    <col min="9778" max="9778" width="13.44140625" style="1" bestFit="1" customWidth="1"/>
    <col min="9779" max="9779" width="15.109375" style="1" bestFit="1" customWidth="1"/>
    <col min="9780" max="9783" width="8.88671875" style="1"/>
    <col min="9784" max="9784" width="11.5546875" style="1" customWidth="1"/>
    <col min="9785" max="9785" width="12.109375" style="1" bestFit="1" customWidth="1"/>
    <col min="9786" max="9786" width="14" style="1" bestFit="1" customWidth="1"/>
    <col min="9787" max="9787" width="19.109375" style="1" bestFit="1" customWidth="1"/>
    <col min="9788" max="9788" width="23.44140625" style="1" bestFit="1" customWidth="1"/>
    <col min="9789" max="9789" width="25.88671875" style="1" bestFit="1" customWidth="1"/>
    <col min="9790" max="9790" width="18.33203125" style="1" bestFit="1" customWidth="1"/>
    <col min="9791" max="9791" width="17.109375" style="1" bestFit="1" customWidth="1"/>
    <col min="9792" max="9792" width="13.33203125" style="1" bestFit="1" customWidth="1"/>
    <col min="9793" max="9793" width="8.88671875" style="1"/>
    <col min="9794" max="9794" width="18.109375" style="1" bestFit="1" customWidth="1"/>
    <col min="9795" max="9795" width="23.44140625" style="1" bestFit="1" customWidth="1"/>
    <col min="9796" max="9799" width="8.88671875" style="1"/>
    <col min="9800" max="9800" width="14.88671875" style="1" bestFit="1" customWidth="1"/>
    <col min="9801" max="9801" width="18.109375" style="1" bestFit="1" customWidth="1"/>
    <col min="9802" max="9802" width="23.44140625" style="1" bestFit="1" customWidth="1"/>
    <col min="9803" max="9806" width="8.88671875" style="1"/>
    <col min="9807" max="9807" width="11" style="1" bestFit="1" customWidth="1"/>
    <col min="9808" max="9808" width="15.44140625" style="1" bestFit="1" customWidth="1"/>
    <col min="9809" max="9809" width="23.44140625" style="1" bestFit="1" customWidth="1"/>
    <col min="9810" max="9812" width="8.88671875" style="1"/>
    <col min="9813" max="9813" width="5.109375" style="1" customWidth="1"/>
    <col min="9814" max="9814" width="8.88671875" style="1"/>
    <col min="9815" max="9815" width="26" style="1" bestFit="1" customWidth="1"/>
    <col min="9816" max="9816" width="71" style="1" bestFit="1" customWidth="1"/>
    <col min="9817" max="9817" width="17.5546875" style="1" bestFit="1" customWidth="1"/>
    <col min="9818" max="9818" width="27.33203125" style="1" bestFit="1" customWidth="1"/>
    <col min="9819" max="9819" width="17.33203125" style="1" bestFit="1" customWidth="1"/>
    <col min="9820" max="9821" width="8.88671875" style="1"/>
    <col min="9822" max="9822" width="5.6640625" style="1" bestFit="1" customWidth="1"/>
    <col min="9823" max="9823" width="15.44140625" style="1" bestFit="1" customWidth="1"/>
    <col min="9824" max="9824" width="22" style="1" bestFit="1" customWidth="1"/>
    <col min="9825" max="9825" width="71" style="1" bestFit="1" customWidth="1"/>
    <col min="9826" max="9826" width="18.5546875" style="1" bestFit="1" customWidth="1"/>
    <col min="9827" max="9827" width="27.33203125" style="1" bestFit="1" customWidth="1"/>
    <col min="9828" max="9828" width="16.44140625" style="1" bestFit="1" customWidth="1"/>
    <col min="9829" max="9986" width="8.88671875" style="1"/>
    <col min="9987" max="9987" width="18.88671875" style="1" bestFit="1" customWidth="1"/>
    <col min="9988" max="9988" width="14.88671875" style="1" customWidth="1"/>
    <col min="9989" max="9989" width="33.44140625" style="1" customWidth="1"/>
    <col min="9990" max="9990" width="31.109375" style="1" customWidth="1"/>
    <col min="9991" max="9991" width="22.5546875" style="1" bestFit="1" customWidth="1"/>
    <col min="9992" max="9992" width="20.88671875" style="1" bestFit="1" customWidth="1"/>
    <col min="9993" max="9994" width="19.33203125" style="1" bestFit="1" customWidth="1"/>
    <col min="9995" max="9995" width="20.88671875" style="1" bestFit="1" customWidth="1"/>
    <col min="9996" max="9996" width="16.33203125" style="1" bestFit="1" customWidth="1"/>
    <col min="9997" max="9998" width="19.109375" style="1" bestFit="1" customWidth="1"/>
    <col min="9999" max="9999" width="13.44140625" style="1" bestFit="1" customWidth="1"/>
    <col min="10000" max="10000" width="15.33203125" style="1" bestFit="1" customWidth="1"/>
    <col min="10001" max="10001" width="24.33203125" style="1" bestFit="1" customWidth="1"/>
    <col min="10002" max="10002" width="12.88671875" style="1" bestFit="1" customWidth="1"/>
    <col min="10003" max="10004" width="12.5546875" style="1" bestFit="1" customWidth="1"/>
    <col min="10005" max="10005" width="10.5546875" style="1" bestFit="1" customWidth="1"/>
    <col min="10006" max="10006" width="12.44140625" style="1" bestFit="1" customWidth="1"/>
    <col min="10007" max="10007" width="11.5546875" style="1" bestFit="1" customWidth="1"/>
    <col min="10008" max="10008" width="12" style="1" bestFit="1" customWidth="1"/>
    <col min="10009" max="10009" width="10.5546875" style="1" bestFit="1" customWidth="1"/>
    <col min="10010" max="10011" width="8.88671875" style="1"/>
    <col min="10012" max="10012" width="10.5546875" style="1" bestFit="1" customWidth="1"/>
    <col min="10013" max="10013" width="35" style="1" bestFit="1" customWidth="1"/>
    <col min="10014" max="10014" width="6.44140625" style="1" bestFit="1" customWidth="1"/>
    <col min="10015" max="10015" width="2.88671875" style="1" bestFit="1" customWidth="1"/>
    <col min="10016" max="10016" width="6.44140625" style="1" bestFit="1" customWidth="1"/>
    <col min="10017" max="10017" width="13.44140625" style="1" bestFit="1" customWidth="1"/>
    <col min="10018" max="10018" width="12.88671875" style="1" bestFit="1" customWidth="1"/>
    <col min="10019" max="10019" width="15.109375" style="1" bestFit="1" customWidth="1"/>
    <col min="10020" max="10020" width="12.88671875" style="1" bestFit="1" customWidth="1"/>
    <col min="10021" max="10021" width="13.88671875" style="1" customWidth="1"/>
    <col min="10022" max="10022" width="14.33203125" style="1" bestFit="1" customWidth="1"/>
    <col min="10023" max="10025" width="8.88671875" style="1"/>
    <col min="10026" max="10026" width="15.5546875" style="1" bestFit="1" customWidth="1"/>
    <col min="10027" max="10029" width="8.88671875" style="1"/>
    <col min="10030" max="10030" width="13.109375" style="1" bestFit="1" customWidth="1"/>
    <col min="10031" max="10031" width="12.88671875" style="1" bestFit="1" customWidth="1"/>
    <col min="10032" max="10032" width="14" style="1" bestFit="1" customWidth="1"/>
    <col min="10033" max="10033" width="12.33203125" style="1" bestFit="1" customWidth="1"/>
    <col min="10034" max="10034" width="13.44140625" style="1" bestFit="1" customWidth="1"/>
    <col min="10035" max="10035" width="15.109375" style="1" bestFit="1" customWidth="1"/>
    <col min="10036" max="10039" width="8.88671875" style="1"/>
    <col min="10040" max="10040" width="11.5546875" style="1" customWidth="1"/>
    <col min="10041" max="10041" width="12.109375" style="1" bestFit="1" customWidth="1"/>
    <col min="10042" max="10042" width="14" style="1" bestFit="1" customWidth="1"/>
    <col min="10043" max="10043" width="19.109375" style="1" bestFit="1" customWidth="1"/>
    <col min="10044" max="10044" width="23.44140625" style="1" bestFit="1" customWidth="1"/>
    <col min="10045" max="10045" width="25.88671875" style="1" bestFit="1" customWidth="1"/>
    <col min="10046" max="10046" width="18.33203125" style="1" bestFit="1" customWidth="1"/>
    <col min="10047" max="10047" width="17.109375" style="1" bestFit="1" customWidth="1"/>
    <col min="10048" max="10048" width="13.33203125" style="1" bestFit="1" customWidth="1"/>
    <col min="10049" max="10049" width="8.88671875" style="1"/>
    <col min="10050" max="10050" width="18.109375" style="1" bestFit="1" customWidth="1"/>
    <col min="10051" max="10051" width="23.44140625" style="1" bestFit="1" customWidth="1"/>
    <col min="10052" max="10055" width="8.88671875" style="1"/>
    <col min="10056" max="10056" width="14.88671875" style="1" bestFit="1" customWidth="1"/>
    <col min="10057" max="10057" width="18.109375" style="1" bestFit="1" customWidth="1"/>
    <col min="10058" max="10058" width="23.44140625" style="1" bestFit="1" customWidth="1"/>
    <col min="10059" max="10062" width="8.88671875" style="1"/>
    <col min="10063" max="10063" width="11" style="1" bestFit="1" customWidth="1"/>
    <col min="10064" max="10064" width="15.44140625" style="1" bestFit="1" customWidth="1"/>
    <col min="10065" max="10065" width="23.44140625" style="1" bestFit="1" customWidth="1"/>
    <col min="10066" max="10068" width="8.88671875" style="1"/>
    <col min="10069" max="10069" width="5.109375" style="1" customWidth="1"/>
    <col min="10070" max="10070" width="8.88671875" style="1"/>
    <col min="10071" max="10071" width="26" style="1" bestFit="1" customWidth="1"/>
    <col min="10072" max="10072" width="71" style="1" bestFit="1" customWidth="1"/>
    <col min="10073" max="10073" width="17.5546875" style="1" bestFit="1" customWidth="1"/>
    <col min="10074" max="10074" width="27.33203125" style="1" bestFit="1" customWidth="1"/>
    <col min="10075" max="10075" width="17.33203125" style="1" bestFit="1" customWidth="1"/>
    <col min="10076" max="10077" width="8.88671875" style="1"/>
    <col min="10078" max="10078" width="5.6640625" style="1" bestFit="1" customWidth="1"/>
    <col min="10079" max="10079" width="15.44140625" style="1" bestFit="1" customWidth="1"/>
    <col min="10080" max="10080" width="22" style="1" bestFit="1" customWidth="1"/>
    <col min="10081" max="10081" width="71" style="1" bestFit="1" customWidth="1"/>
    <col min="10082" max="10082" width="18.5546875" style="1" bestFit="1" customWidth="1"/>
    <col min="10083" max="10083" width="27.33203125" style="1" bestFit="1" customWidth="1"/>
    <col min="10084" max="10084" width="16.44140625" style="1" bestFit="1" customWidth="1"/>
    <col min="10085" max="10242" width="8.88671875" style="1"/>
    <col min="10243" max="10243" width="18.88671875" style="1" bestFit="1" customWidth="1"/>
    <col min="10244" max="10244" width="14.88671875" style="1" customWidth="1"/>
    <col min="10245" max="10245" width="33.44140625" style="1" customWidth="1"/>
    <col min="10246" max="10246" width="31.109375" style="1" customWidth="1"/>
    <col min="10247" max="10247" width="22.5546875" style="1" bestFit="1" customWidth="1"/>
    <col min="10248" max="10248" width="20.88671875" style="1" bestFit="1" customWidth="1"/>
    <col min="10249" max="10250" width="19.33203125" style="1" bestFit="1" customWidth="1"/>
    <col min="10251" max="10251" width="20.88671875" style="1" bestFit="1" customWidth="1"/>
    <col min="10252" max="10252" width="16.33203125" style="1" bestFit="1" customWidth="1"/>
    <col min="10253" max="10254" width="19.109375" style="1" bestFit="1" customWidth="1"/>
    <col min="10255" max="10255" width="13.44140625" style="1" bestFit="1" customWidth="1"/>
    <col min="10256" max="10256" width="15.33203125" style="1" bestFit="1" customWidth="1"/>
    <col min="10257" max="10257" width="24.33203125" style="1" bestFit="1" customWidth="1"/>
    <col min="10258" max="10258" width="12.88671875" style="1" bestFit="1" customWidth="1"/>
    <col min="10259" max="10260" width="12.5546875" style="1" bestFit="1" customWidth="1"/>
    <col min="10261" max="10261" width="10.5546875" style="1" bestFit="1" customWidth="1"/>
    <col min="10262" max="10262" width="12.44140625" style="1" bestFit="1" customWidth="1"/>
    <col min="10263" max="10263" width="11.5546875" style="1" bestFit="1" customWidth="1"/>
    <col min="10264" max="10264" width="12" style="1" bestFit="1" customWidth="1"/>
    <col min="10265" max="10265" width="10.5546875" style="1" bestFit="1" customWidth="1"/>
    <col min="10266" max="10267" width="8.88671875" style="1"/>
    <col min="10268" max="10268" width="10.5546875" style="1" bestFit="1" customWidth="1"/>
    <col min="10269" max="10269" width="35" style="1" bestFit="1" customWidth="1"/>
    <col min="10270" max="10270" width="6.44140625" style="1" bestFit="1" customWidth="1"/>
    <col min="10271" max="10271" width="2.88671875" style="1" bestFit="1" customWidth="1"/>
    <col min="10272" max="10272" width="6.44140625" style="1" bestFit="1" customWidth="1"/>
    <col min="10273" max="10273" width="13.44140625" style="1" bestFit="1" customWidth="1"/>
    <col min="10274" max="10274" width="12.88671875" style="1" bestFit="1" customWidth="1"/>
    <col min="10275" max="10275" width="15.109375" style="1" bestFit="1" customWidth="1"/>
    <col min="10276" max="10276" width="12.88671875" style="1" bestFit="1" customWidth="1"/>
    <col min="10277" max="10277" width="13.88671875" style="1" customWidth="1"/>
    <col min="10278" max="10278" width="14.33203125" style="1" bestFit="1" customWidth="1"/>
    <col min="10279" max="10281" width="8.88671875" style="1"/>
    <col min="10282" max="10282" width="15.5546875" style="1" bestFit="1" customWidth="1"/>
    <col min="10283" max="10285" width="8.88671875" style="1"/>
    <col min="10286" max="10286" width="13.109375" style="1" bestFit="1" customWidth="1"/>
    <col min="10287" max="10287" width="12.88671875" style="1" bestFit="1" customWidth="1"/>
    <col min="10288" max="10288" width="14" style="1" bestFit="1" customWidth="1"/>
    <col min="10289" max="10289" width="12.33203125" style="1" bestFit="1" customWidth="1"/>
    <col min="10290" max="10290" width="13.44140625" style="1" bestFit="1" customWidth="1"/>
    <col min="10291" max="10291" width="15.109375" style="1" bestFit="1" customWidth="1"/>
    <col min="10292" max="10295" width="8.88671875" style="1"/>
    <col min="10296" max="10296" width="11.5546875" style="1" customWidth="1"/>
    <col min="10297" max="10297" width="12.109375" style="1" bestFit="1" customWidth="1"/>
    <col min="10298" max="10298" width="14" style="1" bestFit="1" customWidth="1"/>
    <col min="10299" max="10299" width="19.109375" style="1" bestFit="1" customWidth="1"/>
    <col min="10300" max="10300" width="23.44140625" style="1" bestFit="1" customWidth="1"/>
    <col min="10301" max="10301" width="25.88671875" style="1" bestFit="1" customWidth="1"/>
    <col min="10302" max="10302" width="18.33203125" style="1" bestFit="1" customWidth="1"/>
    <col min="10303" max="10303" width="17.109375" style="1" bestFit="1" customWidth="1"/>
    <col min="10304" max="10304" width="13.33203125" style="1" bestFit="1" customWidth="1"/>
    <col min="10305" max="10305" width="8.88671875" style="1"/>
    <col min="10306" max="10306" width="18.109375" style="1" bestFit="1" customWidth="1"/>
    <col min="10307" max="10307" width="23.44140625" style="1" bestFit="1" customWidth="1"/>
    <col min="10308" max="10311" width="8.88671875" style="1"/>
    <col min="10312" max="10312" width="14.88671875" style="1" bestFit="1" customWidth="1"/>
    <col min="10313" max="10313" width="18.109375" style="1" bestFit="1" customWidth="1"/>
    <col min="10314" max="10314" width="23.44140625" style="1" bestFit="1" customWidth="1"/>
    <col min="10315" max="10318" width="8.88671875" style="1"/>
    <col min="10319" max="10319" width="11" style="1" bestFit="1" customWidth="1"/>
    <col min="10320" max="10320" width="15.44140625" style="1" bestFit="1" customWidth="1"/>
    <col min="10321" max="10321" width="23.44140625" style="1" bestFit="1" customWidth="1"/>
    <col min="10322" max="10324" width="8.88671875" style="1"/>
    <col min="10325" max="10325" width="5.109375" style="1" customWidth="1"/>
    <col min="10326" max="10326" width="8.88671875" style="1"/>
    <col min="10327" max="10327" width="26" style="1" bestFit="1" customWidth="1"/>
    <col min="10328" max="10328" width="71" style="1" bestFit="1" customWidth="1"/>
    <col min="10329" max="10329" width="17.5546875" style="1" bestFit="1" customWidth="1"/>
    <col min="10330" max="10330" width="27.33203125" style="1" bestFit="1" customWidth="1"/>
    <col min="10331" max="10331" width="17.33203125" style="1" bestFit="1" customWidth="1"/>
    <col min="10332" max="10333" width="8.88671875" style="1"/>
    <col min="10334" max="10334" width="5.6640625" style="1" bestFit="1" customWidth="1"/>
    <col min="10335" max="10335" width="15.44140625" style="1" bestFit="1" customWidth="1"/>
    <col min="10336" max="10336" width="22" style="1" bestFit="1" customWidth="1"/>
    <col min="10337" max="10337" width="71" style="1" bestFit="1" customWidth="1"/>
    <col min="10338" max="10338" width="18.5546875" style="1" bestFit="1" customWidth="1"/>
    <col min="10339" max="10339" width="27.33203125" style="1" bestFit="1" customWidth="1"/>
    <col min="10340" max="10340" width="16.44140625" style="1" bestFit="1" customWidth="1"/>
    <col min="10341" max="10498" width="8.88671875" style="1"/>
    <col min="10499" max="10499" width="18.88671875" style="1" bestFit="1" customWidth="1"/>
    <col min="10500" max="10500" width="14.88671875" style="1" customWidth="1"/>
    <col min="10501" max="10501" width="33.44140625" style="1" customWidth="1"/>
    <col min="10502" max="10502" width="31.109375" style="1" customWidth="1"/>
    <col min="10503" max="10503" width="22.5546875" style="1" bestFit="1" customWidth="1"/>
    <col min="10504" max="10504" width="20.88671875" style="1" bestFit="1" customWidth="1"/>
    <col min="10505" max="10506" width="19.33203125" style="1" bestFit="1" customWidth="1"/>
    <col min="10507" max="10507" width="20.88671875" style="1" bestFit="1" customWidth="1"/>
    <col min="10508" max="10508" width="16.33203125" style="1" bestFit="1" customWidth="1"/>
    <col min="10509" max="10510" width="19.109375" style="1" bestFit="1" customWidth="1"/>
    <col min="10511" max="10511" width="13.44140625" style="1" bestFit="1" customWidth="1"/>
    <col min="10512" max="10512" width="15.33203125" style="1" bestFit="1" customWidth="1"/>
    <col min="10513" max="10513" width="24.33203125" style="1" bestFit="1" customWidth="1"/>
    <col min="10514" max="10514" width="12.88671875" style="1" bestFit="1" customWidth="1"/>
    <col min="10515" max="10516" width="12.5546875" style="1" bestFit="1" customWidth="1"/>
    <col min="10517" max="10517" width="10.5546875" style="1" bestFit="1" customWidth="1"/>
    <col min="10518" max="10518" width="12.44140625" style="1" bestFit="1" customWidth="1"/>
    <col min="10519" max="10519" width="11.5546875" style="1" bestFit="1" customWidth="1"/>
    <col min="10520" max="10520" width="12" style="1" bestFit="1" customWidth="1"/>
    <col min="10521" max="10521" width="10.5546875" style="1" bestFit="1" customWidth="1"/>
    <col min="10522" max="10523" width="8.88671875" style="1"/>
    <col min="10524" max="10524" width="10.5546875" style="1" bestFit="1" customWidth="1"/>
    <col min="10525" max="10525" width="35" style="1" bestFit="1" customWidth="1"/>
    <col min="10526" max="10526" width="6.44140625" style="1" bestFit="1" customWidth="1"/>
    <col min="10527" max="10527" width="2.88671875" style="1" bestFit="1" customWidth="1"/>
    <col min="10528" max="10528" width="6.44140625" style="1" bestFit="1" customWidth="1"/>
    <col min="10529" max="10529" width="13.44140625" style="1" bestFit="1" customWidth="1"/>
    <col min="10530" max="10530" width="12.88671875" style="1" bestFit="1" customWidth="1"/>
    <col min="10531" max="10531" width="15.109375" style="1" bestFit="1" customWidth="1"/>
    <col min="10532" max="10532" width="12.88671875" style="1" bestFit="1" customWidth="1"/>
    <col min="10533" max="10533" width="13.88671875" style="1" customWidth="1"/>
    <col min="10534" max="10534" width="14.33203125" style="1" bestFit="1" customWidth="1"/>
    <col min="10535" max="10537" width="8.88671875" style="1"/>
    <col min="10538" max="10538" width="15.5546875" style="1" bestFit="1" customWidth="1"/>
    <col min="10539" max="10541" width="8.88671875" style="1"/>
    <col min="10542" max="10542" width="13.109375" style="1" bestFit="1" customWidth="1"/>
    <col min="10543" max="10543" width="12.88671875" style="1" bestFit="1" customWidth="1"/>
    <col min="10544" max="10544" width="14" style="1" bestFit="1" customWidth="1"/>
    <col min="10545" max="10545" width="12.33203125" style="1" bestFit="1" customWidth="1"/>
    <col min="10546" max="10546" width="13.44140625" style="1" bestFit="1" customWidth="1"/>
    <col min="10547" max="10547" width="15.109375" style="1" bestFit="1" customWidth="1"/>
    <col min="10548" max="10551" width="8.88671875" style="1"/>
    <col min="10552" max="10552" width="11.5546875" style="1" customWidth="1"/>
    <col min="10553" max="10553" width="12.109375" style="1" bestFit="1" customWidth="1"/>
    <col min="10554" max="10554" width="14" style="1" bestFit="1" customWidth="1"/>
    <col min="10555" max="10555" width="19.109375" style="1" bestFit="1" customWidth="1"/>
    <col min="10556" max="10556" width="23.44140625" style="1" bestFit="1" customWidth="1"/>
    <col min="10557" max="10557" width="25.88671875" style="1" bestFit="1" customWidth="1"/>
    <col min="10558" max="10558" width="18.33203125" style="1" bestFit="1" customWidth="1"/>
    <col min="10559" max="10559" width="17.109375" style="1" bestFit="1" customWidth="1"/>
    <col min="10560" max="10560" width="13.33203125" style="1" bestFit="1" customWidth="1"/>
    <col min="10561" max="10561" width="8.88671875" style="1"/>
    <col min="10562" max="10562" width="18.109375" style="1" bestFit="1" customWidth="1"/>
    <col min="10563" max="10563" width="23.44140625" style="1" bestFit="1" customWidth="1"/>
    <col min="10564" max="10567" width="8.88671875" style="1"/>
    <col min="10568" max="10568" width="14.88671875" style="1" bestFit="1" customWidth="1"/>
    <col min="10569" max="10569" width="18.109375" style="1" bestFit="1" customWidth="1"/>
    <col min="10570" max="10570" width="23.44140625" style="1" bestFit="1" customWidth="1"/>
    <col min="10571" max="10574" width="8.88671875" style="1"/>
    <col min="10575" max="10575" width="11" style="1" bestFit="1" customWidth="1"/>
    <col min="10576" max="10576" width="15.44140625" style="1" bestFit="1" customWidth="1"/>
    <col min="10577" max="10577" width="23.44140625" style="1" bestFit="1" customWidth="1"/>
    <col min="10578" max="10580" width="8.88671875" style="1"/>
    <col min="10581" max="10581" width="5.109375" style="1" customWidth="1"/>
    <col min="10582" max="10582" width="8.88671875" style="1"/>
    <col min="10583" max="10583" width="26" style="1" bestFit="1" customWidth="1"/>
    <col min="10584" max="10584" width="71" style="1" bestFit="1" customWidth="1"/>
    <col min="10585" max="10585" width="17.5546875" style="1" bestFit="1" customWidth="1"/>
    <col min="10586" max="10586" width="27.33203125" style="1" bestFit="1" customWidth="1"/>
    <col min="10587" max="10587" width="17.33203125" style="1" bestFit="1" customWidth="1"/>
    <col min="10588" max="10589" width="8.88671875" style="1"/>
    <col min="10590" max="10590" width="5.6640625" style="1" bestFit="1" customWidth="1"/>
    <col min="10591" max="10591" width="15.44140625" style="1" bestFit="1" customWidth="1"/>
    <col min="10592" max="10592" width="22" style="1" bestFit="1" customWidth="1"/>
    <col min="10593" max="10593" width="71" style="1" bestFit="1" customWidth="1"/>
    <col min="10594" max="10594" width="18.5546875" style="1" bestFit="1" customWidth="1"/>
    <col min="10595" max="10595" width="27.33203125" style="1" bestFit="1" customWidth="1"/>
    <col min="10596" max="10596" width="16.44140625" style="1" bestFit="1" customWidth="1"/>
    <col min="10597" max="10754" width="8.88671875" style="1"/>
    <col min="10755" max="10755" width="18.88671875" style="1" bestFit="1" customWidth="1"/>
    <col min="10756" max="10756" width="14.88671875" style="1" customWidth="1"/>
    <col min="10757" max="10757" width="33.44140625" style="1" customWidth="1"/>
    <col min="10758" max="10758" width="31.109375" style="1" customWidth="1"/>
    <col min="10759" max="10759" width="22.5546875" style="1" bestFit="1" customWidth="1"/>
    <col min="10760" max="10760" width="20.88671875" style="1" bestFit="1" customWidth="1"/>
    <col min="10761" max="10762" width="19.33203125" style="1" bestFit="1" customWidth="1"/>
    <col min="10763" max="10763" width="20.88671875" style="1" bestFit="1" customWidth="1"/>
    <col min="10764" max="10764" width="16.33203125" style="1" bestFit="1" customWidth="1"/>
    <col min="10765" max="10766" width="19.109375" style="1" bestFit="1" customWidth="1"/>
    <col min="10767" max="10767" width="13.44140625" style="1" bestFit="1" customWidth="1"/>
    <col min="10768" max="10768" width="15.33203125" style="1" bestFit="1" customWidth="1"/>
    <col min="10769" max="10769" width="24.33203125" style="1" bestFit="1" customWidth="1"/>
    <col min="10770" max="10770" width="12.88671875" style="1" bestFit="1" customWidth="1"/>
    <col min="10771" max="10772" width="12.5546875" style="1" bestFit="1" customWidth="1"/>
    <col min="10773" max="10773" width="10.5546875" style="1" bestFit="1" customWidth="1"/>
    <col min="10774" max="10774" width="12.44140625" style="1" bestFit="1" customWidth="1"/>
    <col min="10775" max="10775" width="11.5546875" style="1" bestFit="1" customWidth="1"/>
    <col min="10776" max="10776" width="12" style="1" bestFit="1" customWidth="1"/>
    <col min="10777" max="10777" width="10.5546875" style="1" bestFit="1" customWidth="1"/>
    <col min="10778" max="10779" width="8.88671875" style="1"/>
    <col min="10780" max="10780" width="10.5546875" style="1" bestFit="1" customWidth="1"/>
    <col min="10781" max="10781" width="35" style="1" bestFit="1" customWidth="1"/>
    <col min="10782" max="10782" width="6.44140625" style="1" bestFit="1" customWidth="1"/>
    <col min="10783" max="10783" width="2.88671875" style="1" bestFit="1" customWidth="1"/>
    <col min="10784" max="10784" width="6.44140625" style="1" bestFit="1" customWidth="1"/>
    <col min="10785" max="10785" width="13.44140625" style="1" bestFit="1" customWidth="1"/>
    <col min="10786" max="10786" width="12.88671875" style="1" bestFit="1" customWidth="1"/>
    <col min="10787" max="10787" width="15.109375" style="1" bestFit="1" customWidth="1"/>
    <col min="10788" max="10788" width="12.88671875" style="1" bestFit="1" customWidth="1"/>
    <col min="10789" max="10789" width="13.88671875" style="1" customWidth="1"/>
    <col min="10790" max="10790" width="14.33203125" style="1" bestFit="1" customWidth="1"/>
    <col min="10791" max="10793" width="8.88671875" style="1"/>
    <col min="10794" max="10794" width="15.5546875" style="1" bestFit="1" customWidth="1"/>
    <col min="10795" max="10797" width="8.88671875" style="1"/>
    <col min="10798" max="10798" width="13.109375" style="1" bestFit="1" customWidth="1"/>
    <col min="10799" max="10799" width="12.88671875" style="1" bestFit="1" customWidth="1"/>
    <col min="10800" max="10800" width="14" style="1" bestFit="1" customWidth="1"/>
    <col min="10801" max="10801" width="12.33203125" style="1" bestFit="1" customWidth="1"/>
    <col min="10802" max="10802" width="13.44140625" style="1" bestFit="1" customWidth="1"/>
    <col min="10803" max="10803" width="15.109375" style="1" bestFit="1" customWidth="1"/>
    <col min="10804" max="10807" width="8.88671875" style="1"/>
    <col min="10808" max="10808" width="11.5546875" style="1" customWidth="1"/>
    <col min="10809" max="10809" width="12.109375" style="1" bestFit="1" customWidth="1"/>
    <col min="10810" max="10810" width="14" style="1" bestFit="1" customWidth="1"/>
    <col min="10811" max="10811" width="19.109375" style="1" bestFit="1" customWidth="1"/>
    <col min="10812" max="10812" width="23.44140625" style="1" bestFit="1" customWidth="1"/>
    <col min="10813" max="10813" width="25.88671875" style="1" bestFit="1" customWidth="1"/>
    <col min="10814" max="10814" width="18.33203125" style="1" bestFit="1" customWidth="1"/>
    <col min="10815" max="10815" width="17.109375" style="1" bestFit="1" customWidth="1"/>
    <col min="10816" max="10816" width="13.33203125" style="1" bestFit="1" customWidth="1"/>
    <col min="10817" max="10817" width="8.88671875" style="1"/>
    <col min="10818" max="10818" width="18.109375" style="1" bestFit="1" customWidth="1"/>
    <col min="10819" max="10819" width="23.44140625" style="1" bestFit="1" customWidth="1"/>
    <col min="10820" max="10823" width="8.88671875" style="1"/>
    <col min="10824" max="10824" width="14.88671875" style="1" bestFit="1" customWidth="1"/>
    <col min="10825" max="10825" width="18.109375" style="1" bestFit="1" customWidth="1"/>
    <col min="10826" max="10826" width="23.44140625" style="1" bestFit="1" customWidth="1"/>
    <col min="10827" max="10830" width="8.88671875" style="1"/>
    <col min="10831" max="10831" width="11" style="1" bestFit="1" customWidth="1"/>
    <col min="10832" max="10832" width="15.44140625" style="1" bestFit="1" customWidth="1"/>
    <col min="10833" max="10833" width="23.44140625" style="1" bestFit="1" customWidth="1"/>
    <col min="10834" max="10836" width="8.88671875" style="1"/>
    <col min="10837" max="10837" width="5.109375" style="1" customWidth="1"/>
    <col min="10838" max="10838" width="8.88671875" style="1"/>
    <col min="10839" max="10839" width="26" style="1" bestFit="1" customWidth="1"/>
    <col min="10840" max="10840" width="71" style="1" bestFit="1" customWidth="1"/>
    <col min="10841" max="10841" width="17.5546875" style="1" bestFit="1" customWidth="1"/>
    <col min="10842" max="10842" width="27.33203125" style="1" bestFit="1" customWidth="1"/>
    <col min="10843" max="10843" width="17.33203125" style="1" bestFit="1" customWidth="1"/>
    <col min="10844" max="10845" width="8.88671875" style="1"/>
    <col min="10846" max="10846" width="5.6640625" style="1" bestFit="1" customWidth="1"/>
    <col min="10847" max="10847" width="15.44140625" style="1" bestFit="1" customWidth="1"/>
    <col min="10848" max="10848" width="22" style="1" bestFit="1" customWidth="1"/>
    <col min="10849" max="10849" width="71" style="1" bestFit="1" customWidth="1"/>
    <col min="10850" max="10850" width="18.5546875" style="1" bestFit="1" customWidth="1"/>
    <col min="10851" max="10851" width="27.33203125" style="1" bestFit="1" customWidth="1"/>
    <col min="10852" max="10852" width="16.44140625" style="1" bestFit="1" customWidth="1"/>
    <col min="10853" max="11010" width="8.88671875" style="1"/>
    <col min="11011" max="11011" width="18.88671875" style="1" bestFit="1" customWidth="1"/>
    <col min="11012" max="11012" width="14.88671875" style="1" customWidth="1"/>
    <col min="11013" max="11013" width="33.44140625" style="1" customWidth="1"/>
    <col min="11014" max="11014" width="31.109375" style="1" customWidth="1"/>
    <col min="11015" max="11015" width="22.5546875" style="1" bestFit="1" customWidth="1"/>
    <col min="11016" max="11016" width="20.88671875" style="1" bestFit="1" customWidth="1"/>
    <col min="11017" max="11018" width="19.33203125" style="1" bestFit="1" customWidth="1"/>
    <col min="11019" max="11019" width="20.88671875" style="1" bestFit="1" customWidth="1"/>
    <col min="11020" max="11020" width="16.33203125" style="1" bestFit="1" customWidth="1"/>
    <col min="11021" max="11022" width="19.109375" style="1" bestFit="1" customWidth="1"/>
    <col min="11023" max="11023" width="13.44140625" style="1" bestFit="1" customWidth="1"/>
    <col min="11024" max="11024" width="15.33203125" style="1" bestFit="1" customWidth="1"/>
    <col min="11025" max="11025" width="24.33203125" style="1" bestFit="1" customWidth="1"/>
    <col min="11026" max="11026" width="12.88671875" style="1" bestFit="1" customWidth="1"/>
    <col min="11027" max="11028" width="12.5546875" style="1" bestFit="1" customWidth="1"/>
    <col min="11029" max="11029" width="10.5546875" style="1" bestFit="1" customWidth="1"/>
    <col min="11030" max="11030" width="12.44140625" style="1" bestFit="1" customWidth="1"/>
    <col min="11031" max="11031" width="11.5546875" style="1" bestFit="1" customWidth="1"/>
    <col min="11032" max="11032" width="12" style="1" bestFit="1" customWidth="1"/>
    <col min="11033" max="11033" width="10.5546875" style="1" bestFit="1" customWidth="1"/>
    <col min="11034" max="11035" width="8.88671875" style="1"/>
    <col min="11036" max="11036" width="10.5546875" style="1" bestFit="1" customWidth="1"/>
    <col min="11037" max="11037" width="35" style="1" bestFit="1" customWidth="1"/>
    <col min="11038" max="11038" width="6.44140625" style="1" bestFit="1" customWidth="1"/>
    <col min="11039" max="11039" width="2.88671875" style="1" bestFit="1" customWidth="1"/>
    <col min="11040" max="11040" width="6.44140625" style="1" bestFit="1" customWidth="1"/>
    <col min="11041" max="11041" width="13.44140625" style="1" bestFit="1" customWidth="1"/>
    <col min="11042" max="11042" width="12.88671875" style="1" bestFit="1" customWidth="1"/>
    <col min="11043" max="11043" width="15.109375" style="1" bestFit="1" customWidth="1"/>
    <col min="11044" max="11044" width="12.88671875" style="1" bestFit="1" customWidth="1"/>
    <col min="11045" max="11045" width="13.88671875" style="1" customWidth="1"/>
    <col min="11046" max="11046" width="14.33203125" style="1" bestFit="1" customWidth="1"/>
    <col min="11047" max="11049" width="8.88671875" style="1"/>
    <col min="11050" max="11050" width="15.5546875" style="1" bestFit="1" customWidth="1"/>
    <col min="11051" max="11053" width="8.88671875" style="1"/>
    <col min="11054" max="11054" width="13.109375" style="1" bestFit="1" customWidth="1"/>
    <col min="11055" max="11055" width="12.88671875" style="1" bestFit="1" customWidth="1"/>
    <col min="11056" max="11056" width="14" style="1" bestFit="1" customWidth="1"/>
    <col min="11057" max="11057" width="12.33203125" style="1" bestFit="1" customWidth="1"/>
    <col min="11058" max="11058" width="13.44140625" style="1" bestFit="1" customWidth="1"/>
    <col min="11059" max="11059" width="15.109375" style="1" bestFit="1" customWidth="1"/>
    <col min="11060" max="11063" width="8.88671875" style="1"/>
    <col min="11064" max="11064" width="11.5546875" style="1" customWidth="1"/>
    <col min="11065" max="11065" width="12.109375" style="1" bestFit="1" customWidth="1"/>
    <col min="11066" max="11066" width="14" style="1" bestFit="1" customWidth="1"/>
    <col min="11067" max="11067" width="19.109375" style="1" bestFit="1" customWidth="1"/>
    <col min="11068" max="11068" width="23.44140625" style="1" bestFit="1" customWidth="1"/>
    <col min="11069" max="11069" width="25.88671875" style="1" bestFit="1" customWidth="1"/>
    <col min="11070" max="11070" width="18.33203125" style="1" bestFit="1" customWidth="1"/>
    <col min="11071" max="11071" width="17.109375" style="1" bestFit="1" customWidth="1"/>
    <col min="11072" max="11072" width="13.33203125" style="1" bestFit="1" customWidth="1"/>
    <col min="11073" max="11073" width="8.88671875" style="1"/>
    <col min="11074" max="11074" width="18.109375" style="1" bestFit="1" customWidth="1"/>
    <col min="11075" max="11075" width="23.44140625" style="1" bestFit="1" customWidth="1"/>
    <col min="11076" max="11079" width="8.88671875" style="1"/>
    <col min="11080" max="11080" width="14.88671875" style="1" bestFit="1" customWidth="1"/>
    <col min="11081" max="11081" width="18.109375" style="1" bestFit="1" customWidth="1"/>
    <col min="11082" max="11082" width="23.44140625" style="1" bestFit="1" customWidth="1"/>
    <col min="11083" max="11086" width="8.88671875" style="1"/>
    <col min="11087" max="11087" width="11" style="1" bestFit="1" customWidth="1"/>
    <col min="11088" max="11088" width="15.44140625" style="1" bestFit="1" customWidth="1"/>
    <col min="11089" max="11089" width="23.44140625" style="1" bestFit="1" customWidth="1"/>
    <col min="11090" max="11092" width="8.88671875" style="1"/>
    <col min="11093" max="11093" width="5.109375" style="1" customWidth="1"/>
    <col min="11094" max="11094" width="8.88671875" style="1"/>
    <col min="11095" max="11095" width="26" style="1" bestFit="1" customWidth="1"/>
    <col min="11096" max="11096" width="71" style="1" bestFit="1" customWidth="1"/>
    <col min="11097" max="11097" width="17.5546875" style="1" bestFit="1" customWidth="1"/>
    <col min="11098" max="11098" width="27.33203125" style="1" bestFit="1" customWidth="1"/>
    <col min="11099" max="11099" width="17.33203125" style="1" bestFit="1" customWidth="1"/>
    <col min="11100" max="11101" width="8.88671875" style="1"/>
    <col min="11102" max="11102" width="5.6640625" style="1" bestFit="1" customWidth="1"/>
    <col min="11103" max="11103" width="15.44140625" style="1" bestFit="1" customWidth="1"/>
    <col min="11104" max="11104" width="22" style="1" bestFit="1" customWidth="1"/>
    <col min="11105" max="11105" width="71" style="1" bestFit="1" customWidth="1"/>
    <col min="11106" max="11106" width="18.5546875" style="1" bestFit="1" customWidth="1"/>
    <col min="11107" max="11107" width="27.33203125" style="1" bestFit="1" customWidth="1"/>
    <col min="11108" max="11108" width="16.44140625" style="1" bestFit="1" customWidth="1"/>
    <col min="11109" max="11266" width="8.88671875" style="1"/>
    <col min="11267" max="11267" width="18.88671875" style="1" bestFit="1" customWidth="1"/>
    <col min="11268" max="11268" width="14.88671875" style="1" customWidth="1"/>
    <col min="11269" max="11269" width="33.44140625" style="1" customWidth="1"/>
    <col min="11270" max="11270" width="31.109375" style="1" customWidth="1"/>
    <col min="11271" max="11271" width="22.5546875" style="1" bestFit="1" customWidth="1"/>
    <col min="11272" max="11272" width="20.88671875" style="1" bestFit="1" customWidth="1"/>
    <col min="11273" max="11274" width="19.33203125" style="1" bestFit="1" customWidth="1"/>
    <col min="11275" max="11275" width="20.88671875" style="1" bestFit="1" customWidth="1"/>
    <col min="11276" max="11276" width="16.33203125" style="1" bestFit="1" customWidth="1"/>
    <col min="11277" max="11278" width="19.109375" style="1" bestFit="1" customWidth="1"/>
    <col min="11279" max="11279" width="13.44140625" style="1" bestFit="1" customWidth="1"/>
    <col min="11280" max="11280" width="15.33203125" style="1" bestFit="1" customWidth="1"/>
    <col min="11281" max="11281" width="24.33203125" style="1" bestFit="1" customWidth="1"/>
    <col min="11282" max="11282" width="12.88671875" style="1" bestFit="1" customWidth="1"/>
    <col min="11283" max="11284" width="12.5546875" style="1" bestFit="1" customWidth="1"/>
    <col min="11285" max="11285" width="10.5546875" style="1" bestFit="1" customWidth="1"/>
    <col min="11286" max="11286" width="12.44140625" style="1" bestFit="1" customWidth="1"/>
    <col min="11287" max="11287" width="11.5546875" style="1" bestFit="1" customWidth="1"/>
    <col min="11288" max="11288" width="12" style="1" bestFit="1" customWidth="1"/>
    <col min="11289" max="11289" width="10.5546875" style="1" bestFit="1" customWidth="1"/>
    <col min="11290" max="11291" width="8.88671875" style="1"/>
    <col min="11292" max="11292" width="10.5546875" style="1" bestFit="1" customWidth="1"/>
    <col min="11293" max="11293" width="35" style="1" bestFit="1" customWidth="1"/>
    <col min="11294" max="11294" width="6.44140625" style="1" bestFit="1" customWidth="1"/>
    <col min="11295" max="11295" width="2.88671875" style="1" bestFit="1" customWidth="1"/>
    <col min="11296" max="11296" width="6.44140625" style="1" bestFit="1" customWidth="1"/>
    <col min="11297" max="11297" width="13.44140625" style="1" bestFit="1" customWidth="1"/>
    <col min="11298" max="11298" width="12.88671875" style="1" bestFit="1" customWidth="1"/>
    <col min="11299" max="11299" width="15.109375" style="1" bestFit="1" customWidth="1"/>
    <col min="11300" max="11300" width="12.88671875" style="1" bestFit="1" customWidth="1"/>
    <col min="11301" max="11301" width="13.88671875" style="1" customWidth="1"/>
    <col min="11302" max="11302" width="14.33203125" style="1" bestFit="1" customWidth="1"/>
    <col min="11303" max="11305" width="8.88671875" style="1"/>
    <col min="11306" max="11306" width="15.5546875" style="1" bestFit="1" customWidth="1"/>
    <col min="11307" max="11309" width="8.88671875" style="1"/>
    <col min="11310" max="11310" width="13.109375" style="1" bestFit="1" customWidth="1"/>
    <col min="11311" max="11311" width="12.88671875" style="1" bestFit="1" customWidth="1"/>
    <col min="11312" max="11312" width="14" style="1" bestFit="1" customWidth="1"/>
    <col min="11313" max="11313" width="12.33203125" style="1" bestFit="1" customWidth="1"/>
    <col min="11314" max="11314" width="13.44140625" style="1" bestFit="1" customWidth="1"/>
    <col min="11315" max="11315" width="15.109375" style="1" bestFit="1" customWidth="1"/>
    <col min="11316" max="11319" width="8.88671875" style="1"/>
    <col min="11320" max="11320" width="11.5546875" style="1" customWidth="1"/>
    <col min="11321" max="11321" width="12.109375" style="1" bestFit="1" customWidth="1"/>
    <col min="11322" max="11322" width="14" style="1" bestFit="1" customWidth="1"/>
    <col min="11323" max="11323" width="19.109375" style="1" bestFit="1" customWidth="1"/>
    <col min="11324" max="11324" width="23.44140625" style="1" bestFit="1" customWidth="1"/>
    <col min="11325" max="11325" width="25.88671875" style="1" bestFit="1" customWidth="1"/>
    <col min="11326" max="11326" width="18.33203125" style="1" bestFit="1" customWidth="1"/>
    <col min="11327" max="11327" width="17.109375" style="1" bestFit="1" customWidth="1"/>
    <col min="11328" max="11328" width="13.33203125" style="1" bestFit="1" customWidth="1"/>
    <col min="11329" max="11329" width="8.88671875" style="1"/>
    <col min="11330" max="11330" width="18.109375" style="1" bestFit="1" customWidth="1"/>
    <col min="11331" max="11331" width="23.44140625" style="1" bestFit="1" customWidth="1"/>
    <col min="11332" max="11335" width="8.88671875" style="1"/>
    <col min="11336" max="11336" width="14.88671875" style="1" bestFit="1" customWidth="1"/>
    <col min="11337" max="11337" width="18.109375" style="1" bestFit="1" customWidth="1"/>
    <col min="11338" max="11338" width="23.44140625" style="1" bestFit="1" customWidth="1"/>
    <col min="11339" max="11342" width="8.88671875" style="1"/>
    <col min="11343" max="11343" width="11" style="1" bestFit="1" customWidth="1"/>
    <col min="11344" max="11344" width="15.44140625" style="1" bestFit="1" customWidth="1"/>
    <col min="11345" max="11345" width="23.44140625" style="1" bestFit="1" customWidth="1"/>
    <col min="11346" max="11348" width="8.88671875" style="1"/>
    <col min="11349" max="11349" width="5.109375" style="1" customWidth="1"/>
    <col min="11350" max="11350" width="8.88671875" style="1"/>
    <col min="11351" max="11351" width="26" style="1" bestFit="1" customWidth="1"/>
    <col min="11352" max="11352" width="71" style="1" bestFit="1" customWidth="1"/>
    <col min="11353" max="11353" width="17.5546875" style="1" bestFit="1" customWidth="1"/>
    <col min="11354" max="11354" width="27.33203125" style="1" bestFit="1" customWidth="1"/>
    <col min="11355" max="11355" width="17.33203125" style="1" bestFit="1" customWidth="1"/>
    <col min="11356" max="11357" width="8.88671875" style="1"/>
    <col min="11358" max="11358" width="5.6640625" style="1" bestFit="1" customWidth="1"/>
    <col min="11359" max="11359" width="15.44140625" style="1" bestFit="1" customWidth="1"/>
    <col min="11360" max="11360" width="22" style="1" bestFit="1" customWidth="1"/>
    <col min="11361" max="11361" width="71" style="1" bestFit="1" customWidth="1"/>
    <col min="11362" max="11362" width="18.5546875" style="1" bestFit="1" customWidth="1"/>
    <col min="11363" max="11363" width="27.33203125" style="1" bestFit="1" customWidth="1"/>
    <col min="11364" max="11364" width="16.44140625" style="1" bestFit="1" customWidth="1"/>
    <col min="11365" max="11522" width="8.88671875" style="1"/>
    <col min="11523" max="11523" width="18.88671875" style="1" bestFit="1" customWidth="1"/>
    <col min="11524" max="11524" width="14.88671875" style="1" customWidth="1"/>
    <col min="11525" max="11525" width="33.44140625" style="1" customWidth="1"/>
    <col min="11526" max="11526" width="31.109375" style="1" customWidth="1"/>
    <col min="11527" max="11527" width="22.5546875" style="1" bestFit="1" customWidth="1"/>
    <col min="11528" max="11528" width="20.88671875" style="1" bestFit="1" customWidth="1"/>
    <col min="11529" max="11530" width="19.33203125" style="1" bestFit="1" customWidth="1"/>
    <col min="11531" max="11531" width="20.88671875" style="1" bestFit="1" customWidth="1"/>
    <col min="11532" max="11532" width="16.33203125" style="1" bestFit="1" customWidth="1"/>
    <col min="11533" max="11534" width="19.109375" style="1" bestFit="1" customWidth="1"/>
    <col min="11535" max="11535" width="13.44140625" style="1" bestFit="1" customWidth="1"/>
    <col min="11536" max="11536" width="15.33203125" style="1" bestFit="1" customWidth="1"/>
    <col min="11537" max="11537" width="24.33203125" style="1" bestFit="1" customWidth="1"/>
    <col min="11538" max="11538" width="12.88671875" style="1" bestFit="1" customWidth="1"/>
    <col min="11539" max="11540" width="12.5546875" style="1" bestFit="1" customWidth="1"/>
    <col min="11541" max="11541" width="10.5546875" style="1" bestFit="1" customWidth="1"/>
    <col min="11542" max="11542" width="12.44140625" style="1" bestFit="1" customWidth="1"/>
    <col min="11543" max="11543" width="11.5546875" style="1" bestFit="1" customWidth="1"/>
    <col min="11544" max="11544" width="12" style="1" bestFit="1" customWidth="1"/>
    <col min="11545" max="11545" width="10.5546875" style="1" bestFit="1" customWidth="1"/>
    <col min="11546" max="11547" width="8.88671875" style="1"/>
    <col min="11548" max="11548" width="10.5546875" style="1" bestFit="1" customWidth="1"/>
    <col min="11549" max="11549" width="35" style="1" bestFit="1" customWidth="1"/>
    <col min="11550" max="11550" width="6.44140625" style="1" bestFit="1" customWidth="1"/>
    <col min="11551" max="11551" width="2.88671875" style="1" bestFit="1" customWidth="1"/>
    <col min="11552" max="11552" width="6.44140625" style="1" bestFit="1" customWidth="1"/>
    <col min="11553" max="11553" width="13.44140625" style="1" bestFit="1" customWidth="1"/>
    <col min="11554" max="11554" width="12.88671875" style="1" bestFit="1" customWidth="1"/>
    <col min="11555" max="11555" width="15.109375" style="1" bestFit="1" customWidth="1"/>
    <col min="11556" max="11556" width="12.88671875" style="1" bestFit="1" customWidth="1"/>
    <col min="11557" max="11557" width="13.88671875" style="1" customWidth="1"/>
    <col min="11558" max="11558" width="14.33203125" style="1" bestFit="1" customWidth="1"/>
    <col min="11559" max="11561" width="8.88671875" style="1"/>
    <col min="11562" max="11562" width="15.5546875" style="1" bestFit="1" customWidth="1"/>
    <col min="11563" max="11565" width="8.88671875" style="1"/>
    <col min="11566" max="11566" width="13.109375" style="1" bestFit="1" customWidth="1"/>
    <col min="11567" max="11567" width="12.88671875" style="1" bestFit="1" customWidth="1"/>
    <col min="11568" max="11568" width="14" style="1" bestFit="1" customWidth="1"/>
    <col min="11569" max="11569" width="12.33203125" style="1" bestFit="1" customWidth="1"/>
    <col min="11570" max="11570" width="13.44140625" style="1" bestFit="1" customWidth="1"/>
    <col min="11571" max="11571" width="15.109375" style="1" bestFit="1" customWidth="1"/>
    <col min="11572" max="11575" width="8.88671875" style="1"/>
    <col min="11576" max="11576" width="11.5546875" style="1" customWidth="1"/>
    <col min="11577" max="11577" width="12.109375" style="1" bestFit="1" customWidth="1"/>
    <col min="11578" max="11578" width="14" style="1" bestFit="1" customWidth="1"/>
    <col min="11579" max="11579" width="19.109375" style="1" bestFit="1" customWidth="1"/>
    <col min="11580" max="11580" width="23.44140625" style="1" bestFit="1" customWidth="1"/>
    <col min="11581" max="11581" width="25.88671875" style="1" bestFit="1" customWidth="1"/>
    <col min="11582" max="11582" width="18.33203125" style="1" bestFit="1" customWidth="1"/>
    <col min="11583" max="11583" width="17.109375" style="1" bestFit="1" customWidth="1"/>
    <col min="11584" max="11584" width="13.33203125" style="1" bestFit="1" customWidth="1"/>
    <col min="11585" max="11585" width="8.88671875" style="1"/>
    <col min="11586" max="11586" width="18.109375" style="1" bestFit="1" customWidth="1"/>
    <col min="11587" max="11587" width="23.44140625" style="1" bestFit="1" customWidth="1"/>
    <col min="11588" max="11591" width="8.88671875" style="1"/>
    <col min="11592" max="11592" width="14.88671875" style="1" bestFit="1" customWidth="1"/>
    <col min="11593" max="11593" width="18.109375" style="1" bestFit="1" customWidth="1"/>
    <col min="11594" max="11594" width="23.44140625" style="1" bestFit="1" customWidth="1"/>
    <col min="11595" max="11598" width="8.88671875" style="1"/>
    <col min="11599" max="11599" width="11" style="1" bestFit="1" customWidth="1"/>
    <col min="11600" max="11600" width="15.44140625" style="1" bestFit="1" customWidth="1"/>
    <col min="11601" max="11601" width="23.44140625" style="1" bestFit="1" customWidth="1"/>
    <col min="11602" max="11604" width="8.88671875" style="1"/>
    <col min="11605" max="11605" width="5.109375" style="1" customWidth="1"/>
    <col min="11606" max="11606" width="8.88671875" style="1"/>
    <col min="11607" max="11607" width="26" style="1" bestFit="1" customWidth="1"/>
    <col min="11608" max="11608" width="71" style="1" bestFit="1" customWidth="1"/>
    <col min="11609" max="11609" width="17.5546875" style="1" bestFit="1" customWidth="1"/>
    <col min="11610" max="11610" width="27.33203125" style="1" bestFit="1" customWidth="1"/>
    <col min="11611" max="11611" width="17.33203125" style="1" bestFit="1" customWidth="1"/>
    <col min="11612" max="11613" width="8.88671875" style="1"/>
    <col min="11614" max="11614" width="5.6640625" style="1" bestFit="1" customWidth="1"/>
    <col min="11615" max="11615" width="15.44140625" style="1" bestFit="1" customWidth="1"/>
    <col min="11616" max="11616" width="22" style="1" bestFit="1" customWidth="1"/>
    <col min="11617" max="11617" width="71" style="1" bestFit="1" customWidth="1"/>
    <col min="11618" max="11618" width="18.5546875" style="1" bestFit="1" customWidth="1"/>
    <col min="11619" max="11619" width="27.33203125" style="1" bestFit="1" customWidth="1"/>
    <col min="11620" max="11620" width="16.44140625" style="1" bestFit="1" customWidth="1"/>
    <col min="11621" max="11778" width="8.88671875" style="1"/>
    <col min="11779" max="11779" width="18.88671875" style="1" bestFit="1" customWidth="1"/>
    <col min="11780" max="11780" width="14.88671875" style="1" customWidth="1"/>
    <col min="11781" max="11781" width="33.44140625" style="1" customWidth="1"/>
    <col min="11782" max="11782" width="31.109375" style="1" customWidth="1"/>
    <col min="11783" max="11783" width="22.5546875" style="1" bestFit="1" customWidth="1"/>
    <col min="11784" max="11784" width="20.88671875" style="1" bestFit="1" customWidth="1"/>
    <col min="11785" max="11786" width="19.33203125" style="1" bestFit="1" customWidth="1"/>
    <col min="11787" max="11787" width="20.88671875" style="1" bestFit="1" customWidth="1"/>
    <col min="11788" max="11788" width="16.33203125" style="1" bestFit="1" customWidth="1"/>
    <col min="11789" max="11790" width="19.109375" style="1" bestFit="1" customWidth="1"/>
    <col min="11791" max="11791" width="13.44140625" style="1" bestFit="1" customWidth="1"/>
    <col min="11792" max="11792" width="15.33203125" style="1" bestFit="1" customWidth="1"/>
    <col min="11793" max="11793" width="24.33203125" style="1" bestFit="1" customWidth="1"/>
    <col min="11794" max="11794" width="12.88671875" style="1" bestFit="1" customWidth="1"/>
    <col min="11795" max="11796" width="12.5546875" style="1" bestFit="1" customWidth="1"/>
    <col min="11797" max="11797" width="10.5546875" style="1" bestFit="1" customWidth="1"/>
    <col min="11798" max="11798" width="12.44140625" style="1" bestFit="1" customWidth="1"/>
    <col min="11799" max="11799" width="11.5546875" style="1" bestFit="1" customWidth="1"/>
    <col min="11800" max="11800" width="12" style="1" bestFit="1" customWidth="1"/>
    <col min="11801" max="11801" width="10.5546875" style="1" bestFit="1" customWidth="1"/>
    <col min="11802" max="11803" width="8.88671875" style="1"/>
    <col min="11804" max="11804" width="10.5546875" style="1" bestFit="1" customWidth="1"/>
    <col min="11805" max="11805" width="35" style="1" bestFit="1" customWidth="1"/>
    <col min="11806" max="11806" width="6.44140625" style="1" bestFit="1" customWidth="1"/>
    <col min="11807" max="11807" width="2.88671875" style="1" bestFit="1" customWidth="1"/>
    <col min="11808" max="11808" width="6.44140625" style="1" bestFit="1" customWidth="1"/>
    <col min="11809" max="11809" width="13.44140625" style="1" bestFit="1" customWidth="1"/>
    <col min="11810" max="11810" width="12.88671875" style="1" bestFit="1" customWidth="1"/>
    <col min="11811" max="11811" width="15.109375" style="1" bestFit="1" customWidth="1"/>
    <col min="11812" max="11812" width="12.88671875" style="1" bestFit="1" customWidth="1"/>
    <col min="11813" max="11813" width="13.88671875" style="1" customWidth="1"/>
    <col min="11814" max="11814" width="14.33203125" style="1" bestFit="1" customWidth="1"/>
    <col min="11815" max="11817" width="8.88671875" style="1"/>
    <col min="11818" max="11818" width="15.5546875" style="1" bestFit="1" customWidth="1"/>
    <col min="11819" max="11821" width="8.88671875" style="1"/>
    <col min="11822" max="11822" width="13.109375" style="1" bestFit="1" customWidth="1"/>
    <col min="11823" max="11823" width="12.88671875" style="1" bestFit="1" customWidth="1"/>
    <col min="11824" max="11824" width="14" style="1" bestFit="1" customWidth="1"/>
    <col min="11825" max="11825" width="12.33203125" style="1" bestFit="1" customWidth="1"/>
    <col min="11826" max="11826" width="13.44140625" style="1" bestFit="1" customWidth="1"/>
    <col min="11827" max="11827" width="15.109375" style="1" bestFit="1" customWidth="1"/>
    <col min="11828" max="11831" width="8.88671875" style="1"/>
    <col min="11832" max="11832" width="11.5546875" style="1" customWidth="1"/>
    <col min="11833" max="11833" width="12.109375" style="1" bestFit="1" customWidth="1"/>
    <col min="11834" max="11834" width="14" style="1" bestFit="1" customWidth="1"/>
    <col min="11835" max="11835" width="19.109375" style="1" bestFit="1" customWidth="1"/>
    <col min="11836" max="11836" width="23.44140625" style="1" bestFit="1" customWidth="1"/>
    <col min="11837" max="11837" width="25.88671875" style="1" bestFit="1" customWidth="1"/>
    <col min="11838" max="11838" width="18.33203125" style="1" bestFit="1" customWidth="1"/>
    <col min="11839" max="11839" width="17.109375" style="1" bestFit="1" customWidth="1"/>
    <col min="11840" max="11840" width="13.33203125" style="1" bestFit="1" customWidth="1"/>
    <col min="11841" max="11841" width="8.88671875" style="1"/>
    <col min="11842" max="11842" width="18.109375" style="1" bestFit="1" customWidth="1"/>
    <col min="11843" max="11843" width="23.44140625" style="1" bestFit="1" customWidth="1"/>
    <col min="11844" max="11847" width="8.88671875" style="1"/>
    <col min="11848" max="11848" width="14.88671875" style="1" bestFit="1" customWidth="1"/>
    <col min="11849" max="11849" width="18.109375" style="1" bestFit="1" customWidth="1"/>
    <col min="11850" max="11850" width="23.44140625" style="1" bestFit="1" customWidth="1"/>
    <col min="11851" max="11854" width="8.88671875" style="1"/>
    <col min="11855" max="11855" width="11" style="1" bestFit="1" customWidth="1"/>
    <col min="11856" max="11856" width="15.44140625" style="1" bestFit="1" customWidth="1"/>
    <col min="11857" max="11857" width="23.44140625" style="1" bestFit="1" customWidth="1"/>
    <col min="11858" max="11860" width="8.88671875" style="1"/>
    <col min="11861" max="11861" width="5.109375" style="1" customWidth="1"/>
    <col min="11862" max="11862" width="8.88671875" style="1"/>
    <col min="11863" max="11863" width="26" style="1" bestFit="1" customWidth="1"/>
    <col min="11864" max="11864" width="71" style="1" bestFit="1" customWidth="1"/>
    <col min="11865" max="11865" width="17.5546875" style="1" bestFit="1" customWidth="1"/>
    <col min="11866" max="11866" width="27.33203125" style="1" bestFit="1" customWidth="1"/>
    <col min="11867" max="11867" width="17.33203125" style="1" bestFit="1" customWidth="1"/>
    <col min="11868" max="11869" width="8.88671875" style="1"/>
    <col min="11870" max="11870" width="5.6640625" style="1" bestFit="1" customWidth="1"/>
    <col min="11871" max="11871" width="15.44140625" style="1" bestFit="1" customWidth="1"/>
    <col min="11872" max="11872" width="22" style="1" bestFit="1" customWidth="1"/>
    <col min="11873" max="11873" width="71" style="1" bestFit="1" customWidth="1"/>
    <col min="11874" max="11874" width="18.5546875" style="1" bestFit="1" customWidth="1"/>
    <col min="11875" max="11875" width="27.33203125" style="1" bestFit="1" customWidth="1"/>
    <col min="11876" max="11876" width="16.44140625" style="1" bestFit="1" customWidth="1"/>
    <col min="11877" max="12034" width="8.88671875" style="1"/>
    <col min="12035" max="12035" width="18.88671875" style="1" bestFit="1" customWidth="1"/>
    <col min="12036" max="12036" width="14.88671875" style="1" customWidth="1"/>
    <col min="12037" max="12037" width="33.44140625" style="1" customWidth="1"/>
    <col min="12038" max="12038" width="31.109375" style="1" customWidth="1"/>
    <col min="12039" max="12039" width="22.5546875" style="1" bestFit="1" customWidth="1"/>
    <col min="12040" max="12040" width="20.88671875" style="1" bestFit="1" customWidth="1"/>
    <col min="12041" max="12042" width="19.33203125" style="1" bestFit="1" customWidth="1"/>
    <col min="12043" max="12043" width="20.88671875" style="1" bestFit="1" customWidth="1"/>
    <col min="12044" max="12044" width="16.33203125" style="1" bestFit="1" customWidth="1"/>
    <col min="12045" max="12046" width="19.109375" style="1" bestFit="1" customWidth="1"/>
    <col min="12047" max="12047" width="13.44140625" style="1" bestFit="1" customWidth="1"/>
    <col min="12048" max="12048" width="15.33203125" style="1" bestFit="1" customWidth="1"/>
    <col min="12049" max="12049" width="24.33203125" style="1" bestFit="1" customWidth="1"/>
    <col min="12050" max="12050" width="12.88671875" style="1" bestFit="1" customWidth="1"/>
    <col min="12051" max="12052" width="12.5546875" style="1" bestFit="1" customWidth="1"/>
    <col min="12053" max="12053" width="10.5546875" style="1" bestFit="1" customWidth="1"/>
    <col min="12054" max="12054" width="12.44140625" style="1" bestFit="1" customWidth="1"/>
    <col min="12055" max="12055" width="11.5546875" style="1" bestFit="1" customWidth="1"/>
    <col min="12056" max="12056" width="12" style="1" bestFit="1" customWidth="1"/>
    <col min="12057" max="12057" width="10.5546875" style="1" bestFit="1" customWidth="1"/>
    <col min="12058" max="12059" width="8.88671875" style="1"/>
    <col min="12060" max="12060" width="10.5546875" style="1" bestFit="1" customWidth="1"/>
    <col min="12061" max="12061" width="35" style="1" bestFit="1" customWidth="1"/>
    <col min="12062" max="12062" width="6.44140625" style="1" bestFit="1" customWidth="1"/>
    <col min="12063" max="12063" width="2.88671875" style="1" bestFit="1" customWidth="1"/>
    <col min="12064" max="12064" width="6.44140625" style="1" bestFit="1" customWidth="1"/>
    <col min="12065" max="12065" width="13.44140625" style="1" bestFit="1" customWidth="1"/>
    <col min="12066" max="12066" width="12.88671875" style="1" bestFit="1" customWidth="1"/>
    <col min="12067" max="12067" width="15.109375" style="1" bestFit="1" customWidth="1"/>
    <col min="12068" max="12068" width="12.88671875" style="1" bestFit="1" customWidth="1"/>
    <col min="12069" max="12069" width="13.88671875" style="1" customWidth="1"/>
    <col min="12070" max="12070" width="14.33203125" style="1" bestFit="1" customWidth="1"/>
    <col min="12071" max="12073" width="8.88671875" style="1"/>
    <col min="12074" max="12074" width="15.5546875" style="1" bestFit="1" customWidth="1"/>
    <col min="12075" max="12077" width="8.88671875" style="1"/>
    <col min="12078" max="12078" width="13.109375" style="1" bestFit="1" customWidth="1"/>
    <col min="12079" max="12079" width="12.88671875" style="1" bestFit="1" customWidth="1"/>
    <col min="12080" max="12080" width="14" style="1" bestFit="1" customWidth="1"/>
    <col min="12081" max="12081" width="12.33203125" style="1" bestFit="1" customWidth="1"/>
    <col min="12082" max="12082" width="13.44140625" style="1" bestFit="1" customWidth="1"/>
    <col min="12083" max="12083" width="15.109375" style="1" bestFit="1" customWidth="1"/>
    <col min="12084" max="12087" width="8.88671875" style="1"/>
    <col min="12088" max="12088" width="11.5546875" style="1" customWidth="1"/>
    <col min="12089" max="12089" width="12.109375" style="1" bestFit="1" customWidth="1"/>
    <col min="12090" max="12090" width="14" style="1" bestFit="1" customWidth="1"/>
    <col min="12091" max="12091" width="19.109375" style="1" bestFit="1" customWidth="1"/>
    <col min="12092" max="12092" width="23.44140625" style="1" bestFit="1" customWidth="1"/>
    <col min="12093" max="12093" width="25.88671875" style="1" bestFit="1" customWidth="1"/>
    <col min="12094" max="12094" width="18.33203125" style="1" bestFit="1" customWidth="1"/>
    <col min="12095" max="12095" width="17.109375" style="1" bestFit="1" customWidth="1"/>
    <col min="12096" max="12096" width="13.33203125" style="1" bestFit="1" customWidth="1"/>
    <col min="12097" max="12097" width="8.88671875" style="1"/>
    <col min="12098" max="12098" width="18.109375" style="1" bestFit="1" customWidth="1"/>
    <col min="12099" max="12099" width="23.44140625" style="1" bestFit="1" customWidth="1"/>
    <col min="12100" max="12103" width="8.88671875" style="1"/>
    <col min="12104" max="12104" width="14.88671875" style="1" bestFit="1" customWidth="1"/>
    <col min="12105" max="12105" width="18.109375" style="1" bestFit="1" customWidth="1"/>
    <col min="12106" max="12106" width="23.44140625" style="1" bestFit="1" customWidth="1"/>
    <col min="12107" max="12110" width="8.88671875" style="1"/>
    <col min="12111" max="12111" width="11" style="1" bestFit="1" customWidth="1"/>
    <col min="12112" max="12112" width="15.44140625" style="1" bestFit="1" customWidth="1"/>
    <col min="12113" max="12113" width="23.44140625" style="1" bestFit="1" customWidth="1"/>
    <col min="12114" max="12116" width="8.88671875" style="1"/>
    <col min="12117" max="12117" width="5.109375" style="1" customWidth="1"/>
    <col min="12118" max="12118" width="8.88671875" style="1"/>
    <col min="12119" max="12119" width="26" style="1" bestFit="1" customWidth="1"/>
    <col min="12120" max="12120" width="71" style="1" bestFit="1" customWidth="1"/>
    <col min="12121" max="12121" width="17.5546875" style="1" bestFit="1" customWidth="1"/>
    <col min="12122" max="12122" width="27.33203125" style="1" bestFit="1" customWidth="1"/>
    <col min="12123" max="12123" width="17.33203125" style="1" bestFit="1" customWidth="1"/>
    <col min="12124" max="12125" width="8.88671875" style="1"/>
    <col min="12126" max="12126" width="5.6640625" style="1" bestFit="1" customWidth="1"/>
    <col min="12127" max="12127" width="15.44140625" style="1" bestFit="1" customWidth="1"/>
    <col min="12128" max="12128" width="22" style="1" bestFit="1" customWidth="1"/>
    <col min="12129" max="12129" width="71" style="1" bestFit="1" customWidth="1"/>
    <col min="12130" max="12130" width="18.5546875" style="1" bestFit="1" customWidth="1"/>
    <col min="12131" max="12131" width="27.33203125" style="1" bestFit="1" customWidth="1"/>
    <col min="12132" max="12132" width="16.44140625" style="1" bestFit="1" customWidth="1"/>
    <col min="12133" max="12290" width="8.88671875" style="1"/>
    <col min="12291" max="12291" width="18.88671875" style="1" bestFit="1" customWidth="1"/>
    <col min="12292" max="12292" width="14.88671875" style="1" customWidth="1"/>
    <col min="12293" max="12293" width="33.44140625" style="1" customWidth="1"/>
    <col min="12294" max="12294" width="31.109375" style="1" customWidth="1"/>
    <col min="12295" max="12295" width="22.5546875" style="1" bestFit="1" customWidth="1"/>
    <col min="12296" max="12296" width="20.88671875" style="1" bestFit="1" customWidth="1"/>
    <col min="12297" max="12298" width="19.33203125" style="1" bestFit="1" customWidth="1"/>
    <col min="12299" max="12299" width="20.88671875" style="1" bestFit="1" customWidth="1"/>
    <col min="12300" max="12300" width="16.33203125" style="1" bestFit="1" customWidth="1"/>
    <col min="12301" max="12302" width="19.109375" style="1" bestFit="1" customWidth="1"/>
    <col min="12303" max="12303" width="13.44140625" style="1" bestFit="1" customWidth="1"/>
    <col min="12304" max="12304" width="15.33203125" style="1" bestFit="1" customWidth="1"/>
    <col min="12305" max="12305" width="24.33203125" style="1" bestFit="1" customWidth="1"/>
    <col min="12306" max="12306" width="12.88671875" style="1" bestFit="1" customWidth="1"/>
    <col min="12307" max="12308" width="12.5546875" style="1" bestFit="1" customWidth="1"/>
    <col min="12309" max="12309" width="10.5546875" style="1" bestFit="1" customWidth="1"/>
    <col min="12310" max="12310" width="12.44140625" style="1" bestFit="1" customWidth="1"/>
    <col min="12311" max="12311" width="11.5546875" style="1" bestFit="1" customWidth="1"/>
    <col min="12312" max="12312" width="12" style="1" bestFit="1" customWidth="1"/>
    <col min="12313" max="12313" width="10.5546875" style="1" bestFit="1" customWidth="1"/>
    <col min="12314" max="12315" width="8.88671875" style="1"/>
    <col min="12316" max="12316" width="10.5546875" style="1" bestFit="1" customWidth="1"/>
    <col min="12317" max="12317" width="35" style="1" bestFit="1" customWidth="1"/>
    <col min="12318" max="12318" width="6.44140625" style="1" bestFit="1" customWidth="1"/>
    <col min="12319" max="12319" width="2.88671875" style="1" bestFit="1" customWidth="1"/>
    <col min="12320" max="12320" width="6.44140625" style="1" bestFit="1" customWidth="1"/>
    <col min="12321" max="12321" width="13.44140625" style="1" bestFit="1" customWidth="1"/>
    <col min="12322" max="12322" width="12.88671875" style="1" bestFit="1" customWidth="1"/>
    <col min="12323" max="12323" width="15.109375" style="1" bestFit="1" customWidth="1"/>
    <col min="12324" max="12324" width="12.88671875" style="1" bestFit="1" customWidth="1"/>
    <col min="12325" max="12325" width="13.88671875" style="1" customWidth="1"/>
    <col min="12326" max="12326" width="14.33203125" style="1" bestFit="1" customWidth="1"/>
    <col min="12327" max="12329" width="8.88671875" style="1"/>
    <col min="12330" max="12330" width="15.5546875" style="1" bestFit="1" customWidth="1"/>
    <col min="12331" max="12333" width="8.88671875" style="1"/>
    <col min="12334" max="12334" width="13.109375" style="1" bestFit="1" customWidth="1"/>
    <col min="12335" max="12335" width="12.88671875" style="1" bestFit="1" customWidth="1"/>
    <col min="12336" max="12336" width="14" style="1" bestFit="1" customWidth="1"/>
    <col min="12337" max="12337" width="12.33203125" style="1" bestFit="1" customWidth="1"/>
    <col min="12338" max="12338" width="13.44140625" style="1" bestFit="1" customWidth="1"/>
    <col min="12339" max="12339" width="15.109375" style="1" bestFit="1" customWidth="1"/>
    <col min="12340" max="12343" width="8.88671875" style="1"/>
    <col min="12344" max="12344" width="11.5546875" style="1" customWidth="1"/>
    <col min="12345" max="12345" width="12.109375" style="1" bestFit="1" customWidth="1"/>
    <col min="12346" max="12346" width="14" style="1" bestFit="1" customWidth="1"/>
    <col min="12347" max="12347" width="19.109375" style="1" bestFit="1" customWidth="1"/>
    <col min="12348" max="12348" width="23.44140625" style="1" bestFit="1" customWidth="1"/>
    <col min="12349" max="12349" width="25.88671875" style="1" bestFit="1" customWidth="1"/>
    <col min="12350" max="12350" width="18.33203125" style="1" bestFit="1" customWidth="1"/>
    <col min="12351" max="12351" width="17.109375" style="1" bestFit="1" customWidth="1"/>
    <col min="12352" max="12352" width="13.33203125" style="1" bestFit="1" customWidth="1"/>
    <col min="12353" max="12353" width="8.88671875" style="1"/>
    <col min="12354" max="12354" width="18.109375" style="1" bestFit="1" customWidth="1"/>
    <col min="12355" max="12355" width="23.44140625" style="1" bestFit="1" customWidth="1"/>
    <col min="12356" max="12359" width="8.88671875" style="1"/>
    <col min="12360" max="12360" width="14.88671875" style="1" bestFit="1" customWidth="1"/>
    <col min="12361" max="12361" width="18.109375" style="1" bestFit="1" customWidth="1"/>
    <col min="12362" max="12362" width="23.44140625" style="1" bestFit="1" customWidth="1"/>
    <col min="12363" max="12366" width="8.88671875" style="1"/>
    <col min="12367" max="12367" width="11" style="1" bestFit="1" customWidth="1"/>
    <col min="12368" max="12368" width="15.44140625" style="1" bestFit="1" customWidth="1"/>
    <col min="12369" max="12369" width="23.44140625" style="1" bestFit="1" customWidth="1"/>
    <col min="12370" max="12372" width="8.88671875" style="1"/>
    <col min="12373" max="12373" width="5.109375" style="1" customWidth="1"/>
    <col min="12374" max="12374" width="8.88671875" style="1"/>
    <col min="12375" max="12375" width="26" style="1" bestFit="1" customWidth="1"/>
    <col min="12376" max="12376" width="71" style="1" bestFit="1" customWidth="1"/>
    <col min="12377" max="12377" width="17.5546875" style="1" bestFit="1" customWidth="1"/>
    <col min="12378" max="12378" width="27.33203125" style="1" bestFit="1" customWidth="1"/>
    <col min="12379" max="12379" width="17.33203125" style="1" bestFit="1" customWidth="1"/>
    <col min="12380" max="12381" width="8.88671875" style="1"/>
    <col min="12382" max="12382" width="5.6640625" style="1" bestFit="1" customWidth="1"/>
    <col min="12383" max="12383" width="15.44140625" style="1" bestFit="1" customWidth="1"/>
    <col min="12384" max="12384" width="22" style="1" bestFit="1" customWidth="1"/>
    <col min="12385" max="12385" width="71" style="1" bestFit="1" customWidth="1"/>
    <col min="12386" max="12386" width="18.5546875" style="1" bestFit="1" customWidth="1"/>
    <col min="12387" max="12387" width="27.33203125" style="1" bestFit="1" customWidth="1"/>
    <col min="12388" max="12388" width="16.44140625" style="1" bestFit="1" customWidth="1"/>
    <col min="12389" max="12546" width="8.88671875" style="1"/>
    <col min="12547" max="12547" width="18.88671875" style="1" bestFit="1" customWidth="1"/>
    <col min="12548" max="12548" width="14.88671875" style="1" customWidth="1"/>
    <col min="12549" max="12549" width="33.44140625" style="1" customWidth="1"/>
    <col min="12550" max="12550" width="31.109375" style="1" customWidth="1"/>
    <col min="12551" max="12551" width="22.5546875" style="1" bestFit="1" customWidth="1"/>
    <col min="12552" max="12552" width="20.88671875" style="1" bestFit="1" customWidth="1"/>
    <col min="12553" max="12554" width="19.33203125" style="1" bestFit="1" customWidth="1"/>
    <col min="12555" max="12555" width="20.88671875" style="1" bestFit="1" customWidth="1"/>
    <col min="12556" max="12556" width="16.33203125" style="1" bestFit="1" customWidth="1"/>
    <col min="12557" max="12558" width="19.109375" style="1" bestFit="1" customWidth="1"/>
    <col min="12559" max="12559" width="13.44140625" style="1" bestFit="1" customWidth="1"/>
    <col min="12560" max="12560" width="15.33203125" style="1" bestFit="1" customWidth="1"/>
    <col min="12561" max="12561" width="24.33203125" style="1" bestFit="1" customWidth="1"/>
    <col min="12562" max="12562" width="12.88671875" style="1" bestFit="1" customWidth="1"/>
    <col min="12563" max="12564" width="12.5546875" style="1" bestFit="1" customWidth="1"/>
    <col min="12565" max="12565" width="10.5546875" style="1" bestFit="1" customWidth="1"/>
    <col min="12566" max="12566" width="12.44140625" style="1" bestFit="1" customWidth="1"/>
    <col min="12567" max="12567" width="11.5546875" style="1" bestFit="1" customWidth="1"/>
    <col min="12568" max="12568" width="12" style="1" bestFit="1" customWidth="1"/>
    <col min="12569" max="12569" width="10.5546875" style="1" bestFit="1" customWidth="1"/>
    <col min="12570" max="12571" width="8.88671875" style="1"/>
    <col min="12572" max="12572" width="10.5546875" style="1" bestFit="1" customWidth="1"/>
    <col min="12573" max="12573" width="35" style="1" bestFit="1" customWidth="1"/>
    <col min="12574" max="12574" width="6.44140625" style="1" bestFit="1" customWidth="1"/>
    <col min="12575" max="12575" width="2.88671875" style="1" bestFit="1" customWidth="1"/>
    <col min="12576" max="12576" width="6.44140625" style="1" bestFit="1" customWidth="1"/>
    <col min="12577" max="12577" width="13.44140625" style="1" bestFit="1" customWidth="1"/>
    <col min="12578" max="12578" width="12.88671875" style="1" bestFit="1" customWidth="1"/>
    <col min="12579" max="12579" width="15.109375" style="1" bestFit="1" customWidth="1"/>
    <col min="12580" max="12580" width="12.88671875" style="1" bestFit="1" customWidth="1"/>
    <col min="12581" max="12581" width="13.88671875" style="1" customWidth="1"/>
    <col min="12582" max="12582" width="14.33203125" style="1" bestFit="1" customWidth="1"/>
    <col min="12583" max="12585" width="8.88671875" style="1"/>
    <col min="12586" max="12586" width="15.5546875" style="1" bestFit="1" customWidth="1"/>
    <col min="12587" max="12589" width="8.88671875" style="1"/>
    <col min="12590" max="12590" width="13.109375" style="1" bestFit="1" customWidth="1"/>
    <col min="12591" max="12591" width="12.88671875" style="1" bestFit="1" customWidth="1"/>
    <col min="12592" max="12592" width="14" style="1" bestFit="1" customWidth="1"/>
    <col min="12593" max="12593" width="12.33203125" style="1" bestFit="1" customWidth="1"/>
    <col min="12594" max="12594" width="13.44140625" style="1" bestFit="1" customWidth="1"/>
    <col min="12595" max="12595" width="15.109375" style="1" bestFit="1" customWidth="1"/>
    <col min="12596" max="12599" width="8.88671875" style="1"/>
    <col min="12600" max="12600" width="11.5546875" style="1" customWidth="1"/>
    <col min="12601" max="12601" width="12.109375" style="1" bestFit="1" customWidth="1"/>
    <col min="12602" max="12602" width="14" style="1" bestFit="1" customWidth="1"/>
    <col min="12603" max="12603" width="19.109375" style="1" bestFit="1" customWidth="1"/>
    <col min="12604" max="12604" width="23.44140625" style="1" bestFit="1" customWidth="1"/>
    <col min="12605" max="12605" width="25.88671875" style="1" bestFit="1" customWidth="1"/>
    <col min="12606" max="12606" width="18.33203125" style="1" bestFit="1" customWidth="1"/>
    <col min="12607" max="12607" width="17.109375" style="1" bestFit="1" customWidth="1"/>
    <col min="12608" max="12608" width="13.33203125" style="1" bestFit="1" customWidth="1"/>
    <col min="12609" max="12609" width="8.88671875" style="1"/>
    <col min="12610" max="12610" width="18.109375" style="1" bestFit="1" customWidth="1"/>
    <col min="12611" max="12611" width="23.44140625" style="1" bestFit="1" customWidth="1"/>
    <col min="12612" max="12615" width="8.88671875" style="1"/>
    <col min="12616" max="12616" width="14.88671875" style="1" bestFit="1" customWidth="1"/>
    <col min="12617" max="12617" width="18.109375" style="1" bestFit="1" customWidth="1"/>
    <col min="12618" max="12618" width="23.44140625" style="1" bestFit="1" customWidth="1"/>
    <col min="12619" max="12622" width="8.88671875" style="1"/>
    <col min="12623" max="12623" width="11" style="1" bestFit="1" customWidth="1"/>
    <col min="12624" max="12624" width="15.44140625" style="1" bestFit="1" customWidth="1"/>
    <col min="12625" max="12625" width="23.44140625" style="1" bestFit="1" customWidth="1"/>
    <col min="12626" max="12628" width="8.88671875" style="1"/>
    <col min="12629" max="12629" width="5.109375" style="1" customWidth="1"/>
    <col min="12630" max="12630" width="8.88671875" style="1"/>
    <col min="12631" max="12631" width="26" style="1" bestFit="1" customWidth="1"/>
    <col min="12632" max="12632" width="71" style="1" bestFit="1" customWidth="1"/>
    <col min="12633" max="12633" width="17.5546875" style="1" bestFit="1" customWidth="1"/>
    <col min="12634" max="12634" width="27.33203125" style="1" bestFit="1" customWidth="1"/>
    <col min="12635" max="12635" width="17.33203125" style="1" bestFit="1" customWidth="1"/>
    <col min="12636" max="12637" width="8.88671875" style="1"/>
    <col min="12638" max="12638" width="5.6640625" style="1" bestFit="1" customWidth="1"/>
    <col min="12639" max="12639" width="15.44140625" style="1" bestFit="1" customWidth="1"/>
    <col min="12640" max="12640" width="22" style="1" bestFit="1" customWidth="1"/>
    <col min="12641" max="12641" width="71" style="1" bestFit="1" customWidth="1"/>
    <col min="12642" max="12642" width="18.5546875" style="1" bestFit="1" customWidth="1"/>
    <col min="12643" max="12643" width="27.33203125" style="1" bestFit="1" customWidth="1"/>
    <col min="12644" max="12644" width="16.44140625" style="1" bestFit="1" customWidth="1"/>
    <col min="12645" max="12802" width="8.88671875" style="1"/>
    <col min="12803" max="12803" width="18.88671875" style="1" bestFit="1" customWidth="1"/>
    <col min="12804" max="12804" width="14.88671875" style="1" customWidth="1"/>
    <col min="12805" max="12805" width="33.44140625" style="1" customWidth="1"/>
    <col min="12806" max="12806" width="31.109375" style="1" customWidth="1"/>
    <col min="12807" max="12807" width="22.5546875" style="1" bestFit="1" customWidth="1"/>
    <col min="12808" max="12808" width="20.88671875" style="1" bestFit="1" customWidth="1"/>
    <col min="12809" max="12810" width="19.33203125" style="1" bestFit="1" customWidth="1"/>
    <col min="12811" max="12811" width="20.88671875" style="1" bestFit="1" customWidth="1"/>
    <col min="12812" max="12812" width="16.33203125" style="1" bestFit="1" customWidth="1"/>
    <col min="12813" max="12814" width="19.109375" style="1" bestFit="1" customWidth="1"/>
    <col min="12815" max="12815" width="13.44140625" style="1" bestFit="1" customWidth="1"/>
    <col min="12816" max="12816" width="15.33203125" style="1" bestFit="1" customWidth="1"/>
    <col min="12817" max="12817" width="24.33203125" style="1" bestFit="1" customWidth="1"/>
    <col min="12818" max="12818" width="12.88671875" style="1" bestFit="1" customWidth="1"/>
    <col min="12819" max="12820" width="12.5546875" style="1" bestFit="1" customWidth="1"/>
    <col min="12821" max="12821" width="10.5546875" style="1" bestFit="1" customWidth="1"/>
    <col min="12822" max="12822" width="12.44140625" style="1" bestFit="1" customWidth="1"/>
    <col min="12823" max="12823" width="11.5546875" style="1" bestFit="1" customWidth="1"/>
    <col min="12824" max="12824" width="12" style="1" bestFit="1" customWidth="1"/>
    <col min="12825" max="12825" width="10.5546875" style="1" bestFit="1" customWidth="1"/>
    <col min="12826" max="12827" width="8.88671875" style="1"/>
    <col min="12828" max="12828" width="10.5546875" style="1" bestFit="1" customWidth="1"/>
    <col min="12829" max="12829" width="35" style="1" bestFit="1" customWidth="1"/>
    <col min="12830" max="12830" width="6.44140625" style="1" bestFit="1" customWidth="1"/>
    <col min="12831" max="12831" width="2.88671875" style="1" bestFit="1" customWidth="1"/>
    <col min="12832" max="12832" width="6.44140625" style="1" bestFit="1" customWidth="1"/>
    <col min="12833" max="12833" width="13.44140625" style="1" bestFit="1" customWidth="1"/>
    <col min="12834" max="12834" width="12.88671875" style="1" bestFit="1" customWidth="1"/>
    <col min="12835" max="12835" width="15.109375" style="1" bestFit="1" customWidth="1"/>
    <col min="12836" max="12836" width="12.88671875" style="1" bestFit="1" customWidth="1"/>
    <col min="12837" max="12837" width="13.88671875" style="1" customWidth="1"/>
    <col min="12838" max="12838" width="14.33203125" style="1" bestFit="1" customWidth="1"/>
    <col min="12839" max="12841" width="8.88671875" style="1"/>
    <col min="12842" max="12842" width="15.5546875" style="1" bestFit="1" customWidth="1"/>
    <col min="12843" max="12845" width="8.88671875" style="1"/>
    <col min="12846" max="12846" width="13.109375" style="1" bestFit="1" customWidth="1"/>
    <col min="12847" max="12847" width="12.88671875" style="1" bestFit="1" customWidth="1"/>
    <col min="12848" max="12848" width="14" style="1" bestFit="1" customWidth="1"/>
    <col min="12849" max="12849" width="12.33203125" style="1" bestFit="1" customWidth="1"/>
    <col min="12850" max="12850" width="13.44140625" style="1" bestFit="1" customWidth="1"/>
    <col min="12851" max="12851" width="15.109375" style="1" bestFit="1" customWidth="1"/>
    <col min="12852" max="12855" width="8.88671875" style="1"/>
    <col min="12856" max="12856" width="11.5546875" style="1" customWidth="1"/>
    <col min="12857" max="12857" width="12.109375" style="1" bestFit="1" customWidth="1"/>
    <col min="12858" max="12858" width="14" style="1" bestFit="1" customWidth="1"/>
    <col min="12859" max="12859" width="19.109375" style="1" bestFit="1" customWidth="1"/>
    <col min="12860" max="12860" width="23.44140625" style="1" bestFit="1" customWidth="1"/>
    <col min="12861" max="12861" width="25.88671875" style="1" bestFit="1" customWidth="1"/>
    <col min="12862" max="12862" width="18.33203125" style="1" bestFit="1" customWidth="1"/>
    <col min="12863" max="12863" width="17.109375" style="1" bestFit="1" customWidth="1"/>
    <col min="12864" max="12864" width="13.33203125" style="1" bestFit="1" customWidth="1"/>
    <col min="12865" max="12865" width="8.88671875" style="1"/>
    <col min="12866" max="12866" width="18.109375" style="1" bestFit="1" customWidth="1"/>
    <col min="12867" max="12867" width="23.44140625" style="1" bestFit="1" customWidth="1"/>
    <col min="12868" max="12871" width="8.88671875" style="1"/>
    <col min="12872" max="12872" width="14.88671875" style="1" bestFit="1" customWidth="1"/>
    <col min="12873" max="12873" width="18.109375" style="1" bestFit="1" customWidth="1"/>
    <col min="12874" max="12874" width="23.44140625" style="1" bestFit="1" customWidth="1"/>
    <col min="12875" max="12878" width="8.88671875" style="1"/>
    <col min="12879" max="12879" width="11" style="1" bestFit="1" customWidth="1"/>
    <col min="12880" max="12880" width="15.44140625" style="1" bestFit="1" customWidth="1"/>
    <col min="12881" max="12881" width="23.44140625" style="1" bestFit="1" customWidth="1"/>
    <col min="12882" max="12884" width="8.88671875" style="1"/>
    <col min="12885" max="12885" width="5.109375" style="1" customWidth="1"/>
    <col min="12886" max="12886" width="8.88671875" style="1"/>
    <col min="12887" max="12887" width="26" style="1" bestFit="1" customWidth="1"/>
    <col min="12888" max="12888" width="71" style="1" bestFit="1" customWidth="1"/>
    <col min="12889" max="12889" width="17.5546875" style="1" bestFit="1" customWidth="1"/>
    <col min="12890" max="12890" width="27.33203125" style="1" bestFit="1" customWidth="1"/>
    <col min="12891" max="12891" width="17.33203125" style="1" bestFit="1" customWidth="1"/>
    <col min="12892" max="12893" width="8.88671875" style="1"/>
    <col min="12894" max="12894" width="5.6640625" style="1" bestFit="1" customWidth="1"/>
    <col min="12895" max="12895" width="15.44140625" style="1" bestFit="1" customWidth="1"/>
    <col min="12896" max="12896" width="22" style="1" bestFit="1" customWidth="1"/>
    <col min="12897" max="12897" width="71" style="1" bestFit="1" customWidth="1"/>
    <col min="12898" max="12898" width="18.5546875" style="1" bestFit="1" customWidth="1"/>
    <col min="12899" max="12899" width="27.33203125" style="1" bestFit="1" customWidth="1"/>
    <col min="12900" max="12900" width="16.44140625" style="1" bestFit="1" customWidth="1"/>
    <col min="12901" max="13058" width="8.88671875" style="1"/>
    <col min="13059" max="13059" width="18.88671875" style="1" bestFit="1" customWidth="1"/>
    <col min="13060" max="13060" width="14.88671875" style="1" customWidth="1"/>
    <col min="13061" max="13061" width="33.44140625" style="1" customWidth="1"/>
    <col min="13062" max="13062" width="31.109375" style="1" customWidth="1"/>
    <col min="13063" max="13063" width="22.5546875" style="1" bestFit="1" customWidth="1"/>
    <col min="13064" max="13064" width="20.88671875" style="1" bestFit="1" customWidth="1"/>
    <col min="13065" max="13066" width="19.33203125" style="1" bestFit="1" customWidth="1"/>
    <col min="13067" max="13067" width="20.88671875" style="1" bestFit="1" customWidth="1"/>
    <col min="13068" max="13068" width="16.33203125" style="1" bestFit="1" customWidth="1"/>
    <col min="13069" max="13070" width="19.109375" style="1" bestFit="1" customWidth="1"/>
    <col min="13071" max="13071" width="13.44140625" style="1" bestFit="1" customWidth="1"/>
    <col min="13072" max="13072" width="15.33203125" style="1" bestFit="1" customWidth="1"/>
    <col min="13073" max="13073" width="24.33203125" style="1" bestFit="1" customWidth="1"/>
    <col min="13074" max="13074" width="12.88671875" style="1" bestFit="1" customWidth="1"/>
    <col min="13075" max="13076" width="12.5546875" style="1" bestFit="1" customWidth="1"/>
    <col min="13077" max="13077" width="10.5546875" style="1" bestFit="1" customWidth="1"/>
    <col min="13078" max="13078" width="12.44140625" style="1" bestFit="1" customWidth="1"/>
    <col min="13079" max="13079" width="11.5546875" style="1" bestFit="1" customWidth="1"/>
    <col min="13080" max="13080" width="12" style="1" bestFit="1" customWidth="1"/>
    <col min="13081" max="13081" width="10.5546875" style="1" bestFit="1" customWidth="1"/>
    <col min="13082" max="13083" width="8.88671875" style="1"/>
    <col min="13084" max="13084" width="10.5546875" style="1" bestFit="1" customWidth="1"/>
    <col min="13085" max="13085" width="35" style="1" bestFit="1" customWidth="1"/>
    <col min="13086" max="13086" width="6.44140625" style="1" bestFit="1" customWidth="1"/>
    <col min="13087" max="13087" width="2.88671875" style="1" bestFit="1" customWidth="1"/>
    <col min="13088" max="13088" width="6.44140625" style="1" bestFit="1" customWidth="1"/>
    <col min="13089" max="13089" width="13.44140625" style="1" bestFit="1" customWidth="1"/>
    <col min="13090" max="13090" width="12.88671875" style="1" bestFit="1" customWidth="1"/>
    <col min="13091" max="13091" width="15.109375" style="1" bestFit="1" customWidth="1"/>
    <col min="13092" max="13092" width="12.88671875" style="1" bestFit="1" customWidth="1"/>
    <col min="13093" max="13093" width="13.88671875" style="1" customWidth="1"/>
    <col min="13094" max="13094" width="14.33203125" style="1" bestFit="1" customWidth="1"/>
    <col min="13095" max="13097" width="8.88671875" style="1"/>
    <col min="13098" max="13098" width="15.5546875" style="1" bestFit="1" customWidth="1"/>
    <col min="13099" max="13101" width="8.88671875" style="1"/>
    <col min="13102" max="13102" width="13.109375" style="1" bestFit="1" customWidth="1"/>
    <col min="13103" max="13103" width="12.88671875" style="1" bestFit="1" customWidth="1"/>
    <col min="13104" max="13104" width="14" style="1" bestFit="1" customWidth="1"/>
    <col min="13105" max="13105" width="12.33203125" style="1" bestFit="1" customWidth="1"/>
    <col min="13106" max="13106" width="13.44140625" style="1" bestFit="1" customWidth="1"/>
    <col min="13107" max="13107" width="15.109375" style="1" bestFit="1" customWidth="1"/>
    <col min="13108" max="13111" width="8.88671875" style="1"/>
    <col min="13112" max="13112" width="11.5546875" style="1" customWidth="1"/>
    <col min="13113" max="13113" width="12.109375" style="1" bestFit="1" customWidth="1"/>
    <col min="13114" max="13114" width="14" style="1" bestFit="1" customWidth="1"/>
    <col min="13115" max="13115" width="19.109375" style="1" bestFit="1" customWidth="1"/>
    <col min="13116" max="13116" width="23.44140625" style="1" bestFit="1" customWidth="1"/>
    <col min="13117" max="13117" width="25.88671875" style="1" bestFit="1" customWidth="1"/>
    <col min="13118" max="13118" width="18.33203125" style="1" bestFit="1" customWidth="1"/>
    <col min="13119" max="13119" width="17.109375" style="1" bestFit="1" customWidth="1"/>
    <col min="13120" max="13120" width="13.33203125" style="1" bestFit="1" customWidth="1"/>
    <col min="13121" max="13121" width="8.88671875" style="1"/>
    <col min="13122" max="13122" width="18.109375" style="1" bestFit="1" customWidth="1"/>
    <col min="13123" max="13123" width="23.44140625" style="1" bestFit="1" customWidth="1"/>
    <col min="13124" max="13127" width="8.88671875" style="1"/>
    <col min="13128" max="13128" width="14.88671875" style="1" bestFit="1" customWidth="1"/>
    <col min="13129" max="13129" width="18.109375" style="1" bestFit="1" customWidth="1"/>
    <col min="13130" max="13130" width="23.44140625" style="1" bestFit="1" customWidth="1"/>
    <col min="13131" max="13134" width="8.88671875" style="1"/>
    <col min="13135" max="13135" width="11" style="1" bestFit="1" customWidth="1"/>
    <col min="13136" max="13136" width="15.44140625" style="1" bestFit="1" customWidth="1"/>
    <col min="13137" max="13137" width="23.44140625" style="1" bestFit="1" customWidth="1"/>
    <col min="13138" max="13140" width="8.88671875" style="1"/>
    <col min="13141" max="13141" width="5.109375" style="1" customWidth="1"/>
    <col min="13142" max="13142" width="8.88671875" style="1"/>
    <col min="13143" max="13143" width="26" style="1" bestFit="1" customWidth="1"/>
    <col min="13144" max="13144" width="71" style="1" bestFit="1" customWidth="1"/>
    <col min="13145" max="13145" width="17.5546875" style="1" bestFit="1" customWidth="1"/>
    <col min="13146" max="13146" width="27.33203125" style="1" bestFit="1" customWidth="1"/>
    <col min="13147" max="13147" width="17.33203125" style="1" bestFit="1" customWidth="1"/>
    <col min="13148" max="13149" width="8.88671875" style="1"/>
    <col min="13150" max="13150" width="5.6640625" style="1" bestFit="1" customWidth="1"/>
    <col min="13151" max="13151" width="15.44140625" style="1" bestFit="1" customWidth="1"/>
    <col min="13152" max="13152" width="22" style="1" bestFit="1" customWidth="1"/>
    <col min="13153" max="13153" width="71" style="1" bestFit="1" customWidth="1"/>
    <col min="13154" max="13154" width="18.5546875" style="1" bestFit="1" customWidth="1"/>
    <col min="13155" max="13155" width="27.33203125" style="1" bestFit="1" customWidth="1"/>
    <col min="13156" max="13156" width="16.44140625" style="1" bestFit="1" customWidth="1"/>
    <col min="13157" max="13314" width="8.88671875" style="1"/>
    <col min="13315" max="13315" width="18.88671875" style="1" bestFit="1" customWidth="1"/>
    <col min="13316" max="13316" width="14.88671875" style="1" customWidth="1"/>
    <col min="13317" max="13317" width="33.44140625" style="1" customWidth="1"/>
    <col min="13318" max="13318" width="31.109375" style="1" customWidth="1"/>
    <col min="13319" max="13319" width="22.5546875" style="1" bestFit="1" customWidth="1"/>
    <col min="13320" max="13320" width="20.88671875" style="1" bestFit="1" customWidth="1"/>
    <col min="13321" max="13322" width="19.33203125" style="1" bestFit="1" customWidth="1"/>
    <col min="13323" max="13323" width="20.88671875" style="1" bestFit="1" customWidth="1"/>
    <col min="13324" max="13324" width="16.33203125" style="1" bestFit="1" customWidth="1"/>
    <col min="13325" max="13326" width="19.109375" style="1" bestFit="1" customWidth="1"/>
    <col min="13327" max="13327" width="13.44140625" style="1" bestFit="1" customWidth="1"/>
    <col min="13328" max="13328" width="15.33203125" style="1" bestFit="1" customWidth="1"/>
    <col min="13329" max="13329" width="24.33203125" style="1" bestFit="1" customWidth="1"/>
    <col min="13330" max="13330" width="12.88671875" style="1" bestFit="1" customWidth="1"/>
    <col min="13331" max="13332" width="12.5546875" style="1" bestFit="1" customWidth="1"/>
    <col min="13333" max="13333" width="10.5546875" style="1" bestFit="1" customWidth="1"/>
    <col min="13334" max="13334" width="12.44140625" style="1" bestFit="1" customWidth="1"/>
    <col min="13335" max="13335" width="11.5546875" style="1" bestFit="1" customWidth="1"/>
    <col min="13336" max="13336" width="12" style="1" bestFit="1" customWidth="1"/>
    <col min="13337" max="13337" width="10.5546875" style="1" bestFit="1" customWidth="1"/>
    <col min="13338" max="13339" width="8.88671875" style="1"/>
    <col min="13340" max="13340" width="10.5546875" style="1" bestFit="1" customWidth="1"/>
    <col min="13341" max="13341" width="35" style="1" bestFit="1" customWidth="1"/>
    <col min="13342" max="13342" width="6.44140625" style="1" bestFit="1" customWidth="1"/>
    <col min="13343" max="13343" width="2.88671875" style="1" bestFit="1" customWidth="1"/>
    <col min="13344" max="13344" width="6.44140625" style="1" bestFit="1" customWidth="1"/>
    <col min="13345" max="13345" width="13.44140625" style="1" bestFit="1" customWidth="1"/>
    <col min="13346" max="13346" width="12.88671875" style="1" bestFit="1" customWidth="1"/>
    <col min="13347" max="13347" width="15.109375" style="1" bestFit="1" customWidth="1"/>
    <col min="13348" max="13348" width="12.88671875" style="1" bestFit="1" customWidth="1"/>
    <col min="13349" max="13349" width="13.88671875" style="1" customWidth="1"/>
    <col min="13350" max="13350" width="14.33203125" style="1" bestFit="1" customWidth="1"/>
    <col min="13351" max="13353" width="8.88671875" style="1"/>
    <col min="13354" max="13354" width="15.5546875" style="1" bestFit="1" customWidth="1"/>
    <col min="13355" max="13357" width="8.88671875" style="1"/>
    <col min="13358" max="13358" width="13.109375" style="1" bestFit="1" customWidth="1"/>
    <col min="13359" max="13359" width="12.88671875" style="1" bestFit="1" customWidth="1"/>
    <col min="13360" max="13360" width="14" style="1" bestFit="1" customWidth="1"/>
    <col min="13361" max="13361" width="12.33203125" style="1" bestFit="1" customWidth="1"/>
    <col min="13362" max="13362" width="13.44140625" style="1" bestFit="1" customWidth="1"/>
    <col min="13363" max="13363" width="15.109375" style="1" bestFit="1" customWidth="1"/>
    <col min="13364" max="13367" width="8.88671875" style="1"/>
    <col min="13368" max="13368" width="11.5546875" style="1" customWidth="1"/>
    <col min="13369" max="13369" width="12.109375" style="1" bestFit="1" customWidth="1"/>
    <col min="13370" max="13370" width="14" style="1" bestFit="1" customWidth="1"/>
    <col min="13371" max="13371" width="19.109375" style="1" bestFit="1" customWidth="1"/>
    <col min="13372" max="13372" width="23.44140625" style="1" bestFit="1" customWidth="1"/>
    <col min="13373" max="13373" width="25.88671875" style="1" bestFit="1" customWidth="1"/>
    <col min="13374" max="13374" width="18.33203125" style="1" bestFit="1" customWidth="1"/>
    <col min="13375" max="13375" width="17.109375" style="1" bestFit="1" customWidth="1"/>
    <col min="13376" max="13376" width="13.33203125" style="1" bestFit="1" customWidth="1"/>
    <col min="13377" max="13377" width="8.88671875" style="1"/>
    <col min="13378" max="13378" width="18.109375" style="1" bestFit="1" customWidth="1"/>
    <col min="13379" max="13379" width="23.44140625" style="1" bestFit="1" customWidth="1"/>
    <col min="13380" max="13383" width="8.88671875" style="1"/>
    <col min="13384" max="13384" width="14.88671875" style="1" bestFit="1" customWidth="1"/>
    <col min="13385" max="13385" width="18.109375" style="1" bestFit="1" customWidth="1"/>
    <col min="13386" max="13386" width="23.44140625" style="1" bestFit="1" customWidth="1"/>
    <col min="13387" max="13390" width="8.88671875" style="1"/>
    <col min="13391" max="13391" width="11" style="1" bestFit="1" customWidth="1"/>
    <col min="13392" max="13392" width="15.44140625" style="1" bestFit="1" customWidth="1"/>
    <col min="13393" max="13393" width="23.44140625" style="1" bestFit="1" customWidth="1"/>
    <col min="13394" max="13396" width="8.88671875" style="1"/>
    <col min="13397" max="13397" width="5.109375" style="1" customWidth="1"/>
    <col min="13398" max="13398" width="8.88671875" style="1"/>
    <col min="13399" max="13399" width="26" style="1" bestFit="1" customWidth="1"/>
    <col min="13400" max="13400" width="71" style="1" bestFit="1" customWidth="1"/>
    <col min="13401" max="13401" width="17.5546875" style="1" bestFit="1" customWidth="1"/>
    <col min="13402" max="13402" width="27.33203125" style="1" bestFit="1" customWidth="1"/>
    <col min="13403" max="13403" width="17.33203125" style="1" bestFit="1" customWidth="1"/>
    <col min="13404" max="13405" width="8.88671875" style="1"/>
    <col min="13406" max="13406" width="5.6640625" style="1" bestFit="1" customWidth="1"/>
    <col min="13407" max="13407" width="15.44140625" style="1" bestFit="1" customWidth="1"/>
    <col min="13408" max="13408" width="22" style="1" bestFit="1" customWidth="1"/>
    <col min="13409" max="13409" width="71" style="1" bestFit="1" customWidth="1"/>
    <col min="13410" max="13410" width="18.5546875" style="1" bestFit="1" customWidth="1"/>
    <col min="13411" max="13411" width="27.33203125" style="1" bestFit="1" customWidth="1"/>
    <col min="13412" max="13412" width="16.44140625" style="1" bestFit="1" customWidth="1"/>
    <col min="13413" max="13570" width="8.88671875" style="1"/>
    <col min="13571" max="13571" width="18.88671875" style="1" bestFit="1" customWidth="1"/>
    <col min="13572" max="13572" width="14.88671875" style="1" customWidth="1"/>
    <col min="13573" max="13573" width="33.44140625" style="1" customWidth="1"/>
    <col min="13574" max="13574" width="31.109375" style="1" customWidth="1"/>
    <col min="13575" max="13575" width="22.5546875" style="1" bestFit="1" customWidth="1"/>
    <col min="13576" max="13576" width="20.88671875" style="1" bestFit="1" customWidth="1"/>
    <col min="13577" max="13578" width="19.33203125" style="1" bestFit="1" customWidth="1"/>
    <col min="13579" max="13579" width="20.88671875" style="1" bestFit="1" customWidth="1"/>
    <col min="13580" max="13580" width="16.33203125" style="1" bestFit="1" customWidth="1"/>
    <col min="13581" max="13582" width="19.109375" style="1" bestFit="1" customWidth="1"/>
    <col min="13583" max="13583" width="13.44140625" style="1" bestFit="1" customWidth="1"/>
    <col min="13584" max="13584" width="15.33203125" style="1" bestFit="1" customWidth="1"/>
    <col min="13585" max="13585" width="24.33203125" style="1" bestFit="1" customWidth="1"/>
    <col min="13586" max="13586" width="12.88671875" style="1" bestFit="1" customWidth="1"/>
    <col min="13587" max="13588" width="12.5546875" style="1" bestFit="1" customWidth="1"/>
    <col min="13589" max="13589" width="10.5546875" style="1" bestFit="1" customWidth="1"/>
    <col min="13590" max="13590" width="12.44140625" style="1" bestFit="1" customWidth="1"/>
    <col min="13591" max="13591" width="11.5546875" style="1" bestFit="1" customWidth="1"/>
    <col min="13592" max="13592" width="12" style="1" bestFit="1" customWidth="1"/>
    <col min="13593" max="13593" width="10.5546875" style="1" bestFit="1" customWidth="1"/>
    <col min="13594" max="13595" width="8.88671875" style="1"/>
    <col min="13596" max="13596" width="10.5546875" style="1" bestFit="1" customWidth="1"/>
    <col min="13597" max="13597" width="35" style="1" bestFit="1" customWidth="1"/>
    <col min="13598" max="13598" width="6.44140625" style="1" bestFit="1" customWidth="1"/>
    <col min="13599" max="13599" width="2.88671875" style="1" bestFit="1" customWidth="1"/>
    <col min="13600" max="13600" width="6.44140625" style="1" bestFit="1" customWidth="1"/>
    <col min="13601" max="13601" width="13.44140625" style="1" bestFit="1" customWidth="1"/>
    <col min="13602" max="13602" width="12.88671875" style="1" bestFit="1" customWidth="1"/>
    <col min="13603" max="13603" width="15.109375" style="1" bestFit="1" customWidth="1"/>
    <col min="13604" max="13604" width="12.88671875" style="1" bestFit="1" customWidth="1"/>
    <col min="13605" max="13605" width="13.88671875" style="1" customWidth="1"/>
    <col min="13606" max="13606" width="14.33203125" style="1" bestFit="1" customWidth="1"/>
    <col min="13607" max="13609" width="8.88671875" style="1"/>
    <col min="13610" max="13610" width="15.5546875" style="1" bestFit="1" customWidth="1"/>
    <col min="13611" max="13613" width="8.88671875" style="1"/>
    <col min="13614" max="13614" width="13.109375" style="1" bestFit="1" customWidth="1"/>
    <col min="13615" max="13615" width="12.88671875" style="1" bestFit="1" customWidth="1"/>
    <col min="13616" max="13616" width="14" style="1" bestFit="1" customWidth="1"/>
    <col min="13617" max="13617" width="12.33203125" style="1" bestFit="1" customWidth="1"/>
    <col min="13618" max="13618" width="13.44140625" style="1" bestFit="1" customWidth="1"/>
    <col min="13619" max="13619" width="15.109375" style="1" bestFit="1" customWidth="1"/>
    <col min="13620" max="13623" width="8.88671875" style="1"/>
    <col min="13624" max="13624" width="11.5546875" style="1" customWidth="1"/>
    <col min="13625" max="13625" width="12.109375" style="1" bestFit="1" customWidth="1"/>
    <col min="13626" max="13626" width="14" style="1" bestFit="1" customWidth="1"/>
    <col min="13627" max="13627" width="19.109375" style="1" bestFit="1" customWidth="1"/>
    <col min="13628" max="13628" width="23.44140625" style="1" bestFit="1" customWidth="1"/>
    <col min="13629" max="13629" width="25.88671875" style="1" bestFit="1" customWidth="1"/>
    <col min="13630" max="13630" width="18.33203125" style="1" bestFit="1" customWidth="1"/>
    <col min="13631" max="13631" width="17.109375" style="1" bestFit="1" customWidth="1"/>
    <col min="13632" max="13632" width="13.33203125" style="1" bestFit="1" customWidth="1"/>
    <col min="13633" max="13633" width="8.88671875" style="1"/>
    <col min="13634" max="13634" width="18.109375" style="1" bestFit="1" customWidth="1"/>
    <col min="13635" max="13635" width="23.44140625" style="1" bestFit="1" customWidth="1"/>
    <col min="13636" max="13639" width="8.88671875" style="1"/>
    <col min="13640" max="13640" width="14.88671875" style="1" bestFit="1" customWidth="1"/>
    <col min="13641" max="13641" width="18.109375" style="1" bestFit="1" customWidth="1"/>
    <col min="13642" max="13642" width="23.44140625" style="1" bestFit="1" customWidth="1"/>
    <col min="13643" max="13646" width="8.88671875" style="1"/>
    <col min="13647" max="13647" width="11" style="1" bestFit="1" customWidth="1"/>
    <col min="13648" max="13648" width="15.44140625" style="1" bestFit="1" customWidth="1"/>
    <col min="13649" max="13649" width="23.44140625" style="1" bestFit="1" customWidth="1"/>
    <col min="13650" max="13652" width="8.88671875" style="1"/>
    <col min="13653" max="13653" width="5.109375" style="1" customWidth="1"/>
    <col min="13654" max="13654" width="8.88671875" style="1"/>
    <col min="13655" max="13655" width="26" style="1" bestFit="1" customWidth="1"/>
    <col min="13656" max="13656" width="71" style="1" bestFit="1" customWidth="1"/>
    <col min="13657" max="13657" width="17.5546875" style="1" bestFit="1" customWidth="1"/>
    <col min="13658" max="13658" width="27.33203125" style="1" bestFit="1" customWidth="1"/>
    <col min="13659" max="13659" width="17.33203125" style="1" bestFit="1" customWidth="1"/>
    <col min="13660" max="13661" width="8.88671875" style="1"/>
    <col min="13662" max="13662" width="5.6640625" style="1" bestFit="1" customWidth="1"/>
    <col min="13663" max="13663" width="15.44140625" style="1" bestFit="1" customWidth="1"/>
    <col min="13664" max="13664" width="22" style="1" bestFit="1" customWidth="1"/>
    <col min="13665" max="13665" width="71" style="1" bestFit="1" customWidth="1"/>
    <col min="13666" max="13666" width="18.5546875" style="1" bestFit="1" customWidth="1"/>
    <col min="13667" max="13667" width="27.33203125" style="1" bestFit="1" customWidth="1"/>
    <col min="13668" max="13668" width="16.44140625" style="1" bestFit="1" customWidth="1"/>
    <col min="13669" max="13826" width="8.88671875" style="1"/>
    <col min="13827" max="13827" width="18.88671875" style="1" bestFit="1" customWidth="1"/>
    <col min="13828" max="13828" width="14.88671875" style="1" customWidth="1"/>
    <col min="13829" max="13829" width="33.44140625" style="1" customWidth="1"/>
    <col min="13830" max="13830" width="31.109375" style="1" customWidth="1"/>
    <col min="13831" max="13831" width="22.5546875" style="1" bestFit="1" customWidth="1"/>
    <col min="13832" max="13832" width="20.88671875" style="1" bestFit="1" customWidth="1"/>
    <col min="13833" max="13834" width="19.33203125" style="1" bestFit="1" customWidth="1"/>
    <col min="13835" max="13835" width="20.88671875" style="1" bestFit="1" customWidth="1"/>
    <col min="13836" max="13836" width="16.33203125" style="1" bestFit="1" customWidth="1"/>
    <col min="13837" max="13838" width="19.109375" style="1" bestFit="1" customWidth="1"/>
    <col min="13839" max="13839" width="13.44140625" style="1" bestFit="1" customWidth="1"/>
    <col min="13840" max="13840" width="15.33203125" style="1" bestFit="1" customWidth="1"/>
    <col min="13841" max="13841" width="24.33203125" style="1" bestFit="1" customWidth="1"/>
    <col min="13842" max="13842" width="12.88671875" style="1" bestFit="1" customWidth="1"/>
    <col min="13843" max="13844" width="12.5546875" style="1" bestFit="1" customWidth="1"/>
    <col min="13845" max="13845" width="10.5546875" style="1" bestFit="1" customWidth="1"/>
    <col min="13846" max="13846" width="12.44140625" style="1" bestFit="1" customWidth="1"/>
    <col min="13847" max="13847" width="11.5546875" style="1" bestFit="1" customWidth="1"/>
    <col min="13848" max="13848" width="12" style="1" bestFit="1" customWidth="1"/>
    <col min="13849" max="13849" width="10.5546875" style="1" bestFit="1" customWidth="1"/>
    <col min="13850" max="13851" width="8.88671875" style="1"/>
    <col min="13852" max="13852" width="10.5546875" style="1" bestFit="1" customWidth="1"/>
    <col min="13853" max="13853" width="35" style="1" bestFit="1" customWidth="1"/>
    <col min="13854" max="13854" width="6.44140625" style="1" bestFit="1" customWidth="1"/>
    <col min="13855" max="13855" width="2.88671875" style="1" bestFit="1" customWidth="1"/>
    <col min="13856" max="13856" width="6.44140625" style="1" bestFit="1" customWidth="1"/>
    <col min="13857" max="13857" width="13.44140625" style="1" bestFit="1" customWidth="1"/>
    <col min="13858" max="13858" width="12.88671875" style="1" bestFit="1" customWidth="1"/>
    <col min="13859" max="13859" width="15.109375" style="1" bestFit="1" customWidth="1"/>
    <col min="13860" max="13860" width="12.88671875" style="1" bestFit="1" customWidth="1"/>
    <col min="13861" max="13861" width="13.88671875" style="1" customWidth="1"/>
    <col min="13862" max="13862" width="14.33203125" style="1" bestFit="1" customWidth="1"/>
    <col min="13863" max="13865" width="8.88671875" style="1"/>
    <col min="13866" max="13866" width="15.5546875" style="1" bestFit="1" customWidth="1"/>
    <col min="13867" max="13869" width="8.88671875" style="1"/>
    <col min="13870" max="13870" width="13.109375" style="1" bestFit="1" customWidth="1"/>
    <col min="13871" max="13871" width="12.88671875" style="1" bestFit="1" customWidth="1"/>
    <col min="13872" max="13872" width="14" style="1" bestFit="1" customWidth="1"/>
    <col min="13873" max="13873" width="12.33203125" style="1" bestFit="1" customWidth="1"/>
    <col min="13874" max="13874" width="13.44140625" style="1" bestFit="1" customWidth="1"/>
    <col min="13875" max="13875" width="15.109375" style="1" bestFit="1" customWidth="1"/>
    <col min="13876" max="13879" width="8.88671875" style="1"/>
    <col min="13880" max="13880" width="11.5546875" style="1" customWidth="1"/>
    <col min="13881" max="13881" width="12.109375" style="1" bestFit="1" customWidth="1"/>
    <col min="13882" max="13882" width="14" style="1" bestFit="1" customWidth="1"/>
    <col min="13883" max="13883" width="19.109375" style="1" bestFit="1" customWidth="1"/>
    <col min="13884" max="13884" width="23.44140625" style="1" bestFit="1" customWidth="1"/>
    <col min="13885" max="13885" width="25.88671875" style="1" bestFit="1" customWidth="1"/>
    <col min="13886" max="13886" width="18.33203125" style="1" bestFit="1" customWidth="1"/>
    <col min="13887" max="13887" width="17.109375" style="1" bestFit="1" customWidth="1"/>
    <col min="13888" max="13888" width="13.33203125" style="1" bestFit="1" customWidth="1"/>
    <col min="13889" max="13889" width="8.88671875" style="1"/>
    <col min="13890" max="13890" width="18.109375" style="1" bestFit="1" customWidth="1"/>
    <col min="13891" max="13891" width="23.44140625" style="1" bestFit="1" customWidth="1"/>
    <col min="13892" max="13895" width="8.88671875" style="1"/>
    <col min="13896" max="13896" width="14.88671875" style="1" bestFit="1" customWidth="1"/>
    <col min="13897" max="13897" width="18.109375" style="1" bestFit="1" customWidth="1"/>
    <col min="13898" max="13898" width="23.44140625" style="1" bestFit="1" customWidth="1"/>
    <col min="13899" max="13902" width="8.88671875" style="1"/>
    <col min="13903" max="13903" width="11" style="1" bestFit="1" customWidth="1"/>
    <col min="13904" max="13904" width="15.44140625" style="1" bestFit="1" customWidth="1"/>
    <col min="13905" max="13905" width="23.44140625" style="1" bestFit="1" customWidth="1"/>
    <col min="13906" max="13908" width="8.88671875" style="1"/>
    <col min="13909" max="13909" width="5.109375" style="1" customWidth="1"/>
    <col min="13910" max="13910" width="8.88671875" style="1"/>
    <col min="13911" max="13911" width="26" style="1" bestFit="1" customWidth="1"/>
    <col min="13912" max="13912" width="71" style="1" bestFit="1" customWidth="1"/>
    <col min="13913" max="13913" width="17.5546875" style="1" bestFit="1" customWidth="1"/>
    <col min="13914" max="13914" width="27.33203125" style="1" bestFit="1" customWidth="1"/>
    <col min="13915" max="13915" width="17.33203125" style="1" bestFit="1" customWidth="1"/>
    <col min="13916" max="13917" width="8.88671875" style="1"/>
    <col min="13918" max="13918" width="5.6640625" style="1" bestFit="1" customWidth="1"/>
    <col min="13919" max="13919" width="15.44140625" style="1" bestFit="1" customWidth="1"/>
    <col min="13920" max="13920" width="22" style="1" bestFit="1" customWidth="1"/>
    <col min="13921" max="13921" width="71" style="1" bestFit="1" customWidth="1"/>
    <col min="13922" max="13922" width="18.5546875" style="1" bestFit="1" customWidth="1"/>
    <col min="13923" max="13923" width="27.33203125" style="1" bestFit="1" customWidth="1"/>
    <col min="13924" max="13924" width="16.44140625" style="1" bestFit="1" customWidth="1"/>
    <col min="13925" max="14082" width="8.88671875" style="1"/>
    <col min="14083" max="14083" width="18.88671875" style="1" bestFit="1" customWidth="1"/>
    <col min="14084" max="14084" width="14.88671875" style="1" customWidth="1"/>
    <col min="14085" max="14085" width="33.44140625" style="1" customWidth="1"/>
    <col min="14086" max="14086" width="31.109375" style="1" customWidth="1"/>
    <col min="14087" max="14087" width="22.5546875" style="1" bestFit="1" customWidth="1"/>
    <col min="14088" max="14088" width="20.88671875" style="1" bestFit="1" customWidth="1"/>
    <col min="14089" max="14090" width="19.33203125" style="1" bestFit="1" customWidth="1"/>
    <col min="14091" max="14091" width="20.88671875" style="1" bestFit="1" customWidth="1"/>
    <col min="14092" max="14092" width="16.33203125" style="1" bestFit="1" customWidth="1"/>
    <col min="14093" max="14094" width="19.109375" style="1" bestFit="1" customWidth="1"/>
    <col min="14095" max="14095" width="13.44140625" style="1" bestFit="1" customWidth="1"/>
    <col min="14096" max="14096" width="15.33203125" style="1" bestFit="1" customWidth="1"/>
    <col min="14097" max="14097" width="24.33203125" style="1" bestFit="1" customWidth="1"/>
    <col min="14098" max="14098" width="12.88671875" style="1" bestFit="1" customWidth="1"/>
    <col min="14099" max="14100" width="12.5546875" style="1" bestFit="1" customWidth="1"/>
    <col min="14101" max="14101" width="10.5546875" style="1" bestFit="1" customWidth="1"/>
    <col min="14102" max="14102" width="12.44140625" style="1" bestFit="1" customWidth="1"/>
    <col min="14103" max="14103" width="11.5546875" style="1" bestFit="1" customWidth="1"/>
    <col min="14104" max="14104" width="12" style="1" bestFit="1" customWidth="1"/>
    <col min="14105" max="14105" width="10.5546875" style="1" bestFit="1" customWidth="1"/>
    <col min="14106" max="14107" width="8.88671875" style="1"/>
    <col min="14108" max="14108" width="10.5546875" style="1" bestFit="1" customWidth="1"/>
    <col min="14109" max="14109" width="35" style="1" bestFit="1" customWidth="1"/>
    <col min="14110" max="14110" width="6.44140625" style="1" bestFit="1" customWidth="1"/>
    <col min="14111" max="14111" width="2.88671875" style="1" bestFit="1" customWidth="1"/>
    <col min="14112" max="14112" width="6.44140625" style="1" bestFit="1" customWidth="1"/>
    <col min="14113" max="14113" width="13.44140625" style="1" bestFit="1" customWidth="1"/>
    <col min="14114" max="14114" width="12.88671875" style="1" bestFit="1" customWidth="1"/>
    <col min="14115" max="14115" width="15.109375" style="1" bestFit="1" customWidth="1"/>
    <col min="14116" max="14116" width="12.88671875" style="1" bestFit="1" customWidth="1"/>
    <col min="14117" max="14117" width="13.88671875" style="1" customWidth="1"/>
    <col min="14118" max="14118" width="14.33203125" style="1" bestFit="1" customWidth="1"/>
    <col min="14119" max="14121" width="8.88671875" style="1"/>
    <col min="14122" max="14122" width="15.5546875" style="1" bestFit="1" customWidth="1"/>
    <col min="14123" max="14125" width="8.88671875" style="1"/>
    <col min="14126" max="14126" width="13.109375" style="1" bestFit="1" customWidth="1"/>
    <col min="14127" max="14127" width="12.88671875" style="1" bestFit="1" customWidth="1"/>
    <col min="14128" max="14128" width="14" style="1" bestFit="1" customWidth="1"/>
    <col min="14129" max="14129" width="12.33203125" style="1" bestFit="1" customWidth="1"/>
    <col min="14130" max="14130" width="13.44140625" style="1" bestFit="1" customWidth="1"/>
    <col min="14131" max="14131" width="15.109375" style="1" bestFit="1" customWidth="1"/>
    <col min="14132" max="14135" width="8.88671875" style="1"/>
    <col min="14136" max="14136" width="11.5546875" style="1" customWidth="1"/>
    <col min="14137" max="14137" width="12.109375" style="1" bestFit="1" customWidth="1"/>
    <col min="14138" max="14138" width="14" style="1" bestFit="1" customWidth="1"/>
    <col min="14139" max="14139" width="19.109375" style="1" bestFit="1" customWidth="1"/>
    <col min="14140" max="14140" width="23.44140625" style="1" bestFit="1" customWidth="1"/>
    <col min="14141" max="14141" width="25.88671875" style="1" bestFit="1" customWidth="1"/>
    <col min="14142" max="14142" width="18.33203125" style="1" bestFit="1" customWidth="1"/>
    <col min="14143" max="14143" width="17.109375" style="1" bestFit="1" customWidth="1"/>
    <col min="14144" max="14144" width="13.33203125" style="1" bestFit="1" customWidth="1"/>
    <col min="14145" max="14145" width="8.88671875" style="1"/>
    <col min="14146" max="14146" width="18.109375" style="1" bestFit="1" customWidth="1"/>
    <col min="14147" max="14147" width="23.44140625" style="1" bestFit="1" customWidth="1"/>
    <col min="14148" max="14151" width="8.88671875" style="1"/>
    <col min="14152" max="14152" width="14.88671875" style="1" bestFit="1" customWidth="1"/>
    <col min="14153" max="14153" width="18.109375" style="1" bestFit="1" customWidth="1"/>
    <col min="14154" max="14154" width="23.44140625" style="1" bestFit="1" customWidth="1"/>
    <col min="14155" max="14158" width="8.88671875" style="1"/>
    <col min="14159" max="14159" width="11" style="1" bestFit="1" customWidth="1"/>
    <col min="14160" max="14160" width="15.44140625" style="1" bestFit="1" customWidth="1"/>
    <col min="14161" max="14161" width="23.44140625" style="1" bestFit="1" customWidth="1"/>
    <col min="14162" max="14164" width="8.88671875" style="1"/>
    <col min="14165" max="14165" width="5.109375" style="1" customWidth="1"/>
    <col min="14166" max="14166" width="8.88671875" style="1"/>
    <col min="14167" max="14167" width="26" style="1" bestFit="1" customWidth="1"/>
    <col min="14168" max="14168" width="71" style="1" bestFit="1" customWidth="1"/>
    <col min="14169" max="14169" width="17.5546875" style="1" bestFit="1" customWidth="1"/>
    <col min="14170" max="14170" width="27.33203125" style="1" bestFit="1" customWidth="1"/>
    <col min="14171" max="14171" width="17.33203125" style="1" bestFit="1" customWidth="1"/>
    <col min="14172" max="14173" width="8.88671875" style="1"/>
    <col min="14174" max="14174" width="5.6640625" style="1" bestFit="1" customWidth="1"/>
    <col min="14175" max="14175" width="15.44140625" style="1" bestFit="1" customWidth="1"/>
    <col min="14176" max="14176" width="22" style="1" bestFit="1" customWidth="1"/>
    <col min="14177" max="14177" width="71" style="1" bestFit="1" customWidth="1"/>
    <col min="14178" max="14178" width="18.5546875" style="1" bestFit="1" customWidth="1"/>
    <col min="14179" max="14179" width="27.33203125" style="1" bestFit="1" customWidth="1"/>
    <col min="14180" max="14180" width="16.44140625" style="1" bestFit="1" customWidth="1"/>
    <col min="14181" max="14338" width="8.88671875" style="1"/>
    <col min="14339" max="14339" width="18.88671875" style="1" bestFit="1" customWidth="1"/>
    <col min="14340" max="14340" width="14.88671875" style="1" customWidth="1"/>
    <col min="14341" max="14341" width="33.44140625" style="1" customWidth="1"/>
    <col min="14342" max="14342" width="31.109375" style="1" customWidth="1"/>
    <col min="14343" max="14343" width="22.5546875" style="1" bestFit="1" customWidth="1"/>
    <col min="14344" max="14344" width="20.88671875" style="1" bestFit="1" customWidth="1"/>
    <col min="14345" max="14346" width="19.33203125" style="1" bestFit="1" customWidth="1"/>
    <col min="14347" max="14347" width="20.88671875" style="1" bestFit="1" customWidth="1"/>
    <col min="14348" max="14348" width="16.33203125" style="1" bestFit="1" customWidth="1"/>
    <col min="14349" max="14350" width="19.109375" style="1" bestFit="1" customWidth="1"/>
    <col min="14351" max="14351" width="13.44140625" style="1" bestFit="1" customWidth="1"/>
    <col min="14352" max="14352" width="15.33203125" style="1" bestFit="1" customWidth="1"/>
    <col min="14353" max="14353" width="24.33203125" style="1" bestFit="1" customWidth="1"/>
    <col min="14354" max="14354" width="12.88671875" style="1" bestFit="1" customWidth="1"/>
    <col min="14355" max="14356" width="12.5546875" style="1" bestFit="1" customWidth="1"/>
    <col min="14357" max="14357" width="10.5546875" style="1" bestFit="1" customWidth="1"/>
    <col min="14358" max="14358" width="12.44140625" style="1" bestFit="1" customWidth="1"/>
    <col min="14359" max="14359" width="11.5546875" style="1" bestFit="1" customWidth="1"/>
    <col min="14360" max="14360" width="12" style="1" bestFit="1" customWidth="1"/>
    <col min="14361" max="14361" width="10.5546875" style="1" bestFit="1" customWidth="1"/>
    <col min="14362" max="14363" width="8.88671875" style="1"/>
    <col min="14364" max="14364" width="10.5546875" style="1" bestFit="1" customWidth="1"/>
    <col min="14365" max="14365" width="35" style="1" bestFit="1" customWidth="1"/>
    <col min="14366" max="14366" width="6.44140625" style="1" bestFit="1" customWidth="1"/>
    <col min="14367" max="14367" width="2.88671875" style="1" bestFit="1" customWidth="1"/>
    <col min="14368" max="14368" width="6.44140625" style="1" bestFit="1" customWidth="1"/>
    <col min="14369" max="14369" width="13.44140625" style="1" bestFit="1" customWidth="1"/>
    <col min="14370" max="14370" width="12.88671875" style="1" bestFit="1" customWidth="1"/>
    <col min="14371" max="14371" width="15.109375" style="1" bestFit="1" customWidth="1"/>
    <col min="14372" max="14372" width="12.88671875" style="1" bestFit="1" customWidth="1"/>
    <col min="14373" max="14373" width="13.88671875" style="1" customWidth="1"/>
    <col min="14374" max="14374" width="14.33203125" style="1" bestFit="1" customWidth="1"/>
    <col min="14375" max="14377" width="8.88671875" style="1"/>
    <col min="14378" max="14378" width="15.5546875" style="1" bestFit="1" customWidth="1"/>
    <col min="14379" max="14381" width="8.88671875" style="1"/>
    <col min="14382" max="14382" width="13.109375" style="1" bestFit="1" customWidth="1"/>
    <col min="14383" max="14383" width="12.88671875" style="1" bestFit="1" customWidth="1"/>
    <col min="14384" max="14384" width="14" style="1" bestFit="1" customWidth="1"/>
    <col min="14385" max="14385" width="12.33203125" style="1" bestFit="1" customWidth="1"/>
    <col min="14386" max="14386" width="13.44140625" style="1" bestFit="1" customWidth="1"/>
    <col min="14387" max="14387" width="15.109375" style="1" bestFit="1" customWidth="1"/>
    <col min="14388" max="14391" width="8.88671875" style="1"/>
    <col min="14392" max="14392" width="11.5546875" style="1" customWidth="1"/>
    <col min="14393" max="14393" width="12.109375" style="1" bestFit="1" customWidth="1"/>
    <col min="14394" max="14394" width="14" style="1" bestFit="1" customWidth="1"/>
    <col min="14395" max="14395" width="19.109375" style="1" bestFit="1" customWidth="1"/>
    <col min="14396" max="14396" width="23.44140625" style="1" bestFit="1" customWidth="1"/>
    <col min="14397" max="14397" width="25.88671875" style="1" bestFit="1" customWidth="1"/>
    <col min="14398" max="14398" width="18.33203125" style="1" bestFit="1" customWidth="1"/>
    <col min="14399" max="14399" width="17.109375" style="1" bestFit="1" customWidth="1"/>
    <col min="14400" max="14400" width="13.33203125" style="1" bestFit="1" customWidth="1"/>
    <col min="14401" max="14401" width="8.88671875" style="1"/>
    <col min="14402" max="14402" width="18.109375" style="1" bestFit="1" customWidth="1"/>
    <col min="14403" max="14403" width="23.44140625" style="1" bestFit="1" customWidth="1"/>
    <col min="14404" max="14407" width="8.88671875" style="1"/>
    <col min="14408" max="14408" width="14.88671875" style="1" bestFit="1" customWidth="1"/>
    <col min="14409" max="14409" width="18.109375" style="1" bestFit="1" customWidth="1"/>
    <col min="14410" max="14410" width="23.44140625" style="1" bestFit="1" customWidth="1"/>
    <col min="14411" max="14414" width="8.88671875" style="1"/>
    <col min="14415" max="14415" width="11" style="1" bestFit="1" customWidth="1"/>
    <col min="14416" max="14416" width="15.44140625" style="1" bestFit="1" customWidth="1"/>
    <col min="14417" max="14417" width="23.44140625" style="1" bestFit="1" customWidth="1"/>
    <col min="14418" max="14420" width="8.88671875" style="1"/>
    <col min="14421" max="14421" width="5.109375" style="1" customWidth="1"/>
    <col min="14422" max="14422" width="8.88671875" style="1"/>
    <col min="14423" max="14423" width="26" style="1" bestFit="1" customWidth="1"/>
    <col min="14424" max="14424" width="71" style="1" bestFit="1" customWidth="1"/>
    <col min="14425" max="14425" width="17.5546875" style="1" bestFit="1" customWidth="1"/>
    <col min="14426" max="14426" width="27.33203125" style="1" bestFit="1" customWidth="1"/>
    <col min="14427" max="14427" width="17.33203125" style="1" bestFit="1" customWidth="1"/>
    <col min="14428" max="14429" width="8.88671875" style="1"/>
    <col min="14430" max="14430" width="5.6640625" style="1" bestFit="1" customWidth="1"/>
    <col min="14431" max="14431" width="15.44140625" style="1" bestFit="1" customWidth="1"/>
    <col min="14432" max="14432" width="22" style="1" bestFit="1" customWidth="1"/>
    <col min="14433" max="14433" width="71" style="1" bestFit="1" customWidth="1"/>
    <col min="14434" max="14434" width="18.5546875" style="1" bestFit="1" customWidth="1"/>
    <col min="14435" max="14435" width="27.33203125" style="1" bestFit="1" customWidth="1"/>
    <col min="14436" max="14436" width="16.44140625" style="1" bestFit="1" customWidth="1"/>
    <col min="14437" max="14594" width="8.88671875" style="1"/>
    <col min="14595" max="14595" width="18.88671875" style="1" bestFit="1" customWidth="1"/>
    <col min="14596" max="14596" width="14.88671875" style="1" customWidth="1"/>
    <col min="14597" max="14597" width="33.44140625" style="1" customWidth="1"/>
    <col min="14598" max="14598" width="31.109375" style="1" customWidth="1"/>
    <col min="14599" max="14599" width="22.5546875" style="1" bestFit="1" customWidth="1"/>
    <col min="14600" max="14600" width="20.88671875" style="1" bestFit="1" customWidth="1"/>
    <col min="14601" max="14602" width="19.33203125" style="1" bestFit="1" customWidth="1"/>
    <col min="14603" max="14603" width="20.88671875" style="1" bestFit="1" customWidth="1"/>
    <col min="14604" max="14604" width="16.33203125" style="1" bestFit="1" customWidth="1"/>
    <col min="14605" max="14606" width="19.109375" style="1" bestFit="1" customWidth="1"/>
    <col min="14607" max="14607" width="13.44140625" style="1" bestFit="1" customWidth="1"/>
    <col min="14608" max="14608" width="15.33203125" style="1" bestFit="1" customWidth="1"/>
    <col min="14609" max="14609" width="24.33203125" style="1" bestFit="1" customWidth="1"/>
    <col min="14610" max="14610" width="12.88671875" style="1" bestFit="1" customWidth="1"/>
    <col min="14611" max="14612" width="12.5546875" style="1" bestFit="1" customWidth="1"/>
    <col min="14613" max="14613" width="10.5546875" style="1" bestFit="1" customWidth="1"/>
    <col min="14614" max="14614" width="12.44140625" style="1" bestFit="1" customWidth="1"/>
    <col min="14615" max="14615" width="11.5546875" style="1" bestFit="1" customWidth="1"/>
    <col min="14616" max="14616" width="12" style="1" bestFit="1" customWidth="1"/>
    <col min="14617" max="14617" width="10.5546875" style="1" bestFit="1" customWidth="1"/>
    <col min="14618" max="14619" width="8.88671875" style="1"/>
    <col min="14620" max="14620" width="10.5546875" style="1" bestFit="1" customWidth="1"/>
    <col min="14621" max="14621" width="35" style="1" bestFit="1" customWidth="1"/>
    <col min="14622" max="14622" width="6.44140625" style="1" bestFit="1" customWidth="1"/>
    <col min="14623" max="14623" width="2.88671875" style="1" bestFit="1" customWidth="1"/>
    <col min="14624" max="14624" width="6.44140625" style="1" bestFit="1" customWidth="1"/>
    <col min="14625" max="14625" width="13.44140625" style="1" bestFit="1" customWidth="1"/>
    <col min="14626" max="14626" width="12.88671875" style="1" bestFit="1" customWidth="1"/>
    <col min="14627" max="14627" width="15.109375" style="1" bestFit="1" customWidth="1"/>
    <col min="14628" max="14628" width="12.88671875" style="1" bestFit="1" customWidth="1"/>
    <col min="14629" max="14629" width="13.88671875" style="1" customWidth="1"/>
    <col min="14630" max="14630" width="14.33203125" style="1" bestFit="1" customWidth="1"/>
    <col min="14631" max="14633" width="8.88671875" style="1"/>
    <col min="14634" max="14634" width="15.5546875" style="1" bestFit="1" customWidth="1"/>
    <col min="14635" max="14637" width="8.88671875" style="1"/>
    <col min="14638" max="14638" width="13.109375" style="1" bestFit="1" customWidth="1"/>
    <col min="14639" max="14639" width="12.88671875" style="1" bestFit="1" customWidth="1"/>
    <col min="14640" max="14640" width="14" style="1" bestFit="1" customWidth="1"/>
    <col min="14641" max="14641" width="12.33203125" style="1" bestFit="1" customWidth="1"/>
    <col min="14642" max="14642" width="13.44140625" style="1" bestFit="1" customWidth="1"/>
    <col min="14643" max="14643" width="15.109375" style="1" bestFit="1" customWidth="1"/>
    <col min="14644" max="14647" width="8.88671875" style="1"/>
    <col min="14648" max="14648" width="11.5546875" style="1" customWidth="1"/>
    <col min="14649" max="14649" width="12.109375" style="1" bestFit="1" customWidth="1"/>
    <col min="14650" max="14650" width="14" style="1" bestFit="1" customWidth="1"/>
    <col min="14651" max="14651" width="19.109375" style="1" bestFit="1" customWidth="1"/>
    <col min="14652" max="14652" width="23.44140625" style="1" bestFit="1" customWidth="1"/>
    <col min="14653" max="14653" width="25.88671875" style="1" bestFit="1" customWidth="1"/>
    <col min="14654" max="14654" width="18.33203125" style="1" bestFit="1" customWidth="1"/>
    <col min="14655" max="14655" width="17.109375" style="1" bestFit="1" customWidth="1"/>
    <col min="14656" max="14656" width="13.33203125" style="1" bestFit="1" customWidth="1"/>
    <col min="14657" max="14657" width="8.88671875" style="1"/>
    <col min="14658" max="14658" width="18.109375" style="1" bestFit="1" customWidth="1"/>
    <col min="14659" max="14659" width="23.44140625" style="1" bestFit="1" customWidth="1"/>
    <col min="14660" max="14663" width="8.88671875" style="1"/>
    <col min="14664" max="14664" width="14.88671875" style="1" bestFit="1" customWidth="1"/>
    <col min="14665" max="14665" width="18.109375" style="1" bestFit="1" customWidth="1"/>
    <col min="14666" max="14666" width="23.44140625" style="1" bestFit="1" customWidth="1"/>
    <col min="14667" max="14670" width="8.88671875" style="1"/>
    <col min="14671" max="14671" width="11" style="1" bestFit="1" customWidth="1"/>
    <col min="14672" max="14672" width="15.44140625" style="1" bestFit="1" customWidth="1"/>
    <col min="14673" max="14673" width="23.44140625" style="1" bestFit="1" customWidth="1"/>
    <col min="14674" max="14676" width="8.88671875" style="1"/>
    <col min="14677" max="14677" width="5.109375" style="1" customWidth="1"/>
    <col min="14678" max="14678" width="8.88671875" style="1"/>
    <col min="14679" max="14679" width="26" style="1" bestFit="1" customWidth="1"/>
    <col min="14680" max="14680" width="71" style="1" bestFit="1" customWidth="1"/>
    <col min="14681" max="14681" width="17.5546875" style="1" bestFit="1" customWidth="1"/>
    <col min="14682" max="14682" width="27.33203125" style="1" bestFit="1" customWidth="1"/>
    <col min="14683" max="14683" width="17.33203125" style="1" bestFit="1" customWidth="1"/>
    <col min="14684" max="14685" width="8.88671875" style="1"/>
    <col min="14686" max="14686" width="5.6640625" style="1" bestFit="1" customWidth="1"/>
    <col min="14687" max="14687" width="15.44140625" style="1" bestFit="1" customWidth="1"/>
    <col min="14688" max="14688" width="22" style="1" bestFit="1" customWidth="1"/>
    <col min="14689" max="14689" width="71" style="1" bestFit="1" customWidth="1"/>
    <col min="14690" max="14690" width="18.5546875" style="1" bestFit="1" customWidth="1"/>
    <col min="14691" max="14691" width="27.33203125" style="1" bestFit="1" customWidth="1"/>
    <col min="14692" max="14692" width="16.44140625" style="1" bestFit="1" customWidth="1"/>
    <col min="14693" max="14850" width="8.88671875" style="1"/>
    <col min="14851" max="14851" width="18.88671875" style="1" bestFit="1" customWidth="1"/>
    <col min="14852" max="14852" width="14.88671875" style="1" customWidth="1"/>
    <col min="14853" max="14853" width="33.44140625" style="1" customWidth="1"/>
    <col min="14854" max="14854" width="31.109375" style="1" customWidth="1"/>
    <col min="14855" max="14855" width="22.5546875" style="1" bestFit="1" customWidth="1"/>
    <col min="14856" max="14856" width="20.88671875" style="1" bestFit="1" customWidth="1"/>
    <col min="14857" max="14858" width="19.33203125" style="1" bestFit="1" customWidth="1"/>
    <col min="14859" max="14859" width="20.88671875" style="1" bestFit="1" customWidth="1"/>
    <col min="14860" max="14860" width="16.33203125" style="1" bestFit="1" customWidth="1"/>
    <col min="14861" max="14862" width="19.109375" style="1" bestFit="1" customWidth="1"/>
    <col min="14863" max="14863" width="13.44140625" style="1" bestFit="1" customWidth="1"/>
    <col min="14864" max="14864" width="15.33203125" style="1" bestFit="1" customWidth="1"/>
    <col min="14865" max="14865" width="24.33203125" style="1" bestFit="1" customWidth="1"/>
    <col min="14866" max="14866" width="12.88671875" style="1" bestFit="1" customWidth="1"/>
    <col min="14867" max="14868" width="12.5546875" style="1" bestFit="1" customWidth="1"/>
    <col min="14869" max="14869" width="10.5546875" style="1" bestFit="1" customWidth="1"/>
    <col min="14870" max="14870" width="12.44140625" style="1" bestFit="1" customWidth="1"/>
    <col min="14871" max="14871" width="11.5546875" style="1" bestFit="1" customWidth="1"/>
    <col min="14872" max="14872" width="12" style="1" bestFit="1" customWidth="1"/>
    <col min="14873" max="14873" width="10.5546875" style="1" bestFit="1" customWidth="1"/>
    <col min="14874" max="14875" width="8.88671875" style="1"/>
    <col min="14876" max="14876" width="10.5546875" style="1" bestFit="1" customWidth="1"/>
    <col min="14877" max="14877" width="35" style="1" bestFit="1" customWidth="1"/>
    <col min="14878" max="14878" width="6.44140625" style="1" bestFit="1" customWidth="1"/>
    <col min="14879" max="14879" width="2.88671875" style="1" bestFit="1" customWidth="1"/>
    <col min="14880" max="14880" width="6.44140625" style="1" bestFit="1" customWidth="1"/>
    <col min="14881" max="14881" width="13.44140625" style="1" bestFit="1" customWidth="1"/>
    <col min="14882" max="14882" width="12.88671875" style="1" bestFit="1" customWidth="1"/>
    <col min="14883" max="14883" width="15.109375" style="1" bestFit="1" customWidth="1"/>
    <col min="14884" max="14884" width="12.88671875" style="1" bestFit="1" customWidth="1"/>
    <col min="14885" max="14885" width="13.88671875" style="1" customWidth="1"/>
    <col min="14886" max="14886" width="14.33203125" style="1" bestFit="1" customWidth="1"/>
    <col min="14887" max="14889" width="8.88671875" style="1"/>
    <col min="14890" max="14890" width="15.5546875" style="1" bestFit="1" customWidth="1"/>
    <col min="14891" max="14893" width="8.88671875" style="1"/>
    <col min="14894" max="14894" width="13.109375" style="1" bestFit="1" customWidth="1"/>
    <col min="14895" max="14895" width="12.88671875" style="1" bestFit="1" customWidth="1"/>
    <col min="14896" max="14896" width="14" style="1" bestFit="1" customWidth="1"/>
    <col min="14897" max="14897" width="12.33203125" style="1" bestFit="1" customWidth="1"/>
    <col min="14898" max="14898" width="13.44140625" style="1" bestFit="1" customWidth="1"/>
    <col min="14899" max="14899" width="15.109375" style="1" bestFit="1" customWidth="1"/>
    <col min="14900" max="14903" width="8.88671875" style="1"/>
    <col min="14904" max="14904" width="11.5546875" style="1" customWidth="1"/>
    <col min="14905" max="14905" width="12.109375" style="1" bestFit="1" customWidth="1"/>
    <col min="14906" max="14906" width="14" style="1" bestFit="1" customWidth="1"/>
    <col min="14907" max="14907" width="19.109375" style="1" bestFit="1" customWidth="1"/>
    <col min="14908" max="14908" width="23.44140625" style="1" bestFit="1" customWidth="1"/>
    <col min="14909" max="14909" width="25.88671875" style="1" bestFit="1" customWidth="1"/>
    <col min="14910" max="14910" width="18.33203125" style="1" bestFit="1" customWidth="1"/>
    <col min="14911" max="14911" width="17.109375" style="1" bestFit="1" customWidth="1"/>
    <col min="14912" max="14912" width="13.33203125" style="1" bestFit="1" customWidth="1"/>
    <col min="14913" max="14913" width="8.88671875" style="1"/>
    <col min="14914" max="14914" width="18.109375" style="1" bestFit="1" customWidth="1"/>
    <col min="14915" max="14915" width="23.44140625" style="1" bestFit="1" customWidth="1"/>
    <col min="14916" max="14919" width="8.88671875" style="1"/>
    <col min="14920" max="14920" width="14.88671875" style="1" bestFit="1" customWidth="1"/>
    <col min="14921" max="14921" width="18.109375" style="1" bestFit="1" customWidth="1"/>
    <col min="14922" max="14922" width="23.44140625" style="1" bestFit="1" customWidth="1"/>
    <col min="14923" max="14926" width="8.88671875" style="1"/>
    <col min="14927" max="14927" width="11" style="1" bestFit="1" customWidth="1"/>
    <col min="14928" max="14928" width="15.44140625" style="1" bestFit="1" customWidth="1"/>
    <col min="14929" max="14929" width="23.44140625" style="1" bestFit="1" customWidth="1"/>
    <col min="14930" max="14932" width="8.88671875" style="1"/>
    <col min="14933" max="14933" width="5.109375" style="1" customWidth="1"/>
    <col min="14934" max="14934" width="8.88671875" style="1"/>
    <col min="14935" max="14935" width="26" style="1" bestFit="1" customWidth="1"/>
    <col min="14936" max="14936" width="71" style="1" bestFit="1" customWidth="1"/>
    <col min="14937" max="14937" width="17.5546875" style="1" bestFit="1" customWidth="1"/>
    <col min="14938" max="14938" width="27.33203125" style="1" bestFit="1" customWidth="1"/>
    <col min="14939" max="14939" width="17.33203125" style="1" bestFit="1" customWidth="1"/>
    <col min="14940" max="14941" width="8.88671875" style="1"/>
    <col min="14942" max="14942" width="5.6640625" style="1" bestFit="1" customWidth="1"/>
    <col min="14943" max="14943" width="15.44140625" style="1" bestFit="1" customWidth="1"/>
    <col min="14944" max="14944" width="22" style="1" bestFit="1" customWidth="1"/>
    <col min="14945" max="14945" width="71" style="1" bestFit="1" customWidth="1"/>
    <col min="14946" max="14946" width="18.5546875" style="1" bestFit="1" customWidth="1"/>
    <col min="14947" max="14947" width="27.33203125" style="1" bestFit="1" customWidth="1"/>
    <col min="14948" max="14948" width="16.44140625" style="1" bestFit="1" customWidth="1"/>
    <col min="14949" max="15106" width="8.88671875" style="1"/>
    <col min="15107" max="15107" width="18.88671875" style="1" bestFit="1" customWidth="1"/>
    <col min="15108" max="15108" width="14.88671875" style="1" customWidth="1"/>
    <col min="15109" max="15109" width="33.44140625" style="1" customWidth="1"/>
    <col min="15110" max="15110" width="31.109375" style="1" customWidth="1"/>
    <col min="15111" max="15111" width="22.5546875" style="1" bestFit="1" customWidth="1"/>
    <col min="15112" max="15112" width="20.88671875" style="1" bestFit="1" customWidth="1"/>
    <col min="15113" max="15114" width="19.33203125" style="1" bestFit="1" customWidth="1"/>
    <col min="15115" max="15115" width="20.88671875" style="1" bestFit="1" customWidth="1"/>
    <col min="15116" max="15116" width="16.33203125" style="1" bestFit="1" customWidth="1"/>
    <col min="15117" max="15118" width="19.109375" style="1" bestFit="1" customWidth="1"/>
    <col min="15119" max="15119" width="13.44140625" style="1" bestFit="1" customWidth="1"/>
    <col min="15120" max="15120" width="15.33203125" style="1" bestFit="1" customWidth="1"/>
    <col min="15121" max="15121" width="24.33203125" style="1" bestFit="1" customWidth="1"/>
    <col min="15122" max="15122" width="12.88671875" style="1" bestFit="1" customWidth="1"/>
    <col min="15123" max="15124" width="12.5546875" style="1" bestFit="1" customWidth="1"/>
    <col min="15125" max="15125" width="10.5546875" style="1" bestFit="1" customWidth="1"/>
    <col min="15126" max="15126" width="12.44140625" style="1" bestFit="1" customWidth="1"/>
    <col min="15127" max="15127" width="11.5546875" style="1" bestFit="1" customWidth="1"/>
    <col min="15128" max="15128" width="12" style="1" bestFit="1" customWidth="1"/>
    <col min="15129" max="15129" width="10.5546875" style="1" bestFit="1" customWidth="1"/>
    <col min="15130" max="15131" width="8.88671875" style="1"/>
    <col min="15132" max="15132" width="10.5546875" style="1" bestFit="1" customWidth="1"/>
    <col min="15133" max="15133" width="35" style="1" bestFit="1" customWidth="1"/>
    <col min="15134" max="15134" width="6.44140625" style="1" bestFit="1" customWidth="1"/>
    <col min="15135" max="15135" width="2.88671875" style="1" bestFit="1" customWidth="1"/>
    <col min="15136" max="15136" width="6.44140625" style="1" bestFit="1" customWidth="1"/>
    <col min="15137" max="15137" width="13.44140625" style="1" bestFit="1" customWidth="1"/>
    <col min="15138" max="15138" width="12.88671875" style="1" bestFit="1" customWidth="1"/>
    <col min="15139" max="15139" width="15.109375" style="1" bestFit="1" customWidth="1"/>
    <col min="15140" max="15140" width="12.88671875" style="1" bestFit="1" customWidth="1"/>
    <col min="15141" max="15141" width="13.88671875" style="1" customWidth="1"/>
    <col min="15142" max="15142" width="14.33203125" style="1" bestFit="1" customWidth="1"/>
    <col min="15143" max="15145" width="8.88671875" style="1"/>
    <col min="15146" max="15146" width="15.5546875" style="1" bestFit="1" customWidth="1"/>
    <col min="15147" max="15149" width="8.88671875" style="1"/>
    <col min="15150" max="15150" width="13.109375" style="1" bestFit="1" customWidth="1"/>
    <col min="15151" max="15151" width="12.88671875" style="1" bestFit="1" customWidth="1"/>
    <col min="15152" max="15152" width="14" style="1" bestFit="1" customWidth="1"/>
    <col min="15153" max="15153" width="12.33203125" style="1" bestFit="1" customWidth="1"/>
    <col min="15154" max="15154" width="13.44140625" style="1" bestFit="1" customWidth="1"/>
    <col min="15155" max="15155" width="15.109375" style="1" bestFit="1" customWidth="1"/>
    <col min="15156" max="15159" width="8.88671875" style="1"/>
    <col min="15160" max="15160" width="11.5546875" style="1" customWidth="1"/>
    <col min="15161" max="15161" width="12.109375" style="1" bestFit="1" customWidth="1"/>
    <col min="15162" max="15162" width="14" style="1" bestFit="1" customWidth="1"/>
    <col min="15163" max="15163" width="19.109375" style="1" bestFit="1" customWidth="1"/>
    <col min="15164" max="15164" width="23.44140625" style="1" bestFit="1" customWidth="1"/>
    <col min="15165" max="15165" width="25.88671875" style="1" bestFit="1" customWidth="1"/>
    <col min="15166" max="15166" width="18.33203125" style="1" bestFit="1" customWidth="1"/>
    <col min="15167" max="15167" width="17.109375" style="1" bestFit="1" customWidth="1"/>
    <col min="15168" max="15168" width="13.33203125" style="1" bestFit="1" customWidth="1"/>
    <col min="15169" max="15169" width="8.88671875" style="1"/>
    <col min="15170" max="15170" width="18.109375" style="1" bestFit="1" customWidth="1"/>
    <col min="15171" max="15171" width="23.44140625" style="1" bestFit="1" customWidth="1"/>
    <col min="15172" max="15175" width="8.88671875" style="1"/>
    <col min="15176" max="15176" width="14.88671875" style="1" bestFit="1" customWidth="1"/>
    <col min="15177" max="15177" width="18.109375" style="1" bestFit="1" customWidth="1"/>
    <col min="15178" max="15178" width="23.44140625" style="1" bestFit="1" customWidth="1"/>
    <col min="15179" max="15182" width="8.88671875" style="1"/>
    <col min="15183" max="15183" width="11" style="1" bestFit="1" customWidth="1"/>
    <col min="15184" max="15184" width="15.44140625" style="1" bestFit="1" customWidth="1"/>
    <col min="15185" max="15185" width="23.44140625" style="1" bestFit="1" customWidth="1"/>
    <col min="15186" max="15188" width="8.88671875" style="1"/>
    <col min="15189" max="15189" width="5.109375" style="1" customWidth="1"/>
    <col min="15190" max="15190" width="8.88671875" style="1"/>
    <col min="15191" max="15191" width="26" style="1" bestFit="1" customWidth="1"/>
    <col min="15192" max="15192" width="71" style="1" bestFit="1" customWidth="1"/>
    <col min="15193" max="15193" width="17.5546875" style="1" bestFit="1" customWidth="1"/>
    <col min="15194" max="15194" width="27.33203125" style="1" bestFit="1" customWidth="1"/>
    <col min="15195" max="15195" width="17.33203125" style="1" bestFit="1" customWidth="1"/>
    <col min="15196" max="15197" width="8.88671875" style="1"/>
    <col min="15198" max="15198" width="5.6640625" style="1" bestFit="1" customWidth="1"/>
    <col min="15199" max="15199" width="15.44140625" style="1" bestFit="1" customWidth="1"/>
    <col min="15200" max="15200" width="22" style="1" bestFit="1" customWidth="1"/>
    <col min="15201" max="15201" width="71" style="1" bestFit="1" customWidth="1"/>
    <col min="15202" max="15202" width="18.5546875" style="1" bestFit="1" customWidth="1"/>
    <col min="15203" max="15203" width="27.33203125" style="1" bestFit="1" customWidth="1"/>
    <col min="15204" max="15204" width="16.44140625" style="1" bestFit="1" customWidth="1"/>
    <col min="15205" max="15362" width="8.88671875" style="1"/>
    <col min="15363" max="15363" width="18.88671875" style="1" bestFit="1" customWidth="1"/>
    <col min="15364" max="15364" width="14.88671875" style="1" customWidth="1"/>
    <col min="15365" max="15365" width="33.44140625" style="1" customWidth="1"/>
    <col min="15366" max="15366" width="31.109375" style="1" customWidth="1"/>
    <col min="15367" max="15367" width="22.5546875" style="1" bestFit="1" customWidth="1"/>
    <col min="15368" max="15368" width="20.88671875" style="1" bestFit="1" customWidth="1"/>
    <col min="15369" max="15370" width="19.33203125" style="1" bestFit="1" customWidth="1"/>
    <col min="15371" max="15371" width="20.88671875" style="1" bestFit="1" customWidth="1"/>
    <col min="15372" max="15372" width="16.33203125" style="1" bestFit="1" customWidth="1"/>
    <col min="15373" max="15374" width="19.109375" style="1" bestFit="1" customWidth="1"/>
    <col min="15375" max="15375" width="13.44140625" style="1" bestFit="1" customWidth="1"/>
    <col min="15376" max="15376" width="15.33203125" style="1" bestFit="1" customWidth="1"/>
    <col min="15377" max="15377" width="24.33203125" style="1" bestFit="1" customWidth="1"/>
    <col min="15378" max="15378" width="12.88671875" style="1" bestFit="1" customWidth="1"/>
    <col min="15379" max="15380" width="12.5546875" style="1" bestFit="1" customWidth="1"/>
    <col min="15381" max="15381" width="10.5546875" style="1" bestFit="1" customWidth="1"/>
    <col min="15382" max="15382" width="12.44140625" style="1" bestFit="1" customWidth="1"/>
    <col min="15383" max="15383" width="11.5546875" style="1" bestFit="1" customWidth="1"/>
    <col min="15384" max="15384" width="12" style="1" bestFit="1" customWidth="1"/>
    <col min="15385" max="15385" width="10.5546875" style="1" bestFit="1" customWidth="1"/>
    <col min="15386" max="15387" width="8.88671875" style="1"/>
    <col min="15388" max="15388" width="10.5546875" style="1" bestFit="1" customWidth="1"/>
    <col min="15389" max="15389" width="35" style="1" bestFit="1" customWidth="1"/>
    <col min="15390" max="15390" width="6.44140625" style="1" bestFit="1" customWidth="1"/>
    <col min="15391" max="15391" width="2.88671875" style="1" bestFit="1" customWidth="1"/>
    <col min="15392" max="15392" width="6.44140625" style="1" bestFit="1" customWidth="1"/>
    <col min="15393" max="15393" width="13.44140625" style="1" bestFit="1" customWidth="1"/>
    <col min="15394" max="15394" width="12.88671875" style="1" bestFit="1" customWidth="1"/>
    <col min="15395" max="15395" width="15.109375" style="1" bestFit="1" customWidth="1"/>
    <col min="15396" max="15396" width="12.88671875" style="1" bestFit="1" customWidth="1"/>
    <col min="15397" max="15397" width="13.88671875" style="1" customWidth="1"/>
    <col min="15398" max="15398" width="14.33203125" style="1" bestFit="1" customWidth="1"/>
    <col min="15399" max="15401" width="8.88671875" style="1"/>
    <col min="15402" max="15402" width="15.5546875" style="1" bestFit="1" customWidth="1"/>
    <col min="15403" max="15405" width="8.88671875" style="1"/>
    <col min="15406" max="15406" width="13.109375" style="1" bestFit="1" customWidth="1"/>
    <col min="15407" max="15407" width="12.88671875" style="1" bestFit="1" customWidth="1"/>
    <col min="15408" max="15408" width="14" style="1" bestFit="1" customWidth="1"/>
    <col min="15409" max="15409" width="12.33203125" style="1" bestFit="1" customWidth="1"/>
    <col min="15410" max="15410" width="13.44140625" style="1" bestFit="1" customWidth="1"/>
    <col min="15411" max="15411" width="15.109375" style="1" bestFit="1" customWidth="1"/>
    <col min="15412" max="15415" width="8.88671875" style="1"/>
    <col min="15416" max="15416" width="11.5546875" style="1" customWidth="1"/>
    <col min="15417" max="15417" width="12.109375" style="1" bestFit="1" customWidth="1"/>
    <col min="15418" max="15418" width="14" style="1" bestFit="1" customWidth="1"/>
    <col min="15419" max="15419" width="19.109375" style="1" bestFit="1" customWidth="1"/>
    <col min="15420" max="15420" width="23.44140625" style="1" bestFit="1" customWidth="1"/>
    <col min="15421" max="15421" width="25.88671875" style="1" bestFit="1" customWidth="1"/>
    <col min="15422" max="15422" width="18.33203125" style="1" bestFit="1" customWidth="1"/>
    <col min="15423" max="15423" width="17.109375" style="1" bestFit="1" customWidth="1"/>
    <col min="15424" max="15424" width="13.33203125" style="1" bestFit="1" customWidth="1"/>
    <col min="15425" max="15425" width="8.88671875" style="1"/>
    <col min="15426" max="15426" width="18.109375" style="1" bestFit="1" customWidth="1"/>
    <col min="15427" max="15427" width="23.44140625" style="1" bestFit="1" customWidth="1"/>
    <col min="15428" max="15431" width="8.88671875" style="1"/>
    <col min="15432" max="15432" width="14.88671875" style="1" bestFit="1" customWidth="1"/>
    <col min="15433" max="15433" width="18.109375" style="1" bestFit="1" customWidth="1"/>
    <col min="15434" max="15434" width="23.44140625" style="1" bestFit="1" customWidth="1"/>
    <col min="15435" max="15438" width="8.88671875" style="1"/>
    <col min="15439" max="15439" width="11" style="1" bestFit="1" customWidth="1"/>
    <col min="15440" max="15440" width="15.44140625" style="1" bestFit="1" customWidth="1"/>
    <col min="15441" max="15441" width="23.44140625" style="1" bestFit="1" customWidth="1"/>
    <col min="15442" max="15444" width="8.88671875" style="1"/>
    <col min="15445" max="15445" width="5.109375" style="1" customWidth="1"/>
    <col min="15446" max="15446" width="8.88671875" style="1"/>
    <col min="15447" max="15447" width="26" style="1" bestFit="1" customWidth="1"/>
    <col min="15448" max="15448" width="71" style="1" bestFit="1" customWidth="1"/>
    <col min="15449" max="15449" width="17.5546875" style="1" bestFit="1" customWidth="1"/>
    <col min="15450" max="15450" width="27.33203125" style="1" bestFit="1" customWidth="1"/>
    <col min="15451" max="15451" width="17.33203125" style="1" bestFit="1" customWidth="1"/>
    <col min="15452" max="15453" width="8.88671875" style="1"/>
    <col min="15454" max="15454" width="5.6640625" style="1" bestFit="1" customWidth="1"/>
    <col min="15455" max="15455" width="15.44140625" style="1" bestFit="1" customWidth="1"/>
    <col min="15456" max="15456" width="22" style="1" bestFit="1" customWidth="1"/>
    <col min="15457" max="15457" width="71" style="1" bestFit="1" customWidth="1"/>
    <col min="15458" max="15458" width="18.5546875" style="1" bestFit="1" customWidth="1"/>
    <col min="15459" max="15459" width="27.33203125" style="1" bestFit="1" customWidth="1"/>
    <col min="15460" max="15460" width="16.44140625" style="1" bestFit="1" customWidth="1"/>
    <col min="15461" max="15618" width="8.88671875" style="1"/>
    <col min="15619" max="15619" width="18.88671875" style="1" bestFit="1" customWidth="1"/>
    <col min="15620" max="15620" width="14.88671875" style="1" customWidth="1"/>
    <col min="15621" max="15621" width="33.44140625" style="1" customWidth="1"/>
    <col min="15622" max="15622" width="31.109375" style="1" customWidth="1"/>
    <col min="15623" max="15623" width="22.5546875" style="1" bestFit="1" customWidth="1"/>
    <col min="15624" max="15624" width="20.88671875" style="1" bestFit="1" customWidth="1"/>
    <col min="15625" max="15626" width="19.33203125" style="1" bestFit="1" customWidth="1"/>
    <col min="15627" max="15627" width="20.88671875" style="1" bestFit="1" customWidth="1"/>
    <col min="15628" max="15628" width="16.33203125" style="1" bestFit="1" customWidth="1"/>
    <col min="15629" max="15630" width="19.109375" style="1" bestFit="1" customWidth="1"/>
    <col min="15631" max="15631" width="13.44140625" style="1" bestFit="1" customWidth="1"/>
    <col min="15632" max="15632" width="15.33203125" style="1" bestFit="1" customWidth="1"/>
    <col min="15633" max="15633" width="24.33203125" style="1" bestFit="1" customWidth="1"/>
    <col min="15634" max="15634" width="12.88671875" style="1" bestFit="1" customWidth="1"/>
    <col min="15635" max="15636" width="12.5546875" style="1" bestFit="1" customWidth="1"/>
    <col min="15637" max="15637" width="10.5546875" style="1" bestFit="1" customWidth="1"/>
    <col min="15638" max="15638" width="12.44140625" style="1" bestFit="1" customWidth="1"/>
    <col min="15639" max="15639" width="11.5546875" style="1" bestFit="1" customWidth="1"/>
    <col min="15640" max="15640" width="12" style="1" bestFit="1" customWidth="1"/>
    <col min="15641" max="15641" width="10.5546875" style="1" bestFit="1" customWidth="1"/>
    <col min="15642" max="15643" width="8.88671875" style="1"/>
    <col min="15644" max="15644" width="10.5546875" style="1" bestFit="1" customWidth="1"/>
    <col min="15645" max="15645" width="35" style="1" bestFit="1" customWidth="1"/>
    <col min="15646" max="15646" width="6.44140625" style="1" bestFit="1" customWidth="1"/>
    <col min="15647" max="15647" width="2.88671875" style="1" bestFit="1" customWidth="1"/>
    <col min="15648" max="15648" width="6.44140625" style="1" bestFit="1" customWidth="1"/>
    <col min="15649" max="15649" width="13.44140625" style="1" bestFit="1" customWidth="1"/>
    <col min="15650" max="15650" width="12.88671875" style="1" bestFit="1" customWidth="1"/>
    <col min="15651" max="15651" width="15.109375" style="1" bestFit="1" customWidth="1"/>
    <col min="15652" max="15652" width="12.88671875" style="1" bestFit="1" customWidth="1"/>
    <col min="15653" max="15653" width="13.88671875" style="1" customWidth="1"/>
    <col min="15654" max="15654" width="14.33203125" style="1" bestFit="1" customWidth="1"/>
    <col min="15655" max="15657" width="8.88671875" style="1"/>
    <col min="15658" max="15658" width="15.5546875" style="1" bestFit="1" customWidth="1"/>
    <col min="15659" max="15661" width="8.88671875" style="1"/>
    <col min="15662" max="15662" width="13.109375" style="1" bestFit="1" customWidth="1"/>
    <col min="15663" max="15663" width="12.88671875" style="1" bestFit="1" customWidth="1"/>
    <col min="15664" max="15664" width="14" style="1" bestFit="1" customWidth="1"/>
    <col min="15665" max="15665" width="12.33203125" style="1" bestFit="1" customWidth="1"/>
    <col min="15666" max="15666" width="13.44140625" style="1" bestFit="1" customWidth="1"/>
    <col min="15667" max="15667" width="15.109375" style="1" bestFit="1" customWidth="1"/>
    <col min="15668" max="15671" width="8.88671875" style="1"/>
    <col min="15672" max="15672" width="11.5546875" style="1" customWidth="1"/>
    <col min="15673" max="15673" width="12.109375" style="1" bestFit="1" customWidth="1"/>
    <col min="15674" max="15674" width="14" style="1" bestFit="1" customWidth="1"/>
    <col min="15675" max="15675" width="19.109375" style="1" bestFit="1" customWidth="1"/>
    <col min="15676" max="15676" width="23.44140625" style="1" bestFit="1" customWidth="1"/>
    <col min="15677" max="15677" width="25.88671875" style="1" bestFit="1" customWidth="1"/>
    <col min="15678" max="15678" width="18.33203125" style="1" bestFit="1" customWidth="1"/>
    <col min="15679" max="15679" width="17.109375" style="1" bestFit="1" customWidth="1"/>
    <col min="15680" max="15680" width="13.33203125" style="1" bestFit="1" customWidth="1"/>
    <col min="15681" max="15681" width="8.88671875" style="1"/>
    <col min="15682" max="15682" width="18.109375" style="1" bestFit="1" customWidth="1"/>
    <col min="15683" max="15683" width="23.44140625" style="1" bestFit="1" customWidth="1"/>
    <col min="15684" max="15687" width="8.88671875" style="1"/>
    <col min="15688" max="15688" width="14.88671875" style="1" bestFit="1" customWidth="1"/>
    <col min="15689" max="15689" width="18.109375" style="1" bestFit="1" customWidth="1"/>
    <col min="15690" max="15690" width="23.44140625" style="1" bestFit="1" customWidth="1"/>
    <col min="15691" max="15694" width="8.88671875" style="1"/>
    <col min="15695" max="15695" width="11" style="1" bestFit="1" customWidth="1"/>
    <col min="15696" max="15696" width="15.44140625" style="1" bestFit="1" customWidth="1"/>
    <col min="15697" max="15697" width="23.44140625" style="1" bestFit="1" customWidth="1"/>
    <col min="15698" max="15700" width="8.88671875" style="1"/>
    <col min="15701" max="15701" width="5.109375" style="1" customWidth="1"/>
    <col min="15702" max="15702" width="8.88671875" style="1"/>
    <col min="15703" max="15703" width="26" style="1" bestFit="1" customWidth="1"/>
    <col min="15704" max="15704" width="71" style="1" bestFit="1" customWidth="1"/>
    <col min="15705" max="15705" width="17.5546875" style="1" bestFit="1" customWidth="1"/>
    <col min="15706" max="15706" width="27.33203125" style="1" bestFit="1" customWidth="1"/>
    <col min="15707" max="15707" width="17.33203125" style="1" bestFit="1" customWidth="1"/>
    <col min="15708" max="15709" width="8.88671875" style="1"/>
    <col min="15710" max="15710" width="5.6640625" style="1" bestFit="1" customWidth="1"/>
    <col min="15711" max="15711" width="15.44140625" style="1" bestFit="1" customWidth="1"/>
    <col min="15712" max="15712" width="22" style="1" bestFit="1" customWidth="1"/>
    <col min="15713" max="15713" width="71" style="1" bestFit="1" customWidth="1"/>
    <col min="15714" max="15714" width="18.5546875" style="1" bestFit="1" customWidth="1"/>
    <col min="15715" max="15715" width="27.33203125" style="1" bestFit="1" customWidth="1"/>
    <col min="15716" max="15716" width="16.44140625" style="1" bestFit="1" customWidth="1"/>
    <col min="15717" max="15874" width="8.88671875" style="1"/>
    <col min="15875" max="15875" width="18.88671875" style="1" bestFit="1" customWidth="1"/>
    <col min="15876" max="15876" width="14.88671875" style="1" customWidth="1"/>
    <col min="15877" max="15877" width="33.44140625" style="1" customWidth="1"/>
    <col min="15878" max="15878" width="31.109375" style="1" customWidth="1"/>
    <col min="15879" max="15879" width="22.5546875" style="1" bestFit="1" customWidth="1"/>
    <col min="15880" max="15880" width="20.88671875" style="1" bestFit="1" customWidth="1"/>
    <col min="15881" max="15882" width="19.33203125" style="1" bestFit="1" customWidth="1"/>
    <col min="15883" max="15883" width="20.88671875" style="1" bestFit="1" customWidth="1"/>
    <col min="15884" max="15884" width="16.33203125" style="1" bestFit="1" customWidth="1"/>
    <col min="15885" max="15886" width="19.109375" style="1" bestFit="1" customWidth="1"/>
    <col min="15887" max="15887" width="13.44140625" style="1" bestFit="1" customWidth="1"/>
    <col min="15888" max="15888" width="15.33203125" style="1" bestFit="1" customWidth="1"/>
    <col min="15889" max="15889" width="24.33203125" style="1" bestFit="1" customWidth="1"/>
    <col min="15890" max="15890" width="12.88671875" style="1" bestFit="1" customWidth="1"/>
    <col min="15891" max="15892" width="12.5546875" style="1" bestFit="1" customWidth="1"/>
    <col min="15893" max="15893" width="10.5546875" style="1" bestFit="1" customWidth="1"/>
    <col min="15894" max="15894" width="12.44140625" style="1" bestFit="1" customWidth="1"/>
    <col min="15895" max="15895" width="11.5546875" style="1" bestFit="1" customWidth="1"/>
    <col min="15896" max="15896" width="12" style="1" bestFit="1" customWidth="1"/>
    <col min="15897" max="15897" width="10.5546875" style="1" bestFit="1" customWidth="1"/>
    <col min="15898" max="15899" width="8.88671875" style="1"/>
    <col min="15900" max="15900" width="10.5546875" style="1" bestFit="1" customWidth="1"/>
    <col min="15901" max="15901" width="35" style="1" bestFit="1" customWidth="1"/>
    <col min="15902" max="15902" width="6.44140625" style="1" bestFit="1" customWidth="1"/>
    <col min="15903" max="15903" width="2.88671875" style="1" bestFit="1" customWidth="1"/>
    <col min="15904" max="15904" width="6.44140625" style="1" bestFit="1" customWidth="1"/>
    <col min="15905" max="15905" width="13.44140625" style="1" bestFit="1" customWidth="1"/>
    <col min="15906" max="15906" width="12.88671875" style="1" bestFit="1" customWidth="1"/>
    <col min="15907" max="15907" width="15.109375" style="1" bestFit="1" customWidth="1"/>
    <col min="15908" max="15908" width="12.88671875" style="1" bestFit="1" customWidth="1"/>
    <col min="15909" max="15909" width="13.88671875" style="1" customWidth="1"/>
    <col min="15910" max="15910" width="14.33203125" style="1" bestFit="1" customWidth="1"/>
    <col min="15911" max="15913" width="8.88671875" style="1"/>
    <col min="15914" max="15914" width="15.5546875" style="1" bestFit="1" customWidth="1"/>
    <col min="15915" max="15917" width="8.88671875" style="1"/>
    <col min="15918" max="15918" width="13.109375" style="1" bestFit="1" customWidth="1"/>
    <col min="15919" max="15919" width="12.88671875" style="1" bestFit="1" customWidth="1"/>
    <col min="15920" max="15920" width="14" style="1" bestFit="1" customWidth="1"/>
    <col min="15921" max="15921" width="12.33203125" style="1" bestFit="1" customWidth="1"/>
    <col min="15922" max="15922" width="13.44140625" style="1" bestFit="1" customWidth="1"/>
    <col min="15923" max="15923" width="15.109375" style="1" bestFit="1" customWidth="1"/>
    <col min="15924" max="15927" width="8.88671875" style="1"/>
    <col min="15928" max="15928" width="11.5546875" style="1" customWidth="1"/>
    <col min="15929" max="15929" width="12.109375" style="1" bestFit="1" customWidth="1"/>
    <col min="15930" max="15930" width="14" style="1" bestFit="1" customWidth="1"/>
    <col min="15931" max="15931" width="19.109375" style="1" bestFit="1" customWidth="1"/>
    <col min="15932" max="15932" width="23.44140625" style="1" bestFit="1" customWidth="1"/>
    <col min="15933" max="15933" width="25.88671875" style="1" bestFit="1" customWidth="1"/>
    <col min="15934" max="15934" width="18.33203125" style="1" bestFit="1" customWidth="1"/>
    <col min="15935" max="15935" width="17.109375" style="1" bestFit="1" customWidth="1"/>
    <col min="15936" max="15936" width="13.33203125" style="1" bestFit="1" customWidth="1"/>
    <col min="15937" max="15937" width="8.88671875" style="1"/>
    <col min="15938" max="15938" width="18.109375" style="1" bestFit="1" customWidth="1"/>
    <col min="15939" max="15939" width="23.44140625" style="1" bestFit="1" customWidth="1"/>
    <col min="15940" max="15943" width="8.88671875" style="1"/>
    <col min="15944" max="15944" width="14.88671875" style="1" bestFit="1" customWidth="1"/>
    <col min="15945" max="15945" width="18.109375" style="1" bestFit="1" customWidth="1"/>
    <col min="15946" max="15946" width="23.44140625" style="1" bestFit="1" customWidth="1"/>
    <col min="15947" max="15950" width="8.88671875" style="1"/>
    <col min="15951" max="15951" width="11" style="1" bestFit="1" customWidth="1"/>
    <col min="15952" max="15952" width="15.44140625" style="1" bestFit="1" customWidth="1"/>
    <col min="15953" max="15953" width="23.44140625" style="1" bestFit="1" customWidth="1"/>
    <col min="15954" max="15956" width="8.88671875" style="1"/>
    <col min="15957" max="15957" width="5.109375" style="1" customWidth="1"/>
    <col min="15958" max="15958" width="8.88671875" style="1"/>
    <col min="15959" max="15959" width="26" style="1" bestFit="1" customWidth="1"/>
    <col min="15960" max="15960" width="71" style="1" bestFit="1" customWidth="1"/>
    <col min="15961" max="15961" width="17.5546875" style="1" bestFit="1" customWidth="1"/>
    <col min="15962" max="15962" width="27.33203125" style="1" bestFit="1" customWidth="1"/>
    <col min="15963" max="15963" width="17.33203125" style="1" bestFit="1" customWidth="1"/>
    <col min="15964" max="15965" width="8.88671875" style="1"/>
    <col min="15966" max="15966" width="5.6640625" style="1" bestFit="1" customWidth="1"/>
    <col min="15967" max="15967" width="15.44140625" style="1" bestFit="1" customWidth="1"/>
    <col min="15968" max="15968" width="22" style="1" bestFit="1" customWidth="1"/>
    <col min="15969" max="15969" width="71" style="1" bestFit="1" customWidth="1"/>
    <col min="15970" max="15970" width="18.5546875" style="1" bestFit="1" customWidth="1"/>
    <col min="15971" max="15971" width="27.33203125" style="1" bestFit="1" customWidth="1"/>
    <col min="15972" max="15972" width="16.44140625" style="1" bestFit="1" customWidth="1"/>
    <col min="15973" max="16130" width="8.88671875" style="1"/>
    <col min="16131" max="16131" width="18.88671875" style="1" bestFit="1" customWidth="1"/>
    <col min="16132" max="16132" width="14.88671875" style="1" customWidth="1"/>
    <col min="16133" max="16133" width="33.44140625" style="1" customWidth="1"/>
    <col min="16134" max="16134" width="31.109375" style="1" customWidth="1"/>
    <col min="16135" max="16135" width="22.5546875" style="1" bestFit="1" customWidth="1"/>
    <col min="16136" max="16136" width="20.88671875" style="1" bestFit="1" customWidth="1"/>
    <col min="16137" max="16138" width="19.33203125" style="1" bestFit="1" customWidth="1"/>
    <col min="16139" max="16139" width="20.88671875" style="1" bestFit="1" customWidth="1"/>
    <col min="16140" max="16140" width="16.33203125" style="1" bestFit="1" customWidth="1"/>
    <col min="16141" max="16142" width="19.109375" style="1" bestFit="1" customWidth="1"/>
    <col min="16143" max="16143" width="13.44140625" style="1" bestFit="1" customWidth="1"/>
    <col min="16144" max="16144" width="15.33203125" style="1" bestFit="1" customWidth="1"/>
    <col min="16145" max="16145" width="24.33203125" style="1" bestFit="1" customWidth="1"/>
    <col min="16146" max="16146" width="12.88671875" style="1" bestFit="1" customWidth="1"/>
    <col min="16147" max="16148" width="12.5546875" style="1" bestFit="1" customWidth="1"/>
    <col min="16149" max="16149" width="10.5546875" style="1" bestFit="1" customWidth="1"/>
    <col min="16150" max="16150" width="12.44140625" style="1" bestFit="1" customWidth="1"/>
    <col min="16151" max="16151" width="11.5546875" style="1" bestFit="1" customWidth="1"/>
    <col min="16152" max="16152" width="12" style="1" bestFit="1" customWidth="1"/>
    <col min="16153" max="16153" width="10.5546875" style="1" bestFit="1" customWidth="1"/>
    <col min="16154" max="16155" width="8.88671875" style="1"/>
    <col min="16156" max="16156" width="10.5546875" style="1" bestFit="1" customWidth="1"/>
    <col min="16157" max="16157" width="35" style="1" bestFit="1" customWidth="1"/>
    <col min="16158" max="16158" width="6.44140625" style="1" bestFit="1" customWidth="1"/>
    <col min="16159" max="16159" width="2.88671875" style="1" bestFit="1" customWidth="1"/>
    <col min="16160" max="16160" width="6.44140625" style="1" bestFit="1" customWidth="1"/>
    <col min="16161" max="16161" width="13.44140625" style="1" bestFit="1" customWidth="1"/>
    <col min="16162" max="16162" width="12.88671875" style="1" bestFit="1" customWidth="1"/>
    <col min="16163" max="16163" width="15.109375" style="1" bestFit="1" customWidth="1"/>
    <col min="16164" max="16164" width="12.88671875" style="1" bestFit="1" customWidth="1"/>
    <col min="16165" max="16165" width="13.88671875" style="1" customWidth="1"/>
    <col min="16166" max="16166" width="14.33203125" style="1" bestFit="1" customWidth="1"/>
    <col min="16167" max="16169" width="8.88671875" style="1"/>
    <col min="16170" max="16170" width="15.5546875" style="1" bestFit="1" customWidth="1"/>
    <col min="16171" max="16173" width="8.88671875" style="1"/>
    <col min="16174" max="16174" width="13.109375" style="1" bestFit="1" customWidth="1"/>
    <col min="16175" max="16175" width="12.88671875" style="1" bestFit="1" customWidth="1"/>
    <col min="16176" max="16176" width="14" style="1" bestFit="1" customWidth="1"/>
    <col min="16177" max="16177" width="12.33203125" style="1" bestFit="1" customWidth="1"/>
    <col min="16178" max="16178" width="13.44140625" style="1" bestFit="1" customWidth="1"/>
    <col min="16179" max="16179" width="15.109375" style="1" bestFit="1" customWidth="1"/>
    <col min="16180" max="16183" width="8.88671875" style="1"/>
    <col min="16184" max="16184" width="11.5546875" style="1" customWidth="1"/>
    <col min="16185" max="16185" width="12.109375" style="1" bestFit="1" customWidth="1"/>
    <col min="16186" max="16186" width="14" style="1" bestFit="1" customWidth="1"/>
    <col min="16187" max="16187" width="19.109375" style="1" bestFit="1" customWidth="1"/>
    <col min="16188" max="16188" width="23.44140625" style="1" bestFit="1" customWidth="1"/>
    <col min="16189" max="16189" width="25.88671875" style="1" bestFit="1" customWidth="1"/>
    <col min="16190" max="16190" width="18.33203125" style="1" bestFit="1" customWidth="1"/>
    <col min="16191" max="16191" width="17.109375" style="1" bestFit="1" customWidth="1"/>
    <col min="16192" max="16192" width="13.33203125" style="1" bestFit="1" customWidth="1"/>
    <col min="16193" max="16193" width="8.88671875" style="1"/>
    <col min="16194" max="16194" width="18.109375" style="1" bestFit="1" customWidth="1"/>
    <col min="16195" max="16195" width="23.44140625" style="1" bestFit="1" customWidth="1"/>
    <col min="16196" max="16199" width="8.88671875" style="1"/>
    <col min="16200" max="16200" width="14.88671875" style="1" bestFit="1" customWidth="1"/>
    <col min="16201" max="16201" width="18.109375" style="1" bestFit="1" customWidth="1"/>
    <col min="16202" max="16202" width="23.44140625" style="1" bestFit="1" customWidth="1"/>
    <col min="16203" max="16206" width="8.88671875" style="1"/>
    <col min="16207" max="16207" width="11" style="1" bestFit="1" customWidth="1"/>
    <col min="16208" max="16208" width="15.44140625" style="1" bestFit="1" customWidth="1"/>
    <col min="16209" max="16209" width="23.44140625" style="1" bestFit="1" customWidth="1"/>
    <col min="16210" max="16212" width="8.88671875" style="1"/>
    <col min="16213" max="16213" width="5.109375" style="1" customWidth="1"/>
    <col min="16214" max="16214" width="8.88671875" style="1"/>
    <col min="16215" max="16215" width="26" style="1" bestFit="1" customWidth="1"/>
    <col min="16216" max="16216" width="71" style="1" bestFit="1" customWidth="1"/>
    <col min="16217" max="16217" width="17.5546875" style="1" bestFit="1" customWidth="1"/>
    <col min="16218" max="16218" width="27.33203125" style="1" bestFit="1" customWidth="1"/>
    <col min="16219" max="16219" width="17.33203125" style="1" bestFit="1" customWidth="1"/>
    <col min="16220" max="16221" width="8.88671875" style="1"/>
    <col min="16222" max="16222" width="5.6640625" style="1" bestFit="1" customWidth="1"/>
    <col min="16223" max="16223" width="15.44140625" style="1" bestFit="1" customWidth="1"/>
    <col min="16224" max="16224" width="22" style="1" bestFit="1" customWidth="1"/>
    <col min="16225" max="16225" width="71" style="1" bestFit="1" customWidth="1"/>
    <col min="16226" max="16226" width="18.5546875" style="1" bestFit="1" customWidth="1"/>
    <col min="16227" max="16227" width="27.33203125" style="1" bestFit="1" customWidth="1"/>
    <col min="16228" max="16228" width="16.44140625" style="1" bestFit="1" customWidth="1"/>
    <col min="16229" max="16384" width="8.88671875" style="1"/>
  </cols>
  <sheetData>
    <row r="1" spans="1:138" ht="15" thickBot="1">
      <c r="BA1" s="2" t="s">
        <v>0</v>
      </c>
      <c r="BB1" s="3"/>
      <c r="BC1" s="3"/>
      <c r="BD1" s="3"/>
      <c r="BE1" s="3"/>
      <c r="BF1" s="3"/>
      <c r="BG1" s="3"/>
      <c r="BH1" s="3"/>
      <c r="BI1" s="4"/>
      <c r="BJ1" s="5"/>
      <c r="BK1" s="6"/>
      <c r="BL1" s="6"/>
      <c r="BM1" s="6"/>
    </row>
    <row r="2" spans="1:138" ht="21.6" thickBot="1">
      <c r="BA2" s="7" t="s">
        <v>1</v>
      </c>
      <c r="BB2" s="8"/>
      <c r="BC2" s="2" t="s">
        <v>2</v>
      </c>
      <c r="BD2" s="3"/>
      <c r="BE2" s="3"/>
      <c r="BF2" s="3"/>
      <c r="BG2" s="3"/>
      <c r="BH2" s="3"/>
      <c r="BI2" s="4"/>
      <c r="BJ2" s="9" t="s">
        <v>3</v>
      </c>
      <c r="BK2" s="10"/>
      <c r="BL2" s="10"/>
      <c r="BM2" s="10"/>
      <c r="BN2" s="10"/>
      <c r="BQ2" s="10" t="s">
        <v>4</v>
      </c>
      <c r="BR2" s="10"/>
      <c r="BS2" s="10"/>
      <c r="BT2" s="10"/>
      <c r="BU2" s="10"/>
      <c r="BX2" s="10" t="s">
        <v>5</v>
      </c>
      <c r="BY2" s="10"/>
      <c r="BZ2" s="10"/>
      <c r="CA2" s="10"/>
      <c r="CB2" s="10"/>
      <c r="CC2" s="10"/>
      <c r="CD2" s="10"/>
      <c r="CG2" s="11" t="s">
        <v>6</v>
      </c>
      <c r="CH2" s="11"/>
      <c r="CI2" s="11"/>
      <c r="CJ2" s="11"/>
      <c r="CK2" s="11"/>
      <c r="CL2" s="11"/>
      <c r="CM2" s="12"/>
      <c r="CN2" s="12"/>
      <c r="CO2" s="12"/>
      <c r="CP2" s="11" t="s">
        <v>7</v>
      </c>
      <c r="CQ2" s="11"/>
      <c r="CR2" s="11"/>
      <c r="CS2" s="11"/>
      <c r="CT2" s="11"/>
      <c r="CU2" s="11"/>
      <c r="CV2" s="11"/>
      <c r="DE2" s="13" t="s">
        <v>8</v>
      </c>
      <c r="DF2" s="13"/>
      <c r="DG2" s="13"/>
      <c r="DH2" s="13"/>
      <c r="DI2" s="13"/>
      <c r="DJ2" s="13"/>
    </row>
    <row r="3" spans="1:138" ht="21.6" thickBot="1">
      <c r="Z3" s="14"/>
      <c r="AA3" s="15" t="s">
        <v>9</v>
      </c>
      <c r="AB3" s="16" t="s">
        <v>10</v>
      </c>
      <c r="AC3" s="17"/>
      <c r="AD3" s="18"/>
      <c r="AE3" s="19" t="s">
        <v>11</v>
      </c>
      <c r="AF3" s="20" t="s">
        <v>12</v>
      </c>
      <c r="AG3" s="15" t="s">
        <v>13</v>
      </c>
      <c r="AH3" s="19" t="s">
        <v>14</v>
      </c>
      <c r="AI3" s="21" t="s">
        <v>15</v>
      </c>
      <c r="AJ3" s="22" t="s">
        <v>16</v>
      </c>
      <c r="AK3" s="22" t="s">
        <v>17</v>
      </c>
      <c r="AL3" s="23">
        <v>0.4</v>
      </c>
      <c r="AN3" s="15" t="s">
        <v>18</v>
      </c>
      <c r="AO3" s="16" t="s">
        <v>10</v>
      </c>
      <c r="AP3" s="17"/>
      <c r="AQ3" s="18"/>
      <c r="AR3" s="19" t="s">
        <v>11</v>
      </c>
      <c r="AS3" s="20" t="s">
        <v>12</v>
      </c>
      <c r="AT3" s="24" t="s">
        <v>13</v>
      </c>
      <c r="AU3" s="22" t="s">
        <v>14</v>
      </c>
      <c r="AV3" s="25" t="s">
        <v>15</v>
      </c>
      <c r="AW3" s="22" t="s">
        <v>16</v>
      </c>
      <c r="AX3" s="22" t="s">
        <v>17</v>
      </c>
      <c r="AY3" s="23">
        <v>0.7</v>
      </c>
      <c r="BA3" s="7"/>
      <c r="BB3" s="8"/>
      <c r="BC3" s="26" t="s">
        <v>19</v>
      </c>
      <c r="BD3" s="27"/>
      <c r="BE3" s="27"/>
      <c r="BF3" s="2" t="s">
        <v>20</v>
      </c>
      <c r="BG3" s="3"/>
      <c r="BH3" s="3"/>
      <c r="BI3" s="28"/>
      <c r="BJ3" s="5"/>
      <c r="BK3" s="29" t="s">
        <v>21</v>
      </c>
      <c r="BL3" s="30" t="s">
        <v>22</v>
      </c>
      <c r="BM3" s="31" t="s">
        <v>23</v>
      </c>
      <c r="BQ3" s="32" t="s">
        <v>24</v>
      </c>
      <c r="BR3" s="32"/>
      <c r="BS3" s="32"/>
      <c r="BT3" s="32"/>
      <c r="BU3" s="32"/>
      <c r="BX3" s="32" t="s">
        <v>25</v>
      </c>
      <c r="BY3" s="32"/>
      <c r="BZ3" s="32"/>
      <c r="CA3" s="32"/>
      <c r="CB3" s="32"/>
      <c r="CC3" s="32"/>
      <c r="CD3" s="32"/>
      <c r="CG3" s="33" t="s">
        <v>26</v>
      </c>
      <c r="CH3" s="33"/>
      <c r="CI3" s="33"/>
      <c r="CJ3" s="33"/>
      <c r="CK3" s="33"/>
      <c r="CL3" s="33"/>
      <c r="CM3" s="12"/>
      <c r="CN3" s="12"/>
      <c r="CO3" s="12"/>
      <c r="CP3" s="11" t="s">
        <v>27</v>
      </c>
      <c r="CQ3" s="33"/>
      <c r="CR3" s="33"/>
      <c r="CS3" s="33"/>
      <c r="CT3" s="33"/>
      <c r="CU3" s="33"/>
      <c r="CV3" s="12"/>
      <c r="DE3" s="13"/>
      <c r="DF3" s="13"/>
      <c r="DG3" s="13"/>
      <c r="DH3" s="13"/>
      <c r="DI3" s="13"/>
      <c r="DJ3" s="13"/>
    </row>
    <row r="4" spans="1:138" ht="31.8" thickBot="1">
      <c r="C4" s="34" t="s">
        <v>28</v>
      </c>
      <c r="D4" s="34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4"/>
      <c r="AA4" s="35"/>
      <c r="AB4" s="36"/>
      <c r="AC4" s="37"/>
      <c r="AD4" s="38"/>
      <c r="AE4" s="39" t="s">
        <v>22</v>
      </c>
      <c r="AF4" s="40"/>
      <c r="AG4" s="35"/>
      <c r="AH4" s="39" t="s">
        <v>29</v>
      </c>
      <c r="AI4" s="41"/>
      <c r="AJ4" s="42" t="s">
        <v>30</v>
      </c>
      <c r="AK4" s="42" t="s">
        <v>31</v>
      </c>
      <c r="AL4" s="23">
        <v>0.1</v>
      </c>
      <c r="AN4" s="35"/>
      <c r="AO4" s="36"/>
      <c r="AP4" s="37"/>
      <c r="AQ4" s="38"/>
      <c r="AR4" s="43" t="s">
        <v>22</v>
      </c>
      <c r="AS4" s="44"/>
      <c r="AT4" s="45"/>
      <c r="AU4" s="46" t="s">
        <v>29</v>
      </c>
      <c r="AV4" s="47"/>
      <c r="AW4" s="46" t="s">
        <v>30</v>
      </c>
      <c r="AX4" s="42" t="s">
        <v>31</v>
      </c>
      <c r="AY4" s="23">
        <v>0.1</v>
      </c>
      <c r="BA4" s="48" t="s">
        <v>32</v>
      </c>
      <c r="BB4" s="49" t="s">
        <v>33</v>
      </c>
      <c r="BC4" s="48" t="s">
        <v>34</v>
      </c>
      <c r="BD4" s="30" t="s">
        <v>35</v>
      </c>
      <c r="BE4" s="30" t="s">
        <v>36</v>
      </c>
      <c r="BF4" s="50" t="s">
        <v>34</v>
      </c>
      <c r="BG4" s="30" t="s">
        <v>37</v>
      </c>
      <c r="BH4" s="51" t="s">
        <v>38</v>
      </c>
      <c r="BI4" s="30" t="s">
        <v>39</v>
      </c>
      <c r="BJ4" s="52"/>
      <c r="BK4" s="53" t="s">
        <v>40</v>
      </c>
      <c r="BL4" s="54">
        <f>(1169882*15%)+1169882</f>
        <v>1345364.3</v>
      </c>
      <c r="BM4" s="55">
        <f>ROUNDUP(BL4*$BO$8,-3)</f>
        <v>1413000</v>
      </c>
      <c r="BO4" s="23">
        <v>0.4</v>
      </c>
      <c r="BQ4" s="52"/>
      <c r="BX4" s="52"/>
      <c r="CG4" s="56" t="s">
        <v>41</v>
      </c>
      <c r="CH4" s="57" t="s">
        <v>21</v>
      </c>
      <c r="CI4" s="58" t="s">
        <v>42</v>
      </c>
      <c r="CJ4" s="57" t="s">
        <v>43</v>
      </c>
      <c r="CK4" s="57" t="s">
        <v>44</v>
      </c>
      <c r="CL4" s="59" t="s">
        <v>23</v>
      </c>
      <c r="CM4" s="57" t="s">
        <v>45</v>
      </c>
      <c r="CP4" s="60"/>
      <c r="CQ4" s="56" t="s">
        <v>46</v>
      </c>
      <c r="CR4" s="57" t="s">
        <v>42</v>
      </c>
      <c r="CS4" s="57" t="s">
        <v>43</v>
      </c>
      <c r="CT4" s="59" t="s">
        <v>44</v>
      </c>
      <c r="CU4" s="59" t="s">
        <v>23</v>
      </c>
      <c r="CV4" s="60"/>
      <c r="CW4" s="23">
        <v>0.4</v>
      </c>
      <c r="CY4" s="61" t="s">
        <v>47</v>
      </c>
      <c r="DK4" s="62">
        <v>1.35</v>
      </c>
      <c r="DS4" s="63" t="s">
        <v>48</v>
      </c>
      <c r="DT4" s="63"/>
      <c r="DU4" s="63"/>
      <c r="DV4" s="63"/>
      <c r="DW4" s="1">
        <v>1.35</v>
      </c>
      <c r="DX4" s="64" t="s">
        <v>49</v>
      </c>
      <c r="DY4" s="64"/>
      <c r="DZ4" s="64"/>
      <c r="EA4" s="64"/>
      <c r="EB4" s="64"/>
      <c r="EC4" s="64"/>
      <c r="ED4" s="64"/>
      <c r="EE4" s="64"/>
      <c r="EF4" s="64"/>
      <c r="EG4" s="64"/>
      <c r="EH4" s="64"/>
    </row>
    <row r="5" spans="1:138" ht="15" thickBot="1">
      <c r="C5" s="23" t="s">
        <v>50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65" t="s">
        <v>51</v>
      </c>
      <c r="AB5" s="66" t="s">
        <v>51</v>
      </c>
      <c r="AC5" s="67" t="s">
        <v>52</v>
      </c>
      <c r="AD5" s="68" t="s">
        <v>53</v>
      </c>
      <c r="AE5" s="69">
        <f>ROUNDUP(8450,-3)</f>
        <v>9000</v>
      </c>
      <c r="AF5" s="70">
        <f>ROUNDUP(AE5*$AL$3,-3)</f>
        <v>4000</v>
      </c>
      <c r="AG5" s="70">
        <f>ROUNDUP(AE5*$AL$4,-3)</f>
        <v>1000</v>
      </c>
      <c r="AH5" s="71">
        <f>ROUNDUP(AE5*$AL$5,-3)</f>
        <v>2000</v>
      </c>
      <c r="AI5" s="72">
        <f>SUM(AE5:AH5)</f>
        <v>16000</v>
      </c>
      <c r="AJ5" s="70">
        <f>ROUNDUP(AI5*$AL$7,-3)</f>
        <v>17000</v>
      </c>
      <c r="AK5" s="73">
        <f>AJ5-AF5</f>
        <v>13000</v>
      </c>
      <c r="AL5" s="23">
        <v>0.2</v>
      </c>
      <c r="AN5" s="65" t="s">
        <v>51</v>
      </c>
      <c r="AO5" s="66" t="s">
        <v>51</v>
      </c>
      <c r="AP5" s="67" t="s">
        <v>52</v>
      </c>
      <c r="AQ5" s="68" t="s">
        <v>53</v>
      </c>
      <c r="AR5" s="74">
        <v>16900</v>
      </c>
      <c r="AS5" s="70">
        <f>ROUNDUP(AR5*$AY$3,-2)</f>
        <v>11900</v>
      </c>
      <c r="AT5" s="71">
        <f>ROUNDUP(AR5*$AY$4,-2)</f>
        <v>1700</v>
      </c>
      <c r="AU5" s="70">
        <f>ROUNDUP(AR5*$AY$5,-2)</f>
        <v>3400</v>
      </c>
      <c r="AV5" s="75">
        <f>SUM(AR5:AU5)</f>
        <v>33900</v>
      </c>
      <c r="AW5" s="70">
        <f>ROUNDUP(AV5*$AY$7,-3)</f>
        <v>36000</v>
      </c>
      <c r="AX5" s="73">
        <f>AW5-AS5</f>
        <v>24100</v>
      </c>
      <c r="AY5" s="23">
        <v>0.2</v>
      </c>
      <c r="BA5" s="76">
        <v>3</v>
      </c>
      <c r="BB5" s="77" t="s">
        <v>54</v>
      </c>
      <c r="BC5" s="76" t="s">
        <v>55</v>
      </c>
      <c r="BD5" s="78">
        <v>72100</v>
      </c>
      <c r="BE5" s="78">
        <v>80000</v>
      </c>
      <c r="BF5" s="52" t="s">
        <v>56</v>
      </c>
      <c r="BG5" s="76">
        <v>800000</v>
      </c>
      <c r="BH5" s="79">
        <f>ROUNDUP(BG5*$BJ$5,-3)</f>
        <v>960000</v>
      </c>
      <c r="BI5" s="78">
        <f>ROUNDUP((BH5/9.14),-3)</f>
        <v>106000</v>
      </c>
      <c r="BJ5" s="23">
        <v>1.2</v>
      </c>
      <c r="BK5" s="80" t="s">
        <v>57</v>
      </c>
      <c r="BL5" s="81">
        <f>(1313529*15%)+1313529</f>
        <v>1510558.35</v>
      </c>
      <c r="BM5" s="82">
        <f t="shared" ref="BM5:BM12" si="0">ROUNDUP(BL5*$BO$8,-3)</f>
        <v>1587000</v>
      </c>
      <c r="BO5" s="23">
        <v>0.1</v>
      </c>
      <c r="BQ5" s="52"/>
      <c r="BR5" s="29" t="s">
        <v>21</v>
      </c>
      <c r="BS5" s="30" t="s">
        <v>22</v>
      </c>
      <c r="BT5" s="31" t="s">
        <v>23</v>
      </c>
      <c r="BX5" s="52"/>
      <c r="BY5" s="29" t="s">
        <v>58</v>
      </c>
      <c r="BZ5" s="30" t="s">
        <v>22</v>
      </c>
      <c r="CA5" s="31" t="s">
        <v>23</v>
      </c>
      <c r="CB5" s="83"/>
      <c r="CC5" s="83"/>
      <c r="CG5" s="76">
        <v>1</v>
      </c>
      <c r="CH5" s="78" t="s">
        <v>59</v>
      </c>
      <c r="CI5" s="84" t="s">
        <v>60</v>
      </c>
      <c r="CJ5" s="85" t="s">
        <v>61</v>
      </c>
      <c r="CK5" s="86">
        <v>4402139</v>
      </c>
      <c r="CL5" s="87">
        <f>ROUNDUP(CK5*$CN$9,-3)</f>
        <v>5283000</v>
      </c>
      <c r="CM5" s="88"/>
      <c r="CN5" s="23">
        <v>0.4</v>
      </c>
      <c r="CP5" s="52"/>
      <c r="CQ5" s="76" t="s">
        <v>62</v>
      </c>
      <c r="CR5" s="85" t="s">
        <v>63</v>
      </c>
      <c r="CS5" s="85" t="s">
        <v>64</v>
      </c>
      <c r="CT5" s="89">
        <v>1931862</v>
      </c>
      <c r="CU5" s="90">
        <f>ROUNDUP(CT5*$CW$8,-3)</f>
        <v>2319000</v>
      </c>
      <c r="CW5" s="23">
        <v>0.1</v>
      </c>
      <c r="CZ5" s="91" t="s">
        <v>65</v>
      </c>
      <c r="DA5" s="92"/>
      <c r="DB5" s="93" t="s">
        <v>66</v>
      </c>
      <c r="DC5" s="94" t="s">
        <v>67</v>
      </c>
      <c r="DD5" s="94"/>
      <c r="DE5" s="94"/>
      <c r="DF5" s="94"/>
      <c r="DG5" s="94" t="s">
        <v>68</v>
      </c>
      <c r="DH5" s="94"/>
      <c r="DI5" s="94"/>
      <c r="DJ5" s="95"/>
      <c r="DK5" s="94" t="s">
        <v>69</v>
      </c>
      <c r="DL5" s="94"/>
      <c r="DM5" s="94"/>
      <c r="DN5" s="94"/>
      <c r="DO5" s="94" t="s">
        <v>70</v>
      </c>
      <c r="DP5" s="94"/>
      <c r="DQ5" s="94"/>
      <c r="DR5" s="96"/>
      <c r="DS5" s="7" t="s">
        <v>68</v>
      </c>
      <c r="DT5" s="8"/>
      <c r="DU5" s="7" t="s">
        <v>70</v>
      </c>
      <c r="DV5" s="8"/>
      <c r="DX5" s="91" t="s">
        <v>65</v>
      </c>
      <c r="DY5" s="97"/>
      <c r="DZ5" s="94" t="s">
        <v>71</v>
      </c>
      <c r="EA5" s="94"/>
      <c r="EB5" s="94"/>
      <c r="EC5" s="94" t="s">
        <v>72</v>
      </c>
      <c r="ED5" s="94"/>
      <c r="EE5" s="94"/>
      <c r="EF5" s="94" t="s">
        <v>73</v>
      </c>
      <c r="EG5" s="94"/>
      <c r="EH5" s="96"/>
    </row>
    <row r="6" spans="1:138">
      <c r="C6" s="23"/>
      <c r="D6" s="23"/>
      <c r="E6" s="23"/>
      <c r="F6" s="98" t="s">
        <v>74</v>
      </c>
      <c r="G6" s="99">
        <v>0.05</v>
      </c>
      <c r="H6" s="100"/>
      <c r="I6" s="100"/>
      <c r="J6" s="100"/>
      <c r="K6" s="100"/>
      <c r="L6" s="100"/>
      <c r="M6" s="101" t="s">
        <v>74</v>
      </c>
      <c r="N6" s="102">
        <v>0.2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 t="s">
        <v>75</v>
      </c>
      <c r="AB6" s="103" t="s">
        <v>75</v>
      </c>
      <c r="AC6" s="52" t="s">
        <v>52</v>
      </c>
      <c r="AD6" s="104" t="s">
        <v>51</v>
      </c>
      <c r="AE6" s="105">
        <v>10000</v>
      </c>
      <c r="AF6" s="106">
        <f>ROUNDUP(AE6*$AL$3,-3)</f>
        <v>4000</v>
      </c>
      <c r="AG6" s="106">
        <f>ROUNDUP(AE6*$AL$4,-3)</f>
        <v>1000</v>
      </c>
      <c r="AH6" s="107">
        <f>ROUNDUP(AE6*$AL$5,-3)</f>
        <v>2000</v>
      </c>
      <c r="AI6" s="108">
        <f>SUM(AE6:AH6)</f>
        <v>17000</v>
      </c>
      <c r="AJ6" s="106">
        <f>ROUNDUP(AI6*$AL$7,-3)</f>
        <v>18000</v>
      </c>
      <c r="AK6" s="109">
        <f t="shared" ref="AK6:AK69" si="1">AJ6-AF6</f>
        <v>14000</v>
      </c>
      <c r="AL6" s="110"/>
      <c r="AN6" s="46" t="s">
        <v>75</v>
      </c>
      <c r="AO6" s="103" t="s">
        <v>75</v>
      </c>
      <c r="AP6" s="52" t="s">
        <v>52</v>
      </c>
      <c r="AQ6" s="52" t="s">
        <v>51</v>
      </c>
      <c r="AR6" s="111">
        <v>26150</v>
      </c>
      <c r="AS6" s="112">
        <f t="shared" ref="AS6:AS69" si="2">ROUNDUP(AR6*$AY$3,-3)</f>
        <v>19000</v>
      </c>
      <c r="AT6" s="113">
        <f t="shared" ref="AT6:AT69" si="3">ROUNDUP(AR6*$AY$4,-3)</f>
        <v>3000</v>
      </c>
      <c r="AU6" s="114">
        <f t="shared" ref="AU6:AU69" si="4">ROUNDUP(AR6*$AY$5,-3)</f>
        <v>6000</v>
      </c>
      <c r="AV6" s="115">
        <f>SUM(AR6:AU6)</f>
        <v>54150</v>
      </c>
      <c r="AW6" s="114">
        <f t="shared" ref="AW6:AW69" si="5">ROUNDUP(AV6*$AY$7,-3)</f>
        <v>57000</v>
      </c>
      <c r="AX6" s="109">
        <f t="shared" ref="AX6:AX69" si="6">AW6-AS6</f>
        <v>38000</v>
      </c>
      <c r="AY6" s="110"/>
      <c r="BA6" s="76">
        <v>6</v>
      </c>
      <c r="BB6" s="77" t="s">
        <v>76</v>
      </c>
      <c r="BC6" s="76" t="str">
        <f>$BC$5</f>
        <v>1.22 x 0.914</v>
      </c>
      <c r="BD6" s="78">
        <v>108000</v>
      </c>
      <c r="BE6" s="78">
        <v>120000</v>
      </c>
      <c r="BF6" s="52" t="str">
        <f>$BF$5</f>
        <v>1.22 x 9.14</v>
      </c>
      <c r="BG6" s="76">
        <v>1200000</v>
      </c>
      <c r="BH6" s="116">
        <f t="shared" ref="BH6:BH14" si="7">ROUNDUP(BG6*$BJ$5,-3)</f>
        <v>1440000</v>
      </c>
      <c r="BI6" s="78">
        <f t="shared" ref="BI6:BI13" si="8">ROUNDUP((BH6/9.14),-3)</f>
        <v>158000</v>
      </c>
      <c r="BJ6" s="52"/>
      <c r="BK6" s="80" t="s">
        <v>77</v>
      </c>
      <c r="BL6" s="81">
        <f>(1582706*15%)+1582706</f>
        <v>1820111.9</v>
      </c>
      <c r="BM6" s="82">
        <f t="shared" si="0"/>
        <v>1912000</v>
      </c>
      <c r="BO6" s="23">
        <v>0.2</v>
      </c>
      <c r="BQ6" s="52"/>
      <c r="BR6" s="53" t="s">
        <v>78</v>
      </c>
      <c r="BS6" s="54">
        <f>(4395350*15%)+4395350</f>
        <v>5054652.5</v>
      </c>
      <c r="BT6" s="55">
        <f>ROUNDUP(BS6*$BV$10,-3)</f>
        <v>5308000</v>
      </c>
      <c r="BV6" s="23">
        <v>0.4</v>
      </c>
      <c r="BX6" s="52"/>
      <c r="BY6" s="53" t="s">
        <v>79</v>
      </c>
      <c r="BZ6" s="54">
        <f>(844800*15%)+844800</f>
        <v>971520</v>
      </c>
      <c r="CA6" s="55">
        <f>ROUNDUP(BZ6*$CE$10,-3)</f>
        <v>1263000</v>
      </c>
      <c r="CB6" s="117"/>
      <c r="CC6" s="117"/>
      <c r="CE6" s="23">
        <v>0.4</v>
      </c>
      <c r="CG6" s="76"/>
      <c r="CH6" s="78"/>
      <c r="CI6" s="118" t="s">
        <v>80</v>
      </c>
      <c r="CJ6" s="119" t="s">
        <v>81</v>
      </c>
      <c r="CK6" s="120">
        <v>7617055</v>
      </c>
      <c r="CL6" s="121">
        <f t="shared" ref="CL6:CL36" si="9">ROUNDUP(CK6*$CN$9,-3)</f>
        <v>9141000</v>
      </c>
      <c r="CM6" s="88"/>
      <c r="CN6" s="23">
        <v>0.1</v>
      </c>
      <c r="CP6" s="52"/>
      <c r="CQ6" s="76" t="s">
        <v>82</v>
      </c>
      <c r="CR6" s="119" t="s">
        <v>83</v>
      </c>
      <c r="CS6" s="119" t="s">
        <v>84</v>
      </c>
      <c r="CT6" s="122">
        <v>1550262</v>
      </c>
      <c r="CU6" s="123">
        <f t="shared" ref="CU6:CU10" si="10">ROUNDUP(CT6*$CW$8,-3)</f>
        <v>1861000</v>
      </c>
      <c r="CW6" s="23">
        <v>0.2</v>
      </c>
      <c r="CZ6" s="124" t="s">
        <v>32</v>
      </c>
      <c r="DA6" s="125" t="s">
        <v>33</v>
      </c>
      <c r="DB6" s="126"/>
      <c r="DC6" s="127" t="s">
        <v>85</v>
      </c>
      <c r="DD6" s="127"/>
      <c r="DE6" s="127" t="s">
        <v>86</v>
      </c>
      <c r="DF6" s="127"/>
      <c r="DG6" s="127" t="s">
        <v>85</v>
      </c>
      <c r="DH6" s="127"/>
      <c r="DI6" s="127" t="s">
        <v>86</v>
      </c>
      <c r="DJ6" s="128"/>
      <c r="DK6" s="127" t="s">
        <v>85</v>
      </c>
      <c r="DL6" s="127"/>
      <c r="DM6" s="127" t="s">
        <v>86</v>
      </c>
      <c r="DN6" s="127"/>
      <c r="DO6" s="127" t="s">
        <v>85</v>
      </c>
      <c r="DP6" s="127"/>
      <c r="DQ6" s="127" t="s">
        <v>86</v>
      </c>
      <c r="DR6" s="129"/>
      <c r="DS6" s="43" t="s">
        <v>85</v>
      </c>
      <c r="DT6" s="43" t="s">
        <v>87</v>
      </c>
      <c r="DU6" s="43" t="s">
        <v>85</v>
      </c>
      <c r="DV6" s="43" t="s">
        <v>87</v>
      </c>
      <c r="DX6" s="124" t="s">
        <v>88</v>
      </c>
      <c r="DY6" s="130" t="s">
        <v>32</v>
      </c>
      <c r="DZ6" s="130" t="s">
        <v>89</v>
      </c>
      <c r="EA6" s="130" t="s">
        <v>90</v>
      </c>
      <c r="EB6" s="130" t="s">
        <v>91</v>
      </c>
      <c r="EC6" s="130" t="s">
        <v>89</v>
      </c>
      <c r="ED6" s="130" t="s">
        <v>90</v>
      </c>
      <c r="EE6" s="130" t="s">
        <v>91</v>
      </c>
      <c r="EF6" s="130" t="s">
        <v>89</v>
      </c>
      <c r="EG6" s="130" t="s">
        <v>90</v>
      </c>
      <c r="EH6" s="131" t="s">
        <v>91</v>
      </c>
    </row>
    <row r="7" spans="1:138" ht="15" thickBot="1">
      <c r="C7" s="132" t="s">
        <v>92</v>
      </c>
      <c r="D7" s="132"/>
      <c r="E7" s="133" t="s">
        <v>93</v>
      </c>
      <c r="F7" s="134" t="s">
        <v>94</v>
      </c>
      <c r="G7" s="134" t="s">
        <v>95</v>
      </c>
      <c r="H7" s="134" t="s">
        <v>96</v>
      </c>
      <c r="I7" s="135" t="s">
        <v>97</v>
      </c>
      <c r="J7" s="136" t="s">
        <v>98</v>
      </c>
      <c r="K7" s="137" t="s">
        <v>99</v>
      </c>
      <c r="L7" s="137" t="s">
        <v>100</v>
      </c>
      <c r="M7" s="137" t="s">
        <v>101</v>
      </c>
      <c r="N7" s="137" t="s">
        <v>102</v>
      </c>
      <c r="O7" s="137" t="s">
        <v>103</v>
      </c>
      <c r="P7" s="137" t="s">
        <v>104</v>
      </c>
      <c r="Q7" s="137" t="s">
        <v>105</v>
      </c>
      <c r="R7" s="138" t="s">
        <v>106</v>
      </c>
      <c r="S7" s="139"/>
      <c r="T7" s="139"/>
      <c r="U7" s="139"/>
      <c r="V7" s="139"/>
      <c r="W7" s="139"/>
      <c r="X7" s="139"/>
      <c r="Y7" s="139"/>
      <c r="Z7" s="139"/>
      <c r="AA7" s="140"/>
      <c r="AB7" s="141" t="s">
        <v>75</v>
      </c>
      <c r="AC7" s="142" t="s">
        <v>52</v>
      </c>
      <c r="AD7" s="143" t="s">
        <v>53</v>
      </c>
      <c r="AE7" s="144">
        <v>10750</v>
      </c>
      <c r="AF7" s="145">
        <f t="shared" ref="AF7:AF70" si="11">ROUNDUP(AE7*$AL$3,-3)</f>
        <v>5000</v>
      </c>
      <c r="AG7" s="145">
        <f t="shared" ref="AG7:AG70" si="12">ROUNDUP(AE7*$AL$4,-3)</f>
        <v>2000</v>
      </c>
      <c r="AH7" s="146">
        <f t="shared" ref="AH7:AH70" si="13">ROUNDUP(AE7*$AL$5,-3)</f>
        <v>3000</v>
      </c>
      <c r="AI7" s="147">
        <f t="shared" ref="AI7:AI70" si="14">SUM(AE7:AH7)</f>
        <v>20750</v>
      </c>
      <c r="AJ7" s="145">
        <f t="shared" ref="AJ7:AJ70" si="15">ROUNDUP(AI7*$AL$7,-3)</f>
        <v>22000</v>
      </c>
      <c r="AK7" s="148">
        <f t="shared" si="1"/>
        <v>17000</v>
      </c>
      <c r="AL7" s="23">
        <v>1.05</v>
      </c>
      <c r="AN7" s="140"/>
      <c r="AO7" s="141" t="s">
        <v>75</v>
      </c>
      <c r="AP7" s="142" t="s">
        <v>52</v>
      </c>
      <c r="AQ7" s="142" t="s">
        <v>53</v>
      </c>
      <c r="AR7" s="149">
        <v>26150</v>
      </c>
      <c r="AS7" s="150">
        <f t="shared" si="2"/>
        <v>19000</v>
      </c>
      <c r="AT7" s="146">
        <f t="shared" si="3"/>
        <v>3000</v>
      </c>
      <c r="AU7" s="145">
        <f t="shared" si="4"/>
        <v>6000</v>
      </c>
      <c r="AV7" s="151">
        <f t="shared" ref="AV7:AV70" si="16">SUM(AR7:AU7)</f>
        <v>54150</v>
      </c>
      <c r="AW7" s="145">
        <f t="shared" si="5"/>
        <v>57000</v>
      </c>
      <c r="AX7" s="148">
        <f t="shared" si="6"/>
        <v>38000</v>
      </c>
      <c r="AY7" s="23">
        <v>1.05</v>
      </c>
      <c r="BA7" s="76">
        <v>9</v>
      </c>
      <c r="BB7" s="77" t="s">
        <v>107</v>
      </c>
      <c r="BC7" s="76" t="str">
        <f t="shared" ref="BC7:BC14" si="17">$BC$5</f>
        <v>1.22 x 0.914</v>
      </c>
      <c r="BD7" s="78">
        <v>144000</v>
      </c>
      <c r="BE7" s="78">
        <v>160000</v>
      </c>
      <c r="BF7" s="52" t="str">
        <f t="shared" ref="BF7:BF13" si="18">$BF$5</f>
        <v>1.22 x 9.14</v>
      </c>
      <c r="BG7" s="76">
        <v>1600000</v>
      </c>
      <c r="BH7" s="116">
        <f t="shared" si="7"/>
        <v>1920000</v>
      </c>
      <c r="BI7" s="78">
        <f t="shared" si="8"/>
        <v>211000</v>
      </c>
      <c r="BJ7" s="52"/>
      <c r="BK7" s="80" t="s">
        <v>108</v>
      </c>
      <c r="BL7" s="81">
        <f>(1791059*15%)+1791059</f>
        <v>2059717.85</v>
      </c>
      <c r="BM7" s="82">
        <f t="shared" si="0"/>
        <v>2163000</v>
      </c>
      <c r="BO7" s="110"/>
      <c r="BQ7" s="52"/>
      <c r="BR7" s="80" t="s">
        <v>51</v>
      </c>
      <c r="BS7" s="81">
        <f>(4395350*15%)+4395350</f>
        <v>5054652.5</v>
      </c>
      <c r="BT7" s="55">
        <f>ROUNDUP(BS7*$BV$10,-3)</f>
        <v>5308000</v>
      </c>
      <c r="BV7" s="23">
        <v>0.1</v>
      </c>
      <c r="BX7" s="52"/>
      <c r="BY7" s="152" t="s">
        <v>109</v>
      </c>
      <c r="BZ7" s="153">
        <f>(844800*15%)+844800</f>
        <v>971520</v>
      </c>
      <c r="CA7" s="150">
        <f>ROUNDUP(BZ7*$CE$10,-3)</f>
        <v>1263000</v>
      </c>
      <c r="CB7" s="117"/>
      <c r="CC7" s="117"/>
      <c r="CE7" s="23">
        <v>0.1</v>
      </c>
      <c r="CG7" s="76"/>
      <c r="CH7" s="78"/>
      <c r="CI7" s="118" t="s">
        <v>110</v>
      </c>
      <c r="CJ7" s="119" t="s">
        <v>111</v>
      </c>
      <c r="CK7" s="120">
        <v>1711285</v>
      </c>
      <c r="CL7" s="121">
        <f t="shared" si="9"/>
        <v>2054000</v>
      </c>
      <c r="CM7" s="88"/>
      <c r="CN7" s="23">
        <v>0.2</v>
      </c>
      <c r="CP7" s="52"/>
      <c r="CQ7" s="76" t="s">
        <v>112</v>
      </c>
      <c r="CR7" s="119" t="s">
        <v>113</v>
      </c>
      <c r="CS7" s="119" t="s">
        <v>114</v>
      </c>
      <c r="CT7" s="122">
        <v>1838346</v>
      </c>
      <c r="CU7" s="123">
        <f t="shared" si="10"/>
        <v>2207000</v>
      </c>
      <c r="CW7" s="110"/>
      <c r="CZ7" s="154">
        <v>16</v>
      </c>
      <c r="DA7" s="155" t="s">
        <v>53</v>
      </c>
      <c r="DB7" s="156">
        <v>22</v>
      </c>
      <c r="DC7" s="157">
        <v>26800</v>
      </c>
      <c r="DD7" s="157"/>
      <c r="DE7" s="157">
        <v>0</v>
      </c>
      <c r="DF7" s="157"/>
      <c r="DG7" s="158">
        <f>ROUNDUP(DC7*$DK$4,-3)</f>
        <v>37000</v>
      </c>
      <c r="DH7" s="158"/>
      <c r="DI7" s="158">
        <f>ROUNDUP(DE7*$DK$4,-3)</f>
        <v>0</v>
      </c>
      <c r="DJ7" s="159"/>
      <c r="DK7" s="157">
        <v>39700</v>
      </c>
      <c r="DL7" s="157"/>
      <c r="DM7" s="157">
        <v>0</v>
      </c>
      <c r="DN7" s="157"/>
      <c r="DO7" s="157">
        <f>ROUNDUP(DK7*$DK$4,-3)</f>
        <v>54000</v>
      </c>
      <c r="DP7" s="157"/>
      <c r="DQ7" s="157">
        <f>ROUNDUP(DM7*$DK$4,-3)</f>
        <v>0</v>
      </c>
      <c r="DR7" s="160"/>
      <c r="DS7" s="161">
        <f>ROUNDUP((DG7*45%),-3)</f>
        <v>17000</v>
      </c>
      <c r="DT7" s="161">
        <f>ROUNDUP((DI7*45%),-3)</f>
        <v>0</v>
      </c>
      <c r="DU7" s="161">
        <f>ROUNDUP((DO7*45%),-3)</f>
        <v>25000</v>
      </c>
      <c r="DV7" s="161">
        <f>ROUNDUP((DQ7*45%),-3)</f>
        <v>0</v>
      </c>
      <c r="DX7" s="154" t="s">
        <v>53</v>
      </c>
      <c r="DY7" s="156">
        <v>20</v>
      </c>
      <c r="DZ7" s="162">
        <v>38290</v>
      </c>
      <c r="EA7" s="162">
        <f>DZ7*110%</f>
        <v>42119</v>
      </c>
      <c r="EB7" s="163">
        <f t="shared" ref="EB7:EB16" si="19">EA7*$DW$4</f>
        <v>56860.65</v>
      </c>
      <c r="EC7" s="162">
        <v>49009</v>
      </c>
      <c r="ED7" s="162">
        <f>EC7*110%</f>
        <v>53909.9</v>
      </c>
      <c r="EE7" s="163">
        <f t="shared" ref="EE7:EE16" si="20">ED7*$DW$4</f>
        <v>72778.365000000005</v>
      </c>
      <c r="EF7" s="162">
        <v>55225</v>
      </c>
      <c r="EG7" s="162">
        <f>EF7*110%</f>
        <v>60747.500000000007</v>
      </c>
      <c r="EH7" s="164">
        <f t="shared" ref="EH7:EH16" si="21">EG7*$DW$4</f>
        <v>82009.125000000015</v>
      </c>
    </row>
    <row r="8" spans="1:138" ht="15" thickBot="1">
      <c r="C8" s="165" t="s">
        <v>115</v>
      </c>
      <c r="D8" s="165"/>
      <c r="E8" s="166">
        <f>ROUNDUP(4213440/30,-3)</f>
        <v>141000</v>
      </c>
      <c r="F8" s="167">
        <f>ROUNDUP(4968348/30,-3)</f>
        <v>166000</v>
      </c>
      <c r="G8" s="167">
        <f>ROUNDUP(6144600/30,-3)</f>
        <v>205000</v>
      </c>
      <c r="H8" s="167">
        <f>ROUNDUP(3493644/15,-3)</f>
        <v>233000</v>
      </c>
      <c r="I8" s="168">
        <f>ROUNDUP(4090548/15,-3)</f>
        <v>273000</v>
      </c>
      <c r="J8" s="169">
        <f>ROUNDUP(1363637/5.8,-3)</f>
        <v>236000</v>
      </c>
      <c r="K8" s="167">
        <f>ROUNDUP(1636363/5.8,-3)</f>
        <v>283000</v>
      </c>
      <c r="L8" s="167">
        <f>ROUNDUP(2029091/5.8,-3)</f>
        <v>350000</v>
      </c>
      <c r="M8" s="167">
        <f>ROUNDUP(N8-(N8*19%),-3)</f>
        <v>367000</v>
      </c>
      <c r="N8" s="167">
        <f>ROUNDUP(2618182/5.8,-3)</f>
        <v>452000</v>
      </c>
      <c r="O8" s="167">
        <f>ROUNDUP(P8-(P8*20%),-3)</f>
        <v>482000</v>
      </c>
      <c r="P8" s="167">
        <f>ROUNDUP(3490909/5.8,-3)</f>
        <v>602000</v>
      </c>
      <c r="Q8" s="167">
        <f>ROUNDUP(P8+(P8*25%),-3)</f>
        <v>753000</v>
      </c>
      <c r="R8" s="168">
        <f>ROUNDUP(Q8+(Q8*25%),-3)</f>
        <v>942000</v>
      </c>
      <c r="S8" s="23"/>
      <c r="T8" s="23"/>
      <c r="U8" s="23"/>
      <c r="V8" s="23"/>
      <c r="W8" s="23"/>
      <c r="X8" s="23"/>
      <c r="Y8" s="23"/>
      <c r="Z8" s="23"/>
      <c r="AA8" s="46" t="s">
        <v>59</v>
      </c>
      <c r="AB8" s="103" t="s">
        <v>59</v>
      </c>
      <c r="AC8" s="52" t="s">
        <v>52</v>
      </c>
      <c r="AD8" s="104" t="s">
        <v>51</v>
      </c>
      <c r="AE8" s="105">
        <v>11550</v>
      </c>
      <c r="AF8" s="106">
        <f t="shared" si="11"/>
        <v>5000</v>
      </c>
      <c r="AG8" s="106">
        <f t="shared" si="12"/>
        <v>2000</v>
      </c>
      <c r="AH8" s="107">
        <f t="shared" si="13"/>
        <v>3000</v>
      </c>
      <c r="AI8" s="108">
        <f t="shared" si="14"/>
        <v>21550</v>
      </c>
      <c r="AJ8" s="106">
        <f t="shared" si="15"/>
        <v>23000</v>
      </c>
      <c r="AK8" s="109">
        <f t="shared" si="1"/>
        <v>18000</v>
      </c>
      <c r="AN8" s="46" t="s">
        <v>59</v>
      </c>
      <c r="AO8" s="103" t="s">
        <v>59</v>
      </c>
      <c r="AP8" s="52" t="s">
        <v>52</v>
      </c>
      <c r="AQ8" s="104" t="s">
        <v>51</v>
      </c>
      <c r="AR8" s="74">
        <v>34650</v>
      </c>
      <c r="AS8" s="114">
        <f t="shared" si="2"/>
        <v>25000</v>
      </c>
      <c r="AT8" s="113">
        <f t="shared" si="3"/>
        <v>4000</v>
      </c>
      <c r="AU8" s="114">
        <f t="shared" si="4"/>
        <v>7000</v>
      </c>
      <c r="AV8" s="115">
        <f t="shared" si="16"/>
        <v>70650</v>
      </c>
      <c r="AW8" s="114">
        <f t="shared" si="5"/>
        <v>75000</v>
      </c>
      <c r="AX8" s="109">
        <f t="shared" si="6"/>
        <v>50000</v>
      </c>
      <c r="BA8" s="76">
        <v>13</v>
      </c>
      <c r="BB8" s="77" t="s">
        <v>116</v>
      </c>
      <c r="BC8" s="76" t="str">
        <f t="shared" si="17"/>
        <v>1.22 x 0.914</v>
      </c>
      <c r="BD8" s="78">
        <v>180000</v>
      </c>
      <c r="BE8" s="78">
        <v>200000</v>
      </c>
      <c r="BF8" s="52" t="str">
        <f t="shared" si="18"/>
        <v>1.22 x 9.14</v>
      </c>
      <c r="BG8" s="76">
        <v>2000000</v>
      </c>
      <c r="BH8" s="116">
        <f t="shared" si="7"/>
        <v>2400000</v>
      </c>
      <c r="BI8" s="78">
        <f t="shared" si="8"/>
        <v>263000</v>
      </c>
      <c r="BJ8" s="52"/>
      <c r="BK8" s="80" t="s">
        <v>117</v>
      </c>
      <c r="BL8" s="81">
        <f>(2366941*15%)+2366941</f>
        <v>2721982.15</v>
      </c>
      <c r="BM8" s="82">
        <f t="shared" si="0"/>
        <v>2859000</v>
      </c>
      <c r="BO8" s="23">
        <v>1.05</v>
      </c>
      <c r="BQ8" s="52"/>
      <c r="BR8" s="80" t="s">
        <v>75</v>
      </c>
      <c r="BS8" s="81">
        <f>(5454100*15%)+5454100</f>
        <v>6272215</v>
      </c>
      <c r="BT8" s="55">
        <f>ROUNDUP(BS8*$BV$10,-3)</f>
        <v>6586000</v>
      </c>
      <c r="BV8" s="23">
        <v>0.2</v>
      </c>
      <c r="BX8" s="52"/>
      <c r="BY8" s="52"/>
      <c r="BZ8" s="52"/>
      <c r="CA8" s="117"/>
      <c r="CB8" s="117"/>
      <c r="CC8" s="117"/>
      <c r="CE8" s="23">
        <v>0.2</v>
      </c>
      <c r="CG8" s="152"/>
      <c r="CH8" s="153"/>
      <c r="CI8" s="170" t="s">
        <v>118</v>
      </c>
      <c r="CJ8" s="148" t="s">
        <v>119</v>
      </c>
      <c r="CK8" s="171">
        <v>611223</v>
      </c>
      <c r="CL8" s="172">
        <f>ROUNDUP(CK8*$CN$9,-3)</f>
        <v>734000</v>
      </c>
      <c r="CM8" s="173">
        <f>SUM(CL5:CL8)</f>
        <v>17212000</v>
      </c>
      <c r="CN8" s="110"/>
      <c r="CP8" s="52"/>
      <c r="CQ8" s="76"/>
      <c r="CR8" s="119" t="s">
        <v>120</v>
      </c>
      <c r="CS8" s="119" t="s">
        <v>121</v>
      </c>
      <c r="CT8" s="122">
        <v>3207846</v>
      </c>
      <c r="CU8" s="123">
        <f t="shared" si="10"/>
        <v>3850000</v>
      </c>
      <c r="CW8" s="23">
        <v>1.2</v>
      </c>
      <c r="CZ8" s="154">
        <v>20</v>
      </c>
      <c r="DA8" s="155" t="s">
        <v>51</v>
      </c>
      <c r="DB8" s="156">
        <v>26</v>
      </c>
      <c r="DC8" s="157">
        <v>36300</v>
      </c>
      <c r="DD8" s="157"/>
      <c r="DE8" s="157">
        <v>0</v>
      </c>
      <c r="DF8" s="157"/>
      <c r="DG8" s="158">
        <f>ROUNDUP(DC8*$DK$4,-3)</f>
        <v>50000</v>
      </c>
      <c r="DH8" s="158"/>
      <c r="DI8" s="158">
        <f t="shared" ref="DI8:DI20" si="22">ROUNDUP(DE8*$DK$4,-3)</f>
        <v>0</v>
      </c>
      <c r="DJ8" s="159"/>
      <c r="DK8" s="157">
        <v>54400</v>
      </c>
      <c r="DL8" s="157"/>
      <c r="DM8" s="157">
        <v>0</v>
      </c>
      <c r="DN8" s="157"/>
      <c r="DO8" s="157">
        <f>ROUNDUP(DK8*$DK$4,-3)</f>
        <v>74000</v>
      </c>
      <c r="DP8" s="157"/>
      <c r="DQ8" s="157">
        <f t="shared" ref="DQ8:DQ20" si="23">ROUNDUP(DM8*$DK$4,-3)</f>
        <v>0</v>
      </c>
      <c r="DR8" s="160"/>
      <c r="DS8" s="161">
        <f t="shared" ref="DS8:DS20" si="24">ROUNDUP((DG8*45%),-3)</f>
        <v>23000</v>
      </c>
      <c r="DT8" s="161">
        <f t="shared" ref="DT8:DT19" si="25">ROUNDUP((DI8*45%),-3)</f>
        <v>0</v>
      </c>
      <c r="DU8" s="161">
        <f t="shared" ref="DU8:DU20" si="26">ROUNDUP((DO8*45%),-3)</f>
        <v>34000</v>
      </c>
      <c r="DV8" s="161">
        <f t="shared" ref="DV8:DV20" si="27">ROUNDUP((DQ8*45%),-3)</f>
        <v>0</v>
      </c>
      <c r="DX8" s="154" t="s">
        <v>51</v>
      </c>
      <c r="DY8" s="156">
        <v>25</v>
      </c>
      <c r="DZ8" s="162">
        <v>52162</v>
      </c>
      <c r="EA8" s="162">
        <f t="shared" ref="EA8:EA16" si="28">DZ8*110%</f>
        <v>57378.200000000004</v>
      </c>
      <c r="EB8" s="163">
        <f t="shared" si="19"/>
        <v>77460.570000000007</v>
      </c>
      <c r="EC8" s="162">
        <v>76577</v>
      </c>
      <c r="ED8" s="162">
        <f t="shared" ref="ED8:ED16" si="29">EC8*110%</f>
        <v>84234.700000000012</v>
      </c>
      <c r="EE8" s="163">
        <f t="shared" si="20"/>
        <v>113716.84500000003</v>
      </c>
      <c r="EF8" s="162">
        <v>84775</v>
      </c>
      <c r="EG8" s="162">
        <f t="shared" ref="EG8:EG16" si="30">EF8*110%</f>
        <v>93252.500000000015</v>
      </c>
      <c r="EH8" s="164">
        <f t="shared" si="21"/>
        <v>125890.87500000003</v>
      </c>
    </row>
    <row r="9" spans="1:138" ht="15" thickBot="1">
      <c r="C9" s="165" t="s">
        <v>122</v>
      </c>
      <c r="D9" s="165"/>
      <c r="E9" s="166">
        <f>ROUNDUP((100%-$G$6)*E8,-3)</f>
        <v>134000</v>
      </c>
      <c r="F9" s="167">
        <f>ROUNDUP((100%-$G$6)*F8,-3)</f>
        <v>158000</v>
      </c>
      <c r="G9" s="167">
        <f>ROUNDUP((100%-$G$6)*G8,-3)</f>
        <v>195000</v>
      </c>
      <c r="H9" s="167">
        <f>ROUNDUP((100%-$G$6)*H8,-3)</f>
        <v>222000</v>
      </c>
      <c r="I9" s="168">
        <f>ROUNDUP((100%-$G$6)*I8,-3)</f>
        <v>260000</v>
      </c>
      <c r="J9" s="169">
        <f t="shared" ref="J9:R9" si="31">ROUNDUP((100%-$N$6)*J8,-3)</f>
        <v>189000</v>
      </c>
      <c r="K9" s="167">
        <f t="shared" si="31"/>
        <v>227000</v>
      </c>
      <c r="L9" s="167">
        <f t="shared" si="31"/>
        <v>280000</v>
      </c>
      <c r="M9" s="167">
        <f t="shared" si="31"/>
        <v>294000</v>
      </c>
      <c r="N9" s="167">
        <f t="shared" si="31"/>
        <v>362000</v>
      </c>
      <c r="O9" s="167">
        <f t="shared" si="31"/>
        <v>386000</v>
      </c>
      <c r="P9" s="167">
        <f t="shared" si="31"/>
        <v>482000</v>
      </c>
      <c r="Q9" s="167">
        <f t="shared" si="31"/>
        <v>603000</v>
      </c>
      <c r="R9" s="168">
        <f t="shared" si="31"/>
        <v>754000</v>
      </c>
      <c r="S9" s="23"/>
      <c r="T9" s="23"/>
      <c r="U9" s="23"/>
      <c r="V9" s="23"/>
      <c r="W9" s="23"/>
      <c r="X9" s="23"/>
      <c r="Y9" s="23"/>
      <c r="Z9" s="23"/>
      <c r="AA9" s="174"/>
      <c r="AB9" s="103" t="s">
        <v>59</v>
      </c>
      <c r="AC9" s="52" t="s">
        <v>52</v>
      </c>
      <c r="AD9" s="104" t="s">
        <v>53</v>
      </c>
      <c r="AE9" s="105">
        <v>13050</v>
      </c>
      <c r="AF9" s="106">
        <f t="shared" si="11"/>
        <v>6000</v>
      </c>
      <c r="AG9" s="106">
        <f t="shared" si="12"/>
        <v>2000</v>
      </c>
      <c r="AH9" s="107">
        <f t="shared" si="13"/>
        <v>3000</v>
      </c>
      <c r="AI9" s="108">
        <f t="shared" si="14"/>
        <v>24050</v>
      </c>
      <c r="AJ9" s="106">
        <f t="shared" si="15"/>
        <v>26000</v>
      </c>
      <c r="AK9" s="175">
        <f t="shared" si="1"/>
        <v>20000</v>
      </c>
      <c r="AN9" s="174"/>
      <c r="AO9" s="103" t="s">
        <v>59</v>
      </c>
      <c r="AP9" s="52" t="s">
        <v>52</v>
      </c>
      <c r="AQ9" s="104" t="s">
        <v>53</v>
      </c>
      <c r="AR9" s="176">
        <v>34650</v>
      </c>
      <c r="AS9" s="106">
        <f t="shared" si="2"/>
        <v>25000</v>
      </c>
      <c r="AT9" s="117">
        <f t="shared" si="3"/>
        <v>4000</v>
      </c>
      <c r="AU9" s="106">
        <f t="shared" si="4"/>
        <v>7000</v>
      </c>
      <c r="AV9" s="177">
        <f t="shared" si="16"/>
        <v>70650</v>
      </c>
      <c r="AW9" s="106">
        <f t="shared" si="5"/>
        <v>75000</v>
      </c>
      <c r="AX9" s="175">
        <f t="shared" si="6"/>
        <v>50000</v>
      </c>
      <c r="BA9" s="76">
        <v>15</v>
      </c>
      <c r="BB9" s="77" t="s">
        <v>123</v>
      </c>
      <c r="BC9" s="76" t="str">
        <f t="shared" si="17"/>
        <v>1.22 x 0.914</v>
      </c>
      <c r="BD9" s="78">
        <v>248000</v>
      </c>
      <c r="BE9" s="78">
        <v>275000</v>
      </c>
      <c r="BF9" s="52" t="str">
        <f t="shared" si="18"/>
        <v>1.22 x 9.14</v>
      </c>
      <c r="BG9" s="76">
        <v>2750000</v>
      </c>
      <c r="BH9" s="116">
        <f t="shared" si="7"/>
        <v>3300000</v>
      </c>
      <c r="BI9" s="78">
        <f t="shared" si="8"/>
        <v>362000</v>
      </c>
      <c r="BJ9" s="52"/>
      <c r="BK9" s="80" t="s">
        <v>124</v>
      </c>
      <c r="BL9" s="81">
        <f>(2671059*15%)+2671059</f>
        <v>3071717.85</v>
      </c>
      <c r="BM9" s="82">
        <f t="shared" si="0"/>
        <v>3226000</v>
      </c>
      <c r="BQ9" s="52"/>
      <c r="BR9" s="178" t="s">
        <v>59</v>
      </c>
      <c r="BS9" s="179">
        <f>(5454100*15%)+5454100</f>
        <v>6272215</v>
      </c>
      <c r="BT9" s="150">
        <f>ROUNDUP(BS9*$BV$10,-3)</f>
        <v>6586000</v>
      </c>
      <c r="BV9" s="110"/>
      <c r="BX9" s="52"/>
      <c r="BY9" s="52"/>
      <c r="BZ9" s="52"/>
      <c r="CA9" s="117"/>
      <c r="CB9" s="117"/>
      <c r="CC9" s="117"/>
      <c r="CE9" s="110"/>
      <c r="CG9" s="76">
        <v>2</v>
      </c>
      <c r="CH9" s="78" t="s">
        <v>125</v>
      </c>
      <c r="CI9" s="84" t="s">
        <v>126</v>
      </c>
      <c r="CJ9" s="85" t="s">
        <v>127</v>
      </c>
      <c r="CK9" s="86">
        <v>6114775</v>
      </c>
      <c r="CL9" s="87">
        <f>ROUNDUP(CK9*$CN$9,-3)</f>
        <v>7338000</v>
      </c>
      <c r="CM9" s="180"/>
      <c r="CN9" s="23">
        <v>1.2</v>
      </c>
      <c r="CQ9" s="181"/>
      <c r="CR9" s="119" t="s">
        <v>128</v>
      </c>
      <c r="CS9" s="119" t="s">
        <v>129</v>
      </c>
      <c r="CT9" s="122">
        <v>3970425</v>
      </c>
      <c r="CU9" s="123">
        <f t="shared" si="10"/>
        <v>4765000</v>
      </c>
      <c r="CZ9" s="154">
        <v>25</v>
      </c>
      <c r="DA9" s="155" t="s">
        <v>75</v>
      </c>
      <c r="DB9" s="156">
        <v>32</v>
      </c>
      <c r="DC9" s="157">
        <v>49700</v>
      </c>
      <c r="DD9" s="157"/>
      <c r="DE9" s="157">
        <v>0</v>
      </c>
      <c r="DF9" s="157"/>
      <c r="DG9" s="158">
        <f t="shared" ref="DG9:DG20" si="32">ROUNDUP(DC9*$DK$4,-3)</f>
        <v>68000</v>
      </c>
      <c r="DH9" s="158"/>
      <c r="DI9" s="158">
        <f t="shared" si="22"/>
        <v>0</v>
      </c>
      <c r="DJ9" s="159"/>
      <c r="DK9" s="157">
        <v>74100</v>
      </c>
      <c r="DL9" s="157"/>
      <c r="DM9" s="157">
        <v>0</v>
      </c>
      <c r="DN9" s="157"/>
      <c r="DO9" s="157">
        <f t="shared" ref="DO9:DO20" si="33">ROUNDUP(DK9*$DK$4,-3)</f>
        <v>101000</v>
      </c>
      <c r="DP9" s="157"/>
      <c r="DQ9" s="157">
        <f t="shared" si="23"/>
        <v>0</v>
      </c>
      <c r="DR9" s="160"/>
      <c r="DS9" s="161">
        <f t="shared" si="24"/>
        <v>31000</v>
      </c>
      <c r="DT9" s="161">
        <f t="shared" si="25"/>
        <v>0</v>
      </c>
      <c r="DU9" s="161">
        <f t="shared" si="26"/>
        <v>46000</v>
      </c>
      <c r="DV9" s="161">
        <f t="shared" si="27"/>
        <v>0</v>
      </c>
      <c r="DX9" s="154" t="s">
        <v>75</v>
      </c>
      <c r="DY9" s="156">
        <v>32</v>
      </c>
      <c r="DZ9" s="162">
        <v>83874</v>
      </c>
      <c r="EA9" s="162">
        <f t="shared" si="28"/>
        <v>92261.400000000009</v>
      </c>
      <c r="EB9" s="163">
        <f t="shared" si="19"/>
        <v>124552.89000000001</v>
      </c>
      <c r="EC9" s="162">
        <v>123063</v>
      </c>
      <c r="ED9" s="162">
        <f t="shared" si="29"/>
        <v>135369.30000000002</v>
      </c>
      <c r="EE9" s="163">
        <f t="shared" si="20"/>
        <v>182748.55500000002</v>
      </c>
      <c r="EF9" s="162">
        <v>139369</v>
      </c>
      <c r="EG9" s="162">
        <f t="shared" si="30"/>
        <v>153305.90000000002</v>
      </c>
      <c r="EH9" s="164">
        <f t="shared" si="21"/>
        <v>206962.96500000005</v>
      </c>
    </row>
    <row r="10" spans="1:138" ht="15" thickBot="1">
      <c r="C10" s="165" t="s">
        <v>130</v>
      </c>
      <c r="D10" s="165"/>
      <c r="E10" s="166">
        <f>ROUNDUP(E9*$S$10,-3)</f>
        <v>14000</v>
      </c>
      <c r="F10" s="167">
        <f t="shared" ref="F10:R10" si="34">ROUNDUP(F9*$S$10,-3)</f>
        <v>16000</v>
      </c>
      <c r="G10" s="167">
        <f t="shared" si="34"/>
        <v>20000</v>
      </c>
      <c r="H10" s="167">
        <f t="shared" si="34"/>
        <v>23000</v>
      </c>
      <c r="I10" s="168">
        <f t="shared" si="34"/>
        <v>26000</v>
      </c>
      <c r="J10" s="169">
        <f t="shared" si="34"/>
        <v>19000</v>
      </c>
      <c r="K10" s="167">
        <f t="shared" si="34"/>
        <v>23000</v>
      </c>
      <c r="L10" s="167">
        <f t="shared" si="34"/>
        <v>28000</v>
      </c>
      <c r="M10" s="167">
        <f t="shared" si="34"/>
        <v>30000</v>
      </c>
      <c r="N10" s="167">
        <f t="shared" si="34"/>
        <v>37000</v>
      </c>
      <c r="O10" s="167">
        <f t="shared" si="34"/>
        <v>39000</v>
      </c>
      <c r="P10" s="167">
        <f t="shared" si="34"/>
        <v>49000</v>
      </c>
      <c r="Q10" s="167">
        <f t="shared" si="34"/>
        <v>61000</v>
      </c>
      <c r="R10" s="168">
        <f t="shared" si="34"/>
        <v>76000</v>
      </c>
      <c r="S10" s="23">
        <v>0.1</v>
      </c>
      <c r="T10" s="23"/>
      <c r="U10" s="23"/>
      <c r="V10" s="23"/>
      <c r="W10" s="23"/>
      <c r="X10" s="23"/>
      <c r="Y10" s="23"/>
      <c r="Z10" s="23"/>
      <c r="AA10" s="140"/>
      <c r="AB10" s="141" t="s">
        <v>59</v>
      </c>
      <c r="AC10" s="142" t="s">
        <v>52</v>
      </c>
      <c r="AD10" s="143" t="s">
        <v>75</v>
      </c>
      <c r="AE10" s="144">
        <v>15400</v>
      </c>
      <c r="AF10" s="145">
        <f t="shared" si="11"/>
        <v>7000</v>
      </c>
      <c r="AG10" s="145">
        <f t="shared" si="12"/>
        <v>2000</v>
      </c>
      <c r="AH10" s="146">
        <f t="shared" si="13"/>
        <v>4000</v>
      </c>
      <c r="AI10" s="147">
        <f t="shared" si="14"/>
        <v>28400</v>
      </c>
      <c r="AJ10" s="145">
        <f t="shared" si="15"/>
        <v>30000</v>
      </c>
      <c r="AK10" s="148">
        <f t="shared" si="1"/>
        <v>23000</v>
      </c>
      <c r="AN10" s="140"/>
      <c r="AO10" s="141" t="s">
        <v>59</v>
      </c>
      <c r="AP10" s="142" t="s">
        <v>52</v>
      </c>
      <c r="AQ10" s="143" t="s">
        <v>75</v>
      </c>
      <c r="AR10" s="182">
        <v>34150</v>
      </c>
      <c r="AS10" s="145">
        <f t="shared" si="2"/>
        <v>24000</v>
      </c>
      <c r="AT10" s="146">
        <f t="shared" si="3"/>
        <v>4000</v>
      </c>
      <c r="AU10" s="145">
        <f t="shared" si="4"/>
        <v>7000</v>
      </c>
      <c r="AV10" s="151">
        <f t="shared" si="16"/>
        <v>69150</v>
      </c>
      <c r="AW10" s="145">
        <f t="shared" si="5"/>
        <v>73000</v>
      </c>
      <c r="AX10" s="148">
        <f t="shared" si="6"/>
        <v>49000</v>
      </c>
      <c r="BA10" s="76">
        <v>19</v>
      </c>
      <c r="BB10" s="77" t="s">
        <v>131</v>
      </c>
      <c r="BC10" s="76" t="str">
        <f t="shared" si="17"/>
        <v>1.22 x 0.914</v>
      </c>
      <c r="BD10" s="78">
        <v>286000</v>
      </c>
      <c r="BE10" s="78">
        <v>318000</v>
      </c>
      <c r="BF10" s="52" t="str">
        <f t="shared" si="18"/>
        <v>1.22 x 9.14</v>
      </c>
      <c r="BG10" s="76">
        <v>3180000</v>
      </c>
      <c r="BH10" s="116">
        <f t="shared" si="7"/>
        <v>3816000</v>
      </c>
      <c r="BI10" s="78">
        <f t="shared" si="8"/>
        <v>418000</v>
      </c>
      <c r="BJ10" s="52"/>
      <c r="BK10" s="80" t="s">
        <v>132</v>
      </c>
      <c r="BL10" s="81">
        <f>(5194588*15%)+5194588</f>
        <v>5973776.2000000002</v>
      </c>
      <c r="BM10" s="82">
        <f t="shared" si="0"/>
        <v>6273000</v>
      </c>
      <c r="BQ10" s="52"/>
      <c r="BR10" s="52"/>
      <c r="BS10" s="52"/>
      <c r="BT10" s="117"/>
      <c r="BV10" s="23">
        <v>1.05</v>
      </c>
      <c r="BX10" s="52"/>
      <c r="BY10" s="52"/>
      <c r="BZ10" s="52"/>
      <c r="CA10" s="117"/>
      <c r="CB10" s="117"/>
      <c r="CC10" s="117"/>
      <c r="CE10" s="23">
        <v>1.3</v>
      </c>
      <c r="CG10" s="76"/>
      <c r="CH10" s="78"/>
      <c r="CI10" s="118" t="s">
        <v>80</v>
      </c>
      <c r="CJ10" s="119" t="s">
        <v>81</v>
      </c>
      <c r="CK10" s="120">
        <v>7617055</v>
      </c>
      <c r="CL10" s="121">
        <f t="shared" si="9"/>
        <v>9141000</v>
      </c>
      <c r="CM10" s="88"/>
      <c r="CQ10" s="183"/>
      <c r="CR10" s="148" t="s">
        <v>133</v>
      </c>
      <c r="CS10" s="148" t="s">
        <v>134</v>
      </c>
      <c r="CT10" s="170">
        <v>7082244</v>
      </c>
      <c r="CU10" s="145">
        <f t="shared" si="10"/>
        <v>8499000</v>
      </c>
      <c r="CZ10" s="154">
        <v>35</v>
      </c>
      <c r="DA10" s="155" t="s">
        <v>59</v>
      </c>
      <c r="DB10" s="156">
        <v>42</v>
      </c>
      <c r="DC10" s="157">
        <v>74200</v>
      </c>
      <c r="DD10" s="157"/>
      <c r="DE10" s="157">
        <v>46660</v>
      </c>
      <c r="DF10" s="157"/>
      <c r="DG10" s="158">
        <f t="shared" si="32"/>
        <v>101000</v>
      </c>
      <c r="DH10" s="158"/>
      <c r="DI10" s="158">
        <f t="shared" si="22"/>
        <v>63000</v>
      </c>
      <c r="DJ10" s="159"/>
      <c r="DK10" s="157">
        <v>111300</v>
      </c>
      <c r="DL10" s="157"/>
      <c r="DM10" s="157">
        <v>70200</v>
      </c>
      <c r="DN10" s="157"/>
      <c r="DO10" s="157">
        <f t="shared" si="33"/>
        <v>151000</v>
      </c>
      <c r="DP10" s="157"/>
      <c r="DQ10" s="157">
        <f t="shared" si="23"/>
        <v>95000</v>
      </c>
      <c r="DR10" s="160"/>
      <c r="DS10" s="161">
        <f t="shared" si="24"/>
        <v>46000</v>
      </c>
      <c r="DT10" s="161">
        <f t="shared" si="25"/>
        <v>29000</v>
      </c>
      <c r="DU10" s="161">
        <f t="shared" si="26"/>
        <v>68000</v>
      </c>
      <c r="DV10" s="161">
        <f t="shared" si="27"/>
        <v>43000</v>
      </c>
      <c r="DX10" s="154" t="s">
        <v>59</v>
      </c>
      <c r="DY10" s="156">
        <v>40</v>
      </c>
      <c r="DZ10" s="162">
        <v>132883</v>
      </c>
      <c r="EA10" s="162">
        <f t="shared" si="28"/>
        <v>146171.30000000002</v>
      </c>
      <c r="EB10" s="163">
        <f t="shared" si="19"/>
        <v>197331.25500000003</v>
      </c>
      <c r="EC10" s="162">
        <v>191261</v>
      </c>
      <c r="ED10" s="162">
        <f t="shared" si="29"/>
        <v>210387.1</v>
      </c>
      <c r="EE10" s="163">
        <f t="shared" si="20"/>
        <v>284022.58500000002</v>
      </c>
      <c r="EF10" s="162">
        <v>214865</v>
      </c>
      <c r="EG10" s="162">
        <f t="shared" si="30"/>
        <v>236351.50000000003</v>
      </c>
      <c r="EH10" s="164">
        <f t="shared" si="21"/>
        <v>319074.52500000008</v>
      </c>
    </row>
    <row r="11" spans="1:138" ht="15" thickBot="1">
      <c r="C11" s="184" t="s">
        <v>135</v>
      </c>
      <c r="D11" s="184"/>
      <c r="E11" s="185">
        <f>SUM(E9:E10)</f>
        <v>148000</v>
      </c>
      <c r="F11" s="186">
        <f t="shared" ref="F11:R11" si="35">SUM(F9:F10)</f>
        <v>174000</v>
      </c>
      <c r="G11" s="186">
        <f t="shared" si="35"/>
        <v>215000</v>
      </c>
      <c r="H11" s="186">
        <f t="shared" si="35"/>
        <v>245000</v>
      </c>
      <c r="I11" s="187">
        <f t="shared" si="35"/>
        <v>286000</v>
      </c>
      <c r="J11" s="188">
        <f t="shared" si="35"/>
        <v>208000</v>
      </c>
      <c r="K11" s="186">
        <f t="shared" si="35"/>
        <v>250000</v>
      </c>
      <c r="L11" s="186">
        <f t="shared" si="35"/>
        <v>308000</v>
      </c>
      <c r="M11" s="186">
        <f t="shared" si="35"/>
        <v>324000</v>
      </c>
      <c r="N11" s="186">
        <f t="shared" si="35"/>
        <v>399000</v>
      </c>
      <c r="O11" s="186">
        <f t="shared" si="35"/>
        <v>425000</v>
      </c>
      <c r="P11" s="186">
        <f t="shared" si="35"/>
        <v>531000</v>
      </c>
      <c r="Q11" s="186">
        <f t="shared" si="35"/>
        <v>664000</v>
      </c>
      <c r="R11" s="187">
        <f t="shared" si="35"/>
        <v>830000</v>
      </c>
      <c r="S11" s="23"/>
      <c r="T11" s="23"/>
      <c r="U11" s="23"/>
      <c r="V11" s="23"/>
      <c r="W11" s="23"/>
      <c r="X11" s="23"/>
      <c r="Y11" s="23"/>
      <c r="Z11" s="23"/>
      <c r="AA11" s="46" t="s">
        <v>125</v>
      </c>
      <c r="AB11" s="103" t="s">
        <v>125</v>
      </c>
      <c r="AC11" s="52" t="s">
        <v>52</v>
      </c>
      <c r="AD11" s="104" t="s">
        <v>125</v>
      </c>
      <c r="AE11" s="105">
        <v>25400</v>
      </c>
      <c r="AF11" s="106">
        <f t="shared" si="11"/>
        <v>11000</v>
      </c>
      <c r="AG11" s="106">
        <f t="shared" si="12"/>
        <v>3000</v>
      </c>
      <c r="AH11" s="107">
        <f t="shared" si="13"/>
        <v>6000</v>
      </c>
      <c r="AI11" s="108">
        <f t="shared" si="14"/>
        <v>45400</v>
      </c>
      <c r="AJ11" s="106">
        <f t="shared" si="15"/>
        <v>48000</v>
      </c>
      <c r="AK11" s="109">
        <f t="shared" si="1"/>
        <v>37000</v>
      </c>
      <c r="AN11" s="22" t="s">
        <v>125</v>
      </c>
      <c r="AO11" s="189" t="s">
        <v>125</v>
      </c>
      <c r="AP11" s="190" t="s">
        <v>52</v>
      </c>
      <c r="AQ11" s="191" t="s">
        <v>125</v>
      </c>
      <c r="AR11" s="74">
        <v>43800</v>
      </c>
      <c r="AS11" s="114">
        <f t="shared" si="2"/>
        <v>31000</v>
      </c>
      <c r="AT11" s="113">
        <f t="shared" si="3"/>
        <v>5000</v>
      </c>
      <c r="AU11" s="114">
        <f t="shared" si="4"/>
        <v>9000</v>
      </c>
      <c r="AV11" s="115">
        <f t="shared" si="16"/>
        <v>88800</v>
      </c>
      <c r="AW11" s="114">
        <f t="shared" si="5"/>
        <v>94000</v>
      </c>
      <c r="AX11" s="109">
        <f t="shared" si="6"/>
        <v>63000</v>
      </c>
      <c r="BA11" s="76">
        <v>25</v>
      </c>
      <c r="BB11" s="52">
        <v>1</v>
      </c>
      <c r="BC11" s="76" t="str">
        <f t="shared" si="17"/>
        <v>1.22 x 0.914</v>
      </c>
      <c r="BD11" s="78">
        <v>358000</v>
      </c>
      <c r="BE11" s="78">
        <v>397000</v>
      </c>
      <c r="BF11" s="52" t="str">
        <f t="shared" si="18"/>
        <v>1.22 x 9.14</v>
      </c>
      <c r="BG11" s="76">
        <v>3970000</v>
      </c>
      <c r="BH11" s="116">
        <f t="shared" si="7"/>
        <v>4764000</v>
      </c>
      <c r="BI11" s="78">
        <f t="shared" si="8"/>
        <v>522000</v>
      </c>
      <c r="BJ11" s="52"/>
      <c r="BK11" s="80" t="s">
        <v>136</v>
      </c>
      <c r="BL11" s="81">
        <f>(10244235*15%)+10244235</f>
        <v>11780870.25</v>
      </c>
      <c r="BM11" s="82">
        <f t="shared" si="0"/>
        <v>12370000</v>
      </c>
      <c r="BQ11" s="52"/>
      <c r="BR11" s="52"/>
      <c r="BS11" s="52"/>
      <c r="BT11" s="117"/>
      <c r="CG11" s="76"/>
      <c r="CH11" s="78"/>
      <c r="CI11" s="118" t="s">
        <v>110</v>
      </c>
      <c r="CJ11" s="119" t="s">
        <v>111</v>
      </c>
      <c r="CK11" s="120">
        <v>1711285</v>
      </c>
      <c r="CL11" s="121">
        <f t="shared" si="9"/>
        <v>2054000</v>
      </c>
      <c r="CM11" s="88"/>
      <c r="CZ11" s="154">
        <v>40</v>
      </c>
      <c r="DA11" s="155" t="s">
        <v>125</v>
      </c>
      <c r="DB11" s="156">
        <v>48</v>
      </c>
      <c r="DC11" s="157">
        <v>85200</v>
      </c>
      <c r="DD11" s="157"/>
      <c r="DE11" s="157">
        <v>52700</v>
      </c>
      <c r="DF11" s="157"/>
      <c r="DG11" s="158">
        <f t="shared" si="32"/>
        <v>116000</v>
      </c>
      <c r="DH11" s="158"/>
      <c r="DI11" s="158">
        <f t="shared" si="22"/>
        <v>72000</v>
      </c>
      <c r="DJ11" s="159"/>
      <c r="DK11" s="157">
        <v>127600</v>
      </c>
      <c r="DL11" s="157"/>
      <c r="DM11" s="157">
        <v>78700</v>
      </c>
      <c r="DN11" s="157"/>
      <c r="DO11" s="157">
        <f t="shared" si="33"/>
        <v>173000</v>
      </c>
      <c r="DP11" s="157"/>
      <c r="DQ11" s="157">
        <f t="shared" si="23"/>
        <v>107000</v>
      </c>
      <c r="DR11" s="160"/>
      <c r="DS11" s="161">
        <f t="shared" si="24"/>
        <v>53000</v>
      </c>
      <c r="DT11" s="161">
        <f t="shared" si="25"/>
        <v>33000</v>
      </c>
      <c r="DU11" s="161">
        <f t="shared" si="26"/>
        <v>78000</v>
      </c>
      <c r="DV11" s="161">
        <f t="shared" si="27"/>
        <v>49000</v>
      </c>
      <c r="DX11" s="154" t="s">
        <v>125</v>
      </c>
      <c r="DY11" s="156">
        <v>50</v>
      </c>
      <c r="DZ11" s="162">
        <v>206036</v>
      </c>
      <c r="EA11" s="162">
        <f t="shared" si="28"/>
        <v>226639.6</v>
      </c>
      <c r="EB11" s="163">
        <f t="shared" si="19"/>
        <v>305963.46000000002</v>
      </c>
      <c r="EC11" s="162">
        <v>298649</v>
      </c>
      <c r="ED11" s="162">
        <f t="shared" si="29"/>
        <v>328513.90000000002</v>
      </c>
      <c r="EE11" s="163">
        <f t="shared" si="20"/>
        <v>443493.76500000007</v>
      </c>
      <c r="EF11" s="162">
        <v>335766</v>
      </c>
      <c r="EG11" s="162">
        <f t="shared" si="30"/>
        <v>369342.60000000003</v>
      </c>
      <c r="EH11" s="164">
        <f t="shared" si="21"/>
        <v>498612.51000000007</v>
      </c>
    </row>
    <row r="12" spans="1:138" ht="15" thickBot="1">
      <c r="C12" s="165" t="s">
        <v>137</v>
      </c>
      <c r="D12" s="165"/>
      <c r="E12" s="166">
        <f>ROUNDUP(E11*$S$12,-3)</f>
        <v>15000</v>
      </c>
      <c r="F12" s="167">
        <f t="shared" ref="F12:R12" si="36">ROUNDUP(F11*$S$12,-3)</f>
        <v>18000</v>
      </c>
      <c r="G12" s="167">
        <f t="shared" si="36"/>
        <v>22000</v>
      </c>
      <c r="H12" s="167">
        <f t="shared" si="36"/>
        <v>25000</v>
      </c>
      <c r="I12" s="168">
        <f t="shared" si="36"/>
        <v>29000</v>
      </c>
      <c r="J12" s="169">
        <f t="shared" si="36"/>
        <v>21000</v>
      </c>
      <c r="K12" s="167">
        <f t="shared" si="36"/>
        <v>25000</v>
      </c>
      <c r="L12" s="167">
        <f t="shared" si="36"/>
        <v>31000</v>
      </c>
      <c r="M12" s="167">
        <f t="shared" si="36"/>
        <v>33000</v>
      </c>
      <c r="N12" s="167">
        <f t="shared" si="36"/>
        <v>40000</v>
      </c>
      <c r="O12" s="167">
        <f t="shared" si="36"/>
        <v>43000</v>
      </c>
      <c r="P12" s="167">
        <f t="shared" si="36"/>
        <v>54000</v>
      </c>
      <c r="Q12" s="167">
        <f t="shared" si="36"/>
        <v>67000</v>
      </c>
      <c r="R12" s="168">
        <f t="shared" si="36"/>
        <v>83000</v>
      </c>
      <c r="S12" s="23">
        <v>0.1</v>
      </c>
      <c r="T12" s="23"/>
      <c r="U12" s="23"/>
      <c r="V12" s="23"/>
      <c r="W12" s="23"/>
      <c r="X12" s="23"/>
      <c r="Y12" s="23"/>
      <c r="Z12" s="23"/>
      <c r="AA12" s="174"/>
      <c r="AB12" s="103" t="s">
        <v>125</v>
      </c>
      <c r="AC12" s="52" t="s">
        <v>52</v>
      </c>
      <c r="AD12" s="104" t="s">
        <v>51</v>
      </c>
      <c r="AE12" s="105">
        <v>17700</v>
      </c>
      <c r="AF12" s="106">
        <f t="shared" si="11"/>
        <v>8000</v>
      </c>
      <c r="AG12" s="106">
        <f t="shared" si="12"/>
        <v>2000</v>
      </c>
      <c r="AH12" s="107">
        <f t="shared" si="13"/>
        <v>4000</v>
      </c>
      <c r="AI12" s="108">
        <f t="shared" si="14"/>
        <v>31700</v>
      </c>
      <c r="AJ12" s="106">
        <f t="shared" si="15"/>
        <v>34000</v>
      </c>
      <c r="AK12" s="175">
        <f t="shared" si="1"/>
        <v>26000</v>
      </c>
      <c r="AN12" s="174"/>
      <c r="AO12" s="103" t="s">
        <v>125</v>
      </c>
      <c r="AP12" s="52" t="s">
        <v>52</v>
      </c>
      <c r="AQ12" s="104" t="s">
        <v>51</v>
      </c>
      <c r="AR12" s="176">
        <v>43800</v>
      </c>
      <c r="AS12" s="106">
        <f t="shared" si="2"/>
        <v>31000</v>
      </c>
      <c r="AT12" s="117">
        <f t="shared" si="3"/>
        <v>5000</v>
      </c>
      <c r="AU12" s="106">
        <f t="shared" si="4"/>
        <v>9000</v>
      </c>
      <c r="AV12" s="177">
        <f t="shared" si="16"/>
        <v>88800</v>
      </c>
      <c r="AW12" s="106">
        <f t="shared" si="5"/>
        <v>94000</v>
      </c>
      <c r="AX12" s="175">
        <f t="shared" si="6"/>
        <v>63000</v>
      </c>
      <c r="BA12" s="76">
        <v>32</v>
      </c>
      <c r="BB12" s="77" t="s">
        <v>138</v>
      </c>
      <c r="BC12" s="76" t="str">
        <f t="shared" si="17"/>
        <v>1.22 x 0.914</v>
      </c>
      <c r="BD12" s="78">
        <v>498000</v>
      </c>
      <c r="BE12" s="78">
        <v>553200</v>
      </c>
      <c r="BF12" s="52" t="str">
        <f t="shared" si="18"/>
        <v>1.22 x 9.14</v>
      </c>
      <c r="BG12" s="76">
        <v>5532800</v>
      </c>
      <c r="BH12" s="116">
        <f t="shared" si="7"/>
        <v>6640000</v>
      </c>
      <c r="BI12" s="78">
        <f t="shared" si="8"/>
        <v>727000</v>
      </c>
      <c r="BJ12" s="52"/>
      <c r="BK12" s="178" t="s">
        <v>139</v>
      </c>
      <c r="BL12" s="179">
        <f>(13038235*15%)+13038235</f>
        <v>14993970.25</v>
      </c>
      <c r="BM12" s="192">
        <f t="shared" si="0"/>
        <v>15744000</v>
      </c>
      <c r="BQ12" s="52"/>
      <c r="BR12" s="52"/>
      <c r="BS12" s="52"/>
      <c r="BT12" s="117"/>
      <c r="CG12" s="152"/>
      <c r="CH12" s="153"/>
      <c r="CI12" s="170" t="s">
        <v>118</v>
      </c>
      <c r="CJ12" s="148" t="s">
        <v>119</v>
      </c>
      <c r="CK12" s="171">
        <v>611223</v>
      </c>
      <c r="CL12" s="172">
        <f t="shared" si="9"/>
        <v>734000</v>
      </c>
      <c r="CM12" s="173">
        <f>SUM(CL9:CL12)</f>
        <v>19267000</v>
      </c>
      <c r="CQ12" s="193" t="s">
        <v>140</v>
      </c>
      <c r="CR12" s="85" t="s">
        <v>141</v>
      </c>
      <c r="CS12" s="85" t="s">
        <v>142</v>
      </c>
      <c r="CT12" s="85">
        <v>4020345</v>
      </c>
      <c r="CU12" s="90">
        <f>ROUNDUP(CT12*$CW$8,-3)</f>
        <v>4825000</v>
      </c>
      <c r="CZ12" s="154">
        <v>50</v>
      </c>
      <c r="DA12" s="155" t="s">
        <v>40</v>
      </c>
      <c r="DB12" s="156">
        <v>60</v>
      </c>
      <c r="DC12" s="157">
        <v>108900</v>
      </c>
      <c r="DD12" s="157"/>
      <c r="DE12" s="157">
        <v>67500</v>
      </c>
      <c r="DF12" s="157"/>
      <c r="DG12" s="158">
        <f t="shared" si="32"/>
        <v>148000</v>
      </c>
      <c r="DH12" s="158"/>
      <c r="DI12" s="158">
        <f t="shared" si="22"/>
        <v>92000</v>
      </c>
      <c r="DJ12" s="159"/>
      <c r="DK12" s="157">
        <v>162900</v>
      </c>
      <c r="DL12" s="157"/>
      <c r="DM12" s="157">
        <v>101000</v>
      </c>
      <c r="DN12" s="157"/>
      <c r="DO12" s="157">
        <f t="shared" si="33"/>
        <v>220000</v>
      </c>
      <c r="DP12" s="157"/>
      <c r="DQ12" s="157">
        <f t="shared" si="23"/>
        <v>137000</v>
      </c>
      <c r="DR12" s="160"/>
      <c r="DS12" s="161">
        <f t="shared" si="24"/>
        <v>67000</v>
      </c>
      <c r="DT12" s="161">
        <f t="shared" si="25"/>
        <v>42000</v>
      </c>
      <c r="DU12" s="161">
        <f t="shared" si="26"/>
        <v>99000</v>
      </c>
      <c r="DV12" s="161">
        <f t="shared" si="27"/>
        <v>62000</v>
      </c>
      <c r="DX12" s="154" t="s">
        <v>40</v>
      </c>
      <c r="DY12" s="156">
        <v>63</v>
      </c>
      <c r="DZ12" s="162">
        <v>326126</v>
      </c>
      <c r="EA12" s="162">
        <f t="shared" si="28"/>
        <v>358738.60000000003</v>
      </c>
      <c r="EB12" s="163">
        <f t="shared" si="19"/>
        <v>484297.1100000001</v>
      </c>
      <c r="EC12" s="162">
        <v>469460</v>
      </c>
      <c r="ED12" s="162">
        <f t="shared" si="29"/>
        <v>516406.00000000006</v>
      </c>
      <c r="EE12" s="163">
        <f t="shared" si="20"/>
        <v>697148.10000000009</v>
      </c>
      <c r="EF12" s="162">
        <v>531982</v>
      </c>
      <c r="EG12" s="162">
        <f t="shared" si="30"/>
        <v>585180.20000000007</v>
      </c>
      <c r="EH12" s="164">
        <f t="shared" si="21"/>
        <v>789993.27000000014</v>
      </c>
    </row>
    <row r="13" spans="1:138" ht="17.399999999999999">
      <c r="C13" s="194" t="s">
        <v>22</v>
      </c>
      <c r="D13" s="194"/>
      <c r="E13" s="132">
        <f>SUM(E11:E12)</f>
        <v>163000</v>
      </c>
      <c r="F13" s="195">
        <f t="shared" ref="F13:R13" si="37">SUM(F11:F12)</f>
        <v>192000</v>
      </c>
      <c r="G13" s="195">
        <f t="shared" si="37"/>
        <v>237000</v>
      </c>
      <c r="H13" s="195">
        <f t="shared" si="37"/>
        <v>270000</v>
      </c>
      <c r="I13" s="196">
        <f t="shared" si="37"/>
        <v>315000</v>
      </c>
      <c r="J13" s="197">
        <f t="shared" si="37"/>
        <v>229000</v>
      </c>
      <c r="K13" s="195">
        <f t="shared" si="37"/>
        <v>275000</v>
      </c>
      <c r="L13" s="195">
        <f t="shared" si="37"/>
        <v>339000</v>
      </c>
      <c r="M13" s="195">
        <f t="shared" si="37"/>
        <v>357000</v>
      </c>
      <c r="N13" s="195">
        <f t="shared" si="37"/>
        <v>439000</v>
      </c>
      <c r="O13" s="195">
        <f t="shared" si="37"/>
        <v>468000</v>
      </c>
      <c r="P13" s="195">
        <f t="shared" si="37"/>
        <v>585000</v>
      </c>
      <c r="Q13" s="195">
        <f t="shared" si="37"/>
        <v>731000</v>
      </c>
      <c r="R13" s="196">
        <f t="shared" si="37"/>
        <v>913000</v>
      </c>
      <c r="S13" s="23"/>
      <c r="T13" s="23"/>
      <c r="U13" s="23"/>
      <c r="V13" s="23"/>
      <c r="W13" s="23"/>
      <c r="X13" s="23"/>
      <c r="Y13" s="23"/>
      <c r="Z13" s="23"/>
      <c r="AA13" s="174"/>
      <c r="AB13" s="103" t="s">
        <v>125</v>
      </c>
      <c r="AC13" s="52" t="s">
        <v>52</v>
      </c>
      <c r="AD13" s="104" t="s">
        <v>75</v>
      </c>
      <c r="AE13" s="105">
        <v>16150</v>
      </c>
      <c r="AF13" s="106">
        <f t="shared" si="11"/>
        <v>7000</v>
      </c>
      <c r="AG13" s="106">
        <f t="shared" si="12"/>
        <v>2000</v>
      </c>
      <c r="AH13" s="107">
        <f t="shared" si="13"/>
        <v>4000</v>
      </c>
      <c r="AI13" s="108">
        <f t="shared" si="14"/>
        <v>29150</v>
      </c>
      <c r="AJ13" s="106">
        <f t="shared" si="15"/>
        <v>31000</v>
      </c>
      <c r="AK13" s="175">
        <f t="shared" si="1"/>
        <v>24000</v>
      </c>
      <c r="AN13" s="174"/>
      <c r="AO13" s="103" t="s">
        <v>125</v>
      </c>
      <c r="AP13" s="52" t="s">
        <v>52</v>
      </c>
      <c r="AQ13" s="104" t="s">
        <v>75</v>
      </c>
      <c r="AR13" s="176">
        <v>43800</v>
      </c>
      <c r="AS13" s="106">
        <f t="shared" si="2"/>
        <v>31000</v>
      </c>
      <c r="AT13" s="117">
        <f t="shared" si="3"/>
        <v>5000</v>
      </c>
      <c r="AU13" s="106">
        <f t="shared" si="4"/>
        <v>9000</v>
      </c>
      <c r="AV13" s="177">
        <f t="shared" si="16"/>
        <v>88800</v>
      </c>
      <c r="AW13" s="106">
        <f t="shared" si="5"/>
        <v>94000</v>
      </c>
      <c r="AX13" s="175">
        <f t="shared" si="6"/>
        <v>63000</v>
      </c>
      <c r="BA13" s="76">
        <v>38</v>
      </c>
      <c r="BB13" s="52">
        <v>1.5</v>
      </c>
      <c r="BC13" s="76" t="str">
        <f t="shared" si="17"/>
        <v>1.22 x 0.914</v>
      </c>
      <c r="BD13" s="78">
        <v>778000</v>
      </c>
      <c r="BE13" s="78">
        <v>867000</v>
      </c>
      <c r="BF13" s="52" t="str">
        <f t="shared" si="18"/>
        <v>1.22 x 9.14</v>
      </c>
      <c r="BG13" s="76">
        <v>8675000</v>
      </c>
      <c r="BH13" s="116">
        <f t="shared" si="7"/>
        <v>10410000</v>
      </c>
      <c r="BI13" s="78">
        <f t="shared" si="8"/>
        <v>1139000</v>
      </c>
      <c r="BJ13" s="52"/>
      <c r="BK13" s="52"/>
      <c r="BQ13" s="10" t="s">
        <v>4</v>
      </c>
      <c r="BR13" s="10"/>
      <c r="BS13" s="10"/>
      <c r="BT13" s="10"/>
      <c r="BU13" s="10"/>
      <c r="BX13" s="10" t="s">
        <v>4</v>
      </c>
      <c r="BY13" s="10"/>
      <c r="BZ13" s="10"/>
      <c r="CA13" s="10"/>
      <c r="CB13" s="10"/>
      <c r="CC13" s="10"/>
      <c r="CD13" s="10"/>
      <c r="CG13" s="76">
        <v>3</v>
      </c>
      <c r="CH13" s="78" t="s">
        <v>40</v>
      </c>
      <c r="CI13" s="84" t="s">
        <v>143</v>
      </c>
      <c r="CJ13" s="85" t="s">
        <v>144</v>
      </c>
      <c r="CK13" s="86">
        <v>7183094</v>
      </c>
      <c r="CL13" s="87">
        <f t="shared" si="9"/>
        <v>8620000</v>
      </c>
      <c r="CM13" s="180"/>
      <c r="CQ13" s="76" t="s">
        <v>145</v>
      </c>
      <c r="CR13" s="119" t="s">
        <v>146</v>
      </c>
      <c r="CS13" s="119" t="s">
        <v>147</v>
      </c>
      <c r="CT13" s="119">
        <v>4493937</v>
      </c>
      <c r="CU13" s="123">
        <f t="shared" ref="CU13:CU24" si="38">ROUNDUP(CT13*$CW$8,-3)</f>
        <v>5393000</v>
      </c>
      <c r="CZ13" s="154">
        <v>65</v>
      </c>
      <c r="DA13" s="155" t="s">
        <v>57</v>
      </c>
      <c r="DB13" s="156">
        <v>76</v>
      </c>
      <c r="DC13" s="157">
        <v>158700</v>
      </c>
      <c r="DD13" s="157"/>
      <c r="DE13" s="157">
        <v>91200</v>
      </c>
      <c r="DF13" s="157"/>
      <c r="DG13" s="158">
        <f t="shared" si="32"/>
        <v>215000</v>
      </c>
      <c r="DH13" s="158"/>
      <c r="DI13" s="158">
        <f t="shared" si="22"/>
        <v>124000</v>
      </c>
      <c r="DJ13" s="159"/>
      <c r="DK13" s="157">
        <v>237800</v>
      </c>
      <c r="DL13" s="157"/>
      <c r="DM13" s="157">
        <v>136000</v>
      </c>
      <c r="DN13" s="157"/>
      <c r="DO13" s="157">
        <f t="shared" si="33"/>
        <v>322000</v>
      </c>
      <c r="DP13" s="157"/>
      <c r="DQ13" s="157">
        <f t="shared" si="23"/>
        <v>184000</v>
      </c>
      <c r="DR13" s="160"/>
      <c r="DS13" s="161">
        <f t="shared" si="24"/>
        <v>97000</v>
      </c>
      <c r="DT13" s="161">
        <f t="shared" si="25"/>
        <v>56000</v>
      </c>
      <c r="DU13" s="161">
        <f t="shared" si="26"/>
        <v>145000</v>
      </c>
      <c r="DV13" s="161">
        <f t="shared" si="27"/>
        <v>83000</v>
      </c>
      <c r="DX13" s="154" t="s">
        <v>57</v>
      </c>
      <c r="DY13" s="156">
        <v>75</v>
      </c>
      <c r="DZ13" s="162">
        <v>456306</v>
      </c>
      <c r="EA13" s="162">
        <f t="shared" si="28"/>
        <v>501936.60000000003</v>
      </c>
      <c r="EB13" s="163">
        <f t="shared" si="19"/>
        <v>677614.41000000015</v>
      </c>
      <c r="EC13" s="162">
        <v>668649</v>
      </c>
      <c r="ED13" s="162">
        <f t="shared" si="29"/>
        <v>735513.9</v>
      </c>
      <c r="EE13" s="163">
        <f t="shared" si="20"/>
        <v>992943.76500000013</v>
      </c>
      <c r="EF13" s="162">
        <v>753125</v>
      </c>
      <c r="EG13" s="162">
        <f t="shared" si="30"/>
        <v>828437.50000000012</v>
      </c>
      <c r="EH13" s="164">
        <f t="shared" si="21"/>
        <v>1118390.6250000002</v>
      </c>
    </row>
    <row r="14" spans="1:138" ht="15" thickBot="1">
      <c r="A14" s="1">
        <v>0.8</v>
      </c>
      <c r="C14" s="198" t="s">
        <v>148</v>
      </c>
      <c r="D14" s="198"/>
      <c r="E14" s="199">
        <f>ROUNDUP(E13/$A$14,-3)</f>
        <v>204000</v>
      </c>
      <c r="F14" s="200">
        <f t="shared" ref="F14:R14" si="39">ROUNDUP(F13/$A$14,-3)</f>
        <v>240000</v>
      </c>
      <c r="G14" s="200">
        <f t="shared" si="39"/>
        <v>297000</v>
      </c>
      <c r="H14" s="200">
        <f t="shared" si="39"/>
        <v>338000</v>
      </c>
      <c r="I14" s="201">
        <f t="shared" si="39"/>
        <v>394000</v>
      </c>
      <c r="J14" s="199">
        <f t="shared" si="39"/>
        <v>287000</v>
      </c>
      <c r="K14" s="202">
        <f t="shared" si="39"/>
        <v>344000</v>
      </c>
      <c r="L14" s="202">
        <f t="shared" si="39"/>
        <v>424000</v>
      </c>
      <c r="M14" s="202">
        <f t="shared" si="39"/>
        <v>447000</v>
      </c>
      <c r="N14" s="202">
        <f t="shared" si="39"/>
        <v>549000</v>
      </c>
      <c r="O14" s="202">
        <f t="shared" si="39"/>
        <v>585000</v>
      </c>
      <c r="P14" s="202">
        <f t="shared" si="39"/>
        <v>732000</v>
      </c>
      <c r="Q14" s="202">
        <f t="shared" si="39"/>
        <v>914000</v>
      </c>
      <c r="R14" s="138">
        <f t="shared" si="39"/>
        <v>1142000</v>
      </c>
      <c r="S14" s="139"/>
      <c r="T14" s="139"/>
      <c r="U14" s="139"/>
      <c r="V14" s="139"/>
      <c r="W14" s="139"/>
      <c r="X14" s="139"/>
      <c r="Y14" s="139"/>
      <c r="Z14" s="139"/>
      <c r="AA14" s="203"/>
      <c r="AB14" s="103" t="s">
        <v>125</v>
      </c>
      <c r="AC14" s="52" t="s">
        <v>52</v>
      </c>
      <c r="AD14" s="104" t="s">
        <v>59</v>
      </c>
      <c r="AE14" s="105">
        <v>20750</v>
      </c>
      <c r="AF14" s="106">
        <f t="shared" si="11"/>
        <v>9000</v>
      </c>
      <c r="AG14" s="106">
        <f t="shared" si="12"/>
        <v>3000</v>
      </c>
      <c r="AH14" s="107">
        <f t="shared" si="13"/>
        <v>5000</v>
      </c>
      <c r="AI14" s="108">
        <f t="shared" si="14"/>
        <v>37750</v>
      </c>
      <c r="AJ14" s="106">
        <f t="shared" si="15"/>
        <v>40000</v>
      </c>
      <c r="AK14" s="148">
        <f t="shared" si="1"/>
        <v>31000</v>
      </c>
      <c r="AN14" s="204"/>
      <c r="AO14" s="141" t="s">
        <v>125</v>
      </c>
      <c r="AP14" s="142" t="s">
        <v>52</v>
      </c>
      <c r="AQ14" s="143" t="s">
        <v>59</v>
      </c>
      <c r="AR14" s="182">
        <v>43800</v>
      </c>
      <c r="AS14" s="145">
        <f t="shared" si="2"/>
        <v>31000</v>
      </c>
      <c r="AT14" s="146">
        <f t="shared" si="3"/>
        <v>5000</v>
      </c>
      <c r="AU14" s="145">
        <f t="shared" si="4"/>
        <v>9000</v>
      </c>
      <c r="AV14" s="151">
        <f t="shared" si="16"/>
        <v>88800</v>
      </c>
      <c r="AW14" s="145">
        <f t="shared" si="5"/>
        <v>94000</v>
      </c>
      <c r="AX14" s="148">
        <f t="shared" si="6"/>
        <v>63000</v>
      </c>
      <c r="BA14" s="152">
        <v>50</v>
      </c>
      <c r="BB14" s="142">
        <v>2</v>
      </c>
      <c r="BC14" s="152" t="str">
        <f t="shared" si="17"/>
        <v>1.22 x 0.914</v>
      </c>
      <c r="BD14" s="153">
        <v>895000</v>
      </c>
      <c r="BE14" s="153">
        <v>997000</v>
      </c>
      <c r="BF14" s="142" t="s">
        <v>149</v>
      </c>
      <c r="BG14" s="152">
        <v>2237500</v>
      </c>
      <c r="BH14" s="205">
        <f t="shared" si="7"/>
        <v>2685000</v>
      </c>
      <c r="BI14" s="153">
        <f>ROUNDUP((BH14/9.14),-3)</f>
        <v>294000</v>
      </c>
      <c r="BJ14" s="52"/>
      <c r="BK14" s="52"/>
      <c r="BQ14" s="32" t="s">
        <v>150</v>
      </c>
      <c r="BR14" s="32"/>
      <c r="BS14" s="32"/>
      <c r="BT14" s="32"/>
      <c r="BU14" s="32"/>
      <c r="BX14" s="32" t="s">
        <v>151</v>
      </c>
      <c r="BY14" s="32"/>
      <c r="BZ14" s="32"/>
      <c r="CA14" s="32"/>
      <c r="CB14" s="32"/>
      <c r="CC14" s="32"/>
      <c r="CD14" s="32"/>
      <c r="CG14" s="76"/>
      <c r="CH14" s="78"/>
      <c r="CI14" s="118" t="s">
        <v>80</v>
      </c>
      <c r="CJ14" s="119" t="s">
        <v>81</v>
      </c>
      <c r="CK14" s="120">
        <v>7617055</v>
      </c>
      <c r="CL14" s="121">
        <f t="shared" si="9"/>
        <v>9141000</v>
      </c>
      <c r="CM14" s="88"/>
      <c r="CQ14" s="76" t="s">
        <v>152</v>
      </c>
      <c r="CR14" s="119" t="s">
        <v>153</v>
      </c>
      <c r="CS14" s="119" t="s">
        <v>154</v>
      </c>
      <c r="CT14" s="119">
        <v>7584600</v>
      </c>
      <c r="CU14" s="123">
        <f t="shared" si="38"/>
        <v>9102000</v>
      </c>
      <c r="CZ14" s="154">
        <v>75</v>
      </c>
      <c r="DA14" s="155" t="s">
        <v>77</v>
      </c>
      <c r="DB14" s="156">
        <v>89</v>
      </c>
      <c r="DC14" s="157">
        <v>223500</v>
      </c>
      <c r="DD14" s="157"/>
      <c r="DE14" s="157">
        <v>121000</v>
      </c>
      <c r="DF14" s="157"/>
      <c r="DG14" s="158">
        <f t="shared" si="32"/>
        <v>302000</v>
      </c>
      <c r="DH14" s="158"/>
      <c r="DI14" s="158">
        <f t="shared" si="22"/>
        <v>164000</v>
      </c>
      <c r="DJ14" s="159"/>
      <c r="DK14" s="157">
        <v>335000</v>
      </c>
      <c r="DL14" s="157"/>
      <c r="DM14" s="157">
        <v>181100</v>
      </c>
      <c r="DN14" s="157"/>
      <c r="DO14" s="157">
        <f t="shared" si="33"/>
        <v>453000</v>
      </c>
      <c r="DP14" s="157"/>
      <c r="DQ14" s="157">
        <f t="shared" si="23"/>
        <v>245000</v>
      </c>
      <c r="DR14" s="160"/>
      <c r="DS14" s="161">
        <f t="shared" si="24"/>
        <v>136000</v>
      </c>
      <c r="DT14" s="161">
        <f t="shared" si="25"/>
        <v>74000</v>
      </c>
      <c r="DU14" s="161">
        <f t="shared" si="26"/>
        <v>204000</v>
      </c>
      <c r="DV14" s="161">
        <f t="shared" si="27"/>
        <v>111000</v>
      </c>
      <c r="DX14" s="154" t="s">
        <v>77</v>
      </c>
      <c r="DY14" s="156">
        <v>90</v>
      </c>
      <c r="DZ14" s="162">
        <v>658649</v>
      </c>
      <c r="EA14" s="162">
        <f t="shared" si="28"/>
        <v>724513.9</v>
      </c>
      <c r="EB14" s="163">
        <f t="shared" si="19"/>
        <v>978093.76500000013</v>
      </c>
      <c r="EC14" s="162">
        <v>958378</v>
      </c>
      <c r="ED14" s="162">
        <f t="shared" si="29"/>
        <v>1054215.8</v>
      </c>
      <c r="EE14" s="163">
        <f t="shared" si="20"/>
        <v>1423191.33</v>
      </c>
      <c r="EF14" s="162">
        <v>1082432</v>
      </c>
      <c r="EG14" s="162">
        <f t="shared" si="30"/>
        <v>1190675.2000000002</v>
      </c>
      <c r="EH14" s="164">
        <f t="shared" si="21"/>
        <v>1607411.5200000003</v>
      </c>
    </row>
    <row r="15" spans="1:138" ht="15" thickBot="1">
      <c r="C15" s="206"/>
      <c r="D15" s="206"/>
      <c r="E15" s="206"/>
      <c r="F15" s="207"/>
      <c r="G15" s="207"/>
      <c r="H15" s="207"/>
      <c r="I15" s="208"/>
      <c r="J15" s="209"/>
      <c r="K15" s="207"/>
      <c r="L15" s="207"/>
      <c r="M15" s="207"/>
      <c r="N15" s="207"/>
      <c r="O15" s="207"/>
      <c r="P15" s="207"/>
      <c r="Q15" s="207"/>
      <c r="R15" s="208"/>
      <c r="S15" s="23"/>
      <c r="T15" s="23"/>
      <c r="U15" s="23"/>
      <c r="V15" s="23"/>
      <c r="W15" s="23"/>
      <c r="X15" s="23"/>
      <c r="Y15" s="23"/>
      <c r="Z15" s="23"/>
      <c r="AA15" s="46" t="s">
        <v>40</v>
      </c>
      <c r="AB15" s="103" t="s">
        <v>40</v>
      </c>
      <c r="AC15" s="52" t="s">
        <v>52</v>
      </c>
      <c r="AD15" s="104" t="s">
        <v>53</v>
      </c>
      <c r="AE15" s="105">
        <v>24600</v>
      </c>
      <c r="AF15" s="106">
        <f t="shared" si="11"/>
        <v>10000</v>
      </c>
      <c r="AG15" s="106">
        <f t="shared" si="12"/>
        <v>3000</v>
      </c>
      <c r="AH15" s="107">
        <f t="shared" si="13"/>
        <v>5000</v>
      </c>
      <c r="AI15" s="108">
        <f t="shared" si="14"/>
        <v>42600</v>
      </c>
      <c r="AJ15" s="106">
        <f t="shared" si="15"/>
        <v>45000</v>
      </c>
      <c r="AK15" s="109">
        <f t="shared" si="1"/>
        <v>35000</v>
      </c>
      <c r="AN15" s="46" t="s">
        <v>40</v>
      </c>
      <c r="AO15" s="103" t="s">
        <v>40</v>
      </c>
      <c r="AP15" s="52" t="s">
        <v>52</v>
      </c>
      <c r="AQ15" s="104" t="s">
        <v>53</v>
      </c>
      <c r="AR15" s="176">
        <v>56200</v>
      </c>
      <c r="AS15" s="106">
        <f t="shared" si="2"/>
        <v>40000</v>
      </c>
      <c r="AT15" s="117">
        <f t="shared" si="3"/>
        <v>6000</v>
      </c>
      <c r="AU15" s="106">
        <f t="shared" si="4"/>
        <v>12000</v>
      </c>
      <c r="AV15" s="177">
        <f t="shared" si="16"/>
        <v>114200</v>
      </c>
      <c r="AW15" s="106">
        <f t="shared" si="5"/>
        <v>120000</v>
      </c>
      <c r="AX15" s="109">
        <f t="shared" si="6"/>
        <v>80000</v>
      </c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6"/>
      <c r="BL15" s="6"/>
      <c r="BM15" s="6"/>
      <c r="BQ15" s="52"/>
      <c r="BX15" s="52"/>
      <c r="CG15" s="76"/>
      <c r="CH15" s="78"/>
      <c r="CI15" s="118" t="s">
        <v>110</v>
      </c>
      <c r="CJ15" s="119" t="s">
        <v>111</v>
      </c>
      <c r="CK15" s="120">
        <v>1711285</v>
      </c>
      <c r="CL15" s="121">
        <f t="shared" si="9"/>
        <v>2054000</v>
      </c>
      <c r="CM15" s="88"/>
      <c r="CQ15" s="76" t="s">
        <v>155</v>
      </c>
      <c r="CR15" s="119" t="s">
        <v>156</v>
      </c>
      <c r="CS15" s="119" t="s">
        <v>157</v>
      </c>
      <c r="CT15" s="119">
        <v>8771493</v>
      </c>
      <c r="CU15" s="123">
        <f t="shared" si="38"/>
        <v>10526000</v>
      </c>
      <c r="CZ15" s="154">
        <v>100</v>
      </c>
      <c r="DA15" s="155" t="s">
        <v>108</v>
      </c>
      <c r="DB15" s="156">
        <v>114</v>
      </c>
      <c r="DC15" s="157">
        <v>370300</v>
      </c>
      <c r="DD15" s="157"/>
      <c r="DE15" s="157">
        <v>190300</v>
      </c>
      <c r="DF15" s="157"/>
      <c r="DG15" s="158">
        <f t="shared" si="32"/>
        <v>500000</v>
      </c>
      <c r="DH15" s="158"/>
      <c r="DI15" s="158">
        <f t="shared" si="22"/>
        <v>257000</v>
      </c>
      <c r="DJ15" s="159"/>
      <c r="DK15" s="157">
        <v>555000</v>
      </c>
      <c r="DL15" s="157"/>
      <c r="DM15" s="157">
        <v>285100</v>
      </c>
      <c r="DN15" s="157"/>
      <c r="DO15" s="157">
        <f t="shared" si="33"/>
        <v>750000</v>
      </c>
      <c r="DP15" s="157"/>
      <c r="DQ15" s="157">
        <f t="shared" si="23"/>
        <v>385000</v>
      </c>
      <c r="DR15" s="160"/>
      <c r="DS15" s="161">
        <f t="shared" si="24"/>
        <v>225000</v>
      </c>
      <c r="DT15" s="161">
        <f t="shared" si="25"/>
        <v>116000</v>
      </c>
      <c r="DU15" s="161">
        <f t="shared" si="26"/>
        <v>338000</v>
      </c>
      <c r="DV15" s="161">
        <f t="shared" si="27"/>
        <v>174000</v>
      </c>
      <c r="DX15" s="154" t="s">
        <v>108</v>
      </c>
      <c r="DY15" s="156">
        <v>110</v>
      </c>
      <c r="DZ15" s="162">
        <v>978108</v>
      </c>
      <c r="EA15" s="162">
        <f t="shared" si="28"/>
        <v>1075918.8</v>
      </c>
      <c r="EB15" s="163">
        <f t="shared" si="19"/>
        <v>1452490.3800000001</v>
      </c>
      <c r="EC15" s="162">
        <v>1435766</v>
      </c>
      <c r="ED15" s="162">
        <f t="shared" si="29"/>
        <v>1579342.6</v>
      </c>
      <c r="EE15" s="163">
        <f t="shared" si="20"/>
        <v>2132112.5100000002</v>
      </c>
      <c r="EF15" s="162">
        <v>1617658</v>
      </c>
      <c r="EG15" s="162">
        <f t="shared" si="30"/>
        <v>1779423.8</v>
      </c>
      <c r="EH15" s="164">
        <f t="shared" si="21"/>
        <v>2402222.1300000004</v>
      </c>
    </row>
    <row r="16" spans="1:138" ht="18" thickBot="1">
      <c r="C16" s="184" t="s">
        <v>158</v>
      </c>
      <c r="D16" s="184"/>
      <c r="E16" s="210">
        <f>ROUNDUP(E13*$S$16,-3)</f>
        <v>41000</v>
      </c>
      <c r="F16" s="211">
        <f t="shared" ref="F16:R16" si="40">ROUNDUP(F13*$S$16,-3)</f>
        <v>48000</v>
      </c>
      <c r="G16" s="211">
        <f t="shared" si="40"/>
        <v>60000</v>
      </c>
      <c r="H16" s="211">
        <f t="shared" si="40"/>
        <v>68000</v>
      </c>
      <c r="I16" s="212">
        <f t="shared" si="40"/>
        <v>79000</v>
      </c>
      <c r="J16" s="213">
        <f t="shared" si="40"/>
        <v>58000</v>
      </c>
      <c r="K16" s="211">
        <f t="shared" si="40"/>
        <v>69000</v>
      </c>
      <c r="L16" s="211">
        <f t="shared" si="40"/>
        <v>85000</v>
      </c>
      <c r="M16" s="211">
        <f t="shared" si="40"/>
        <v>90000</v>
      </c>
      <c r="N16" s="211">
        <f t="shared" si="40"/>
        <v>110000</v>
      </c>
      <c r="O16" s="211">
        <f t="shared" si="40"/>
        <v>117000</v>
      </c>
      <c r="P16" s="211">
        <f t="shared" si="40"/>
        <v>147000</v>
      </c>
      <c r="Q16" s="211">
        <f t="shared" si="40"/>
        <v>183000</v>
      </c>
      <c r="R16" s="212">
        <f t="shared" si="40"/>
        <v>229000</v>
      </c>
      <c r="S16" s="23">
        <v>0.25</v>
      </c>
      <c r="T16" s="23"/>
      <c r="U16" s="23"/>
      <c r="V16" s="23"/>
      <c r="W16" s="23"/>
      <c r="X16" s="23"/>
      <c r="Y16" s="23"/>
      <c r="Z16" s="23"/>
      <c r="AA16" s="174"/>
      <c r="AB16" s="103" t="s">
        <v>40</v>
      </c>
      <c r="AC16" s="52" t="s">
        <v>52</v>
      </c>
      <c r="AD16" s="104" t="s">
        <v>51</v>
      </c>
      <c r="AE16" s="105">
        <v>25400</v>
      </c>
      <c r="AF16" s="106">
        <f t="shared" si="11"/>
        <v>11000</v>
      </c>
      <c r="AG16" s="106">
        <f t="shared" si="12"/>
        <v>3000</v>
      </c>
      <c r="AH16" s="107">
        <f t="shared" si="13"/>
        <v>6000</v>
      </c>
      <c r="AI16" s="108">
        <f t="shared" si="14"/>
        <v>45400</v>
      </c>
      <c r="AJ16" s="106">
        <f t="shared" si="15"/>
        <v>48000</v>
      </c>
      <c r="AK16" s="175">
        <f t="shared" si="1"/>
        <v>37000</v>
      </c>
      <c r="AN16" s="174"/>
      <c r="AO16" s="103" t="s">
        <v>40</v>
      </c>
      <c r="AP16" s="52" t="s">
        <v>52</v>
      </c>
      <c r="AQ16" s="104" t="s">
        <v>51</v>
      </c>
      <c r="AR16" s="176">
        <v>56800</v>
      </c>
      <c r="AS16" s="106">
        <f t="shared" si="2"/>
        <v>40000</v>
      </c>
      <c r="AT16" s="117">
        <f t="shared" si="3"/>
        <v>6000</v>
      </c>
      <c r="AU16" s="106">
        <f t="shared" si="4"/>
        <v>12000</v>
      </c>
      <c r="AV16" s="177">
        <f t="shared" si="16"/>
        <v>114800</v>
      </c>
      <c r="AW16" s="106">
        <f t="shared" si="5"/>
        <v>121000</v>
      </c>
      <c r="AX16" s="175">
        <f t="shared" si="6"/>
        <v>81000</v>
      </c>
      <c r="BA16" s="5" t="s">
        <v>159</v>
      </c>
      <c r="BB16" s="5"/>
      <c r="BC16" s="5"/>
      <c r="BD16" s="5"/>
      <c r="BE16" s="5"/>
      <c r="BF16" s="5"/>
      <c r="BG16" s="5"/>
      <c r="BH16" s="5"/>
      <c r="BI16" s="5"/>
      <c r="BJ16" s="10" t="s">
        <v>160</v>
      </c>
      <c r="BK16" s="10"/>
      <c r="BL16" s="10"/>
      <c r="BM16" s="10"/>
      <c r="BN16" s="10"/>
      <c r="BQ16" s="52"/>
      <c r="BR16" s="29" t="s">
        <v>21</v>
      </c>
      <c r="BS16" s="30" t="s">
        <v>22</v>
      </c>
      <c r="BT16" s="31" t="s">
        <v>23</v>
      </c>
      <c r="BX16" s="52"/>
      <c r="BY16" s="29" t="s">
        <v>21</v>
      </c>
      <c r="BZ16" s="30" t="s">
        <v>22</v>
      </c>
      <c r="CA16" s="31" t="s">
        <v>23</v>
      </c>
      <c r="CB16" s="83"/>
      <c r="CC16" s="83"/>
      <c r="CG16" s="152"/>
      <c r="CH16" s="153"/>
      <c r="CI16" s="170" t="s">
        <v>118</v>
      </c>
      <c r="CJ16" s="148" t="s">
        <v>119</v>
      </c>
      <c r="CK16" s="171">
        <v>611223</v>
      </c>
      <c r="CL16" s="172">
        <f t="shared" si="9"/>
        <v>734000</v>
      </c>
      <c r="CM16" s="173">
        <f>SUM(CL13:CL16)</f>
        <v>20549000</v>
      </c>
      <c r="CQ16" s="181"/>
      <c r="CR16" s="119" t="s">
        <v>161</v>
      </c>
      <c r="CS16" s="119" t="s">
        <v>162</v>
      </c>
      <c r="CT16" s="119">
        <v>15503559</v>
      </c>
      <c r="CU16" s="123">
        <f t="shared" si="38"/>
        <v>18605000</v>
      </c>
      <c r="CZ16" s="154">
        <v>125</v>
      </c>
      <c r="DA16" s="155" t="s">
        <v>117</v>
      </c>
      <c r="DB16" s="156">
        <v>140</v>
      </c>
      <c r="DC16" s="157">
        <v>586500</v>
      </c>
      <c r="DD16" s="157"/>
      <c r="DE16" s="157">
        <v>292900</v>
      </c>
      <c r="DF16" s="157"/>
      <c r="DG16" s="158">
        <f t="shared" si="32"/>
        <v>792000</v>
      </c>
      <c r="DH16" s="158"/>
      <c r="DI16" s="158">
        <f t="shared" si="22"/>
        <v>396000</v>
      </c>
      <c r="DJ16" s="159"/>
      <c r="DK16" s="157">
        <v>879600</v>
      </c>
      <c r="DL16" s="157"/>
      <c r="DM16" s="157">
        <v>438800</v>
      </c>
      <c r="DN16" s="157"/>
      <c r="DO16" s="157">
        <f t="shared" si="33"/>
        <v>1188000</v>
      </c>
      <c r="DP16" s="157"/>
      <c r="DQ16" s="157">
        <f t="shared" si="23"/>
        <v>593000</v>
      </c>
      <c r="DR16" s="160"/>
      <c r="DS16" s="161">
        <f t="shared" si="24"/>
        <v>357000</v>
      </c>
      <c r="DT16" s="161">
        <f t="shared" si="25"/>
        <v>179000</v>
      </c>
      <c r="DU16" s="161">
        <f t="shared" si="26"/>
        <v>535000</v>
      </c>
      <c r="DV16" s="161">
        <f t="shared" si="27"/>
        <v>267000</v>
      </c>
      <c r="DX16" s="214" t="s">
        <v>124</v>
      </c>
      <c r="DY16" s="215">
        <v>160</v>
      </c>
      <c r="DZ16" s="216">
        <v>3333423</v>
      </c>
      <c r="EA16" s="216">
        <f t="shared" si="28"/>
        <v>3666765.3000000003</v>
      </c>
      <c r="EB16" s="217">
        <f t="shared" si="19"/>
        <v>4950133.1550000003</v>
      </c>
      <c r="EC16" s="216">
        <v>4833423</v>
      </c>
      <c r="ED16" s="216">
        <f t="shared" si="29"/>
        <v>5316765.3000000007</v>
      </c>
      <c r="EE16" s="217">
        <f t="shared" si="20"/>
        <v>7177633.1550000012</v>
      </c>
      <c r="EF16" s="216">
        <v>5512883</v>
      </c>
      <c r="EG16" s="216">
        <f t="shared" si="30"/>
        <v>6064171.3000000007</v>
      </c>
      <c r="EH16" s="218">
        <f t="shared" si="21"/>
        <v>8186631.2550000018</v>
      </c>
    </row>
    <row r="17" spans="3:138" ht="15" thickBot="1">
      <c r="C17" s="219"/>
      <c r="D17" s="219"/>
      <c r="E17" s="219"/>
      <c r="F17" s="220"/>
      <c r="G17" s="220"/>
      <c r="H17" s="220"/>
      <c r="I17" s="221"/>
      <c r="J17" s="222"/>
      <c r="K17" s="220"/>
      <c r="L17" s="220"/>
      <c r="M17" s="220"/>
      <c r="N17" s="220"/>
      <c r="O17" s="220"/>
      <c r="P17" s="220"/>
      <c r="Q17" s="220"/>
      <c r="R17" s="221"/>
      <c r="S17" s="23"/>
      <c r="T17" s="23"/>
      <c r="U17" s="23"/>
      <c r="V17" s="23"/>
      <c r="W17" s="23"/>
      <c r="X17" s="23"/>
      <c r="Y17" s="23"/>
      <c r="Z17" s="23"/>
      <c r="AA17" s="174"/>
      <c r="AB17" s="103" t="s">
        <v>40</v>
      </c>
      <c r="AC17" s="52" t="s">
        <v>52</v>
      </c>
      <c r="AD17" s="104" t="s">
        <v>75</v>
      </c>
      <c r="AE17" s="105">
        <v>29250</v>
      </c>
      <c r="AF17" s="106">
        <f t="shared" si="11"/>
        <v>12000</v>
      </c>
      <c r="AG17" s="106">
        <f t="shared" si="12"/>
        <v>3000</v>
      </c>
      <c r="AH17" s="107">
        <f t="shared" si="13"/>
        <v>6000</v>
      </c>
      <c r="AI17" s="108">
        <f t="shared" si="14"/>
        <v>50250</v>
      </c>
      <c r="AJ17" s="106">
        <f t="shared" si="15"/>
        <v>53000</v>
      </c>
      <c r="AK17" s="175">
        <f t="shared" si="1"/>
        <v>41000</v>
      </c>
      <c r="AN17" s="174"/>
      <c r="AO17" s="103" t="s">
        <v>40</v>
      </c>
      <c r="AP17" s="52" t="s">
        <v>52</v>
      </c>
      <c r="AQ17" s="104" t="s">
        <v>75</v>
      </c>
      <c r="AR17" s="176">
        <v>56800</v>
      </c>
      <c r="AS17" s="106">
        <f t="shared" si="2"/>
        <v>40000</v>
      </c>
      <c r="AT17" s="117">
        <f t="shared" si="3"/>
        <v>6000</v>
      </c>
      <c r="AU17" s="106">
        <f t="shared" si="4"/>
        <v>12000</v>
      </c>
      <c r="AV17" s="177">
        <f t="shared" si="16"/>
        <v>114800</v>
      </c>
      <c r="AW17" s="106">
        <f t="shared" si="5"/>
        <v>121000</v>
      </c>
      <c r="AX17" s="175">
        <f t="shared" si="6"/>
        <v>81000</v>
      </c>
      <c r="BK17" s="29" t="s">
        <v>21</v>
      </c>
      <c r="BL17" s="30" t="s">
        <v>22</v>
      </c>
      <c r="BM17" s="30" t="s">
        <v>23</v>
      </c>
      <c r="BQ17" s="52"/>
      <c r="BR17" s="152" t="s">
        <v>78</v>
      </c>
      <c r="BS17" s="153">
        <f>(500000*15%)+500000</f>
        <v>575000</v>
      </c>
      <c r="BT17" s="150">
        <f>ROUNDUP(BS17*$BV$21,-3)</f>
        <v>690000</v>
      </c>
      <c r="BV17" s="23">
        <v>0.4</v>
      </c>
      <c r="BX17" s="52"/>
      <c r="BY17" s="223" t="s">
        <v>75</v>
      </c>
      <c r="BZ17" s="224">
        <v>1076500</v>
      </c>
      <c r="CA17" s="225">
        <f>ROUNDUP(BZ17*$CE$21,-3)</f>
        <v>1292000</v>
      </c>
      <c r="CB17" s="117"/>
      <c r="CC17" s="117"/>
      <c r="CE17" s="23">
        <v>0.4</v>
      </c>
      <c r="CG17" s="76">
        <v>4</v>
      </c>
      <c r="CH17" s="78" t="s">
        <v>57</v>
      </c>
      <c r="CI17" s="84" t="s">
        <v>163</v>
      </c>
      <c r="CJ17" s="85" t="s">
        <v>164</v>
      </c>
      <c r="CK17" s="86">
        <v>15642415</v>
      </c>
      <c r="CL17" s="87">
        <f t="shared" si="9"/>
        <v>18771000</v>
      </c>
      <c r="CM17" s="180"/>
      <c r="CQ17" s="181"/>
      <c r="CR17" s="119" t="s">
        <v>165</v>
      </c>
      <c r="CS17" s="119" t="s">
        <v>166</v>
      </c>
      <c r="CT17" s="119">
        <v>29235267</v>
      </c>
      <c r="CU17" s="123">
        <f t="shared" si="38"/>
        <v>35083000</v>
      </c>
      <c r="CZ17" s="154">
        <v>150</v>
      </c>
      <c r="DA17" s="155" t="s">
        <v>124</v>
      </c>
      <c r="DB17" s="156">
        <v>165</v>
      </c>
      <c r="DC17" s="157">
        <v>822500</v>
      </c>
      <c r="DD17" s="157"/>
      <c r="DE17" s="157">
        <v>386200</v>
      </c>
      <c r="DF17" s="157"/>
      <c r="DG17" s="158">
        <f t="shared" si="32"/>
        <v>1111000</v>
      </c>
      <c r="DH17" s="158"/>
      <c r="DI17" s="158">
        <f t="shared" si="22"/>
        <v>522000</v>
      </c>
      <c r="DJ17" s="159"/>
      <c r="DK17" s="157">
        <v>1233700</v>
      </c>
      <c r="DL17" s="157"/>
      <c r="DM17" s="157">
        <v>578800</v>
      </c>
      <c r="DN17" s="157"/>
      <c r="DO17" s="157">
        <f t="shared" si="33"/>
        <v>1666000</v>
      </c>
      <c r="DP17" s="157"/>
      <c r="DQ17" s="157">
        <f t="shared" si="23"/>
        <v>782000</v>
      </c>
      <c r="DR17" s="160"/>
      <c r="DS17" s="161">
        <f t="shared" si="24"/>
        <v>500000</v>
      </c>
      <c r="DT17" s="161">
        <f t="shared" si="25"/>
        <v>235000</v>
      </c>
      <c r="DU17" s="161">
        <f t="shared" si="26"/>
        <v>750000</v>
      </c>
      <c r="DV17" s="161">
        <f t="shared" si="27"/>
        <v>352000</v>
      </c>
    </row>
    <row r="18" spans="3:138" ht="15" thickBot="1"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174"/>
      <c r="AB18" s="103" t="s">
        <v>40</v>
      </c>
      <c r="AC18" s="52" t="s">
        <v>52</v>
      </c>
      <c r="AD18" s="104" t="s">
        <v>59</v>
      </c>
      <c r="AE18" s="105">
        <v>25400</v>
      </c>
      <c r="AF18" s="106">
        <f t="shared" si="11"/>
        <v>11000</v>
      </c>
      <c r="AG18" s="106">
        <f t="shared" si="12"/>
        <v>3000</v>
      </c>
      <c r="AH18" s="107">
        <f t="shared" si="13"/>
        <v>6000</v>
      </c>
      <c r="AI18" s="108">
        <f t="shared" si="14"/>
        <v>45400</v>
      </c>
      <c r="AJ18" s="106">
        <f t="shared" si="15"/>
        <v>48000</v>
      </c>
      <c r="AK18" s="175">
        <f t="shared" si="1"/>
        <v>37000</v>
      </c>
      <c r="AN18" s="174"/>
      <c r="AO18" s="103" t="s">
        <v>40</v>
      </c>
      <c r="AP18" s="52" t="s">
        <v>52</v>
      </c>
      <c r="AQ18" s="104" t="s">
        <v>59</v>
      </c>
      <c r="AR18" s="176">
        <v>56800</v>
      </c>
      <c r="AS18" s="106">
        <f t="shared" si="2"/>
        <v>40000</v>
      </c>
      <c r="AT18" s="117">
        <f t="shared" si="3"/>
        <v>6000</v>
      </c>
      <c r="AU18" s="106">
        <f t="shared" si="4"/>
        <v>12000</v>
      </c>
      <c r="AV18" s="177">
        <f t="shared" si="16"/>
        <v>114800</v>
      </c>
      <c r="AW18" s="106">
        <f t="shared" si="5"/>
        <v>121000</v>
      </c>
      <c r="AX18" s="175">
        <f t="shared" si="6"/>
        <v>81000</v>
      </c>
      <c r="BA18" s="16" t="s">
        <v>167</v>
      </c>
      <c r="BB18" s="17"/>
      <c r="BC18" s="2" t="s">
        <v>2</v>
      </c>
      <c r="BD18" s="3"/>
      <c r="BE18" s="4"/>
      <c r="BF18" s="226" t="s">
        <v>168</v>
      </c>
      <c r="BG18" s="227" t="s">
        <v>169</v>
      </c>
      <c r="BK18" s="53" t="s">
        <v>40</v>
      </c>
      <c r="BL18" s="54">
        <f>(1662950*15%)+1662950</f>
        <v>1912392.5</v>
      </c>
      <c r="BM18" s="228">
        <f t="shared" ref="BM18:BM24" si="41">ROUNDUP(BL18*$BO$22,-3)</f>
        <v>2295000</v>
      </c>
      <c r="BO18" s="23">
        <v>0.4</v>
      </c>
      <c r="BQ18" s="52"/>
      <c r="BR18" s="52"/>
      <c r="BS18" s="52"/>
      <c r="BT18" s="117"/>
      <c r="BV18" s="23">
        <v>0.1</v>
      </c>
      <c r="BX18" s="52"/>
      <c r="BY18" s="229" t="s">
        <v>125</v>
      </c>
      <c r="BZ18" s="230">
        <v>2215000</v>
      </c>
      <c r="CA18" s="231">
        <f>ROUNDUP(BZ18*$CE$21,-3)</f>
        <v>2658000</v>
      </c>
      <c r="CB18" s="117"/>
      <c r="CC18" s="117"/>
      <c r="CE18" s="23">
        <v>0.1</v>
      </c>
      <c r="CG18" s="76"/>
      <c r="CH18" s="78"/>
      <c r="CI18" s="118" t="s">
        <v>80</v>
      </c>
      <c r="CJ18" s="119" t="s">
        <v>81</v>
      </c>
      <c r="CK18" s="120">
        <v>7617055</v>
      </c>
      <c r="CL18" s="121">
        <f t="shared" si="9"/>
        <v>9141000</v>
      </c>
      <c r="CM18" s="88"/>
      <c r="CQ18" s="181"/>
      <c r="CR18" s="119" t="s">
        <v>170</v>
      </c>
      <c r="CS18" s="119" t="s">
        <v>171</v>
      </c>
      <c r="CT18" s="119">
        <v>45169143</v>
      </c>
      <c r="CU18" s="123">
        <f t="shared" si="38"/>
        <v>54203000</v>
      </c>
      <c r="CZ18" s="154">
        <v>200</v>
      </c>
      <c r="DA18" s="155" t="s">
        <v>132</v>
      </c>
      <c r="DB18" s="156">
        <v>216</v>
      </c>
      <c r="DC18" s="157">
        <v>1380000</v>
      </c>
      <c r="DD18" s="157"/>
      <c r="DE18" s="157">
        <v>679000</v>
      </c>
      <c r="DF18" s="157"/>
      <c r="DG18" s="158">
        <f t="shared" si="32"/>
        <v>1863000</v>
      </c>
      <c r="DH18" s="158"/>
      <c r="DI18" s="158">
        <f t="shared" si="22"/>
        <v>917000</v>
      </c>
      <c r="DJ18" s="159"/>
      <c r="DK18" s="157">
        <v>2070100</v>
      </c>
      <c r="DL18" s="157"/>
      <c r="DM18" s="157">
        <v>1018100</v>
      </c>
      <c r="DN18" s="157"/>
      <c r="DO18" s="157">
        <f t="shared" si="33"/>
        <v>2795000</v>
      </c>
      <c r="DP18" s="157"/>
      <c r="DQ18" s="157">
        <f t="shared" si="23"/>
        <v>1375000</v>
      </c>
      <c r="DR18" s="160"/>
      <c r="DS18" s="161">
        <f t="shared" si="24"/>
        <v>839000</v>
      </c>
      <c r="DT18" s="161">
        <f t="shared" si="25"/>
        <v>413000</v>
      </c>
      <c r="DU18" s="161">
        <f t="shared" si="26"/>
        <v>1258000</v>
      </c>
      <c r="DV18" s="161">
        <f t="shared" si="27"/>
        <v>619000</v>
      </c>
      <c r="DX18" s="27" t="s">
        <v>172</v>
      </c>
      <c r="DY18" s="27"/>
      <c r="DZ18" s="27"/>
      <c r="EA18" s="27"/>
      <c r="EB18" s="27"/>
      <c r="ED18" s="27" t="s">
        <v>173</v>
      </c>
      <c r="EE18" s="27"/>
      <c r="EF18" s="27"/>
      <c r="EG18" s="27"/>
      <c r="EH18" s="27"/>
    </row>
    <row r="19" spans="3:138" ht="15" thickBot="1"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140"/>
      <c r="AB19" s="141" t="s">
        <v>40</v>
      </c>
      <c r="AC19" s="142" t="s">
        <v>52</v>
      </c>
      <c r="AD19" s="143" t="s">
        <v>125</v>
      </c>
      <c r="AE19" s="144">
        <v>39250</v>
      </c>
      <c r="AF19" s="145">
        <f t="shared" si="11"/>
        <v>16000</v>
      </c>
      <c r="AG19" s="145">
        <f t="shared" si="12"/>
        <v>4000</v>
      </c>
      <c r="AH19" s="146">
        <f t="shared" si="13"/>
        <v>8000</v>
      </c>
      <c r="AI19" s="147">
        <f t="shared" si="14"/>
        <v>67250</v>
      </c>
      <c r="AJ19" s="145">
        <f t="shared" si="15"/>
        <v>71000</v>
      </c>
      <c r="AK19" s="148">
        <f t="shared" si="1"/>
        <v>55000</v>
      </c>
      <c r="AN19" s="140"/>
      <c r="AO19" s="141" t="s">
        <v>40</v>
      </c>
      <c r="AP19" s="142" t="s">
        <v>52</v>
      </c>
      <c r="AQ19" s="143" t="s">
        <v>125</v>
      </c>
      <c r="AR19" s="176">
        <v>56800</v>
      </c>
      <c r="AS19" s="145">
        <f t="shared" si="2"/>
        <v>40000</v>
      </c>
      <c r="AT19" s="146">
        <f t="shared" si="3"/>
        <v>6000</v>
      </c>
      <c r="AU19" s="145">
        <f t="shared" si="4"/>
        <v>12000</v>
      </c>
      <c r="AV19" s="151">
        <f t="shared" si="16"/>
        <v>114800</v>
      </c>
      <c r="AW19" s="145">
        <f t="shared" si="5"/>
        <v>121000</v>
      </c>
      <c r="AX19" s="148">
        <f t="shared" si="6"/>
        <v>81000</v>
      </c>
      <c r="BA19" s="36"/>
      <c r="BB19" s="37"/>
      <c r="BC19" s="48" t="s">
        <v>174</v>
      </c>
      <c r="BD19" s="30" t="s">
        <v>175</v>
      </c>
      <c r="BE19" s="232" t="s">
        <v>176</v>
      </c>
      <c r="BF19" s="232" t="s">
        <v>177</v>
      </c>
      <c r="BG19" s="233" t="s">
        <v>178</v>
      </c>
      <c r="BK19" s="80" t="s">
        <v>57</v>
      </c>
      <c r="BL19" s="81">
        <f>(1806600*15%)+1806600</f>
        <v>2077590</v>
      </c>
      <c r="BM19" s="228">
        <f t="shared" si="41"/>
        <v>2494000</v>
      </c>
      <c r="BO19" s="23">
        <v>0.1</v>
      </c>
      <c r="BQ19" s="52"/>
      <c r="BR19" s="52"/>
      <c r="BS19" s="52"/>
      <c r="BT19" s="117"/>
      <c r="BV19" s="23">
        <v>0.2</v>
      </c>
      <c r="BX19" s="52"/>
      <c r="BY19" s="52"/>
      <c r="BZ19" s="52"/>
      <c r="CA19" s="117"/>
      <c r="CB19" s="117"/>
      <c r="CC19" s="117"/>
      <c r="CE19" s="23">
        <v>0.2</v>
      </c>
      <c r="CG19" s="76"/>
      <c r="CH19" s="78"/>
      <c r="CI19" s="118" t="s">
        <v>110</v>
      </c>
      <c r="CJ19" s="119" t="s">
        <v>111</v>
      </c>
      <c r="CK19" s="120">
        <v>1711285</v>
      </c>
      <c r="CL19" s="121">
        <f t="shared" si="9"/>
        <v>2054000</v>
      </c>
      <c r="CM19" s="88"/>
      <c r="CQ19" s="181"/>
      <c r="CR19" s="119" t="s">
        <v>179</v>
      </c>
      <c r="CS19" s="119" t="s">
        <v>180</v>
      </c>
      <c r="CT19" s="119">
        <v>59094066</v>
      </c>
      <c r="CU19" s="123">
        <f t="shared" si="38"/>
        <v>70913000</v>
      </c>
      <c r="CZ19" s="154">
        <v>250</v>
      </c>
      <c r="DA19" s="155" t="s">
        <v>136</v>
      </c>
      <c r="DB19" s="156">
        <v>267</v>
      </c>
      <c r="DC19" s="157">
        <v>2133700</v>
      </c>
      <c r="DD19" s="157"/>
      <c r="DE19" s="157">
        <v>1118400</v>
      </c>
      <c r="DF19" s="157"/>
      <c r="DG19" s="158">
        <f t="shared" si="32"/>
        <v>2881000</v>
      </c>
      <c r="DH19" s="158"/>
      <c r="DI19" s="158">
        <f t="shared" si="22"/>
        <v>1510000</v>
      </c>
      <c r="DJ19" s="159"/>
      <c r="DK19" s="157">
        <v>3200500</v>
      </c>
      <c r="DL19" s="157"/>
      <c r="DM19" s="157">
        <v>1677300</v>
      </c>
      <c r="DN19" s="157"/>
      <c r="DO19" s="157">
        <f t="shared" si="33"/>
        <v>4321000</v>
      </c>
      <c r="DP19" s="157"/>
      <c r="DQ19" s="157">
        <f t="shared" si="23"/>
        <v>2265000</v>
      </c>
      <c r="DR19" s="160"/>
      <c r="DS19" s="161">
        <f t="shared" si="24"/>
        <v>1297000</v>
      </c>
      <c r="DT19" s="161">
        <f t="shared" si="25"/>
        <v>680000</v>
      </c>
      <c r="DU19" s="161">
        <f t="shared" si="26"/>
        <v>1945000</v>
      </c>
      <c r="DV19" s="161">
        <f t="shared" si="27"/>
        <v>1020000</v>
      </c>
      <c r="DX19" s="91" t="s">
        <v>65</v>
      </c>
      <c r="DY19" s="97"/>
      <c r="DZ19" s="94"/>
      <c r="EA19" s="94"/>
      <c r="EB19" s="94"/>
      <c r="ED19" s="91" t="s">
        <v>65</v>
      </c>
      <c r="EE19" s="97"/>
      <c r="EF19" s="94"/>
      <c r="EG19" s="94"/>
      <c r="EH19" s="94"/>
    </row>
    <row r="20" spans="3:138" ht="15" thickBot="1">
      <c r="C20" s="110" t="s">
        <v>181</v>
      </c>
      <c r="D20" s="23">
        <v>318</v>
      </c>
      <c r="E20" s="23">
        <v>267</v>
      </c>
      <c r="F20" s="23">
        <v>216</v>
      </c>
      <c r="G20" s="23">
        <v>165</v>
      </c>
      <c r="H20" s="23">
        <v>140</v>
      </c>
      <c r="I20" s="23">
        <v>114</v>
      </c>
      <c r="J20" s="23">
        <v>89</v>
      </c>
      <c r="K20" s="23">
        <v>76</v>
      </c>
      <c r="L20" s="23">
        <v>60</v>
      </c>
      <c r="M20" s="23">
        <f>40+8</f>
        <v>48</v>
      </c>
      <c r="N20" s="23">
        <v>42</v>
      </c>
      <c r="O20" s="23">
        <v>32</v>
      </c>
      <c r="P20" s="23">
        <v>26</v>
      </c>
      <c r="Q20" s="23">
        <v>22</v>
      </c>
      <c r="R20" s="23"/>
      <c r="S20" s="23"/>
      <c r="T20" s="23"/>
      <c r="U20" s="23"/>
      <c r="V20" s="23"/>
      <c r="W20" s="23"/>
      <c r="X20" s="23"/>
      <c r="Y20" s="23"/>
      <c r="Z20" s="23"/>
      <c r="AA20" s="46" t="s">
        <v>57</v>
      </c>
      <c r="AB20" s="103" t="s">
        <v>57</v>
      </c>
      <c r="AC20" s="52" t="s">
        <v>52</v>
      </c>
      <c r="AD20" s="104" t="s">
        <v>75</v>
      </c>
      <c r="AE20" s="105">
        <v>36900</v>
      </c>
      <c r="AF20" s="106">
        <f t="shared" si="11"/>
        <v>15000</v>
      </c>
      <c r="AG20" s="106">
        <f t="shared" si="12"/>
        <v>4000</v>
      </c>
      <c r="AH20" s="107">
        <f t="shared" si="13"/>
        <v>8000</v>
      </c>
      <c r="AI20" s="108">
        <f t="shared" si="14"/>
        <v>63900</v>
      </c>
      <c r="AJ20" s="106">
        <f t="shared" si="15"/>
        <v>68000</v>
      </c>
      <c r="AK20" s="109">
        <f t="shared" si="1"/>
        <v>53000</v>
      </c>
      <c r="AN20" s="46" t="s">
        <v>57</v>
      </c>
      <c r="AO20" s="103" t="s">
        <v>57</v>
      </c>
      <c r="AP20" s="52" t="s">
        <v>52</v>
      </c>
      <c r="AQ20" s="104" t="s">
        <v>75</v>
      </c>
      <c r="AR20" s="74">
        <v>106200</v>
      </c>
      <c r="AS20" s="114">
        <f t="shared" si="2"/>
        <v>75000</v>
      </c>
      <c r="AT20" s="113">
        <f t="shared" si="3"/>
        <v>11000</v>
      </c>
      <c r="AU20" s="114">
        <f t="shared" si="4"/>
        <v>22000</v>
      </c>
      <c r="AV20" s="115">
        <f t="shared" si="16"/>
        <v>214200</v>
      </c>
      <c r="AW20" s="114">
        <f t="shared" si="5"/>
        <v>225000</v>
      </c>
      <c r="AX20" s="109">
        <f t="shared" si="6"/>
        <v>150000</v>
      </c>
      <c r="BA20" s="234" t="s">
        <v>182</v>
      </c>
      <c r="BB20" s="235"/>
      <c r="BC20" s="224" t="s">
        <v>183</v>
      </c>
      <c r="BD20" s="224" t="s">
        <v>184</v>
      </c>
      <c r="BE20" s="236" t="s">
        <v>185</v>
      </c>
      <c r="BF20" s="237">
        <v>85000</v>
      </c>
      <c r="BG20" s="90">
        <f>ROUNDUP(BF20*$BJ$5,-3)</f>
        <v>102000</v>
      </c>
      <c r="BK20" s="80" t="s">
        <v>77</v>
      </c>
      <c r="BL20" s="81">
        <f>(2031800*15%)+2031800</f>
        <v>2336570</v>
      </c>
      <c r="BM20" s="228">
        <f t="shared" si="41"/>
        <v>2804000</v>
      </c>
      <c r="BO20" s="23">
        <v>0.2</v>
      </c>
      <c r="BQ20" s="52"/>
      <c r="BR20" s="52"/>
      <c r="BS20" s="52"/>
      <c r="BT20" s="117"/>
      <c r="BV20" s="110"/>
      <c r="BX20" s="52"/>
      <c r="BY20" s="52"/>
      <c r="BZ20" s="52"/>
      <c r="CA20" s="117"/>
      <c r="CB20" s="117"/>
      <c r="CC20" s="117"/>
      <c r="CE20" s="110"/>
      <c r="CG20" s="152"/>
      <c r="CH20" s="153"/>
      <c r="CI20" s="170" t="s">
        <v>118</v>
      </c>
      <c r="CJ20" s="148" t="s">
        <v>119</v>
      </c>
      <c r="CK20" s="171">
        <v>611223</v>
      </c>
      <c r="CL20" s="172">
        <f t="shared" si="9"/>
        <v>734000</v>
      </c>
      <c r="CM20" s="173">
        <f>SUM(CL17:CL20)</f>
        <v>30700000</v>
      </c>
      <c r="CQ20" s="181"/>
      <c r="CR20" s="119" t="s">
        <v>186</v>
      </c>
      <c r="CS20" s="119" t="s">
        <v>187</v>
      </c>
      <c r="CT20" s="119">
        <v>121976859</v>
      </c>
      <c r="CU20" s="123">
        <f t="shared" si="38"/>
        <v>146373000</v>
      </c>
      <c r="CZ20" s="214">
        <v>300</v>
      </c>
      <c r="DA20" s="238" t="s">
        <v>139</v>
      </c>
      <c r="DB20" s="215">
        <v>318</v>
      </c>
      <c r="DC20" s="239">
        <v>3008500</v>
      </c>
      <c r="DD20" s="239"/>
      <c r="DE20" s="239">
        <v>1569700</v>
      </c>
      <c r="DF20" s="239"/>
      <c r="DG20" s="240">
        <f t="shared" si="32"/>
        <v>4062000</v>
      </c>
      <c r="DH20" s="240"/>
      <c r="DI20" s="240">
        <f t="shared" si="22"/>
        <v>2120000</v>
      </c>
      <c r="DJ20" s="241"/>
      <c r="DK20" s="239">
        <v>4512500</v>
      </c>
      <c r="DL20" s="239"/>
      <c r="DM20" s="239">
        <v>2354500</v>
      </c>
      <c r="DN20" s="239"/>
      <c r="DO20" s="239">
        <f t="shared" si="33"/>
        <v>6092000</v>
      </c>
      <c r="DP20" s="239"/>
      <c r="DQ20" s="239">
        <f t="shared" si="23"/>
        <v>3179000</v>
      </c>
      <c r="DR20" s="242"/>
      <c r="DS20" s="161">
        <f t="shared" si="24"/>
        <v>1828000</v>
      </c>
      <c r="DT20" s="161">
        <f>ROUNDUP((DI20*45%),-3)</f>
        <v>954000</v>
      </c>
      <c r="DU20" s="161">
        <f t="shared" si="26"/>
        <v>2742000</v>
      </c>
      <c r="DV20" s="161">
        <f t="shared" si="27"/>
        <v>1431000</v>
      </c>
      <c r="DX20" s="124" t="s">
        <v>88</v>
      </c>
      <c r="DY20" s="130" t="s">
        <v>32</v>
      </c>
      <c r="DZ20" s="243" t="s">
        <v>89</v>
      </c>
      <c r="EA20" s="243" t="s">
        <v>90</v>
      </c>
      <c r="EB20" s="243" t="s">
        <v>91</v>
      </c>
      <c r="ED20" s="124" t="s">
        <v>88</v>
      </c>
      <c r="EE20" s="130" t="s">
        <v>32</v>
      </c>
      <c r="EF20" s="243" t="s">
        <v>89</v>
      </c>
      <c r="EG20" s="243" t="s">
        <v>90</v>
      </c>
      <c r="EH20" s="243" t="s">
        <v>91</v>
      </c>
    </row>
    <row r="21" spans="3:138">
      <c r="C21" s="23"/>
      <c r="D21" s="244" t="s">
        <v>139</v>
      </c>
      <c r="E21" s="244" t="s">
        <v>136</v>
      </c>
      <c r="F21" s="244" t="s">
        <v>132</v>
      </c>
      <c r="G21" s="244" t="s">
        <v>124</v>
      </c>
      <c r="H21" s="244" t="s">
        <v>117</v>
      </c>
      <c r="I21" s="244" t="s">
        <v>108</v>
      </c>
      <c r="J21" s="244" t="s">
        <v>77</v>
      </c>
      <c r="K21" s="244" t="s">
        <v>57</v>
      </c>
      <c r="L21" s="244" t="s">
        <v>40</v>
      </c>
      <c r="M21" s="244" t="s">
        <v>125</v>
      </c>
      <c r="N21" s="244" t="s">
        <v>59</v>
      </c>
      <c r="O21" s="244" t="s">
        <v>75</v>
      </c>
      <c r="P21" s="244" t="s">
        <v>51</v>
      </c>
      <c r="Q21" s="244" t="s">
        <v>53</v>
      </c>
      <c r="R21" s="23"/>
      <c r="S21" s="23"/>
      <c r="T21" s="23"/>
      <c r="U21" s="23"/>
      <c r="V21" s="23"/>
      <c r="W21" s="23"/>
      <c r="X21" s="23"/>
      <c r="Y21" s="23"/>
      <c r="Z21" s="23"/>
      <c r="AA21" s="174"/>
      <c r="AB21" s="103" t="s">
        <v>57</v>
      </c>
      <c r="AC21" s="52" t="s">
        <v>52</v>
      </c>
      <c r="AD21" s="104" t="s">
        <v>59</v>
      </c>
      <c r="AE21" s="105">
        <v>41500</v>
      </c>
      <c r="AF21" s="106">
        <f t="shared" si="11"/>
        <v>17000</v>
      </c>
      <c r="AG21" s="106">
        <f t="shared" si="12"/>
        <v>5000</v>
      </c>
      <c r="AH21" s="107">
        <f t="shared" si="13"/>
        <v>9000</v>
      </c>
      <c r="AI21" s="108">
        <f t="shared" si="14"/>
        <v>72500</v>
      </c>
      <c r="AJ21" s="106">
        <f t="shared" si="15"/>
        <v>77000</v>
      </c>
      <c r="AK21" s="175">
        <f t="shared" si="1"/>
        <v>60000</v>
      </c>
      <c r="AN21" s="174"/>
      <c r="AO21" s="103" t="s">
        <v>57</v>
      </c>
      <c r="AP21" s="52" t="s">
        <v>52</v>
      </c>
      <c r="AQ21" s="104" t="s">
        <v>59</v>
      </c>
      <c r="AR21" s="176">
        <v>106200</v>
      </c>
      <c r="AS21" s="106">
        <f t="shared" si="2"/>
        <v>75000</v>
      </c>
      <c r="AT21" s="117">
        <f t="shared" si="3"/>
        <v>11000</v>
      </c>
      <c r="AU21" s="106">
        <f t="shared" si="4"/>
        <v>22000</v>
      </c>
      <c r="AV21" s="177">
        <f t="shared" si="16"/>
        <v>214200</v>
      </c>
      <c r="AW21" s="106">
        <f t="shared" si="5"/>
        <v>225000</v>
      </c>
      <c r="AX21" s="175">
        <f t="shared" si="6"/>
        <v>150000</v>
      </c>
      <c r="BA21" s="245" t="s">
        <v>188</v>
      </c>
      <c r="BB21" s="246"/>
      <c r="BC21" s="247" t="s">
        <v>189</v>
      </c>
      <c r="BD21" s="247" t="s">
        <v>184</v>
      </c>
      <c r="BE21" s="248" t="s">
        <v>185</v>
      </c>
      <c r="BF21" s="81">
        <v>170000</v>
      </c>
      <c r="BG21" s="123">
        <f>ROUNDUP(BF21*$BJ$5,-3)</f>
        <v>204000</v>
      </c>
      <c r="BK21" s="80" t="s">
        <v>108</v>
      </c>
      <c r="BL21" s="81">
        <f>(2462750*15%)+2462750</f>
        <v>2832162.5</v>
      </c>
      <c r="BM21" s="228">
        <f t="shared" si="41"/>
        <v>3399000</v>
      </c>
      <c r="BO21" s="110"/>
      <c r="BQ21" s="52"/>
      <c r="BR21" s="52"/>
      <c r="BS21" s="52"/>
      <c r="BT21" s="117"/>
      <c r="BV21" s="23">
        <v>1.2</v>
      </c>
      <c r="BX21" s="52"/>
      <c r="BY21" s="52"/>
      <c r="BZ21" s="52"/>
      <c r="CA21" s="117"/>
      <c r="CB21" s="117"/>
      <c r="CC21" s="117"/>
      <c r="CE21" s="23">
        <v>1.2</v>
      </c>
      <c r="CG21" s="76">
        <v>5</v>
      </c>
      <c r="CH21" s="78" t="s">
        <v>77</v>
      </c>
      <c r="CI21" s="84" t="s">
        <v>190</v>
      </c>
      <c r="CJ21" s="85" t="s">
        <v>191</v>
      </c>
      <c r="CK21" s="86">
        <v>20111678</v>
      </c>
      <c r="CL21" s="87">
        <f t="shared" si="9"/>
        <v>24135000</v>
      </c>
      <c r="CM21" s="180"/>
      <c r="CQ21" s="181"/>
      <c r="CR21" s="175" t="s">
        <v>192</v>
      </c>
      <c r="CS21" s="175" t="s">
        <v>193</v>
      </c>
      <c r="CT21" s="175">
        <v>202233198</v>
      </c>
      <c r="CU21" s="106">
        <f t="shared" si="38"/>
        <v>242680000</v>
      </c>
      <c r="DX21" s="154" t="s">
        <v>53</v>
      </c>
      <c r="DY21" s="156">
        <v>20</v>
      </c>
      <c r="DZ21" s="162">
        <v>3423</v>
      </c>
      <c r="EA21" s="162">
        <f>DZ21*110%</f>
        <v>3765.3</v>
      </c>
      <c r="EB21" s="163">
        <f t="shared" ref="EB21:EB30" si="42">EA21*$DW$4</f>
        <v>5083.1550000000007</v>
      </c>
      <c r="ED21" s="154" t="s">
        <v>53</v>
      </c>
      <c r="EE21" s="156">
        <v>20</v>
      </c>
      <c r="EF21" s="162">
        <v>2703</v>
      </c>
      <c r="EG21" s="162">
        <f>EF21*110%</f>
        <v>2973.3</v>
      </c>
      <c r="EH21" s="163">
        <f t="shared" ref="EH21:EH30" si="43">EG21*$DW$4</f>
        <v>4013.9550000000004</v>
      </c>
    </row>
    <row r="22" spans="3:138">
      <c r="C22" s="249" t="s">
        <v>194</v>
      </c>
      <c r="D22" s="105">
        <f>ROUNDUP(((3565500/4)*25%)+(3565500/4),-3)</f>
        <v>1115000</v>
      </c>
      <c r="E22" s="105">
        <f>ROUNDUP(((2513500/4)*25%)+(2513500/4),-3)</f>
        <v>786000</v>
      </c>
      <c r="F22" s="105">
        <f>ROUNDUP(((1649700/4)*25%)+(1649700/4),-3)</f>
        <v>516000</v>
      </c>
      <c r="G22" s="105">
        <f>ROUNDUP(((1090800/4)*25%)+(1090800/4),-3)</f>
        <v>341000</v>
      </c>
      <c r="H22" s="105">
        <f>ROUNDUP(((726500/4)*25%)+(726500/4),-3)</f>
        <v>228000</v>
      </c>
      <c r="I22" s="105">
        <f>ROUNDUP(((580300/4)*25%)+(580300/4),-3)</f>
        <v>182000</v>
      </c>
      <c r="J22" s="105">
        <f>ROUNDUP(((375500/4)*25%)+(375500/4),-3)</f>
        <v>118000</v>
      </c>
      <c r="K22" s="105">
        <f>ROUNDUP(((235700/4)*25%)+(235700/4),-3)</f>
        <v>74000</v>
      </c>
      <c r="L22" s="105">
        <f>ROUNDUP(((183200/4)*25%)+(183200/4),-3)</f>
        <v>58000</v>
      </c>
      <c r="M22" s="105">
        <f>ROUNDUP(((129000/4)*25%)+(129000/4),-3)</f>
        <v>41000</v>
      </c>
      <c r="N22" s="105">
        <f>ROUNDUP(((99200/4)*25%)+(99200/4),-3)</f>
        <v>31000</v>
      </c>
      <c r="O22" s="105">
        <f>ROUNDUP(((73600/4)*25%)+(73600/4),-3)</f>
        <v>23000</v>
      </c>
      <c r="P22" s="105">
        <f>ROUNDUP(((50600/4)*25%)+(50600/4),-3)</f>
        <v>16000</v>
      </c>
      <c r="Q22" s="105">
        <f>ROUNDUP(((42200/4)*25%)+(42200/4),-3)</f>
        <v>14000</v>
      </c>
      <c r="R22" s="250"/>
      <c r="S22" s="23"/>
      <c r="T22" s="23"/>
      <c r="U22" s="23"/>
      <c r="V22" s="23"/>
      <c r="W22" s="23"/>
      <c r="X22" s="23"/>
      <c r="Y22" s="23"/>
      <c r="Z22" s="23"/>
      <c r="AA22" s="174"/>
      <c r="AB22" s="103" t="s">
        <v>57</v>
      </c>
      <c r="AC22" s="52" t="s">
        <v>52</v>
      </c>
      <c r="AD22" s="104" t="s">
        <v>125</v>
      </c>
      <c r="AE22" s="105">
        <v>46200</v>
      </c>
      <c r="AF22" s="106">
        <f t="shared" si="11"/>
        <v>19000</v>
      </c>
      <c r="AG22" s="106">
        <f t="shared" si="12"/>
        <v>5000</v>
      </c>
      <c r="AH22" s="107">
        <f t="shared" si="13"/>
        <v>10000</v>
      </c>
      <c r="AI22" s="108">
        <f t="shared" si="14"/>
        <v>80200</v>
      </c>
      <c r="AJ22" s="106">
        <f t="shared" si="15"/>
        <v>85000</v>
      </c>
      <c r="AK22" s="175">
        <f t="shared" si="1"/>
        <v>66000</v>
      </c>
      <c r="AN22" s="174"/>
      <c r="AO22" s="103" t="s">
        <v>57</v>
      </c>
      <c r="AP22" s="52" t="s">
        <v>52</v>
      </c>
      <c r="AQ22" s="104" t="s">
        <v>125</v>
      </c>
      <c r="AR22" s="176">
        <v>106200</v>
      </c>
      <c r="AS22" s="106">
        <f t="shared" si="2"/>
        <v>75000</v>
      </c>
      <c r="AT22" s="117">
        <f t="shared" si="3"/>
        <v>11000</v>
      </c>
      <c r="AU22" s="106">
        <f t="shared" si="4"/>
        <v>22000</v>
      </c>
      <c r="AV22" s="177">
        <f t="shared" si="16"/>
        <v>214200</v>
      </c>
      <c r="AW22" s="106">
        <f t="shared" si="5"/>
        <v>225000</v>
      </c>
      <c r="AX22" s="175">
        <f t="shared" si="6"/>
        <v>150000</v>
      </c>
      <c r="BA22" s="251" t="s">
        <v>195</v>
      </c>
      <c r="BB22" s="252"/>
      <c r="BC22" s="252"/>
      <c r="BD22" s="252"/>
      <c r="BE22" s="253"/>
      <c r="BF22" s="81">
        <v>241000</v>
      </c>
      <c r="BG22" s="123">
        <f>ROUNDUP(BF22*$BJ$5,-3)</f>
        <v>290000</v>
      </c>
      <c r="BK22" s="80" t="s">
        <v>117</v>
      </c>
      <c r="BL22" s="81">
        <f>(3776250*15%)+3776250</f>
        <v>4342687.5</v>
      </c>
      <c r="BM22" s="228">
        <f t="shared" si="41"/>
        <v>5212000</v>
      </c>
      <c r="BO22" s="23">
        <v>1.2</v>
      </c>
      <c r="CG22" s="76"/>
      <c r="CH22" s="78"/>
      <c r="CI22" s="118" t="s">
        <v>80</v>
      </c>
      <c r="CJ22" s="119" t="s">
        <v>81</v>
      </c>
      <c r="CK22" s="120">
        <v>7617055</v>
      </c>
      <c r="CL22" s="121">
        <f t="shared" si="9"/>
        <v>9141000</v>
      </c>
      <c r="CM22" s="88"/>
      <c r="CQ22" s="119"/>
      <c r="CR22" s="119" t="s">
        <v>196</v>
      </c>
      <c r="CS22" s="119" t="s">
        <v>197</v>
      </c>
      <c r="CT22" s="119">
        <v>221121738</v>
      </c>
      <c r="CU22" s="123">
        <f t="shared" si="38"/>
        <v>265347000</v>
      </c>
      <c r="CZ22" s="1" t="s">
        <v>198</v>
      </c>
      <c r="DX22" s="154" t="s">
        <v>51</v>
      </c>
      <c r="DY22" s="156">
        <v>25</v>
      </c>
      <c r="DZ22" s="162">
        <v>3694</v>
      </c>
      <c r="EA22" s="162">
        <f t="shared" ref="EA22:EA30" si="44">DZ22*110%</f>
        <v>4063.4000000000005</v>
      </c>
      <c r="EB22" s="163">
        <f t="shared" si="42"/>
        <v>5485.5900000000011</v>
      </c>
      <c r="ED22" s="154" t="s">
        <v>51</v>
      </c>
      <c r="EE22" s="156">
        <v>25</v>
      </c>
      <c r="EF22" s="162">
        <v>3333</v>
      </c>
      <c r="EG22" s="162">
        <f t="shared" ref="EG22:EG30" si="45">EF22*110%</f>
        <v>3666.3</v>
      </c>
      <c r="EH22" s="163">
        <f t="shared" si="43"/>
        <v>4949.505000000001</v>
      </c>
    </row>
    <row r="23" spans="3:138" ht="18" thickBot="1">
      <c r="C23" s="23" t="s">
        <v>12</v>
      </c>
      <c r="D23" s="107">
        <f t="shared" ref="D23:Q23" si="46">ROUNDUP(($BI$8/(1100/D20)),-3)</f>
        <v>77000</v>
      </c>
      <c r="E23" s="107">
        <f t="shared" si="46"/>
        <v>64000</v>
      </c>
      <c r="F23" s="107">
        <f t="shared" si="46"/>
        <v>52000</v>
      </c>
      <c r="G23" s="107">
        <f t="shared" si="46"/>
        <v>40000</v>
      </c>
      <c r="H23" s="107">
        <f t="shared" si="46"/>
        <v>34000</v>
      </c>
      <c r="I23" s="107">
        <f t="shared" si="46"/>
        <v>28000</v>
      </c>
      <c r="J23" s="107">
        <f t="shared" si="46"/>
        <v>22000</v>
      </c>
      <c r="K23" s="107">
        <f t="shared" si="46"/>
        <v>19000</v>
      </c>
      <c r="L23" s="107">
        <f t="shared" si="46"/>
        <v>15000</v>
      </c>
      <c r="M23" s="107">
        <f t="shared" si="46"/>
        <v>12000</v>
      </c>
      <c r="N23" s="107">
        <f t="shared" si="46"/>
        <v>11000</v>
      </c>
      <c r="O23" s="107">
        <f t="shared" si="46"/>
        <v>8000</v>
      </c>
      <c r="P23" s="107">
        <f t="shared" si="46"/>
        <v>7000</v>
      </c>
      <c r="Q23" s="107">
        <f t="shared" si="46"/>
        <v>6000</v>
      </c>
      <c r="R23" s="23"/>
      <c r="S23" s="23"/>
      <c r="T23" s="23"/>
      <c r="U23" s="23"/>
      <c r="V23" s="23"/>
      <c r="W23" s="23"/>
      <c r="X23" s="23"/>
      <c r="Y23" s="23"/>
      <c r="Z23" s="23"/>
      <c r="AA23" s="140"/>
      <c r="AB23" s="141" t="s">
        <v>57</v>
      </c>
      <c r="AC23" s="142" t="s">
        <v>52</v>
      </c>
      <c r="AD23" s="143" t="s">
        <v>40</v>
      </c>
      <c r="AE23" s="144">
        <v>53900</v>
      </c>
      <c r="AF23" s="145">
        <f t="shared" si="11"/>
        <v>22000</v>
      </c>
      <c r="AG23" s="145">
        <f t="shared" si="12"/>
        <v>6000</v>
      </c>
      <c r="AH23" s="146">
        <f t="shared" si="13"/>
        <v>11000</v>
      </c>
      <c r="AI23" s="147">
        <f t="shared" si="14"/>
        <v>92900</v>
      </c>
      <c r="AJ23" s="145">
        <f t="shared" si="15"/>
        <v>98000</v>
      </c>
      <c r="AK23" s="148">
        <f t="shared" si="1"/>
        <v>76000</v>
      </c>
      <c r="AN23" s="140"/>
      <c r="AO23" s="141" t="s">
        <v>57</v>
      </c>
      <c r="AP23" s="142" t="s">
        <v>52</v>
      </c>
      <c r="AQ23" s="143" t="s">
        <v>40</v>
      </c>
      <c r="AR23" s="176">
        <v>106200</v>
      </c>
      <c r="AS23" s="145">
        <f t="shared" si="2"/>
        <v>75000</v>
      </c>
      <c r="AT23" s="146">
        <f t="shared" si="3"/>
        <v>11000</v>
      </c>
      <c r="AU23" s="145">
        <f t="shared" si="4"/>
        <v>22000</v>
      </c>
      <c r="AV23" s="151">
        <f t="shared" si="16"/>
        <v>214200</v>
      </c>
      <c r="AW23" s="145">
        <f t="shared" si="5"/>
        <v>225000</v>
      </c>
      <c r="AX23" s="148">
        <f t="shared" si="6"/>
        <v>150000</v>
      </c>
      <c r="BA23" s="254" t="s">
        <v>199</v>
      </c>
      <c r="BB23" s="255"/>
      <c r="BC23" s="255"/>
      <c r="BD23" s="255"/>
      <c r="BE23" s="256"/>
      <c r="BF23" s="179">
        <v>222000</v>
      </c>
      <c r="BG23" s="145">
        <f>ROUNDUP(BF23*$BJ$5,-3)</f>
        <v>267000</v>
      </c>
      <c r="BK23" s="80" t="s">
        <v>124</v>
      </c>
      <c r="BL23" s="81">
        <f>(3917300*15%)+3917300</f>
        <v>4504895</v>
      </c>
      <c r="BM23" s="228">
        <f t="shared" si="41"/>
        <v>5406000</v>
      </c>
      <c r="BQ23" s="10" t="s">
        <v>200</v>
      </c>
      <c r="BR23" s="10"/>
      <c r="BS23" s="10"/>
      <c r="BT23" s="10"/>
      <c r="BU23" s="10"/>
      <c r="CG23" s="76"/>
      <c r="CH23" s="78"/>
      <c r="CI23" s="118" t="s">
        <v>110</v>
      </c>
      <c r="CJ23" s="119" t="s">
        <v>111</v>
      </c>
      <c r="CK23" s="120">
        <v>1711285</v>
      </c>
      <c r="CL23" s="121">
        <f t="shared" si="9"/>
        <v>2054000</v>
      </c>
      <c r="CM23" s="88"/>
      <c r="CQ23" s="119"/>
      <c r="CR23" s="119" t="s">
        <v>201</v>
      </c>
      <c r="CS23" s="119" t="s">
        <v>202</v>
      </c>
      <c r="CT23" s="119">
        <v>251874333</v>
      </c>
      <c r="CU23" s="123">
        <f t="shared" si="38"/>
        <v>302250000</v>
      </c>
      <c r="CZ23" s="1" t="s">
        <v>203</v>
      </c>
      <c r="DX23" s="154" t="s">
        <v>75</v>
      </c>
      <c r="DY23" s="156">
        <v>32</v>
      </c>
      <c r="DZ23" s="162">
        <v>4955</v>
      </c>
      <c r="EA23" s="162">
        <f t="shared" si="44"/>
        <v>5450.5</v>
      </c>
      <c r="EB23" s="163">
        <f t="shared" si="42"/>
        <v>7358.1750000000002</v>
      </c>
      <c r="ED23" s="154" t="s">
        <v>75</v>
      </c>
      <c r="EE23" s="156">
        <v>32</v>
      </c>
      <c r="EF23" s="162">
        <v>5586</v>
      </c>
      <c r="EG23" s="162">
        <f t="shared" si="45"/>
        <v>6144.6</v>
      </c>
      <c r="EH23" s="163">
        <f t="shared" si="43"/>
        <v>8295.2100000000009</v>
      </c>
    </row>
    <row r="24" spans="3:138" ht="15" thickBot="1">
      <c r="C24" s="23" t="s">
        <v>13</v>
      </c>
      <c r="D24" s="107">
        <f t="shared" ref="D24:Q24" si="47">ROUNDUP(D22*$R$24,-3)</f>
        <v>446000</v>
      </c>
      <c r="E24" s="107">
        <f t="shared" si="47"/>
        <v>315000</v>
      </c>
      <c r="F24" s="107">
        <f t="shared" si="47"/>
        <v>207000</v>
      </c>
      <c r="G24" s="107">
        <f t="shared" si="47"/>
        <v>137000</v>
      </c>
      <c r="H24" s="107">
        <f t="shared" si="47"/>
        <v>92000</v>
      </c>
      <c r="I24" s="107">
        <f t="shared" si="47"/>
        <v>73000</v>
      </c>
      <c r="J24" s="107">
        <f t="shared" si="47"/>
        <v>48000</v>
      </c>
      <c r="K24" s="107">
        <f t="shared" si="47"/>
        <v>30000</v>
      </c>
      <c r="L24" s="107">
        <f t="shared" si="47"/>
        <v>24000</v>
      </c>
      <c r="M24" s="107">
        <f t="shared" si="47"/>
        <v>17000</v>
      </c>
      <c r="N24" s="107">
        <f t="shared" si="47"/>
        <v>13000</v>
      </c>
      <c r="O24" s="107">
        <f t="shared" si="47"/>
        <v>10000</v>
      </c>
      <c r="P24" s="107">
        <f t="shared" si="47"/>
        <v>7000</v>
      </c>
      <c r="Q24" s="107">
        <f t="shared" si="47"/>
        <v>6000</v>
      </c>
      <c r="R24" s="23">
        <v>0.4</v>
      </c>
      <c r="S24" s="23"/>
      <c r="T24" s="23"/>
      <c r="U24" s="23"/>
      <c r="V24" s="23"/>
      <c r="W24" s="23"/>
      <c r="X24" s="23"/>
      <c r="Y24" s="23"/>
      <c r="Z24" s="23"/>
      <c r="AA24" s="46" t="s">
        <v>77</v>
      </c>
      <c r="AB24" s="103" t="s">
        <v>77</v>
      </c>
      <c r="AC24" s="52" t="s">
        <v>52</v>
      </c>
      <c r="AD24" s="104" t="s">
        <v>75</v>
      </c>
      <c r="AE24" s="105">
        <v>44600</v>
      </c>
      <c r="AF24" s="106">
        <f t="shared" si="11"/>
        <v>18000</v>
      </c>
      <c r="AG24" s="106">
        <f t="shared" si="12"/>
        <v>5000</v>
      </c>
      <c r="AH24" s="107">
        <f t="shared" si="13"/>
        <v>9000</v>
      </c>
      <c r="AI24" s="108">
        <f t="shared" si="14"/>
        <v>76600</v>
      </c>
      <c r="AJ24" s="106">
        <f t="shared" si="15"/>
        <v>81000</v>
      </c>
      <c r="AK24" s="109">
        <f t="shared" si="1"/>
        <v>63000</v>
      </c>
      <c r="AN24" s="46" t="s">
        <v>77</v>
      </c>
      <c r="AO24" s="103" t="s">
        <v>77</v>
      </c>
      <c r="AP24" s="52" t="s">
        <v>52</v>
      </c>
      <c r="AQ24" s="104" t="s">
        <v>75</v>
      </c>
      <c r="AR24" s="74">
        <v>133200</v>
      </c>
      <c r="AS24" s="114">
        <f t="shared" si="2"/>
        <v>94000</v>
      </c>
      <c r="AT24" s="113">
        <f t="shared" si="3"/>
        <v>14000</v>
      </c>
      <c r="AU24" s="114">
        <f t="shared" si="4"/>
        <v>27000</v>
      </c>
      <c r="AV24" s="115">
        <f t="shared" si="16"/>
        <v>268200</v>
      </c>
      <c r="AW24" s="114">
        <f t="shared" si="5"/>
        <v>282000</v>
      </c>
      <c r="AX24" s="109">
        <f t="shared" si="6"/>
        <v>188000</v>
      </c>
      <c r="BK24" s="178" t="s">
        <v>132</v>
      </c>
      <c r="BL24" s="179">
        <f>(7543450*15%)+7543450</f>
        <v>8674967.5</v>
      </c>
      <c r="BM24" s="145">
        <f t="shared" si="41"/>
        <v>10410000</v>
      </c>
      <c r="BQ24" s="32" t="s">
        <v>204</v>
      </c>
      <c r="BR24" s="32"/>
      <c r="BS24" s="32"/>
      <c r="BT24" s="32"/>
      <c r="BU24" s="32"/>
      <c r="CG24" s="152"/>
      <c r="CH24" s="153"/>
      <c r="CI24" s="170" t="s">
        <v>118</v>
      </c>
      <c r="CJ24" s="148" t="s">
        <v>119</v>
      </c>
      <c r="CK24" s="171">
        <v>611223</v>
      </c>
      <c r="CL24" s="172">
        <f t="shared" si="9"/>
        <v>734000</v>
      </c>
      <c r="CM24" s="173">
        <f>SUM(CL21:CL24)</f>
        <v>36064000</v>
      </c>
      <c r="CQ24" s="257"/>
      <c r="CR24" s="257" t="s">
        <v>205</v>
      </c>
      <c r="CS24" s="257" t="s">
        <v>206</v>
      </c>
      <c r="CT24" s="257">
        <v>311765031</v>
      </c>
      <c r="CU24" s="258">
        <f t="shared" si="38"/>
        <v>374119000</v>
      </c>
      <c r="CZ24" s="1" t="s">
        <v>207</v>
      </c>
      <c r="DX24" s="154" t="s">
        <v>59</v>
      </c>
      <c r="DY24" s="156">
        <v>40</v>
      </c>
      <c r="DZ24" s="162">
        <v>9640</v>
      </c>
      <c r="EA24" s="162">
        <f t="shared" si="44"/>
        <v>10604</v>
      </c>
      <c r="EB24" s="163">
        <f t="shared" si="42"/>
        <v>14315.400000000001</v>
      </c>
      <c r="ED24" s="154" t="s">
        <v>59</v>
      </c>
      <c r="EE24" s="156">
        <v>40</v>
      </c>
      <c r="EF24" s="162">
        <v>25405</v>
      </c>
      <c r="EG24" s="162">
        <f t="shared" si="45"/>
        <v>27945.500000000004</v>
      </c>
      <c r="EH24" s="163">
        <f t="shared" si="43"/>
        <v>37726.42500000001</v>
      </c>
    </row>
    <row r="25" spans="3:138" ht="15" thickBot="1">
      <c r="C25" s="23" t="s">
        <v>208</v>
      </c>
      <c r="D25" s="107">
        <f t="shared" ref="D25:Q25" si="48">ROUNDUP(D22*$R$74,-3)</f>
        <v>223000</v>
      </c>
      <c r="E25" s="107">
        <f t="shared" si="48"/>
        <v>158000</v>
      </c>
      <c r="F25" s="107">
        <f t="shared" si="48"/>
        <v>104000</v>
      </c>
      <c r="G25" s="107">
        <f t="shared" si="48"/>
        <v>69000</v>
      </c>
      <c r="H25" s="107">
        <f t="shared" si="48"/>
        <v>46000</v>
      </c>
      <c r="I25" s="107">
        <f t="shared" si="48"/>
        <v>37000</v>
      </c>
      <c r="J25" s="107">
        <f t="shared" si="48"/>
        <v>24000</v>
      </c>
      <c r="K25" s="107">
        <f t="shared" si="48"/>
        <v>15000</v>
      </c>
      <c r="L25" s="107">
        <f t="shared" si="48"/>
        <v>12000</v>
      </c>
      <c r="M25" s="107">
        <f t="shared" si="48"/>
        <v>9000</v>
      </c>
      <c r="N25" s="107">
        <f t="shared" si="48"/>
        <v>7000</v>
      </c>
      <c r="O25" s="107">
        <f t="shared" si="48"/>
        <v>5000</v>
      </c>
      <c r="P25" s="107">
        <f t="shared" si="48"/>
        <v>4000</v>
      </c>
      <c r="Q25" s="107">
        <f t="shared" si="48"/>
        <v>3000</v>
      </c>
      <c r="R25" s="23">
        <v>0.2</v>
      </c>
      <c r="AA25" s="175"/>
      <c r="AB25" s="103" t="s">
        <v>77</v>
      </c>
      <c r="AC25" s="52" t="s">
        <v>52</v>
      </c>
      <c r="AD25" s="104" t="s">
        <v>59</v>
      </c>
      <c r="AE25" s="105">
        <v>49200</v>
      </c>
      <c r="AF25" s="106">
        <f t="shared" si="11"/>
        <v>20000</v>
      </c>
      <c r="AG25" s="106">
        <f t="shared" si="12"/>
        <v>5000</v>
      </c>
      <c r="AH25" s="107">
        <f t="shared" si="13"/>
        <v>10000</v>
      </c>
      <c r="AI25" s="108">
        <f t="shared" si="14"/>
        <v>84200</v>
      </c>
      <c r="AJ25" s="106">
        <f t="shared" si="15"/>
        <v>89000</v>
      </c>
      <c r="AK25" s="175">
        <f t="shared" si="1"/>
        <v>69000</v>
      </c>
      <c r="AN25" s="175"/>
      <c r="AO25" s="103" t="s">
        <v>77</v>
      </c>
      <c r="AP25" s="52" t="s">
        <v>52</v>
      </c>
      <c r="AQ25" s="104" t="s">
        <v>59</v>
      </c>
      <c r="AR25" s="176">
        <v>133200</v>
      </c>
      <c r="AS25" s="106">
        <f t="shared" si="2"/>
        <v>94000</v>
      </c>
      <c r="AT25" s="117">
        <f t="shared" si="3"/>
        <v>14000</v>
      </c>
      <c r="AU25" s="106">
        <f t="shared" si="4"/>
        <v>27000</v>
      </c>
      <c r="AV25" s="177">
        <f t="shared" si="16"/>
        <v>268200</v>
      </c>
      <c r="AW25" s="106">
        <f t="shared" si="5"/>
        <v>282000</v>
      </c>
      <c r="AX25" s="175">
        <f t="shared" si="6"/>
        <v>188000</v>
      </c>
      <c r="BK25" s="52"/>
      <c r="BL25" s="52"/>
      <c r="BM25" s="117"/>
      <c r="BQ25" s="52"/>
      <c r="CG25" s="76">
        <v>6</v>
      </c>
      <c r="CH25" s="78" t="s">
        <v>108</v>
      </c>
      <c r="CI25" s="84" t="s">
        <v>209</v>
      </c>
      <c r="CJ25" s="85" t="s">
        <v>210</v>
      </c>
      <c r="CK25" s="86">
        <v>32230753</v>
      </c>
      <c r="CL25" s="87">
        <f t="shared" si="9"/>
        <v>38677000</v>
      </c>
      <c r="CM25" s="180"/>
      <c r="CZ25" s="1" t="s">
        <v>211</v>
      </c>
      <c r="DX25" s="154" t="s">
        <v>125</v>
      </c>
      <c r="DY25" s="156">
        <v>50</v>
      </c>
      <c r="DZ25" s="162">
        <v>18919</v>
      </c>
      <c r="EA25" s="162">
        <f t="shared" si="44"/>
        <v>20810.900000000001</v>
      </c>
      <c r="EB25" s="163">
        <f t="shared" si="42"/>
        <v>28094.715000000004</v>
      </c>
      <c r="ED25" s="154" t="s">
        <v>125</v>
      </c>
      <c r="EE25" s="156">
        <v>50</v>
      </c>
      <c r="EF25" s="162">
        <v>27748</v>
      </c>
      <c r="EG25" s="162">
        <f t="shared" si="45"/>
        <v>30522.800000000003</v>
      </c>
      <c r="EH25" s="163">
        <f t="shared" si="43"/>
        <v>41205.780000000006</v>
      </c>
    </row>
    <row r="26" spans="3:138" ht="18" thickBot="1">
      <c r="C26" s="259" t="s">
        <v>15</v>
      </c>
      <c r="D26" s="260">
        <f t="shared" ref="D26:Q26" si="49">SUM(D22:D25)</f>
        <v>1861000</v>
      </c>
      <c r="E26" s="260">
        <f t="shared" si="49"/>
        <v>1323000</v>
      </c>
      <c r="F26" s="260">
        <f t="shared" si="49"/>
        <v>879000</v>
      </c>
      <c r="G26" s="260">
        <f t="shared" si="49"/>
        <v>587000</v>
      </c>
      <c r="H26" s="260">
        <f t="shared" si="49"/>
        <v>400000</v>
      </c>
      <c r="I26" s="260">
        <f t="shared" si="49"/>
        <v>320000</v>
      </c>
      <c r="J26" s="260">
        <f t="shared" si="49"/>
        <v>212000</v>
      </c>
      <c r="K26" s="260">
        <f t="shared" si="49"/>
        <v>138000</v>
      </c>
      <c r="L26" s="260">
        <f t="shared" si="49"/>
        <v>109000</v>
      </c>
      <c r="M26" s="260">
        <f t="shared" si="49"/>
        <v>79000</v>
      </c>
      <c r="N26" s="260">
        <f t="shared" si="49"/>
        <v>62000</v>
      </c>
      <c r="O26" s="260">
        <f t="shared" si="49"/>
        <v>46000</v>
      </c>
      <c r="P26" s="260">
        <f t="shared" si="49"/>
        <v>34000</v>
      </c>
      <c r="Q26" s="260">
        <f t="shared" si="49"/>
        <v>29000</v>
      </c>
      <c r="R26" s="110"/>
      <c r="AA26" s="175"/>
      <c r="AB26" s="103" t="s">
        <v>77</v>
      </c>
      <c r="AC26" s="52" t="s">
        <v>52</v>
      </c>
      <c r="AD26" s="104" t="s">
        <v>125</v>
      </c>
      <c r="AE26" s="105">
        <v>53100</v>
      </c>
      <c r="AF26" s="106">
        <f t="shared" si="11"/>
        <v>22000</v>
      </c>
      <c r="AG26" s="106">
        <f t="shared" si="12"/>
        <v>6000</v>
      </c>
      <c r="AH26" s="107">
        <f t="shared" si="13"/>
        <v>11000</v>
      </c>
      <c r="AI26" s="108">
        <f t="shared" si="14"/>
        <v>92100</v>
      </c>
      <c r="AJ26" s="106">
        <f t="shared" si="15"/>
        <v>97000</v>
      </c>
      <c r="AK26" s="175">
        <f t="shared" si="1"/>
        <v>75000</v>
      </c>
      <c r="AN26" s="175"/>
      <c r="AO26" s="103" t="s">
        <v>77</v>
      </c>
      <c r="AP26" s="52" t="s">
        <v>52</v>
      </c>
      <c r="AQ26" s="104" t="s">
        <v>125</v>
      </c>
      <c r="AR26" s="176">
        <v>133200</v>
      </c>
      <c r="AS26" s="106">
        <f t="shared" si="2"/>
        <v>94000</v>
      </c>
      <c r="AT26" s="117">
        <f t="shared" si="3"/>
        <v>14000</v>
      </c>
      <c r="AU26" s="106">
        <f t="shared" si="4"/>
        <v>27000</v>
      </c>
      <c r="AV26" s="177">
        <f t="shared" si="16"/>
        <v>268200</v>
      </c>
      <c r="AW26" s="106">
        <f t="shared" si="5"/>
        <v>282000</v>
      </c>
      <c r="AX26" s="175">
        <f t="shared" si="6"/>
        <v>188000</v>
      </c>
      <c r="BJ26" s="261" t="s">
        <v>212</v>
      </c>
      <c r="BK26" s="261"/>
      <c r="BL26" s="261"/>
      <c r="BM26" s="261"/>
      <c r="BN26" s="261"/>
      <c r="BQ26" s="52"/>
      <c r="BR26" s="29" t="s">
        <v>58</v>
      </c>
      <c r="BS26" s="30" t="s">
        <v>22</v>
      </c>
      <c r="BT26" s="31" t="s">
        <v>23</v>
      </c>
      <c r="CG26" s="76"/>
      <c r="CH26" s="78"/>
      <c r="CI26" s="118" t="s">
        <v>213</v>
      </c>
      <c r="CJ26" s="119" t="s">
        <v>214</v>
      </c>
      <c r="CK26" s="120">
        <v>11746044</v>
      </c>
      <c r="CL26" s="121">
        <f t="shared" si="9"/>
        <v>14096000</v>
      </c>
      <c r="CM26" s="88"/>
      <c r="DX26" s="154" t="s">
        <v>40</v>
      </c>
      <c r="DY26" s="156">
        <v>63</v>
      </c>
      <c r="DZ26" s="162">
        <v>30000</v>
      </c>
      <c r="EA26" s="162">
        <f t="shared" si="44"/>
        <v>33000</v>
      </c>
      <c r="EB26" s="163">
        <f t="shared" si="42"/>
        <v>44550</v>
      </c>
      <c r="ED26" s="154" t="s">
        <v>40</v>
      </c>
      <c r="EE26" s="156">
        <v>63</v>
      </c>
      <c r="EF26" s="162">
        <v>39189</v>
      </c>
      <c r="EG26" s="162">
        <f t="shared" si="45"/>
        <v>43107.9</v>
      </c>
      <c r="EH26" s="163">
        <f t="shared" si="43"/>
        <v>58195.665000000008</v>
      </c>
    </row>
    <row r="27" spans="3:138" ht="15" thickBot="1">
      <c r="C27" s="23" t="s">
        <v>215</v>
      </c>
      <c r="D27" s="107">
        <f t="shared" ref="D27:P27" si="50">ROUNDUP(D26*$R$76,-3)</f>
        <v>1955000</v>
      </c>
      <c r="E27" s="107">
        <f t="shared" si="50"/>
        <v>1390000</v>
      </c>
      <c r="F27" s="107">
        <f t="shared" si="50"/>
        <v>923000</v>
      </c>
      <c r="G27" s="107">
        <f t="shared" si="50"/>
        <v>617000</v>
      </c>
      <c r="H27" s="107">
        <f t="shared" si="50"/>
        <v>420000</v>
      </c>
      <c r="I27" s="107">
        <f t="shared" si="50"/>
        <v>336000</v>
      </c>
      <c r="J27" s="107">
        <f t="shared" si="50"/>
        <v>223000</v>
      </c>
      <c r="K27" s="107">
        <f t="shared" si="50"/>
        <v>145000</v>
      </c>
      <c r="L27" s="107">
        <f t="shared" si="50"/>
        <v>115000</v>
      </c>
      <c r="M27" s="107">
        <f t="shared" si="50"/>
        <v>83000</v>
      </c>
      <c r="N27" s="107">
        <f t="shared" si="50"/>
        <v>66000</v>
      </c>
      <c r="O27" s="107">
        <f t="shared" si="50"/>
        <v>49000</v>
      </c>
      <c r="P27" s="107">
        <f t="shared" si="50"/>
        <v>36000</v>
      </c>
      <c r="Q27" s="107">
        <f>ROUNDUP(Q26*$R$27,-3)</f>
        <v>35000</v>
      </c>
      <c r="R27" s="23">
        <v>1.2</v>
      </c>
      <c r="AA27" s="175"/>
      <c r="AB27" s="103" t="s">
        <v>77</v>
      </c>
      <c r="AC27" s="52" t="s">
        <v>52</v>
      </c>
      <c r="AD27" s="104" t="s">
        <v>40</v>
      </c>
      <c r="AE27" s="105">
        <v>62300</v>
      </c>
      <c r="AF27" s="106">
        <f t="shared" si="11"/>
        <v>25000</v>
      </c>
      <c r="AG27" s="106">
        <f t="shared" si="12"/>
        <v>7000</v>
      </c>
      <c r="AH27" s="107">
        <f t="shared" si="13"/>
        <v>13000</v>
      </c>
      <c r="AI27" s="108">
        <f t="shared" si="14"/>
        <v>107300</v>
      </c>
      <c r="AJ27" s="106">
        <f t="shared" si="15"/>
        <v>113000</v>
      </c>
      <c r="AK27" s="175">
        <f t="shared" si="1"/>
        <v>88000</v>
      </c>
      <c r="AN27" s="175"/>
      <c r="AO27" s="103" t="s">
        <v>77</v>
      </c>
      <c r="AP27" s="52" t="s">
        <v>52</v>
      </c>
      <c r="AQ27" s="104" t="s">
        <v>40</v>
      </c>
      <c r="AR27" s="176">
        <v>133200</v>
      </c>
      <c r="AS27" s="106">
        <f t="shared" si="2"/>
        <v>94000</v>
      </c>
      <c r="AT27" s="117">
        <f t="shared" si="3"/>
        <v>14000</v>
      </c>
      <c r="AU27" s="106">
        <f t="shared" si="4"/>
        <v>27000</v>
      </c>
      <c r="AV27" s="177">
        <f t="shared" si="16"/>
        <v>268200</v>
      </c>
      <c r="AW27" s="106">
        <f t="shared" si="5"/>
        <v>282000</v>
      </c>
      <c r="AX27" s="175">
        <f t="shared" si="6"/>
        <v>188000</v>
      </c>
      <c r="BK27" s="227" t="s">
        <v>21</v>
      </c>
      <c r="BL27" s="227" t="s">
        <v>22</v>
      </c>
      <c r="BM27" s="226" t="s">
        <v>23</v>
      </c>
      <c r="BQ27" s="52"/>
      <c r="BR27" s="262" t="s">
        <v>216</v>
      </c>
      <c r="BS27" s="237">
        <f>(643500*15%)+643500</f>
        <v>740025</v>
      </c>
      <c r="BT27" s="263">
        <f>ROUNDUP(BS27*$BV$31,-3)</f>
        <v>778000</v>
      </c>
      <c r="BV27" s="23">
        <v>0.4</v>
      </c>
      <c r="CG27" s="76"/>
      <c r="CH27" s="78"/>
      <c r="CI27" s="118" t="s">
        <v>110</v>
      </c>
      <c r="CJ27" s="119" t="s">
        <v>111</v>
      </c>
      <c r="CK27" s="120">
        <v>1711285</v>
      </c>
      <c r="CL27" s="121">
        <f t="shared" si="9"/>
        <v>2054000</v>
      </c>
      <c r="CM27" s="88"/>
      <c r="DX27" s="154" t="s">
        <v>57</v>
      </c>
      <c r="DY27" s="156">
        <v>75</v>
      </c>
      <c r="DZ27" s="162">
        <v>71892</v>
      </c>
      <c r="EA27" s="162">
        <f t="shared" si="44"/>
        <v>79081.200000000012</v>
      </c>
      <c r="EB27" s="163">
        <f t="shared" si="42"/>
        <v>106759.62000000002</v>
      </c>
      <c r="ED27" s="154" t="s">
        <v>57</v>
      </c>
      <c r="EE27" s="156">
        <v>75</v>
      </c>
      <c r="EF27" s="162">
        <v>107207</v>
      </c>
      <c r="EG27" s="162">
        <f t="shared" si="45"/>
        <v>117927.70000000001</v>
      </c>
      <c r="EH27" s="163">
        <f t="shared" si="43"/>
        <v>159202.39500000002</v>
      </c>
    </row>
    <row r="28" spans="3:138" ht="45" customHeight="1" thickBot="1">
      <c r="C28" s="23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23"/>
      <c r="AA28" s="148"/>
      <c r="AB28" s="141" t="s">
        <v>77</v>
      </c>
      <c r="AC28" s="142" t="s">
        <v>52</v>
      </c>
      <c r="AD28" s="143" t="s">
        <v>57</v>
      </c>
      <c r="AE28" s="144">
        <v>77700</v>
      </c>
      <c r="AF28" s="145">
        <f t="shared" si="11"/>
        <v>32000</v>
      </c>
      <c r="AG28" s="145">
        <f t="shared" si="12"/>
        <v>8000</v>
      </c>
      <c r="AH28" s="146">
        <f t="shared" si="13"/>
        <v>16000</v>
      </c>
      <c r="AI28" s="147">
        <f t="shared" si="14"/>
        <v>133700</v>
      </c>
      <c r="AJ28" s="145">
        <f t="shared" si="15"/>
        <v>141000</v>
      </c>
      <c r="AK28" s="148">
        <f t="shared" si="1"/>
        <v>109000</v>
      </c>
      <c r="AN28" s="148"/>
      <c r="AO28" s="141" t="s">
        <v>77</v>
      </c>
      <c r="AP28" s="142" t="s">
        <v>52</v>
      </c>
      <c r="AQ28" s="143" t="s">
        <v>57</v>
      </c>
      <c r="AR28" s="176">
        <v>133200</v>
      </c>
      <c r="AS28" s="145">
        <f t="shared" si="2"/>
        <v>94000</v>
      </c>
      <c r="AT28" s="146">
        <f t="shared" si="3"/>
        <v>14000</v>
      </c>
      <c r="AU28" s="145">
        <f t="shared" si="4"/>
        <v>27000</v>
      </c>
      <c r="AV28" s="151">
        <f t="shared" si="16"/>
        <v>268200</v>
      </c>
      <c r="AW28" s="145">
        <f t="shared" si="5"/>
        <v>282000</v>
      </c>
      <c r="AX28" s="148">
        <f t="shared" si="6"/>
        <v>188000</v>
      </c>
      <c r="BK28" s="81" t="s">
        <v>125</v>
      </c>
      <c r="BL28" s="81">
        <f>(4299100*15%)+4299100</f>
        <v>4943965</v>
      </c>
      <c r="BM28" s="90">
        <f t="shared" ref="BM28:BM37" si="51">ROUNDUP(BL28*$BO$32,-3)</f>
        <v>5439000</v>
      </c>
      <c r="BO28" s="23">
        <v>0.4</v>
      </c>
      <c r="BQ28" s="52"/>
      <c r="BR28" s="53" t="s">
        <v>217</v>
      </c>
      <c r="BS28" s="54">
        <f>(643500*15%)+643500</f>
        <v>740025</v>
      </c>
      <c r="BT28" s="55">
        <f t="shared" ref="BT28:BT33" si="52">ROUNDUP(BS28*$BV$31,-3)</f>
        <v>778000</v>
      </c>
      <c r="BV28" s="23">
        <v>0.1</v>
      </c>
      <c r="CG28" s="152"/>
      <c r="CH28" s="153"/>
      <c r="CI28" s="170" t="s">
        <v>118</v>
      </c>
      <c r="CJ28" s="148" t="s">
        <v>119</v>
      </c>
      <c r="CK28" s="171">
        <v>611223</v>
      </c>
      <c r="CL28" s="172">
        <f t="shared" si="9"/>
        <v>734000</v>
      </c>
      <c r="CM28" s="173">
        <f>SUM(CL25:CL28)</f>
        <v>55561000</v>
      </c>
      <c r="CY28" s="264" t="s">
        <v>218</v>
      </c>
      <c r="CZ28" s="264"/>
      <c r="DA28" s="264"/>
      <c r="DK28" s="62"/>
      <c r="DS28" s="63" t="s">
        <v>48</v>
      </c>
      <c r="DT28" s="63"/>
      <c r="DU28" s="63"/>
      <c r="DV28" s="63"/>
      <c r="DX28" s="154" t="s">
        <v>77</v>
      </c>
      <c r="DY28" s="156">
        <v>90</v>
      </c>
      <c r="DZ28" s="265">
        <v>87207</v>
      </c>
      <c r="EA28" s="265">
        <f t="shared" si="44"/>
        <v>95927.700000000012</v>
      </c>
      <c r="EB28" s="163">
        <f t="shared" si="42"/>
        <v>129502.39500000002</v>
      </c>
      <c r="ED28" s="154" t="s">
        <v>77</v>
      </c>
      <c r="EE28" s="156">
        <v>90</v>
      </c>
      <c r="EF28" s="265">
        <v>372883</v>
      </c>
      <c r="EG28" s="265">
        <f t="shared" si="45"/>
        <v>410171.30000000005</v>
      </c>
      <c r="EH28" s="163">
        <f t="shared" si="43"/>
        <v>553731.25500000012</v>
      </c>
    </row>
    <row r="29" spans="3:138" ht="21">
      <c r="C29" s="23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23"/>
      <c r="AA29" s="46" t="s">
        <v>108</v>
      </c>
      <c r="AB29" s="103" t="s">
        <v>108</v>
      </c>
      <c r="AC29" s="52" t="s">
        <v>52</v>
      </c>
      <c r="AD29" s="104" t="s">
        <v>75</v>
      </c>
      <c r="AE29" s="105">
        <v>64600</v>
      </c>
      <c r="AF29" s="106">
        <f t="shared" si="11"/>
        <v>26000</v>
      </c>
      <c r="AG29" s="106">
        <f t="shared" si="12"/>
        <v>7000</v>
      </c>
      <c r="AH29" s="107">
        <f t="shared" si="13"/>
        <v>13000</v>
      </c>
      <c r="AI29" s="108">
        <f t="shared" si="14"/>
        <v>110600</v>
      </c>
      <c r="AJ29" s="106">
        <f t="shared" si="15"/>
        <v>117000</v>
      </c>
      <c r="AK29" s="109">
        <f t="shared" si="1"/>
        <v>91000</v>
      </c>
      <c r="AN29" s="46" t="s">
        <v>108</v>
      </c>
      <c r="AO29" s="103" t="s">
        <v>108</v>
      </c>
      <c r="AP29" s="52" t="s">
        <v>52</v>
      </c>
      <c r="AQ29" s="52" t="s">
        <v>75</v>
      </c>
      <c r="AR29" s="111">
        <v>204000</v>
      </c>
      <c r="AS29" s="112">
        <f t="shared" si="2"/>
        <v>143000</v>
      </c>
      <c r="AT29" s="113">
        <f t="shared" si="3"/>
        <v>21000</v>
      </c>
      <c r="AU29" s="114">
        <f t="shared" si="4"/>
        <v>41000</v>
      </c>
      <c r="AV29" s="115">
        <f t="shared" si="16"/>
        <v>409000</v>
      </c>
      <c r="AW29" s="114">
        <f t="shared" si="5"/>
        <v>430000</v>
      </c>
      <c r="AX29" s="109">
        <f t="shared" si="6"/>
        <v>287000</v>
      </c>
      <c r="BB29" s="266" t="s">
        <v>219</v>
      </c>
      <c r="BC29" s="266"/>
      <c r="BD29" s="266"/>
      <c r="BE29" s="266"/>
      <c r="BF29" s="266"/>
      <c r="BG29" s="266"/>
      <c r="BK29" s="81" t="s">
        <v>40</v>
      </c>
      <c r="BL29" s="81">
        <f>(5019900*15%)+5019900</f>
        <v>5772885</v>
      </c>
      <c r="BM29" s="123">
        <f t="shared" si="51"/>
        <v>6351000</v>
      </c>
      <c r="BO29" s="23">
        <v>0.1</v>
      </c>
      <c r="BQ29" s="52"/>
      <c r="BR29" s="53" t="s">
        <v>220</v>
      </c>
      <c r="BS29" s="54">
        <f>(643500*15%)+643500</f>
        <v>740025</v>
      </c>
      <c r="BT29" s="55">
        <f t="shared" si="52"/>
        <v>778000</v>
      </c>
      <c r="BV29" s="23">
        <v>0.2</v>
      </c>
      <c r="CG29" s="76">
        <v>7</v>
      </c>
      <c r="CH29" s="78" t="s">
        <v>117</v>
      </c>
      <c r="CI29" s="84" t="s">
        <v>221</v>
      </c>
      <c r="CJ29" s="85" t="s">
        <v>222</v>
      </c>
      <c r="CK29" s="86">
        <v>45560434</v>
      </c>
      <c r="CL29" s="87">
        <f t="shared" si="9"/>
        <v>54673000</v>
      </c>
      <c r="CM29" s="180"/>
      <c r="CZ29" s="91" t="s">
        <v>65</v>
      </c>
      <c r="DA29" s="92"/>
      <c r="DB29" s="93" t="s">
        <v>66</v>
      </c>
      <c r="DC29" s="94" t="s">
        <v>67</v>
      </c>
      <c r="DD29" s="94"/>
      <c r="DE29" s="94"/>
      <c r="DF29" s="94"/>
      <c r="DG29" s="94" t="s">
        <v>68</v>
      </c>
      <c r="DH29" s="94"/>
      <c r="DI29" s="94"/>
      <c r="DJ29" s="95"/>
      <c r="DK29" s="94" t="s">
        <v>69</v>
      </c>
      <c r="DL29" s="94"/>
      <c r="DM29" s="94"/>
      <c r="DN29" s="94"/>
      <c r="DO29" s="94" t="s">
        <v>70</v>
      </c>
      <c r="DP29" s="94"/>
      <c r="DQ29" s="94"/>
      <c r="DR29" s="96"/>
      <c r="DS29" s="7" t="s">
        <v>68</v>
      </c>
      <c r="DT29" s="8"/>
      <c r="DU29" s="7" t="s">
        <v>70</v>
      </c>
      <c r="DV29" s="8"/>
      <c r="DX29" s="154" t="s">
        <v>108</v>
      </c>
      <c r="DY29" s="156">
        <v>110</v>
      </c>
      <c r="DZ29" s="162">
        <v>128288</v>
      </c>
      <c r="EA29" s="162">
        <f t="shared" si="44"/>
        <v>141116.80000000002</v>
      </c>
      <c r="EB29" s="163">
        <f t="shared" si="42"/>
        <v>190507.68000000002</v>
      </c>
      <c r="ED29" s="154" t="s">
        <v>108</v>
      </c>
      <c r="EE29" s="156">
        <v>110</v>
      </c>
      <c r="EF29" s="162">
        <v>411982</v>
      </c>
      <c r="EG29" s="162">
        <f t="shared" si="45"/>
        <v>453180.2</v>
      </c>
      <c r="EH29" s="163">
        <f t="shared" si="43"/>
        <v>611793.27</v>
      </c>
    </row>
    <row r="30" spans="3:138" ht="15" thickBot="1">
      <c r="C30" s="110" t="s">
        <v>181</v>
      </c>
      <c r="D30" s="23">
        <v>318</v>
      </c>
      <c r="E30" s="23">
        <v>267</v>
      </c>
      <c r="F30" s="23">
        <v>216</v>
      </c>
      <c r="G30" s="23">
        <v>165</v>
      </c>
      <c r="H30" s="23">
        <v>140</v>
      </c>
      <c r="I30" s="23">
        <v>114</v>
      </c>
      <c r="J30" s="23">
        <v>89</v>
      </c>
      <c r="K30" s="23">
        <v>76</v>
      </c>
      <c r="L30" s="23">
        <v>60</v>
      </c>
      <c r="M30" s="23">
        <f>40+8</f>
        <v>48</v>
      </c>
      <c r="N30" s="23">
        <v>42</v>
      </c>
      <c r="O30" s="23">
        <v>32</v>
      </c>
      <c r="P30" s="23">
        <v>26</v>
      </c>
      <c r="Q30" s="23">
        <v>22</v>
      </c>
      <c r="R30" s="23"/>
      <c r="AA30" s="175"/>
      <c r="AB30" s="103" t="s">
        <v>108</v>
      </c>
      <c r="AC30" s="52" t="s">
        <v>52</v>
      </c>
      <c r="AD30" s="104" t="s">
        <v>59</v>
      </c>
      <c r="AE30" s="105">
        <v>70000</v>
      </c>
      <c r="AF30" s="106">
        <f t="shared" si="11"/>
        <v>28000</v>
      </c>
      <c r="AG30" s="106">
        <f t="shared" si="12"/>
        <v>7000</v>
      </c>
      <c r="AH30" s="107">
        <f t="shared" si="13"/>
        <v>14000</v>
      </c>
      <c r="AI30" s="108">
        <f t="shared" si="14"/>
        <v>119000</v>
      </c>
      <c r="AJ30" s="106">
        <f t="shared" si="15"/>
        <v>125000</v>
      </c>
      <c r="AK30" s="175">
        <f t="shared" si="1"/>
        <v>97000</v>
      </c>
      <c r="AN30" s="175"/>
      <c r="AO30" s="103" t="s">
        <v>108</v>
      </c>
      <c r="AP30" s="52" t="s">
        <v>52</v>
      </c>
      <c r="AQ30" s="52" t="s">
        <v>59</v>
      </c>
      <c r="AR30" s="267">
        <v>204000</v>
      </c>
      <c r="AS30" s="268">
        <f t="shared" si="2"/>
        <v>143000</v>
      </c>
      <c r="AT30" s="117">
        <f t="shared" si="3"/>
        <v>21000</v>
      </c>
      <c r="AU30" s="106">
        <f t="shared" si="4"/>
        <v>41000</v>
      </c>
      <c r="AV30" s="177">
        <f t="shared" si="16"/>
        <v>409000</v>
      </c>
      <c r="AW30" s="106">
        <f t="shared" si="5"/>
        <v>430000</v>
      </c>
      <c r="AX30" s="175">
        <f t="shared" si="6"/>
        <v>287000</v>
      </c>
      <c r="BK30" s="81" t="s">
        <v>57</v>
      </c>
      <c r="BL30" s="81">
        <f>(5841650*15%)+5841650</f>
        <v>6717897.5</v>
      </c>
      <c r="BM30" s="123">
        <f t="shared" si="51"/>
        <v>7390000</v>
      </c>
      <c r="BO30" s="23">
        <v>0.2</v>
      </c>
      <c r="BQ30" s="52"/>
      <c r="BR30" s="53" t="s">
        <v>223</v>
      </c>
      <c r="BS30" s="54">
        <f>(643500*15%)+643500</f>
        <v>740025</v>
      </c>
      <c r="BT30" s="55">
        <f t="shared" si="52"/>
        <v>778000</v>
      </c>
      <c r="BV30" s="110"/>
      <c r="CG30" s="76"/>
      <c r="CH30" s="78"/>
      <c r="CI30" s="118" t="s">
        <v>213</v>
      </c>
      <c r="CJ30" s="119" t="s">
        <v>214</v>
      </c>
      <c r="CK30" s="120">
        <v>11746044</v>
      </c>
      <c r="CL30" s="121">
        <f t="shared" si="9"/>
        <v>14096000</v>
      </c>
      <c r="CM30" s="88"/>
      <c r="CZ30" s="124" t="s">
        <v>32</v>
      </c>
      <c r="DA30" s="125" t="s">
        <v>33</v>
      </c>
      <c r="DB30" s="126"/>
      <c r="DC30" s="127" t="s">
        <v>224</v>
      </c>
      <c r="DD30" s="127"/>
      <c r="DE30" s="127" t="s">
        <v>225</v>
      </c>
      <c r="DF30" s="127"/>
      <c r="DG30" s="127" t="s">
        <v>224</v>
      </c>
      <c r="DH30" s="127"/>
      <c r="DI30" s="127" t="s">
        <v>225</v>
      </c>
      <c r="DJ30" s="127"/>
      <c r="DK30" s="127" t="s">
        <v>224</v>
      </c>
      <c r="DL30" s="127"/>
      <c r="DM30" s="127" t="s">
        <v>225</v>
      </c>
      <c r="DN30" s="127"/>
      <c r="DO30" s="127" t="s">
        <v>224</v>
      </c>
      <c r="DP30" s="127"/>
      <c r="DQ30" s="127" t="s">
        <v>225</v>
      </c>
      <c r="DR30" s="127"/>
      <c r="DS30" s="43" t="s">
        <v>224</v>
      </c>
      <c r="DT30" s="43" t="s">
        <v>226</v>
      </c>
      <c r="DU30" s="43" t="s">
        <v>224</v>
      </c>
      <c r="DV30" s="43" t="s">
        <v>226</v>
      </c>
      <c r="DX30" s="214" t="s">
        <v>124</v>
      </c>
      <c r="DY30" s="215">
        <v>160</v>
      </c>
      <c r="DZ30" s="216">
        <v>641892</v>
      </c>
      <c r="EA30" s="216">
        <f t="shared" si="44"/>
        <v>706081.20000000007</v>
      </c>
      <c r="EB30" s="217">
        <f t="shared" si="42"/>
        <v>953209.62000000011</v>
      </c>
      <c r="ED30" s="214" t="s">
        <v>124</v>
      </c>
      <c r="EE30" s="215">
        <v>160</v>
      </c>
      <c r="EF30" s="216">
        <v>1763694</v>
      </c>
      <c r="EG30" s="216">
        <f t="shared" si="45"/>
        <v>1940063.4000000001</v>
      </c>
      <c r="EH30" s="217">
        <f t="shared" si="43"/>
        <v>2619085.5900000003</v>
      </c>
    </row>
    <row r="31" spans="3:138" ht="15" thickBot="1">
      <c r="C31" s="23"/>
      <c r="D31" s="244"/>
      <c r="E31" s="244" t="s">
        <v>136</v>
      </c>
      <c r="F31" s="244" t="s">
        <v>132</v>
      </c>
      <c r="G31" s="244" t="s">
        <v>124</v>
      </c>
      <c r="H31" s="244" t="s">
        <v>117</v>
      </c>
      <c r="I31" s="244" t="s">
        <v>108</v>
      </c>
      <c r="J31" s="244" t="s">
        <v>77</v>
      </c>
      <c r="K31" s="244" t="s">
        <v>57</v>
      </c>
      <c r="L31" s="244" t="s">
        <v>40</v>
      </c>
      <c r="M31" s="244" t="s">
        <v>125</v>
      </c>
      <c r="N31" s="244" t="s">
        <v>59</v>
      </c>
      <c r="O31" s="244" t="s">
        <v>75</v>
      </c>
      <c r="P31" s="244" t="s">
        <v>51</v>
      </c>
      <c r="Q31" s="244" t="s">
        <v>53</v>
      </c>
      <c r="R31" s="23"/>
      <c r="AA31" s="175"/>
      <c r="AB31" s="103" t="s">
        <v>108</v>
      </c>
      <c r="AC31" s="52" t="s">
        <v>52</v>
      </c>
      <c r="AD31" s="104" t="s">
        <v>125</v>
      </c>
      <c r="AE31" s="105">
        <v>77700</v>
      </c>
      <c r="AF31" s="106">
        <f t="shared" si="11"/>
        <v>32000</v>
      </c>
      <c r="AG31" s="106">
        <f t="shared" si="12"/>
        <v>8000</v>
      </c>
      <c r="AH31" s="107">
        <f t="shared" si="13"/>
        <v>16000</v>
      </c>
      <c r="AI31" s="108">
        <f t="shared" si="14"/>
        <v>133700</v>
      </c>
      <c r="AJ31" s="106">
        <f t="shared" si="15"/>
        <v>141000</v>
      </c>
      <c r="AK31" s="175">
        <f t="shared" si="1"/>
        <v>109000</v>
      </c>
      <c r="AN31" s="175"/>
      <c r="AO31" s="103" t="s">
        <v>108</v>
      </c>
      <c r="AP31" s="52" t="s">
        <v>52</v>
      </c>
      <c r="AQ31" s="52" t="s">
        <v>125</v>
      </c>
      <c r="AR31" s="267">
        <v>204000</v>
      </c>
      <c r="AS31" s="268">
        <f t="shared" si="2"/>
        <v>143000</v>
      </c>
      <c r="AT31" s="117">
        <f t="shared" si="3"/>
        <v>21000</v>
      </c>
      <c r="AU31" s="106">
        <f t="shared" si="4"/>
        <v>41000</v>
      </c>
      <c r="AV31" s="177">
        <f t="shared" si="16"/>
        <v>409000</v>
      </c>
      <c r="AW31" s="106">
        <f t="shared" si="5"/>
        <v>430000</v>
      </c>
      <c r="AX31" s="175">
        <f t="shared" si="6"/>
        <v>287000</v>
      </c>
      <c r="BB31" s="2" t="s">
        <v>227</v>
      </c>
      <c r="BC31" s="3"/>
      <c r="BD31" s="3"/>
      <c r="BE31" s="4"/>
      <c r="BF31" s="2" t="s">
        <v>228</v>
      </c>
      <c r="BG31" s="3"/>
      <c r="BH31" s="3"/>
      <c r="BI31" s="4"/>
      <c r="BK31" s="81" t="s">
        <v>77</v>
      </c>
      <c r="BL31" s="81">
        <f>(6992150*15%)+6992150</f>
        <v>8040972.5</v>
      </c>
      <c r="BM31" s="123">
        <f t="shared" si="51"/>
        <v>8846000</v>
      </c>
      <c r="BO31" s="110"/>
      <c r="BQ31" s="52"/>
      <c r="BR31" s="53" t="s">
        <v>229</v>
      </c>
      <c r="BS31" s="54">
        <f>(643500*15%)+643500</f>
        <v>740025</v>
      </c>
      <c r="BT31" s="55">
        <f t="shared" si="52"/>
        <v>778000</v>
      </c>
      <c r="BV31" s="23">
        <v>1.05</v>
      </c>
      <c r="CG31" s="76"/>
      <c r="CH31" s="78"/>
      <c r="CI31" s="118" t="s">
        <v>110</v>
      </c>
      <c r="CJ31" s="119" t="s">
        <v>111</v>
      </c>
      <c r="CK31" s="120">
        <v>1711285</v>
      </c>
      <c r="CL31" s="121">
        <f t="shared" si="9"/>
        <v>2054000</v>
      </c>
      <c r="CM31" s="88"/>
      <c r="CZ31" s="154">
        <v>16</v>
      </c>
      <c r="DA31" s="155" t="s">
        <v>53</v>
      </c>
      <c r="DB31" s="156">
        <v>22</v>
      </c>
      <c r="DC31" s="269">
        <v>48500</v>
      </c>
      <c r="DD31" s="270"/>
      <c r="DE31" s="269">
        <v>0</v>
      </c>
      <c r="DF31" s="270"/>
      <c r="DG31" s="269">
        <f>ROUNDUP(DC31*$DK$4,-3)</f>
        <v>66000</v>
      </c>
      <c r="DH31" s="270"/>
      <c r="DI31" s="269">
        <f>ROUNDUP(DE31*$DK$4,-3)</f>
        <v>0</v>
      </c>
      <c r="DJ31" s="270"/>
      <c r="DK31" s="269">
        <v>69700</v>
      </c>
      <c r="DL31" s="270"/>
      <c r="DM31" s="269">
        <v>0</v>
      </c>
      <c r="DN31" s="270"/>
      <c r="DO31" s="269">
        <f>ROUNDUP(DK31*$DK$4,-3)</f>
        <v>95000</v>
      </c>
      <c r="DP31" s="270"/>
      <c r="DQ31" s="269">
        <f>ROUNDUP(DM31*$DK$4,-3)</f>
        <v>0</v>
      </c>
      <c r="DR31" s="270"/>
      <c r="DS31" s="271">
        <f>ROUNDUP((DG31*45%),-3)</f>
        <v>30000</v>
      </c>
      <c r="DT31" s="271">
        <f>ROUNDUP((DI31*45%),-3)</f>
        <v>0</v>
      </c>
      <c r="DU31" s="271">
        <f>ROUNDUP((DO31*45%),-3)</f>
        <v>43000</v>
      </c>
      <c r="DV31" s="271">
        <f>ROUNDUP((DQ31*45%),-3)</f>
        <v>0</v>
      </c>
    </row>
    <row r="32" spans="3:138" ht="15" thickBot="1">
      <c r="C32" s="249" t="s">
        <v>230</v>
      </c>
      <c r="D32" s="105"/>
      <c r="E32" s="105">
        <f>ROUNDUP(((537600)*40%)+(537600),-3)</f>
        <v>753000</v>
      </c>
      <c r="F32" s="105">
        <f>ROUNDUP(((402300)*40%)+(402300),-3)</f>
        <v>564000</v>
      </c>
      <c r="G32" s="105">
        <f>ROUNDUP(((177600)*40%)+(177600),-3)</f>
        <v>249000</v>
      </c>
      <c r="H32" s="105">
        <f>ROUNDUP(((106200*40%))+(106200),-3)</f>
        <v>149000</v>
      </c>
      <c r="I32" s="105">
        <f>ROUNDUP(((70200)*40%)+(70200),-3)</f>
        <v>99000</v>
      </c>
      <c r="J32" s="105">
        <f>ROUNDUP(((37900)*40%)+(37900),-3)</f>
        <v>54000</v>
      </c>
      <c r="K32" s="105">
        <f>ROUNDUP(((22600)*40%)+(22600),-3)</f>
        <v>32000</v>
      </c>
      <c r="L32" s="105">
        <f>ROUNDUP(((14300)*40%)+(14300),-3)</f>
        <v>21000</v>
      </c>
      <c r="M32" s="105">
        <f>ROUNDUP(((9400)*40%)+(9400),-3)</f>
        <v>14000</v>
      </c>
      <c r="N32" s="105">
        <f>ROUNDUP(((6800)*40%)+(6800),-3)</f>
        <v>10000</v>
      </c>
      <c r="O32" s="105">
        <f>ROUNDUP(((3900)*40%)+(3900),-3)</f>
        <v>6000</v>
      </c>
      <c r="P32" s="105">
        <f>ROUNDUP(((2500)*40%)+(2500),-3)</f>
        <v>4000</v>
      </c>
      <c r="Q32" s="105">
        <f>ROUNDUP(((1900)*40%)+(1900),-3)</f>
        <v>3000</v>
      </c>
      <c r="R32" s="250"/>
      <c r="AA32" s="175"/>
      <c r="AB32" s="103" t="s">
        <v>108</v>
      </c>
      <c r="AC32" s="52" t="s">
        <v>52</v>
      </c>
      <c r="AD32" s="104" t="s">
        <v>40</v>
      </c>
      <c r="AE32" s="105">
        <v>90000</v>
      </c>
      <c r="AF32" s="106">
        <f t="shared" si="11"/>
        <v>36000</v>
      </c>
      <c r="AG32" s="106">
        <f t="shared" si="12"/>
        <v>9000</v>
      </c>
      <c r="AH32" s="107">
        <f t="shared" si="13"/>
        <v>18000</v>
      </c>
      <c r="AI32" s="108">
        <f t="shared" si="14"/>
        <v>153000</v>
      </c>
      <c r="AJ32" s="106">
        <f t="shared" si="15"/>
        <v>161000</v>
      </c>
      <c r="AK32" s="175">
        <f t="shared" si="1"/>
        <v>125000</v>
      </c>
      <c r="AN32" s="175"/>
      <c r="AO32" s="103" t="s">
        <v>108</v>
      </c>
      <c r="AP32" s="52" t="s">
        <v>52</v>
      </c>
      <c r="AQ32" s="52" t="s">
        <v>40</v>
      </c>
      <c r="AR32" s="267">
        <v>204000</v>
      </c>
      <c r="AS32" s="268">
        <f t="shared" si="2"/>
        <v>143000</v>
      </c>
      <c r="AT32" s="117">
        <f t="shared" si="3"/>
        <v>21000</v>
      </c>
      <c r="AU32" s="106">
        <f t="shared" si="4"/>
        <v>41000</v>
      </c>
      <c r="AV32" s="177">
        <f t="shared" si="16"/>
        <v>409000</v>
      </c>
      <c r="AW32" s="106">
        <f t="shared" si="5"/>
        <v>430000</v>
      </c>
      <c r="AX32" s="175">
        <f t="shared" si="6"/>
        <v>287000</v>
      </c>
      <c r="BB32" s="65" t="s">
        <v>21</v>
      </c>
      <c r="BC32" s="65" t="s">
        <v>231</v>
      </c>
      <c r="BD32" s="65" t="s">
        <v>232</v>
      </c>
      <c r="BE32" s="65" t="s">
        <v>233</v>
      </c>
      <c r="BF32" s="65" t="s">
        <v>21</v>
      </c>
      <c r="BG32" s="65" t="s">
        <v>231</v>
      </c>
      <c r="BH32" s="65" t="s">
        <v>232</v>
      </c>
      <c r="BI32" s="65" t="s">
        <v>233</v>
      </c>
      <c r="BK32" s="81" t="s">
        <v>108</v>
      </c>
      <c r="BL32" s="81">
        <f>(9922000*15%)+9922000</f>
        <v>11410300</v>
      </c>
      <c r="BM32" s="123">
        <f t="shared" si="51"/>
        <v>12552000</v>
      </c>
      <c r="BO32" s="23">
        <v>1.1000000000000001</v>
      </c>
      <c r="BQ32" s="52"/>
      <c r="BR32" s="53" t="s">
        <v>234</v>
      </c>
      <c r="BS32" s="54">
        <f>(858000*15%)+858000</f>
        <v>986700</v>
      </c>
      <c r="BT32" s="55">
        <f t="shared" si="52"/>
        <v>1037000</v>
      </c>
      <c r="CG32" s="152"/>
      <c r="CH32" s="153"/>
      <c r="CI32" s="170" t="s">
        <v>118</v>
      </c>
      <c r="CJ32" s="148" t="s">
        <v>119</v>
      </c>
      <c r="CK32" s="171">
        <v>611223</v>
      </c>
      <c r="CL32" s="172">
        <f t="shared" si="9"/>
        <v>734000</v>
      </c>
      <c r="CM32" s="173">
        <f>SUM(CL29:CL32)</f>
        <v>71557000</v>
      </c>
      <c r="CZ32" s="154">
        <v>20</v>
      </c>
      <c r="DA32" s="155" t="s">
        <v>51</v>
      </c>
      <c r="DB32" s="156">
        <v>26</v>
      </c>
      <c r="DC32" s="269">
        <v>58000</v>
      </c>
      <c r="DD32" s="270"/>
      <c r="DE32" s="269">
        <v>0</v>
      </c>
      <c r="DF32" s="270"/>
      <c r="DG32" s="269">
        <f>ROUNDUP(DC32*$DK$4,-3)</f>
        <v>79000</v>
      </c>
      <c r="DH32" s="270"/>
      <c r="DI32" s="269">
        <f t="shared" ref="DI32:DI44" si="53">ROUNDUP(DE32*$DK$4,-3)</f>
        <v>0</v>
      </c>
      <c r="DJ32" s="270"/>
      <c r="DK32" s="269">
        <v>84200</v>
      </c>
      <c r="DL32" s="270"/>
      <c r="DM32" s="269">
        <v>0</v>
      </c>
      <c r="DN32" s="270"/>
      <c r="DO32" s="269">
        <f>ROUNDUP(DK32*$DK$4,-3)</f>
        <v>114000</v>
      </c>
      <c r="DP32" s="270"/>
      <c r="DQ32" s="269">
        <f t="shared" ref="DQ32:DQ44" si="54">ROUNDUP(DM32*$DK$4,-3)</f>
        <v>0</v>
      </c>
      <c r="DR32" s="270"/>
      <c r="DS32" s="271">
        <f t="shared" ref="DS32:DS44" si="55">ROUNDUP((DG32*45%),-3)</f>
        <v>36000</v>
      </c>
      <c r="DT32" s="271">
        <f t="shared" ref="DT32:DT43" si="56">ROUNDUP((DI32*45%),-3)</f>
        <v>0</v>
      </c>
      <c r="DU32" s="271">
        <f t="shared" ref="DU32:DU44" si="57">ROUNDUP((DO32*45%),-3)</f>
        <v>52000</v>
      </c>
      <c r="DV32" s="271">
        <f t="shared" ref="DV32:DV44" si="58">ROUNDUP((DQ32*45%),-3)</f>
        <v>0</v>
      </c>
    </row>
    <row r="33" spans="3:142" ht="15" thickBot="1">
      <c r="C33" s="23" t="s">
        <v>12</v>
      </c>
      <c r="D33" s="107"/>
      <c r="E33" s="107">
        <f t="shared" ref="E33:Q33" si="59">ROUNDUP(($BI$8/(1100/E30)),-3)</f>
        <v>64000</v>
      </c>
      <c r="F33" s="107">
        <f t="shared" si="59"/>
        <v>52000</v>
      </c>
      <c r="G33" s="107">
        <f t="shared" si="59"/>
        <v>40000</v>
      </c>
      <c r="H33" s="107">
        <f t="shared" si="59"/>
        <v>34000</v>
      </c>
      <c r="I33" s="107">
        <f t="shared" si="59"/>
        <v>28000</v>
      </c>
      <c r="J33" s="107">
        <f t="shared" si="59"/>
        <v>22000</v>
      </c>
      <c r="K33" s="107">
        <f t="shared" si="59"/>
        <v>19000</v>
      </c>
      <c r="L33" s="107">
        <f t="shared" si="59"/>
        <v>15000</v>
      </c>
      <c r="M33" s="107">
        <f t="shared" si="59"/>
        <v>12000</v>
      </c>
      <c r="N33" s="107">
        <f t="shared" si="59"/>
        <v>11000</v>
      </c>
      <c r="O33" s="107">
        <f t="shared" si="59"/>
        <v>8000</v>
      </c>
      <c r="P33" s="107">
        <f t="shared" si="59"/>
        <v>7000</v>
      </c>
      <c r="Q33" s="107">
        <f t="shared" si="59"/>
        <v>6000</v>
      </c>
      <c r="R33" s="23"/>
      <c r="AA33" s="175"/>
      <c r="AB33" s="103" t="s">
        <v>108</v>
      </c>
      <c r="AC33" s="52" t="s">
        <v>52</v>
      </c>
      <c r="AD33" s="104" t="s">
        <v>57</v>
      </c>
      <c r="AE33" s="105">
        <v>103900</v>
      </c>
      <c r="AF33" s="106">
        <f t="shared" si="11"/>
        <v>42000</v>
      </c>
      <c r="AG33" s="106">
        <f t="shared" si="12"/>
        <v>11000</v>
      </c>
      <c r="AH33" s="107">
        <f t="shared" si="13"/>
        <v>21000</v>
      </c>
      <c r="AI33" s="108">
        <f t="shared" si="14"/>
        <v>177900</v>
      </c>
      <c r="AJ33" s="106">
        <f t="shared" si="15"/>
        <v>187000</v>
      </c>
      <c r="AK33" s="175">
        <f t="shared" si="1"/>
        <v>145000</v>
      </c>
      <c r="AN33" s="175"/>
      <c r="AO33" s="103" t="s">
        <v>108</v>
      </c>
      <c r="AP33" s="52" t="s">
        <v>52</v>
      </c>
      <c r="AQ33" s="52" t="s">
        <v>57</v>
      </c>
      <c r="AR33" s="267">
        <v>204000</v>
      </c>
      <c r="AS33" s="268">
        <f t="shared" si="2"/>
        <v>143000</v>
      </c>
      <c r="AT33" s="117">
        <f t="shared" si="3"/>
        <v>21000</v>
      </c>
      <c r="AU33" s="106">
        <f t="shared" si="4"/>
        <v>41000</v>
      </c>
      <c r="AV33" s="177">
        <f t="shared" si="16"/>
        <v>409000</v>
      </c>
      <c r="AW33" s="106">
        <f t="shared" si="5"/>
        <v>430000</v>
      </c>
      <c r="AX33" s="175">
        <f t="shared" si="6"/>
        <v>287000</v>
      </c>
      <c r="BB33" s="54" t="s">
        <v>53</v>
      </c>
      <c r="BC33" s="272" t="s">
        <v>235</v>
      </c>
      <c r="BD33" s="272">
        <v>450300</v>
      </c>
      <c r="BE33" s="272">
        <f>BD33*BJ$33</f>
        <v>607905</v>
      </c>
      <c r="BF33" s="54" t="s">
        <v>53</v>
      </c>
      <c r="BG33" s="272" t="s">
        <v>235</v>
      </c>
      <c r="BH33" s="272">
        <v>524600</v>
      </c>
      <c r="BI33" s="272">
        <f>BH33*BJ$33</f>
        <v>708210</v>
      </c>
      <c r="BJ33" s="1">
        <v>1.35</v>
      </c>
      <c r="BK33" s="81" t="s">
        <v>117</v>
      </c>
      <c r="BL33" s="81">
        <f>(14139550*15%)+14139550</f>
        <v>16260482.5</v>
      </c>
      <c r="BM33" s="123">
        <f t="shared" si="51"/>
        <v>17887000</v>
      </c>
      <c r="BQ33" s="52"/>
      <c r="BR33" s="152" t="s">
        <v>236</v>
      </c>
      <c r="BS33" s="153">
        <f>(858000*15%)+858000</f>
        <v>986700</v>
      </c>
      <c r="BT33" s="150">
        <f t="shared" si="52"/>
        <v>1037000</v>
      </c>
      <c r="CG33" s="193">
        <v>8</v>
      </c>
      <c r="CH33" s="273" t="s">
        <v>124</v>
      </c>
      <c r="CI33" s="84" t="s">
        <v>237</v>
      </c>
      <c r="CJ33" s="85" t="s">
        <v>238</v>
      </c>
      <c r="CK33" s="86">
        <v>63133744</v>
      </c>
      <c r="CL33" s="87">
        <f t="shared" si="9"/>
        <v>75761000</v>
      </c>
      <c r="CM33" s="180"/>
      <c r="CZ33" s="154">
        <v>25</v>
      </c>
      <c r="DA33" s="155" t="s">
        <v>75</v>
      </c>
      <c r="DB33" s="156">
        <v>32</v>
      </c>
      <c r="DC33" s="269">
        <v>84200</v>
      </c>
      <c r="DD33" s="270"/>
      <c r="DE33" s="269">
        <v>0</v>
      </c>
      <c r="DF33" s="270"/>
      <c r="DG33" s="269">
        <f t="shared" ref="DG33:DG44" si="60">ROUNDUP(DC33*$DK$4,-3)</f>
        <v>114000</v>
      </c>
      <c r="DH33" s="270"/>
      <c r="DI33" s="269">
        <f t="shared" si="53"/>
        <v>0</v>
      </c>
      <c r="DJ33" s="270"/>
      <c r="DK33" s="269">
        <v>121700</v>
      </c>
      <c r="DL33" s="270"/>
      <c r="DM33" s="269">
        <v>0</v>
      </c>
      <c r="DN33" s="270"/>
      <c r="DO33" s="269">
        <f t="shared" ref="DO33:DO44" si="61">ROUNDUP(DK33*$DK$4,-3)</f>
        <v>165000</v>
      </c>
      <c r="DP33" s="270"/>
      <c r="DQ33" s="269">
        <f t="shared" si="54"/>
        <v>0</v>
      </c>
      <c r="DR33" s="270"/>
      <c r="DS33" s="271">
        <f t="shared" si="55"/>
        <v>52000</v>
      </c>
      <c r="DT33" s="271">
        <f t="shared" si="56"/>
        <v>0</v>
      </c>
      <c r="DU33" s="271">
        <f t="shared" si="57"/>
        <v>75000</v>
      </c>
      <c r="DV33" s="271">
        <f t="shared" si="58"/>
        <v>0</v>
      </c>
      <c r="DX33" s="274"/>
      <c r="DY33" s="274"/>
      <c r="DZ33" s="274"/>
      <c r="EA33" s="274"/>
      <c r="EB33" s="274"/>
    </row>
    <row r="34" spans="3:142" ht="15" thickBot="1">
      <c r="C34" s="23" t="s">
        <v>13</v>
      </c>
      <c r="D34" s="107"/>
      <c r="E34" s="107">
        <f t="shared" ref="E34:Q34" si="62">ROUNDUP(E32*$R$24,-3)</f>
        <v>302000</v>
      </c>
      <c r="F34" s="107">
        <f t="shared" si="62"/>
        <v>226000</v>
      </c>
      <c r="G34" s="107">
        <f t="shared" si="62"/>
        <v>100000</v>
      </c>
      <c r="H34" s="107">
        <f t="shared" si="62"/>
        <v>60000</v>
      </c>
      <c r="I34" s="107">
        <f t="shared" si="62"/>
        <v>40000</v>
      </c>
      <c r="J34" s="107">
        <f t="shared" si="62"/>
        <v>22000</v>
      </c>
      <c r="K34" s="107">
        <f t="shared" si="62"/>
        <v>13000</v>
      </c>
      <c r="L34" s="107">
        <f t="shared" si="62"/>
        <v>9000</v>
      </c>
      <c r="M34" s="107">
        <f t="shared" si="62"/>
        <v>6000</v>
      </c>
      <c r="N34" s="107">
        <f t="shared" si="62"/>
        <v>4000</v>
      </c>
      <c r="O34" s="107">
        <f t="shared" si="62"/>
        <v>3000</v>
      </c>
      <c r="P34" s="107">
        <f t="shared" si="62"/>
        <v>2000</v>
      </c>
      <c r="Q34" s="107">
        <f t="shared" si="62"/>
        <v>2000</v>
      </c>
      <c r="R34" s="23">
        <v>0.4</v>
      </c>
      <c r="AA34" s="148"/>
      <c r="AB34" s="141" t="s">
        <v>108</v>
      </c>
      <c r="AC34" s="142" t="s">
        <v>52</v>
      </c>
      <c r="AD34" s="143" t="s">
        <v>77</v>
      </c>
      <c r="AE34" s="144">
        <v>120100</v>
      </c>
      <c r="AF34" s="145">
        <f t="shared" si="11"/>
        <v>49000</v>
      </c>
      <c r="AG34" s="145">
        <f t="shared" si="12"/>
        <v>13000</v>
      </c>
      <c r="AH34" s="146">
        <f t="shared" si="13"/>
        <v>25000</v>
      </c>
      <c r="AI34" s="147">
        <f t="shared" si="14"/>
        <v>207100</v>
      </c>
      <c r="AJ34" s="145">
        <f t="shared" si="15"/>
        <v>218000</v>
      </c>
      <c r="AK34" s="148">
        <f t="shared" si="1"/>
        <v>169000</v>
      </c>
      <c r="AN34" s="148"/>
      <c r="AO34" s="141" t="s">
        <v>108</v>
      </c>
      <c r="AP34" s="142" t="s">
        <v>52</v>
      </c>
      <c r="AQ34" s="142" t="s">
        <v>77</v>
      </c>
      <c r="AR34" s="149">
        <v>204000</v>
      </c>
      <c r="AS34" s="150">
        <f t="shared" si="2"/>
        <v>143000</v>
      </c>
      <c r="AT34" s="146">
        <f t="shared" si="3"/>
        <v>21000</v>
      </c>
      <c r="AU34" s="145">
        <f t="shared" si="4"/>
        <v>41000</v>
      </c>
      <c r="AV34" s="151">
        <f t="shared" si="16"/>
        <v>409000</v>
      </c>
      <c r="AW34" s="145">
        <f t="shared" si="5"/>
        <v>430000</v>
      </c>
      <c r="AX34" s="148">
        <f t="shared" si="6"/>
        <v>287000</v>
      </c>
      <c r="BB34" s="81" t="s">
        <v>51</v>
      </c>
      <c r="BC34" s="119" t="s">
        <v>235</v>
      </c>
      <c r="BD34" s="119">
        <v>575000</v>
      </c>
      <c r="BE34" s="272">
        <f t="shared" ref="BE34:BE44" si="63">BD34*BJ$33</f>
        <v>776250</v>
      </c>
      <c r="BF34" s="81" t="s">
        <v>51</v>
      </c>
      <c r="BG34" s="119" t="s">
        <v>235</v>
      </c>
      <c r="BH34" s="119">
        <v>673300</v>
      </c>
      <c r="BI34" s="272">
        <f t="shared" ref="BI34:BI44" si="64">BH34*BJ$33</f>
        <v>908955.00000000012</v>
      </c>
      <c r="BK34" s="81" t="s">
        <v>124</v>
      </c>
      <c r="BL34" s="81">
        <f>(18376500*15%)+18376500</f>
        <v>21132975</v>
      </c>
      <c r="BM34" s="123">
        <f t="shared" si="51"/>
        <v>23247000</v>
      </c>
      <c r="BQ34" s="52"/>
      <c r="BR34" s="52"/>
      <c r="BS34" s="52"/>
      <c r="BT34" s="117"/>
      <c r="BV34" s="23"/>
      <c r="CG34" s="76"/>
      <c r="CH34" s="78"/>
      <c r="CI34" s="118" t="s">
        <v>213</v>
      </c>
      <c r="CJ34" s="119" t="s">
        <v>214</v>
      </c>
      <c r="CK34" s="120">
        <v>11746044</v>
      </c>
      <c r="CL34" s="121">
        <f t="shared" si="9"/>
        <v>14096000</v>
      </c>
      <c r="CM34" s="88"/>
      <c r="CZ34" s="154">
        <v>35</v>
      </c>
      <c r="DA34" s="155" t="s">
        <v>59</v>
      </c>
      <c r="DB34" s="156">
        <v>42</v>
      </c>
      <c r="DC34" s="269">
        <v>113600</v>
      </c>
      <c r="DD34" s="270"/>
      <c r="DE34" s="269">
        <v>0</v>
      </c>
      <c r="DF34" s="270"/>
      <c r="DG34" s="269">
        <f t="shared" si="60"/>
        <v>154000</v>
      </c>
      <c r="DH34" s="270"/>
      <c r="DI34" s="269">
        <f t="shared" si="53"/>
        <v>0</v>
      </c>
      <c r="DJ34" s="270"/>
      <c r="DK34" s="269">
        <v>164000</v>
      </c>
      <c r="DL34" s="270"/>
      <c r="DM34" s="269">
        <v>0</v>
      </c>
      <c r="DN34" s="270"/>
      <c r="DO34" s="269">
        <f t="shared" si="61"/>
        <v>222000</v>
      </c>
      <c r="DP34" s="270"/>
      <c r="DQ34" s="269">
        <f t="shared" si="54"/>
        <v>0</v>
      </c>
      <c r="DR34" s="270"/>
      <c r="DS34" s="271">
        <f t="shared" si="55"/>
        <v>70000</v>
      </c>
      <c r="DT34" s="271">
        <f t="shared" si="56"/>
        <v>0</v>
      </c>
      <c r="DU34" s="271">
        <f t="shared" si="57"/>
        <v>100000</v>
      </c>
      <c r="DV34" s="271">
        <f t="shared" si="58"/>
        <v>0</v>
      </c>
      <c r="DX34" s="27" t="s">
        <v>239</v>
      </c>
      <c r="DY34" s="27"/>
      <c r="DZ34" s="27"/>
      <c r="EA34" s="27"/>
      <c r="EB34" s="5"/>
    </row>
    <row r="35" spans="3:142" ht="15.75" customHeight="1" thickBot="1">
      <c r="C35" s="23" t="s">
        <v>208</v>
      </c>
      <c r="D35" s="107"/>
      <c r="E35" s="107">
        <f t="shared" ref="E35:Q35" si="65">ROUNDUP(E32*$R$74,-3)</f>
        <v>151000</v>
      </c>
      <c r="F35" s="107">
        <f t="shared" si="65"/>
        <v>113000</v>
      </c>
      <c r="G35" s="107">
        <f t="shared" si="65"/>
        <v>50000</v>
      </c>
      <c r="H35" s="107">
        <f t="shared" si="65"/>
        <v>30000</v>
      </c>
      <c r="I35" s="107">
        <f t="shared" si="65"/>
        <v>20000</v>
      </c>
      <c r="J35" s="107">
        <f t="shared" si="65"/>
        <v>11000</v>
      </c>
      <c r="K35" s="107">
        <f t="shared" si="65"/>
        <v>7000</v>
      </c>
      <c r="L35" s="107">
        <f t="shared" si="65"/>
        <v>5000</v>
      </c>
      <c r="M35" s="107">
        <f t="shared" si="65"/>
        <v>3000</v>
      </c>
      <c r="N35" s="107">
        <f t="shared" si="65"/>
        <v>2000</v>
      </c>
      <c r="O35" s="107">
        <f t="shared" si="65"/>
        <v>2000</v>
      </c>
      <c r="P35" s="107">
        <f t="shared" si="65"/>
        <v>1000</v>
      </c>
      <c r="Q35" s="107">
        <f t="shared" si="65"/>
        <v>1000</v>
      </c>
      <c r="R35" s="23">
        <v>0.2</v>
      </c>
      <c r="AA35" s="46" t="s">
        <v>117</v>
      </c>
      <c r="AB35" s="103" t="s">
        <v>117</v>
      </c>
      <c r="AC35" s="52" t="s">
        <v>52</v>
      </c>
      <c r="AD35" s="104" t="s">
        <v>125</v>
      </c>
      <c r="AE35" s="105">
        <v>116200</v>
      </c>
      <c r="AF35" s="106">
        <f t="shared" si="11"/>
        <v>47000</v>
      </c>
      <c r="AG35" s="106">
        <f t="shared" si="12"/>
        <v>12000</v>
      </c>
      <c r="AH35" s="107">
        <f t="shared" si="13"/>
        <v>24000</v>
      </c>
      <c r="AI35" s="108">
        <f t="shared" si="14"/>
        <v>199200</v>
      </c>
      <c r="AJ35" s="106">
        <f t="shared" si="15"/>
        <v>210000</v>
      </c>
      <c r="AK35" s="109">
        <f t="shared" si="1"/>
        <v>163000</v>
      </c>
      <c r="AN35" s="46" t="s">
        <v>117</v>
      </c>
      <c r="AO35" s="103" t="s">
        <v>117</v>
      </c>
      <c r="AP35" s="52" t="s">
        <v>52</v>
      </c>
      <c r="AQ35" s="104" t="s">
        <v>125</v>
      </c>
      <c r="AR35" s="74">
        <v>337200</v>
      </c>
      <c r="AS35" s="114">
        <f t="shared" si="2"/>
        <v>237000</v>
      </c>
      <c r="AT35" s="113">
        <f t="shared" si="3"/>
        <v>34000</v>
      </c>
      <c r="AU35" s="114">
        <f t="shared" si="4"/>
        <v>68000</v>
      </c>
      <c r="AV35" s="115">
        <f t="shared" si="16"/>
        <v>676200</v>
      </c>
      <c r="AW35" s="114">
        <f t="shared" si="5"/>
        <v>711000</v>
      </c>
      <c r="AX35" s="109">
        <f t="shared" si="6"/>
        <v>474000</v>
      </c>
      <c r="BB35" s="81" t="s">
        <v>75</v>
      </c>
      <c r="BC35" s="119" t="s">
        <v>235</v>
      </c>
      <c r="BD35" s="119">
        <v>922500</v>
      </c>
      <c r="BE35" s="272">
        <f t="shared" si="63"/>
        <v>1245375</v>
      </c>
      <c r="BF35" s="81" t="s">
        <v>75</v>
      </c>
      <c r="BG35" s="119" t="s">
        <v>235</v>
      </c>
      <c r="BH35" s="119">
        <v>1014300</v>
      </c>
      <c r="BI35" s="272">
        <f t="shared" si="64"/>
        <v>1369305</v>
      </c>
      <c r="BK35" s="81" t="s">
        <v>132</v>
      </c>
      <c r="BL35" s="81">
        <f>(29350600*15%)+29350600</f>
        <v>33753190</v>
      </c>
      <c r="BM35" s="123">
        <f t="shared" si="51"/>
        <v>37129000</v>
      </c>
      <c r="BQ35" s="52"/>
      <c r="BR35" s="52"/>
      <c r="BS35" s="52"/>
      <c r="BT35" s="117"/>
      <c r="BV35" s="23"/>
      <c r="CG35" s="76"/>
      <c r="CH35" s="78"/>
      <c r="CI35" s="118" t="s">
        <v>110</v>
      </c>
      <c r="CJ35" s="119" t="s">
        <v>111</v>
      </c>
      <c r="CK35" s="120">
        <v>1711285</v>
      </c>
      <c r="CL35" s="121">
        <f t="shared" si="9"/>
        <v>2054000</v>
      </c>
      <c r="CM35" s="88"/>
      <c r="CZ35" s="154">
        <v>40</v>
      </c>
      <c r="DA35" s="155" t="s">
        <v>125</v>
      </c>
      <c r="DB35" s="156">
        <v>48</v>
      </c>
      <c r="DC35" s="269">
        <v>147500</v>
      </c>
      <c r="DD35" s="270"/>
      <c r="DE35" s="269">
        <v>77400</v>
      </c>
      <c r="DF35" s="270"/>
      <c r="DG35" s="269">
        <f t="shared" si="60"/>
        <v>200000</v>
      </c>
      <c r="DH35" s="270"/>
      <c r="DI35" s="269">
        <f t="shared" si="53"/>
        <v>105000</v>
      </c>
      <c r="DJ35" s="270"/>
      <c r="DK35" s="269">
        <v>213700</v>
      </c>
      <c r="DL35" s="270"/>
      <c r="DM35" s="269">
        <v>111900</v>
      </c>
      <c r="DN35" s="270"/>
      <c r="DO35" s="269">
        <f t="shared" si="61"/>
        <v>289000</v>
      </c>
      <c r="DP35" s="270"/>
      <c r="DQ35" s="269">
        <f t="shared" si="54"/>
        <v>152000</v>
      </c>
      <c r="DR35" s="270"/>
      <c r="DS35" s="271">
        <f t="shared" si="55"/>
        <v>90000</v>
      </c>
      <c r="DT35" s="271">
        <f t="shared" si="56"/>
        <v>48000</v>
      </c>
      <c r="DU35" s="271">
        <f t="shared" si="57"/>
        <v>131000</v>
      </c>
      <c r="DV35" s="271">
        <f t="shared" si="58"/>
        <v>69000</v>
      </c>
      <c r="DX35" s="91" t="s">
        <v>65</v>
      </c>
      <c r="DY35" s="97"/>
      <c r="DZ35" s="95"/>
      <c r="EA35" s="275"/>
      <c r="EB35" s="276"/>
    </row>
    <row r="36" spans="3:142" ht="15" thickBot="1">
      <c r="C36" s="259" t="s">
        <v>15</v>
      </c>
      <c r="D36" s="260"/>
      <c r="E36" s="260">
        <f t="shared" ref="E36:Q36" si="66">SUM(E32:E35)</f>
        <v>1270000</v>
      </c>
      <c r="F36" s="260">
        <f t="shared" si="66"/>
        <v>955000</v>
      </c>
      <c r="G36" s="260">
        <f t="shared" si="66"/>
        <v>439000</v>
      </c>
      <c r="H36" s="260">
        <f t="shared" si="66"/>
        <v>273000</v>
      </c>
      <c r="I36" s="260">
        <f t="shared" si="66"/>
        <v>187000</v>
      </c>
      <c r="J36" s="260">
        <f t="shared" si="66"/>
        <v>109000</v>
      </c>
      <c r="K36" s="260">
        <f t="shared" si="66"/>
        <v>71000</v>
      </c>
      <c r="L36" s="260">
        <f t="shared" si="66"/>
        <v>50000</v>
      </c>
      <c r="M36" s="260">
        <f t="shared" si="66"/>
        <v>35000</v>
      </c>
      <c r="N36" s="260">
        <f t="shared" si="66"/>
        <v>27000</v>
      </c>
      <c r="O36" s="260">
        <f t="shared" si="66"/>
        <v>19000</v>
      </c>
      <c r="P36" s="260">
        <f t="shared" si="66"/>
        <v>14000</v>
      </c>
      <c r="Q36" s="260">
        <f t="shared" si="66"/>
        <v>12000</v>
      </c>
      <c r="R36" s="110"/>
      <c r="AA36" s="175"/>
      <c r="AB36" s="103" t="s">
        <v>117</v>
      </c>
      <c r="AC36" s="52" t="s">
        <v>52</v>
      </c>
      <c r="AD36" s="104" t="s">
        <v>40</v>
      </c>
      <c r="AE36" s="105">
        <v>123900</v>
      </c>
      <c r="AF36" s="106">
        <f t="shared" si="11"/>
        <v>50000</v>
      </c>
      <c r="AG36" s="106">
        <f t="shared" si="12"/>
        <v>13000</v>
      </c>
      <c r="AH36" s="107">
        <f t="shared" si="13"/>
        <v>25000</v>
      </c>
      <c r="AI36" s="108">
        <f t="shared" si="14"/>
        <v>211900</v>
      </c>
      <c r="AJ36" s="106">
        <f t="shared" si="15"/>
        <v>223000</v>
      </c>
      <c r="AK36" s="175">
        <f t="shared" si="1"/>
        <v>173000</v>
      </c>
      <c r="AN36" s="175"/>
      <c r="AO36" s="103" t="s">
        <v>117</v>
      </c>
      <c r="AP36" s="52" t="s">
        <v>52</v>
      </c>
      <c r="AQ36" s="104" t="s">
        <v>40</v>
      </c>
      <c r="AR36" s="176">
        <v>337200</v>
      </c>
      <c r="AS36" s="106">
        <f t="shared" si="2"/>
        <v>237000</v>
      </c>
      <c r="AT36" s="117">
        <f t="shared" si="3"/>
        <v>34000</v>
      </c>
      <c r="AU36" s="106">
        <f t="shared" si="4"/>
        <v>68000</v>
      </c>
      <c r="AV36" s="177">
        <f t="shared" si="16"/>
        <v>676200</v>
      </c>
      <c r="AW36" s="106">
        <f t="shared" si="5"/>
        <v>711000</v>
      </c>
      <c r="AX36" s="175">
        <f t="shared" si="6"/>
        <v>474000</v>
      </c>
      <c r="BB36" s="81" t="s">
        <v>240</v>
      </c>
      <c r="BC36" s="119" t="s">
        <v>235</v>
      </c>
      <c r="BD36" s="119">
        <v>1189200</v>
      </c>
      <c r="BE36" s="272">
        <f t="shared" si="63"/>
        <v>1605420</v>
      </c>
      <c r="BF36" s="81" t="s">
        <v>240</v>
      </c>
      <c r="BG36" s="119" t="s">
        <v>235</v>
      </c>
      <c r="BH36" s="119">
        <v>1298500</v>
      </c>
      <c r="BI36" s="272">
        <f t="shared" si="64"/>
        <v>1752975</v>
      </c>
      <c r="BK36" s="81" t="s">
        <v>136</v>
      </c>
      <c r="BL36" s="81">
        <f>(49365450*15%)+49365450</f>
        <v>56770267.5</v>
      </c>
      <c r="BM36" s="123">
        <f t="shared" si="51"/>
        <v>62448000</v>
      </c>
      <c r="BQ36" s="52"/>
      <c r="BR36" s="52"/>
      <c r="BS36" s="52"/>
      <c r="BT36" s="117"/>
      <c r="BV36" s="23"/>
      <c r="CG36" s="152"/>
      <c r="CH36" s="153"/>
      <c r="CI36" s="170" t="s">
        <v>118</v>
      </c>
      <c r="CJ36" s="148" t="s">
        <v>119</v>
      </c>
      <c r="CK36" s="171">
        <v>611223</v>
      </c>
      <c r="CL36" s="172">
        <f t="shared" si="9"/>
        <v>734000</v>
      </c>
      <c r="CM36" s="173">
        <f>SUM(CL33:CL36)</f>
        <v>92645000</v>
      </c>
      <c r="CZ36" s="154">
        <v>50</v>
      </c>
      <c r="DA36" s="155" t="s">
        <v>40</v>
      </c>
      <c r="DB36" s="156">
        <v>60</v>
      </c>
      <c r="DC36" s="269">
        <v>209400</v>
      </c>
      <c r="DD36" s="270"/>
      <c r="DE36" s="269">
        <v>97600</v>
      </c>
      <c r="DF36" s="270"/>
      <c r="DG36" s="269">
        <f t="shared" si="60"/>
        <v>283000</v>
      </c>
      <c r="DH36" s="270"/>
      <c r="DI36" s="269">
        <f t="shared" si="53"/>
        <v>132000</v>
      </c>
      <c r="DJ36" s="270"/>
      <c r="DK36" s="269">
        <v>303400</v>
      </c>
      <c r="DL36" s="270"/>
      <c r="DM36" s="269">
        <v>141100</v>
      </c>
      <c r="DN36" s="270"/>
      <c r="DO36" s="269">
        <f t="shared" si="61"/>
        <v>410000</v>
      </c>
      <c r="DP36" s="270"/>
      <c r="DQ36" s="269">
        <f t="shared" si="54"/>
        <v>191000</v>
      </c>
      <c r="DR36" s="270"/>
      <c r="DS36" s="271">
        <f t="shared" si="55"/>
        <v>128000</v>
      </c>
      <c r="DT36" s="271">
        <f t="shared" si="56"/>
        <v>60000</v>
      </c>
      <c r="DU36" s="271">
        <f t="shared" si="57"/>
        <v>185000</v>
      </c>
      <c r="DV36" s="271">
        <f t="shared" si="58"/>
        <v>86000</v>
      </c>
      <c r="DX36" s="130" t="s">
        <v>32</v>
      </c>
      <c r="DY36" s="243" t="s">
        <v>89</v>
      </c>
      <c r="DZ36" s="243" t="s">
        <v>90</v>
      </c>
      <c r="EA36" s="243" t="s">
        <v>91</v>
      </c>
      <c r="ED36" s="27" t="s">
        <v>241</v>
      </c>
      <c r="EE36" s="27"/>
      <c r="EF36" s="27"/>
      <c r="EG36" s="27"/>
      <c r="EI36" s="27" t="s">
        <v>242</v>
      </c>
      <c r="EJ36" s="27"/>
      <c r="EK36" s="27"/>
      <c r="EL36" s="27"/>
    </row>
    <row r="37" spans="3:142" ht="15.75" customHeight="1" thickBot="1">
      <c r="C37" s="23" t="s">
        <v>215</v>
      </c>
      <c r="D37" s="107"/>
      <c r="E37" s="107">
        <f t="shared" ref="E37:P37" si="67">ROUNDUP(E36*$R$76,-3)</f>
        <v>1334000</v>
      </c>
      <c r="F37" s="107">
        <f t="shared" si="67"/>
        <v>1003000</v>
      </c>
      <c r="G37" s="107">
        <f t="shared" si="67"/>
        <v>461000</v>
      </c>
      <c r="H37" s="107">
        <f t="shared" si="67"/>
        <v>287000</v>
      </c>
      <c r="I37" s="107">
        <f t="shared" si="67"/>
        <v>197000</v>
      </c>
      <c r="J37" s="107">
        <f t="shared" si="67"/>
        <v>115000</v>
      </c>
      <c r="K37" s="107">
        <f t="shared" si="67"/>
        <v>75000</v>
      </c>
      <c r="L37" s="107">
        <f t="shared" si="67"/>
        <v>53000</v>
      </c>
      <c r="M37" s="107">
        <f t="shared" si="67"/>
        <v>37000</v>
      </c>
      <c r="N37" s="107">
        <f t="shared" si="67"/>
        <v>29000</v>
      </c>
      <c r="O37" s="107">
        <f t="shared" si="67"/>
        <v>20000</v>
      </c>
      <c r="P37" s="107">
        <f t="shared" si="67"/>
        <v>15000</v>
      </c>
      <c r="Q37" s="107">
        <f>ROUNDUP(Q36*$R$27,-3)</f>
        <v>15000</v>
      </c>
      <c r="R37" s="23">
        <v>1.2</v>
      </c>
      <c r="AA37" s="175"/>
      <c r="AB37" s="103" t="s">
        <v>117</v>
      </c>
      <c r="AC37" s="52" t="s">
        <v>52</v>
      </c>
      <c r="AD37" s="104" t="s">
        <v>57</v>
      </c>
      <c r="AE37" s="105">
        <v>130000</v>
      </c>
      <c r="AF37" s="106">
        <f t="shared" si="11"/>
        <v>52000</v>
      </c>
      <c r="AG37" s="106">
        <f t="shared" si="12"/>
        <v>13000</v>
      </c>
      <c r="AH37" s="107">
        <f t="shared" si="13"/>
        <v>26000</v>
      </c>
      <c r="AI37" s="108">
        <f t="shared" si="14"/>
        <v>221000</v>
      </c>
      <c r="AJ37" s="106">
        <f t="shared" si="15"/>
        <v>233000</v>
      </c>
      <c r="AK37" s="175">
        <f t="shared" si="1"/>
        <v>181000</v>
      </c>
      <c r="AN37" s="175"/>
      <c r="AO37" s="103" t="s">
        <v>117</v>
      </c>
      <c r="AP37" s="52" t="s">
        <v>52</v>
      </c>
      <c r="AQ37" s="104" t="s">
        <v>57</v>
      </c>
      <c r="AR37" s="176">
        <v>337200</v>
      </c>
      <c r="AS37" s="106">
        <f t="shared" si="2"/>
        <v>237000</v>
      </c>
      <c r="AT37" s="117">
        <f t="shared" si="3"/>
        <v>34000</v>
      </c>
      <c r="AU37" s="106">
        <f t="shared" si="4"/>
        <v>68000</v>
      </c>
      <c r="AV37" s="177">
        <f t="shared" si="16"/>
        <v>676200</v>
      </c>
      <c r="AW37" s="106">
        <f t="shared" si="5"/>
        <v>711000</v>
      </c>
      <c r="AX37" s="175">
        <f t="shared" si="6"/>
        <v>474000</v>
      </c>
      <c r="BB37" s="81" t="s">
        <v>243</v>
      </c>
      <c r="BC37" s="119" t="s">
        <v>235</v>
      </c>
      <c r="BD37" s="119">
        <v>1372800</v>
      </c>
      <c r="BE37" s="272">
        <f t="shared" si="63"/>
        <v>1853280.0000000002</v>
      </c>
      <c r="BF37" s="81" t="s">
        <v>243</v>
      </c>
      <c r="BG37" s="119" t="s">
        <v>235</v>
      </c>
      <c r="BH37" s="119">
        <v>1490800</v>
      </c>
      <c r="BI37" s="272">
        <f t="shared" si="64"/>
        <v>2012580.0000000002</v>
      </c>
      <c r="BK37" s="179" t="s">
        <v>139</v>
      </c>
      <c r="BL37" s="179">
        <f>(64988000*15%)+64988000</f>
        <v>74736200</v>
      </c>
      <c r="BM37" s="258">
        <f t="shared" si="51"/>
        <v>82210000</v>
      </c>
      <c r="BQ37" s="52"/>
      <c r="BR37" s="52"/>
      <c r="BS37" s="52"/>
      <c r="BT37" s="117"/>
      <c r="BV37" s="23"/>
      <c r="CG37" s="52"/>
      <c r="CH37" s="52"/>
      <c r="CL37" s="117"/>
      <c r="CZ37" s="154">
        <v>65</v>
      </c>
      <c r="DA37" s="155" t="s">
        <v>57</v>
      </c>
      <c r="DB37" s="156">
        <v>76</v>
      </c>
      <c r="DC37" s="269">
        <v>269300</v>
      </c>
      <c r="DD37" s="270"/>
      <c r="DE37" s="269">
        <v>154300</v>
      </c>
      <c r="DF37" s="270"/>
      <c r="DG37" s="269">
        <f t="shared" si="60"/>
        <v>364000</v>
      </c>
      <c r="DH37" s="270"/>
      <c r="DI37" s="269">
        <f t="shared" si="53"/>
        <v>209000</v>
      </c>
      <c r="DJ37" s="270"/>
      <c r="DK37" s="269">
        <v>390400</v>
      </c>
      <c r="DL37" s="270"/>
      <c r="DM37" s="269">
        <v>223400</v>
      </c>
      <c r="DN37" s="270"/>
      <c r="DO37" s="269">
        <f t="shared" si="61"/>
        <v>528000</v>
      </c>
      <c r="DP37" s="270"/>
      <c r="DQ37" s="269">
        <f t="shared" si="54"/>
        <v>302000</v>
      </c>
      <c r="DR37" s="270"/>
      <c r="DS37" s="271">
        <f t="shared" si="55"/>
        <v>164000</v>
      </c>
      <c r="DT37" s="271">
        <f t="shared" si="56"/>
        <v>95000</v>
      </c>
      <c r="DU37" s="271">
        <f t="shared" si="57"/>
        <v>238000</v>
      </c>
      <c r="DV37" s="271">
        <f t="shared" si="58"/>
        <v>136000</v>
      </c>
      <c r="DX37" s="156" t="s">
        <v>244</v>
      </c>
      <c r="DY37" s="162">
        <v>3964</v>
      </c>
      <c r="DZ37" s="162">
        <f>DY37*110%</f>
        <v>4360.4000000000005</v>
      </c>
      <c r="EA37" s="163">
        <f t="shared" ref="EA37:EA64" si="68">DZ37*$DW$4</f>
        <v>5886.5400000000009</v>
      </c>
      <c r="ED37" s="277" t="s">
        <v>245</v>
      </c>
      <c r="EE37" s="278" t="s">
        <v>246</v>
      </c>
      <c r="EF37" s="278" t="s">
        <v>247</v>
      </c>
      <c r="EG37" s="279" t="s">
        <v>91</v>
      </c>
      <c r="EI37" s="280" t="s">
        <v>245</v>
      </c>
      <c r="EJ37" s="281" t="s">
        <v>248</v>
      </c>
      <c r="EK37" s="281" t="s">
        <v>249</v>
      </c>
      <c r="EL37" s="282" t="s">
        <v>91</v>
      </c>
    </row>
    <row r="38" spans="3:142">
      <c r="C38" s="23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23"/>
      <c r="AA38" s="174"/>
      <c r="AB38" s="103" t="s">
        <v>117</v>
      </c>
      <c r="AC38" s="52" t="s">
        <v>52</v>
      </c>
      <c r="AD38" s="104" t="s">
        <v>77</v>
      </c>
      <c r="AE38" s="105">
        <v>150100</v>
      </c>
      <c r="AF38" s="106">
        <f t="shared" si="11"/>
        <v>61000</v>
      </c>
      <c r="AG38" s="106">
        <f t="shared" si="12"/>
        <v>16000</v>
      </c>
      <c r="AH38" s="107">
        <f t="shared" si="13"/>
        <v>31000</v>
      </c>
      <c r="AI38" s="108">
        <f t="shared" si="14"/>
        <v>258100</v>
      </c>
      <c r="AJ38" s="106">
        <f t="shared" si="15"/>
        <v>272000</v>
      </c>
      <c r="AK38" s="175">
        <f t="shared" si="1"/>
        <v>211000</v>
      </c>
      <c r="AN38" s="174"/>
      <c r="AO38" s="103" t="s">
        <v>117</v>
      </c>
      <c r="AP38" s="52" t="s">
        <v>52</v>
      </c>
      <c r="AQ38" s="104" t="s">
        <v>77</v>
      </c>
      <c r="AR38" s="176">
        <v>337200</v>
      </c>
      <c r="AS38" s="106">
        <f t="shared" si="2"/>
        <v>237000</v>
      </c>
      <c r="AT38" s="117">
        <f t="shared" si="3"/>
        <v>34000</v>
      </c>
      <c r="AU38" s="106">
        <f t="shared" si="4"/>
        <v>68000</v>
      </c>
      <c r="AV38" s="177">
        <f t="shared" si="16"/>
        <v>676200</v>
      </c>
      <c r="AW38" s="106">
        <f t="shared" si="5"/>
        <v>711000</v>
      </c>
      <c r="AX38" s="175">
        <f t="shared" si="6"/>
        <v>474000</v>
      </c>
      <c r="BB38" s="81" t="s">
        <v>40</v>
      </c>
      <c r="BC38" s="119" t="s">
        <v>235</v>
      </c>
      <c r="BD38" s="119">
        <v>1735600</v>
      </c>
      <c r="BE38" s="272">
        <f t="shared" si="63"/>
        <v>2343060</v>
      </c>
      <c r="BF38" s="81" t="s">
        <v>40</v>
      </c>
      <c r="BG38" s="119" t="s">
        <v>235</v>
      </c>
      <c r="BH38" s="119">
        <v>2172800</v>
      </c>
      <c r="BI38" s="272">
        <f t="shared" si="64"/>
        <v>2933280</v>
      </c>
      <c r="BK38" s="83"/>
      <c r="BL38" s="83"/>
      <c r="BM38" s="83"/>
      <c r="BQ38" s="52"/>
      <c r="BR38" s="52"/>
      <c r="BS38" s="52"/>
      <c r="BT38" s="117"/>
      <c r="BV38" s="23"/>
      <c r="CG38" s="52"/>
      <c r="CH38" s="52"/>
      <c r="CL38" s="117"/>
      <c r="CZ38" s="154">
        <v>75</v>
      </c>
      <c r="DA38" s="155" t="s">
        <v>77</v>
      </c>
      <c r="DB38" s="156">
        <v>89</v>
      </c>
      <c r="DC38" s="269">
        <v>429000</v>
      </c>
      <c r="DD38" s="270"/>
      <c r="DE38" s="269">
        <v>225500</v>
      </c>
      <c r="DF38" s="270"/>
      <c r="DG38" s="269">
        <f t="shared" si="60"/>
        <v>580000</v>
      </c>
      <c r="DH38" s="270"/>
      <c r="DI38" s="269">
        <f t="shared" si="53"/>
        <v>305000</v>
      </c>
      <c r="DJ38" s="270"/>
      <c r="DK38" s="269">
        <v>621400</v>
      </c>
      <c r="DL38" s="270"/>
      <c r="DM38" s="269">
        <v>327000</v>
      </c>
      <c r="DN38" s="270"/>
      <c r="DO38" s="269">
        <f t="shared" si="61"/>
        <v>839000</v>
      </c>
      <c r="DP38" s="270"/>
      <c r="DQ38" s="269">
        <f t="shared" si="54"/>
        <v>442000</v>
      </c>
      <c r="DR38" s="270"/>
      <c r="DS38" s="271">
        <f t="shared" si="55"/>
        <v>261000</v>
      </c>
      <c r="DT38" s="271">
        <f t="shared" si="56"/>
        <v>138000</v>
      </c>
      <c r="DU38" s="271">
        <f t="shared" si="57"/>
        <v>378000</v>
      </c>
      <c r="DV38" s="271">
        <f t="shared" si="58"/>
        <v>199000</v>
      </c>
      <c r="DX38" s="156" t="s">
        <v>250</v>
      </c>
      <c r="DY38" s="162">
        <v>6216</v>
      </c>
      <c r="DZ38" s="162">
        <f t="shared" ref="DZ38:DZ64" si="69">DY38*110%</f>
        <v>6837.6</v>
      </c>
      <c r="EA38" s="163">
        <f t="shared" si="68"/>
        <v>9230.76</v>
      </c>
      <c r="ED38" s="283">
        <v>20</v>
      </c>
      <c r="EE38" s="284">
        <v>4595</v>
      </c>
      <c r="EF38" s="284">
        <v>5100</v>
      </c>
      <c r="EG38" s="285">
        <f>EF38*$DW$4</f>
        <v>6885</v>
      </c>
      <c r="EI38" s="251" t="s">
        <v>251</v>
      </c>
      <c r="EJ38" s="162">
        <v>34955</v>
      </c>
      <c r="EK38" s="162">
        <v>38800</v>
      </c>
      <c r="EL38" s="286">
        <f>EK38*$DW$4</f>
        <v>52380</v>
      </c>
    </row>
    <row r="39" spans="3:142" ht="21.6" thickBot="1">
      <c r="C39" s="23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23"/>
      <c r="AA39" s="148"/>
      <c r="AB39" s="141" t="s">
        <v>117</v>
      </c>
      <c r="AC39" s="142" t="s">
        <v>52</v>
      </c>
      <c r="AD39" s="143" t="s">
        <v>108</v>
      </c>
      <c r="AE39" s="144">
        <v>180100</v>
      </c>
      <c r="AF39" s="145">
        <f t="shared" si="11"/>
        <v>73000</v>
      </c>
      <c r="AG39" s="145">
        <f t="shared" si="12"/>
        <v>19000</v>
      </c>
      <c r="AH39" s="146">
        <f t="shared" si="13"/>
        <v>37000</v>
      </c>
      <c r="AI39" s="147">
        <f t="shared" si="14"/>
        <v>309100</v>
      </c>
      <c r="AJ39" s="145">
        <f t="shared" si="15"/>
        <v>325000</v>
      </c>
      <c r="AK39" s="148">
        <f t="shared" si="1"/>
        <v>252000</v>
      </c>
      <c r="AN39" s="148"/>
      <c r="AO39" s="141" t="s">
        <v>117</v>
      </c>
      <c r="AP39" s="142" t="s">
        <v>52</v>
      </c>
      <c r="AQ39" s="143" t="s">
        <v>108</v>
      </c>
      <c r="AR39" s="176">
        <v>337200</v>
      </c>
      <c r="AS39" s="145">
        <f t="shared" si="2"/>
        <v>237000</v>
      </c>
      <c r="AT39" s="146">
        <f t="shared" si="3"/>
        <v>34000</v>
      </c>
      <c r="AU39" s="145">
        <f t="shared" si="4"/>
        <v>68000</v>
      </c>
      <c r="AV39" s="151">
        <f t="shared" si="16"/>
        <v>676200</v>
      </c>
      <c r="AW39" s="145">
        <f t="shared" si="5"/>
        <v>711000</v>
      </c>
      <c r="AX39" s="148">
        <f t="shared" si="6"/>
        <v>474000</v>
      </c>
      <c r="BB39" s="81" t="s">
        <v>252</v>
      </c>
      <c r="BC39" s="119" t="s">
        <v>235</v>
      </c>
      <c r="BD39" s="119">
        <v>2325800</v>
      </c>
      <c r="BE39" s="272">
        <f t="shared" si="63"/>
        <v>3139830</v>
      </c>
      <c r="BF39" s="81" t="s">
        <v>252</v>
      </c>
      <c r="BG39" s="119" t="s">
        <v>235</v>
      </c>
      <c r="BH39" s="119">
        <v>2775900</v>
      </c>
      <c r="BI39" s="272">
        <f t="shared" si="64"/>
        <v>3747465.0000000005</v>
      </c>
      <c r="BK39" s="83"/>
      <c r="BL39" s="83"/>
      <c r="BM39" s="83"/>
      <c r="BQ39" s="52"/>
      <c r="BR39" s="52"/>
      <c r="BS39" s="52"/>
      <c r="BT39" s="117"/>
      <c r="BV39" s="23"/>
      <c r="CG39" s="33" t="s">
        <v>253</v>
      </c>
      <c r="CH39" s="33"/>
      <c r="CI39" s="33"/>
      <c r="CJ39" s="33"/>
      <c r="CK39" s="33"/>
      <c r="CL39" s="33"/>
      <c r="CM39" s="33"/>
      <c r="CZ39" s="154">
        <v>100</v>
      </c>
      <c r="DA39" s="155" t="s">
        <v>108</v>
      </c>
      <c r="DB39" s="156">
        <v>114</v>
      </c>
      <c r="DC39" s="269">
        <v>662800</v>
      </c>
      <c r="DD39" s="270"/>
      <c r="DE39" s="269">
        <v>338300</v>
      </c>
      <c r="DF39" s="270"/>
      <c r="DG39" s="269">
        <f t="shared" si="60"/>
        <v>895000</v>
      </c>
      <c r="DH39" s="270"/>
      <c r="DI39" s="269">
        <f t="shared" si="53"/>
        <v>457000</v>
      </c>
      <c r="DJ39" s="270"/>
      <c r="DK39" s="269">
        <v>960700</v>
      </c>
      <c r="DL39" s="270"/>
      <c r="DM39" s="269">
        <v>490400</v>
      </c>
      <c r="DN39" s="270"/>
      <c r="DO39" s="269">
        <f t="shared" si="61"/>
        <v>1297000</v>
      </c>
      <c r="DP39" s="270"/>
      <c r="DQ39" s="269">
        <f t="shared" si="54"/>
        <v>663000</v>
      </c>
      <c r="DR39" s="270"/>
      <c r="DS39" s="271">
        <f t="shared" si="55"/>
        <v>403000</v>
      </c>
      <c r="DT39" s="271">
        <f t="shared" si="56"/>
        <v>206000</v>
      </c>
      <c r="DU39" s="271">
        <f t="shared" si="57"/>
        <v>584000</v>
      </c>
      <c r="DV39" s="271">
        <f t="shared" si="58"/>
        <v>299000</v>
      </c>
      <c r="DX39" s="156" t="s">
        <v>254</v>
      </c>
      <c r="DY39" s="162">
        <v>7297</v>
      </c>
      <c r="DZ39" s="162">
        <f t="shared" si="69"/>
        <v>8026.7000000000007</v>
      </c>
      <c r="EA39" s="163">
        <f t="shared" si="68"/>
        <v>10836.045000000002</v>
      </c>
      <c r="ED39" s="287">
        <v>25</v>
      </c>
      <c r="EE39" s="163">
        <v>6577</v>
      </c>
      <c r="EF39" s="163">
        <v>7300</v>
      </c>
      <c r="EG39" s="286">
        <f t="shared" ref="EG39:EG47" si="70">EF39*$DW$4</f>
        <v>9855</v>
      </c>
      <c r="EI39" s="251" t="s">
        <v>255</v>
      </c>
      <c r="EJ39" s="162">
        <v>39640</v>
      </c>
      <c r="EK39" s="162">
        <v>44000</v>
      </c>
      <c r="EL39" s="286">
        <f t="shared" ref="EL39:EL44" si="71">EK39*$DW$4</f>
        <v>59400.000000000007</v>
      </c>
    </row>
    <row r="40" spans="3:142" ht="18" thickBot="1">
      <c r="C40" s="23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23"/>
      <c r="AA40" s="46" t="s">
        <v>124</v>
      </c>
      <c r="AB40" s="103" t="s">
        <v>124</v>
      </c>
      <c r="AC40" s="52" t="s">
        <v>52</v>
      </c>
      <c r="AD40" s="104" t="s">
        <v>125</v>
      </c>
      <c r="AE40" s="105">
        <v>150100</v>
      </c>
      <c r="AF40" s="106">
        <f t="shared" si="11"/>
        <v>61000</v>
      </c>
      <c r="AG40" s="106">
        <f t="shared" si="12"/>
        <v>16000</v>
      </c>
      <c r="AH40" s="107">
        <f t="shared" si="13"/>
        <v>31000</v>
      </c>
      <c r="AI40" s="108">
        <f t="shared" si="14"/>
        <v>258100</v>
      </c>
      <c r="AJ40" s="106">
        <f t="shared" si="15"/>
        <v>272000</v>
      </c>
      <c r="AK40" s="109">
        <f t="shared" si="1"/>
        <v>211000</v>
      </c>
      <c r="AN40" s="46" t="s">
        <v>124</v>
      </c>
      <c r="AO40" s="103" t="s">
        <v>124</v>
      </c>
      <c r="AP40" s="52" t="s">
        <v>52</v>
      </c>
      <c r="AQ40" s="104" t="s">
        <v>125</v>
      </c>
      <c r="AR40" s="74">
        <v>493500</v>
      </c>
      <c r="AS40" s="114">
        <f t="shared" si="2"/>
        <v>346000</v>
      </c>
      <c r="AT40" s="113">
        <f t="shared" si="3"/>
        <v>50000</v>
      </c>
      <c r="AU40" s="114">
        <f t="shared" si="4"/>
        <v>99000</v>
      </c>
      <c r="AV40" s="115">
        <f t="shared" si="16"/>
        <v>988500</v>
      </c>
      <c r="AW40" s="114">
        <f t="shared" si="5"/>
        <v>1038000</v>
      </c>
      <c r="AX40" s="109">
        <f t="shared" si="6"/>
        <v>692000</v>
      </c>
      <c r="BB40" s="81" t="s">
        <v>77</v>
      </c>
      <c r="BC40" s="119" t="s">
        <v>235</v>
      </c>
      <c r="BD40" s="119">
        <v>2850300</v>
      </c>
      <c r="BE40" s="272">
        <f t="shared" si="63"/>
        <v>3847905.0000000005</v>
      </c>
      <c r="BF40" s="81" t="s">
        <v>77</v>
      </c>
      <c r="BG40" s="119" t="s">
        <v>235</v>
      </c>
      <c r="BH40" s="119">
        <v>3707000</v>
      </c>
      <c r="BI40" s="272">
        <f t="shared" si="64"/>
        <v>5004450</v>
      </c>
      <c r="BQ40" s="10" t="s">
        <v>256</v>
      </c>
      <c r="BR40" s="10"/>
      <c r="BS40" s="10"/>
      <c r="BT40" s="10"/>
      <c r="BU40" s="288"/>
      <c r="CG40" s="56" t="s">
        <v>41</v>
      </c>
      <c r="CH40" s="57" t="s">
        <v>21</v>
      </c>
      <c r="CI40" s="58" t="s">
        <v>42</v>
      </c>
      <c r="CJ40" s="57" t="s">
        <v>43</v>
      </c>
      <c r="CK40" s="57" t="s">
        <v>44</v>
      </c>
      <c r="CL40" s="59" t="s">
        <v>23</v>
      </c>
      <c r="CM40" s="57" t="s">
        <v>45</v>
      </c>
      <c r="CZ40" s="154">
        <v>125</v>
      </c>
      <c r="DA40" s="155" t="s">
        <v>117</v>
      </c>
      <c r="DB40" s="156">
        <v>140</v>
      </c>
      <c r="DC40" s="269">
        <v>829600</v>
      </c>
      <c r="DD40" s="270"/>
      <c r="DE40" s="269">
        <v>509400</v>
      </c>
      <c r="DF40" s="270"/>
      <c r="DG40" s="269">
        <f t="shared" si="60"/>
        <v>1120000</v>
      </c>
      <c r="DH40" s="270"/>
      <c r="DI40" s="269">
        <f t="shared" si="53"/>
        <v>688000</v>
      </c>
      <c r="DJ40" s="270"/>
      <c r="DK40" s="269">
        <v>1202800</v>
      </c>
      <c r="DL40" s="270"/>
      <c r="DM40" s="269">
        <v>738500</v>
      </c>
      <c r="DN40" s="270"/>
      <c r="DO40" s="269">
        <f t="shared" si="61"/>
        <v>1624000</v>
      </c>
      <c r="DP40" s="270"/>
      <c r="DQ40" s="269">
        <f t="shared" si="54"/>
        <v>997000</v>
      </c>
      <c r="DR40" s="270"/>
      <c r="DS40" s="271">
        <f t="shared" si="55"/>
        <v>504000</v>
      </c>
      <c r="DT40" s="271">
        <f t="shared" si="56"/>
        <v>310000</v>
      </c>
      <c r="DU40" s="271">
        <f t="shared" si="57"/>
        <v>731000</v>
      </c>
      <c r="DV40" s="271">
        <f t="shared" si="58"/>
        <v>449000</v>
      </c>
      <c r="DX40" s="156" t="s">
        <v>257</v>
      </c>
      <c r="DY40" s="162">
        <v>9640</v>
      </c>
      <c r="DZ40" s="162">
        <f t="shared" si="69"/>
        <v>10604</v>
      </c>
      <c r="EA40" s="163">
        <f t="shared" si="68"/>
        <v>14315.400000000001</v>
      </c>
      <c r="ED40" s="287">
        <v>32</v>
      </c>
      <c r="EE40" s="163">
        <v>8829</v>
      </c>
      <c r="EF40" s="163">
        <v>9800</v>
      </c>
      <c r="EG40" s="286">
        <f t="shared" si="70"/>
        <v>13230</v>
      </c>
      <c r="EI40" s="251" t="s">
        <v>258</v>
      </c>
      <c r="EJ40" s="162">
        <v>44234</v>
      </c>
      <c r="EK40" s="162">
        <v>49100</v>
      </c>
      <c r="EL40" s="286">
        <f t="shared" si="71"/>
        <v>66285</v>
      </c>
    </row>
    <row r="41" spans="3:142" ht="15" thickBot="1">
      <c r="C41" s="23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23"/>
      <c r="AA41" s="175"/>
      <c r="AB41" s="103" t="s">
        <v>124</v>
      </c>
      <c r="AC41" s="52" t="s">
        <v>52</v>
      </c>
      <c r="AD41" s="104" t="s">
        <v>40</v>
      </c>
      <c r="AE41" s="105">
        <v>157800</v>
      </c>
      <c r="AF41" s="106">
        <f t="shared" si="11"/>
        <v>64000</v>
      </c>
      <c r="AG41" s="106">
        <f t="shared" si="12"/>
        <v>16000</v>
      </c>
      <c r="AH41" s="107">
        <f t="shared" si="13"/>
        <v>32000</v>
      </c>
      <c r="AI41" s="108">
        <f t="shared" si="14"/>
        <v>269800</v>
      </c>
      <c r="AJ41" s="106">
        <f t="shared" si="15"/>
        <v>284000</v>
      </c>
      <c r="AK41" s="175">
        <f t="shared" si="1"/>
        <v>220000</v>
      </c>
      <c r="AN41" s="175"/>
      <c r="AO41" s="103" t="s">
        <v>124</v>
      </c>
      <c r="AP41" s="52" t="s">
        <v>52</v>
      </c>
      <c r="AQ41" s="104" t="s">
        <v>40</v>
      </c>
      <c r="AR41" s="176">
        <v>502000</v>
      </c>
      <c r="AS41" s="106">
        <f t="shared" si="2"/>
        <v>352000</v>
      </c>
      <c r="AT41" s="117">
        <f t="shared" si="3"/>
        <v>51000</v>
      </c>
      <c r="AU41" s="106">
        <f t="shared" si="4"/>
        <v>101000</v>
      </c>
      <c r="AV41" s="177">
        <f t="shared" si="16"/>
        <v>1006000</v>
      </c>
      <c r="AW41" s="106">
        <f t="shared" si="5"/>
        <v>1057000</v>
      </c>
      <c r="AX41" s="175">
        <f t="shared" si="6"/>
        <v>705000</v>
      </c>
      <c r="BB41" s="81" t="s">
        <v>108</v>
      </c>
      <c r="BC41" s="119" t="s">
        <v>235</v>
      </c>
      <c r="BD41" s="119">
        <v>3693900</v>
      </c>
      <c r="BE41" s="272">
        <f t="shared" si="63"/>
        <v>4986765</v>
      </c>
      <c r="BF41" s="81" t="s">
        <v>108</v>
      </c>
      <c r="BG41" s="119" t="s">
        <v>235</v>
      </c>
      <c r="BH41" s="119">
        <v>4808600</v>
      </c>
      <c r="BI41" s="272">
        <f t="shared" si="64"/>
        <v>6491610</v>
      </c>
      <c r="BQ41" s="32" t="s">
        <v>259</v>
      </c>
      <c r="BR41" s="32"/>
      <c r="BS41" s="32"/>
      <c r="BT41" s="32"/>
      <c r="BU41" s="83"/>
      <c r="CG41" s="76">
        <v>1</v>
      </c>
      <c r="CH41" s="78" t="s">
        <v>59</v>
      </c>
      <c r="CI41" s="84" t="s">
        <v>260</v>
      </c>
      <c r="CJ41" s="85" t="s">
        <v>261</v>
      </c>
      <c r="CK41" s="86">
        <v>2942985</v>
      </c>
      <c r="CL41" s="87">
        <f>ROUNDUP(CK41*$CN$9,-3)</f>
        <v>3532000</v>
      </c>
      <c r="CM41" s="88"/>
      <c r="CZ41" s="154">
        <v>150</v>
      </c>
      <c r="DA41" s="155" t="s">
        <v>124</v>
      </c>
      <c r="DB41" s="156">
        <v>165</v>
      </c>
      <c r="DC41" s="269">
        <v>1245400</v>
      </c>
      <c r="DD41" s="270"/>
      <c r="DE41" s="269">
        <v>732200</v>
      </c>
      <c r="DF41" s="270"/>
      <c r="DG41" s="269">
        <f t="shared" si="60"/>
        <v>1682000</v>
      </c>
      <c r="DH41" s="270"/>
      <c r="DI41" s="269">
        <f t="shared" si="53"/>
        <v>989000</v>
      </c>
      <c r="DJ41" s="270"/>
      <c r="DK41" s="269">
        <v>1805900</v>
      </c>
      <c r="DL41" s="270"/>
      <c r="DM41" s="269">
        <v>1061800</v>
      </c>
      <c r="DN41" s="270"/>
      <c r="DO41" s="269">
        <f t="shared" si="61"/>
        <v>2438000</v>
      </c>
      <c r="DP41" s="270"/>
      <c r="DQ41" s="269">
        <f t="shared" si="54"/>
        <v>1434000</v>
      </c>
      <c r="DR41" s="270"/>
      <c r="DS41" s="271">
        <f t="shared" si="55"/>
        <v>757000</v>
      </c>
      <c r="DT41" s="271">
        <f t="shared" si="56"/>
        <v>446000</v>
      </c>
      <c r="DU41" s="271">
        <f t="shared" si="57"/>
        <v>1098000</v>
      </c>
      <c r="DV41" s="271">
        <f t="shared" si="58"/>
        <v>646000</v>
      </c>
      <c r="DX41" s="156" t="s">
        <v>262</v>
      </c>
      <c r="DY41" s="162">
        <v>9540</v>
      </c>
      <c r="DZ41" s="162">
        <f t="shared" si="69"/>
        <v>10494</v>
      </c>
      <c r="EA41" s="163">
        <f t="shared" si="68"/>
        <v>14166.900000000001</v>
      </c>
      <c r="ED41" s="287">
        <v>40</v>
      </c>
      <c r="EE41" s="163">
        <v>16757</v>
      </c>
      <c r="EF41" s="163">
        <v>18600</v>
      </c>
      <c r="EG41" s="286">
        <f t="shared" si="70"/>
        <v>25110</v>
      </c>
      <c r="EI41" s="251" t="s">
        <v>263</v>
      </c>
      <c r="EJ41" s="162">
        <v>50811</v>
      </c>
      <c r="EK41" s="162">
        <v>56400</v>
      </c>
      <c r="EL41" s="286">
        <f t="shared" si="71"/>
        <v>76140</v>
      </c>
    </row>
    <row r="42" spans="3:142" ht="15" thickBot="1">
      <c r="C42" s="289" t="s">
        <v>264</v>
      </c>
      <c r="D42" s="289"/>
      <c r="E42" s="290" t="s">
        <v>265</v>
      </c>
      <c r="F42" s="290" t="s">
        <v>266</v>
      </c>
      <c r="G42" s="290" t="s">
        <v>267</v>
      </c>
      <c r="H42" s="290" t="s">
        <v>268</v>
      </c>
      <c r="I42" s="23">
        <v>1</v>
      </c>
      <c r="J42" s="23"/>
      <c r="K42" s="23"/>
      <c r="L42" s="23"/>
      <c r="AA42" s="175"/>
      <c r="AB42" s="103" t="s">
        <v>124</v>
      </c>
      <c r="AC42" s="52" t="s">
        <v>52</v>
      </c>
      <c r="AD42" s="104" t="s">
        <v>57</v>
      </c>
      <c r="AE42" s="105">
        <v>166300</v>
      </c>
      <c r="AF42" s="106">
        <f t="shared" si="11"/>
        <v>67000</v>
      </c>
      <c r="AG42" s="106">
        <f t="shared" si="12"/>
        <v>17000</v>
      </c>
      <c r="AH42" s="107">
        <f t="shared" si="13"/>
        <v>34000</v>
      </c>
      <c r="AI42" s="108">
        <f t="shared" si="14"/>
        <v>284300</v>
      </c>
      <c r="AJ42" s="106">
        <f t="shared" si="15"/>
        <v>299000</v>
      </c>
      <c r="AK42" s="175">
        <f t="shared" si="1"/>
        <v>232000</v>
      </c>
      <c r="AN42" s="175"/>
      <c r="AO42" s="103" t="s">
        <v>124</v>
      </c>
      <c r="AP42" s="52" t="s">
        <v>52</v>
      </c>
      <c r="AQ42" s="104" t="s">
        <v>57</v>
      </c>
      <c r="AR42" s="176">
        <v>502000</v>
      </c>
      <c r="AS42" s="106">
        <f t="shared" si="2"/>
        <v>352000</v>
      </c>
      <c r="AT42" s="117">
        <f t="shared" si="3"/>
        <v>51000</v>
      </c>
      <c r="AU42" s="106">
        <f t="shared" si="4"/>
        <v>101000</v>
      </c>
      <c r="AV42" s="177">
        <f t="shared" si="16"/>
        <v>1006000</v>
      </c>
      <c r="AW42" s="106">
        <f t="shared" si="5"/>
        <v>1057000</v>
      </c>
      <c r="AX42" s="175">
        <f t="shared" si="6"/>
        <v>705000</v>
      </c>
      <c r="BB42" s="81" t="s">
        <v>117</v>
      </c>
      <c r="BC42" s="119" t="s">
        <v>235</v>
      </c>
      <c r="BD42" s="119">
        <v>5156000</v>
      </c>
      <c r="BE42" s="272">
        <f t="shared" si="63"/>
        <v>6960600</v>
      </c>
      <c r="BF42" s="81" t="s">
        <v>117</v>
      </c>
      <c r="BG42" s="119" t="s">
        <v>235</v>
      </c>
      <c r="BH42" s="119">
        <v>7416000</v>
      </c>
      <c r="BI42" s="272">
        <f t="shared" si="64"/>
        <v>10011600</v>
      </c>
      <c r="BR42" s="29" t="s">
        <v>269</v>
      </c>
      <c r="BS42" s="30" t="s">
        <v>22</v>
      </c>
      <c r="BT42" s="31" t="s">
        <v>23</v>
      </c>
      <c r="CG42" s="76"/>
      <c r="CH42" s="78"/>
      <c r="CI42" s="118" t="s">
        <v>80</v>
      </c>
      <c r="CJ42" s="119" t="s">
        <v>81</v>
      </c>
      <c r="CK42" s="120">
        <v>5683242</v>
      </c>
      <c r="CL42" s="121">
        <f t="shared" ref="CL42:CL72" si="72">ROUNDUP(CK42*$CN$9,-3)</f>
        <v>6820000</v>
      </c>
      <c r="CM42" s="88"/>
      <c r="CZ42" s="154">
        <v>200</v>
      </c>
      <c r="DA42" s="155" t="s">
        <v>132</v>
      </c>
      <c r="DB42" s="156">
        <v>216</v>
      </c>
      <c r="DC42" s="269">
        <v>1883600</v>
      </c>
      <c r="DD42" s="270"/>
      <c r="DE42" s="269">
        <v>1221600</v>
      </c>
      <c r="DF42" s="270"/>
      <c r="DG42" s="269">
        <f t="shared" si="60"/>
        <v>2543000</v>
      </c>
      <c r="DH42" s="270"/>
      <c r="DI42" s="269">
        <f t="shared" si="53"/>
        <v>1650000</v>
      </c>
      <c r="DJ42" s="270"/>
      <c r="DK42" s="269">
        <v>2730600</v>
      </c>
      <c r="DL42" s="270"/>
      <c r="DM42" s="269">
        <v>1771200</v>
      </c>
      <c r="DN42" s="270"/>
      <c r="DO42" s="269">
        <f t="shared" si="61"/>
        <v>3687000</v>
      </c>
      <c r="DP42" s="270"/>
      <c r="DQ42" s="269">
        <f t="shared" si="54"/>
        <v>2392000</v>
      </c>
      <c r="DR42" s="270"/>
      <c r="DS42" s="271">
        <f t="shared" si="55"/>
        <v>1145000</v>
      </c>
      <c r="DT42" s="271">
        <f t="shared" si="56"/>
        <v>743000</v>
      </c>
      <c r="DU42" s="271">
        <f t="shared" si="57"/>
        <v>1660000</v>
      </c>
      <c r="DV42" s="271">
        <f t="shared" si="58"/>
        <v>1077000</v>
      </c>
      <c r="DX42" s="156" t="s">
        <v>270</v>
      </c>
      <c r="DY42" s="162">
        <v>11441</v>
      </c>
      <c r="DZ42" s="162">
        <f t="shared" si="69"/>
        <v>12585.1</v>
      </c>
      <c r="EA42" s="163">
        <f t="shared" si="68"/>
        <v>16989.885000000002</v>
      </c>
      <c r="ED42" s="287">
        <v>50</v>
      </c>
      <c r="EE42" s="163">
        <v>29730</v>
      </c>
      <c r="EF42" s="163">
        <v>33000</v>
      </c>
      <c r="EG42" s="286">
        <f t="shared" si="70"/>
        <v>44550</v>
      </c>
      <c r="EI42" s="251" t="s">
        <v>271</v>
      </c>
      <c r="EJ42" s="162">
        <v>58468</v>
      </c>
      <c r="EK42" s="162">
        <v>64900</v>
      </c>
      <c r="EL42" s="286">
        <f t="shared" si="71"/>
        <v>87615</v>
      </c>
    </row>
    <row r="43" spans="3:142" ht="15" thickBot="1">
      <c r="C43" s="291"/>
      <c r="D43" s="23"/>
      <c r="E43" s="209"/>
      <c r="F43" s="206"/>
      <c r="G43" s="206"/>
      <c r="H43" s="207"/>
      <c r="I43" s="23"/>
      <c r="J43" s="23"/>
      <c r="K43" s="23"/>
      <c r="L43" s="23"/>
      <c r="AA43" s="175"/>
      <c r="AB43" s="103" t="s">
        <v>124</v>
      </c>
      <c r="AC43" s="52" t="s">
        <v>52</v>
      </c>
      <c r="AD43" s="104" t="s">
        <v>77</v>
      </c>
      <c r="AE43" s="105">
        <v>181700</v>
      </c>
      <c r="AF43" s="106">
        <f t="shared" si="11"/>
        <v>73000</v>
      </c>
      <c r="AG43" s="106">
        <f t="shared" si="12"/>
        <v>19000</v>
      </c>
      <c r="AH43" s="107">
        <f t="shared" si="13"/>
        <v>37000</v>
      </c>
      <c r="AI43" s="108">
        <f t="shared" si="14"/>
        <v>310700</v>
      </c>
      <c r="AJ43" s="106">
        <f t="shared" si="15"/>
        <v>327000</v>
      </c>
      <c r="AK43" s="175">
        <f t="shared" si="1"/>
        <v>254000</v>
      </c>
      <c r="AN43" s="175"/>
      <c r="AO43" s="103" t="s">
        <v>124</v>
      </c>
      <c r="AP43" s="52" t="s">
        <v>52</v>
      </c>
      <c r="AQ43" s="104" t="s">
        <v>77</v>
      </c>
      <c r="AR43" s="176">
        <v>502000</v>
      </c>
      <c r="AS43" s="106">
        <f t="shared" si="2"/>
        <v>352000</v>
      </c>
      <c r="AT43" s="117">
        <f t="shared" si="3"/>
        <v>51000</v>
      </c>
      <c r="AU43" s="106">
        <f t="shared" si="4"/>
        <v>101000</v>
      </c>
      <c r="AV43" s="177">
        <f t="shared" si="16"/>
        <v>1006000</v>
      </c>
      <c r="AW43" s="106">
        <f t="shared" si="5"/>
        <v>1057000</v>
      </c>
      <c r="AX43" s="175">
        <f t="shared" si="6"/>
        <v>705000</v>
      </c>
      <c r="BB43" s="81" t="s">
        <v>124</v>
      </c>
      <c r="BC43" s="119" t="s">
        <v>235</v>
      </c>
      <c r="BD43" s="119">
        <v>6162500</v>
      </c>
      <c r="BE43" s="272">
        <f t="shared" si="63"/>
        <v>8319375.0000000009</v>
      </c>
      <c r="BF43" s="81" t="s">
        <v>124</v>
      </c>
      <c r="BG43" s="119" t="s">
        <v>235</v>
      </c>
      <c r="BH43" s="119">
        <v>8828600</v>
      </c>
      <c r="BI43" s="272">
        <f t="shared" si="64"/>
        <v>11918610</v>
      </c>
      <c r="BR43" s="262" t="s">
        <v>272</v>
      </c>
      <c r="BS43" s="237">
        <f>(836000*15%)+836000</f>
        <v>961400</v>
      </c>
      <c r="BT43" s="263">
        <f>ROUNDUP(BS43*$BV$31,-3)</f>
        <v>1010000</v>
      </c>
      <c r="CG43" s="76"/>
      <c r="CH43" s="78"/>
      <c r="CI43" s="118" t="s">
        <v>110</v>
      </c>
      <c r="CJ43" s="119" t="s">
        <v>111</v>
      </c>
      <c r="CK43" s="120">
        <v>1711285</v>
      </c>
      <c r="CL43" s="121">
        <f t="shared" si="72"/>
        <v>2054000</v>
      </c>
      <c r="CM43" s="88"/>
      <c r="CZ43" s="154">
        <v>250</v>
      </c>
      <c r="DA43" s="155" t="s">
        <v>136</v>
      </c>
      <c r="DB43" s="156">
        <v>267</v>
      </c>
      <c r="DC43" s="269">
        <v>2869700</v>
      </c>
      <c r="DD43" s="270"/>
      <c r="DE43" s="269">
        <v>1809000</v>
      </c>
      <c r="DF43" s="270"/>
      <c r="DG43" s="269">
        <f t="shared" si="60"/>
        <v>3875000</v>
      </c>
      <c r="DH43" s="270"/>
      <c r="DI43" s="269">
        <f t="shared" si="53"/>
        <v>2443000</v>
      </c>
      <c r="DJ43" s="270"/>
      <c r="DK43" s="269">
        <v>4160500</v>
      </c>
      <c r="DL43" s="270"/>
      <c r="DM43" s="269">
        <v>0</v>
      </c>
      <c r="DN43" s="270"/>
      <c r="DO43" s="269">
        <f t="shared" si="61"/>
        <v>5617000</v>
      </c>
      <c r="DP43" s="270"/>
      <c r="DQ43" s="269">
        <f t="shared" si="54"/>
        <v>0</v>
      </c>
      <c r="DR43" s="270"/>
      <c r="DS43" s="271">
        <f t="shared" si="55"/>
        <v>1744000</v>
      </c>
      <c r="DT43" s="271">
        <f t="shared" si="56"/>
        <v>1100000</v>
      </c>
      <c r="DU43" s="271">
        <f t="shared" si="57"/>
        <v>2528000</v>
      </c>
      <c r="DV43" s="271">
        <f t="shared" si="58"/>
        <v>0</v>
      </c>
      <c r="DX43" s="156" t="s">
        <v>273</v>
      </c>
      <c r="DY43" s="162">
        <v>13333</v>
      </c>
      <c r="DZ43" s="162">
        <f t="shared" si="69"/>
        <v>14666.300000000001</v>
      </c>
      <c r="EA43" s="163">
        <f t="shared" si="68"/>
        <v>19799.505000000001</v>
      </c>
      <c r="ED43" s="287">
        <v>63</v>
      </c>
      <c r="EE43" s="163">
        <v>62432</v>
      </c>
      <c r="EF43" s="163">
        <v>69300</v>
      </c>
      <c r="EG43" s="286">
        <f t="shared" si="70"/>
        <v>93555</v>
      </c>
      <c r="EI43" s="251" t="s">
        <v>274</v>
      </c>
      <c r="EJ43" s="162">
        <v>66126</v>
      </c>
      <c r="EK43" s="162">
        <v>73400</v>
      </c>
      <c r="EL43" s="286">
        <f t="shared" si="71"/>
        <v>99090</v>
      </c>
    </row>
    <row r="44" spans="3:142" ht="18" thickBot="1">
      <c r="C44" s="292" t="s">
        <v>275</v>
      </c>
      <c r="D44" s="292"/>
      <c r="E44" s="293">
        <f>319400*I42</f>
        <v>319400</v>
      </c>
      <c r="F44" s="293">
        <f>259400*I42</f>
        <v>259400</v>
      </c>
      <c r="G44" s="293">
        <f>197600*I42</f>
        <v>197600</v>
      </c>
      <c r="H44" s="293">
        <f>165400*I42</f>
        <v>165400</v>
      </c>
      <c r="I44" s="294" t="s">
        <v>276</v>
      </c>
      <c r="J44" s="295"/>
      <c r="K44" s="295"/>
      <c r="L44" s="23"/>
      <c r="AA44" s="175"/>
      <c r="AB44" s="103" t="s">
        <v>124</v>
      </c>
      <c r="AC44" s="52" t="s">
        <v>52</v>
      </c>
      <c r="AD44" s="104" t="s">
        <v>108</v>
      </c>
      <c r="AE44" s="105">
        <v>200900</v>
      </c>
      <c r="AF44" s="106">
        <f t="shared" si="11"/>
        <v>81000</v>
      </c>
      <c r="AG44" s="106">
        <f t="shared" si="12"/>
        <v>21000</v>
      </c>
      <c r="AH44" s="107">
        <f t="shared" si="13"/>
        <v>41000</v>
      </c>
      <c r="AI44" s="108">
        <f t="shared" si="14"/>
        <v>343900</v>
      </c>
      <c r="AJ44" s="106">
        <f t="shared" si="15"/>
        <v>362000</v>
      </c>
      <c r="AK44" s="175">
        <f t="shared" si="1"/>
        <v>281000</v>
      </c>
      <c r="AN44" s="175"/>
      <c r="AO44" s="103" t="s">
        <v>124</v>
      </c>
      <c r="AP44" s="52" t="s">
        <v>52</v>
      </c>
      <c r="AQ44" s="104" t="s">
        <v>108</v>
      </c>
      <c r="AR44" s="176">
        <v>502000</v>
      </c>
      <c r="AS44" s="106">
        <f t="shared" si="2"/>
        <v>352000</v>
      </c>
      <c r="AT44" s="117">
        <f t="shared" si="3"/>
        <v>51000</v>
      </c>
      <c r="AU44" s="106">
        <f t="shared" si="4"/>
        <v>101000</v>
      </c>
      <c r="AV44" s="177">
        <f t="shared" si="16"/>
        <v>1006000</v>
      </c>
      <c r="AW44" s="106">
        <f t="shared" si="5"/>
        <v>1057000</v>
      </c>
      <c r="AX44" s="175">
        <f t="shared" si="6"/>
        <v>705000</v>
      </c>
      <c r="BB44" s="179" t="s">
        <v>132</v>
      </c>
      <c r="BC44" s="257" t="s">
        <v>235</v>
      </c>
      <c r="BD44" s="257">
        <v>8903800</v>
      </c>
      <c r="BE44" s="272">
        <f t="shared" si="63"/>
        <v>12020130</v>
      </c>
      <c r="BF44" s="179" t="s">
        <v>132</v>
      </c>
      <c r="BG44" s="257" t="s">
        <v>235</v>
      </c>
      <c r="BH44" s="257">
        <v>15008600</v>
      </c>
      <c r="BI44" s="272">
        <f t="shared" si="64"/>
        <v>20261610</v>
      </c>
      <c r="BJ44" s="261" t="s">
        <v>277</v>
      </c>
      <c r="BK44" s="261"/>
      <c r="BL44" s="261"/>
      <c r="BM44" s="261"/>
      <c r="BN44" s="60"/>
      <c r="BR44" s="152" t="s">
        <v>278</v>
      </c>
      <c r="BS44" s="153">
        <f>(1590243*15%)+1590243</f>
        <v>1828779.45</v>
      </c>
      <c r="BT44" s="150">
        <f>ROUNDUP(BS44*$BV$31,-3)</f>
        <v>1921000</v>
      </c>
      <c r="CG44" s="152"/>
      <c r="CH44" s="153"/>
      <c r="CI44" s="170" t="s">
        <v>118</v>
      </c>
      <c r="CJ44" s="148" t="s">
        <v>119</v>
      </c>
      <c r="CK44" s="171">
        <v>561105</v>
      </c>
      <c r="CL44" s="172">
        <f>ROUNDUP(CK44*$CN$9,-3)</f>
        <v>674000</v>
      </c>
      <c r="CM44" s="173">
        <f>SUM(CL41:CL44)</f>
        <v>13080000</v>
      </c>
      <c r="CZ44" s="214">
        <v>300</v>
      </c>
      <c r="DA44" s="238" t="s">
        <v>139</v>
      </c>
      <c r="DB44" s="215">
        <v>318</v>
      </c>
      <c r="DC44" s="296">
        <v>4070800</v>
      </c>
      <c r="DD44" s="297"/>
      <c r="DE44" s="296">
        <v>2539900</v>
      </c>
      <c r="DF44" s="297"/>
      <c r="DG44" s="296">
        <f t="shared" si="60"/>
        <v>5496000</v>
      </c>
      <c r="DH44" s="297"/>
      <c r="DI44" s="296">
        <f t="shared" si="53"/>
        <v>3429000</v>
      </c>
      <c r="DJ44" s="297"/>
      <c r="DK44" s="296">
        <v>5902100</v>
      </c>
      <c r="DL44" s="297"/>
      <c r="DM44" s="296">
        <v>0</v>
      </c>
      <c r="DN44" s="297"/>
      <c r="DO44" s="296">
        <f t="shared" si="61"/>
        <v>7968000</v>
      </c>
      <c r="DP44" s="297"/>
      <c r="DQ44" s="296">
        <f t="shared" si="54"/>
        <v>0</v>
      </c>
      <c r="DR44" s="297"/>
      <c r="DS44" s="271">
        <f t="shared" si="55"/>
        <v>2474000</v>
      </c>
      <c r="DT44" s="271">
        <f>ROUNDUP((DI44*45%),-3)</f>
        <v>1544000</v>
      </c>
      <c r="DU44" s="271">
        <f t="shared" si="57"/>
        <v>3586000</v>
      </c>
      <c r="DV44" s="271">
        <f t="shared" si="58"/>
        <v>0</v>
      </c>
      <c r="DX44" s="156" t="s">
        <v>279</v>
      </c>
      <c r="DY44" s="265">
        <v>15315</v>
      </c>
      <c r="DZ44" s="265">
        <f t="shared" si="69"/>
        <v>16846.5</v>
      </c>
      <c r="EA44" s="163">
        <f t="shared" si="68"/>
        <v>22742.775000000001</v>
      </c>
      <c r="ED44" s="287">
        <v>75</v>
      </c>
      <c r="EE44" s="163">
        <v>92793</v>
      </c>
      <c r="EF44" s="163">
        <v>103000</v>
      </c>
      <c r="EG44" s="286">
        <f t="shared" si="70"/>
        <v>139050</v>
      </c>
      <c r="EI44" s="254" t="s">
        <v>280</v>
      </c>
      <c r="EJ44" s="216">
        <v>106757</v>
      </c>
      <c r="EK44" s="216">
        <v>118500</v>
      </c>
      <c r="EL44" s="298">
        <f t="shared" si="71"/>
        <v>159975</v>
      </c>
    </row>
    <row r="45" spans="3:142" ht="15" thickBot="1">
      <c r="C45" s="292" t="s">
        <v>281</v>
      </c>
      <c r="D45" s="292"/>
      <c r="E45" s="293">
        <f>ROUNDUP(E44*$I$45,-3)</f>
        <v>304000</v>
      </c>
      <c r="F45" s="293">
        <f>ROUNDUP(F44*$I$45,-3)</f>
        <v>247000</v>
      </c>
      <c r="G45" s="293">
        <f>ROUNDUP(G44*$I$45,-3)</f>
        <v>188000</v>
      </c>
      <c r="H45" s="293">
        <f>ROUNDUP(H44*$I$45,-3)</f>
        <v>158000</v>
      </c>
      <c r="I45" s="299">
        <v>0.95</v>
      </c>
      <c r="J45" s="300"/>
      <c r="K45" s="300"/>
      <c r="L45" s="23"/>
      <c r="AA45" s="148"/>
      <c r="AB45" s="141" t="s">
        <v>124</v>
      </c>
      <c r="AC45" s="142" t="s">
        <v>52</v>
      </c>
      <c r="AD45" s="143" t="s">
        <v>117</v>
      </c>
      <c r="AE45" s="144">
        <v>217100</v>
      </c>
      <c r="AF45" s="145">
        <f t="shared" si="11"/>
        <v>87000</v>
      </c>
      <c r="AG45" s="145">
        <f t="shared" si="12"/>
        <v>22000</v>
      </c>
      <c r="AH45" s="146">
        <f t="shared" si="13"/>
        <v>44000</v>
      </c>
      <c r="AI45" s="147">
        <f t="shared" si="14"/>
        <v>370100</v>
      </c>
      <c r="AJ45" s="145">
        <f t="shared" si="15"/>
        <v>389000</v>
      </c>
      <c r="AK45" s="148">
        <f t="shared" si="1"/>
        <v>302000</v>
      </c>
      <c r="AN45" s="148"/>
      <c r="AO45" s="141" t="s">
        <v>124</v>
      </c>
      <c r="AP45" s="142" t="s">
        <v>52</v>
      </c>
      <c r="AQ45" s="143" t="s">
        <v>117</v>
      </c>
      <c r="AR45" s="176">
        <v>502000</v>
      </c>
      <c r="AS45" s="145">
        <f t="shared" si="2"/>
        <v>352000</v>
      </c>
      <c r="AT45" s="146">
        <f t="shared" si="3"/>
        <v>51000</v>
      </c>
      <c r="AU45" s="145">
        <f t="shared" si="4"/>
        <v>101000</v>
      </c>
      <c r="AV45" s="151">
        <f t="shared" si="16"/>
        <v>1006000</v>
      </c>
      <c r="AW45" s="145">
        <f t="shared" si="5"/>
        <v>1057000</v>
      </c>
      <c r="AX45" s="148">
        <f t="shared" si="6"/>
        <v>705000</v>
      </c>
      <c r="BK45" s="227" t="s">
        <v>21</v>
      </c>
      <c r="BL45" s="227" t="s">
        <v>22</v>
      </c>
      <c r="BM45" s="227" t="s">
        <v>23</v>
      </c>
      <c r="CG45" s="76">
        <v>2</v>
      </c>
      <c r="CH45" s="78" t="s">
        <v>125</v>
      </c>
      <c r="CI45" s="84" t="s">
        <v>282</v>
      </c>
      <c r="CJ45" s="85" t="s">
        <v>283</v>
      </c>
      <c r="CK45" s="86">
        <v>5603478</v>
      </c>
      <c r="CL45" s="87">
        <f>ROUNDUP(CK45*$CN$9,-3)</f>
        <v>6725000</v>
      </c>
      <c r="CM45" s="180"/>
      <c r="DX45" s="156" t="s">
        <v>284</v>
      </c>
      <c r="DY45" s="162">
        <v>17207</v>
      </c>
      <c r="DZ45" s="162">
        <f t="shared" si="69"/>
        <v>18927.7</v>
      </c>
      <c r="EA45" s="163">
        <f t="shared" si="68"/>
        <v>25552.395000000004</v>
      </c>
      <c r="ED45" s="287">
        <v>90</v>
      </c>
      <c r="EE45" s="163">
        <v>158649</v>
      </c>
      <c r="EF45" s="163">
        <v>176100</v>
      </c>
      <c r="EG45" s="286">
        <f t="shared" si="70"/>
        <v>237735.00000000003</v>
      </c>
    </row>
    <row r="46" spans="3:142" ht="15" thickBot="1">
      <c r="C46" s="291" t="s">
        <v>285</v>
      </c>
      <c r="D46" s="291"/>
      <c r="E46" s="301">
        <f>$I$46*2</f>
        <v>58000</v>
      </c>
      <c r="F46" s="301">
        <f>$I$46*2</f>
        <v>58000</v>
      </c>
      <c r="G46" s="301">
        <f>$I$46*2</f>
        <v>58000</v>
      </c>
      <c r="H46" s="301">
        <f>$I$46*2</f>
        <v>58000</v>
      </c>
      <c r="I46" s="299">
        <f>ROUNDUP(515000/(1.2*15),-3)</f>
        <v>29000</v>
      </c>
      <c r="J46" s="300"/>
      <c r="K46" s="300"/>
      <c r="L46" s="23"/>
      <c r="AA46" s="46" t="s">
        <v>132</v>
      </c>
      <c r="AB46" s="103" t="s">
        <v>132</v>
      </c>
      <c r="AC46" s="52" t="s">
        <v>52</v>
      </c>
      <c r="AD46" s="104" t="s">
        <v>40</v>
      </c>
      <c r="AE46" s="105">
        <v>292600</v>
      </c>
      <c r="AF46" s="106">
        <f t="shared" si="11"/>
        <v>118000</v>
      </c>
      <c r="AG46" s="106">
        <f t="shared" si="12"/>
        <v>30000</v>
      </c>
      <c r="AH46" s="107">
        <f t="shared" si="13"/>
        <v>59000</v>
      </c>
      <c r="AI46" s="108">
        <f t="shared" si="14"/>
        <v>499600</v>
      </c>
      <c r="AJ46" s="106">
        <f t="shared" si="15"/>
        <v>525000</v>
      </c>
      <c r="AK46" s="109">
        <f t="shared" si="1"/>
        <v>407000</v>
      </c>
      <c r="AN46" s="46" t="s">
        <v>132</v>
      </c>
      <c r="AO46" s="103" t="s">
        <v>132</v>
      </c>
      <c r="AP46" s="52" t="s">
        <v>52</v>
      </c>
      <c r="AQ46" s="104" t="s">
        <v>40</v>
      </c>
      <c r="AR46" s="74">
        <v>940100</v>
      </c>
      <c r="AS46" s="114">
        <f t="shared" si="2"/>
        <v>659000</v>
      </c>
      <c r="AT46" s="113">
        <f t="shared" si="3"/>
        <v>95000</v>
      </c>
      <c r="AU46" s="114">
        <f t="shared" si="4"/>
        <v>189000</v>
      </c>
      <c r="AV46" s="115">
        <f t="shared" si="16"/>
        <v>1883100</v>
      </c>
      <c r="AW46" s="114">
        <f t="shared" si="5"/>
        <v>1978000</v>
      </c>
      <c r="AX46" s="109">
        <f t="shared" si="6"/>
        <v>1319000</v>
      </c>
      <c r="BK46" s="81" t="s">
        <v>125</v>
      </c>
      <c r="BL46" s="81">
        <f>(4512600*15%)+4512600</f>
        <v>5189490</v>
      </c>
      <c r="BM46" s="90">
        <f t="shared" ref="BM46:BM55" si="73">ROUNDUP(BL46*$BO$50,-3)</f>
        <v>5449000</v>
      </c>
      <c r="BO46" s="23">
        <v>0.4</v>
      </c>
      <c r="CG46" s="76"/>
      <c r="CH46" s="78"/>
      <c r="CI46" s="118" t="s">
        <v>80</v>
      </c>
      <c r="CJ46" s="119" t="s">
        <v>81</v>
      </c>
      <c r="CK46" s="120">
        <v>7617055</v>
      </c>
      <c r="CL46" s="121">
        <f t="shared" si="72"/>
        <v>9141000</v>
      </c>
      <c r="CM46" s="88"/>
      <c r="CZ46" s="1" t="s">
        <v>198</v>
      </c>
      <c r="DX46" s="215" t="s">
        <v>286</v>
      </c>
      <c r="DY46" s="216">
        <v>18468</v>
      </c>
      <c r="DZ46" s="216">
        <f t="shared" si="69"/>
        <v>20314.800000000003</v>
      </c>
      <c r="EA46" s="217">
        <f t="shared" si="68"/>
        <v>27424.980000000007</v>
      </c>
      <c r="ED46" s="287">
        <v>110</v>
      </c>
      <c r="EE46" s="163">
        <v>251532</v>
      </c>
      <c r="EF46" s="163">
        <v>279200</v>
      </c>
      <c r="EG46" s="286">
        <f t="shared" si="70"/>
        <v>376920</v>
      </c>
    </row>
    <row r="47" spans="3:142" ht="15" thickBot="1">
      <c r="C47" s="291" t="s">
        <v>287</v>
      </c>
      <c r="D47" s="291"/>
      <c r="E47" s="301">
        <f>$I$47</f>
        <v>20000</v>
      </c>
      <c r="F47" s="301">
        <f>$I$47</f>
        <v>20000</v>
      </c>
      <c r="G47" s="301">
        <f>$I$47</f>
        <v>20000</v>
      </c>
      <c r="H47" s="301">
        <f>$I$47</f>
        <v>20000</v>
      </c>
      <c r="I47" s="299">
        <f>ROUNDUP(1400000/(60*1.2),-3)</f>
        <v>20000</v>
      </c>
      <c r="J47" s="300"/>
      <c r="K47" s="300"/>
      <c r="L47" s="23"/>
      <c r="AA47" s="175"/>
      <c r="AB47" s="103" t="s">
        <v>132</v>
      </c>
      <c r="AC47" s="52" t="s">
        <v>52</v>
      </c>
      <c r="AD47" s="104" t="s">
        <v>57</v>
      </c>
      <c r="AE47" s="105">
        <v>308700</v>
      </c>
      <c r="AF47" s="106">
        <f t="shared" si="11"/>
        <v>124000</v>
      </c>
      <c r="AG47" s="106">
        <f t="shared" si="12"/>
        <v>31000</v>
      </c>
      <c r="AH47" s="107">
        <f t="shared" si="13"/>
        <v>62000</v>
      </c>
      <c r="AI47" s="108">
        <f t="shared" si="14"/>
        <v>525700</v>
      </c>
      <c r="AJ47" s="106">
        <f t="shared" si="15"/>
        <v>552000</v>
      </c>
      <c r="AK47" s="175">
        <f t="shared" si="1"/>
        <v>428000</v>
      </c>
      <c r="AN47" s="175"/>
      <c r="AO47" s="103" t="s">
        <v>132</v>
      </c>
      <c r="AP47" s="52" t="s">
        <v>52</v>
      </c>
      <c r="AQ47" s="104" t="s">
        <v>57</v>
      </c>
      <c r="AR47" s="176">
        <v>940100</v>
      </c>
      <c r="AS47" s="106">
        <f t="shared" si="2"/>
        <v>659000</v>
      </c>
      <c r="AT47" s="117">
        <f t="shared" si="3"/>
        <v>95000</v>
      </c>
      <c r="AU47" s="106">
        <f t="shared" si="4"/>
        <v>189000</v>
      </c>
      <c r="AV47" s="177">
        <f t="shared" si="16"/>
        <v>1883100</v>
      </c>
      <c r="AW47" s="106">
        <f t="shared" si="5"/>
        <v>1978000</v>
      </c>
      <c r="AX47" s="175">
        <f t="shared" si="6"/>
        <v>1319000</v>
      </c>
      <c r="BB47" s="2" t="s">
        <v>288</v>
      </c>
      <c r="BC47" s="3"/>
      <c r="BD47" s="3"/>
      <c r="BE47" s="4"/>
      <c r="BK47" s="81" t="s">
        <v>40</v>
      </c>
      <c r="BL47" s="81">
        <f>(4824600*15%)+4824600</f>
        <v>5548290</v>
      </c>
      <c r="BM47" s="123">
        <f t="shared" si="73"/>
        <v>5826000</v>
      </c>
      <c r="BO47" s="23">
        <v>0.1</v>
      </c>
      <c r="CG47" s="76"/>
      <c r="CH47" s="78"/>
      <c r="CI47" s="118" t="s">
        <v>110</v>
      </c>
      <c r="CJ47" s="119" t="s">
        <v>111</v>
      </c>
      <c r="CK47" s="120">
        <v>1711285</v>
      </c>
      <c r="CL47" s="121">
        <f t="shared" si="72"/>
        <v>2054000</v>
      </c>
      <c r="CM47" s="88"/>
      <c r="CZ47" s="1" t="s">
        <v>203</v>
      </c>
      <c r="DX47" s="156" t="s">
        <v>289</v>
      </c>
      <c r="DY47" s="162">
        <v>20360</v>
      </c>
      <c r="DZ47" s="162">
        <f>DY47*110%</f>
        <v>22396</v>
      </c>
      <c r="EA47" s="163">
        <f t="shared" si="68"/>
        <v>30234.600000000002</v>
      </c>
      <c r="ED47" s="302">
        <v>160</v>
      </c>
      <c r="EE47" s="217">
        <v>1016757</v>
      </c>
      <c r="EF47" s="217">
        <v>1128600</v>
      </c>
      <c r="EG47" s="298">
        <f t="shared" si="70"/>
        <v>1523610</v>
      </c>
    </row>
    <row r="48" spans="3:142" ht="18" thickBot="1">
      <c r="C48" s="291" t="s">
        <v>290</v>
      </c>
      <c r="D48" s="291"/>
      <c r="E48" s="301">
        <f>$I$46</f>
        <v>29000</v>
      </c>
      <c r="F48" s="301">
        <f>$I$46</f>
        <v>29000</v>
      </c>
      <c r="G48" s="301">
        <f>$I$46</f>
        <v>29000</v>
      </c>
      <c r="H48" s="301">
        <f>$I$46</f>
        <v>29000</v>
      </c>
      <c r="I48" s="303"/>
      <c r="J48" s="303"/>
      <c r="K48" s="303"/>
      <c r="L48" s="23"/>
      <c r="AA48" s="175"/>
      <c r="AB48" s="103" t="s">
        <v>132</v>
      </c>
      <c r="AC48" s="52" t="s">
        <v>52</v>
      </c>
      <c r="AD48" s="104" t="s">
        <v>77</v>
      </c>
      <c r="AE48" s="105">
        <v>324100</v>
      </c>
      <c r="AF48" s="106">
        <f t="shared" si="11"/>
        <v>130000</v>
      </c>
      <c r="AG48" s="106">
        <f t="shared" si="12"/>
        <v>33000</v>
      </c>
      <c r="AH48" s="107">
        <f t="shared" si="13"/>
        <v>65000</v>
      </c>
      <c r="AI48" s="108">
        <f t="shared" si="14"/>
        <v>552100</v>
      </c>
      <c r="AJ48" s="106">
        <f t="shared" si="15"/>
        <v>580000</v>
      </c>
      <c r="AK48" s="175">
        <f t="shared" si="1"/>
        <v>450000</v>
      </c>
      <c r="AN48" s="175"/>
      <c r="AO48" s="103" t="s">
        <v>132</v>
      </c>
      <c r="AP48" s="52" t="s">
        <v>52</v>
      </c>
      <c r="AQ48" s="104" t="s">
        <v>77</v>
      </c>
      <c r="AR48" s="176">
        <v>940100</v>
      </c>
      <c r="AS48" s="106">
        <f t="shared" si="2"/>
        <v>659000</v>
      </c>
      <c r="AT48" s="117">
        <f t="shared" si="3"/>
        <v>95000</v>
      </c>
      <c r="AU48" s="106">
        <f t="shared" si="4"/>
        <v>189000</v>
      </c>
      <c r="AV48" s="177">
        <f t="shared" si="16"/>
        <v>1883100</v>
      </c>
      <c r="AW48" s="106">
        <f t="shared" si="5"/>
        <v>1978000</v>
      </c>
      <c r="AX48" s="175">
        <f t="shared" si="6"/>
        <v>1319000</v>
      </c>
      <c r="BB48" s="65" t="s">
        <v>21</v>
      </c>
      <c r="BC48" s="65" t="s">
        <v>231</v>
      </c>
      <c r="BD48" s="65" t="s">
        <v>232</v>
      </c>
      <c r="BE48" s="65" t="s">
        <v>233</v>
      </c>
      <c r="BK48" s="81" t="s">
        <v>57</v>
      </c>
      <c r="BL48" s="81">
        <f>(6132850*15%)+6132850</f>
        <v>7052777.5</v>
      </c>
      <c r="BM48" s="123">
        <f t="shared" si="73"/>
        <v>7406000</v>
      </c>
      <c r="BO48" s="23">
        <v>0.2</v>
      </c>
      <c r="BQ48" s="10" t="s">
        <v>291</v>
      </c>
      <c r="BR48" s="10"/>
      <c r="BS48" s="10"/>
      <c r="BT48" s="10"/>
      <c r="BU48" s="288"/>
      <c r="CG48" s="152"/>
      <c r="CH48" s="153"/>
      <c r="CI48" s="170" t="s">
        <v>118</v>
      </c>
      <c r="CJ48" s="148" t="s">
        <v>119</v>
      </c>
      <c r="CK48" s="171">
        <v>611223</v>
      </c>
      <c r="CL48" s="172">
        <f t="shared" si="72"/>
        <v>734000</v>
      </c>
      <c r="CM48" s="173">
        <f>SUM(CL45:CL48)</f>
        <v>18654000</v>
      </c>
      <c r="CZ48" s="1" t="s">
        <v>207</v>
      </c>
      <c r="DX48" s="156" t="s">
        <v>292</v>
      </c>
      <c r="DY48" s="162">
        <v>21441</v>
      </c>
      <c r="DZ48" s="162">
        <f t="shared" si="69"/>
        <v>23585.100000000002</v>
      </c>
      <c r="EA48" s="163">
        <f t="shared" si="68"/>
        <v>31839.885000000006</v>
      </c>
    </row>
    <row r="49" spans="3:142">
      <c r="C49" s="291" t="s">
        <v>293</v>
      </c>
      <c r="D49" s="291"/>
      <c r="E49" s="301">
        <f>$I$49</f>
        <v>9000</v>
      </c>
      <c r="F49" s="301">
        <f>$I$49</f>
        <v>9000</v>
      </c>
      <c r="G49" s="301">
        <f>$I$49</f>
        <v>9000</v>
      </c>
      <c r="H49" s="301">
        <f>$I$49</f>
        <v>9000</v>
      </c>
      <c r="I49" s="299">
        <f>9000000/1000</f>
        <v>9000</v>
      </c>
      <c r="J49" s="300"/>
      <c r="K49" s="300"/>
      <c r="L49" s="23"/>
      <c r="AA49" s="175"/>
      <c r="AB49" s="103" t="s">
        <v>132</v>
      </c>
      <c r="AC49" s="52" t="s">
        <v>52</v>
      </c>
      <c r="AD49" s="104" t="s">
        <v>108</v>
      </c>
      <c r="AE49" s="105">
        <v>347200</v>
      </c>
      <c r="AF49" s="106">
        <f t="shared" si="11"/>
        <v>139000</v>
      </c>
      <c r="AG49" s="106">
        <f t="shared" si="12"/>
        <v>35000</v>
      </c>
      <c r="AH49" s="107">
        <f t="shared" si="13"/>
        <v>70000</v>
      </c>
      <c r="AI49" s="108">
        <f t="shared" si="14"/>
        <v>591200</v>
      </c>
      <c r="AJ49" s="106">
        <f t="shared" si="15"/>
        <v>621000</v>
      </c>
      <c r="AK49" s="175">
        <f t="shared" si="1"/>
        <v>482000</v>
      </c>
      <c r="AN49" s="175"/>
      <c r="AO49" s="103" t="s">
        <v>132</v>
      </c>
      <c r="AP49" s="52" t="s">
        <v>52</v>
      </c>
      <c r="AQ49" s="104" t="s">
        <v>108</v>
      </c>
      <c r="AR49" s="176">
        <v>940100</v>
      </c>
      <c r="AS49" s="106">
        <f t="shared" si="2"/>
        <v>659000</v>
      </c>
      <c r="AT49" s="117">
        <f t="shared" si="3"/>
        <v>95000</v>
      </c>
      <c r="AU49" s="106">
        <f t="shared" si="4"/>
        <v>189000</v>
      </c>
      <c r="AV49" s="177">
        <f t="shared" si="16"/>
        <v>1883100</v>
      </c>
      <c r="AW49" s="106">
        <f t="shared" si="5"/>
        <v>1978000</v>
      </c>
      <c r="AX49" s="175">
        <f t="shared" si="6"/>
        <v>1319000</v>
      </c>
      <c r="BB49" s="54" t="s">
        <v>53</v>
      </c>
      <c r="BC49" s="272" t="s">
        <v>235</v>
      </c>
      <c r="BD49" s="272">
        <v>559600</v>
      </c>
      <c r="BE49" s="272">
        <f>BD49*BJ$33</f>
        <v>755460</v>
      </c>
      <c r="BK49" s="81" t="s">
        <v>77</v>
      </c>
      <c r="BL49" s="81">
        <f>(7382950*15%)+7382950</f>
        <v>8490392.5</v>
      </c>
      <c r="BM49" s="123">
        <f t="shared" si="73"/>
        <v>8915000</v>
      </c>
      <c r="BO49" s="110"/>
      <c r="BQ49" s="83"/>
      <c r="BR49" s="83"/>
      <c r="BS49" s="83"/>
      <c r="BT49" s="83"/>
      <c r="BU49" s="83"/>
      <c r="CG49" s="76">
        <v>3</v>
      </c>
      <c r="CH49" s="78" t="s">
        <v>40</v>
      </c>
      <c r="CI49" s="84" t="s">
        <v>294</v>
      </c>
      <c r="CJ49" s="85" t="s">
        <v>295</v>
      </c>
      <c r="CK49" s="86">
        <v>6459797</v>
      </c>
      <c r="CL49" s="87">
        <f t="shared" si="72"/>
        <v>7752000</v>
      </c>
      <c r="CM49" s="180"/>
      <c r="CZ49" s="1" t="s">
        <v>211</v>
      </c>
      <c r="DX49" s="156" t="s">
        <v>296</v>
      </c>
      <c r="DY49" s="162">
        <v>31441</v>
      </c>
      <c r="DZ49" s="162">
        <f t="shared" si="69"/>
        <v>34585.100000000006</v>
      </c>
      <c r="EA49" s="163">
        <f t="shared" si="68"/>
        <v>46689.885000000009</v>
      </c>
    </row>
    <row r="50" spans="3:142" ht="15" thickBot="1">
      <c r="C50" s="291" t="s">
        <v>297</v>
      </c>
      <c r="D50" s="291"/>
      <c r="E50" s="301">
        <v>4000</v>
      </c>
      <c r="F50" s="301">
        <v>4000</v>
      </c>
      <c r="G50" s="301">
        <v>4000</v>
      </c>
      <c r="H50" s="301">
        <v>4000</v>
      </c>
      <c r="I50" s="299">
        <f>150000/1000*25</f>
        <v>3750</v>
      </c>
      <c r="J50" s="300"/>
      <c r="K50" s="300"/>
      <c r="L50" s="23"/>
      <c r="AA50" s="175"/>
      <c r="AB50" s="103" t="s">
        <v>132</v>
      </c>
      <c r="AC50" s="52" t="s">
        <v>52</v>
      </c>
      <c r="AD50" s="104" t="s">
        <v>117</v>
      </c>
      <c r="AE50" s="105">
        <v>385700</v>
      </c>
      <c r="AF50" s="106">
        <f t="shared" si="11"/>
        <v>155000</v>
      </c>
      <c r="AG50" s="106">
        <f t="shared" si="12"/>
        <v>39000</v>
      </c>
      <c r="AH50" s="107">
        <f t="shared" si="13"/>
        <v>78000</v>
      </c>
      <c r="AI50" s="108">
        <f t="shared" si="14"/>
        <v>657700</v>
      </c>
      <c r="AJ50" s="106">
        <f t="shared" si="15"/>
        <v>691000</v>
      </c>
      <c r="AK50" s="175">
        <f t="shared" si="1"/>
        <v>536000</v>
      </c>
      <c r="AN50" s="175"/>
      <c r="AO50" s="103" t="s">
        <v>132</v>
      </c>
      <c r="AP50" s="52" t="s">
        <v>52</v>
      </c>
      <c r="AQ50" s="104" t="s">
        <v>117</v>
      </c>
      <c r="AR50" s="176">
        <v>940100</v>
      </c>
      <c r="AS50" s="106">
        <f t="shared" si="2"/>
        <v>659000</v>
      </c>
      <c r="AT50" s="117">
        <f t="shared" si="3"/>
        <v>95000</v>
      </c>
      <c r="AU50" s="106">
        <f t="shared" si="4"/>
        <v>189000</v>
      </c>
      <c r="AV50" s="177">
        <f t="shared" si="16"/>
        <v>1883100</v>
      </c>
      <c r="AW50" s="106">
        <f t="shared" si="5"/>
        <v>1978000</v>
      </c>
      <c r="AX50" s="175">
        <f t="shared" si="6"/>
        <v>1319000</v>
      </c>
      <c r="BB50" s="81" t="s">
        <v>51</v>
      </c>
      <c r="BC50" s="119" t="s">
        <v>235</v>
      </c>
      <c r="BD50" s="119">
        <v>743200</v>
      </c>
      <c r="BE50" s="272">
        <f t="shared" ref="BE50:BE60" si="74">BD50*BJ$33</f>
        <v>1003320.0000000001</v>
      </c>
      <c r="BK50" s="81" t="s">
        <v>108</v>
      </c>
      <c r="BL50" s="81">
        <f>(10800750*15%)+10800750</f>
        <v>12420862.5</v>
      </c>
      <c r="BM50" s="123">
        <f t="shared" si="73"/>
        <v>13042000</v>
      </c>
      <c r="BO50" s="23">
        <v>1.05</v>
      </c>
      <c r="BQ50" s="52"/>
      <c r="CG50" s="76"/>
      <c r="CH50" s="78"/>
      <c r="CI50" s="118" t="s">
        <v>80</v>
      </c>
      <c r="CJ50" s="119" t="s">
        <v>81</v>
      </c>
      <c r="CK50" s="120">
        <v>7617055</v>
      </c>
      <c r="CL50" s="121">
        <f t="shared" si="72"/>
        <v>9141000</v>
      </c>
      <c r="CM50" s="88"/>
      <c r="DX50" s="156" t="s">
        <v>298</v>
      </c>
      <c r="DY50" s="162">
        <v>33333</v>
      </c>
      <c r="DZ50" s="162">
        <f t="shared" si="69"/>
        <v>36666.300000000003</v>
      </c>
      <c r="EA50" s="163">
        <f t="shared" si="68"/>
        <v>49499.505000000005</v>
      </c>
      <c r="ED50" s="27" t="s">
        <v>299</v>
      </c>
      <c r="EE50" s="27"/>
      <c r="EF50" s="27"/>
      <c r="EG50" s="27"/>
      <c r="EI50" s="27" t="s">
        <v>300</v>
      </c>
      <c r="EJ50" s="27"/>
      <c r="EK50" s="27"/>
      <c r="EL50" s="27"/>
    </row>
    <row r="51" spans="3:142" ht="15" thickBot="1">
      <c r="C51" s="291" t="s">
        <v>301</v>
      </c>
      <c r="D51" s="291"/>
      <c r="E51" s="301">
        <f>ROUNDUP($I$51,-3)</f>
        <v>15000</v>
      </c>
      <c r="F51" s="301">
        <f>ROUNDUP($I$51,-3)</f>
        <v>15000</v>
      </c>
      <c r="G51" s="301">
        <f>ROUNDUP($I$51,-3)</f>
        <v>15000</v>
      </c>
      <c r="H51" s="301">
        <f>ROUNDUP($I$51,-3)</f>
        <v>15000</v>
      </c>
      <c r="I51" s="299">
        <f>215000/11.5*0.8</f>
        <v>14956.521739130436</v>
      </c>
      <c r="J51" s="300"/>
      <c r="K51" s="300"/>
      <c r="L51" s="23"/>
      <c r="AA51" s="148"/>
      <c r="AB51" s="141" t="s">
        <v>132</v>
      </c>
      <c r="AC51" s="142" t="s">
        <v>52</v>
      </c>
      <c r="AD51" s="143" t="s">
        <v>124</v>
      </c>
      <c r="AE51" s="144">
        <v>478100</v>
      </c>
      <c r="AF51" s="145">
        <f t="shared" si="11"/>
        <v>192000</v>
      </c>
      <c r="AG51" s="145">
        <f t="shared" si="12"/>
        <v>48000</v>
      </c>
      <c r="AH51" s="146">
        <f t="shared" si="13"/>
        <v>96000</v>
      </c>
      <c r="AI51" s="147">
        <f t="shared" si="14"/>
        <v>814100</v>
      </c>
      <c r="AJ51" s="145">
        <f t="shared" si="15"/>
        <v>855000</v>
      </c>
      <c r="AK51" s="148">
        <f t="shared" si="1"/>
        <v>663000</v>
      </c>
      <c r="AN51" s="148"/>
      <c r="AO51" s="141" t="s">
        <v>132</v>
      </c>
      <c r="AP51" s="142" t="s">
        <v>52</v>
      </c>
      <c r="AQ51" s="143" t="s">
        <v>124</v>
      </c>
      <c r="AR51" s="176">
        <v>940100</v>
      </c>
      <c r="AS51" s="145">
        <f t="shared" si="2"/>
        <v>659000</v>
      </c>
      <c r="AT51" s="146">
        <f t="shared" si="3"/>
        <v>95000</v>
      </c>
      <c r="AU51" s="145">
        <f t="shared" si="4"/>
        <v>189000</v>
      </c>
      <c r="AV51" s="151">
        <f t="shared" si="16"/>
        <v>1883100</v>
      </c>
      <c r="AW51" s="145">
        <f t="shared" si="5"/>
        <v>1978000</v>
      </c>
      <c r="AX51" s="148">
        <f t="shared" si="6"/>
        <v>1319000</v>
      </c>
      <c r="BB51" s="81" t="s">
        <v>75</v>
      </c>
      <c r="BC51" s="119" t="s">
        <v>235</v>
      </c>
      <c r="BD51" s="119">
        <v>1106000</v>
      </c>
      <c r="BE51" s="272">
        <f t="shared" si="74"/>
        <v>1493100</v>
      </c>
      <c r="BK51" s="81" t="s">
        <v>117</v>
      </c>
      <c r="BL51" s="81">
        <f>(16853300*15%)+16853300</f>
        <v>19381295</v>
      </c>
      <c r="BM51" s="123">
        <f t="shared" si="73"/>
        <v>20351000</v>
      </c>
      <c r="BQ51" s="52"/>
      <c r="BR51" s="29" t="s">
        <v>21</v>
      </c>
      <c r="BS51" s="30" t="s">
        <v>22</v>
      </c>
      <c r="BT51" s="31" t="s">
        <v>23</v>
      </c>
      <c r="CG51" s="76"/>
      <c r="CH51" s="78"/>
      <c r="CI51" s="118" t="s">
        <v>110</v>
      </c>
      <c r="CJ51" s="119" t="s">
        <v>111</v>
      </c>
      <c r="CK51" s="120">
        <v>1711285</v>
      </c>
      <c r="CL51" s="121">
        <f t="shared" si="72"/>
        <v>2054000</v>
      </c>
      <c r="CM51" s="88"/>
      <c r="DX51" s="156" t="s">
        <v>302</v>
      </c>
      <c r="DY51" s="162">
        <v>39009</v>
      </c>
      <c r="DZ51" s="162">
        <f t="shared" si="69"/>
        <v>42909.9</v>
      </c>
      <c r="EA51" s="163">
        <f t="shared" si="68"/>
        <v>57928.365000000005</v>
      </c>
      <c r="ED51" s="304" t="s">
        <v>65</v>
      </c>
      <c r="EE51" s="305" t="s">
        <v>303</v>
      </c>
      <c r="EF51" s="305" t="s">
        <v>304</v>
      </c>
      <c r="EG51" s="306" t="s">
        <v>91</v>
      </c>
      <c r="EI51" s="280" t="s">
        <v>245</v>
      </c>
      <c r="EJ51" s="281" t="s">
        <v>248</v>
      </c>
      <c r="EK51" s="281" t="s">
        <v>249</v>
      </c>
      <c r="EL51" s="282" t="s">
        <v>91</v>
      </c>
    </row>
    <row r="52" spans="3:142" ht="15" thickBot="1">
      <c r="C52" s="291" t="s">
        <v>305</v>
      </c>
      <c r="D52" s="291"/>
      <c r="E52" s="301">
        <f>ROUNDUP(SUM(E45:E51)*$I$52,-3)</f>
        <v>44000</v>
      </c>
      <c r="F52" s="301">
        <f>ROUNDUP(SUM(F45:F51)*$I$52,-3)</f>
        <v>39000</v>
      </c>
      <c r="G52" s="301">
        <f>ROUNDUP(SUM(G45:G51)*$I$52,-3)</f>
        <v>33000</v>
      </c>
      <c r="H52" s="301">
        <f>ROUNDUP(SUM(H45:H51)*$I$52,-3)</f>
        <v>30000</v>
      </c>
      <c r="I52" s="299">
        <v>0.1</v>
      </c>
      <c r="J52" s="300"/>
      <c r="K52" s="300"/>
      <c r="L52" s="23"/>
      <c r="AA52" s="46" t="s">
        <v>136</v>
      </c>
      <c r="AB52" s="103" t="s">
        <v>136</v>
      </c>
      <c r="AC52" s="52" t="s">
        <v>52</v>
      </c>
      <c r="AD52" s="104" t="s">
        <v>77</v>
      </c>
      <c r="AE52" s="105">
        <v>439600</v>
      </c>
      <c r="AF52" s="106">
        <f t="shared" si="11"/>
        <v>176000</v>
      </c>
      <c r="AG52" s="106">
        <f t="shared" si="12"/>
        <v>44000</v>
      </c>
      <c r="AH52" s="107">
        <f t="shared" si="13"/>
        <v>88000</v>
      </c>
      <c r="AI52" s="108">
        <f t="shared" si="14"/>
        <v>747600</v>
      </c>
      <c r="AJ52" s="106">
        <f t="shared" si="15"/>
        <v>785000</v>
      </c>
      <c r="AK52" s="109">
        <f t="shared" si="1"/>
        <v>609000</v>
      </c>
      <c r="AN52" s="46" t="s">
        <v>136</v>
      </c>
      <c r="AO52" s="103" t="s">
        <v>136</v>
      </c>
      <c r="AP52" s="52" t="s">
        <v>52</v>
      </c>
      <c r="AQ52" s="104" t="s">
        <v>77</v>
      </c>
      <c r="AR52" s="74">
        <v>1571500</v>
      </c>
      <c r="AS52" s="114">
        <f t="shared" si="2"/>
        <v>1101000</v>
      </c>
      <c r="AT52" s="113">
        <f t="shared" si="3"/>
        <v>158000</v>
      </c>
      <c r="AU52" s="114">
        <f t="shared" si="4"/>
        <v>315000</v>
      </c>
      <c r="AV52" s="115">
        <f t="shared" si="16"/>
        <v>3145500</v>
      </c>
      <c r="AW52" s="114">
        <f t="shared" si="5"/>
        <v>3303000</v>
      </c>
      <c r="AX52" s="109">
        <f t="shared" si="6"/>
        <v>2202000</v>
      </c>
      <c r="BB52" s="81" t="s">
        <v>240</v>
      </c>
      <c r="BC52" s="119" t="s">
        <v>235</v>
      </c>
      <c r="BD52" s="119">
        <v>1499500</v>
      </c>
      <c r="BE52" s="272">
        <f t="shared" si="74"/>
        <v>2024325.0000000002</v>
      </c>
      <c r="BK52" s="81" t="s">
        <v>124</v>
      </c>
      <c r="BL52" s="81">
        <f>(21930150*15%)+21930150</f>
        <v>25219672.5</v>
      </c>
      <c r="BM52" s="123">
        <f t="shared" si="73"/>
        <v>26481000</v>
      </c>
      <c r="BQ52" s="52"/>
      <c r="BR52" s="53" t="s">
        <v>40</v>
      </c>
      <c r="BS52" s="54">
        <f>(29375000*15%)+29375000</f>
        <v>33781250</v>
      </c>
      <c r="BT52" s="55">
        <f t="shared" ref="BT52:BT59" si="75">ROUNDUP(BS52*$BV$56,-3)</f>
        <v>37160000</v>
      </c>
      <c r="BV52" s="23">
        <v>0.4</v>
      </c>
      <c r="CG52" s="152"/>
      <c r="CH52" s="153"/>
      <c r="CI52" s="170" t="s">
        <v>118</v>
      </c>
      <c r="CJ52" s="148" t="s">
        <v>119</v>
      </c>
      <c r="CK52" s="171">
        <v>611223</v>
      </c>
      <c r="CL52" s="172">
        <f t="shared" si="72"/>
        <v>734000</v>
      </c>
      <c r="CM52" s="173">
        <f>SUM(CL49:CL52)</f>
        <v>19681000</v>
      </c>
      <c r="CZ52" s="307" t="s">
        <v>306</v>
      </c>
      <c r="DA52" s="308"/>
      <c r="DB52" s="308"/>
      <c r="DC52" s="308"/>
      <c r="DD52" s="308"/>
      <c r="DE52" s="309"/>
      <c r="DF52" s="309">
        <v>1.35</v>
      </c>
      <c r="DG52" s="309"/>
      <c r="DH52" s="310"/>
      <c r="DK52" s="5" t="s">
        <v>307</v>
      </c>
      <c r="DS52" s="1">
        <v>1.35</v>
      </c>
      <c r="DX52" s="156" t="s">
        <v>308</v>
      </c>
      <c r="DY52" s="162">
        <v>42793</v>
      </c>
      <c r="DZ52" s="162">
        <f t="shared" si="69"/>
        <v>47072.3</v>
      </c>
      <c r="EA52" s="163">
        <f t="shared" si="68"/>
        <v>63547.60500000001</v>
      </c>
      <c r="ED52" s="311">
        <v>20</v>
      </c>
      <c r="EE52" s="162">
        <v>5315</v>
      </c>
      <c r="EF52" s="162">
        <v>5900</v>
      </c>
      <c r="EG52" s="286">
        <f t="shared" ref="EG52:EG61" si="76">EF52*$DW$4</f>
        <v>7965.0000000000009</v>
      </c>
      <c r="EI52" s="311">
        <v>63</v>
      </c>
      <c r="EJ52" s="162">
        <v>42252</v>
      </c>
      <c r="EK52" s="162">
        <v>46900</v>
      </c>
      <c r="EL52" s="286">
        <f>EK52*$DW$4</f>
        <v>63315.000000000007</v>
      </c>
    </row>
    <row r="53" spans="3:142">
      <c r="C53" s="312" t="s">
        <v>309</v>
      </c>
      <c r="D53" s="312"/>
      <c r="E53" s="313">
        <f>SUM(E45:E52)</f>
        <v>483000</v>
      </c>
      <c r="F53" s="313">
        <f>SUM(F45:F52)</f>
        <v>421000</v>
      </c>
      <c r="G53" s="313">
        <f>SUM(G45:G52)</f>
        <v>356000</v>
      </c>
      <c r="H53" s="313">
        <f>SUM(H45:H52)</f>
        <v>323000</v>
      </c>
      <c r="I53" s="299">
        <v>1.25</v>
      </c>
      <c r="J53" s="300"/>
      <c r="K53" s="300"/>
      <c r="L53" s="23"/>
      <c r="AA53" s="175"/>
      <c r="AB53" s="103" t="s">
        <v>136</v>
      </c>
      <c r="AC53" s="52" t="s">
        <v>52</v>
      </c>
      <c r="AD53" s="104" t="s">
        <v>108</v>
      </c>
      <c r="AE53" s="105">
        <v>478100</v>
      </c>
      <c r="AF53" s="106">
        <f t="shared" si="11"/>
        <v>192000</v>
      </c>
      <c r="AG53" s="106">
        <f t="shared" si="12"/>
        <v>48000</v>
      </c>
      <c r="AH53" s="107">
        <f t="shared" si="13"/>
        <v>96000</v>
      </c>
      <c r="AI53" s="108">
        <f t="shared" si="14"/>
        <v>814100</v>
      </c>
      <c r="AJ53" s="106">
        <f t="shared" si="15"/>
        <v>855000</v>
      </c>
      <c r="AK53" s="175">
        <f t="shared" si="1"/>
        <v>663000</v>
      </c>
      <c r="AN53" s="175"/>
      <c r="AO53" s="103" t="s">
        <v>136</v>
      </c>
      <c r="AP53" s="52" t="s">
        <v>52</v>
      </c>
      <c r="AQ53" s="104" t="s">
        <v>108</v>
      </c>
      <c r="AR53" s="176">
        <v>1571500</v>
      </c>
      <c r="AS53" s="106">
        <f t="shared" si="2"/>
        <v>1101000</v>
      </c>
      <c r="AT53" s="117">
        <f t="shared" si="3"/>
        <v>158000</v>
      </c>
      <c r="AU53" s="106">
        <f t="shared" si="4"/>
        <v>315000</v>
      </c>
      <c r="AV53" s="177">
        <f t="shared" si="16"/>
        <v>3145500</v>
      </c>
      <c r="AW53" s="106">
        <f t="shared" si="5"/>
        <v>3303000</v>
      </c>
      <c r="AX53" s="175">
        <f t="shared" si="6"/>
        <v>2202000</v>
      </c>
      <c r="BB53" s="81" t="s">
        <v>243</v>
      </c>
      <c r="BC53" s="119" t="s">
        <v>235</v>
      </c>
      <c r="BD53" s="119">
        <v>1788000</v>
      </c>
      <c r="BE53" s="272">
        <f t="shared" si="74"/>
        <v>2413800</v>
      </c>
      <c r="BK53" s="81" t="s">
        <v>132</v>
      </c>
      <c r="BL53" s="81">
        <f>(38704500*15%)+38704500</f>
        <v>44510175</v>
      </c>
      <c r="BM53" s="123">
        <f t="shared" si="73"/>
        <v>46736000</v>
      </c>
      <c r="BQ53" s="52"/>
      <c r="BR53" s="53" t="s">
        <v>57</v>
      </c>
      <c r="BS53" s="54">
        <f>(31250000*15%)+31250000</f>
        <v>35937500</v>
      </c>
      <c r="BT53" s="55">
        <f t="shared" si="75"/>
        <v>39532000</v>
      </c>
      <c r="BV53" s="23">
        <v>0.1</v>
      </c>
      <c r="CG53" s="76">
        <v>4</v>
      </c>
      <c r="CH53" s="78" t="s">
        <v>57</v>
      </c>
      <c r="CI53" s="84" t="s">
        <v>310</v>
      </c>
      <c r="CJ53" s="85" t="s">
        <v>311</v>
      </c>
      <c r="CK53" s="86">
        <v>18519232</v>
      </c>
      <c r="CL53" s="87">
        <f t="shared" si="72"/>
        <v>22224000</v>
      </c>
      <c r="CM53" s="180"/>
      <c r="CZ53" s="314" t="s">
        <v>65</v>
      </c>
      <c r="DA53" s="127"/>
      <c r="DB53" s="315" t="s">
        <v>312</v>
      </c>
      <c r="DC53" s="315" t="s">
        <v>313</v>
      </c>
      <c r="DD53" s="315"/>
      <c r="DE53" s="315" t="s">
        <v>314</v>
      </c>
      <c r="DF53" s="315"/>
      <c r="DG53" s="315" t="s">
        <v>48</v>
      </c>
      <c r="DH53" s="316"/>
      <c r="DK53" s="317" t="s">
        <v>65</v>
      </c>
      <c r="DL53" s="94"/>
      <c r="DM53" s="308" t="s">
        <v>312</v>
      </c>
      <c r="DN53" s="308" t="s">
        <v>313</v>
      </c>
      <c r="DO53" s="318"/>
      <c r="DP53" s="308" t="s">
        <v>314</v>
      </c>
      <c r="DQ53" s="308"/>
      <c r="DR53" s="308" t="s">
        <v>48</v>
      </c>
      <c r="DS53" s="319"/>
      <c r="DX53" s="156" t="s">
        <v>315</v>
      </c>
      <c r="DY53" s="162">
        <v>44685</v>
      </c>
      <c r="DZ53" s="162">
        <f t="shared" si="69"/>
        <v>49153.500000000007</v>
      </c>
      <c r="EA53" s="163">
        <f t="shared" si="68"/>
        <v>66357.22500000002</v>
      </c>
      <c r="ED53" s="311">
        <v>25</v>
      </c>
      <c r="EE53" s="162">
        <v>6847</v>
      </c>
      <c r="EF53" s="162">
        <v>7600</v>
      </c>
      <c r="EG53" s="286">
        <f t="shared" si="76"/>
        <v>10260</v>
      </c>
      <c r="EI53" s="311">
        <v>75</v>
      </c>
      <c r="EJ53" s="162">
        <v>94324</v>
      </c>
      <c r="EK53" s="162">
        <v>104700</v>
      </c>
      <c r="EL53" s="286">
        <f t="shared" ref="EL53:EL55" si="77">EK53*$DW$4</f>
        <v>141345</v>
      </c>
    </row>
    <row r="54" spans="3:142">
      <c r="C54" s="23"/>
      <c r="D54" s="23"/>
      <c r="E54" s="320">
        <f>ROUNDUP(E53*$I$53,-3)</f>
        <v>604000</v>
      </c>
      <c r="F54" s="320">
        <f>ROUNDUP(F53*$I$53,-3)</f>
        <v>527000</v>
      </c>
      <c r="G54" s="320">
        <f>ROUNDUP(G53*$I$53,-3)</f>
        <v>445000</v>
      </c>
      <c r="H54" s="320">
        <f>ROUNDUP(H53*$I$53,-3)</f>
        <v>404000</v>
      </c>
      <c r="I54" s="23"/>
      <c r="J54" s="23"/>
      <c r="K54" s="23"/>
      <c r="L54" s="23"/>
      <c r="AA54" s="175"/>
      <c r="AB54" s="103" t="s">
        <v>136</v>
      </c>
      <c r="AC54" s="52" t="s">
        <v>52</v>
      </c>
      <c r="AD54" s="104" t="s">
        <v>117</v>
      </c>
      <c r="AE54" s="105">
        <v>516600</v>
      </c>
      <c r="AF54" s="106">
        <f t="shared" si="11"/>
        <v>207000</v>
      </c>
      <c r="AG54" s="106">
        <f t="shared" si="12"/>
        <v>52000</v>
      </c>
      <c r="AH54" s="107">
        <f t="shared" si="13"/>
        <v>104000</v>
      </c>
      <c r="AI54" s="108">
        <f t="shared" si="14"/>
        <v>879600</v>
      </c>
      <c r="AJ54" s="106">
        <f t="shared" si="15"/>
        <v>924000</v>
      </c>
      <c r="AK54" s="175">
        <f t="shared" si="1"/>
        <v>717000</v>
      </c>
      <c r="AN54" s="175"/>
      <c r="AO54" s="103" t="s">
        <v>136</v>
      </c>
      <c r="AP54" s="52" t="s">
        <v>52</v>
      </c>
      <c r="AQ54" s="104" t="s">
        <v>117</v>
      </c>
      <c r="AR54" s="176">
        <v>1571500</v>
      </c>
      <c r="AS54" s="106">
        <f t="shared" si="2"/>
        <v>1101000</v>
      </c>
      <c r="AT54" s="117">
        <f t="shared" si="3"/>
        <v>158000</v>
      </c>
      <c r="AU54" s="106">
        <f t="shared" si="4"/>
        <v>315000</v>
      </c>
      <c r="AV54" s="177">
        <f t="shared" si="16"/>
        <v>3145500</v>
      </c>
      <c r="AW54" s="106">
        <f t="shared" si="5"/>
        <v>3303000</v>
      </c>
      <c r="AX54" s="175">
        <f t="shared" si="6"/>
        <v>2202000</v>
      </c>
      <c r="BB54" s="81" t="s">
        <v>40</v>
      </c>
      <c r="BC54" s="119" t="s">
        <v>235</v>
      </c>
      <c r="BD54" s="119">
        <v>2400000</v>
      </c>
      <c r="BE54" s="272">
        <f t="shared" si="74"/>
        <v>3240000</v>
      </c>
      <c r="BK54" s="81" t="s">
        <v>136</v>
      </c>
      <c r="BL54" s="81">
        <f>(60613900*15%)+60613900</f>
        <v>69705985</v>
      </c>
      <c r="BM54" s="123">
        <f t="shared" si="73"/>
        <v>73192000</v>
      </c>
      <c r="BQ54" s="52"/>
      <c r="BR54" s="53" t="s">
        <v>77</v>
      </c>
      <c r="BS54" s="54">
        <f>(38750000*15%)+38750000</f>
        <v>44562500</v>
      </c>
      <c r="BT54" s="55">
        <f t="shared" si="75"/>
        <v>49019000</v>
      </c>
      <c r="BV54" s="23">
        <v>0.2</v>
      </c>
      <c r="CG54" s="76"/>
      <c r="CH54" s="78"/>
      <c r="CI54" s="118" t="s">
        <v>80</v>
      </c>
      <c r="CJ54" s="119" t="s">
        <v>81</v>
      </c>
      <c r="CK54" s="120">
        <v>7617055</v>
      </c>
      <c r="CL54" s="121">
        <f t="shared" si="72"/>
        <v>9141000</v>
      </c>
      <c r="CM54" s="88"/>
      <c r="CZ54" s="124" t="s">
        <v>32</v>
      </c>
      <c r="DA54" s="130" t="s">
        <v>88</v>
      </c>
      <c r="DB54" s="321"/>
      <c r="DC54" s="321"/>
      <c r="DD54" s="321"/>
      <c r="DE54" s="321"/>
      <c r="DF54" s="321"/>
      <c r="DG54" s="321"/>
      <c r="DH54" s="322"/>
      <c r="DK54" s="124" t="s">
        <v>32</v>
      </c>
      <c r="DL54" s="130" t="s">
        <v>88</v>
      </c>
      <c r="DM54" s="321"/>
      <c r="DN54" s="321"/>
      <c r="DO54" s="323"/>
      <c r="DP54" s="321"/>
      <c r="DQ54" s="321"/>
      <c r="DR54" s="321"/>
      <c r="DS54" s="322"/>
      <c r="DX54" s="156" t="s">
        <v>316</v>
      </c>
      <c r="DY54" s="265">
        <v>49820</v>
      </c>
      <c r="DZ54" s="265">
        <f t="shared" si="69"/>
        <v>54802.000000000007</v>
      </c>
      <c r="EA54" s="163">
        <f t="shared" si="68"/>
        <v>73982.700000000012</v>
      </c>
      <c r="ED54" s="311">
        <v>32</v>
      </c>
      <c r="EE54" s="162">
        <v>7838</v>
      </c>
      <c r="EF54" s="162">
        <v>8700</v>
      </c>
      <c r="EG54" s="286">
        <f t="shared" si="76"/>
        <v>11745</v>
      </c>
      <c r="EI54" s="311">
        <v>90</v>
      </c>
      <c r="EJ54" s="162">
        <v>144505</v>
      </c>
      <c r="EK54" s="162">
        <v>160400</v>
      </c>
      <c r="EL54" s="286">
        <f t="shared" si="77"/>
        <v>216540</v>
      </c>
    </row>
    <row r="55" spans="3:142" ht="15" thickBot="1">
      <c r="AA55" s="175"/>
      <c r="AB55" s="103" t="s">
        <v>136</v>
      </c>
      <c r="AC55" s="52" t="s">
        <v>52</v>
      </c>
      <c r="AD55" s="104" t="s">
        <v>124</v>
      </c>
      <c r="AE55" s="105">
        <v>562100</v>
      </c>
      <c r="AF55" s="106">
        <f t="shared" si="11"/>
        <v>225000</v>
      </c>
      <c r="AG55" s="106">
        <f t="shared" si="12"/>
        <v>57000</v>
      </c>
      <c r="AH55" s="107">
        <f t="shared" si="13"/>
        <v>113000</v>
      </c>
      <c r="AI55" s="108">
        <f t="shared" si="14"/>
        <v>957100</v>
      </c>
      <c r="AJ55" s="106">
        <f t="shared" si="15"/>
        <v>1005000</v>
      </c>
      <c r="AK55" s="175">
        <f t="shared" si="1"/>
        <v>780000</v>
      </c>
      <c r="AN55" s="175"/>
      <c r="AO55" s="103" t="s">
        <v>136</v>
      </c>
      <c r="AP55" s="52" t="s">
        <v>52</v>
      </c>
      <c r="AQ55" s="104" t="s">
        <v>124</v>
      </c>
      <c r="AR55" s="176">
        <v>1571500</v>
      </c>
      <c r="AS55" s="106">
        <f t="shared" si="2"/>
        <v>1101000</v>
      </c>
      <c r="AT55" s="117">
        <f t="shared" si="3"/>
        <v>158000</v>
      </c>
      <c r="AU55" s="106">
        <f t="shared" si="4"/>
        <v>315000</v>
      </c>
      <c r="AV55" s="177">
        <f t="shared" si="16"/>
        <v>3145500</v>
      </c>
      <c r="AW55" s="106">
        <f t="shared" si="5"/>
        <v>3303000</v>
      </c>
      <c r="AX55" s="175">
        <f t="shared" si="6"/>
        <v>2202000</v>
      </c>
      <c r="BB55" s="81" t="s">
        <v>252</v>
      </c>
      <c r="BC55" s="119" t="s">
        <v>235</v>
      </c>
      <c r="BD55" s="119">
        <v>3812000</v>
      </c>
      <c r="BE55" s="272">
        <f t="shared" si="74"/>
        <v>5146200</v>
      </c>
      <c r="BK55" s="179" t="s">
        <v>139</v>
      </c>
      <c r="BL55" s="179">
        <f>(108984150*15%)+108984150</f>
        <v>125331772.5</v>
      </c>
      <c r="BM55" s="258">
        <f t="shared" si="73"/>
        <v>131599000</v>
      </c>
      <c r="BQ55" s="52"/>
      <c r="BR55" s="53" t="s">
        <v>108</v>
      </c>
      <c r="BS55" s="54">
        <f>(44437500*15%)+44437500</f>
        <v>51103125</v>
      </c>
      <c r="BT55" s="55">
        <f t="shared" si="75"/>
        <v>56214000</v>
      </c>
      <c r="BV55" s="110"/>
      <c r="CG55" s="76"/>
      <c r="CH55" s="78"/>
      <c r="CI55" s="118" t="s">
        <v>110</v>
      </c>
      <c r="CJ55" s="119" t="s">
        <v>111</v>
      </c>
      <c r="CK55" s="120">
        <v>1711285</v>
      </c>
      <c r="CL55" s="121">
        <f t="shared" si="72"/>
        <v>2054000</v>
      </c>
      <c r="CM55" s="88"/>
      <c r="CZ55" s="324" t="s">
        <v>317</v>
      </c>
      <c r="DA55" s="325" t="s">
        <v>318</v>
      </c>
      <c r="DB55" s="325">
        <v>225</v>
      </c>
      <c r="DC55" s="326">
        <v>2700</v>
      </c>
      <c r="DD55" s="327"/>
      <c r="DE55" s="326">
        <f>ROUNDUP(DC55*$DF$52,-3)</f>
        <v>4000</v>
      </c>
      <c r="DF55" s="327"/>
      <c r="DG55" s="326">
        <f>ROUNDUP((DE55*45%),-3)</f>
        <v>2000</v>
      </c>
      <c r="DH55" s="327"/>
      <c r="DK55" s="287">
        <v>50</v>
      </c>
      <c r="DL55" s="156" t="s">
        <v>40</v>
      </c>
      <c r="DM55" s="156">
        <v>31</v>
      </c>
      <c r="DN55" s="265">
        <v>33500</v>
      </c>
      <c r="DO55" s="328"/>
      <c r="DP55" s="328">
        <f>ROUNDUP(DN55*$DS$52,-3)</f>
        <v>46000</v>
      </c>
      <c r="DQ55" s="329"/>
      <c r="DR55" s="328">
        <f>ROUNDUP((DP55*45%),-3)</f>
        <v>21000</v>
      </c>
      <c r="DS55" s="330"/>
      <c r="DT55" s="161"/>
      <c r="DU55" s="161"/>
      <c r="DV55" s="161"/>
      <c r="DW55" s="161"/>
      <c r="DX55" s="156" t="s">
        <v>319</v>
      </c>
      <c r="DY55" s="162">
        <v>52883</v>
      </c>
      <c r="DZ55" s="162">
        <f t="shared" si="69"/>
        <v>58171.3</v>
      </c>
      <c r="EA55" s="163">
        <f t="shared" si="68"/>
        <v>78531.255000000005</v>
      </c>
      <c r="ED55" s="311">
        <v>40</v>
      </c>
      <c r="EE55" s="162">
        <v>16306</v>
      </c>
      <c r="EF55" s="162">
        <v>18100</v>
      </c>
      <c r="EG55" s="286">
        <f t="shared" si="76"/>
        <v>24435</v>
      </c>
      <c r="EI55" s="331">
        <v>110</v>
      </c>
      <c r="EJ55" s="216">
        <v>180721</v>
      </c>
      <c r="EK55" s="216">
        <v>200600</v>
      </c>
      <c r="EL55" s="298">
        <f t="shared" si="77"/>
        <v>270810</v>
      </c>
    </row>
    <row r="56" spans="3:142" ht="15" thickBot="1">
      <c r="AA56" s="148"/>
      <c r="AB56" s="141" t="s">
        <v>136</v>
      </c>
      <c r="AC56" s="142" t="s">
        <v>52</v>
      </c>
      <c r="AD56" s="143" t="s">
        <v>132</v>
      </c>
      <c r="AE56" s="144">
        <v>678300</v>
      </c>
      <c r="AF56" s="145">
        <f t="shared" si="11"/>
        <v>272000</v>
      </c>
      <c r="AG56" s="145">
        <f t="shared" si="12"/>
        <v>68000</v>
      </c>
      <c r="AH56" s="146">
        <f t="shared" si="13"/>
        <v>136000</v>
      </c>
      <c r="AI56" s="147">
        <f t="shared" si="14"/>
        <v>1154300</v>
      </c>
      <c r="AJ56" s="145">
        <f t="shared" si="15"/>
        <v>1213000</v>
      </c>
      <c r="AK56" s="148">
        <f t="shared" si="1"/>
        <v>941000</v>
      </c>
      <c r="AN56" s="148"/>
      <c r="AO56" s="141" t="s">
        <v>136</v>
      </c>
      <c r="AP56" s="142" t="s">
        <v>52</v>
      </c>
      <c r="AQ56" s="143" t="s">
        <v>132</v>
      </c>
      <c r="AR56" s="176">
        <v>1571500</v>
      </c>
      <c r="AS56" s="145">
        <f t="shared" si="2"/>
        <v>1101000</v>
      </c>
      <c r="AT56" s="146">
        <f t="shared" si="3"/>
        <v>158000</v>
      </c>
      <c r="AU56" s="145">
        <f t="shared" si="4"/>
        <v>315000</v>
      </c>
      <c r="AV56" s="151">
        <f t="shared" si="16"/>
        <v>3145500</v>
      </c>
      <c r="AW56" s="145">
        <f t="shared" si="5"/>
        <v>3303000</v>
      </c>
      <c r="AX56" s="148">
        <f t="shared" si="6"/>
        <v>2202000</v>
      </c>
      <c r="BB56" s="81" t="s">
        <v>77</v>
      </c>
      <c r="BC56" s="119" t="s">
        <v>235</v>
      </c>
      <c r="BD56" s="119">
        <v>4987900</v>
      </c>
      <c r="BE56" s="272">
        <f t="shared" si="74"/>
        <v>6733665</v>
      </c>
      <c r="BQ56" s="52"/>
      <c r="BR56" s="53" t="s">
        <v>124</v>
      </c>
      <c r="BS56" s="54">
        <f>(67681250*15%)+67681250</f>
        <v>77833437.5</v>
      </c>
      <c r="BT56" s="55">
        <f t="shared" si="75"/>
        <v>85617000</v>
      </c>
      <c r="BV56" s="23">
        <v>1.1000000000000001</v>
      </c>
      <c r="CG56" s="152"/>
      <c r="CH56" s="153"/>
      <c r="CI56" s="170" t="s">
        <v>118</v>
      </c>
      <c r="CJ56" s="148" t="s">
        <v>119</v>
      </c>
      <c r="CK56" s="171">
        <v>611223</v>
      </c>
      <c r="CL56" s="172">
        <f t="shared" si="72"/>
        <v>734000</v>
      </c>
      <c r="CM56" s="173">
        <f>SUM(CL53:CL56)</f>
        <v>34153000</v>
      </c>
      <c r="CZ56" s="324" t="s">
        <v>320</v>
      </c>
      <c r="DA56" s="325" t="s">
        <v>321</v>
      </c>
      <c r="DB56" s="325">
        <v>215</v>
      </c>
      <c r="DC56" s="332">
        <v>2800</v>
      </c>
      <c r="DD56" s="333"/>
      <c r="DE56" s="332">
        <f t="shared" ref="DE56:DE90" si="78">ROUNDUP(DC56*$DF$52,-3)</f>
        <v>4000</v>
      </c>
      <c r="DF56" s="333"/>
      <c r="DG56" s="332">
        <f t="shared" ref="DG56:DG90" si="79">ROUNDUP((DE56*45%),-3)</f>
        <v>2000</v>
      </c>
      <c r="DH56" s="333"/>
      <c r="DK56" s="287">
        <v>65</v>
      </c>
      <c r="DL56" s="156" t="s">
        <v>322</v>
      </c>
      <c r="DM56" s="156">
        <v>15</v>
      </c>
      <c r="DN56" s="265">
        <v>43700</v>
      </c>
      <c r="DO56" s="328"/>
      <c r="DP56" s="328">
        <f t="shared" ref="DP56:DP59" si="80">ROUNDUP(DN56*$DS$52,-3)</f>
        <v>59000</v>
      </c>
      <c r="DQ56" s="329"/>
      <c r="DR56" s="328">
        <f t="shared" ref="DR56:DR59" si="81">ROUNDUP((DN56*45%),-3)</f>
        <v>20000</v>
      </c>
      <c r="DS56" s="330"/>
      <c r="DT56" s="161"/>
      <c r="DU56" s="161"/>
      <c r="DV56" s="161"/>
      <c r="DW56" s="161"/>
      <c r="DX56" s="215" t="s">
        <v>323</v>
      </c>
      <c r="DY56" s="216">
        <v>55405</v>
      </c>
      <c r="DZ56" s="216">
        <f t="shared" si="69"/>
        <v>60945.500000000007</v>
      </c>
      <c r="EA56" s="217">
        <f t="shared" si="68"/>
        <v>82276.425000000017</v>
      </c>
      <c r="ED56" s="311">
        <v>50</v>
      </c>
      <c r="EE56" s="162">
        <v>25946</v>
      </c>
      <c r="EF56" s="162">
        <v>28800</v>
      </c>
      <c r="EG56" s="286">
        <f t="shared" si="76"/>
        <v>38880</v>
      </c>
    </row>
    <row r="57" spans="3:142" ht="18" thickBot="1">
      <c r="AA57" s="46" t="s">
        <v>139</v>
      </c>
      <c r="AB57" s="103" t="s">
        <v>139</v>
      </c>
      <c r="AC57" s="52" t="s">
        <v>52</v>
      </c>
      <c r="AD57" s="104" t="s">
        <v>108</v>
      </c>
      <c r="AE57" s="105">
        <v>678300</v>
      </c>
      <c r="AF57" s="106">
        <f t="shared" si="11"/>
        <v>272000</v>
      </c>
      <c r="AG57" s="106">
        <f t="shared" si="12"/>
        <v>68000</v>
      </c>
      <c r="AH57" s="107">
        <f t="shared" si="13"/>
        <v>136000</v>
      </c>
      <c r="AI57" s="108">
        <f t="shared" si="14"/>
        <v>1154300</v>
      </c>
      <c r="AJ57" s="106">
        <f t="shared" si="15"/>
        <v>1213000</v>
      </c>
      <c r="AK57" s="109">
        <f t="shared" si="1"/>
        <v>941000</v>
      </c>
      <c r="AN57" s="46" t="s">
        <v>139</v>
      </c>
      <c r="AO57" s="103" t="s">
        <v>139</v>
      </c>
      <c r="AP57" s="52" t="s">
        <v>52</v>
      </c>
      <c r="AQ57" s="52" t="s">
        <v>108</v>
      </c>
      <c r="AR57" s="111">
        <v>2507100</v>
      </c>
      <c r="AS57" s="112">
        <f t="shared" si="2"/>
        <v>1755000</v>
      </c>
      <c r="AT57" s="113">
        <f t="shared" si="3"/>
        <v>251000</v>
      </c>
      <c r="AU57" s="114">
        <f t="shared" si="4"/>
        <v>502000</v>
      </c>
      <c r="AV57" s="115">
        <f t="shared" si="16"/>
        <v>5015100</v>
      </c>
      <c r="AW57" s="114">
        <f t="shared" si="5"/>
        <v>5266000</v>
      </c>
      <c r="AX57" s="109">
        <f t="shared" si="6"/>
        <v>3511000</v>
      </c>
      <c r="BB57" s="81" t="s">
        <v>108</v>
      </c>
      <c r="BC57" s="119" t="s">
        <v>235</v>
      </c>
      <c r="BD57" s="119">
        <v>7099300</v>
      </c>
      <c r="BE57" s="272">
        <f t="shared" si="74"/>
        <v>9584055</v>
      </c>
      <c r="BJ57" s="261" t="s">
        <v>324</v>
      </c>
      <c r="BK57" s="261"/>
      <c r="BL57" s="261"/>
      <c r="BM57" s="261"/>
      <c r="BN57" s="261"/>
      <c r="BR57" s="53" t="s">
        <v>132</v>
      </c>
      <c r="BS57" s="54">
        <f>(100000000*15%)+100000000</f>
        <v>115000000</v>
      </c>
      <c r="BT57" s="55">
        <f t="shared" si="75"/>
        <v>126500000</v>
      </c>
      <c r="CG57" s="76">
        <v>5</v>
      </c>
      <c r="CH57" s="78" t="s">
        <v>77</v>
      </c>
      <c r="CI57" s="84" t="s">
        <v>190</v>
      </c>
      <c r="CJ57" s="85" t="s">
        <v>191</v>
      </c>
      <c r="CK57" s="86">
        <v>23864989</v>
      </c>
      <c r="CL57" s="87">
        <f t="shared" si="72"/>
        <v>28638000</v>
      </c>
      <c r="CM57" s="180"/>
      <c r="CZ57" s="324" t="s">
        <v>325</v>
      </c>
      <c r="DA57" s="325" t="s">
        <v>326</v>
      </c>
      <c r="DB57" s="325">
        <v>150</v>
      </c>
      <c r="DC57" s="332">
        <v>3600</v>
      </c>
      <c r="DD57" s="333"/>
      <c r="DE57" s="332">
        <f t="shared" si="78"/>
        <v>5000</v>
      </c>
      <c r="DF57" s="333"/>
      <c r="DG57" s="332">
        <f t="shared" si="79"/>
        <v>3000</v>
      </c>
      <c r="DH57" s="333"/>
      <c r="DK57" s="287">
        <v>75</v>
      </c>
      <c r="DL57" s="156" t="s">
        <v>77</v>
      </c>
      <c r="DM57" s="156">
        <v>15</v>
      </c>
      <c r="DN57" s="265">
        <v>51800</v>
      </c>
      <c r="DO57" s="328"/>
      <c r="DP57" s="328">
        <f t="shared" si="80"/>
        <v>70000</v>
      </c>
      <c r="DQ57" s="329"/>
      <c r="DR57" s="328">
        <f t="shared" si="81"/>
        <v>24000</v>
      </c>
      <c r="DS57" s="330"/>
      <c r="DT57" s="161"/>
      <c r="DU57" s="161"/>
      <c r="DV57" s="161"/>
      <c r="DW57" s="161"/>
      <c r="DX57" s="156" t="s">
        <v>327</v>
      </c>
      <c r="DY57" s="162">
        <v>57447</v>
      </c>
      <c r="DZ57" s="162">
        <f>DY57*110%</f>
        <v>63191.700000000004</v>
      </c>
      <c r="EA57" s="163">
        <f t="shared" si="68"/>
        <v>85308.795000000013</v>
      </c>
      <c r="ED57" s="311">
        <v>63</v>
      </c>
      <c r="EE57" s="162">
        <v>44324</v>
      </c>
      <c r="EF57" s="162">
        <v>49200</v>
      </c>
      <c r="EG57" s="286">
        <f t="shared" si="76"/>
        <v>66420</v>
      </c>
      <c r="EI57" s="32" t="s">
        <v>328</v>
      </c>
      <c r="EJ57" s="274"/>
      <c r="EK57" s="274"/>
      <c r="EL57" s="274"/>
    </row>
    <row r="58" spans="3:142" ht="15" thickBot="1">
      <c r="C58" s="334" t="s">
        <v>329</v>
      </c>
      <c r="D58" s="334"/>
      <c r="E58" s="335">
        <f>G54</f>
        <v>445000</v>
      </c>
      <c r="G58" s="32"/>
      <c r="H58" s="32"/>
      <c r="I58" s="32"/>
      <c r="J58" s="32"/>
      <c r="K58" s="32"/>
      <c r="L58" s="32"/>
      <c r="M58" s="32"/>
      <c r="AA58" s="175"/>
      <c r="AB58" s="103" t="s">
        <v>139</v>
      </c>
      <c r="AC58" s="52" t="s">
        <v>52</v>
      </c>
      <c r="AD58" s="104" t="s">
        <v>117</v>
      </c>
      <c r="AE58" s="105">
        <v>716800</v>
      </c>
      <c r="AF58" s="106">
        <f t="shared" si="11"/>
        <v>287000</v>
      </c>
      <c r="AG58" s="106">
        <f t="shared" si="12"/>
        <v>72000</v>
      </c>
      <c r="AH58" s="107">
        <f t="shared" si="13"/>
        <v>144000</v>
      </c>
      <c r="AI58" s="108">
        <f t="shared" si="14"/>
        <v>1219800</v>
      </c>
      <c r="AJ58" s="106">
        <f t="shared" si="15"/>
        <v>1281000</v>
      </c>
      <c r="AK58" s="175">
        <f t="shared" si="1"/>
        <v>994000</v>
      </c>
      <c r="AN58" s="175"/>
      <c r="AO58" s="103" t="s">
        <v>139</v>
      </c>
      <c r="AP58" s="52" t="s">
        <v>52</v>
      </c>
      <c r="AQ58" s="52" t="s">
        <v>117</v>
      </c>
      <c r="AR58" s="267">
        <v>2507100</v>
      </c>
      <c r="AS58" s="268">
        <f t="shared" si="2"/>
        <v>1755000</v>
      </c>
      <c r="AT58" s="117">
        <f t="shared" si="3"/>
        <v>251000</v>
      </c>
      <c r="AU58" s="106">
        <f t="shared" si="4"/>
        <v>502000</v>
      </c>
      <c r="AV58" s="177">
        <f t="shared" si="16"/>
        <v>5015100</v>
      </c>
      <c r="AW58" s="106">
        <f t="shared" si="5"/>
        <v>5266000</v>
      </c>
      <c r="AX58" s="175">
        <f t="shared" si="6"/>
        <v>3511000</v>
      </c>
      <c r="BB58" s="81" t="s">
        <v>117</v>
      </c>
      <c r="BC58" s="119" t="s">
        <v>235</v>
      </c>
      <c r="BD58" s="119">
        <v>9707200</v>
      </c>
      <c r="BE58" s="272">
        <f t="shared" si="74"/>
        <v>13104720</v>
      </c>
      <c r="BK58" s="29" t="s">
        <v>21</v>
      </c>
      <c r="BL58" s="30" t="s">
        <v>22</v>
      </c>
      <c r="BM58" s="31" t="s">
        <v>23</v>
      </c>
      <c r="BR58" s="53" t="s">
        <v>136</v>
      </c>
      <c r="BS58" s="54">
        <f>(116250000*15%)+116250000</f>
        <v>133687500</v>
      </c>
      <c r="BT58" s="55">
        <f t="shared" si="75"/>
        <v>147057000</v>
      </c>
      <c r="CG58" s="76"/>
      <c r="CH58" s="78"/>
      <c r="CI58" s="118" t="s">
        <v>80</v>
      </c>
      <c r="CJ58" s="119" t="s">
        <v>81</v>
      </c>
      <c r="CK58" s="120">
        <v>7617055</v>
      </c>
      <c r="CL58" s="121">
        <f t="shared" si="72"/>
        <v>9141000</v>
      </c>
      <c r="CM58" s="88"/>
      <c r="CZ58" s="324" t="s">
        <v>330</v>
      </c>
      <c r="DA58" s="325" t="s">
        <v>331</v>
      </c>
      <c r="DB58" s="325">
        <v>110</v>
      </c>
      <c r="DC58" s="332">
        <v>3900</v>
      </c>
      <c r="DD58" s="333"/>
      <c r="DE58" s="332">
        <f t="shared" si="78"/>
        <v>6000</v>
      </c>
      <c r="DF58" s="333"/>
      <c r="DG58" s="332">
        <f t="shared" si="79"/>
        <v>3000</v>
      </c>
      <c r="DH58" s="333"/>
      <c r="DK58" s="287">
        <v>100</v>
      </c>
      <c r="DL58" s="156" t="s">
        <v>108</v>
      </c>
      <c r="DM58" s="156">
        <v>12</v>
      </c>
      <c r="DN58" s="265">
        <v>85500</v>
      </c>
      <c r="DO58" s="328"/>
      <c r="DP58" s="328">
        <f t="shared" si="80"/>
        <v>116000</v>
      </c>
      <c r="DQ58" s="329"/>
      <c r="DR58" s="328">
        <f t="shared" si="81"/>
        <v>39000</v>
      </c>
      <c r="DS58" s="330"/>
      <c r="DT58" s="161"/>
      <c r="DU58" s="161"/>
      <c r="DV58" s="161"/>
      <c r="DW58" s="161"/>
      <c r="DX58" s="156" t="s">
        <v>332</v>
      </c>
      <c r="DY58" s="162">
        <v>66468</v>
      </c>
      <c r="DZ58" s="162">
        <f t="shared" si="69"/>
        <v>73114.8</v>
      </c>
      <c r="EA58" s="163">
        <f t="shared" si="68"/>
        <v>98704.98000000001</v>
      </c>
      <c r="ED58" s="311">
        <v>75</v>
      </c>
      <c r="EE58" s="162">
        <v>77297</v>
      </c>
      <c r="EF58" s="162">
        <v>85800</v>
      </c>
      <c r="EG58" s="286">
        <f t="shared" si="76"/>
        <v>115830.00000000001</v>
      </c>
      <c r="EI58" s="336" t="s">
        <v>65</v>
      </c>
      <c r="EJ58" s="337" t="s">
        <v>248</v>
      </c>
      <c r="EK58" s="337" t="s">
        <v>333</v>
      </c>
      <c r="EL58" s="306" t="s">
        <v>91</v>
      </c>
    </row>
    <row r="59" spans="3:142" ht="15" thickBot="1">
      <c r="C59" s="338" t="s">
        <v>334</v>
      </c>
      <c r="D59" s="338"/>
      <c r="E59" s="339">
        <f>ROUNDUP(E58*0.25,-3)</f>
        <v>112000</v>
      </c>
      <c r="AA59" s="175"/>
      <c r="AB59" s="103" t="s">
        <v>335</v>
      </c>
      <c r="AC59" s="52" t="s">
        <v>52</v>
      </c>
      <c r="AD59" s="104" t="s">
        <v>124</v>
      </c>
      <c r="AE59" s="105">
        <v>770700</v>
      </c>
      <c r="AF59" s="106">
        <f t="shared" si="11"/>
        <v>309000</v>
      </c>
      <c r="AG59" s="106">
        <f t="shared" si="12"/>
        <v>78000</v>
      </c>
      <c r="AH59" s="107">
        <f t="shared" si="13"/>
        <v>155000</v>
      </c>
      <c r="AI59" s="108">
        <f t="shared" si="14"/>
        <v>1312700</v>
      </c>
      <c r="AJ59" s="106">
        <f t="shared" si="15"/>
        <v>1379000</v>
      </c>
      <c r="AK59" s="175">
        <f t="shared" si="1"/>
        <v>1070000</v>
      </c>
      <c r="AN59" s="175"/>
      <c r="AO59" s="103" t="s">
        <v>335</v>
      </c>
      <c r="AP59" s="52" t="s">
        <v>52</v>
      </c>
      <c r="AQ59" s="52" t="s">
        <v>124</v>
      </c>
      <c r="AR59" s="267">
        <v>2507100</v>
      </c>
      <c r="AS59" s="268">
        <f t="shared" si="2"/>
        <v>1755000</v>
      </c>
      <c r="AT59" s="117">
        <f t="shared" si="3"/>
        <v>251000</v>
      </c>
      <c r="AU59" s="106">
        <f t="shared" si="4"/>
        <v>502000</v>
      </c>
      <c r="AV59" s="177">
        <f t="shared" si="16"/>
        <v>5015100</v>
      </c>
      <c r="AW59" s="106">
        <f t="shared" si="5"/>
        <v>5266000</v>
      </c>
      <c r="AX59" s="175">
        <f t="shared" si="6"/>
        <v>3511000</v>
      </c>
      <c r="BB59" s="81" t="s">
        <v>124</v>
      </c>
      <c r="BC59" s="119" t="s">
        <v>235</v>
      </c>
      <c r="BD59" s="119">
        <v>12597500</v>
      </c>
      <c r="BE59" s="272">
        <f t="shared" si="74"/>
        <v>17006625</v>
      </c>
      <c r="BK59" s="53" t="s">
        <v>125</v>
      </c>
      <c r="BL59" s="54">
        <f>(2364400*15%)+2364400</f>
        <v>2719060</v>
      </c>
      <c r="BM59" s="90">
        <f>ROUNDUP(BL59*$BO$63,-3)</f>
        <v>2856000</v>
      </c>
      <c r="BO59" s="23">
        <v>0.4</v>
      </c>
      <c r="BR59" s="53" t="s">
        <v>139</v>
      </c>
      <c r="BS59" s="54">
        <v>255000000</v>
      </c>
      <c r="BT59" s="55">
        <f t="shared" si="75"/>
        <v>280500000</v>
      </c>
      <c r="CG59" s="76"/>
      <c r="CH59" s="78"/>
      <c r="CI59" s="118" t="s">
        <v>110</v>
      </c>
      <c r="CJ59" s="119" t="s">
        <v>111</v>
      </c>
      <c r="CK59" s="120">
        <v>1711285</v>
      </c>
      <c r="CL59" s="121">
        <f t="shared" si="72"/>
        <v>2054000</v>
      </c>
      <c r="CM59" s="88"/>
      <c r="CZ59" s="324" t="s">
        <v>336</v>
      </c>
      <c r="DA59" s="325" t="s">
        <v>337</v>
      </c>
      <c r="DB59" s="325">
        <v>110</v>
      </c>
      <c r="DC59" s="332">
        <v>4600</v>
      </c>
      <c r="DD59" s="333"/>
      <c r="DE59" s="332">
        <f t="shared" si="78"/>
        <v>7000</v>
      </c>
      <c r="DF59" s="333"/>
      <c r="DG59" s="332">
        <f t="shared" si="79"/>
        <v>4000</v>
      </c>
      <c r="DH59" s="333"/>
      <c r="DK59" s="302">
        <v>150</v>
      </c>
      <c r="DL59" s="215" t="s">
        <v>124</v>
      </c>
      <c r="DM59" s="215">
        <v>8</v>
      </c>
      <c r="DN59" s="340">
        <v>195000</v>
      </c>
      <c r="DO59" s="341"/>
      <c r="DP59" s="341">
        <f t="shared" si="80"/>
        <v>264000</v>
      </c>
      <c r="DQ59" s="342"/>
      <c r="DR59" s="341">
        <f t="shared" si="81"/>
        <v>88000</v>
      </c>
      <c r="DS59" s="343"/>
      <c r="DT59" s="161"/>
      <c r="DU59" s="161"/>
      <c r="DV59" s="161"/>
      <c r="DW59" s="161"/>
      <c r="DX59" s="156" t="s">
        <v>338</v>
      </c>
      <c r="DY59" s="162">
        <v>75495</v>
      </c>
      <c r="DZ59" s="162">
        <f t="shared" si="69"/>
        <v>83044.5</v>
      </c>
      <c r="EA59" s="163">
        <f t="shared" si="68"/>
        <v>112110.07500000001</v>
      </c>
      <c r="ED59" s="311">
        <v>90</v>
      </c>
      <c r="EE59" s="162">
        <v>128468</v>
      </c>
      <c r="EF59" s="162">
        <v>142600</v>
      </c>
      <c r="EG59" s="286">
        <f t="shared" si="76"/>
        <v>192510</v>
      </c>
      <c r="EI59" s="251" t="s">
        <v>251</v>
      </c>
      <c r="EJ59" s="344">
        <v>48559</v>
      </c>
      <c r="EK59" s="344">
        <v>53900</v>
      </c>
      <c r="EL59" s="345">
        <f t="shared" ref="EL59:EL65" si="82">EK59*$DW$4</f>
        <v>72765</v>
      </c>
    </row>
    <row r="60" spans="3:142" ht="15" thickBot="1">
      <c r="C60" s="346" t="s">
        <v>339</v>
      </c>
      <c r="D60" s="346"/>
      <c r="E60" s="346">
        <f>E59+E58</f>
        <v>557000</v>
      </c>
      <c r="AA60" s="175"/>
      <c r="AB60" s="103" t="s">
        <v>335</v>
      </c>
      <c r="AC60" s="52" t="s">
        <v>52</v>
      </c>
      <c r="AD60" s="104" t="s">
        <v>132</v>
      </c>
      <c r="AE60" s="105">
        <v>847700</v>
      </c>
      <c r="AF60" s="106">
        <f t="shared" si="11"/>
        <v>340000</v>
      </c>
      <c r="AG60" s="106">
        <f t="shared" si="12"/>
        <v>85000</v>
      </c>
      <c r="AH60" s="107">
        <f t="shared" si="13"/>
        <v>170000</v>
      </c>
      <c r="AI60" s="108">
        <f t="shared" si="14"/>
        <v>1442700</v>
      </c>
      <c r="AJ60" s="106">
        <f t="shared" si="15"/>
        <v>1515000</v>
      </c>
      <c r="AK60" s="175">
        <f t="shared" si="1"/>
        <v>1175000</v>
      </c>
      <c r="AN60" s="175"/>
      <c r="AO60" s="103" t="s">
        <v>335</v>
      </c>
      <c r="AP60" s="52" t="s">
        <v>52</v>
      </c>
      <c r="AQ60" s="52" t="s">
        <v>132</v>
      </c>
      <c r="AR60" s="267">
        <v>2507100</v>
      </c>
      <c r="AS60" s="268">
        <f t="shared" si="2"/>
        <v>1755000</v>
      </c>
      <c r="AT60" s="117">
        <f t="shared" si="3"/>
        <v>251000</v>
      </c>
      <c r="AU60" s="106">
        <f t="shared" si="4"/>
        <v>502000</v>
      </c>
      <c r="AV60" s="177">
        <f t="shared" si="16"/>
        <v>5015100</v>
      </c>
      <c r="AW60" s="106">
        <f t="shared" si="5"/>
        <v>5266000</v>
      </c>
      <c r="AX60" s="175">
        <f t="shared" si="6"/>
        <v>3511000</v>
      </c>
      <c r="BB60" s="179" t="s">
        <v>132</v>
      </c>
      <c r="BC60" s="257" t="s">
        <v>235</v>
      </c>
      <c r="BD60" s="257">
        <v>18968300</v>
      </c>
      <c r="BE60" s="272">
        <f t="shared" si="74"/>
        <v>25607205</v>
      </c>
      <c r="BK60" s="80" t="s">
        <v>40</v>
      </c>
      <c r="BL60" s="81">
        <f>(2931200*15%)+2931200</f>
        <v>3370880</v>
      </c>
      <c r="BM60" s="228">
        <f t="shared" ref="BM60:BM65" si="83">ROUNDUP(BL60*$BO$63,-3)</f>
        <v>3540000</v>
      </c>
      <c r="BO60" s="23">
        <v>0.1</v>
      </c>
      <c r="CG60" s="152"/>
      <c r="CH60" s="153"/>
      <c r="CI60" s="170" t="s">
        <v>118</v>
      </c>
      <c r="CJ60" s="148" t="s">
        <v>119</v>
      </c>
      <c r="CK60" s="171">
        <v>611223</v>
      </c>
      <c r="CL60" s="172">
        <f t="shared" si="72"/>
        <v>734000</v>
      </c>
      <c r="CM60" s="173">
        <f>SUM(CL57:CL60)</f>
        <v>40567000</v>
      </c>
      <c r="CZ60" s="324" t="s">
        <v>340</v>
      </c>
      <c r="DA60" s="347" t="s">
        <v>341</v>
      </c>
      <c r="DB60" s="325">
        <v>110</v>
      </c>
      <c r="DC60" s="332">
        <v>5300</v>
      </c>
      <c r="DD60" s="333"/>
      <c r="DE60" s="332">
        <f t="shared" si="78"/>
        <v>8000</v>
      </c>
      <c r="DF60" s="333"/>
      <c r="DG60" s="332">
        <f t="shared" si="79"/>
        <v>4000</v>
      </c>
      <c r="DH60" s="333"/>
      <c r="DK60" s="161"/>
      <c r="DL60" s="161"/>
      <c r="DM60" s="161"/>
      <c r="DN60" s="161"/>
      <c r="DO60" s="161"/>
      <c r="DP60" s="161"/>
      <c r="DQ60" s="161"/>
      <c r="DR60" s="161"/>
      <c r="DS60" s="161"/>
      <c r="DT60" s="161"/>
      <c r="DU60" s="161"/>
      <c r="DV60" s="161"/>
      <c r="DW60" s="161"/>
      <c r="DX60" s="156" t="s">
        <v>342</v>
      </c>
      <c r="DY60" s="162">
        <v>106667</v>
      </c>
      <c r="DZ60" s="162">
        <f t="shared" si="69"/>
        <v>117333.70000000001</v>
      </c>
      <c r="EA60" s="163">
        <f t="shared" si="68"/>
        <v>158400.49500000002</v>
      </c>
      <c r="ED60" s="311">
        <v>110</v>
      </c>
      <c r="EE60" s="162">
        <v>197838</v>
      </c>
      <c r="EF60" s="162">
        <v>219600</v>
      </c>
      <c r="EG60" s="286">
        <f t="shared" si="76"/>
        <v>296460</v>
      </c>
      <c r="EI60" s="251" t="s">
        <v>255</v>
      </c>
      <c r="EJ60" s="344">
        <v>66306</v>
      </c>
      <c r="EK60" s="344">
        <v>73600</v>
      </c>
      <c r="EL60" s="345">
        <f t="shared" si="82"/>
        <v>99360</v>
      </c>
    </row>
    <row r="61" spans="3:142" ht="15" thickBot="1">
      <c r="C61" s="348" t="s">
        <v>343</v>
      </c>
      <c r="D61" s="348"/>
      <c r="E61" s="349">
        <f>ROUNDUP(E60*1.2,-3)</f>
        <v>669000</v>
      </c>
      <c r="AA61" s="148"/>
      <c r="AB61" s="141" t="s">
        <v>335</v>
      </c>
      <c r="AC61" s="142" t="s">
        <v>52</v>
      </c>
      <c r="AD61" s="143" t="s">
        <v>136</v>
      </c>
      <c r="AE61" s="144">
        <v>963200</v>
      </c>
      <c r="AF61" s="145">
        <f t="shared" si="11"/>
        <v>386000</v>
      </c>
      <c r="AG61" s="145">
        <f t="shared" si="12"/>
        <v>97000</v>
      </c>
      <c r="AH61" s="146">
        <f t="shared" si="13"/>
        <v>193000</v>
      </c>
      <c r="AI61" s="147">
        <f t="shared" si="14"/>
        <v>1639200</v>
      </c>
      <c r="AJ61" s="145">
        <f t="shared" si="15"/>
        <v>1722000</v>
      </c>
      <c r="AK61" s="148">
        <f t="shared" si="1"/>
        <v>1336000</v>
      </c>
      <c r="AN61" s="148"/>
      <c r="AO61" s="141" t="s">
        <v>335</v>
      </c>
      <c r="AP61" s="142" t="s">
        <v>52</v>
      </c>
      <c r="AQ61" s="142" t="s">
        <v>136</v>
      </c>
      <c r="AR61" s="149">
        <v>2507100</v>
      </c>
      <c r="AS61" s="150">
        <f t="shared" si="2"/>
        <v>1755000</v>
      </c>
      <c r="AT61" s="146">
        <f t="shared" si="3"/>
        <v>251000</v>
      </c>
      <c r="AU61" s="145">
        <f t="shared" si="4"/>
        <v>502000</v>
      </c>
      <c r="AV61" s="151">
        <f t="shared" si="16"/>
        <v>5015100</v>
      </c>
      <c r="AW61" s="145">
        <f t="shared" si="5"/>
        <v>5266000</v>
      </c>
      <c r="AX61" s="148">
        <f t="shared" si="6"/>
        <v>3511000</v>
      </c>
      <c r="BK61" s="80" t="s">
        <v>57</v>
      </c>
      <c r="BL61" s="81">
        <f>(4745550*15%)+4745550</f>
        <v>5457382.5</v>
      </c>
      <c r="BM61" s="228">
        <f t="shared" si="83"/>
        <v>5731000</v>
      </c>
      <c r="BO61" s="23">
        <v>0.2</v>
      </c>
      <c r="CG61" s="76">
        <v>6</v>
      </c>
      <c r="CH61" s="78" t="s">
        <v>108</v>
      </c>
      <c r="CI61" s="84" t="s">
        <v>209</v>
      </c>
      <c r="CJ61" s="85" t="s">
        <v>210</v>
      </c>
      <c r="CK61" s="86">
        <v>40618212</v>
      </c>
      <c r="CL61" s="87">
        <f t="shared" si="72"/>
        <v>48742000</v>
      </c>
      <c r="CM61" s="180"/>
      <c r="CZ61" s="324" t="s">
        <v>344</v>
      </c>
      <c r="DA61" s="347" t="s">
        <v>345</v>
      </c>
      <c r="DB61" s="325">
        <v>72</v>
      </c>
      <c r="DC61" s="332">
        <v>5700</v>
      </c>
      <c r="DD61" s="333"/>
      <c r="DE61" s="332">
        <f t="shared" si="78"/>
        <v>8000</v>
      </c>
      <c r="DF61" s="333"/>
      <c r="DG61" s="332">
        <f t="shared" si="79"/>
        <v>4000</v>
      </c>
      <c r="DH61" s="333"/>
      <c r="DK61" s="161"/>
      <c r="DL61" s="161"/>
      <c r="DM61" s="161"/>
      <c r="DN61" s="161"/>
      <c r="DO61" s="161"/>
      <c r="DP61" s="161"/>
      <c r="DQ61" s="161"/>
      <c r="DR61" s="161"/>
      <c r="DS61" s="161"/>
      <c r="DT61" s="161"/>
      <c r="DU61" s="161"/>
      <c r="DV61" s="161"/>
      <c r="DW61" s="161"/>
      <c r="DX61" s="156" t="s">
        <v>346</v>
      </c>
      <c r="DY61" s="162">
        <v>108378</v>
      </c>
      <c r="DZ61" s="162">
        <f t="shared" si="69"/>
        <v>119215.8</v>
      </c>
      <c r="EA61" s="163">
        <f t="shared" si="68"/>
        <v>160941.33000000002</v>
      </c>
      <c r="ED61" s="331">
        <v>160</v>
      </c>
      <c r="EE61" s="216">
        <v>1154865</v>
      </c>
      <c r="EF61" s="216">
        <v>1281900</v>
      </c>
      <c r="EG61" s="298">
        <f t="shared" si="76"/>
        <v>1730565</v>
      </c>
      <c r="EI61" s="251" t="s">
        <v>258</v>
      </c>
      <c r="EJ61" s="344">
        <v>50811</v>
      </c>
      <c r="EK61" s="344">
        <v>56400</v>
      </c>
      <c r="EL61" s="345">
        <f t="shared" si="82"/>
        <v>76140</v>
      </c>
    </row>
    <row r="62" spans="3:142">
      <c r="C62" s="23"/>
      <c r="D62" s="23"/>
      <c r="E62" s="23"/>
      <c r="AA62" s="46" t="s">
        <v>347</v>
      </c>
      <c r="AB62" s="103" t="s">
        <v>347</v>
      </c>
      <c r="AC62" s="52" t="s">
        <v>52</v>
      </c>
      <c r="AD62" s="104" t="s">
        <v>108</v>
      </c>
      <c r="AE62" s="105">
        <v>1186500</v>
      </c>
      <c r="AF62" s="106">
        <f t="shared" si="11"/>
        <v>475000</v>
      </c>
      <c r="AG62" s="106">
        <f t="shared" si="12"/>
        <v>119000</v>
      </c>
      <c r="AH62" s="107">
        <f t="shared" si="13"/>
        <v>238000</v>
      </c>
      <c r="AI62" s="108">
        <f t="shared" si="14"/>
        <v>2018500</v>
      </c>
      <c r="AJ62" s="106">
        <f t="shared" si="15"/>
        <v>2120000</v>
      </c>
      <c r="AK62" s="109">
        <f t="shared" si="1"/>
        <v>1645000</v>
      </c>
      <c r="AN62" s="46" t="s">
        <v>347</v>
      </c>
      <c r="AO62" s="103" t="s">
        <v>347</v>
      </c>
      <c r="AP62" s="52" t="s">
        <v>52</v>
      </c>
      <c r="AQ62" s="104" t="s">
        <v>108</v>
      </c>
      <c r="AR62" s="176">
        <v>3149300</v>
      </c>
      <c r="AS62" s="114">
        <f t="shared" si="2"/>
        <v>2205000</v>
      </c>
      <c r="AT62" s="113">
        <f t="shared" si="3"/>
        <v>315000</v>
      </c>
      <c r="AU62" s="114">
        <f t="shared" si="4"/>
        <v>630000</v>
      </c>
      <c r="AV62" s="115">
        <f t="shared" si="16"/>
        <v>6299300</v>
      </c>
      <c r="AW62" s="114">
        <f t="shared" si="5"/>
        <v>6615000</v>
      </c>
      <c r="AX62" s="109">
        <f t="shared" si="6"/>
        <v>4410000</v>
      </c>
      <c r="BK62" s="80" t="s">
        <v>77</v>
      </c>
      <c r="BL62" s="81">
        <f>(5742000*15%)+5742000</f>
        <v>6603300</v>
      </c>
      <c r="BM62" s="228">
        <f t="shared" si="83"/>
        <v>6934000</v>
      </c>
      <c r="BO62" s="110"/>
      <c r="CG62" s="76"/>
      <c r="CH62" s="78"/>
      <c r="CI62" s="118" t="s">
        <v>213</v>
      </c>
      <c r="CJ62" s="119" t="s">
        <v>214</v>
      </c>
      <c r="CK62" s="120">
        <v>11746044</v>
      </c>
      <c r="CL62" s="121">
        <f t="shared" si="72"/>
        <v>14096000</v>
      </c>
      <c r="CM62" s="88"/>
      <c r="CZ62" s="324" t="s">
        <v>348</v>
      </c>
      <c r="DA62" s="347" t="s">
        <v>349</v>
      </c>
      <c r="DB62" s="325">
        <v>65</v>
      </c>
      <c r="DC62" s="332">
        <v>6000</v>
      </c>
      <c r="DD62" s="333"/>
      <c r="DE62" s="332">
        <f t="shared" si="78"/>
        <v>9000</v>
      </c>
      <c r="DF62" s="333"/>
      <c r="DG62" s="332">
        <f t="shared" si="79"/>
        <v>5000</v>
      </c>
      <c r="DH62" s="333"/>
      <c r="DK62" s="161"/>
      <c r="DL62" s="161"/>
      <c r="DM62" s="161"/>
      <c r="DN62" s="161"/>
      <c r="DO62" s="161"/>
      <c r="DP62" s="161"/>
      <c r="DQ62" s="161"/>
      <c r="DR62" s="161"/>
      <c r="DS62" s="161"/>
      <c r="DT62" s="161"/>
      <c r="DU62" s="161"/>
      <c r="DV62" s="161"/>
      <c r="DW62" s="161"/>
      <c r="DX62" s="156" t="s">
        <v>350</v>
      </c>
      <c r="DY62" s="162">
        <v>141351</v>
      </c>
      <c r="DZ62" s="162">
        <f t="shared" si="69"/>
        <v>155486.1</v>
      </c>
      <c r="EA62" s="163">
        <f t="shared" si="68"/>
        <v>209906.23500000002</v>
      </c>
      <c r="EI62" s="251" t="s">
        <v>263</v>
      </c>
      <c r="EJ62" s="344">
        <v>62342</v>
      </c>
      <c r="EK62" s="344">
        <v>69200</v>
      </c>
      <c r="EL62" s="345">
        <f t="shared" si="82"/>
        <v>93420</v>
      </c>
    </row>
    <row r="63" spans="3:142" ht="15" thickBot="1">
      <c r="C63" s="23" t="s">
        <v>351</v>
      </c>
      <c r="D63" s="23"/>
      <c r="E63" s="350">
        <v>24000</v>
      </c>
      <c r="AA63" s="175"/>
      <c r="AB63" s="103" t="s">
        <v>347</v>
      </c>
      <c r="AC63" s="52" t="s">
        <v>52</v>
      </c>
      <c r="AD63" s="104" t="s">
        <v>117</v>
      </c>
      <c r="AE63" s="105">
        <v>1271200</v>
      </c>
      <c r="AF63" s="106">
        <f t="shared" si="11"/>
        <v>509000</v>
      </c>
      <c r="AG63" s="106">
        <f t="shared" si="12"/>
        <v>128000</v>
      </c>
      <c r="AH63" s="107">
        <f t="shared" si="13"/>
        <v>255000</v>
      </c>
      <c r="AI63" s="108">
        <f t="shared" si="14"/>
        <v>2163200</v>
      </c>
      <c r="AJ63" s="106">
        <f t="shared" si="15"/>
        <v>2272000</v>
      </c>
      <c r="AK63" s="175">
        <f t="shared" si="1"/>
        <v>1763000</v>
      </c>
      <c r="AN63" s="175"/>
      <c r="AO63" s="103" t="s">
        <v>347</v>
      </c>
      <c r="AP63" s="52" t="s">
        <v>52</v>
      </c>
      <c r="AQ63" s="104" t="s">
        <v>117</v>
      </c>
      <c r="AR63" s="176">
        <v>3149300</v>
      </c>
      <c r="AS63" s="106">
        <f t="shared" si="2"/>
        <v>2205000</v>
      </c>
      <c r="AT63" s="117">
        <f t="shared" si="3"/>
        <v>315000</v>
      </c>
      <c r="AU63" s="106">
        <f t="shared" si="4"/>
        <v>630000</v>
      </c>
      <c r="AV63" s="177">
        <f t="shared" si="16"/>
        <v>6299300</v>
      </c>
      <c r="AW63" s="106">
        <f t="shared" si="5"/>
        <v>6615000</v>
      </c>
      <c r="AX63" s="175">
        <f t="shared" si="6"/>
        <v>4410000</v>
      </c>
      <c r="BK63" s="80" t="s">
        <v>108</v>
      </c>
      <c r="BL63" s="81">
        <f>(8008000*15%)+8008000</f>
        <v>9209200</v>
      </c>
      <c r="BM63" s="228">
        <f t="shared" si="83"/>
        <v>9670000</v>
      </c>
      <c r="BO63" s="23">
        <v>1.05</v>
      </c>
      <c r="CG63" s="76"/>
      <c r="CH63" s="78"/>
      <c r="CI63" s="118" t="s">
        <v>110</v>
      </c>
      <c r="CJ63" s="119" t="s">
        <v>111</v>
      </c>
      <c r="CK63" s="120">
        <v>1711285</v>
      </c>
      <c r="CL63" s="121">
        <f t="shared" si="72"/>
        <v>2054000</v>
      </c>
      <c r="CM63" s="88"/>
      <c r="CZ63" s="324" t="s">
        <v>352</v>
      </c>
      <c r="DA63" s="347" t="s">
        <v>353</v>
      </c>
      <c r="DB63" s="325">
        <v>65</v>
      </c>
      <c r="DC63" s="332">
        <v>7300</v>
      </c>
      <c r="DD63" s="333"/>
      <c r="DE63" s="332">
        <f t="shared" si="78"/>
        <v>10000</v>
      </c>
      <c r="DF63" s="333"/>
      <c r="DG63" s="332">
        <f t="shared" si="79"/>
        <v>5000</v>
      </c>
      <c r="DH63" s="333"/>
      <c r="DK63" s="351" t="s">
        <v>354</v>
      </c>
      <c r="DL63" s="351"/>
      <c r="DM63" s="161"/>
      <c r="DN63" s="161"/>
      <c r="DO63" s="161"/>
      <c r="DP63" s="161"/>
      <c r="DQ63" s="161"/>
      <c r="DR63" s="161"/>
      <c r="DS63" s="161"/>
      <c r="DT63" s="161"/>
      <c r="DU63" s="161"/>
      <c r="DV63" s="161"/>
      <c r="DW63" s="161"/>
      <c r="DX63" s="156" t="s">
        <v>355</v>
      </c>
      <c r="DY63" s="162">
        <v>175856</v>
      </c>
      <c r="DZ63" s="162">
        <f t="shared" si="69"/>
        <v>193441.6</v>
      </c>
      <c r="EA63" s="163">
        <f t="shared" si="68"/>
        <v>261146.16000000003</v>
      </c>
      <c r="EI63" s="251" t="s">
        <v>271</v>
      </c>
      <c r="EJ63" s="344">
        <v>115946</v>
      </c>
      <c r="EK63" s="344">
        <v>128700</v>
      </c>
      <c r="EL63" s="345">
        <f t="shared" si="82"/>
        <v>173745</v>
      </c>
    </row>
    <row r="64" spans="3:142" ht="21.6" thickBot="1">
      <c r="C64" s="23" t="s">
        <v>356</v>
      </c>
      <c r="D64" s="23"/>
      <c r="E64" s="350">
        <v>20000</v>
      </c>
      <c r="AA64" s="175"/>
      <c r="AB64" s="103" t="s">
        <v>347</v>
      </c>
      <c r="AC64" s="52" t="s">
        <v>52</v>
      </c>
      <c r="AD64" s="104" t="s">
        <v>124</v>
      </c>
      <c r="AE64" s="105">
        <v>1502200</v>
      </c>
      <c r="AF64" s="106">
        <f t="shared" si="11"/>
        <v>601000</v>
      </c>
      <c r="AG64" s="106">
        <f t="shared" si="12"/>
        <v>151000</v>
      </c>
      <c r="AH64" s="107">
        <f t="shared" si="13"/>
        <v>301000</v>
      </c>
      <c r="AI64" s="108">
        <f t="shared" si="14"/>
        <v>2555200</v>
      </c>
      <c r="AJ64" s="106">
        <f t="shared" si="15"/>
        <v>2683000</v>
      </c>
      <c r="AK64" s="175">
        <f t="shared" si="1"/>
        <v>2082000</v>
      </c>
      <c r="AN64" s="175"/>
      <c r="AO64" s="103" t="s">
        <v>347</v>
      </c>
      <c r="AP64" s="52" t="s">
        <v>52</v>
      </c>
      <c r="AQ64" s="104" t="s">
        <v>124</v>
      </c>
      <c r="AR64" s="176">
        <v>3149300</v>
      </c>
      <c r="AS64" s="106">
        <f t="shared" si="2"/>
        <v>2205000</v>
      </c>
      <c r="AT64" s="117">
        <f t="shared" si="3"/>
        <v>315000</v>
      </c>
      <c r="AU64" s="106">
        <f t="shared" si="4"/>
        <v>630000</v>
      </c>
      <c r="AV64" s="177">
        <f t="shared" si="16"/>
        <v>6299300</v>
      </c>
      <c r="AW64" s="106">
        <f t="shared" si="5"/>
        <v>6615000</v>
      </c>
      <c r="AX64" s="175">
        <f t="shared" si="6"/>
        <v>4410000</v>
      </c>
      <c r="BB64" s="266"/>
      <c r="BC64" s="266"/>
      <c r="BD64" s="266"/>
      <c r="BE64" s="266"/>
      <c r="BF64" s="266"/>
      <c r="BG64" s="352"/>
      <c r="BH64" s="352"/>
      <c r="BI64" s="352"/>
      <c r="BK64" s="80" t="s">
        <v>117</v>
      </c>
      <c r="BL64" s="81">
        <f>(12147900*15%)+12147900</f>
        <v>13970085</v>
      </c>
      <c r="BM64" s="228">
        <f t="shared" si="83"/>
        <v>14669000</v>
      </c>
      <c r="CG64" s="152"/>
      <c r="CH64" s="153"/>
      <c r="CI64" s="170" t="s">
        <v>118</v>
      </c>
      <c r="CJ64" s="148" t="s">
        <v>119</v>
      </c>
      <c r="CK64" s="171">
        <v>611223</v>
      </c>
      <c r="CL64" s="172">
        <f t="shared" si="72"/>
        <v>734000</v>
      </c>
      <c r="CM64" s="173">
        <f>SUM(CL61:CL64)</f>
        <v>65626000</v>
      </c>
      <c r="CZ64" s="324" t="s">
        <v>357</v>
      </c>
      <c r="DA64" s="347" t="s">
        <v>358</v>
      </c>
      <c r="DB64" s="325">
        <v>45</v>
      </c>
      <c r="DC64" s="332">
        <v>8200</v>
      </c>
      <c r="DD64" s="333"/>
      <c r="DE64" s="332">
        <f t="shared" si="78"/>
        <v>12000</v>
      </c>
      <c r="DF64" s="333"/>
      <c r="DG64" s="332">
        <f t="shared" si="79"/>
        <v>6000</v>
      </c>
      <c r="DH64" s="333"/>
      <c r="DK64" s="353" t="s">
        <v>65</v>
      </c>
      <c r="DL64" s="354"/>
      <c r="DM64" s="355" t="s">
        <v>312</v>
      </c>
      <c r="DN64" s="355" t="s">
        <v>313</v>
      </c>
      <c r="DO64" s="356"/>
      <c r="DP64" s="355" t="s">
        <v>314</v>
      </c>
      <c r="DQ64" s="355"/>
      <c r="DR64" s="355" t="s">
        <v>48</v>
      </c>
      <c r="DS64" s="357"/>
      <c r="DT64" s="161"/>
      <c r="DU64" s="161"/>
      <c r="DV64" s="161"/>
      <c r="DW64" s="161"/>
      <c r="DX64" s="358" t="s">
        <v>359</v>
      </c>
      <c r="DY64" s="359">
        <v>279369</v>
      </c>
      <c r="DZ64" s="359">
        <f t="shared" si="69"/>
        <v>307305.90000000002</v>
      </c>
      <c r="EA64" s="360">
        <f t="shared" si="68"/>
        <v>414862.96500000008</v>
      </c>
      <c r="EI64" s="251" t="s">
        <v>274</v>
      </c>
      <c r="EJ64" s="344">
        <v>119640</v>
      </c>
      <c r="EK64" s="344">
        <v>132800</v>
      </c>
      <c r="EL64" s="345">
        <f t="shared" si="82"/>
        <v>179280</v>
      </c>
    </row>
    <row r="65" spans="3:142" ht="15" thickBot="1">
      <c r="C65" s="23" t="s">
        <v>360</v>
      </c>
      <c r="D65" s="23"/>
      <c r="E65" s="350">
        <v>26000</v>
      </c>
      <c r="AA65" s="175"/>
      <c r="AB65" s="103" t="s">
        <v>347</v>
      </c>
      <c r="AC65" s="52" t="s">
        <v>52</v>
      </c>
      <c r="AD65" s="104" t="s">
        <v>132</v>
      </c>
      <c r="AE65" s="105">
        <v>1617700</v>
      </c>
      <c r="AF65" s="106">
        <f t="shared" si="11"/>
        <v>648000</v>
      </c>
      <c r="AG65" s="106">
        <f t="shared" si="12"/>
        <v>162000</v>
      </c>
      <c r="AH65" s="107">
        <f t="shared" si="13"/>
        <v>324000</v>
      </c>
      <c r="AI65" s="108">
        <f t="shared" si="14"/>
        <v>2751700</v>
      </c>
      <c r="AJ65" s="106">
        <f t="shared" si="15"/>
        <v>2890000</v>
      </c>
      <c r="AK65" s="175">
        <f t="shared" si="1"/>
        <v>2242000</v>
      </c>
      <c r="AN65" s="175"/>
      <c r="AO65" s="103" t="s">
        <v>347</v>
      </c>
      <c r="AP65" s="52" t="s">
        <v>52</v>
      </c>
      <c r="AQ65" s="104" t="s">
        <v>132</v>
      </c>
      <c r="AR65" s="176">
        <v>3149300</v>
      </c>
      <c r="AS65" s="106">
        <f t="shared" si="2"/>
        <v>2205000</v>
      </c>
      <c r="AT65" s="117">
        <f t="shared" si="3"/>
        <v>315000</v>
      </c>
      <c r="AU65" s="106">
        <f t="shared" si="4"/>
        <v>630000</v>
      </c>
      <c r="AV65" s="177">
        <f t="shared" si="16"/>
        <v>6299300</v>
      </c>
      <c r="AW65" s="106">
        <f t="shared" si="5"/>
        <v>6615000</v>
      </c>
      <c r="AX65" s="175">
        <f t="shared" si="6"/>
        <v>4410000</v>
      </c>
      <c r="BK65" s="80" t="s">
        <v>124</v>
      </c>
      <c r="BL65" s="81">
        <f>(16833900*15%)+16833900</f>
        <v>19358985</v>
      </c>
      <c r="BM65" s="228">
        <f t="shared" si="83"/>
        <v>20327000</v>
      </c>
      <c r="CG65" s="76">
        <v>7</v>
      </c>
      <c r="CH65" s="78" t="s">
        <v>117</v>
      </c>
      <c r="CI65" s="84" t="s">
        <v>221</v>
      </c>
      <c r="CJ65" s="85" t="s">
        <v>222</v>
      </c>
      <c r="CK65" s="86">
        <v>50298719</v>
      </c>
      <c r="CL65" s="87">
        <f t="shared" si="72"/>
        <v>60359000</v>
      </c>
      <c r="CM65" s="180"/>
      <c r="CZ65" s="324" t="s">
        <v>361</v>
      </c>
      <c r="DA65" s="347" t="s">
        <v>362</v>
      </c>
      <c r="DB65" s="325">
        <v>45</v>
      </c>
      <c r="DC65" s="332">
        <v>8500</v>
      </c>
      <c r="DD65" s="333"/>
      <c r="DE65" s="332">
        <f t="shared" si="78"/>
        <v>12000</v>
      </c>
      <c r="DF65" s="333"/>
      <c r="DG65" s="332">
        <f t="shared" si="79"/>
        <v>6000</v>
      </c>
      <c r="DH65" s="333"/>
      <c r="DK65" s="361" t="s">
        <v>32</v>
      </c>
      <c r="DL65" s="362" t="s">
        <v>88</v>
      </c>
      <c r="DM65" s="363"/>
      <c r="DN65" s="363"/>
      <c r="DO65" s="364"/>
      <c r="DP65" s="363"/>
      <c r="DQ65" s="363"/>
      <c r="DR65" s="363"/>
      <c r="DS65" s="365"/>
      <c r="DT65" s="161"/>
      <c r="DU65" s="161"/>
      <c r="DV65" s="161"/>
      <c r="DW65" s="161"/>
      <c r="DX65" s="366"/>
      <c r="DY65" s="367"/>
      <c r="DZ65" s="367"/>
      <c r="EA65" s="368"/>
      <c r="ED65" s="32" t="s">
        <v>363</v>
      </c>
      <c r="EE65" s="32"/>
      <c r="EF65" s="32"/>
      <c r="EG65" s="32"/>
      <c r="EI65" s="254" t="s">
        <v>364</v>
      </c>
      <c r="EJ65" s="369">
        <v>176937</v>
      </c>
      <c r="EK65" s="369">
        <v>196400</v>
      </c>
      <c r="EL65" s="370">
        <f t="shared" si="82"/>
        <v>265140</v>
      </c>
    </row>
    <row r="66" spans="3:142">
      <c r="C66" s="23" t="s">
        <v>365</v>
      </c>
      <c r="D66" s="23" t="s">
        <v>124</v>
      </c>
      <c r="E66" s="371">
        <v>125000</v>
      </c>
      <c r="F66" s="1" t="s">
        <v>132</v>
      </c>
      <c r="G66" s="371">
        <v>150000</v>
      </c>
      <c r="H66" s="1" t="s">
        <v>136</v>
      </c>
      <c r="I66" s="371">
        <v>175000</v>
      </c>
      <c r="AA66" s="175"/>
      <c r="AB66" s="103" t="s">
        <v>347</v>
      </c>
      <c r="AC66" s="52" t="s">
        <v>52</v>
      </c>
      <c r="AD66" s="104" t="s">
        <v>136</v>
      </c>
      <c r="AE66" s="105">
        <v>1271200</v>
      </c>
      <c r="AF66" s="106">
        <f t="shared" si="11"/>
        <v>509000</v>
      </c>
      <c r="AG66" s="106">
        <f t="shared" si="12"/>
        <v>128000</v>
      </c>
      <c r="AH66" s="107">
        <f t="shared" si="13"/>
        <v>255000</v>
      </c>
      <c r="AI66" s="108">
        <f t="shared" si="14"/>
        <v>2163200</v>
      </c>
      <c r="AJ66" s="106">
        <f t="shared" si="15"/>
        <v>2272000</v>
      </c>
      <c r="AK66" s="175">
        <f t="shared" si="1"/>
        <v>1763000</v>
      </c>
      <c r="AN66" s="175"/>
      <c r="AO66" s="103" t="s">
        <v>347</v>
      </c>
      <c r="AP66" s="52" t="s">
        <v>52</v>
      </c>
      <c r="AQ66" s="104" t="s">
        <v>136</v>
      </c>
      <c r="AR66" s="176">
        <v>3149300</v>
      </c>
      <c r="AS66" s="106">
        <f t="shared" si="2"/>
        <v>2205000</v>
      </c>
      <c r="AT66" s="117">
        <f t="shared" si="3"/>
        <v>315000</v>
      </c>
      <c r="AU66" s="106">
        <f t="shared" si="4"/>
        <v>630000</v>
      </c>
      <c r="AV66" s="177">
        <f t="shared" si="16"/>
        <v>6299300</v>
      </c>
      <c r="AW66" s="106">
        <f t="shared" si="5"/>
        <v>6615000</v>
      </c>
      <c r="AX66" s="175">
        <f t="shared" si="6"/>
        <v>4410000</v>
      </c>
      <c r="BK66" s="80" t="s">
        <v>132</v>
      </c>
      <c r="BL66" s="81">
        <f>(25173200*15%)+25173200</f>
        <v>28949180</v>
      </c>
      <c r="BM66" s="228">
        <f>ROUNDUP(BL66*$BO$63,-3)</f>
        <v>30397000</v>
      </c>
      <c r="CG66" s="76"/>
      <c r="CH66" s="78"/>
      <c r="CI66" s="118" t="s">
        <v>213</v>
      </c>
      <c r="CJ66" s="119" t="s">
        <v>214</v>
      </c>
      <c r="CK66" s="120">
        <v>11746044</v>
      </c>
      <c r="CL66" s="121">
        <f t="shared" si="72"/>
        <v>14096000</v>
      </c>
      <c r="CM66" s="88"/>
      <c r="CZ66" s="324" t="s">
        <v>366</v>
      </c>
      <c r="DA66" s="347" t="s">
        <v>367</v>
      </c>
      <c r="DB66" s="325">
        <v>45</v>
      </c>
      <c r="DC66" s="332">
        <v>9100</v>
      </c>
      <c r="DD66" s="333"/>
      <c r="DE66" s="332">
        <f t="shared" si="78"/>
        <v>13000</v>
      </c>
      <c r="DF66" s="333"/>
      <c r="DG66" s="332">
        <f t="shared" si="79"/>
        <v>6000</v>
      </c>
      <c r="DH66" s="333"/>
      <c r="DK66" s="287">
        <v>16</v>
      </c>
      <c r="DL66" s="156" t="s">
        <v>368</v>
      </c>
      <c r="DM66" s="156">
        <v>225</v>
      </c>
      <c r="DN66" s="265">
        <v>2500</v>
      </c>
      <c r="DO66" s="328"/>
      <c r="DP66" s="328">
        <f>ROUNDUP(DN66*$DS$52,-3)</f>
        <v>4000</v>
      </c>
      <c r="DQ66" s="329"/>
      <c r="DR66" s="328">
        <f>ROUNDUP((DP66*45%),-3)</f>
        <v>2000</v>
      </c>
      <c r="DS66" s="330"/>
      <c r="DT66" s="161"/>
      <c r="DU66" s="161"/>
      <c r="DV66" s="161"/>
      <c r="DW66" s="161"/>
      <c r="DX66" s="372"/>
      <c r="DY66" s="271"/>
      <c r="DZ66" s="271"/>
      <c r="EA66" s="373"/>
      <c r="ED66" s="280" t="s">
        <v>65</v>
      </c>
      <c r="EE66" s="374" t="s">
        <v>248</v>
      </c>
      <c r="EF66" s="374" t="s">
        <v>249</v>
      </c>
      <c r="EG66" s="375" t="s">
        <v>91</v>
      </c>
    </row>
    <row r="67" spans="3:142" ht="15" thickBot="1">
      <c r="C67" s="23" t="s">
        <v>369</v>
      </c>
      <c r="D67" s="23"/>
      <c r="E67" s="371">
        <v>150000</v>
      </c>
      <c r="F67" s="23"/>
      <c r="G67" s="371">
        <v>180000</v>
      </c>
      <c r="H67" s="23"/>
      <c r="I67" s="371">
        <v>220000</v>
      </c>
      <c r="J67" s="23"/>
      <c r="K67" s="23"/>
      <c r="L67" s="23"/>
      <c r="M67" s="23"/>
      <c r="N67" s="23"/>
      <c r="O67" s="23"/>
      <c r="P67" s="23"/>
      <c r="Q67" s="23"/>
      <c r="R67" s="23"/>
      <c r="AA67" s="148"/>
      <c r="AB67" s="141" t="s">
        <v>347</v>
      </c>
      <c r="AC67" s="142" t="s">
        <v>52</v>
      </c>
      <c r="AD67" s="143" t="s">
        <v>139</v>
      </c>
      <c r="AE67" s="144">
        <v>1848700</v>
      </c>
      <c r="AF67" s="145">
        <f t="shared" si="11"/>
        <v>740000</v>
      </c>
      <c r="AG67" s="145">
        <f t="shared" si="12"/>
        <v>185000</v>
      </c>
      <c r="AH67" s="146">
        <f t="shared" si="13"/>
        <v>370000</v>
      </c>
      <c r="AI67" s="147">
        <f t="shared" si="14"/>
        <v>3143700</v>
      </c>
      <c r="AJ67" s="145">
        <f t="shared" si="15"/>
        <v>3301000</v>
      </c>
      <c r="AK67" s="148">
        <f t="shared" si="1"/>
        <v>2561000</v>
      </c>
      <c r="AN67" s="148"/>
      <c r="AO67" s="141" t="s">
        <v>347</v>
      </c>
      <c r="AP67" s="142" t="s">
        <v>52</v>
      </c>
      <c r="AQ67" s="143" t="s">
        <v>139</v>
      </c>
      <c r="AR67" s="176">
        <v>3149300</v>
      </c>
      <c r="AS67" s="145">
        <f t="shared" si="2"/>
        <v>2205000</v>
      </c>
      <c r="AT67" s="146">
        <f t="shared" si="3"/>
        <v>315000</v>
      </c>
      <c r="AU67" s="145">
        <f t="shared" si="4"/>
        <v>630000</v>
      </c>
      <c r="AV67" s="151">
        <f t="shared" si="16"/>
        <v>6299300</v>
      </c>
      <c r="AW67" s="145">
        <f t="shared" si="5"/>
        <v>6615000</v>
      </c>
      <c r="AX67" s="148">
        <f t="shared" si="6"/>
        <v>4410000</v>
      </c>
      <c r="BK67" s="80" t="s">
        <v>136</v>
      </c>
      <c r="BL67" s="81">
        <f>(43274000*15%)+43274000</f>
        <v>49765100</v>
      </c>
      <c r="BM67" s="228">
        <f>ROUNDUP(BL67*$BO$63,-3)</f>
        <v>52254000</v>
      </c>
      <c r="CG67" s="76"/>
      <c r="CH67" s="78"/>
      <c r="CI67" s="118" t="s">
        <v>110</v>
      </c>
      <c r="CJ67" s="119" t="s">
        <v>111</v>
      </c>
      <c r="CK67" s="120">
        <v>1711285</v>
      </c>
      <c r="CL67" s="121">
        <f t="shared" si="72"/>
        <v>2054000</v>
      </c>
      <c r="CM67" s="88"/>
      <c r="CZ67" s="324" t="s">
        <v>370</v>
      </c>
      <c r="DA67" s="347" t="s">
        <v>371</v>
      </c>
      <c r="DB67" s="325">
        <v>40</v>
      </c>
      <c r="DC67" s="332">
        <v>10000</v>
      </c>
      <c r="DD67" s="333"/>
      <c r="DE67" s="332">
        <f t="shared" si="78"/>
        <v>14000</v>
      </c>
      <c r="DF67" s="333"/>
      <c r="DG67" s="332">
        <f t="shared" si="79"/>
        <v>7000</v>
      </c>
      <c r="DH67" s="333"/>
      <c r="DK67" s="287">
        <v>20</v>
      </c>
      <c r="DL67" s="156" t="s">
        <v>372</v>
      </c>
      <c r="DM67" s="156">
        <v>145</v>
      </c>
      <c r="DN67" s="265">
        <v>3200</v>
      </c>
      <c r="DO67" s="328"/>
      <c r="DP67" s="328">
        <f t="shared" ref="DP67:DP79" si="84">ROUNDUP(DN67*$DS$52,-3)</f>
        <v>5000</v>
      </c>
      <c r="DQ67" s="329"/>
      <c r="DR67" s="328">
        <f t="shared" ref="DR67:DR79" si="85">ROUNDUP((DN67*45%),-3)</f>
        <v>2000</v>
      </c>
      <c r="DS67" s="330"/>
      <c r="DT67" s="161"/>
      <c r="DU67" s="161"/>
      <c r="DV67" s="161"/>
      <c r="DW67" s="161"/>
      <c r="DX67" s="161"/>
      <c r="DY67" s="161"/>
      <c r="ED67" s="251" t="s">
        <v>244</v>
      </c>
      <c r="EE67" s="162">
        <v>4505</v>
      </c>
      <c r="EF67" s="162">
        <v>5000</v>
      </c>
      <c r="EG67" s="286">
        <f t="shared" ref="EG67:EG72" si="86">EF67*$DW$4</f>
        <v>6750</v>
      </c>
    </row>
    <row r="68" spans="3:142" ht="15.75" customHeight="1" thickBot="1">
      <c r="C68" s="23" t="s">
        <v>269</v>
      </c>
      <c r="D68" s="23"/>
      <c r="E68" s="300" t="s">
        <v>373</v>
      </c>
      <c r="F68" s="300"/>
      <c r="G68" s="300"/>
      <c r="H68" s="300"/>
      <c r="I68" s="300"/>
      <c r="J68" s="23"/>
      <c r="K68" s="23"/>
      <c r="L68" s="23"/>
      <c r="M68" s="23"/>
      <c r="N68" s="23"/>
      <c r="O68" s="23"/>
      <c r="P68" s="23"/>
      <c r="Q68" s="23"/>
      <c r="R68" s="23"/>
      <c r="AA68" s="46" t="s">
        <v>374</v>
      </c>
      <c r="AB68" s="103" t="s">
        <v>374</v>
      </c>
      <c r="AC68" s="52" t="s">
        <v>52</v>
      </c>
      <c r="AD68" s="104" t="s">
        <v>124</v>
      </c>
      <c r="AE68" s="105">
        <v>1771700</v>
      </c>
      <c r="AF68" s="106">
        <f t="shared" si="11"/>
        <v>709000</v>
      </c>
      <c r="AG68" s="106">
        <f t="shared" si="12"/>
        <v>178000</v>
      </c>
      <c r="AH68" s="107">
        <f t="shared" si="13"/>
        <v>355000</v>
      </c>
      <c r="AI68" s="108">
        <f t="shared" si="14"/>
        <v>3013700</v>
      </c>
      <c r="AJ68" s="116">
        <f t="shared" si="15"/>
        <v>3165000</v>
      </c>
      <c r="AK68" s="109">
        <f t="shared" si="1"/>
        <v>2456000</v>
      </c>
      <c r="AN68" s="22" t="s">
        <v>374</v>
      </c>
      <c r="AO68" s="189" t="s">
        <v>374</v>
      </c>
      <c r="AP68" s="190" t="s">
        <v>52</v>
      </c>
      <c r="AQ68" s="190" t="s">
        <v>124</v>
      </c>
      <c r="AR68" s="111">
        <v>4876400</v>
      </c>
      <c r="AS68" s="112">
        <f t="shared" si="2"/>
        <v>3414000</v>
      </c>
      <c r="AT68" s="113">
        <f t="shared" si="3"/>
        <v>488000</v>
      </c>
      <c r="AU68" s="114">
        <f t="shared" si="4"/>
        <v>976000</v>
      </c>
      <c r="AV68" s="115">
        <f t="shared" si="16"/>
        <v>9754400</v>
      </c>
      <c r="AW68" s="114">
        <f t="shared" si="5"/>
        <v>10243000</v>
      </c>
      <c r="AX68" s="175">
        <f t="shared" si="6"/>
        <v>6829000</v>
      </c>
      <c r="BK68" s="80" t="s">
        <v>139</v>
      </c>
      <c r="BL68" s="81">
        <f>(72429200*15%)+72429200</f>
        <v>83293580</v>
      </c>
      <c r="BM68" s="228">
        <f>ROUNDUP(BL68*$BO$63,-3)</f>
        <v>87459000</v>
      </c>
      <c r="CG68" s="152"/>
      <c r="CH68" s="153"/>
      <c r="CI68" s="170" t="s">
        <v>118</v>
      </c>
      <c r="CJ68" s="148" t="s">
        <v>119</v>
      </c>
      <c r="CK68" s="171">
        <v>611223</v>
      </c>
      <c r="CL68" s="172">
        <f t="shared" si="72"/>
        <v>734000</v>
      </c>
      <c r="CM68" s="173">
        <f>SUM(CL65:CL68)</f>
        <v>77243000</v>
      </c>
      <c r="CZ68" s="324" t="s">
        <v>375</v>
      </c>
      <c r="DA68" s="347" t="s">
        <v>376</v>
      </c>
      <c r="DB68" s="325">
        <v>45</v>
      </c>
      <c r="DC68" s="332">
        <v>11600</v>
      </c>
      <c r="DD68" s="333"/>
      <c r="DE68" s="332">
        <f t="shared" si="78"/>
        <v>16000</v>
      </c>
      <c r="DF68" s="333"/>
      <c r="DG68" s="332">
        <f t="shared" si="79"/>
        <v>8000</v>
      </c>
      <c r="DH68" s="333"/>
      <c r="DK68" s="287">
        <v>25</v>
      </c>
      <c r="DL68" s="156" t="s">
        <v>75</v>
      </c>
      <c r="DM68" s="156">
        <v>80</v>
      </c>
      <c r="DN68" s="265">
        <v>4700</v>
      </c>
      <c r="DO68" s="328"/>
      <c r="DP68" s="328">
        <f t="shared" si="84"/>
        <v>7000</v>
      </c>
      <c r="DQ68" s="329"/>
      <c r="DR68" s="328">
        <f t="shared" si="85"/>
        <v>3000</v>
      </c>
      <c r="DS68" s="330"/>
      <c r="DT68" s="161"/>
      <c r="DU68" s="161"/>
      <c r="DW68" s="161"/>
      <c r="DX68" s="351" t="s">
        <v>377</v>
      </c>
      <c r="DY68" s="351"/>
      <c r="DZ68" s="351"/>
      <c r="EA68" s="351"/>
      <c r="ED68" s="251" t="s">
        <v>250</v>
      </c>
      <c r="EE68" s="162">
        <v>6306</v>
      </c>
      <c r="EF68" s="162">
        <v>7000</v>
      </c>
      <c r="EG68" s="286">
        <f t="shared" si="86"/>
        <v>9450</v>
      </c>
    </row>
    <row r="69" spans="3:142" ht="15" thickBot="1">
      <c r="C69" s="23"/>
      <c r="D69" s="23">
        <f>300+8</f>
        <v>308</v>
      </c>
      <c r="E69" s="23">
        <f>250+8</f>
        <v>258</v>
      </c>
      <c r="F69" s="23">
        <f>200+8</f>
        <v>208</v>
      </c>
      <c r="G69" s="23">
        <f>150+8</f>
        <v>158</v>
      </c>
      <c r="H69" s="23">
        <f>125+8</f>
        <v>133</v>
      </c>
      <c r="I69" s="23">
        <f>100+8</f>
        <v>108</v>
      </c>
      <c r="J69" s="23">
        <f>80+8</f>
        <v>88</v>
      </c>
      <c r="K69" s="23">
        <f>65+8</f>
        <v>73</v>
      </c>
      <c r="L69" s="23">
        <f>50+8</f>
        <v>58</v>
      </c>
      <c r="M69" s="23">
        <f>40+8</f>
        <v>48</v>
      </c>
      <c r="N69" s="23">
        <f>32+8</f>
        <v>40</v>
      </c>
      <c r="O69" s="23">
        <f>25+8</f>
        <v>33</v>
      </c>
      <c r="P69" s="23">
        <f>20+8</f>
        <v>28</v>
      </c>
      <c r="Q69" s="23">
        <f>15+8</f>
        <v>23</v>
      </c>
      <c r="R69" s="23"/>
      <c r="AA69" s="175"/>
      <c r="AB69" s="103" t="s">
        <v>374</v>
      </c>
      <c r="AC69" s="52" t="s">
        <v>52</v>
      </c>
      <c r="AD69" s="104" t="s">
        <v>132</v>
      </c>
      <c r="AE69" s="105">
        <v>1856400</v>
      </c>
      <c r="AF69" s="106">
        <f t="shared" si="11"/>
        <v>743000</v>
      </c>
      <c r="AG69" s="106">
        <f t="shared" si="12"/>
        <v>186000</v>
      </c>
      <c r="AH69" s="107">
        <f t="shared" si="13"/>
        <v>372000</v>
      </c>
      <c r="AI69" s="108">
        <f t="shared" si="14"/>
        <v>3157400</v>
      </c>
      <c r="AJ69" s="116">
        <f t="shared" si="15"/>
        <v>3316000</v>
      </c>
      <c r="AK69" s="175">
        <f t="shared" si="1"/>
        <v>2573000</v>
      </c>
      <c r="AN69" s="175"/>
      <c r="AO69" s="103" t="s">
        <v>374</v>
      </c>
      <c r="AP69" s="52" t="s">
        <v>52</v>
      </c>
      <c r="AQ69" s="52" t="s">
        <v>132</v>
      </c>
      <c r="AR69" s="267">
        <v>4876400</v>
      </c>
      <c r="AS69" s="268">
        <f t="shared" si="2"/>
        <v>3414000</v>
      </c>
      <c r="AT69" s="117">
        <f t="shared" si="3"/>
        <v>488000</v>
      </c>
      <c r="AU69" s="106">
        <f t="shared" si="4"/>
        <v>976000</v>
      </c>
      <c r="AV69" s="177">
        <f t="shared" si="16"/>
        <v>9754400</v>
      </c>
      <c r="AW69" s="106">
        <f t="shared" si="5"/>
        <v>10243000</v>
      </c>
      <c r="AX69" s="175">
        <f t="shared" si="6"/>
        <v>6829000</v>
      </c>
      <c r="BK69" s="178" t="s">
        <v>347</v>
      </c>
      <c r="BL69" s="179">
        <f>(164733450*15%)+164733450</f>
        <v>189443467.5</v>
      </c>
      <c r="BM69" s="145">
        <f>ROUNDUP(BL69*$BO$63,-3)</f>
        <v>198916000</v>
      </c>
      <c r="CG69" s="76">
        <v>8</v>
      </c>
      <c r="CH69" s="78" t="s">
        <v>124</v>
      </c>
      <c r="CI69" s="84" t="s">
        <v>237</v>
      </c>
      <c r="CJ69" s="85" t="s">
        <v>238</v>
      </c>
      <c r="CK69" s="86">
        <v>61532620</v>
      </c>
      <c r="CL69" s="87">
        <f t="shared" si="72"/>
        <v>73840000</v>
      </c>
      <c r="CM69" s="180"/>
      <c r="CZ69" s="324" t="s">
        <v>378</v>
      </c>
      <c r="DA69" s="347" t="s">
        <v>379</v>
      </c>
      <c r="DB69" s="325">
        <v>40</v>
      </c>
      <c r="DC69" s="332">
        <v>12400</v>
      </c>
      <c r="DD69" s="333"/>
      <c r="DE69" s="332">
        <f t="shared" si="78"/>
        <v>17000</v>
      </c>
      <c r="DF69" s="333"/>
      <c r="DG69" s="332">
        <f t="shared" si="79"/>
        <v>8000</v>
      </c>
      <c r="DH69" s="333"/>
      <c r="DK69" s="287">
        <v>35</v>
      </c>
      <c r="DL69" s="156" t="s">
        <v>380</v>
      </c>
      <c r="DM69" s="156">
        <v>40</v>
      </c>
      <c r="DN69" s="265">
        <v>8100</v>
      </c>
      <c r="DO69" s="328"/>
      <c r="DP69" s="328">
        <f t="shared" si="84"/>
        <v>11000</v>
      </c>
      <c r="DQ69" s="329"/>
      <c r="DR69" s="328">
        <f t="shared" si="85"/>
        <v>4000</v>
      </c>
      <c r="DS69" s="330"/>
      <c r="DT69" s="161"/>
      <c r="DU69" s="161"/>
      <c r="DV69" s="161"/>
      <c r="DW69" s="161"/>
      <c r="DX69" s="376" t="s">
        <v>65</v>
      </c>
      <c r="DY69" s="281" t="s">
        <v>248</v>
      </c>
      <c r="DZ69" s="281" t="s">
        <v>249</v>
      </c>
      <c r="EA69" s="375" t="s">
        <v>91</v>
      </c>
      <c r="ED69" s="251" t="s">
        <v>254</v>
      </c>
      <c r="EE69" s="162">
        <v>8108</v>
      </c>
      <c r="EF69" s="162">
        <v>9000</v>
      </c>
      <c r="EG69" s="286">
        <f t="shared" si="86"/>
        <v>12150</v>
      </c>
    </row>
    <row r="70" spans="3:142">
      <c r="C70" s="23"/>
      <c r="D70" s="244" t="s">
        <v>139</v>
      </c>
      <c r="E70" s="244" t="s">
        <v>136</v>
      </c>
      <c r="F70" s="244" t="s">
        <v>132</v>
      </c>
      <c r="G70" s="244" t="s">
        <v>124</v>
      </c>
      <c r="H70" s="244" t="s">
        <v>117</v>
      </c>
      <c r="I70" s="244" t="s">
        <v>108</v>
      </c>
      <c r="J70" s="244" t="s">
        <v>77</v>
      </c>
      <c r="K70" s="244" t="s">
        <v>57</v>
      </c>
      <c r="L70" s="244" t="s">
        <v>40</v>
      </c>
      <c r="M70" s="244" t="s">
        <v>125</v>
      </c>
      <c r="N70" s="244" t="s">
        <v>59</v>
      </c>
      <c r="O70" s="244" t="s">
        <v>75</v>
      </c>
      <c r="P70" s="244" t="s">
        <v>51</v>
      </c>
      <c r="Q70" s="244" t="s">
        <v>53</v>
      </c>
      <c r="R70" s="23"/>
      <c r="AA70" s="175"/>
      <c r="AB70" s="103" t="s">
        <v>374</v>
      </c>
      <c r="AC70" s="52" t="s">
        <v>52</v>
      </c>
      <c r="AD70" s="104" t="s">
        <v>136</v>
      </c>
      <c r="AE70" s="105">
        <v>2002700</v>
      </c>
      <c r="AF70" s="106">
        <f t="shared" si="11"/>
        <v>802000</v>
      </c>
      <c r="AG70" s="106">
        <f t="shared" si="12"/>
        <v>201000</v>
      </c>
      <c r="AH70" s="107">
        <f t="shared" si="13"/>
        <v>401000</v>
      </c>
      <c r="AI70" s="108">
        <f t="shared" si="14"/>
        <v>3406700</v>
      </c>
      <c r="AJ70" s="116">
        <f t="shared" si="15"/>
        <v>3578000</v>
      </c>
      <c r="AK70" s="175">
        <f t="shared" ref="AK70:AK90" si="87">AJ70-AF70</f>
        <v>2776000</v>
      </c>
      <c r="AN70" s="175"/>
      <c r="AO70" s="103" t="s">
        <v>374</v>
      </c>
      <c r="AP70" s="52" t="s">
        <v>52</v>
      </c>
      <c r="AQ70" s="52" t="s">
        <v>136</v>
      </c>
      <c r="AR70" s="267">
        <v>4876400</v>
      </c>
      <c r="AS70" s="268">
        <f>ROUNDUP(AR70*$AY$3,-3)</f>
        <v>3414000</v>
      </c>
      <c r="AT70" s="117">
        <f>ROUNDUP(AR70*$AY$4,-3)</f>
        <v>488000</v>
      </c>
      <c r="AU70" s="106">
        <f>ROUNDUP(AR70*$AY$5,-3)</f>
        <v>976000</v>
      </c>
      <c r="AV70" s="177">
        <f t="shared" si="16"/>
        <v>9754400</v>
      </c>
      <c r="AW70" s="106">
        <f>ROUNDUP(AV70*$AY$7,-3)</f>
        <v>10243000</v>
      </c>
      <c r="AX70" s="175">
        <f t="shared" ref="AX70:AX72" si="88">AW70-AS70</f>
        <v>6829000</v>
      </c>
      <c r="CG70" s="76"/>
      <c r="CH70" s="78"/>
      <c r="CI70" s="118" t="s">
        <v>213</v>
      </c>
      <c r="CJ70" s="119" t="s">
        <v>214</v>
      </c>
      <c r="CK70" s="120">
        <v>11746044</v>
      </c>
      <c r="CL70" s="121">
        <f t="shared" si="72"/>
        <v>14096000</v>
      </c>
      <c r="CM70" s="88"/>
      <c r="CZ70" s="324" t="s">
        <v>381</v>
      </c>
      <c r="DA70" s="347" t="s">
        <v>382</v>
      </c>
      <c r="DB70" s="325">
        <v>20</v>
      </c>
      <c r="DC70" s="332">
        <v>17900</v>
      </c>
      <c r="DD70" s="333"/>
      <c r="DE70" s="332">
        <f t="shared" si="78"/>
        <v>25000</v>
      </c>
      <c r="DF70" s="333"/>
      <c r="DG70" s="332">
        <f t="shared" si="79"/>
        <v>12000</v>
      </c>
      <c r="DH70" s="333"/>
      <c r="DK70" s="287">
        <v>40</v>
      </c>
      <c r="DL70" s="156" t="s">
        <v>383</v>
      </c>
      <c r="DM70" s="156">
        <v>25</v>
      </c>
      <c r="DN70" s="265">
        <v>11200</v>
      </c>
      <c r="DO70" s="328"/>
      <c r="DP70" s="328">
        <f t="shared" si="84"/>
        <v>16000</v>
      </c>
      <c r="DQ70" s="329"/>
      <c r="DR70" s="328">
        <f t="shared" si="85"/>
        <v>6000</v>
      </c>
      <c r="DS70" s="330"/>
      <c r="DT70" s="161"/>
      <c r="DU70" s="161"/>
      <c r="DV70" s="161"/>
      <c r="DW70" s="161"/>
      <c r="DX70" s="311" t="s">
        <v>244</v>
      </c>
      <c r="DY70" s="162">
        <v>6036</v>
      </c>
      <c r="DZ70" s="162">
        <v>6700</v>
      </c>
      <c r="EA70" s="286">
        <f>DZ70*$DW$4</f>
        <v>9045</v>
      </c>
      <c r="ED70" s="251" t="s">
        <v>262</v>
      </c>
      <c r="EE70" s="162">
        <v>11982</v>
      </c>
      <c r="EF70" s="162">
        <v>13300</v>
      </c>
      <c r="EG70" s="286">
        <f t="shared" si="86"/>
        <v>17955</v>
      </c>
    </row>
    <row r="71" spans="3:142" ht="21.6" thickBot="1">
      <c r="C71" s="249" t="s">
        <v>384</v>
      </c>
      <c r="D71" s="105">
        <f>ROUNDUP(((8383400/6)*10%)+(8383400/6),-3)</f>
        <v>1537000</v>
      </c>
      <c r="E71" s="105">
        <f>ROUNDUP(((6341500/6)*10%)+(6341500/6),-3)</f>
        <v>1163000</v>
      </c>
      <c r="F71" s="105">
        <f>ROUNDUP(((5498000/6)*10%)+(5498000/6),-3)</f>
        <v>1008000</v>
      </c>
      <c r="G71" s="105">
        <f>ROUNDUP(((3595000/6)*10%)+(3595000/6),-3)</f>
        <v>660000</v>
      </c>
      <c r="H71" s="105">
        <f>ROUNDUP(((2786000/6)*10%)+(2786000/6),-3)</f>
        <v>511000</v>
      </c>
      <c r="I71" s="105">
        <f>ROUNDUP(((2054000/6)*10%)+(2054000/6),-3)</f>
        <v>377000</v>
      </c>
      <c r="J71" s="105">
        <f>ROUNDUP(((1447000/6)*10%)+(1447000/6),-3)</f>
        <v>266000</v>
      </c>
      <c r="K71" s="105">
        <f>ROUNDUP(((1109000/6)*10%)+(1109000/6),-3)</f>
        <v>204000</v>
      </c>
      <c r="L71" s="105">
        <f>ROUNDUP(((695000/6)*10%)+(695000/6),-3)</f>
        <v>128000</v>
      </c>
      <c r="M71" s="105">
        <f>ROUNDUP(((521000/6)*10%)+(521000/6),-3)</f>
        <v>96000</v>
      </c>
      <c r="N71" s="105">
        <f>ROUNDUP(((438000/6)*10%)+(438000/6),-3)</f>
        <v>81000</v>
      </c>
      <c r="O71" s="105">
        <f>ROUNDUP(((321000/6)*10%)+(321000/6),-3)</f>
        <v>59000</v>
      </c>
      <c r="P71" s="105">
        <f>ROUNDUP(((224000/6)*10%)+(224000/6),-3)</f>
        <v>42000</v>
      </c>
      <c r="Q71" s="105">
        <f>ROUNDUP(((168500/6)*10%)+(168500/6),-3)</f>
        <v>31000</v>
      </c>
      <c r="R71" s="250"/>
      <c r="AA71" s="175"/>
      <c r="AB71" s="103" t="s">
        <v>374</v>
      </c>
      <c r="AC71" s="52" t="s">
        <v>52</v>
      </c>
      <c r="AD71" s="104" t="s">
        <v>139</v>
      </c>
      <c r="AE71" s="105">
        <v>2118200</v>
      </c>
      <c r="AF71" s="106">
        <f t="shared" ref="AF71:AF90" si="89">ROUNDUP(AE71*$AL$3,-3)</f>
        <v>848000</v>
      </c>
      <c r="AG71" s="106">
        <f t="shared" ref="AG71:AG90" si="90">ROUNDUP(AE71*$AL$4,-3)</f>
        <v>212000</v>
      </c>
      <c r="AH71" s="107">
        <f t="shared" ref="AH71:AH90" si="91">ROUNDUP(AE71*$AL$5,-3)</f>
        <v>424000</v>
      </c>
      <c r="AI71" s="108">
        <f t="shared" ref="AI71:AI90" si="92">SUM(AE71:AH71)</f>
        <v>3602200</v>
      </c>
      <c r="AJ71" s="116">
        <f t="shared" ref="AJ71:AJ90" si="93">ROUNDUP(AI71*$AL$7,-3)</f>
        <v>3783000</v>
      </c>
      <c r="AK71" s="175">
        <f t="shared" si="87"/>
        <v>2935000</v>
      </c>
      <c r="AN71" s="175"/>
      <c r="AO71" s="103" t="s">
        <v>374</v>
      </c>
      <c r="AP71" s="52" t="s">
        <v>52</v>
      </c>
      <c r="AQ71" s="52" t="s">
        <v>139</v>
      </c>
      <c r="AR71" s="267">
        <v>4876400</v>
      </c>
      <c r="AS71" s="268">
        <f>ROUNDUP(AR71*$AY$3,-3)</f>
        <v>3414000</v>
      </c>
      <c r="AT71" s="117">
        <f>ROUNDUP(AR71*$AY$4,-3)</f>
        <v>488000</v>
      </c>
      <c r="AU71" s="106">
        <f>ROUNDUP(AR71*$AY$5,-3)</f>
        <v>976000</v>
      </c>
      <c r="AV71" s="177">
        <f>SUM(AR71:AU71)</f>
        <v>9754400</v>
      </c>
      <c r="AW71" s="106">
        <f>ROUNDUP(AV71*$AY$7,-3)</f>
        <v>10243000</v>
      </c>
      <c r="AX71" s="175">
        <f t="shared" si="88"/>
        <v>6829000</v>
      </c>
      <c r="BJ71" s="261" t="s">
        <v>385</v>
      </c>
      <c r="BK71" s="261"/>
      <c r="BL71" s="261"/>
      <c r="BM71" s="261"/>
      <c r="BN71" s="261"/>
      <c r="BT71" s="377" t="s">
        <v>386</v>
      </c>
      <c r="BU71" s="377"/>
      <c r="BV71" s="377"/>
      <c r="BW71" s="377"/>
      <c r="BX71" s="377"/>
      <c r="BY71" s="377"/>
      <c r="BZ71" s="377"/>
      <c r="CG71" s="76"/>
      <c r="CH71" s="78"/>
      <c r="CI71" s="118" t="s">
        <v>110</v>
      </c>
      <c r="CJ71" s="119" t="s">
        <v>111</v>
      </c>
      <c r="CK71" s="120">
        <v>1711285</v>
      </c>
      <c r="CL71" s="121">
        <f t="shared" si="72"/>
        <v>2054000</v>
      </c>
      <c r="CM71" s="88"/>
      <c r="CZ71" s="324" t="s">
        <v>387</v>
      </c>
      <c r="DA71" s="347" t="s">
        <v>388</v>
      </c>
      <c r="DB71" s="325">
        <v>20</v>
      </c>
      <c r="DC71" s="332">
        <v>19400</v>
      </c>
      <c r="DD71" s="333"/>
      <c r="DE71" s="332">
        <f t="shared" si="78"/>
        <v>27000</v>
      </c>
      <c r="DF71" s="333"/>
      <c r="DG71" s="332">
        <f t="shared" si="79"/>
        <v>13000</v>
      </c>
      <c r="DH71" s="333"/>
      <c r="DK71" s="287">
        <v>50</v>
      </c>
      <c r="DL71" s="378" t="s">
        <v>40</v>
      </c>
      <c r="DM71" s="156">
        <v>18</v>
      </c>
      <c r="DN71" s="265">
        <v>16900</v>
      </c>
      <c r="DO71" s="328"/>
      <c r="DP71" s="328">
        <f t="shared" si="84"/>
        <v>23000</v>
      </c>
      <c r="DQ71" s="329"/>
      <c r="DR71" s="328">
        <f t="shared" si="85"/>
        <v>8000</v>
      </c>
      <c r="DS71" s="330"/>
      <c r="DT71" s="161"/>
      <c r="DU71" s="161"/>
      <c r="DV71" s="161"/>
      <c r="DW71" s="161"/>
      <c r="DX71" s="311" t="s">
        <v>389</v>
      </c>
      <c r="DY71" s="162">
        <v>6216</v>
      </c>
      <c r="DZ71" s="162">
        <v>6900</v>
      </c>
      <c r="EA71" s="286">
        <f>DZ71*$DW$4</f>
        <v>9315</v>
      </c>
      <c r="ED71" s="251" t="s">
        <v>270</v>
      </c>
      <c r="EE71" s="162">
        <v>14144</v>
      </c>
      <c r="EF71" s="162">
        <v>15700</v>
      </c>
      <c r="EG71" s="286">
        <f t="shared" si="86"/>
        <v>21195</v>
      </c>
    </row>
    <row r="72" spans="3:142" ht="15" thickBot="1">
      <c r="C72" s="23" t="s">
        <v>12</v>
      </c>
      <c r="D72" s="107">
        <f t="shared" ref="D72:Q72" si="94">ROUNDUP(($BI$11/(1100/D69)),-3)</f>
        <v>147000</v>
      </c>
      <c r="E72" s="107">
        <f t="shared" si="94"/>
        <v>123000</v>
      </c>
      <c r="F72" s="107">
        <f t="shared" si="94"/>
        <v>99000</v>
      </c>
      <c r="G72" s="107">
        <f t="shared" si="94"/>
        <v>75000</v>
      </c>
      <c r="H72" s="107">
        <f t="shared" si="94"/>
        <v>64000</v>
      </c>
      <c r="I72" s="107">
        <f t="shared" si="94"/>
        <v>52000</v>
      </c>
      <c r="J72" s="107">
        <f t="shared" si="94"/>
        <v>42000</v>
      </c>
      <c r="K72" s="107">
        <f t="shared" si="94"/>
        <v>35000</v>
      </c>
      <c r="L72" s="107">
        <f t="shared" si="94"/>
        <v>28000</v>
      </c>
      <c r="M72" s="107">
        <f t="shared" si="94"/>
        <v>23000</v>
      </c>
      <c r="N72" s="107">
        <f t="shared" si="94"/>
        <v>19000</v>
      </c>
      <c r="O72" s="107">
        <f t="shared" si="94"/>
        <v>16000</v>
      </c>
      <c r="P72" s="107">
        <f t="shared" si="94"/>
        <v>14000</v>
      </c>
      <c r="Q72" s="107">
        <f t="shared" si="94"/>
        <v>11000</v>
      </c>
      <c r="R72" s="23"/>
      <c r="T72" s="107"/>
      <c r="AA72" s="148"/>
      <c r="AB72" s="141" t="s">
        <v>374</v>
      </c>
      <c r="AC72" s="142" t="s">
        <v>52</v>
      </c>
      <c r="AD72" s="143" t="s">
        <v>347</v>
      </c>
      <c r="AE72" s="144">
        <v>2233700</v>
      </c>
      <c r="AF72" s="145">
        <f t="shared" si="89"/>
        <v>894000</v>
      </c>
      <c r="AG72" s="145">
        <f t="shared" si="90"/>
        <v>224000</v>
      </c>
      <c r="AH72" s="146">
        <f t="shared" si="91"/>
        <v>447000</v>
      </c>
      <c r="AI72" s="147">
        <f t="shared" si="92"/>
        <v>3798700</v>
      </c>
      <c r="AJ72" s="205">
        <f t="shared" si="93"/>
        <v>3989000</v>
      </c>
      <c r="AK72" s="148">
        <f t="shared" si="87"/>
        <v>3095000</v>
      </c>
      <c r="AN72" s="148"/>
      <c r="AO72" s="141" t="s">
        <v>374</v>
      </c>
      <c r="AP72" s="142" t="s">
        <v>52</v>
      </c>
      <c r="AQ72" s="142" t="s">
        <v>347</v>
      </c>
      <c r="AR72" s="149">
        <v>4876400</v>
      </c>
      <c r="AS72" s="150">
        <f>ROUNDUP(AR72*$AY$3,-3)</f>
        <v>3414000</v>
      </c>
      <c r="AT72" s="146">
        <f>ROUNDUP(AR72*$AY$4,-3)</f>
        <v>488000</v>
      </c>
      <c r="AU72" s="145">
        <f>ROUNDUP(AR72*$AY$5,-3)</f>
        <v>976000</v>
      </c>
      <c r="AV72" s="151">
        <f>SUM(AR72:AU72)</f>
        <v>9754400</v>
      </c>
      <c r="AW72" s="145">
        <f>ROUNDUP(AV72*$AY$7,-3)</f>
        <v>10243000</v>
      </c>
      <c r="AX72" s="148">
        <f t="shared" si="88"/>
        <v>6829000</v>
      </c>
      <c r="BK72" s="29" t="s">
        <v>21</v>
      </c>
      <c r="BL72" s="30" t="s">
        <v>22</v>
      </c>
      <c r="BM72" s="31" t="s">
        <v>23</v>
      </c>
      <c r="BR72" s="379" t="s">
        <v>390</v>
      </c>
      <c r="BS72" s="380"/>
      <c r="BT72" s="381" t="s">
        <v>252</v>
      </c>
      <c r="BU72" s="381" t="s">
        <v>77</v>
      </c>
      <c r="BV72" s="381" t="s">
        <v>108</v>
      </c>
      <c r="BW72" s="381" t="s">
        <v>117</v>
      </c>
      <c r="BX72" s="381" t="s">
        <v>124</v>
      </c>
      <c r="BY72" s="381" t="s">
        <v>132</v>
      </c>
      <c r="BZ72" s="382" t="s">
        <v>136</v>
      </c>
      <c r="CA72" s="382" t="s">
        <v>139</v>
      </c>
      <c r="CB72" s="383">
        <v>1.35</v>
      </c>
      <c r="CC72" s="383"/>
      <c r="CG72" s="152"/>
      <c r="CH72" s="153"/>
      <c r="CI72" s="170" t="s">
        <v>118</v>
      </c>
      <c r="CJ72" s="148" t="s">
        <v>119</v>
      </c>
      <c r="CK72" s="171">
        <v>611223</v>
      </c>
      <c r="CL72" s="172">
        <f t="shared" si="72"/>
        <v>734000</v>
      </c>
      <c r="CM72" s="173">
        <f>SUM(CL69:CL72)</f>
        <v>90724000</v>
      </c>
      <c r="CZ72" s="324" t="s">
        <v>391</v>
      </c>
      <c r="DA72" s="347" t="s">
        <v>392</v>
      </c>
      <c r="DB72" s="325">
        <v>20</v>
      </c>
      <c r="DC72" s="332">
        <v>14400</v>
      </c>
      <c r="DD72" s="333"/>
      <c r="DE72" s="332">
        <f t="shared" si="78"/>
        <v>20000</v>
      </c>
      <c r="DF72" s="333"/>
      <c r="DG72" s="332">
        <f t="shared" si="79"/>
        <v>9000</v>
      </c>
      <c r="DH72" s="333"/>
      <c r="DK72" s="287">
        <v>65</v>
      </c>
      <c r="DL72" s="378" t="s">
        <v>322</v>
      </c>
      <c r="DM72" s="156">
        <v>28</v>
      </c>
      <c r="DN72" s="265">
        <v>26700</v>
      </c>
      <c r="DO72" s="328"/>
      <c r="DP72" s="328">
        <f t="shared" si="84"/>
        <v>37000</v>
      </c>
      <c r="DQ72" s="329"/>
      <c r="DR72" s="328">
        <f t="shared" si="85"/>
        <v>13000</v>
      </c>
      <c r="DS72" s="330"/>
      <c r="DT72" s="161"/>
      <c r="DU72" s="161"/>
      <c r="DV72" s="161"/>
      <c r="DW72" s="161"/>
      <c r="DX72" s="331" t="s">
        <v>393</v>
      </c>
      <c r="DY72" s="216">
        <v>7027</v>
      </c>
      <c r="DZ72" s="216">
        <v>7800</v>
      </c>
      <c r="EA72" s="298">
        <f>DZ72*$DW$4</f>
        <v>10530</v>
      </c>
      <c r="ED72" s="254" t="s">
        <v>284</v>
      </c>
      <c r="EE72" s="216">
        <v>21351</v>
      </c>
      <c r="EF72" s="216">
        <v>23700</v>
      </c>
      <c r="EG72" s="298">
        <f t="shared" si="86"/>
        <v>31995.000000000004</v>
      </c>
    </row>
    <row r="73" spans="3:142">
      <c r="C73" s="23" t="s">
        <v>13</v>
      </c>
      <c r="D73" s="107">
        <f t="shared" ref="D73:Q73" si="95">ROUNDUP(D71*$R$73,-3)</f>
        <v>615000</v>
      </c>
      <c r="E73" s="107">
        <f t="shared" si="95"/>
        <v>466000</v>
      </c>
      <c r="F73" s="107">
        <f t="shared" si="95"/>
        <v>404000</v>
      </c>
      <c r="G73" s="107">
        <f t="shared" si="95"/>
        <v>264000</v>
      </c>
      <c r="H73" s="107">
        <f t="shared" si="95"/>
        <v>205000</v>
      </c>
      <c r="I73" s="107">
        <f t="shared" si="95"/>
        <v>151000</v>
      </c>
      <c r="J73" s="107">
        <f t="shared" si="95"/>
        <v>107000</v>
      </c>
      <c r="K73" s="107">
        <f t="shared" si="95"/>
        <v>82000</v>
      </c>
      <c r="L73" s="107">
        <f t="shared" si="95"/>
        <v>52000</v>
      </c>
      <c r="M73" s="107">
        <f t="shared" si="95"/>
        <v>39000</v>
      </c>
      <c r="N73" s="107">
        <f t="shared" si="95"/>
        <v>33000</v>
      </c>
      <c r="O73" s="107">
        <f t="shared" si="95"/>
        <v>24000</v>
      </c>
      <c r="P73" s="107">
        <f t="shared" si="95"/>
        <v>17000</v>
      </c>
      <c r="Q73" s="107">
        <f t="shared" si="95"/>
        <v>13000</v>
      </c>
      <c r="R73" s="23">
        <v>0.4</v>
      </c>
      <c r="T73" s="107"/>
      <c r="AA73" s="46" t="s">
        <v>394</v>
      </c>
      <c r="AB73" s="103" t="s">
        <v>394</v>
      </c>
      <c r="AC73" s="52" t="s">
        <v>52</v>
      </c>
      <c r="AD73" s="104" t="s">
        <v>132</v>
      </c>
      <c r="AE73" s="105">
        <v>2464700</v>
      </c>
      <c r="AF73" s="106">
        <f t="shared" si="89"/>
        <v>986000</v>
      </c>
      <c r="AG73" s="106">
        <f t="shared" si="90"/>
        <v>247000</v>
      </c>
      <c r="AH73" s="107">
        <f t="shared" si="91"/>
        <v>493000</v>
      </c>
      <c r="AI73" s="108">
        <f t="shared" si="92"/>
        <v>4190700</v>
      </c>
      <c r="AJ73" s="116">
        <f t="shared" si="93"/>
        <v>4401000</v>
      </c>
      <c r="AK73" s="109">
        <f t="shared" si="87"/>
        <v>3415000</v>
      </c>
      <c r="BK73" s="53" t="s">
        <v>53</v>
      </c>
      <c r="BL73" s="54">
        <f>(458150*15%)+458150</f>
        <v>526872.5</v>
      </c>
      <c r="BM73" s="55">
        <f>ROUNDUP(BL73*$BO$77,-3)</f>
        <v>633000</v>
      </c>
      <c r="BO73" s="23">
        <v>0.4</v>
      </c>
      <c r="BR73" s="384" t="s">
        <v>395</v>
      </c>
      <c r="BS73" s="385" t="s">
        <v>396</v>
      </c>
      <c r="BT73" s="55">
        <v>88000</v>
      </c>
      <c r="BU73" s="55">
        <v>126000</v>
      </c>
      <c r="BV73" s="55">
        <v>233000</v>
      </c>
      <c r="BW73" s="55">
        <v>370000</v>
      </c>
      <c r="BX73" s="55">
        <v>513000</v>
      </c>
      <c r="BY73" s="55">
        <v>1067000</v>
      </c>
      <c r="BZ73" s="55">
        <v>2051000</v>
      </c>
      <c r="CA73" s="55">
        <v>2801000</v>
      </c>
      <c r="CB73" s="117"/>
      <c r="CC73" s="117"/>
      <c r="CZ73" s="324" t="s">
        <v>397</v>
      </c>
      <c r="DA73" s="347" t="s">
        <v>398</v>
      </c>
      <c r="DB73" s="325">
        <v>16</v>
      </c>
      <c r="DC73" s="332">
        <v>14900</v>
      </c>
      <c r="DD73" s="333"/>
      <c r="DE73" s="332">
        <f t="shared" si="78"/>
        <v>21000</v>
      </c>
      <c r="DF73" s="333"/>
      <c r="DG73" s="332">
        <f t="shared" si="79"/>
        <v>10000</v>
      </c>
      <c r="DH73" s="333"/>
      <c r="DK73" s="287">
        <v>75</v>
      </c>
      <c r="DL73" s="378" t="s">
        <v>77</v>
      </c>
      <c r="DM73" s="156">
        <v>16</v>
      </c>
      <c r="DN73" s="265">
        <v>44400</v>
      </c>
      <c r="DO73" s="328"/>
      <c r="DP73" s="328">
        <f t="shared" si="84"/>
        <v>60000</v>
      </c>
      <c r="DQ73" s="329"/>
      <c r="DR73" s="328">
        <f t="shared" si="85"/>
        <v>20000</v>
      </c>
      <c r="DS73" s="330"/>
      <c r="DT73" s="161"/>
      <c r="DU73" s="161"/>
      <c r="DV73" s="161"/>
      <c r="DW73" s="161"/>
    </row>
    <row r="74" spans="3:142">
      <c r="C74" s="23" t="s">
        <v>208</v>
      </c>
      <c r="D74" s="107">
        <f t="shared" ref="D74:Q74" si="96">ROUNDUP(D71*$R$74,-3)</f>
        <v>308000</v>
      </c>
      <c r="E74" s="107">
        <f t="shared" si="96"/>
        <v>233000</v>
      </c>
      <c r="F74" s="107">
        <f t="shared" si="96"/>
        <v>202000</v>
      </c>
      <c r="G74" s="107">
        <f t="shared" si="96"/>
        <v>132000</v>
      </c>
      <c r="H74" s="107">
        <f t="shared" si="96"/>
        <v>103000</v>
      </c>
      <c r="I74" s="107">
        <f t="shared" si="96"/>
        <v>76000</v>
      </c>
      <c r="J74" s="107">
        <f t="shared" si="96"/>
        <v>54000</v>
      </c>
      <c r="K74" s="107">
        <f t="shared" si="96"/>
        <v>41000</v>
      </c>
      <c r="L74" s="107">
        <f t="shared" si="96"/>
        <v>26000</v>
      </c>
      <c r="M74" s="107">
        <f t="shared" si="96"/>
        <v>20000</v>
      </c>
      <c r="N74" s="107">
        <f t="shared" si="96"/>
        <v>17000</v>
      </c>
      <c r="O74" s="107">
        <f t="shared" si="96"/>
        <v>12000</v>
      </c>
      <c r="P74" s="107">
        <f t="shared" si="96"/>
        <v>9000</v>
      </c>
      <c r="Q74" s="107">
        <f t="shared" si="96"/>
        <v>7000</v>
      </c>
      <c r="R74" s="23">
        <v>0.2</v>
      </c>
      <c r="AA74" s="175"/>
      <c r="AB74" s="103" t="s">
        <v>394</v>
      </c>
      <c r="AC74" s="52" t="s">
        <v>52</v>
      </c>
      <c r="AD74" s="104" t="s">
        <v>136</v>
      </c>
      <c r="AE74" s="105">
        <v>2657200</v>
      </c>
      <c r="AF74" s="106">
        <f t="shared" si="89"/>
        <v>1063000</v>
      </c>
      <c r="AG74" s="106">
        <f t="shared" si="90"/>
        <v>266000</v>
      </c>
      <c r="AH74" s="107">
        <f t="shared" si="91"/>
        <v>532000</v>
      </c>
      <c r="AI74" s="108">
        <f t="shared" si="92"/>
        <v>4518200</v>
      </c>
      <c r="AJ74" s="116">
        <f t="shared" si="93"/>
        <v>4745000</v>
      </c>
      <c r="AK74" s="175">
        <f t="shared" si="87"/>
        <v>3682000</v>
      </c>
      <c r="BK74" s="80" t="s">
        <v>51</v>
      </c>
      <c r="BL74" s="81">
        <f>(612150*15%)+612150</f>
        <v>703972.5</v>
      </c>
      <c r="BM74" s="82">
        <f>ROUNDUP(BL74*$BO$32,-3)</f>
        <v>775000</v>
      </c>
      <c r="BO74" s="23">
        <v>0.1</v>
      </c>
      <c r="BR74" s="386"/>
      <c r="BS74" s="385" t="s">
        <v>399</v>
      </c>
      <c r="BT74" s="55">
        <v>53000</v>
      </c>
      <c r="BU74" s="55">
        <v>75000</v>
      </c>
      <c r="BV74" s="55">
        <v>141000</v>
      </c>
      <c r="BW74" s="55">
        <v>222000</v>
      </c>
      <c r="BX74" s="55">
        <v>308000</v>
      </c>
      <c r="BY74" s="55">
        <v>587000</v>
      </c>
      <c r="BZ74" s="55">
        <v>1128000</v>
      </c>
      <c r="CA74" s="55">
        <v>1542000</v>
      </c>
      <c r="CB74" s="117"/>
      <c r="CC74" s="117"/>
      <c r="CZ74" s="324" t="s">
        <v>400</v>
      </c>
      <c r="DA74" s="347" t="s">
        <v>401</v>
      </c>
      <c r="DB74" s="325">
        <v>16</v>
      </c>
      <c r="DC74" s="332">
        <v>18200</v>
      </c>
      <c r="DD74" s="333"/>
      <c r="DE74" s="332">
        <f t="shared" si="78"/>
        <v>25000</v>
      </c>
      <c r="DF74" s="333"/>
      <c r="DG74" s="332">
        <f t="shared" si="79"/>
        <v>12000</v>
      </c>
      <c r="DH74" s="333"/>
      <c r="DK74" s="287">
        <v>100</v>
      </c>
      <c r="DL74" s="378" t="s">
        <v>108</v>
      </c>
      <c r="DM74" s="156">
        <v>9</v>
      </c>
      <c r="DN74" s="265">
        <v>82100</v>
      </c>
      <c r="DO74" s="328"/>
      <c r="DP74" s="328">
        <f t="shared" si="84"/>
        <v>111000</v>
      </c>
      <c r="DQ74" s="329"/>
      <c r="DR74" s="328">
        <f t="shared" si="85"/>
        <v>37000</v>
      </c>
      <c r="DS74" s="330"/>
      <c r="DT74" s="161"/>
      <c r="DU74" s="161"/>
      <c r="DV74" s="161"/>
      <c r="DW74" s="161"/>
    </row>
    <row r="75" spans="3:142" ht="21.6" thickBot="1">
      <c r="C75" s="259" t="s">
        <v>15</v>
      </c>
      <c r="D75" s="259">
        <f t="shared" ref="D75:Q75" si="97">SUM(D71:D74)</f>
        <v>2607000</v>
      </c>
      <c r="E75" s="259">
        <f t="shared" si="97"/>
        <v>1985000</v>
      </c>
      <c r="F75" s="259">
        <f t="shared" si="97"/>
        <v>1713000</v>
      </c>
      <c r="G75" s="259">
        <f t="shared" si="97"/>
        <v>1131000</v>
      </c>
      <c r="H75" s="259">
        <f t="shared" si="97"/>
        <v>883000</v>
      </c>
      <c r="I75" s="259">
        <f t="shared" si="97"/>
        <v>656000</v>
      </c>
      <c r="J75" s="259">
        <f t="shared" si="97"/>
        <v>469000</v>
      </c>
      <c r="K75" s="259">
        <f t="shared" si="97"/>
        <v>362000</v>
      </c>
      <c r="L75" s="259">
        <f t="shared" si="97"/>
        <v>234000</v>
      </c>
      <c r="M75" s="259">
        <f t="shared" si="97"/>
        <v>178000</v>
      </c>
      <c r="N75" s="259">
        <f t="shared" si="97"/>
        <v>150000</v>
      </c>
      <c r="O75" s="259">
        <f t="shared" si="97"/>
        <v>111000</v>
      </c>
      <c r="P75" s="259">
        <f t="shared" si="97"/>
        <v>82000</v>
      </c>
      <c r="Q75" s="259">
        <f t="shared" si="97"/>
        <v>62000</v>
      </c>
      <c r="R75" s="110"/>
      <c r="AA75" s="175"/>
      <c r="AB75" s="103" t="s">
        <v>394</v>
      </c>
      <c r="AC75" s="52" t="s">
        <v>52</v>
      </c>
      <c r="AD75" s="104" t="s">
        <v>139</v>
      </c>
      <c r="AE75" s="105">
        <v>2811200</v>
      </c>
      <c r="AF75" s="106">
        <f t="shared" si="89"/>
        <v>1125000</v>
      </c>
      <c r="AG75" s="106">
        <f t="shared" si="90"/>
        <v>282000</v>
      </c>
      <c r="AH75" s="107">
        <f t="shared" si="91"/>
        <v>563000</v>
      </c>
      <c r="AI75" s="108">
        <f t="shared" si="92"/>
        <v>4781200</v>
      </c>
      <c r="AJ75" s="116">
        <f t="shared" si="93"/>
        <v>5021000</v>
      </c>
      <c r="AK75" s="175">
        <f t="shared" si="87"/>
        <v>3896000</v>
      </c>
      <c r="BK75" s="80" t="s">
        <v>75</v>
      </c>
      <c r="BL75" s="81">
        <f>(877450*15%)+877450</f>
        <v>1009067.5</v>
      </c>
      <c r="BM75" s="82">
        <f>ROUNDUP(BL75*$BO$32,-3)</f>
        <v>1110000</v>
      </c>
      <c r="BO75" s="23">
        <v>0.2</v>
      </c>
      <c r="BR75" s="386"/>
      <c r="BS75" s="385" t="s">
        <v>402</v>
      </c>
      <c r="BT75" s="55">
        <v>171000</v>
      </c>
      <c r="BU75" s="55">
        <v>206000</v>
      </c>
      <c r="BV75" s="55">
        <v>308000</v>
      </c>
      <c r="BW75" s="55">
        <v>474000</v>
      </c>
      <c r="BX75" s="55">
        <v>670000</v>
      </c>
      <c r="BY75" s="55">
        <v>1504000</v>
      </c>
      <c r="BZ75" s="55">
        <v>2597000</v>
      </c>
      <c r="CA75" s="55">
        <v>3572000</v>
      </c>
      <c r="CB75" s="117"/>
      <c r="CC75" s="117"/>
      <c r="CG75" s="11" t="s">
        <v>403</v>
      </c>
      <c r="CH75" s="11"/>
      <c r="CI75" s="11"/>
      <c r="CJ75" s="11"/>
      <c r="CK75" s="11"/>
      <c r="CL75" s="11"/>
      <c r="CZ75" s="324" t="s">
        <v>404</v>
      </c>
      <c r="DA75" s="347" t="s">
        <v>405</v>
      </c>
      <c r="DB75" s="325">
        <v>16</v>
      </c>
      <c r="DC75" s="332">
        <v>20200</v>
      </c>
      <c r="DD75" s="333"/>
      <c r="DE75" s="332">
        <f t="shared" si="78"/>
        <v>28000</v>
      </c>
      <c r="DF75" s="333"/>
      <c r="DG75" s="332">
        <f t="shared" si="79"/>
        <v>13000</v>
      </c>
      <c r="DH75" s="333"/>
      <c r="DK75" s="287">
        <v>125</v>
      </c>
      <c r="DL75" s="378" t="s">
        <v>117</v>
      </c>
      <c r="DM75" s="156">
        <v>5</v>
      </c>
      <c r="DN75" s="265">
        <v>124200</v>
      </c>
      <c r="DO75" s="328"/>
      <c r="DP75" s="328">
        <f t="shared" si="84"/>
        <v>168000</v>
      </c>
      <c r="DQ75" s="329"/>
      <c r="DR75" s="328">
        <f t="shared" si="85"/>
        <v>56000</v>
      </c>
      <c r="DS75" s="330"/>
      <c r="DT75" s="161"/>
      <c r="DU75" s="161"/>
      <c r="DV75" s="161"/>
      <c r="DW75" s="161"/>
      <c r="DX75" s="32" t="s">
        <v>406</v>
      </c>
      <c r="DY75" s="274"/>
      <c r="DZ75" s="274"/>
      <c r="EA75" s="274"/>
      <c r="ED75" s="32" t="s">
        <v>407</v>
      </c>
      <c r="EE75" s="274"/>
      <c r="EF75" s="274"/>
      <c r="EG75" s="274"/>
    </row>
    <row r="76" spans="3:142" ht="21.6" thickBot="1">
      <c r="C76" s="23" t="s">
        <v>215</v>
      </c>
      <c r="D76" s="107">
        <f t="shared" ref="D76:Q76" si="98">ROUNDUP(D75*$R$76,-3)</f>
        <v>2738000</v>
      </c>
      <c r="E76" s="107">
        <f>ROUNDUP(E75*$R$76,-3)</f>
        <v>2085000</v>
      </c>
      <c r="F76" s="107">
        <f t="shared" si="98"/>
        <v>1799000</v>
      </c>
      <c r="G76" s="107">
        <f t="shared" si="98"/>
        <v>1188000</v>
      </c>
      <c r="H76" s="107">
        <f t="shared" si="98"/>
        <v>928000</v>
      </c>
      <c r="I76" s="107">
        <f>ROUNDUP(I75*$R$76,-3)</f>
        <v>689000</v>
      </c>
      <c r="J76" s="107">
        <f t="shared" si="98"/>
        <v>493000</v>
      </c>
      <c r="K76" s="107">
        <f t="shared" si="98"/>
        <v>381000</v>
      </c>
      <c r="L76" s="107">
        <f t="shared" si="98"/>
        <v>246000</v>
      </c>
      <c r="M76" s="107">
        <f t="shared" si="98"/>
        <v>187000</v>
      </c>
      <c r="N76" s="107">
        <f t="shared" si="98"/>
        <v>158000</v>
      </c>
      <c r="O76" s="107">
        <f t="shared" si="98"/>
        <v>117000</v>
      </c>
      <c r="P76" s="107">
        <f t="shared" si="98"/>
        <v>87000</v>
      </c>
      <c r="Q76" s="107">
        <f t="shared" si="98"/>
        <v>66000</v>
      </c>
      <c r="R76" s="23">
        <v>1.05</v>
      </c>
      <c r="AA76" s="175"/>
      <c r="AB76" s="103" t="s">
        <v>394</v>
      </c>
      <c r="AC76" s="52" t="s">
        <v>52</v>
      </c>
      <c r="AD76" s="104" t="s">
        <v>347</v>
      </c>
      <c r="AE76" s="105">
        <v>3003700</v>
      </c>
      <c r="AF76" s="106">
        <f t="shared" si="89"/>
        <v>1202000</v>
      </c>
      <c r="AG76" s="106">
        <f t="shared" si="90"/>
        <v>301000</v>
      </c>
      <c r="AH76" s="107">
        <f t="shared" si="91"/>
        <v>601000</v>
      </c>
      <c r="AI76" s="108">
        <f t="shared" si="92"/>
        <v>5107700</v>
      </c>
      <c r="AJ76" s="116">
        <f t="shared" si="93"/>
        <v>5364000</v>
      </c>
      <c r="AK76" s="175">
        <f t="shared" si="87"/>
        <v>4162000</v>
      </c>
      <c r="AN76" s="43"/>
      <c r="AO76" s="62"/>
      <c r="AP76" s="52"/>
      <c r="AQ76" s="52"/>
      <c r="AR76" s="387"/>
      <c r="AS76" s="388"/>
      <c r="AT76" s="388"/>
      <c r="AU76" s="388"/>
      <c r="AV76" s="389"/>
      <c r="AW76" s="388"/>
      <c r="BK76" s="80" t="s">
        <v>59</v>
      </c>
      <c r="BL76" s="81">
        <f>(1402850*15%)+1402850</f>
        <v>1613277.5</v>
      </c>
      <c r="BM76" s="82">
        <f>ROUNDUP(BL76*$BO$32,-3)</f>
        <v>1775000</v>
      </c>
      <c r="BO76" s="110"/>
      <c r="BR76" s="386"/>
      <c r="BS76" s="385" t="s">
        <v>408</v>
      </c>
      <c r="BT76" s="55">
        <v>178000</v>
      </c>
      <c r="BU76" s="55">
        <v>215000</v>
      </c>
      <c r="BV76" s="55">
        <v>321000</v>
      </c>
      <c r="BW76" s="55">
        <v>492000</v>
      </c>
      <c r="BX76" s="55">
        <v>697000</v>
      </c>
      <c r="BY76" s="55">
        <v>1550000</v>
      </c>
      <c r="BZ76" s="55">
        <v>2675000</v>
      </c>
      <c r="CA76" s="55">
        <v>3680000</v>
      </c>
      <c r="CB76" s="117"/>
      <c r="CC76" s="117"/>
      <c r="CG76" s="33" t="s">
        <v>409</v>
      </c>
      <c r="CH76" s="33"/>
      <c r="CI76" s="33"/>
      <c r="CJ76" s="33"/>
      <c r="CK76" s="33"/>
      <c r="CL76" s="33"/>
      <c r="CZ76" s="324" t="s">
        <v>410</v>
      </c>
      <c r="DA76" s="347" t="s">
        <v>411</v>
      </c>
      <c r="DB76" s="325">
        <v>16</v>
      </c>
      <c r="DC76" s="332">
        <v>21600</v>
      </c>
      <c r="DD76" s="333"/>
      <c r="DE76" s="332">
        <f t="shared" si="78"/>
        <v>30000</v>
      </c>
      <c r="DF76" s="333"/>
      <c r="DG76" s="332">
        <f t="shared" si="79"/>
        <v>14000</v>
      </c>
      <c r="DH76" s="333"/>
      <c r="DK76" s="287">
        <v>150</v>
      </c>
      <c r="DL76" s="378" t="s">
        <v>124</v>
      </c>
      <c r="DM76" s="156">
        <v>5</v>
      </c>
      <c r="DN76" s="265">
        <v>207500</v>
      </c>
      <c r="DO76" s="328"/>
      <c r="DP76" s="328">
        <f t="shared" si="84"/>
        <v>281000</v>
      </c>
      <c r="DQ76" s="329"/>
      <c r="DR76" s="328">
        <f t="shared" si="85"/>
        <v>94000</v>
      </c>
      <c r="DS76" s="330"/>
      <c r="DT76" s="161"/>
      <c r="DU76" s="161"/>
      <c r="DV76" s="161"/>
      <c r="DW76" s="161"/>
      <c r="DX76" s="376" t="s">
        <v>65</v>
      </c>
      <c r="DY76" s="374" t="s">
        <v>248</v>
      </c>
      <c r="DZ76" s="281" t="s">
        <v>249</v>
      </c>
      <c r="EA76" s="375" t="s">
        <v>91</v>
      </c>
      <c r="ED76" s="304" t="s">
        <v>65</v>
      </c>
      <c r="EE76" s="305" t="s">
        <v>248</v>
      </c>
      <c r="EF76" s="305" t="s">
        <v>249</v>
      </c>
      <c r="EG76" s="375" t="s">
        <v>91</v>
      </c>
    </row>
    <row r="77" spans="3:142" ht="18" thickBot="1">
      <c r="C77" s="390" t="s">
        <v>412</v>
      </c>
      <c r="D77" s="391">
        <f>D76-D72</f>
        <v>2591000</v>
      </c>
      <c r="E77" s="391">
        <f t="shared" ref="E77:Q77" si="99">E76-E72</f>
        <v>1962000</v>
      </c>
      <c r="F77" s="391">
        <f t="shared" si="99"/>
        <v>1700000</v>
      </c>
      <c r="G77" s="391">
        <f t="shared" si="99"/>
        <v>1113000</v>
      </c>
      <c r="H77" s="391">
        <f t="shared" si="99"/>
        <v>864000</v>
      </c>
      <c r="I77" s="391">
        <f t="shared" si="99"/>
        <v>637000</v>
      </c>
      <c r="J77" s="391">
        <f t="shared" si="99"/>
        <v>451000</v>
      </c>
      <c r="K77" s="391">
        <f t="shared" si="99"/>
        <v>346000</v>
      </c>
      <c r="L77" s="391">
        <f t="shared" si="99"/>
        <v>218000</v>
      </c>
      <c r="M77" s="391">
        <f t="shared" si="99"/>
        <v>164000</v>
      </c>
      <c r="N77" s="391">
        <f t="shared" si="99"/>
        <v>139000</v>
      </c>
      <c r="O77" s="391">
        <f t="shared" si="99"/>
        <v>101000</v>
      </c>
      <c r="P77" s="391">
        <f t="shared" si="99"/>
        <v>73000</v>
      </c>
      <c r="Q77" s="391">
        <f t="shared" si="99"/>
        <v>55000</v>
      </c>
      <c r="R77" s="23"/>
      <c r="AA77" s="148"/>
      <c r="AB77" s="141" t="s">
        <v>394</v>
      </c>
      <c r="AC77" s="142" t="s">
        <v>52</v>
      </c>
      <c r="AD77" s="143" t="s">
        <v>374</v>
      </c>
      <c r="AE77" s="144">
        <v>3234700</v>
      </c>
      <c r="AF77" s="145">
        <f t="shared" si="89"/>
        <v>1294000</v>
      </c>
      <c r="AG77" s="145">
        <f t="shared" si="90"/>
        <v>324000</v>
      </c>
      <c r="AH77" s="146">
        <f t="shared" si="91"/>
        <v>647000</v>
      </c>
      <c r="AI77" s="147">
        <f t="shared" si="92"/>
        <v>5499700</v>
      </c>
      <c r="AJ77" s="205">
        <f t="shared" si="93"/>
        <v>5775000</v>
      </c>
      <c r="AK77" s="148">
        <f t="shared" si="87"/>
        <v>4481000</v>
      </c>
      <c r="AN77" s="15" t="s">
        <v>413</v>
      </c>
      <c r="AO77" s="16" t="s">
        <v>10</v>
      </c>
      <c r="AP77" s="17"/>
      <c r="AQ77" s="18"/>
      <c r="AR77" s="19" t="s">
        <v>11</v>
      </c>
      <c r="AS77" s="20" t="s">
        <v>12</v>
      </c>
      <c r="AT77" s="24" t="s">
        <v>13</v>
      </c>
      <c r="AU77" s="22" t="s">
        <v>14</v>
      </c>
      <c r="AV77" s="25" t="s">
        <v>15</v>
      </c>
      <c r="AW77" s="22" t="s">
        <v>16</v>
      </c>
      <c r="AX77" s="273" t="s">
        <v>414</v>
      </c>
      <c r="BK77" s="80" t="s">
        <v>125</v>
      </c>
      <c r="BL77" s="81">
        <f>(2815650*15%)+2815650</f>
        <v>3237997.5</v>
      </c>
      <c r="BM77" s="82">
        <f t="shared" ref="BM77:BM80" si="100">ROUNDUP(BL77*$BO$32,-3)</f>
        <v>3562000</v>
      </c>
      <c r="BO77" s="23">
        <v>1.2</v>
      </c>
      <c r="BR77" s="392"/>
      <c r="BS77" s="385" t="s">
        <v>415</v>
      </c>
      <c r="BT77" s="55">
        <v>117000</v>
      </c>
      <c r="BU77" s="55">
        <v>128000</v>
      </c>
      <c r="BV77" s="55">
        <v>207000</v>
      </c>
      <c r="BW77" s="55">
        <v>272000</v>
      </c>
      <c r="BX77" s="55">
        <v>390000</v>
      </c>
      <c r="BY77" s="55">
        <v>1033000</v>
      </c>
      <c r="BZ77" s="55">
        <v>1272000</v>
      </c>
      <c r="CA77" s="55">
        <v>1828000</v>
      </c>
      <c r="CB77" s="117"/>
      <c r="CC77" s="117"/>
      <c r="CG77" s="56" t="s">
        <v>41</v>
      </c>
      <c r="CH77" s="57" t="s">
        <v>21</v>
      </c>
      <c r="CI77" s="58" t="s">
        <v>42</v>
      </c>
      <c r="CJ77" s="57" t="s">
        <v>43</v>
      </c>
      <c r="CK77" s="58" t="s">
        <v>44</v>
      </c>
      <c r="CL77" s="57" t="s">
        <v>23</v>
      </c>
      <c r="CM77" s="60"/>
      <c r="CZ77" s="324" t="s">
        <v>416</v>
      </c>
      <c r="DA77" s="347" t="s">
        <v>417</v>
      </c>
      <c r="DB77" s="325">
        <v>12</v>
      </c>
      <c r="DC77" s="332">
        <v>32100</v>
      </c>
      <c r="DD77" s="333"/>
      <c r="DE77" s="332">
        <f t="shared" si="78"/>
        <v>44000</v>
      </c>
      <c r="DF77" s="333"/>
      <c r="DG77" s="332">
        <f t="shared" si="79"/>
        <v>20000</v>
      </c>
      <c r="DH77" s="333"/>
      <c r="DK77" s="287">
        <v>200</v>
      </c>
      <c r="DL77" s="378" t="s">
        <v>132</v>
      </c>
      <c r="DM77" s="156">
        <v>2</v>
      </c>
      <c r="DN77" s="265">
        <v>469800</v>
      </c>
      <c r="DO77" s="328"/>
      <c r="DP77" s="328">
        <f t="shared" si="84"/>
        <v>635000</v>
      </c>
      <c r="DQ77" s="329"/>
      <c r="DR77" s="328">
        <f t="shared" si="85"/>
        <v>212000</v>
      </c>
      <c r="DS77" s="330"/>
      <c r="DT77" s="161"/>
      <c r="DU77" s="161"/>
      <c r="DV77" s="161"/>
      <c r="DW77" s="161"/>
      <c r="DX77" s="311" t="s">
        <v>418</v>
      </c>
      <c r="DY77" s="163">
        <v>8829</v>
      </c>
      <c r="DZ77" s="163">
        <v>9800</v>
      </c>
      <c r="EA77" s="286">
        <f>DZ77*$DW$4</f>
        <v>13230</v>
      </c>
      <c r="ED77" s="311">
        <v>20</v>
      </c>
      <c r="EE77" s="162">
        <v>5315</v>
      </c>
      <c r="EF77" s="162">
        <v>5900</v>
      </c>
      <c r="EG77" s="286">
        <f>EF77*$DW$4</f>
        <v>7965.0000000000009</v>
      </c>
    </row>
    <row r="78" spans="3:142" ht="15" thickBot="1"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AA78" s="46" t="s">
        <v>419</v>
      </c>
      <c r="AB78" s="103" t="s">
        <v>419</v>
      </c>
      <c r="AC78" s="52" t="s">
        <v>52</v>
      </c>
      <c r="AD78" s="104" t="s">
        <v>132</v>
      </c>
      <c r="AE78" s="105">
        <v>3773700</v>
      </c>
      <c r="AF78" s="106">
        <f t="shared" si="89"/>
        <v>1510000</v>
      </c>
      <c r="AG78" s="106">
        <f t="shared" si="90"/>
        <v>378000</v>
      </c>
      <c r="AH78" s="107">
        <f t="shared" si="91"/>
        <v>755000</v>
      </c>
      <c r="AI78" s="108">
        <f t="shared" si="92"/>
        <v>6416700</v>
      </c>
      <c r="AJ78" s="116">
        <f t="shared" si="93"/>
        <v>6738000</v>
      </c>
      <c r="AK78" s="109">
        <f t="shared" si="87"/>
        <v>5228000</v>
      </c>
      <c r="AN78" s="35"/>
      <c r="AO78" s="36"/>
      <c r="AP78" s="37"/>
      <c r="AQ78" s="38"/>
      <c r="AR78" s="39" t="s">
        <v>22</v>
      </c>
      <c r="AS78" s="44"/>
      <c r="AT78" s="45"/>
      <c r="AU78" s="46" t="s">
        <v>29</v>
      </c>
      <c r="AV78" s="393"/>
      <c r="AW78" s="42" t="s">
        <v>30</v>
      </c>
      <c r="AX78" s="78" t="s">
        <v>420</v>
      </c>
      <c r="BK78" s="80" t="s">
        <v>40</v>
      </c>
      <c r="BL78" s="81">
        <f>(2819900*15%)+2819900</f>
        <v>3242885</v>
      </c>
      <c r="BM78" s="82">
        <f t="shared" si="100"/>
        <v>3568000</v>
      </c>
      <c r="BR78" s="384" t="s">
        <v>421</v>
      </c>
      <c r="BS78" s="385" t="s">
        <v>396</v>
      </c>
      <c r="BT78" s="55">
        <v>119000</v>
      </c>
      <c r="BU78" s="55">
        <v>191000</v>
      </c>
      <c r="BV78" s="55">
        <v>339000</v>
      </c>
      <c r="BW78" s="55">
        <v>654000</v>
      </c>
      <c r="BX78" s="55">
        <v>878000</v>
      </c>
      <c r="BY78" s="55">
        <v>1677000</v>
      </c>
      <c r="BZ78" s="55">
        <v>3205000</v>
      </c>
      <c r="CA78" s="55">
        <v>4569000</v>
      </c>
      <c r="CB78" s="117"/>
      <c r="CC78" s="117"/>
      <c r="CG78" s="273">
        <v>1</v>
      </c>
      <c r="CH78" s="191" t="s">
        <v>53</v>
      </c>
      <c r="CI78" s="394" t="s">
        <v>422</v>
      </c>
      <c r="CJ78" s="109" t="s">
        <v>423</v>
      </c>
      <c r="CK78" s="367">
        <v>1722515</v>
      </c>
      <c r="CL78" s="395">
        <f t="shared" ref="CL78:CL83" si="101">ROUNDUP(CK78*$CN$9,-3)</f>
        <v>2068000</v>
      </c>
      <c r="CZ78" s="324" t="s">
        <v>424</v>
      </c>
      <c r="DA78" s="347" t="s">
        <v>425</v>
      </c>
      <c r="DB78" s="325">
        <v>18</v>
      </c>
      <c r="DC78" s="332">
        <v>52800</v>
      </c>
      <c r="DD78" s="333"/>
      <c r="DE78" s="332">
        <f t="shared" si="78"/>
        <v>72000</v>
      </c>
      <c r="DF78" s="333"/>
      <c r="DG78" s="332">
        <f t="shared" si="79"/>
        <v>33000</v>
      </c>
      <c r="DH78" s="333"/>
      <c r="DK78" s="287">
        <v>250</v>
      </c>
      <c r="DL78" s="378" t="s">
        <v>136</v>
      </c>
      <c r="DM78" s="156">
        <v>1</v>
      </c>
      <c r="DN78" s="265">
        <v>627900</v>
      </c>
      <c r="DO78" s="328"/>
      <c r="DP78" s="328">
        <f t="shared" si="84"/>
        <v>848000</v>
      </c>
      <c r="DQ78" s="329"/>
      <c r="DR78" s="328">
        <f t="shared" si="85"/>
        <v>283000</v>
      </c>
      <c r="DS78" s="330"/>
      <c r="DT78" s="161"/>
      <c r="DU78" s="161"/>
      <c r="DV78" s="161"/>
      <c r="DW78" s="161"/>
      <c r="DX78" s="311" t="s">
        <v>426</v>
      </c>
      <c r="DY78" s="163">
        <v>10000</v>
      </c>
      <c r="DZ78" s="163">
        <v>11100</v>
      </c>
      <c r="EA78" s="286">
        <f t="shared" ref="EA78:EA107" si="102">DZ78*$DW$4</f>
        <v>14985.000000000002</v>
      </c>
      <c r="ED78" s="311">
        <v>25</v>
      </c>
      <c r="EE78" s="162">
        <v>6486</v>
      </c>
      <c r="EF78" s="162">
        <v>7200</v>
      </c>
      <c r="EG78" s="286">
        <f t="shared" ref="EG78:EG86" si="103">EF78*$DW$4</f>
        <v>9720</v>
      </c>
    </row>
    <row r="79" spans="3:142" ht="15" thickBot="1">
      <c r="C79" s="23"/>
      <c r="D79" s="23"/>
      <c r="E79" s="244" t="s">
        <v>427</v>
      </c>
      <c r="F79" s="244" t="s">
        <v>428</v>
      </c>
      <c r="G79" s="244" t="s">
        <v>419</v>
      </c>
      <c r="H79" s="244" t="s">
        <v>394</v>
      </c>
      <c r="I79" s="244" t="s">
        <v>374</v>
      </c>
      <c r="J79" s="244" t="s">
        <v>347</v>
      </c>
      <c r="K79" s="244" t="s">
        <v>139</v>
      </c>
      <c r="L79" s="244" t="s">
        <v>136</v>
      </c>
      <c r="M79" s="244" t="s">
        <v>132</v>
      </c>
      <c r="N79" s="244" t="s">
        <v>124</v>
      </c>
      <c r="O79" s="244" t="s">
        <v>117</v>
      </c>
      <c r="P79" s="244" t="s">
        <v>108</v>
      </c>
      <c r="Q79" s="244" t="s">
        <v>77</v>
      </c>
      <c r="R79" s="244" t="s">
        <v>57</v>
      </c>
      <c r="S79" s="244" t="s">
        <v>40</v>
      </c>
      <c r="T79" s="244" t="s">
        <v>125</v>
      </c>
      <c r="U79" s="244" t="s">
        <v>59</v>
      </c>
      <c r="V79" s="244" t="s">
        <v>75</v>
      </c>
      <c r="W79" s="244" t="s">
        <v>51</v>
      </c>
      <c r="X79" s="244" t="s">
        <v>53</v>
      </c>
      <c r="Y79" s="23"/>
      <c r="AA79" s="175"/>
      <c r="AB79" s="103" t="s">
        <v>419</v>
      </c>
      <c r="AC79" s="52" t="s">
        <v>52</v>
      </c>
      <c r="AD79" s="104" t="s">
        <v>136</v>
      </c>
      <c r="AE79" s="105">
        <v>4005500</v>
      </c>
      <c r="AF79" s="106">
        <f t="shared" si="89"/>
        <v>1603000</v>
      </c>
      <c r="AG79" s="106">
        <f t="shared" si="90"/>
        <v>401000</v>
      </c>
      <c r="AH79" s="107">
        <f t="shared" si="91"/>
        <v>802000</v>
      </c>
      <c r="AI79" s="108">
        <f t="shared" si="92"/>
        <v>6811500</v>
      </c>
      <c r="AJ79" s="116">
        <f t="shared" si="93"/>
        <v>7153000</v>
      </c>
      <c r="AK79" s="175">
        <f t="shared" si="87"/>
        <v>5550000</v>
      </c>
      <c r="AN79" s="396" t="s">
        <v>429</v>
      </c>
      <c r="AO79" s="189"/>
      <c r="AP79" s="397" t="s">
        <v>430</v>
      </c>
      <c r="AQ79" s="191"/>
      <c r="AR79" s="398">
        <v>13600</v>
      </c>
      <c r="AS79" s="114">
        <f t="shared" ref="AS79:AS86" si="104">ROUNDUP(AR79*$AY$91,-2)</f>
        <v>9600</v>
      </c>
      <c r="AT79" s="114">
        <f t="shared" ref="AT79:AT86" si="105">ROUNDUP(AR79*$AY$92,-2)</f>
        <v>1400</v>
      </c>
      <c r="AU79" s="114">
        <f t="shared" ref="AU79:AU86" si="106">ROUNDUP(AR79*$AY$93,-2)</f>
        <v>2800</v>
      </c>
      <c r="AV79" s="399">
        <f t="shared" ref="AV79:AV86" si="107">SUM(AR79:AU79)</f>
        <v>27400</v>
      </c>
      <c r="AW79" s="400">
        <f t="shared" ref="AW79:AW86" si="108">AV79*$AY$95</f>
        <v>32880</v>
      </c>
      <c r="AX79" s="109">
        <f>AW79-AS79</f>
        <v>23280</v>
      </c>
      <c r="BK79" s="80" t="s">
        <v>57</v>
      </c>
      <c r="BL79" s="81">
        <v>4709300</v>
      </c>
      <c r="BM79" s="82">
        <f t="shared" si="100"/>
        <v>5181000</v>
      </c>
      <c r="BR79" s="386"/>
      <c r="BS79" s="385" t="s">
        <v>399</v>
      </c>
      <c r="BT79" s="55">
        <v>72000</v>
      </c>
      <c r="BU79" s="55">
        <v>115000</v>
      </c>
      <c r="BV79" s="55">
        <v>204000</v>
      </c>
      <c r="BW79" s="55">
        <v>392000</v>
      </c>
      <c r="BX79" s="55">
        <v>527000</v>
      </c>
      <c r="BY79" s="55">
        <v>1007000</v>
      </c>
      <c r="BZ79" s="55">
        <v>2742000</v>
      </c>
      <c r="CA79" s="55">
        <v>4159000</v>
      </c>
      <c r="CB79" s="117"/>
      <c r="CC79" s="117"/>
      <c r="CG79" s="78">
        <f>CG78+1</f>
        <v>2</v>
      </c>
      <c r="CH79" s="104" t="s">
        <v>51</v>
      </c>
      <c r="CI79" s="1" t="s">
        <v>431</v>
      </c>
      <c r="CJ79" s="175" t="s">
        <v>432</v>
      </c>
      <c r="CK79" s="271">
        <v>1722515</v>
      </c>
      <c r="CL79" s="401">
        <f t="shared" si="101"/>
        <v>2068000</v>
      </c>
      <c r="CZ79" s="324" t="s">
        <v>433</v>
      </c>
      <c r="DA79" s="347" t="s">
        <v>434</v>
      </c>
      <c r="DB79" s="325">
        <v>18</v>
      </c>
      <c r="DC79" s="332">
        <v>57400</v>
      </c>
      <c r="DD79" s="333"/>
      <c r="DE79" s="332">
        <f t="shared" si="78"/>
        <v>78000</v>
      </c>
      <c r="DF79" s="333"/>
      <c r="DG79" s="332">
        <f t="shared" si="79"/>
        <v>36000</v>
      </c>
      <c r="DH79" s="333"/>
      <c r="DK79" s="302">
        <v>300</v>
      </c>
      <c r="DL79" s="402" t="s">
        <v>139</v>
      </c>
      <c r="DM79" s="215">
        <v>1</v>
      </c>
      <c r="DN79" s="340">
        <v>932700</v>
      </c>
      <c r="DO79" s="341"/>
      <c r="DP79" s="341">
        <f t="shared" si="84"/>
        <v>1260000</v>
      </c>
      <c r="DQ79" s="342"/>
      <c r="DR79" s="341">
        <f t="shared" si="85"/>
        <v>420000</v>
      </c>
      <c r="DS79" s="343"/>
      <c r="DT79" s="161"/>
      <c r="DU79" s="161"/>
      <c r="DV79" s="161"/>
      <c r="DW79" s="161"/>
      <c r="DX79" s="311" t="s">
        <v>435</v>
      </c>
      <c r="DY79" s="163">
        <v>10811</v>
      </c>
      <c r="DZ79" s="163">
        <v>12000</v>
      </c>
      <c r="EA79" s="286">
        <f t="shared" si="102"/>
        <v>16200.000000000002</v>
      </c>
      <c r="ED79" s="311">
        <v>32</v>
      </c>
      <c r="EE79" s="162">
        <v>9369</v>
      </c>
      <c r="EF79" s="162">
        <v>10400</v>
      </c>
      <c r="EG79" s="286">
        <f t="shared" si="103"/>
        <v>14040.000000000002</v>
      </c>
    </row>
    <row r="80" spans="3:142" ht="15" thickBot="1">
      <c r="C80" s="249" t="s">
        <v>436</v>
      </c>
      <c r="D80" s="249"/>
      <c r="E80" s="105">
        <f>ROUNDUP((24532000/6),-3)</f>
        <v>4089000</v>
      </c>
      <c r="F80" s="105">
        <f>ROUNDUP(9500000,-3)</f>
        <v>9500000</v>
      </c>
      <c r="G80" s="105">
        <f>ROUNDUP((20379000/6),-3)</f>
        <v>3397000</v>
      </c>
      <c r="H80" s="105">
        <f>ROUNDUP((18302000/6),-3)</f>
        <v>3051000</v>
      </c>
      <c r="I80" s="105">
        <f>ROUNDUP((11091000/6),-3)</f>
        <v>1849000</v>
      </c>
      <c r="J80" s="105">
        <f>ROUNDUP((11110000/6),-3)</f>
        <v>1852000</v>
      </c>
      <c r="K80" s="105">
        <f>ROUNDUP(1720000,-3)</f>
        <v>1720000</v>
      </c>
      <c r="L80" s="105">
        <f>ROUNDUP((7395000/6),-3)</f>
        <v>1233000</v>
      </c>
      <c r="M80" s="105">
        <f>ROUNDUP((822900),-3)</f>
        <v>823000</v>
      </c>
      <c r="N80" s="105">
        <f>ROUNDUP(360000,-3)</f>
        <v>360000</v>
      </c>
      <c r="O80" s="105">
        <f>ROUNDUP(245000,-3)</f>
        <v>245000</v>
      </c>
      <c r="P80" s="105">
        <f>ROUNDUP(145000,-3)</f>
        <v>145000</v>
      </c>
      <c r="Q80" s="105">
        <f>ROUNDUP(67000,-3)</f>
        <v>67000</v>
      </c>
      <c r="R80" s="105">
        <f>ROUNDUP(50000,-3)</f>
        <v>50000</v>
      </c>
      <c r="S80" s="105">
        <f>ROUNDUP(26000,-3)</f>
        <v>26000</v>
      </c>
      <c r="T80" s="105">
        <f>ROUNDUP(17500,-3)</f>
        <v>18000</v>
      </c>
      <c r="U80" s="105">
        <f>ROUNDUP(12000,-3)</f>
        <v>12000</v>
      </c>
      <c r="V80" s="105">
        <f>ROUNDUP(8500,-3)</f>
        <v>9000</v>
      </c>
      <c r="W80" s="105">
        <f>ROUNDUP(6000,-3)</f>
        <v>6000</v>
      </c>
      <c r="X80" s="105">
        <f>ROUNDUP(5300,-2)</f>
        <v>5300</v>
      </c>
      <c r="Y80" s="23">
        <v>0.4</v>
      </c>
      <c r="AA80" s="175"/>
      <c r="AB80" s="103" t="s">
        <v>419</v>
      </c>
      <c r="AC80" s="52" t="s">
        <v>52</v>
      </c>
      <c r="AD80" s="104" t="s">
        <v>139</v>
      </c>
      <c r="AE80" s="105">
        <v>4313500</v>
      </c>
      <c r="AF80" s="106">
        <f t="shared" si="89"/>
        <v>1726000</v>
      </c>
      <c r="AG80" s="106">
        <f t="shared" si="90"/>
        <v>432000</v>
      </c>
      <c r="AH80" s="107">
        <f t="shared" si="91"/>
        <v>863000</v>
      </c>
      <c r="AI80" s="108">
        <f t="shared" si="92"/>
        <v>7334500</v>
      </c>
      <c r="AJ80" s="116">
        <f t="shared" si="93"/>
        <v>7702000</v>
      </c>
      <c r="AK80" s="175">
        <f t="shared" si="87"/>
        <v>5976000</v>
      </c>
      <c r="AN80" s="403"/>
      <c r="AO80" s="103"/>
      <c r="AP80" s="404" t="s">
        <v>437</v>
      </c>
      <c r="AQ80" s="104"/>
      <c r="AR80" s="405">
        <v>13600</v>
      </c>
      <c r="AS80" s="106">
        <f t="shared" si="104"/>
        <v>9600</v>
      </c>
      <c r="AT80" s="106">
        <f t="shared" si="105"/>
        <v>1400</v>
      </c>
      <c r="AU80" s="106">
        <f t="shared" si="106"/>
        <v>2800</v>
      </c>
      <c r="AV80" s="389">
        <f t="shared" si="107"/>
        <v>27400</v>
      </c>
      <c r="AW80" s="406">
        <f t="shared" si="108"/>
        <v>32880</v>
      </c>
      <c r="AX80" s="175">
        <f t="shared" ref="AX80:AX86" si="109">AW80-AS80</f>
        <v>23280</v>
      </c>
      <c r="BK80" s="178" t="s">
        <v>77</v>
      </c>
      <c r="BL80" s="179">
        <v>7051650</v>
      </c>
      <c r="BM80" s="192">
        <f t="shared" si="100"/>
        <v>7757000</v>
      </c>
      <c r="BR80" s="386"/>
      <c r="BS80" s="385" t="s">
        <v>402</v>
      </c>
      <c r="BT80" s="55">
        <v>198000</v>
      </c>
      <c r="BU80" s="55">
        <v>272000</v>
      </c>
      <c r="BV80" s="55">
        <v>402000</v>
      </c>
      <c r="BW80" s="55">
        <v>631000</v>
      </c>
      <c r="BX80" s="55">
        <v>903000</v>
      </c>
      <c r="BY80" s="55">
        <v>1845000</v>
      </c>
      <c r="BZ80" s="55">
        <v>3485000</v>
      </c>
      <c r="CA80" s="55">
        <v>4259000</v>
      </c>
      <c r="CB80" s="117"/>
      <c r="CC80" s="117"/>
      <c r="CG80" s="78">
        <f>CG79+1</f>
        <v>3</v>
      </c>
      <c r="CH80" s="104" t="s">
        <v>75</v>
      </c>
      <c r="CI80" s="1" t="s">
        <v>438</v>
      </c>
      <c r="CJ80" s="175" t="s">
        <v>439</v>
      </c>
      <c r="CK80" s="271">
        <v>1756593.75</v>
      </c>
      <c r="CL80" s="401">
        <f t="shared" si="101"/>
        <v>2108000</v>
      </c>
      <c r="CZ80" s="324" t="s">
        <v>440</v>
      </c>
      <c r="DA80" s="347" t="s">
        <v>441</v>
      </c>
      <c r="DB80" s="325">
        <v>18</v>
      </c>
      <c r="DC80" s="332">
        <v>58600</v>
      </c>
      <c r="DD80" s="333"/>
      <c r="DE80" s="332">
        <f t="shared" si="78"/>
        <v>80000</v>
      </c>
      <c r="DF80" s="333"/>
      <c r="DG80" s="332">
        <f t="shared" si="79"/>
        <v>36000</v>
      </c>
      <c r="DH80" s="333"/>
      <c r="DK80" s="161"/>
      <c r="DL80" s="161"/>
      <c r="DM80" s="161"/>
      <c r="DN80" s="161"/>
      <c r="DO80" s="161"/>
      <c r="DP80" s="161"/>
      <c r="DQ80" s="161"/>
      <c r="DR80" s="161"/>
      <c r="DS80" s="161"/>
      <c r="DT80" s="161"/>
      <c r="DU80" s="161"/>
      <c r="DV80" s="161"/>
      <c r="DW80" s="161"/>
      <c r="DX80" s="311" t="s">
        <v>442</v>
      </c>
      <c r="DY80" s="163">
        <v>21622</v>
      </c>
      <c r="DZ80" s="163">
        <v>24000</v>
      </c>
      <c r="EA80" s="286">
        <f t="shared" si="102"/>
        <v>32400.000000000004</v>
      </c>
      <c r="ED80" s="311">
        <v>40</v>
      </c>
      <c r="EE80" s="162">
        <v>19910</v>
      </c>
      <c r="EF80" s="162">
        <v>22100</v>
      </c>
      <c r="EG80" s="286">
        <f t="shared" si="103"/>
        <v>29835.000000000004</v>
      </c>
    </row>
    <row r="81" spans="3:137">
      <c r="C81" s="23" t="s">
        <v>12</v>
      </c>
      <c r="D81" s="23"/>
      <c r="E81" s="107">
        <f t="shared" ref="E81:X81" si="110">ROUNDUP(E80*$Y$80,-3)</f>
        <v>1636000</v>
      </c>
      <c r="F81" s="107">
        <f t="shared" si="110"/>
        <v>3800000</v>
      </c>
      <c r="G81" s="107">
        <f t="shared" si="110"/>
        <v>1359000</v>
      </c>
      <c r="H81" s="107">
        <f t="shared" si="110"/>
        <v>1221000</v>
      </c>
      <c r="I81" s="107">
        <f t="shared" si="110"/>
        <v>740000</v>
      </c>
      <c r="J81" s="107">
        <f t="shared" si="110"/>
        <v>741000</v>
      </c>
      <c r="K81" s="107">
        <f t="shared" si="110"/>
        <v>688000</v>
      </c>
      <c r="L81" s="107">
        <f t="shared" si="110"/>
        <v>494000</v>
      </c>
      <c r="M81" s="107">
        <f t="shared" si="110"/>
        <v>330000</v>
      </c>
      <c r="N81" s="107">
        <f t="shared" si="110"/>
        <v>144000</v>
      </c>
      <c r="O81" s="107">
        <f t="shared" si="110"/>
        <v>98000</v>
      </c>
      <c r="P81" s="107">
        <f t="shared" si="110"/>
        <v>58000</v>
      </c>
      <c r="Q81" s="107">
        <f t="shared" si="110"/>
        <v>27000</v>
      </c>
      <c r="R81" s="107">
        <f t="shared" si="110"/>
        <v>20000</v>
      </c>
      <c r="S81" s="107">
        <f t="shared" si="110"/>
        <v>11000</v>
      </c>
      <c r="T81" s="107">
        <f t="shared" si="110"/>
        <v>8000</v>
      </c>
      <c r="U81" s="107">
        <f t="shared" si="110"/>
        <v>5000</v>
      </c>
      <c r="V81" s="107">
        <f t="shared" si="110"/>
        <v>4000</v>
      </c>
      <c r="W81" s="107">
        <f t="shared" si="110"/>
        <v>3000</v>
      </c>
      <c r="X81" s="107">
        <f t="shared" si="110"/>
        <v>3000</v>
      </c>
      <c r="Y81" s="23">
        <v>0.4</v>
      </c>
      <c r="AA81" s="175"/>
      <c r="AB81" s="103" t="s">
        <v>419</v>
      </c>
      <c r="AC81" s="52" t="s">
        <v>52</v>
      </c>
      <c r="AD81" s="104" t="s">
        <v>347</v>
      </c>
      <c r="AE81" s="105">
        <v>4544500</v>
      </c>
      <c r="AF81" s="106">
        <f t="shared" si="89"/>
        <v>1818000</v>
      </c>
      <c r="AG81" s="106">
        <f t="shared" si="90"/>
        <v>455000</v>
      </c>
      <c r="AH81" s="107">
        <f t="shared" si="91"/>
        <v>909000</v>
      </c>
      <c r="AI81" s="108">
        <f t="shared" si="92"/>
        <v>7726500</v>
      </c>
      <c r="AJ81" s="116">
        <f t="shared" si="93"/>
        <v>8113000</v>
      </c>
      <c r="AK81" s="175">
        <f t="shared" si="87"/>
        <v>6295000</v>
      </c>
      <c r="AN81" s="403"/>
      <c r="AO81" s="103"/>
      <c r="AP81" s="404" t="s">
        <v>53</v>
      </c>
      <c r="AQ81" s="104"/>
      <c r="AR81" s="407">
        <v>10500</v>
      </c>
      <c r="AS81" s="106">
        <f t="shared" si="104"/>
        <v>7400</v>
      </c>
      <c r="AT81" s="106">
        <f t="shared" si="105"/>
        <v>1100</v>
      </c>
      <c r="AU81" s="106">
        <f t="shared" si="106"/>
        <v>2100</v>
      </c>
      <c r="AV81" s="389">
        <f t="shared" si="107"/>
        <v>21100</v>
      </c>
      <c r="AW81" s="406">
        <f t="shared" si="108"/>
        <v>25320</v>
      </c>
      <c r="AX81" s="175">
        <f t="shared" si="109"/>
        <v>17920</v>
      </c>
      <c r="BK81" s="52"/>
      <c r="BL81" s="52"/>
      <c r="BM81" s="117"/>
      <c r="BR81" s="386"/>
      <c r="BS81" s="385" t="s">
        <v>408</v>
      </c>
      <c r="BT81" s="55">
        <v>206000</v>
      </c>
      <c r="BU81" s="55">
        <v>282000</v>
      </c>
      <c r="BV81" s="55">
        <v>419000</v>
      </c>
      <c r="BW81" s="55">
        <v>656000</v>
      </c>
      <c r="BX81" s="55">
        <v>939000</v>
      </c>
      <c r="BY81" s="55">
        <v>1902000</v>
      </c>
      <c r="BZ81" s="55">
        <v>3590000</v>
      </c>
      <c r="CA81" s="55">
        <v>4386000</v>
      </c>
      <c r="CB81" s="117"/>
      <c r="CC81" s="117"/>
      <c r="CG81" s="78">
        <f>CG80+1</f>
        <v>4</v>
      </c>
      <c r="CH81" s="104" t="s">
        <v>59</v>
      </c>
      <c r="CI81" s="1" t="s">
        <v>443</v>
      </c>
      <c r="CJ81" s="175" t="s">
        <v>444</v>
      </c>
      <c r="CK81" s="271">
        <v>3098710</v>
      </c>
      <c r="CL81" s="401">
        <f t="shared" si="101"/>
        <v>3719000</v>
      </c>
      <c r="CZ81" s="324" t="s">
        <v>445</v>
      </c>
      <c r="DA81" s="347" t="s">
        <v>446</v>
      </c>
      <c r="DB81" s="325">
        <v>18</v>
      </c>
      <c r="DC81" s="332">
        <v>61300</v>
      </c>
      <c r="DD81" s="333"/>
      <c r="DE81" s="332">
        <f t="shared" si="78"/>
        <v>83000</v>
      </c>
      <c r="DF81" s="333"/>
      <c r="DG81" s="332">
        <f>ROUNDUP((DE81*45%),-3)</f>
        <v>38000</v>
      </c>
      <c r="DH81" s="333"/>
      <c r="DK81" s="161"/>
      <c r="DL81" s="161"/>
      <c r="DM81" s="161"/>
      <c r="DN81" s="161"/>
      <c r="DO81" s="161"/>
      <c r="DP81" s="161"/>
      <c r="DQ81" s="161"/>
      <c r="DR81" s="161"/>
      <c r="DS81" s="161"/>
      <c r="DT81" s="161"/>
      <c r="DU81" s="161"/>
      <c r="DV81" s="161"/>
      <c r="DW81" s="161"/>
      <c r="DX81" s="311" t="s">
        <v>447</v>
      </c>
      <c r="DY81" s="163">
        <v>22072</v>
      </c>
      <c r="DZ81" s="163">
        <v>24500</v>
      </c>
      <c r="EA81" s="286">
        <f t="shared" si="102"/>
        <v>33075</v>
      </c>
      <c r="ED81" s="311">
        <v>50</v>
      </c>
      <c r="EE81" s="162">
        <v>32423</v>
      </c>
      <c r="EF81" s="162">
        <v>36000</v>
      </c>
      <c r="EG81" s="286">
        <f t="shared" si="103"/>
        <v>48600</v>
      </c>
    </row>
    <row r="82" spans="3:137" ht="18" thickBot="1">
      <c r="C82" s="23" t="s">
        <v>13</v>
      </c>
      <c r="D82" s="23"/>
      <c r="E82" s="107">
        <f t="shared" ref="E82:X82" si="111">ROUNDUP(E80*$Y$81,-3)</f>
        <v>1636000</v>
      </c>
      <c r="F82" s="107">
        <f t="shared" si="111"/>
        <v>3800000</v>
      </c>
      <c r="G82" s="107">
        <f t="shared" si="111"/>
        <v>1359000</v>
      </c>
      <c r="H82" s="107">
        <f t="shared" si="111"/>
        <v>1221000</v>
      </c>
      <c r="I82" s="107">
        <f t="shared" si="111"/>
        <v>740000</v>
      </c>
      <c r="J82" s="107">
        <f t="shared" si="111"/>
        <v>741000</v>
      </c>
      <c r="K82" s="107">
        <f t="shared" si="111"/>
        <v>688000</v>
      </c>
      <c r="L82" s="107">
        <f t="shared" si="111"/>
        <v>494000</v>
      </c>
      <c r="M82" s="107">
        <f t="shared" si="111"/>
        <v>330000</v>
      </c>
      <c r="N82" s="107">
        <f t="shared" si="111"/>
        <v>144000</v>
      </c>
      <c r="O82" s="107">
        <f t="shared" si="111"/>
        <v>98000</v>
      </c>
      <c r="P82" s="107">
        <f t="shared" si="111"/>
        <v>58000</v>
      </c>
      <c r="Q82" s="107">
        <f t="shared" si="111"/>
        <v>27000</v>
      </c>
      <c r="R82" s="107">
        <f t="shared" si="111"/>
        <v>20000</v>
      </c>
      <c r="S82" s="107">
        <f t="shared" si="111"/>
        <v>11000</v>
      </c>
      <c r="T82" s="107">
        <f t="shared" si="111"/>
        <v>8000</v>
      </c>
      <c r="U82" s="107">
        <f t="shared" si="111"/>
        <v>5000</v>
      </c>
      <c r="V82" s="107">
        <f t="shared" si="111"/>
        <v>4000</v>
      </c>
      <c r="W82" s="107">
        <f t="shared" si="111"/>
        <v>3000</v>
      </c>
      <c r="X82" s="107">
        <f t="shared" si="111"/>
        <v>3000</v>
      </c>
      <c r="Y82" s="23">
        <v>0.2</v>
      </c>
      <c r="AA82" s="175"/>
      <c r="AB82" s="103" t="s">
        <v>419</v>
      </c>
      <c r="AC82" s="52" t="s">
        <v>52</v>
      </c>
      <c r="AD82" s="104" t="s">
        <v>374</v>
      </c>
      <c r="AE82" s="105">
        <v>4852500</v>
      </c>
      <c r="AF82" s="106">
        <f t="shared" si="89"/>
        <v>1941000</v>
      </c>
      <c r="AG82" s="106">
        <f t="shared" si="90"/>
        <v>486000</v>
      </c>
      <c r="AH82" s="107">
        <f t="shared" si="91"/>
        <v>971000</v>
      </c>
      <c r="AI82" s="108">
        <f t="shared" si="92"/>
        <v>8250500</v>
      </c>
      <c r="AJ82" s="116">
        <f t="shared" si="93"/>
        <v>8664000</v>
      </c>
      <c r="AK82" s="175">
        <f t="shared" si="87"/>
        <v>6723000</v>
      </c>
      <c r="AN82" s="403"/>
      <c r="AO82" s="103"/>
      <c r="AP82" s="404" t="s">
        <v>51</v>
      </c>
      <c r="AQ82" s="104"/>
      <c r="AR82" s="407">
        <v>15050</v>
      </c>
      <c r="AS82" s="106">
        <f t="shared" si="104"/>
        <v>10600</v>
      </c>
      <c r="AT82" s="106">
        <f t="shared" si="105"/>
        <v>1600</v>
      </c>
      <c r="AU82" s="106">
        <f t="shared" si="106"/>
        <v>3100</v>
      </c>
      <c r="AV82" s="389">
        <f t="shared" si="107"/>
        <v>30350</v>
      </c>
      <c r="AW82" s="406">
        <f t="shared" si="108"/>
        <v>36420</v>
      </c>
      <c r="AX82" s="175">
        <f t="shared" si="109"/>
        <v>25820</v>
      </c>
      <c r="BC82" s="261" t="s">
        <v>448</v>
      </c>
      <c r="BD82" s="261"/>
      <c r="BE82" s="261"/>
      <c r="BF82" s="261"/>
      <c r="BG82" s="261"/>
      <c r="BJ82" s="261" t="s">
        <v>449</v>
      </c>
      <c r="BK82" s="261"/>
      <c r="BL82" s="261"/>
      <c r="BM82" s="261"/>
      <c r="BN82" s="261"/>
      <c r="BR82" s="392"/>
      <c r="BS82" s="385" t="s">
        <v>415</v>
      </c>
      <c r="BT82" s="55">
        <v>131000</v>
      </c>
      <c r="BU82" s="55">
        <v>148000</v>
      </c>
      <c r="BV82" s="55">
        <v>240000</v>
      </c>
      <c r="BW82" s="55">
        <v>351000</v>
      </c>
      <c r="BX82" s="55">
        <v>470000</v>
      </c>
      <c r="BY82" s="55">
        <v>1192000</v>
      </c>
      <c r="BZ82" s="55">
        <v>1431000</v>
      </c>
      <c r="CA82" s="55">
        <v>2224000</v>
      </c>
      <c r="CB82" s="117"/>
      <c r="CC82" s="117"/>
      <c r="CG82" s="78">
        <f>CG81+1</f>
        <v>5</v>
      </c>
      <c r="CH82" s="104" t="s">
        <v>59</v>
      </c>
      <c r="CI82" s="1" t="s">
        <v>450</v>
      </c>
      <c r="CJ82" s="175" t="s">
        <v>451</v>
      </c>
      <c r="CK82" s="271">
        <v>1954767.5</v>
      </c>
      <c r="CL82" s="408">
        <f t="shared" si="101"/>
        <v>2346000</v>
      </c>
      <c r="CZ82" s="324" t="s">
        <v>452</v>
      </c>
      <c r="DA82" s="347" t="s">
        <v>453</v>
      </c>
      <c r="DB82" s="325">
        <v>9</v>
      </c>
      <c r="DC82" s="332">
        <v>83600</v>
      </c>
      <c r="DD82" s="333"/>
      <c r="DE82" s="332">
        <f t="shared" si="78"/>
        <v>113000</v>
      </c>
      <c r="DF82" s="333"/>
      <c r="DG82" s="332">
        <f t="shared" si="79"/>
        <v>51000</v>
      </c>
      <c r="DH82" s="333"/>
      <c r="DK82" s="409" t="s">
        <v>454</v>
      </c>
      <c r="DL82" s="161"/>
      <c r="DM82" s="161"/>
      <c r="DN82" s="161"/>
      <c r="DO82" s="161"/>
      <c r="DP82" s="161"/>
      <c r="DQ82" s="161"/>
      <c r="DR82" s="161"/>
      <c r="DS82" s="161"/>
      <c r="DT82" s="161"/>
      <c r="DU82" s="161"/>
      <c r="DV82" s="161"/>
      <c r="DW82" s="161"/>
      <c r="DX82" s="311" t="s">
        <v>455</v>
      </c>
      <c r="DY82" s="163">
        <v>27658</v>
      </c>
      <c r="DZ82" s="163">
        <v>30700</v>
      </c>
      <c r="EA82" s="286">
        <f t="shared" si="102"/>
        <v>41445</v>
      </c>
      <c r="ED82" s="311">
        <v>63</v>
      </c>
      <c r="EE82" s="162">
        <v>77658</v>
      </c>
      <c r="EF82" s="162">
        <v>86200</v>
      </c>
      <c r="EG82" s="286">
        <f t="shared" si="103"/>
        <v>116370.00000000001</v>
      </c>
    </row>
    <row r="83" spans="3:137" ht="15" thickBot="1">
      <c r="C83" s="23" t="s">
        <v>208</v>
      </c>
      <c r="D83" s="23"/>
      <c r="E83" s="107">
        <f t="shared" ref="E83:X83" si="112">ROUNDUP(E80*$Y$82,-3)</f>
        <v>818000</v>
      </c>
      <c r="F83" s="107">
        <f t="shared" si="112"/>
        <v>1900000</v>
      </c>
      <c r="G83" s="107">
        <f t="shared" si="112"/>
        <v>680000</v>
      </c>
      <c r="H83" s="107">
        <f t="shared" si="112"/>
        <v>611000</v>
      </c>
      <c r="I83" s="107">
        <f t="shared" si="112"/>
        <v>370000</v>
      </c>
      <c r="J83" s="107">
        <f t="shared" si="112"/>
        <v>371000</v>
      </c>
      <c r="K83" s="107">
        <f t="shared" si="112"/>
        <v>344000</v>
      </c>
      <c r="L83" s="107">
        <f t="shared" si="112"/>
        <v>247000</v>
      </c>
      <c r="M83" s="107">
        <f t="shared" si="112"/>
        <v>165000</v>
      </c>
      <c r="N83" s="107">
        <f t="shared" si="112"/>
        <v>72000</v>
      </c>
      <c r="O83" s="107">
        <f t="shared" si="112"/>
        <v>49000</v>
      </c>
      <c r="P83" s="107">
        <f t="shared" si="112"/>
        <v>29000</v>
      </c>
      <c r="Q83" s="107">
        <f t="shared" si="112"/>
        <v>14000</v>
      </c>
      <c r="R83" s="107">
        <f t="shared" si="112"/>
        <v>10000</v>
      </c>
      <c r="S83" s="107">
        <f t="shared" si="112"/>
        <v>6000</v>
      </c>
      <c r="T83" s="107">
        <f t="shared" si="112"/>
        <v>4000</v>
      </c>
      <c r="U83" s="107">
        <f t="shared" si="112"/>
        <v>3000</v>
      </c>
      <c r="V83" s="107">
        <f t="shared" si="112"/>
        <v>2000</v>
      </c>
      <c r="W83" s="107">
        <f t="shared" si="112"/>
        <v>2000</v>
      </c>
      <c r="X83" s="107">
        <f t="shared" si="112"/>
        <v>2000</v>
      </c>
      <c r="Y83" s="110"/>
      <c r="AA83" s="148"/>
      <c r="AB83" s="141" t="s">
        <v>419</v>
      </c>
      <c r="AC83" s="142" t="s">
        <v>52</v>
      </c>
      <c r="AD83" s="143" t="s">
        <v>394</v>
      </c>
      <c r="AE83" s="144">
        <v>5699500</v>
      </c>
      <c r="AF83" s="145">
        <f t="shared" si="89"/>
        <v>2280000</v>
      </c>
      <c r="AG83" s="145">
        <f t="shared" si="90"/>
        <v>570000</v>
      </c>
      <c r="AH83" s="146">
        <f t="shared" si="91"/>
        <v>1140000</v>
      </c>
      <c r="AI83" s="147">
        <f t="shared" si="92"/>
        <v>9689500</v>
      </c>
      <c r="AJ83" s="205">
        <f t="shared" si="93"/>
        <v>10174000</v>
      </c>
      <c r="AK83" s="148">
        <f t="shared" si="87"/>
        <v>7894000</v>
      </c>
      <c r="AN83" s="403"/>
      <c r="AO83" s="103"/>
      <c r="AP83" s="404" t="s">
        <v>75</v>
      </c>
      <c r="AQ83" s="104"/>
      <c r="AR83" s="407">
        <v>26050</v>
      </c>
      <c r="AS83" s="106">
        <f t="shared" si="104"/>
        <v>18300</v>
      </c>
      <c r="AT83" s="106">
        <f t="shared" si="105"/>
        <v>2700</v>
      </c>
      <c r="AU83" s="106">
        <f t="shared" si="106"/>
        <v>5300</v>
      </c>
      <c r="AV83" s="389">
        <f t="shared" si="107"/>
        <v>52350</v>
      </c>
      <c r="AW83" s="406">
        <f t="shared" si="108"/>
        <v>62820</v>
      </c>
      <c r="AX83" s="175">
        <f t="shared" si="109"/>
        <v>44520</v>
      </c>
      <c r="BD83" s="29" t="s">
        <v>21</v>
      </c>
      <c r="BE83" s="30" t="s">
        <v>22</v>
      </c>
      <c r="BF83" s="31" t="s">
        <v>23</v>
      </c>
      <c r="BK83" s="29" t="s">
        <v>21</v>
      </c>
      <c r="BL83" s="30" t="s">
        <v>22</v>
      </c>
      <c r="BM83" s="31" t="s">
        <v>23</v>
      </c>
      <c r="CG83" s="153">
        <f>CG82+1</f>
        <v>6</v>
      </c>
      <c r="CH83" s="410"/>
      <c r="CI83" s="170" t="s">
        <v>456</v>
      </c>
      <c r="CJ83" s="148" t="s">
        <v>457</v>
      </c>
      <c r="CK83" s="411">
        <v>1143942.5</v>
      </c>
      <c r="CL83" s="412">
        <f t="shared" si="101"/>
        <v>1373000</v>
      </c>
      <c r="CZ83" s="324" t="s">
        <v>458</v>
      </c>
      <c r="DA83" s="347" t="s">
        <v>459</v>
      </c>
      <c r="DB83" s="325">
        <v>10</v>
      </c>
      <c r="DC83" s="332">
        <v>92400</v>
      </c>
      <c r="DD83" s="333"/>
      <c r="DE83" s="332">
        <f t="shared" si="78"/>
        <v>125000</v>
      </c>
      <c r="DF83" s="333"/>
      <c r="DG83" s="332">
        <f t="shared" si="79"/>
        <v>57000</v>
      </c>
      <c r="DH83" s="333"/>
      <c r="DK83" s="353" t="s">
        <v>65</v>
      </c>
      <c r="DL83" s="354"/>
      <c r="DM83" s="355" t="s">
        <v>312</v>
      </c>
      <c r="DN83" s="355" t="s">
        <v>313</v>
      </c>
      <c r="DO83" s="356"/>
      <c r="DP83" s="355" t="s">
        <v>314</v>
      </c>
      <c r="DQ83" s="355"/>
      <c r="DR83" s="355" t="s">
        <v>48</v>
      </c>
      <c r="DS83" s="357"/>
      <c r="DT83" s="161"/>
      <c r="DU83" s="161"/>
      <c r="DV83" s="161"/>
      <c r="DW83" s="161"/>
      <c r="DX83" s="311" t="s">
        <v>460</v>
      </c>
      <c r="DY83" s="163">
        <v>40450</v>
      </c>
      <c r="DZ83" s="163">
        <v>44900</v>
      </c>
      <c r="EA83" s="286">
        <f t="shared" si="102"/>
        <v>60615.000000000007</v>
      </c>
      <c r="ED83" s="311">
        <v>75</v>
      </c>
      <c r="EE83" s="162">
        <v>123694</v>
      </c>
      <c r="EF83" s="162">
        <v>137300</v>
      </c>
      <c r="EG83" s="286">
        <f t="shared" si="103"/>
        <v>185355</v>
      </c>
    </row>
    <row r="84" spans="3:137" ht="21">
      <c r="C84" s="259" t="s">
        <v>15</v>
      </c>
      <c r="D84" s="259"/>
      <c r="E84" s="260">
        <f>SUM(E80:E83)</f>
        <v>8179000</v>
      </c>
      <c r="F84" s="260">
        <f t="shared" ref="F84:X84" si="113">SUM(F80:F83)</f>
        <v>19000000</v>
      </c>
      <c r="G84" s="260">
        <f t="shared" si="113"/>
        <v>6795000</v>
      </c>
      <c r="H84" s="260">
        <f t="shared" si="113"/>
        <v>6104000</v>
      </c>
      <c r="I84" s="260">
        <f t="shared" si="113"/>
        <v>3699000</v>
      </c>
      <c r="J84" s="260">
        <f t="shared" si="113"/>
        <v>3705000</v>
      </c>
      <c r="K84" s="260">
        <f t="shared" si="113"/>
        <v>3440000</v>
      </c>
      <c r="L84" s="260">
        <f t="shared" si="113"/>
        <v>2468000</v>
      </c>
      <c r="M84" s="260">
        <f t="shared" si="113"/>
        <v>1648000</v>
      </c>
      <c r="N84" s="260">
        <f t="shared" si="113"/>
        <v>720000</v>
      </c>
      <c r="O84" s="260">
        <f t="shared" si="113"/>
        <v>490000</v>
      </c>
      <c r="P84" s="260">
        <f t="shared" si="113"/>
        <v>290000</v>
      </c>
      <c r="Q84" s="260">
        <f t="shared" si="113"/>
        <v>135000</v>
      </c>
      <c r="R84" s="260">
        <f t="shared" si="113"/>
        <v>100000</v>
      </c>
      <c r="S84" s="260">
        <f t="shared" si="113"/>
        <v>54000</v>
      </c>
      <c r="T84" s="260">
        <f t="shared" si="113"/>
        <v>38000</v>
      </c>
      <c r="U84" s="260">
        <f t="shared" si="113"/>
        <v>25000</v>
      </c>
      <c r="V84" s="260">
        <f t="shared" si="113"/>
        <v>19000</v>
      </c>
      <c r="W84" s="260">
        <f t="shared" si="113"/>
        <v>14000</v>
      </c>
      <c r="X84" s="260">
        <f t="shared" si="113"/>
        <v>13300</v>
      </c>
      <c r="Y84" s="23">
        <v>1.1000000000000001</v>
      </c>
      <c r="AA84" s="46" t="s">
        <v>427</v>
      </c>
      <c r="AB84" s="103" t="s">
        <v>427</v>
      </c>
      <c r="AC84" s="52" t="s">
        <v>52</v>
      </c>
      <c r="AD84" s="104" t="s">
        <v>136</v>
      </c>
      <c r="AE84" s="105">
        <v>5391500</v>
      </c>
      <c r="AF84" s="106">
        <f t="shared" si="89"/>
        <v>2157000</v>
      </c>
      <c r="AG84" s="106">
        <f t="shared" si="90"/>
        <v>540000</v>
      </c>
      <c r="AH84" s="107">
        <f t="shared" si="91"/>
        <v>1079000</v>
      </c>
      <c r="AI84" s="108">
        <f t="shared" si="92"/>
        <v>9167500</v>
      </c>
      <c r="AJ84" s="116">
        <f t="shared" si="93"/>
        <v>9626000</v>
      </c>
      <c r="AK84" s="109">
        <f t="shared" si="87"/>
        <v>7469000</v>
      </c>
      <c r="AN84" s="403"/>
      <c r="AO84" s="103"/>
      <c r="AP84" s="404" t="s">
        <v>59</v>
      </c>
      <c r="AQ84" s="104"/>
      <c r="AR84" s="407">
        <v>34700</v>
      </c>
      <c r="AS84" s="406">
        <f t="shared" si="104"/>
        <v>24300</v>
      </c>
      <c r="AT84" s="406">
        <f t="shared" si="105"/>
        <v>3500</v>
      </c>
      <c r="AU84" s="406">
        <f t="shared" si="106"/>
        <v>7000</v>
      </c>
      <c r="AV84" s="389">
        <f t="shared" si="107"/>
        <v>69500</v>
      </c>
      <c r="AW84" s="406">
        <f t="shared" si="108"/>
        <v>83400</v>
      </c>
      <c r="AX84" s="175">
        <f t="shared" si="109"/>
        <v>59100</v>
      </c>
      <c r="BD84" s="53" t="s">
        <v>53</v>
      </c>
      <c r="BE84" s="54">
        <f>(257550*15%)+257550</f>
        <v>296182.5</v>
      </c>
      <c r="BF84" s="55">
        <f>ROUNDUP(BE84*$BH$88,-3)</f>
        <v>386000</v>
      </c>
      <c r="BH84" s="23">
        <v>0.4</v>
      </c>
      <c r="BK84" s="53" t="s">
        <v>53</v>
      </c>
      <c r="BL84" s="54">
        <f>(258850*15%)+258850</f>
        <v>297677.5</v>
      </c>
      <c r="BM84" s="55">
        <f t="shared" ref="BM84:BM92" si="114">ROUNDUP(BL84*$BO$88,-3)</f>
        <v>387000</v>
      </c>
      <c r="BO84" s="23">
        <v>0.4</v>
      </c>
      <c r="BT84" s="377" t="s">
        <v>461</v>
      </c>
      <c r="BU84" s="377"/>
      <c r="BV84" s="377"/>
      <c r="BW84" s="377"/>
      <c r="BX84" s="377"/>
      <c r="BY84" s="377"/>
      <c r="BZ84" s="377"/>
      <c r="CG84" s="273"/>
      <c r="CH84" s="413"/>
      <c r="CI84" s="394"/>
      <c r="CJ84" s="109"/>
      <c r="CK84" s="367"/>
      <c r="CL84" s="180"/>
      <c r="CZ84" s="324" t="s">
        <v>462</v>
      </c>
      <c r="DA84" s="347" t="s">
        <v>463</v>
      </c>
      <c r="DB84" s="325">
        <v>5</v>
      </c>
      <c r="DC84" s="332">
        <v>105300</v>
      </c>
      <c r="DD84" s="333"/>
      <c r="DE84" s="332">
        <f t="shared" si="78"/>
        <v>143000</v>
      </c>
      <c r="DF84" s="333"/>
      <c r="DG84" s="332">
        <f t="shared" si="79"/>
        <v>65000</v>
      </c>
      <c r="DH84" s="333"/>
      <c r="DK84" s="361" t="s">
        <v>32</v>
      </c>
      <c r="DL84" s="362" t="s">
        <v>88</v>
      </c>
      <c r="DM84" s="363"/>
      <c r="DN84" s="363"/>
      <c r="DO84" s="364"/>
      <c r="DP84" s="363"/>
      <c r="DQ84" s="363"/>
      <c r="DR84" s="363"/>
      <c r="DS84" s="365"/>
      <c r="DT84" s="161"/>
      <c r="DU84" s="161"/>
      <c r="DV84" s="161"/>
      <c r="DW84" s="161"/>
      <c r="DX84" s="311" t="s">
        <v>464</v>
      </c>
      <c r="DY84" s="163">
        <v>44955</v>
      </c>
      <c r="DZ84" s="163">
        <v>49900</v>
      </c>
      <c r="EA84" s="286">
        <f t="shared" si="102"/>
        <v>67365</v>
      </c>
      <c r="ED84" s="311">
        <v>90</v>
      </c>
      <c r="EE84" s="162">
        <v>160721</v>
      </c>
      <c r="EF84" s="162">
        <v>178400</v>
      </c>
      <c r="EG84" s="286">
        <f t="shared" si="103"/>
        <v>240840.00000000003</v>
      </c>
    </row>
    <row r="85" spans="3:137">
      <c r="C85" s="23" t="s">
        <v>215</v>
      </c>
      <c r="D85" s="23"/>
      <c r="E85" s="107">
        <f>ROUNDUP(E84*$R$76,-3)</f>
        <v>8588000</v>
      </c>
      <c r="F85" s="107">
        <f>ROUNDUP(F84*$R$76,-3)</f>
        <v>19950000</v>
      </c>
      <c r="G85" s="107">
        <f t="shared" ref="G85:X85" si="115">ROUNDUP(G84*$R$76,-3)</f>
        <v>7135000</v>
      </c>
      <c r="H85" s="107">
        <f t="shared" si="115"/>
        <v>6410000</v>
      </c>
      <c r="I85" s="107">
        <f t="shared" si="115"/>
        <v>3884000</v>
      </c>
      <c r="J85" s="107">
        <f>ROUNDUP(J84*$R$76,-3)</f>
        <v>3891000</v>
      </c>
      <c r="K85" s="107">
        <f t="shared" si="115"/>
        <v>3612000</v>
      </c>
      <c r="L85" s="107">
        <f t="shared" si="115"/>
        <v>2592000</v>
      </c>
      <c r="M85" s="107">
        <f t="shared" si="115"/>
        <v>1731000</v>
      </c>
      <c r="N85" s="107">
        <f t="shared" si="115"/>
        <v>756000</v>
      </c>
      <c r="O85" s="107">
        <f t="shared" si="115"/>
        <v>515000</v>
      </c>
      <c r="P85" s="107">
        <f t="shared" si="115"/>
        <v>305000</v>
      </c>
      <c r="Q85" s="107">
        <f t="shared" si="115"/>
        <v>142000</v>
      </c>
      <c r="R85" s="107">
        <f t="shared" si="115"/>
        <v>105000</v>
      </c>
      <c r="S85" s="107">
        <f t="shared" si="115"/>
        <v>57000</v>
      </c>
      <c r="T85" s="107">
        <f t="shared" si="115"/>
        <v>40000</v>
      </c>
      <c r="U85" s="107">
        <f>ROUNDUP(U84*$R$76,-3)</f>
        <v>27000</v>
      </c>
      <c r="V85" s="107">
        <f t="shared" si="115"/>
        <v>20000</v>
      </c>
      <c r="W85" s="107">
        <f t="shared" si="115"/>
        <v>15000</v>
      </c>
      <c r="X85" s="107">
        <f t="shared" si="115"/>
        <v>14000</v>
      </c>
      <c r="Y85" s="23"/>
      <c r="AA85" s="175"/>
      <c r="AB85" s="103" t="s">
        <v>427</v>
      </c>
      <c r="AC85" s="52" t="s">
        <v>52</v>
      </c>
      <c r="AD85" s="104" t="s">
        <v>139</v>
      </c>
      <c r="AE85" s="105">
        <v>5545500</v>
      </c>
      <c r="AF85" s="106">
        <f t="shared" si="89"/>
        <v>2219000</v>
      </c>
      <c r="AG85" s="106">
        <f t="shared" si="90"/>
        <v>555000</v>
      </c>
      <c r="AH85" s="107">
        <f t="shared" si="91"/>
        <v>1110000</v>
      </c>
      <c r="AI85" s="108">
        <f t="shared" si="92"/>
        <v>9429500</v>
      </c>
      <c r="AJ85" s="116">
        <f t="shared" si="93"/>
        <v>9901000</v>
      </c>
      <c r="AK85" s="175">
        <f t="shared" si="87"/>
        <v>7682000</v>
      </c>
      <c r="AN85" s="403"/>
      <c r="AO85" s="103"/>
      <c r="AP85" s="404" t="s">
        <v>125</v>
      </c>
      <c r="AQ85" s="104"/>
      <c r="AR85" s="407">
        <v>46250</v>
      </c>
      <c r="AS85" s="406">
        <f t="shared" si="104"/>
        <v>32400</v>
      </c>
      <c r="AT85" s="406">
        <f t="shared" si="105"/>
        <v>4700</v>
      </c>
      <c r="AU85" s="406">
        <f t="shared" si="106"/>
        <v>9300</v>
      </c>
      <c r="AV85" s="389">
        <f t="shared" si="107"/>
        <v>92650</v>
      </c>
      <c r="AW85" s="406">
        <f t="shared" si="108"/>
        <v>111180</v>
      </c>
      <c r="AX85" s="175">
        <f t="shared" si="109"/>
        <v>78780</v>
      </c>
      <c r="BD85" s="80" t="s">
        <v>51</v>
      </c>
      <c r="BE85" s="81">
        <f>(320950*15%)+320950</f>
        <v>369092.5</v>
      </c>
      <c r="BF85" s="82">
        <f t="shared" ref="BF85:BF92" si="116">ROUNDUP(BE85*$BH$88,-3)</f>
        <v>480000</v>
      </c>
      <c r="BH85" s="23">
        <v>0.1</v>
      </c>
      <c r="BK85" s="80" t="s">
        <v>51</v>
      </c>
      <c r="BL85" s="81">
        <f>(349450*15%)+349450</f>
        <v>401867.5</v>
      </c>
      <c r="BM85" s="82">
        <f t="shared" si="114"/>
        <v>523000</v>
      </c>
      <c r="BO85" s="23">
        <v>0.1</v>
      </c>
      <c r="BR85" s="379" t="s">
        <v>390</v>
      </c>
      <c r="BS85" s="380"/>
      <c r="BT85" s="381" t="s">
        <v>252</v>
      </c>
      <c r="BU85" s="381" t="s">
        <v>77</v>
      </c>
      <c r="BV85" s="381" t="s">
        <v>108</v>
      </c>
      <c r="BW85" s="381" t="s">
        <v>117</v>
      </c>
      <c r="BX85" s="381" t="s">
        <v>124</v>
      </c>
      <c r="BY85" s="381" t="s">
        <v>132</v>
      </c>
      <c r="BZ85" s="382" t="s">
        <v>136</v>
      </c>
      <c r="CA85" s="382" t="s">
        <v>139</v>
      </c>
      <c r="CG85" s="78">
        <f t="shared" ref="CG85:CG98" si="117">CG84+1</f>
        <v>1</v>
      </c>
      <c r="CH85" s="104" t="s">
        <v>53</v>
      </c>
      <c r="CI85" s="1" t="s">
        <v>465</v>
      </c>
      <c r="CJ85" s="175" t="s">
        <v>466</v>
      </c>
      <c r="CK85" s="271">
        <v>3486300</v>
      </c>
      <c r="CL85" s="401">
        <f>ROUNDUP(CK85*$CN$9,-3)</f>
        <v>4184000</v>
      </c>
      <c r="CZ85" s="324" t="s">
        <v>467</v>
      </c>
      <c r="DA85" s="347" t="s">
        <v>468</v>
      </c>
      <c r="DB85" s="325">
        <v>5</v>
      </c>
      <c r="DC85" s="332">
        <v>114800</v>
      </c>
      <c r="DD85" s="333"/>
      <c r="DE85" s="332">
        <f t="shared" si="78"/>
        <v>155000</v>
      </c>
      <c r="DF85" s="333"/>
      <c r="DG85" s="332">
        <f t="shared" si="79"/>
        <v>70000</v>
      </c>
      <c r="DH85" s="333"/>
      <c r="DK85" s="287">
        <v>16</v>
      </c>
      <c r="DL85" s="156" t="s">
        <v>368</v>
      </c>
      <c r="DM85" s="287">
        <v>300</v>
      </c>
      <c r="DN85" s="265">
        <v>2200</v>
      </c>
      <c r="DO85" s="328"/>
      <c r="DP85" s="328">
        <f>ROUNDUP(DN85*$DS$52,-3)</f>
        <v>3000</v>
      </c>
      <c r="DQ85" s="329"/>
      <c r="DR85" s="328">
        <f>ROUNDUP((DP85*45%),-3)</f>
        <v>2000</v>
      </c>
      <c r="DS85" s="330"/>
      <c r="DT85" s="161"/>
      <c r="DU85" s="161"/>
      <c r="DV85" s="161"/>
      <c r="DW85" s="161"/>
      <c r="DX85" s="311" t="s">
        <v>469</v>
      </c>
      <c r="DY85" s="163">
        <v>46396</v>
      </c>
      <c r="DZ85" s="163">
        <v>51500</v>
      </c>
      <c r="EA85" s="286">
        <f t="shared" si="102"/>
        <v>69525</v>
      </c>
      <c r="ED85" s="311">
        <v>110</v>
      </c>
      <c r="EE85" s="162">
        <v>283333</v>
      </c>
      <c r="EF85" s="162">
        <v>314500</v>
      </c>
      <c r="EG85" s="286">
        <f t="shared" si="103"/>
        <v>424575</v>
      </c>
    </row>
    <row r="86" spans="3:137" ht="15" thickBot="1">
      <c r="D86" s="391">
        <f>D85-D81</f>
        <v>0</v>
      </c>
      <c r="E86" s="391">
        <f t="shared" ref="E86:X86" si="118">E85-E81</f>
        <v>6952000</v>
      </c>
      <c r="F86" s="391">
        <f t="shared" si="118"/>
        <v>16150000</v>
      </c>
      <c r="G86" s="391">
        <f t="shared" si="118"/>
        <v>5776000</v>
      </c>
      <c r="H86" s="391">
        <f t="shared" si="118"/>
        <v>5189000</v>
      </c>
      <c r="I86" s="391">
        <f t="shared" si="118"/>
        <v>3144000</v>
      </c>
      <c r="J86" s="391">
        <f t="shared" si="118"/>
        <v>3150000</v>
      </c>
      <c r="K86" s="391">
        <f t="shared" si="118"/>
        <v>2924000</v>
      </c>
      <c r="L86" s="391">
        <f t="shared" si="118"/>
        <v>2098000</v>
      </c>
      <c r="M86" s="391">
        <f t="shared" si="118"/>
        <v>1401000</v>
      </c>
      <c r="N86" s="391">
        <f t="shared" si="118"/>
        <v>612000</v>
      </c>
      <c r="O86" s="391">
        <f t="shared" si="118"/>
        <v>417000</v>
      </c>
      <c r="P86" s="391">
        <f t="shared" si="118"/>
        <v>247000</v>
      </c>
      <c r="Q86" s="391">
        <f t="shared" si="118"/>
        <v>115000</v>
      </c>
      <c r="R86" s="391">
        <f t="shared" si="118"/>
        <v>85000</v>
      </c>
      <c r="S86" s="391">
        <f t="shared" si="118"/>
        <v>46000</v>
      </c>
      <c r="T86" s="391">
        <f t="shared" si="118"/>
        <v>32000</v>
      </c>
      <c r="U86" s="391">
        <f t="shared" si="118"/>
        <v>22000</v>
      </c>
      <c r="V86" s="391">
        <f t="shared" si="118"/>
        <v>16000</v>
      </c>
      <c r="W86" s="391">
        <f t="shared" si="118"/>
        <v>12000</v>
      </c>
      <c r="X86" s="391">
        <f t="shared" si="118"/>
        <v>11000</v>
      </c>
      <c r="AA86" s="175"/>
      <c r="AB86" s="103" t="s">
        <v>427</v>
      </c>
      <c r="AC86" s="52" t="s">
        <v>52</v>
      </c>
      <c r="AD86" s="104" t="s">
        <v>347</v>
      </c>
      <c r="AE86" s="105">
        <v>5776500</v>
      </c>
      <c r="AF86" s="106">
        <f t="shared" si="89"/>
        <v>2311000</v>
      </c>
      <c r="AG86" s="106">
        <f t="shared" si="90"/>
        <v>578000</v>
      </c>
      <c r="AH86" s="107">
        <f t="shared" si="91"/>
        <v>1156000</v>
      </c>
      <c r="AI86" s="108">
        <f t="shared" si="92"/>
        <v>9821500</v>
      </c>
      <c r="AJ86" s="116">
        <f>ROUNDUP(AI86*$AL$7,-3)</f>
        <v>10313000</v>
      </c>
      <c r="AK86" s="175">
        <f t="shared" si="87"/>
        <v>8002000</v>
      </c>
      <c r="AN86" s="414"/>
      <c r="AO86" s="141"/>
      <c r="AP86" s="415" t="s">
        <v>40</v>
      </c>
      <c r="AQ86" s="143"/>
      <c r="AR86" s="416">
        <v>69350</v>
      </c>
      <c r="AS86" s="417">
        <f t="shared" si="104"/>
        <v>48600</v>
      </c>
      <c r="AT86" s="417">
        <f t="shared" si="105"/>
        <v>7000</v>
      </c>
      <c r="AU86" s="417">
        <f t="shared" si="106"/>
        <v>13900</v>
      </c>
      <c r="AV86" s="418">
        <f t="shared" si="107"/>
        <v>138850</v>
      </c>
      <c r="AW86" s="417">
        <f t="shared" si="108"/>
        <v>166620</v>
      </c>
      <c r="AX86" s="148">
        <f t="shared" si="109"/>
        <v>118020</v>
      </c>
      <c r="BD86" s="80" t="s">
        <v>75</v>
      </c>
      <c r="BE86" s="81">
        <f>(445200*15%)+445200</f>
        <v>511980</v>
      </c>
      <c r="BF86" s="82">
        <f t="shared" si="116"/>
        <v>666000</v>
      </c>
      <c r="BH86" s="23">
        <v>0.2</v>
      </c>
      <c r="BK86" s="80" t="s">
        <v>75</v>
      </c>
      <c r="BL86" s="81">
        <f>(528000*15%)+528000</f>
        <v>607200</v>
      </c>
      <c r="BM86" s="82">
        <f t="shared" si="114"/>
        <v>790000</v>
      </c>
      <c r="BO86" s="23">
        <v>0.2</v>
      </c>
      <c r="BR86" s="419" t="s">
        <v>395</v>
      </c>
      <c r="BS86" s="385" t="s">
        <v>396</v>
      </c>
      <c r="BT86" s="55">
        <f>BT73*CB$72</f>
        <v>118800.00000000001</v>
      </c>
      <c r="BU86" s="55">
        <f>BU73*CB$72</f>
        <v>170100</v>
      </c>
      <c r="BV86" s="55">
        <f t="shared" ref="BV86:CA95" si="119">BV73*$CB$72</f>
        <v>314550</v>
      </c>
      <c r="BW86" s="55">
        <f t="shared" si="119"/>
        <v>499500.00000000006</v>
      </c>
      <c r="BX86" s="55">
        <f t="shared" si="119"/>
        <v>692550</v>
      </c>
      <c r="BY86" s="55">
        <f t="shared" si="119"/>
        <v>1440450</v>
      </c>
      <c r="BZ86" s="55">
        <f t="shared" si="119"/>
        <v>2768850</v>
      </c>
      <c r="CA86" s="55">
        <f t="shared" si="119"/>
        <v>3781350.0000000005</v>
      </c>
      <c r="CG86" s="78">
        <f t="shared" si="117"/>
        <v>2</v>
      </c>
      <c r="CH86" s="104" t="s">
        <v>51</v>
      </c>
      <c r="CI86" s="1" t="s">
        <v>470</v>
      </c>
      <c r="CJ86" s="175" t="s">
        <v>471</v>
      </c>
      <c r="CK86" s="271">
        <v>3486300</v>
      </c>
      <c r="CL86" s="401">
        <f>ROUNDUP(CK86*$CN$9,-3)</f>
        <v>4184000</v>
      </c>
      <c r="CZ86" s="324" t="s">
        <v>472</v>
      </c>
      <c r="DA86" s="347" t="s">
        <v>473</v>
      </c>
      <c r="DB86" s="325">
        <v>5</v>
      </c>
      <c r="DC86" s="332">
        <v>120200</v>
      </c>
      <c r="DD86" s="333"/>
      <c r="DE86" s="332">
        <f t="shared" si="78"/>
        <v>163000</v>
      </c>
      <c r="DF86" s="333"/>
      <c r="DG86" s="332">
        <f t="shared" si="79"/>
        <v>74000</v>
      </c>
      <c r="DH86" s="333"/>
      <c r="DK86" s="287">
        <v>20</v>
      </c>
      <c r="DL86" s="156" t="s">
        <v>372</v>
      </c>
      <c r="DM86" s="287">
        <v>200</v>
      </c>
      <c r="DN86" s="265">
        <v>2600</v>
      </c>
      <c r="DO86" s="328"/>
      <c r="DP86" s="328">
        <f t="shared" ref="DP86:DP96" si="120">ROUNDUP(DN86*$DS$52,-3)</f>
        <v>4000</v>
      </c>
      <c r="DQ86" s="329"/>
      <c r="DR86" s="328">
        <f t="shared" ref="DR86:DR96" si="121">ROUNDUP((DN86*45%),-3)</f>
        <v>2000</v>
      </c>
      <c r="DS86" s="330"/>
      <c r="DT86" s="161"/>
      <c r="DU86" s="161"/>
      <c r="DV86" s="161"/>
      <c r="DW86" s="161"/>
      <c r="DX86" s="311" t="s">
        <v>474</v>
      </c>
      <c r="DY86" s="163">
        <v>56577</v>
      </c>
      <c r="DZ86" s="163">
        <v>62800</v>
      </c>
      <c r="EA86" s="286">
        <f t="shared" si="102"/>
        <v>84780</v>
      </c>
      <c r="ED86" s="331">
        <v>160</v>
      </c>
      <c r="EE86" s="216">
        <v>1443423</v>
      </c>
      <c r="EF86" s="216">
        <v>1602200</v>
      </c>
      <c r="EG86" s="298">
        <f t="shared" si="103"/>
        <v>2162970</v>
      </c>
    </row>
    <row r="87" spans="3:137">
      <c r="AA87" s="175"/>
      <c r="AB87" s="103" t="s">
        <v>427</v>
      </c>
      <c r="AC87" s="52" t="s">
        <v>52</v>
      </c>
      <c r="AD87" s="104" t="s">
        <v>374</v>
      </c>
      <c r="AE87" s="105">
        <v>6084500</v>
      </c>
      <c r="AF87" s="106">
        <f t="shared" si="89"/>
        <v>2434000</v>
      </c>
      <c r="AG87" s="106">
        <f t="shared" si="90"/>
        <v>609000</v>
      </c>
      <c r="AH87" s="107">
        <f t="shared" si="91"/>
        <v>1217000</v>
      </c>
      <c r="AI87" s="108">
        <f t="shared" si="92"/>
        <v>10344500</v>
      </c>
      <c r="AJ87" s="116">
        <f t="shared" si="93"/>
        <v>10862000</v>
      </c>
      <c r="AK87" s="175">
        <f t="shared" si="87"/>
        <v>8428000</v>
      </c>
      <c r="AN87" s="396" t="s">
        <v>475</v>
      </c>
      <c r="AO87" s="189"/>
      <c r="AP87" s="397" t="s">
        <v>430</v>
      </c>
      <c r="AQ87" s="191"/>
      <c r="AR87" s="420" t="s">
        <v>476</v>
      </c>
      <c r="AS87" s="420" t="s">
        <v>476</v>
      </c>
      <c r="AT87" s="420" t="s">
        <v>476</v>
      </c>
      <c r="AU87" s="420" t="s">
        <v>476</v>
      </c>
      <c r="AV87" s="421" t="s">
        <v>476</v>
      </c>
      <c r="AW87" s="420" t="s">
        <v>476</v>
      </c>
      <c r="AX87" s="109"/>
      <c r="BD87" s="80" t="s">
        <v>59</v>
      </c>
      <c r="BE87" s="81">
        <f>(653550*15%)+653550</f>
        <v>751582.5</v>
      </c>
      <c r="BF87" s="82">
        <f t="shared" si="116"/>
        <v>978000</v>
      </c>
      <c r="BH87" s="110"/>
      <c r="BK87" s="80" t="s">
        <v>59</v>
      </c>
      <c r="BL87" s="81">
        <f>(792000*15%)+792000</f>
        <v>910800</v>
      </c>
      <c r="BM87" s="82">
        <f t="shared" si="114"/>
        <v>1185000</v>
      </c>
      <c r="BO87" s="110"/>
      <c r="BR87" s="422"/>
      <c r="BS87" s="385" t="s">
        <v>399</v>
      </c>
      <c r="BT87" s="55">
        <f t="shared" ref="BT87:BT95" si="122">BT74*CB$72</f>
        <v>71550</v>
      </c>
      <c r="BU87" s="55">
        <f t="shared" ref="BU87:BU95" si="123">BU74*CB$72</f>
        <v>101250</v>
      </c>
      <c r="BV87" s="55">
        <f t="shared" ref="BV87:BV95" si="124">BV74*CB$72</f>
        <v>190350</v>
      </c>
      <c r="BW87" s="55">
        <f t="shared" si="119"/>
        <v>299700</v>
      </c>
      <c r="BX87" s="55">
        <f t="shared" si="119"/>
        <v>415800</v>
      </c>
      <c r="BY87" s="55">
        <f t="shared" si="119"/>
        <v>792450</v>
      </c>
      <c r="BZ87" s="55">
        <f t="shared" si="119"/>
        <v>1522800</v>
      </c>
      <c r="CA87" s="55">
        <f t="shared" si="119"/>
        <v>2081700.0000000002</v>
      </c>
      <c r="CG87" s="78">
        <f>CG86+1</f>
        <v>3</v>
      </c>
      <c r="CH87" s="104" t="s">
        <v>75</v>
      </c>
      <c r="CI87" s="1" t="s">
        <v>477</v>
      </c>
      <c r="CJ87" s="175" t="s">
        <v>478</v>
      </c>
      <c r="CK87" s="271">
        <v>3595246.25</v>
      </c>
      <c r="CL87" s="401">
        <f>ROUNDUP(CK87*$CN$9,-3)</f>
        <v>4315000</v>
      </c>
      <c r="CZ87" s="324" t="s">
        <v>479</v>
      </c>
      <c r="DA87" s="347" t="s">
        <v>480</v>
      </c>
      <c r="DB87" s="325">
        <v>4</v>
      </c>
      <c r="DC87" s="332">
        <v>206300</v>
      </c>
      <c r="DD87" s="333"/>
      <c r="DE87" s="332">
        <f t="shared" si="78"/>
        <v>279000</v>
      </c>
      <c r="DF87" s="333"/>
      <c r="DG87" s="332">
        <f t="shared" si="79"/>
        <v>126000</v>
      </c>
      <c r="DH87" s="333"/>
      <c r="DK87" s="287">
        <v>25</v>
      </c>
      <c r="DL87" s="156" t="s">
        <v>75</v>
      </c>
      <c r="DM87" s="287">
        <v>100</v>
      </c>
      <c r="DN87" s="265">
        <v>3800</v>
      </c>
      <c r="DO87" s="328"/>
      <c r="DP87" s="328">
        <f t="shared" si="120"/>
        <v>6000</v>
      </c>
      <c r="DQ87" s="329"/>
      <c r="DR87" s="328">
        <f t="shared" si="121"/>
        <v>2000</v>
      </c>
      <c r="DS87" s="330"/>
      <c r="DT87" s="161"/>
      <c r="DU87" s="161"/>
      <c r="DV87" s="161"/>
      <c r="DW87" s="161"/>
      <c r="DX87" s="311" t="s">
        <v>481</v>
      </c>
      <c r="DY87" s="163">
        <v>71441</v>
      </c>
      <c r="DZ87" s="163">
        <v>79300</v>
      </c>
      <c r="EA87" s="286">
        <f t="shared" si="102"/>
        <v>107055</v>
      </c>
    </row>
    <row r="88" spans="3:137" ht="21">
      <c r="C88" s="23"/>
      <c r="D88" s="23"/>
      <c r="E88" s="244" t="s">
        <v>427</v>
      </c>
      <c r="F88" s="244" t="s">
        <v>428</v>
      </c>
      <c r="G88" s="244" t="s">
        <v>419</v>
      </c>
      <c r="H88" s="244" t="s">
        <v>394</v>
      </c>
      <c r="I88" s="244" t="s">
        <v>374</v>
      </c>
      <c r="J88" s="244" t="s">
        <v>347</v>
      </c>
      <c r="K88" s="244" t="s">
        <v>139</v>
      </c>
      <c r="L88" s="244" t="s">
        <v>136</v>
      </c>
      <c r="M88" s="244" t="s">
        <v>132</v>
      </c>
      <c r="N88" s="244" t="s">
        <v>124</v>
      </c>
      <c r="O88" s="244" t="s">
        <v>117</v>
      </c>
      <c r="P88" s="244" t="s">
        <v>108</v>
      </c>
      <c r="Q88" s="244" t="s">
        <v>77</v>
      </c>
      <c r="R88" s="244" t="s">
        <v>57</v>
      </c>
      <c r="S88" s="244" t="s">
        <v>40</v>
      </c>
      <c r="T88" s="244" t="s">
        <v>125</v>
      </c>
      <c r="U88" s="244" t="s">
        <v>59</v>
      </c>
      <c r="V88" s="244" t="s">
        <v>75</v>
      </c>
      <c r="W88" s="244" t="s">
        <v>51</v>
      </c>
      <c r="X88" s="244" t="s">
        <v>53</v>
      </c>
      <c r="AA88" s="175"/>
      <c r="AB88" s="103" t="s">
        <v>427</v>
      </c>
      <c r="AC88" s="52" t="s">
        <v>52</v>
      </c>
      <c r="AD88" s="104" t="s">
        <v>394</v>
      </c>
      <c r="AE88" s="105">
        <v>6431000</v>
      </c>
      <c r="AF88" s="106">
        <f t="shared" si="89"/>
        <v>2573000</v>
      </c>
      <c r="AG88" s="106">
        <f t="shared" si="90"/>
        <v>644000</v>
      </c>
      <c r="AH88" s="107">
        <f t="shared" si="91"/>
        <v>1287000</v>
      </c>
      <c r="AI88" s="108">
        <f t="shared" si="92"/>
        <v>10935000</v>
      </c>
      <c r="AJ88" s="116">
        <f t="shared" si="93"/>
        <v>11482000</v>
      </c>
      <c r="AK88" s="175">
        <f t="shared" si="87"/>
        <v>8909000</v>
      </c>
      <c r="AN88" s="403"/>
      <c r="AO88" s="103"/>
      <c r="AP88" s="404" t="s">
        <v>437</v>
      </c>
      <c r="AQ88" s="104"/>
      <c r="AR88" s="423" t="s">
        <v>476</v>
      </c>
      <c r="AS88" s="423" t="s">
        <v>476</v>
      </c>
      <c r="AT88" s="423" t="s">
        <v>476</v>
      </c>
      <c r="AU88" s="423" t="s">
        <v>476</v>
      </c>
      <c r="AV88" s="424" t="s">
        <v>476</v>
      </c>
      <c r="AW88" s="423" t="s">
        <v>476</v>
      </c>
      <c r="AX88" s="175"/>
      <c r="BD88" s="80" t="s">
        <v>125</v>
      </c>
      <c r="BE88" s="81">
        <f>(810150*15%)+810150</f>
        <v>931672.5</v>
      </c>
      <c r="BF88" s="82">
        <f t="shared" si="116"/>
        <v>1212000</v>
      </c>
      <c r="BH88" s="23">
        <v>1.3</v>
      </c>
      <c r="BK88" s="80" t="s">
        <v>125</v>
      </c>
      <c r="BL88" s="81">
        <f>(1027550*15%)+1027550</f>
        <v>1181682.5</v>
      </c>
      <c r="BM88" s="82">
        <f t="shared" si="114"/>
        <v>1537000</v>
      </c>
      <c r="BO88" s="23">
        <v>1.3</v>
      </c>
      <c r="BR88" s="422"/>
      <c r="BS88" s="385" t="s">
        <v>402</v>
      </c>
      <c r="BT88" s="55">
        <f t="shared" si="122"/>
        <v>230850.00000000003</v>
      </c>
      <c r="BU88" s="55">
        <f t="shared" si="123"/>
        <v>278100</v>
      </c>
      <c r="BV88" s="55">
        <f t="shared" si="124"/>
        <v>415800</v>
      </c>
      <c r="BW88" s="55">
        <f t="shared" si="119"/>
        <v>639900</v>
      </c>
      <c r="BX88" s="55">
        <f t="shared" si="119"/>
        <v>904500.00000000012</v>
      </c>
      <c r="BY88" s="55">
        <f t="shared" si="119"/>
        <v>2030400.0000000002</v>
      </c>
      <c r="BZ88" s="55">
        <f t="shared" si="119"/>
        <v>3505950</v>
      </c>
      <c r="CA88" s="55">
        <f t="shared" si="119"/>
        <v>4822200</v>
      </c>
      <c r="CB88" s="352"/>
      <c r="CC88" s="352"/>
      <c r="CG88" s="78">
        <f t="shared" si="117"/>
        <v>4</v>
      </c>
      <c r="CH88" s="104" t="s">
        <v>59</v>
      </c>
      <c r="CI88" s="1" t="s">
        <v>482</v>
      </c>
      <c r="CJ88" s="175" t="s">
        <v>483</v>
      </c>
      <c r="CK88" s="271">
        <v>4031033.75</v>
      </c>
      <c r="CL88" s="401">
        <f>ROUNDUP(CK88*$CN$9,-3)</f>
        <v>4838000</v>
      </c>
      <c r="CZ88" s="324" t="s">
        <v>484</v>
      </c>
      <c r="DA88" s="347" t="s">
        <v>485</v>
      </c>
      <c r="DB88" s="325">
        <v>2</v>
      </c>
      <c r="DC88" s="332">
        <v>221500</v>
      </c>
      <c r="DD88" s="333"/>
      <c r="DE88" s="332">
        <f t="shared" si="78"/>
        <v>300000</v>
      </c>
      <c r="DF88" s="333"/>
      <c r="DG88" s="332">
        <f t="shared" si="79"/>
        <v>135000</v>
      </c>
      <c r="DH88" s="333"/>
      <c r="DK88" s="287">
        <v>35</v>
      </c>
      <c r="DL88" s="156" t="s">
        <v>380</v>
      </c>
      <c r="DM88" s="287">
        <v>64</v>
      </c>
      <c r="DN88" s="265">
        <v>6300</v>
      </c>
      <c r="DO88" s="328"/>
      <c r="DP88" s="328">
        <f t="shared" si="120"/>
        <v>9000</v>
      </c>
      <c r="DQ88" s="329"/>
      <c r="DR88" s="328">
        <f t="shared" si="121"/>
        <v>3000</v>
      </c>
      <c r="DS88" s="330"/>
      <c r="DT88" s="161"/>
      <c r="DU88" s="161"/>
      <c r="DV88" s="161"/>
      <c r="DW88" s="161"/>
      <c r="DX88" s="251" t="s">
        <v>486</v>
      </c>
      <c r="DY88" s="162">
        <v>72613</v>
      </c>
      <c r="DZ88" s="162">
        <v>80600</v>
      </c>
      <c r="EA88" s="286">
        <f t="shared" si="102"/>
        <v>108810</v>
      </c>
    </row>
    <row r="89" spans="3:137" ht="15" thickBot="1">
      <c r="C89" s="249" t="s">
        <v>487</v>
      </c>
      <c r="D89" s="249"/>
      <c r="E89" s="105">
        <f>ROUNDUP(1150000,-3)</f>
        <v>1150000</v>
      </c>
      <c r="F89" s="105">
        <f>ROUNDUP(1000000,-3)</f>
        <v>1000000</v>
      </c>
      <c r="G89" s="105">
        <f>ROUNDUP(800000,-3)</f>
        <v>800000</v>
      </c>
      <c r="H89" s="105">
        <f>ROUNDUP(690000,-3)</f>
        <v>690000</v>
      </c>
      <c r="I89" s="105">
        <f>ROUNDUP(540000,-3)</f>
        <v>540000</v>
      </c>
      <c r="J89" s="105">
        <f>ROUNDUP(425000,-3)</f>
        <v>425000</v>
      </c>
      <c r="K89" s="105">
        <f>ROUNDUP(310000,-3)</f>
        <v>310000</v>
      </c>
      <c r="L89" s="105">
        <f>ROUNDUP(300000,-3)</f>
        <v>300000</v>
      </c>
      <c r="M89" s="105">
        <f>ROUNDUP(198000,-3)</f>
        <v>198000</v>
      </c>
      <c r="N89" s="105">
        <f>ROUNDUP(129000,-3)</f>
        <v>129000</v>
      </c>
      <c r="O89" s="105">
        <f>ROUNDUP(115000,-3)</f>
        <v>115000</v>
      </c>
      <c r="P89" s="105">
        <f>ROUNDUP(79000,-3)</f>
        <v>79000</v>
      </c>
      <c r="Q89" s="105">
        <f>ROUNDUP(64000,-3)</f>
        <v>64000</v>
      </c>
      <c r="R89" s="105">
        <f>ROUNDUP(61000,-3)</f>
        <v>61000</v>
      </c>
      <c r="S89" s="105">
        <f>ROUNDUP(50000,-3)</f>
        <v>50000</v>
      </c>
      <c r="T89" s="105">
        <f>ROUNDUP(44000,-3)</f>
        <v>44000</v>
      </c>
      <c r="U89" s="105">
        <f>ROUNDUP(42000,-3)</f>
        <v>42000</v>
      </c>
      <c r="V89" s="105">
        <f>ROUNDUP(37000,-3)</f>
        <v>37000</v>
      </c>
      <c r="W89" s="105">
        <f>ROUNDUP(27000,-3)</f>
        <v>27000</v>
      </c>
      <c r="X89" s="105">
        <f>ROUNDUP(23000,-2)</f>
        <v>23000</v>
      </c>
      <c r="Y89" s="23">
        <v>0.4</v>
      </c>
      <c r="AA89" s="175"/>
      <c r="AB89" s="103" t="s">
        <v>427</v>
      </c>
      <c r="AC89" s="52" t="s">
        <v>52</v>
      </c>
      <c r="AD89" s="104" t="s">
        <v>419</v>
      </c>
      <c r="AE89" s="105">
        <v>6662800</v>
      </c>
      <c r="AF89" s="106">
        <f t="shared" si="89"/>
        <v>2666000</v>
      </c>
      <c r="AG89" s="106">
        <f t="shared" si="90"/>
        <v>667000</v>
      </c>
      <c r="AH89" s="107">
        <f t="shared" si="91"/>
        <v>1333000</v>
      </c>
      <c r="AI89" s="108">
        <f t="shared" si="92"/>
        <v>11328800</v>
      </c>
      <c r="AJ89" s="116">
        <f t="shared" si="93"/>
        <v>11896000</v>
      </c>
      <c r="AK89" s="175">
        <f t="shared" si="87"/>
        <v>9230000</v>
      </c>
      <c r="AN89" s="181"/>
      <c r="AO89" s="103"/>
      <c r="AP89" s="404" t="s">
        <v>53</v>
      </c>
      <c r="AQ89" s="104"/>
      <c r="AR89" s="425">
        <v>10500</v>
      </c>
      <c r="AS89" s="406">
        <f t="shared" ref="AS89:AS94" si="125">ROUNDUP(AR89*$AY$91,-2)</f>
        <v>7400</v>
      </c>
      <c r="AT89" s="406">
        <f t="shared" ref="AT89:AT94" si="126">ROUNDUP(AR89*$AY$92,-2)</f>
        <v>1100</v>
      </c>
      <c r="AU89" s="406">
        <f t="shared" ref="AU89:AU94" si="127">ROUNDUP(AR89*$AY$93,-2)</f>
        <v>2100</v>
      </c>
      <c r="AV89" s="389">
        <f t="shared" ref="AV89:AV94" si="128">SUM(AR89:AU89)</f>
        <v>21100</v>
      </c>
      <c r="AW89" s="406">
        <f t="shared" ref="AW89:AW94" si="129">AV89*$AY$95</f>
        <v>25320</v>
      </c>
      <c r="AX89" s="175">
        <f t="shared" ref="AX89:AX94" si="130">AW89-AS89</f>
        <v>17920</v>
      </c>
      <c r="BD89" s="80" t="s">
        <v>40</v>
      </c>
      <c r="BE89" s="81">
        <f>(1224250*15%)+1224250</f>
        <v>1407887.5</v>
      </c>
      <c r="BF89" s="82">
        <f t="shared" si="116"/>
        <v>1831000</v>
      </c>
      <c r="BK89" s="80" t="s">
        <v>40</v>
      </c>
      <c r="BL89" s="81">
        <f>(1598250*15%)+1598250</f>
        <v>1837987.5</v>
      </c>
      <c r="BM89" s="82">
        <f t="shared" si="114"/>
        <v>2390000</v>
      </c>
      <c r="BR89" s="422"/>
      <c r="BS89" s="385" t="s">
        <v>408</v>
      </c>
      <c r="BT89" s="55">
        <f t="shared" si="122"/>
        <v>240300.00000000003</v>
      </c>
      <c r="BU89" s="55">
        <f t="shared" si="123"/>
        <v>290250</v>
      </c>
      <c r="BV89" s="55">
        <f t="shared" si="124"/>
        <v>433350</v>
      </c>
      <c r="BW89" s="55">
        <f t="shared" si="119"/>
        <v>664200</v>
      </c>
      <c r="BX89" s="55">
        <f t="shared" si="119"/>
        <v>940950.00000000012</v>
      </c>
      <c r="BY89" s="55">
        <f t="shared" si="119"/>
        <v>2092500.0000000002</v>
      </c>
      <c r="BZ89" s="55">
        <f t="shared" si="119"/>
        <v>3611250.0000000005</v>
      </c>
      <c r="CA89" s="55">
        <f t="shared" si="119"/>
        <v>4968000</v>
      </c>
      <c r="CB89" s="383"/>
      <c r="CC89" s="383"/>
      <c r="CG89" s="153">
        <f t="shared" si="117"/>
        <v>5</v>
      </c>
      <c r="CH89" s="143" t="s">
        <v>59</v>
      </c>
      <c r="CI89" s="170" t="s">
        <v>488</v>
      </c>
      <c r="CJ89" s="148" t="s">
        <v>489</v>
      </c>
      <c r="CK89" s="411">
        <v>2178937.5</v>
      </c>
      <c r="CL89" s="426">
        <f>ROUNDUP(CK89*$CN$9,-3)</f>
        <v>2615000</v>
      </c>
      <c r="CZ89" s="324" t="s">
        <v>490</v>
      </c>
      <c r="DA89" s="347" t="s">
        <v>491</v>
      </c>
      <c r="DB89" s="325">
        <v>2</v>
      </c>
      <c r="DC89" s="332">
        <v>235200</v>
      </c>
      <c r="DD89" s="333"/>
      <c r="DE89" s="332">
        <f t="shared" si="78"/>
        <v>318000</v>
      </c>
      <c r="DF89" s="333"/>
      <c r="DG89" s="332">
        <f t="shared" si="79"/>
        <v>144000</v>
      </c>
      <c r="DH89" s="333"/>
      <c r="DK89" s="287">
        <v>40</v>
      </c>
      <c r="DL89" s="156" t="s">
        <v>383</v>
      </c>
      <c r="DM89" s="287">
        <v>40</v>
      </c>
      <c r="DN89" s="265">
        <v>9100</v>
      </c>
      <c r="DO89" s="328"/>
      <c r="DP89" s="328">
        <f t="shared" si="120"/>
        <v>13000</v>
      </c>
      <c r="DQ89" s="329"/>
      <c r="DR89" s="328">
        <f t="shared" si="121"/>
        <v>5000</v>
      </c>
      <c r="DS89" s="330"/>
      <c r="DT89" s="161"/>
      <c r="DU89" s="161"/>
      <c r="DV89" s="161"/>
      <c r="DW89" s="161"/>
      <c r="DX89" s="311" t="s">
        <v>492</v>
      </c>
      <c r="DY89" s="162">
        <v>73694</v>
      </c>
      <c r="DZ89" s="162">
        <v>81800</v>
      </c>
      <c r="EA89" s="286">
        <f t="shared" si="102"/>
        <v>110430</v>
      </c>
      <c r="ED89" s="32" t="s">
        <v>493</v>
      </c>
      <c r="EE89" s="274"/>
      <c r="EF89" s="274"/>
      <c r="EG89" s="274"/>
    </row>
    <row r="90" spans="3:137" ht="15" thickBot="1">
      <c r="C90" s="23" t="s">
        <v>12</v>
      </c>
      <c r="D90" s="23"/>
      <c r="E90" s="107">
        <f t="shared" ref="E90:X90" si="131">ROUNDUP(E89*$Y$89,-3)</f>
        <v>460000</v>
      </c>
      <c r="F90" s="107">
        <f t="shared" si="131"/>
        <v>400000</v>
      </c>
      <c r="G90" s="107">
        <f t="shared" si="131"/>
        <v>320000</v>
      </c>
      <c r="H90" s="107">
        <f t="shared" si="131"/>
        <v>276000</v>
      </c>
      <c r="I90" s="107">
        <f t="shared" si="131"/>
        <v>216000</v>
      </c>
      <c r="J90" s="107">
        <f t="shared" si="131"/>
        <v>170000</v>
      </c>
      <c r="K90" s="107">
        <f t="shared" si="131"/>
        <v>124000</v>
      </c>
      <c r="L90" s="107">
        <f t="shared" si="131"/>
        <v>120000</v>
      </c>
      <c r="M90" s="107">
        <f t="shared" si="131"/>
        <v>80000</v>
      </c>
      <c r="N90" s="107">
        <f t="shared" si="131"/>
        <v>52000</v>
      </c>
      <c r="O90" s="107">
        <f t="shared" si="131"/>
        <v>46000</v>
      </c>
      <c r="P90" s="107">
        <f t="shared" si="131"/>
        <v>32000</v>
      </c>
      <c r="Q90" s="107">
        <f t="shared" si="131"/>
        <v>26000</v>
      </c>
      <c r="R90" s="107">
        <f t="shared" si="131"/>
        <v>25000</v>
      </c>
      <c r="S90" s="107">
        <f t="shared" si="131"/>
        <v>20000</v>
      </c>
      <c r="T90" s="107">
        <f t="shared" si="131"/>
        <v>18000</v>
      </c>
      <c r="U90" s="107">
        <f t="shared" si="131"/>
        <v>17000</v>
      </c>
      <c r="V90" s="107">
        <f t="shared" si="131"/>
        <v>15000</v>
      </c>
      <c r="W90" s="107">
        <f t="shared" si="131"/>
        <v>11000</v>
      </c>
      <c r="X90" s="107">
        <f t="shared" si="131"/>
        <v>10000</v>
      </c>
      <c r="Y90" s="23">
        <v>0.1</v>
      </c>
      <c r="AA90" s="148"/>
      <c r="AB90" s="141" t="s">
        <v>427</v>
      </c>
      <c r="AC90" s="142" t="s">
        <v>52</v>
      </c>
      <c r="AD90" s="143" t="s">
        <v>428</v>
      </c>
      <c r="AE90" s="144">
        <v>6816800</v>
      </c>
      <c r="AF90" s="145">
        <f t="shared" si="89"/>
        <v>2727000</v>
      </c>
      <c r="AG90" s="145">
        <f t="shared" si="90"/>
        <v>682000</v>
      </c>
      <c r="AH90" s="146">
        <f t="shared" si="91"/>
        <v>1364000</v>
      </c>
      <c r="AI90" s="147">
        <f t="shared" si="92"/>
        <v>11589800</v>
      </c>
      <c r="AJ90" s="205">
        <f t="shared" si="93"/>
        <v>12170000</v>
      </c>
      <c r="AK90" s="148">
        <f t="shared" si="87"/>
        <v>9443000</v>
      </c>
      <c r="AN90" s="181"/>
      <c r="AO90" s="103"/>
      <c r="AP90" s="404" t="s">
        <v>51</v>
      </c>
      <c r="AQ90" s="104"/>
      <c r="AR90" s="425">
        <v>15660</v>
      </c>
      <c r="AS90" s="406">
        <f t="shared" si="125"/>
        <v>11000</v>
      </c>
      <c r="AT90" s="406">
        <f t="shared" si="126"/>
        <v>1600</v>
      </c>
      <c r="AU90" s="406">
        <f t="shared" si="127"/>
        <v>3200</v>
      </c>
      <c r="AV90" s="389">
        <f t="shared" si="128"/>
        <v>31460</v>
      </c>
      <c r="AW90" s="406">
        <f t="shared" si="129"/>
        <v>37752</v>
      </c>
      <c r="AX90" s="175">
        <f t="shared" si="130"/>
        <v>26752</v>
      </c>
      <c r="BD90" s="80" t="s">
        <v>57</v>
      </c>
      <c r="BE90" s="81">
        <v>2601200</v>
      </c>
      <c r="BF90" s="82">
        <f t="shared" si="116"/>
        <v>3382000</v>
      </c>
      <c r="BK90" s="80" t="s">
        <v>57</v>
      </c>
      <c r="BL90" s="81">
        <v>3390600</v>
      </c>
      <c r="BM90" s="82">
        <f t="shared" si="114"/>
        <v>4408000</v>
      </c>
      <c r="BR90" s="427"/>
      <c r="BS90" s="385" t="s">
        <v>415</v>
      </c>
      <c r="BT90" s="55">
        <f t="shared" si="122"/>
        <v>157950</v>
      </c>
      <c r="BU90" s="55">
        <f t="shared" si="123"/>
        <v>172800</v>
      </c>
      <c r="BV90" s="55">
        <f t="shared" si="124"/>
        <v>279450</v>
      </c>
      <c r="BW90" s="55">
        <f t="shared" si="119"/>
        <v>367200</v>
      </c>
      <c r="BX90" s="55">
        <f t="shared" si="119"/>
        <v>526500</v>
      </c>
      <c r="BY90" s="55">
        <f t="shared" si="119"/>
        <v>1394550</v>
      </c>
      <c r="BZ90" s="55">
        <f t="shared" si="119"/>
        <v>1717200</v>
      </c>
      <c r="CA90" s="55">
        <f t="shared" si="119"/>
        <v>2467800</v>
      </c>
      <c r="CB90" s="117"/>
      <c r="CC90" s="117"/>
      <c r="CG90" s="273"/>
      <c r="CH90" s="413"/>
      <c r="CI90" s="394"/>
      <c r="CJ90" s="109"/>
      <c r="CK90" s="367"/>
      <c r="CL90" s="180"/>
      <c r="CZ90" s="428" t="s">
        <v>494</v>
      </c>
      <c r="DA90" s="429" t="s">
        <v>495</v>
      </c>
      <c r="DB90" s="430">
        <v>2</v>
      </c>
      <c r="DC90" s="431">
        <v>411100</v>
      </c>
      <c r="DD90" s="432"/>
      <c r="DE90" s="431">
        <f t="shared" si="78"/>
        <v>555000</v>
      </c>
      <c r="DF90" s="432"/>
      <c r="DG90" s="431">
        <f t="shared" si="79"/>
        <v>250000</v>
      </c>
      <c r="DH90" s="432"/>
      <c r="DK90" s="287">
        <v>50</v>
      </c>
      <c r="DL90" s="378" t="s">
        <v>40</v>
      </c>
      <c r="DM90" s="287">
        <v>25</v>
      </c>
      <c r="DN90" s="265">
        <v>14000</v>
      </c>
      <c r="DO90" s="328"/>
      <c r="DP90" s="328">
        <f t="shared" si="120"/>
        <v>19000</v>
      </c>
      <c r="DQ90" s="329"/>
      <c r="DR90" s="328">
        <f t="shared" si="121"/>
        <v>7000</v>
      </c>
      <c r="DS90" s="330"/>
      <c r="DT90" s="161"/>
      <c r="DU90" s="161"/>
      <c r="DV90" s="161"/>
      <c r="DW90" s="161"/>
      <c r="DX90" s="311" t="s">
        <v>496</v>
      </c>
      <c r="DY90" s="162">
        <v>75495</v>
      </c>
      <c r="DZ90" s="162">
        <v>83800</v>
      </c>
      <c r="EA90" s="286">
        <f t="shared" si="102"/>
        <v>113130.00000000001</v>
      </c>
      <c r="ED90" s="280" t="s">
        <v>65</v>
      </c>
      <c r="EE90" s="281" t="s">
        <v>248</v>
      </c>
      <c r="EF90" s="281" t="s">
        <v>249</v>
      </c>
      <c r="EG90" s="375" t="s">
        <v>91</v>
      </c>
    </row>
    <row r="91" spans="3:137">
      <c r="C91" s="23" t="s">
        <v>13</v>
      </c>
      <c r="D91" s="23"/>
      <c r="E91" s="107">
        <f t="shared" ref="E91:X91" si="132">ROUNDUP(E89*$Y$90,-3)</f>
        <v>115000</v>
      </c>
      <c r="F91" s="107">
        <f t="shared" si="132"/>
        <v>100000</v>
      </c>
      <c r="G91" s="107">
        <f t="shared" si="132"/>
        <v>80000</v>
      </c>
      <c r="H91" s="107">
        <f t="shared" si="132"/>
        <v>69000</v>
      </c>
      <c r="I91" s="107">
        <f t="shared" si="132"/>
        <v>54000</v>
      </c>
      <c r="J91" s="107">
        <f t="shared" si="132"/>
        <v>43000</v>
      </c>
      <c r="K91" s="107">
        <f t="shared" si="132"/>
        <v>31000</v>
      </c>
      <c r="L91" s="107">
        <f t="shared" si="132"/>
        <v>30000</v>
      </c>
      <c r="M91" s="107">
        <f t="shared" si="132"/>
        <v>20000</v>
      </c>
      <c r="N91" s="107">
        <f t="shared" si="132"/>
        <v>13000</v>
      </c>
      <c r="O91" s="107">
        <f t="shared" si="132"/>
        <v>12000</v>
      </c>
      <c r="P91" s="107">
        <f t="shared" si="132"/>
        <v>8000</v>
      </c>
      <c r="Q91" s="107">
        <f t="shared" si="132"/>
        <v>7000</v>
      </c>
      <c r="R91" s="107">
        <f t="shared" si="132"/>
        <v>7000</v>
      </c>
      <c r="S91" s="107">
        <f t="shared" si="132"/>
        <v>5000</v>
      </c>
      <c r="T91" s="107">
        <f t="shared" si="132"/>
        <v>5000</v>
      </c>
      <c r="U91" s="107">
        <f t="shared" si="132"/>
        <v>5000</v>
      </c>
      <c r="V91" s="107">
        <f t="shared" si="132"/>
        <v>4000</v>
      </c>
      <c r="W91" s="107">
        <f t="shared" si="132"/>
        <v>3000</v>
      </c>
      <c r="X91" s="107">
        <f t="shared" si="132"/>
        <v>3000</v>
      </c>
      <c r="Y91" s="23">
        <v>0.2</v>
      </c>
      <c r="AB91" s="62"/>
      <c r="AC91" s="52"/>
      <c r="AD91" s="52"/>
      <c r="AE91" s="433"/>
      <c r="AF91" s="117"/>
      <c r="AG91" s="117"/>
      <c r="AH91" s="117"/>
      <c r="AI91" s="177"/>
      <c r="AJ91" s="117"/>
      <c r="AN91" s="181"/>
      <c r="AO91" s="103"/>
      <c r="AP91" s="404" t="s">
        <v>75</v>
      </c>
      <c r="AQ91" s="104"/>
      <c r="AR91" s="425">
        <v>24550</v>
      </c>
      <c r="AS91" s="406">
        <f t="shared" si="125"/>
        <v>17200</v>
      </c>
      <c r="AT91" s="406">
        <f t="shared" si="126"/>
        <v>2500</v>
      </c>
      <c r="AU91" s="406">
        <f t="shared" si="127"/>
        <v>5000</v>
      </c>
      <c r="AV91" s="389">
        <f t="shared" si="128"/>
        <v>49250</v>
      </c>
      <c r="AW91" s="406">
        <f t="shared" si="129"/>
        <v>59100</v>
      </c>
      <c r="AX91" s="175">
        <f t="shared" si="130"/>
        <v>41900</v>
      </c>
      <c r="AY91" s="23">
        <v>0.7</v>
      </c>
      <c r="BD91" s="80" t="s">
        <v>77</v>
      </c>
      <c r="BE91" s="81">
        <v>3548500</v>
      </c>
      <c r="BF91" s="82">
        <f t="shared" si="116"/>
        <v>4614000</v>
      </c>
      <c r="BK91" s="80" t="s">
        <v>77</v>
      </c>
      <c r="BL91" s="81">
        <v>4591550</v>
      </c>
      <c r="BM91" s="82">
        <f t="shared" si="114"/>
        <v>5970000</v>
      </c>
      <c r="BR91" s="419" t="s">
        <v>421</v>
      </c>
      <c r="BS91" s="385" t="s">
        <v>396</v>
      </c>
      <c r="BT91" s="55">
        <f t="shared" si="122"/>
        <v>160650</v>
      </c>
      <c r="BU91" s="55">
        <f t="shared" si="123"/>
        <v>257850.00000000003</v>
      </c>
      <c r="BV91" s="55">
        <f t="shared" si="124"/>
        <v>457650.00000000006</v>
      </c>
      <c r="BW91" s="55">
        <f t="shared" si="119"/>
        <v>882900</v>
      </c>
      <c r="BX91" s="55">
        <f t="shared" si="119"/>
        <v>1185300</v>
      </c>
      <c r="BY91" s="55">
        <f t="shared" si="119"/>
        <v>2263950</v>
      </c>
      <c r="BZ91" s="55">
        <f t="shared" si="119"/>
        <v>4326750</v>
      </c>
      <c r="CA91" s="55">
        <f t="shared" si="119"/>
        <v>6168150</v>
      </c>
      <c r="CB91" s="117"/>
      <c r="CC91" s="117"/>
      <c r="CG91" s="78">
        <f t="shared" si="117"/>
        <v>1</v>
      </c>
      <c r="CH91" s="104" t="s">
        <v>53</v>
      </c>
      <c r="CI91" s="1" t="s">
        <v>497</v>
      </c>
      <c r="CJ91" s="175" t="s">
        <v>498</v>
      </c>
      <c r="CK91" s="271">
        <v>1880248.75</v>
      </c>
      <c r="CL91" s="401">
        <f>ROUNDUP(CK91*$CN$9,-3)</f>
        <v>2257000</v>
      </c>
      <c r="DK91" s="287">
        <v>65</v>
      </c>
      <c r="DL91" s="378" t="s">
        <v>322</v>
      </c>
      <c r="DM91" s="287">
        <v>40</v>
      </c>
      <c r="DN91" s="265">
        <v>23300</v>
      </c>
      <c r="DO91" s="328"/>
      <c r="DP91" s="328">
        <f t="shared" si="120"/>
        <v>32000</v>
      </c>
      <c r="DQ91" s="329"/>
      <c r="DR91" s="328">
        <f t="shared" si="121"/>
        <v>11000</v>
      </c>
      <c r="DS91" s="330"/>
      <c r="DT91" s="161"/>
      <c r="DU91" s="161"/>
      <c r="DV91" s="161"/>
      <c r="DW91" s="161"/>
      <c r="DX91" s="311" t="s">
        <v>499</v>
      </c>
      <c r="DY91" s="162">
        <v>78649</v>
      </c>
      <c r="DZ91" s="162">
        <v>87300</v>
      </c>
      <c r="EA91" s="286">
        <f t="shared" si="102"/>
        <v>117855.00000000001</v>
      </c>
      <c r="ED91" s="251" t="s">
        <v>251</v>
      </c>
      <c r="EE91" s="162">
        <v>36577</v>
      </c>
      <c r="EF91" s="162">
        <v>40600</v>
      </c>
      <c r="EG91" s="286">
        <f>EF91*$DW$4</f>
        <v>54810</v>
      </c>
    </row>
    <row r="92" spans="3:137" ht="15" thickBot="1">
      <c r="C92" s="23" t="s">
        <v>208</v>
      </c>
      <c r="D92" s="23"/>
      <c r="E92" s="107">
        <f t="shared" ref="E92:X92" si="133">ROUNDUP(E89*$Y$91,-3)</f>
        <v>230000</v>
      </c>
      <c r="F92" s="107">
        <f t="shared" si="133"/>
        <v>200000</v>
      </c>
      <c r="G92" s="107">
        <f t="shared" si="133"/>
        <v>160000</v>
      </c>
      <c r="H92" s="107">
        <f t="shared" si="133"/>
        <v>138000</v>
      </c>
      <c r="I92" s="107">
        <f t="shared" si="133"/>
        <v>108000</v>
      </c>
      <c r="J92" s="107">
        <f t="shared" si="133"/>
        <v>85000</v>
      </c>
      <c r="K92" s="107">
        <f t="shared" si="133"/>
        <v>62000</v>
      </c>
      <c r="L92" s="107">
        <f t="shared" si="133"/>
        <v>60000</v>
      </c>
      <c r="M92" s="107">
        <f t="shared" si="133"/>
        <v>40000</v>
      </c>
      <c r="N92" s="107">
        <f t="shared" si="133"/>
        <v>26000</v>
      </c>
      <c r="O92" s="107">
        <f t="shared" si="133"/>
        <v>23000</v>
      </c>
      <c r="P92" s="107">
        <f t="shared" si="133"/>
        <v>16000</v>
      </c>
      <c r="Q92" s="107">
        <f t="shared" si="133"/>
        <v>13000</v>
      </c>
      <c r="R92" s="107">
        <f t="shared" si="133"/>
        <v>13000</v>
      </c>
      <c r="S92" s="107">
        <f t="shared" si="133"/>
        <v>10000</v>
      </c>
      <c r="T92" s="107">
        <f t="shared" si="133"/>
        <v>9000</v>
      </c>
      <c r="U92" s="107">
        <f t="shared" si="133"/>
        <v>9000</v>
      </c>
      <c r="V92" s="107">
        <f t="shared" si="133"/>
        <v>8000</v>
      </c>
      <c r="W92" s="107">
        <f t="shared" si="133"/>
        <v>6000</v>
      </c>
      <c r="X92" s="107">
        <f t="shared" si="133"/>
        <v>5000</v>
      </c>
      <c r="Y92" s="110"/>
      <c r="AN92" s="181"/>
      <c r="AO92" s="103"/>
      <c r="AP92" s="404" t="s">
        <v>59</v>
      </c>
      <c r="AQ92" s="104"/>
      <c r="AR92" s="425">
        <v>39960</v>
      </c>
      <c r="AS92" s="406">
        <f t="shared" si="125"/>
        <v>28000</v>
      </c>
      <c r="AT92" s="406">
        <f t="shared" si="126"/>
        <v>4000</v>
      </c>
      <c r="AU92" s="406">
        <f t="shared" si="127"/>
        <v>8000</v>
      </c>
      <c r="AV92" s="389">
        <f t="shared" si="128"/>
        <v>79960</v>
      </c>
      <c r="AW92" s="406">
        <f t="shared" si="129"/>
        <v>95952</v>
      </c>
      <c r="AX92" s="175">
        <f t="shared" si="130"/>
        <v>67952</v>
      </c>
      <c r="AY92" s="23">
        <v>0.1</v>
      </c>
      <c r="BD92" s="178" t="s">
        <v>108</v>
      </c>
      <c r="BE92" s="179">
        <v>9104000</v>
      </c>
      <c r="BF92" s="192">
        <f t="shared" si="116"/>
        <v>11836000</v>
      </c>
      <c r="BK92" s="178" t="s">
        <v>108</v>
      </c>
      <c r="BL92" s="179">
        <v>9140400</v>
      </c>
      <c r="BM92" s="192">
        <f t="shared" si="114"/>
        <v>11883000</v>
      </c>
      <c r="BR92" s="422"/>
      <c r="BS92" s="385" t="s">
        <v>399</v>
      </c>
      <c r="BT92" s="55">
        <f t="shared" si="122"/>
        <v>97200</v>
      </c>
      <c r="BU92" s="55">
        <f t="shared" si="123"/>
        <v>155250</v>
      </c>
      <c r="BV92" s="55">
        <f t="shared" si="124"/>
        <v>275400</v>
      </c>
      <c r="BW92" s="55">
        <f t="shared" si="119"/>
        <v>529200</v>
      </c>
      <c r="BX92" s="55">
        <f t="shared" si="119"/>
        <v>711450</v>
      </c>
      <c r="BY92" s="55">
        <f t="shared" si="119"/>
        <v>1359450</v>
      </c>
      <c r="BZ92" s="55">
        <f t="shared" si="119"/>
        <v>3701700.0000000005</v>
      </c>
      <c r="CA92" s="55">
        <f t="shared" si="119"/>
        <v>5614650</v>
      </c>
      <c r="CB92" s="117"/>
      <c r="CC92" s="117"/>
      <c r="CG92" s="78">
        <f t="shared" si="117"/>
        <v>2</v>
      </c>
      <c r="CH92" s="104" t="s">
        <v>51</v>
      </c>
      <c r="CI92" s="1" t="s">
        <v>500</v>
      </c>
      <c r="CJ92" s="175" t="s">
        <v>501</v>
      </c>
      <c r="CK92" s="271">
        <v>1824740</v>
      </c>
      <c r="CL92" s="401">
        <f>ROUNDUP(CK92*$CN$9,-3)</f>
        <v>2190000</v>
      </c>
      <c r="DK92" s="287">
        <v>75</v>
      </c>
      <c r="DL92" s="378" t="s">
        <v>77</v>
      </c>
      <c r="DM92" s="287">
        <v>32</v>
      </c>
      <c r="DN92" s="265">
        <v>33500</v>
      </c>
      <c r="DO92" s="328"/>
      <c r="DP92" s="328">
        <f t="shared" si="120"/>
        <v>46000</v>
      </c>
      <c r="DQ92" s="329"/>
      <c r="DR92" s="328">
        <f t="shared" si="121"/>
        <v>16000</v>
      </c>
      <c r="DS92" s="330"/>
      <c r="DT92" s="161"/>
      <c r="DU92" s="161"/>
      <c r="DV92" s="161"/>
      <c r="DW92" s="161"/>
      <c r="DX92" s="311" t="s">
        <v>502</v>
      </c>
      <c r="DY92" s="162">
        <v>90180</v>
      </c>
      <c r="DZ92" s="162">
        <v>100100</v>
      </c>
      <c r="EA92" s="286">
        <f t="shared" si="102"/>
        <v>135135</v>
      </c>
      <c r="ED92" s="251" t="s">
        <v>255</v>
      </c>
      <c r="EE92" s="162">
        <v>55315</v>
      </c>
      <c r="EF92" s="162">
        <v>61400</v>
      </c>
      <c r="EG92" s="286">
        <f t="shared" ref="EG92:EG101" si="134">EF92*$DW$4</f>
        <v>82890</v>
      </c>
    </row>
    <row r="93" spans="3:137" ht="15" thickBot="1">
      <c r="C93" s="259" t="s">
        <v>15</v>
      </c>
      <c r="D93" s="259"/>
      <c r="E93" s="260">
        <f t="shared" ref="E93:X93" si="135">SUM(E89:E92)</f>
        <v>1955000</v>
      </c>
      <c r="F93" s="260">
        <f t="shared" si="135"/>
        <v>1700000</v>
      </c>
      <c r="G93" s="260">
        <f t="shared" si="135"/>
        <v>1360000</v>
      </c>
      <c r="H93" s="260">
        <f t="shared" si="135"/>
        <v>1173000</v>
      </c>
      <c r="I93" s="260">
        <f t="shared" si="135"/>
        <v>918000</v>
      </c>
      <c r="J93" s="260">
        <f t="shared" si="135"/>
        <v>723000</v>
      </c>
      <c r="K93" s="260">
        <f t="shared" si="135"/>
        <v>527000</v>
      </c>
      <c r="L93" s="260">
        <f t="shared" si="135"/>
        <v>510000</v>
      </c>
      <c r="M93" s="260">
        <f t="shared" si="135"/>
        <v>338000</v>
      </c>
      <c r="N93" s="260">
        <f t="shared" si="135"/>
        <v>220000</v>
      </c>
      <c r="O93" s="260">
        <f t="shared" si="135"/>
        <v>196000</v>
      </c>
      <c r="P93" s="260">
        <f t="shared" si="135"/>
        <v>135000</v>
      </c>
      <c r="Q93" s="260">
        <f t="shared" si="135"/>
        <v>110000</v>
      </c>
      <c r="R93" s="260">
        <f t="shared" si="135"/>
        <v>106000</v>
      </c>
      <c r="S93" s="260">
        <f t="shared" si="135"/>
        <v>85000</v>
      </c>
      <c r="T93" s="260">
        <f t="shared" si="135"/>
        <v>76000</v>
      </c>
      <c r="U93" s="260">
        <f t="shared" si="135"/>
        <v>73000</v>
      </c>
      <c r="V93" s="260">
        <f t="shared" si="135"/>
        <v>64000</v>
      </c>
      <c r="W93" s="260">
        <f t="shared" si="135"/>
        <v>47000</v>
      </c>
      <c r="X93" s="260">
        <f t="shared" si="135"/>
        <v>41000</v>
      </c>
      <c r="Y93" s="23">
        <v>1.1000000000000001</v>
      </c>
      <c r="AA93" s="15" t="s">
        <v>503</v>
      </c>
      <c r="AB93" s="16" t="s">
        <v>10</v>
      </c>
      <c r="AC93" s="17"/>
      <c r="AD93" s="18"/>
      <c r="AE93" s="19" t="s">
        <v>11</v>
      </c>
      <c r="AF93" s="20" t="s">
        <v>12</v>
      </c>
      <c r="AG93" s="15" t="s">
        <v>13</v>
      </c>
      <c r="AH93" s="19" t="s">
        <v>14</v>
      </c>
      <c r="AI93" s="21" t="s">
        <v>15</v>
      </c>
      <c r="AJ93" s="22" t="s">
        <v>16</v>
      </c>
      <c r="AN93" s="403"/>
      <c r="AO93" s="103"/>
      <c r="AP93" s="404" t="s">
        <v>125</v>
      </c>
      <c r="AQ93" s="104"/>
      <c r="AR93" s="425">
        <v>49050</v>
      </c>
      <c r="AS93" s="406">
        <f t="shared" si="125"/>
        <v>34400</v>
      </c>
      <c r="AT93" s="406">
        <f t="shared" si="126"/>
        <v>5000</v>
      </c>
      <c r="AU93" s="406">
        <f t="shared" si="127"/>
        <v>9900</v>
      </c>
      <c r="AV93" s="389">
        <f t="shared" si="128"/>
        <v>98350</v>
      </c>
      <c r="AW93" s="406">
        <f t="shared" si="129"/>
        <v>118020</v>
      </c>
      <c r="AX93" s="175">
        <f t="shared" si="130"/>
        <v>83620</v>
      </c>
      <c r="AY93" s="23">
        <v>0.2</v>
      </c>
      <c r="BR93" s="422"/>
      <c r="BS93" s="385" t="s">
        <v>402</v>
      </c>
      <c r="BT93" s="55">
        <f t="shared" si="122"/>
        <v>267300</v>
      </c>
      <c r="BU93" s="55">
        <f t="shared" si="123"/>
        <v>367200</v>
      </c>
      <c r="BV93" s="55">
        <f t="shared" si="124"/>
        <v>542700</v>
      </c>
      <c r="BW93" s="55">
        <f t="shared" si="119"/>
        <v>851850</v>
      </c>
      <c r="BX93" s="55">
        <f t="shared" si="119"/>
        <v>1219050</v>
      </c>
      <c r="BY93" s="55">
        <f t="shared" si="119"/>
        <v>2490750</v>
      </c>
      <c r="BZ93" s="55">
        <f t="shared" si="119"/>
        <v>4704750</v>
      </c>
      <c r="CA93" s="55">
        <f t="shared" si="119"/>
        <v>5749650</v>
      </c>
      <c r="CB93" s="117"/>
      <c r="CC93" s="117"/>
      <c r="CG93" s="78">
        <f t="shared" si="117"/>
        <v>3</v>
      </c>
      <c r="CH93" s="104" t="s">
        <v>75</v>
      </c>
      <c r="CI93" s="1" t="s">
        <v>504</v>
      </c>
      <c r="CJ93" s="175" t="s">
        <v>505</v>
      </c>
      <c r="CK93" s="271">
        <v>1938306.25</v>
      </c>
      <c r="CL93" s="401">
        <f>ROUNDUP(CK93*$CN$9,-3)</f>
        <v>2326000</v>
      </c>
      <c r="DK93" s="287">
        <v>100</v>
      </c>
      <c r="DL93" s="378" t="s">
        <v>108</v>
      </c>
      <c r="DM93" s="287">
        <v>12</v>
      </c>
      <c r="DN93" s="265">
        <v>66100</v>
      </c>
      <c r="DO93" s="328"/>
      <c r="DP93" s="328">
        <f t="shared" si="120"/>
        <v>90000</v>
      </c>
      <c r="DQ93" s="329"/>
      <c r="DR93" s="328">
        <f t="shared" si="121"/>
        <v>30000</v>
      </c>
      <c r="DS93" s="330"/>
      <c r="DT93" s="161"/>
      <c r="DU93" s="161"/>
      <c r="DV93" s="161"/>
      <c r="DW93" s="161"/>
      <c r="DX93" s="311" t="s">
        <v>506</v>
      </c>
      <c r="DY93" s="162">
        <v>95315</v>
      </c>
      <c r="DZ93" s="162">
        <v>105800</v>
      </c>
      <c r="EA93" s="286">
        <f t="shared" si="102"/>
        <v>142830</v>
      </c>
      <c r="ED93" s="251" t="s">
        <v>258</v>
      </c>
      <c r="EE93" s="162">
        <v>36757</v>
      </c>
      <c r="EF93" s="162">
        <v>40800</v>
      </c>
      <c r="EG93" s="286">
        <f t="shared" si="134"/>
        <v>55080</v>
      </c>
    </row>
    <row r="94" spans="3:137" ht="18" thickBot="1">
      <c r="C94" s="23" t="s">
        <v>215</v>
      </c>
      <c r="D94" s="23"/>
      <c r="E94" s="107">
        <f t="shared" ref="E94:X94" si="136">ROUNDUP(E93*$Y$93,-3)</f>
        <v>2151000</v>
      </c>
      <c r="F94" s="107">
        <f t="shared" si="136"/>
        <v>1870000</v>
      </c>
      <c r="G94" s="107">
        <f t="shared" si="136"/>
        <v>1496000</v>
      </c>
      <c r="H94" s="107">
        <f t="shared" si="136"/>
        <v>1291000</v>
      </c>
      <c r="I94" s="107">
        <f t="shared" si="136"/>
        <v>1010000</v>
      </c>
      <c r="J94" s="107">
        <f t="shared" si="136"/>
        <v>796000</v>
      </c>
      <c r="K94" s="107">
        <f t="shared" si="136"/>
        <v>580000</v>
      </c>
      <c r="L94" s="107">
        <f t="shared" si="136"/>
        <v>561000</v>
      </c>
      <c r="M94" s="107">
        <f t="shared" si="136"/>
        <v>372000</v>
      </c>
      <c r="N94" s="107">
        <f t="shared" si="136"/>
        <v>242000</v>
      </c>
      <c r="O94" s="107">
        <f t="shared" si="136"/>
        <v>216000</v>
      </c>
      <c r="P94" s="107">
        <f t="shared" si="136"/>
        <v>149000</v>
      </c>
      <c r="Q94" s="107">
        <f t="shared" si="136"/>
        <v>121000</v>
      </c>
      <c r="R94" s="107">
        <f t="shared" si="136"/>
        <v>117000</v>
      </c>
      <c r="S94" s="107">
        <f t="shared" si="136"/>
        <v>94000</v>
      </c>
      <c r="T94" s="107">
        <f t="shared" si="136"/>
        <v>84000</v>
      </c>
      <c r="U94" s="107">
        <f t="shared" si="136"/>
        <v>81000</v>
      </c>
      <c r="V94" s="107">
        <f t="shared" si="136"/>
        <v>71000</v>
      </c>
      <c r="W94" s="107">
        <f t="shared" si="136"/>
        <v>52000</v>
      </c>
      <c r="X94" s="107">
        <f t="shared" si="136"/>
        <v>46000</v>
      </c>
      <c r="Y94" s="23"/>
      <c r="AA94" s="434"/>
      <c r="AB94" s="7"/>
      <c r="AC94" s="8"/>
      <c r="AD94" s="14"/>
      <c r="AE94" s="43" t="s">
        <v>22</v>
      </c>
      <c r="AF94" s="44"/>
      <c r="AG94" s="434"/>
      <c r="AH94" s="43" t="s">
        <v>29</v>
      </c>
      <c r="AI94" s="435"/>
      <c r="AJ94" s="46" t="s">
        <v>30</v>
      </c>
      <c r="AN94" s="183"/>
      <c r="AO94" s="141"/>
      <c r="AP94" s="415" t="s">
        <v>40</v>
      </c>
      <c r="AQ94" s="143"/>
      <c r="AR94" s="436">
        <v>73660</v>
      </c>
      <c r="AS94" s="417">
        <f t="shared" si="125"/>
        <v>51600</v>
      </c>
      <c r="AT94" s="417">
        <f t="shared" si="126"/>
        <v>7400</v>
      </c>
      <c r="AU94" s="417">
        <f t="shared" si="127"/>
        <v>14800</v>
      </c>
      <c r="AV94" s="418">
        <f t="shared" si="128"/>
        <v>147460</v>
      </c>
      <c r="AW94" s="417">
        <f t="shared" si="129"/>
        <v>176952</v>
      </c>
      <c r="AX94" s="148">
        <f t="shared" si="130"/>
        <v>125352</v>
      </c>
      <c r="AY94" s="110"/>
      <c r="BJ94" s="261" t="s">
        <v>507</v>
      </c>
      <c r="BK94" s="261"/>
      <c r="BL94" s="261"/>
      <c r="BM94" s="261"/>
      <c r="BN94" s="261"/>
      <c r="BR94" s="422"/>
      <c r="BS94" s="385" t="s">
        <v>408</v>
      </c>
      <c r="BT94" s="55">
        <f t="shared" si="122"/>
        <v>278100</v>
      </c>
      <c r="BU94" s="55">
        <f t="shared" si="123"/>
        <v>380700</v>
      </c>
      <c r="BV94" s="55">
        <f t="shared" si="124"/>
        <v>565650</v>
      </c>
      <c r="BW94" s="55">
        <f t="shared" si="119"/>
        <v>885600.00000000012</v>
      </c>
      <c r="BX94" s="55">
        <f t="shared" si="119"/>
        <v>1267650</v>
      </c>
      <c r="BY94" s="55">
        <f t="shared" si="119"/>
        <v>2567700</v>
      </c>
      <c r="BZ94" s="55">
        <f t="shared" si="119"/>
        <v>4846500</v>
      </c>
      <c r="CA94" s="55">
        <f t="shared" si="119"/>
        <v>5921100</v>
      </c>
      <c r="CB94" s="117"/>
      <c r="CC94" s="117"/>
      <c r="CG94" s="153"/>
      <c r="CH94" s="410"/>
      <c r="CI94" s="170"/>
      <c r="CJ94" s="148"/>
      <c r="CK94" s="411"/>
      <c r="CL94" s="171"/>
      <c r="CZ94" s="307" t="s">
        <v>508</v>
      </c>
      <c r="DA94" s="308"/>
      <c r="DB94" s="308"/>
      <c r="DC94" s="308"/>
      <c r="DD94" s="308"/>
      <c r="DE94" s="309"/>
      <c r="DF94" s="309">
        <v>1.35</v>
      </c>
      <c r="DG94" s="309"/>
      <c r="DH94" s="310"/>
      <c r="DK94" s="287">
        <v>150</v>
      </c>
      <c r="DL94" s="378" t="s">
        <v>124</v>
      </c>
      <c r="DM94" s="287">
        <v>4</v>
      </c>
      <c r="DN94" s="265">
        <v>139100</v>
      </c>
      <c r="DO94" s="328"/>
      <c r="DP94" s="328">
        <f t="shared" si="120"/>
        <v>188000</v>
      </c>
      <c r="DQ94" s="329"/>
      <c r="DR94" s="328">
        <f t="shared" si="121"/>
        <v>63000</v>
      </c>
      <c r="DS94" s="330"/>
      <c r="DT94" s="161"/>
      <c r="DU94" s="161"/>
      <c r="DV94" s="161"/>
      <c r="DW94" s="161"/>
      <c r="DX94" s="311" t="s">
        <v>509</v>
      </c>
      <c r="DY94" s="162">
        <v>101532</v>
      </c>
      <c r="DZ94" s="162">
        <v>112700</v>
      </c>
      <c r="EA94" s="286">
        <f t="shared" si="102"/>
        <v>152145</v>
      </c>
      <c r="ED94" s="251" t="s">
        <v>263</v>
      </c>
      <c r="EE94" s="162">
        <v>51351</v>
      </c>
      <c r="EF94" s="162">
        <v>57000</v>
      </c>
      <c r="EG94" s="286">
        <f t="shared" si="134"/>
        <v>76950</v>
      </c>
    </row>
    <row r="95" spans="3:137" ht="15" thickBot="1">
      <c r="C95" s="390" t="s">
        <v>412</v>
      </c>
      <c r="D95" s="391">
        <f>D94-D90</f>
        <v>0</v>
      </c>
      <c r="E95" s="391">
        <f t="shared" ref="E95:X95" si="137">E94-E90</f>
        <v>1691000</v>
      </c>
      <c r="F95" s="391">
        <f t="shared" si="137"/>
        <v>1470000</v>
      </c>
      <c r="G95" s="391">
        <f t="shared" si="137"/>
        <v>1176000</v>
      </c>
      <c r="H95" s="391">
        <f t="shared" si="137"/>
        <v>1015000</v>
      </c>
      <c r="I95" s="391">
        <f t="shared" si="137"/>
        <v>794000</v>
      </c>
      <c r="J95" s="391">
        <f t="shared" si="137"/>
        <v>626000</v>
      </c>
      <c r="K95" s="391">
        <f t="shared" si="137"/>
        <v>456000</v>
      </c>
      <c r="L95" s="391">
        <f t="shared" si="137"/>
        <v>441000</v>
      </c>
      <c r="M95" s="391">
        <f t="shared" si="137"/>
        <v>292000</v>
      </c>
      <c r="N95" s="391">
        <f t="shared" si="137"/>
        <v>190000</v>
      </c>
      <c r="O95" s="391">
        <f t="shared" si="137"/>
        <v>170000</v>
      </c>
      <c r="P95" s="391">
        <f t="shared" si="137"/>
        <v>117000</v>
      </c>
      <c r="Q95" s="391">
        <f t="shared" si="137"/>
        <v>95000</v>
      </c>
      <c r="R95" s="391">
        <f t="shared" si="137"/>
        <v>92000</v>
      </c>
      <c r="S95" s="391">
        <f t="shared" si="137"/>
        <v>74000</v>
      </c>
      <c r="T95" s="391">
        <f t="shared" si="137"/>
        <v>66000</v>
      </c>
      <c r="U95" s="391">
        <f t="shared" si="137"/>
        <v>64000</v>
      </c>
      <c r="V95" s="391">
        <f t="shared" si="137"/>
        <v>56000</v>
      </c>
      <c r="W95" s="391">
        <f t="shared" si="137"/>
        <v>41000</v>
      </c>
      <c r="X95" s="391">
        <f t="shared" si="137"/>
        <v>36000</v>
      </c>
      <c r="Y95" s="23"/>
      <c r="AA95" s="437" t="s">
        <v>51</v>
      </c>
      <c r="AB95" s="66" t="s">
        <v>51</v>
      </c>
      <c r="AC95" s="67" t="s">
        <v>52</v>
      </c>
      <c r="AD95" s="68" t="s">
        <v>53</v>
      </c>
      <c r="AE95" s="69">
        <f>ROUNDUP(((2100)*35%)+(2100),-3)</f>
        <v>3000</v>
      </c>
      <c r="AF95" s="70">
        <f>ROUNDUP(AE95*$AL$103,-3)</f>
        <v>2000</v>
      </c>
      <c r="AG95" s="71">
        <f>ROUNDUP(AE95*$AL$104,-3)</f>
        <v>1000</v>
      </c>
      <c r="AH95" s="70">
        <f>ROUNDUP(AE95*$AL$105,-3)</f>
        <v>1000</v>
      </c>
      <c r="AI95" s="72">
        <f>SUM(AE95:AH95)</f>
        <v>7000</v>
      </c>
      <c r="AJ95" s="438">
        <f>ROUNDUP(AI95*$AL$107,-3)</f>
        <v>11000</v>
      </c>
      <c r="AN95" s="396" t="s">
        <v>510</v>
      </c>
      <c r="AO95" s="189"/>
      <c r="AP95" s="397" t="s">
        <v>430</v>
      </c>
      <c r="AQ95" s="191"/>
      <c r="AR95" s="420" t="s">
        <v>476</v>
      </c>
      <c r="AS95" s="420" t="s">
        <v>476</v>
      </c>
      <c r="AT95" s="420" t="s">
        <v>476</v>
      </c>
      <c r="AU95" s="420" t="s">
        <v>476</v>
      </c>
      <c r="AV95" s="421" t="s">
        <v>476</v>
      </c>
      <c r="AW95" s="420" t="s">
        <v>476</v>
      </c>
      <c r="AX95" s="109"/>
      <c r="AY95" s="23">
        <v>1.2</v>
      </c>
      <c r="BK95" s="29" t="s">
        <v>21</v>
      </c>
      <c r="BL95" s="30" t="s">
        <v>22</v>
      </c>
      <c r="BM95" s="31" t="s">
        <v>23</v>
      </c>
      <c r="BR95" s="427"/>
      <c r="BS95" s="385" t="s">
        <v>415</v>
      </c>
      <c r="BT95" s="55">
        <f t="shared" si="122"/>
        <v>176850</v>
      </c>
      <c r="BU95" s="55">
        <f t="shared" si="123"/>
        <v>199800</v>
      </c>
      <c r="BV95" s="55">
        <f t="shared" si="124"/>
        <v>324000</v>
      </c>
      <c r="BW95" s="55">
        <f t="shared" si="119"/>
        <v>473850.00000000006</v>
      </c>
      <c r="BX95" s="55">
        <f t="shared" si="119"/>
        <v>634500</v>
      </c>
      <c r="BY95" s="55">
        <f t="shared" si="119"/>
        <v>1609200</v>
      </c>
      <c r="BZ95" s="55">
        <f t="shared" si="119"/>
        <v>1931850.0000000002</v>
      </c>
      <c r="CA95" s="55">
        <f t="shared" si="119"/>
        <v>3002400</v>
      </c>
      <c r="CB95" s="117"/>
      <c r="CC95" s="117"/>
      <c r="CG95" s="78">
        <f t="shared" si="117"/>
        <v>1</v>
      </c>
      <c r="CH95" s="104" t="s">
        <v>53</v>
      </c>
      <c r="CI95" s="1" t="s">
        <v>511</v>
      </c>
      <c r="CJ95" s="175" t="s">
        <v>498</v>
      </c>
      <c r="CK95" s="271">
        <v>3704193.75</v>
      </c>
      <c r="CL95" s="401">
        <f>ROUNDUP(CK95*$CN$9,-3)</f>
        <v>4446000</v>
      </c>
      <c r="CZ95" s="314" t="s">
        <v>65</v>
      </c>
      <c r="DA95" s="127"/>
      <c r="DB95" s="315" t="s">
        <v>312</v>
      </c>
      <c r="DC95" s="315" t="s">
        <v>313</v>
      </c>
      <c r="DD95" s="315"/>
      <c r="DE95" s="315" t="s">
        <v>314</v>
      </c>
      <c r="DF95" s="315"/>
      <c r="DG95" s="315" t="s">
        <v>48</v>
      </c>
      <c r="DH95" s="316"/>
      <c r="DK95" s="287">
        <v>200</v>
      </c>
      <c r="DL95" s="378" t="s">
        <v>132</v>
      </c>
      <c r="DM95" s="287">
        <v>4</v>
      </c>
      <c r="DN95" s="265">
        <v>280800</v>
      </c>
      <c r="DO95" s="328"/>
      <c r="DP95" s="328">
        <f t="shared" si="120"/>
        <v>380000</v>
      </c>
      <c r="DQ95" s="329"/>
      <c r="DR95" s="328">
        <f t="shared" si="121"/>
        <v>127000</v>
      </c>
      <c r="DS95" s="330"/>
      <c r="DT95" s="161"/>
      <c r="DU95" s="161"/>
      <c r="DV95" s="161"/>
      <c r="DW95" s="161"/>
      <c r="DX95" s="311" t="s">
        <v>512</v>
      </c>
      <c r="DY95" s="162">
        <v>142883</v>
      </c>
      <c r="DZ95" s="162">
        <v>158600</v>
      </c>
      <c r="EA95" s="286">
        <f t="shared" si="102"/>
        <v>214110</v>
      </c>
      <c r="ED95" s="251" t="s">
        <v>274</v>
      </c>
      <c r="EE95" s="162">
        <v>80450</v>
      </c>
      <c r="EF95" s="162">
        <v>89300</v>
      </c>
      <c r="EG95" s="286">
        <f t="shared" si="134"/>
        <v>120555.00000000001</v>
      </c>
    </row>
    <row r="96" spans="3:137" ht="15" thickBot="1">
      <c r="Y96" s="23"/>
      <c r="AA96" s="396" t="s">
        <v>75</v>
      </c>
      <c r="AB96" s="189" t="s">
        <v>75</v>
      </c>
      <c r="AC96" s="190" t="s">
        <v>52</v>
      </c>
      <c r="AD96" s="191" t="s">
        <v>53</v>
      </c>
      <c r="AE96" s="439">
        <f>ROUNDUP(((2200)*35%)+(2200),-3)</f>
        <v>3000</v>
      </c>
      <c r="AF96" s="114">
        <f t="shared" ref="AF96:AF130" si="138">ROUNDUP(AE96*$AL$103,-3)</f>
        <v>2000</v>
      </c>
      <c r="AG96" s="113">
        <f t="shared" ref="AG96:AG130" si="139">ROUNDUP(AE96*$AL$104,-3)</f>
        <v>1000</v>
      </c>
      <c r="AH96" s="114">
        <f t="shared" ref="AH96:AH130" si="140">ROUNDUP(AE96*$AL$105,-3)</f>
        <v>1000</v>
      </c>
      <c r="AI96" s="440">
        <f t="shared" ref="AI96:AI130" si="141">SUM(AE96:AH96)</f>
        <v>7000</v>
      </c>
      <c r="AJ96" s="112">
        <f t="shared" ref="AJ96:AJ130" si="142">ROUNDUP(AI96*$AL$107,-3)</f>
        <v>11000</v>
      </c>
      <c r="AN96" s="181"/>
      <c r="AO96" s="103"/>
      <c r="AP96" s="404" t="s">
        <v>437</v>
      </c>
      <c r="AQ96" s="104"/>
      <c r="AR96" s="423" t="s">
        <v>476</v>
      </c>
      <c r="AS96" s="423" t="s">
        <v>476</v>
      </c>
      <c r="AT96" s="423" t="s">
        <v>476</v>
      </c>
      <c r="AU96" s="423" t="s">
        <v>476</v>
      </c>
      <c r="AV96" s="424" t="s">
        <v>476</v>
      </c>
      <c r="AW96" s="423" t="s">
        <v>476</v>
      </c>
      <c r="AX96" s="175"/>
      <c r="BK96" s="53" t="s">
        <v>53</v>
      </c>
      <c r="BL96" s="54">
        <f>(339100*15%)+339100</f>
        <v>389965</v>
      </c>
      <c r="BM96" s="55">
        <f t="shared" ref="BM96:BM104" si="143">ROUNDUP(BL96*$BO$109,-3)</f>
        <v>468000</v>
      </c>
      <c r="BO96" s="1">
        <f>ROUNDUP((BM96*45%),-3)</f>
        <v>211000</v>
      </c>
      <c r="CB96" s="117"/>
      <c r="CC96" s="117"/>
      <c r="CG96" s="78">
        <f t="shared" si="117"/>
        <v>2</v>
      </c>
      <c r="CH96" s="104" t="s">
        <v>51</v>
      </c>
      <c r="CI96" s="1" t="s">
        <v>513</v>
      </c>
      <c r="CJ96" s="175" t="s">
        <v>501</v>
      </c>
      <c r="CK96" s="271">
        <v>3704193.75</v>
      </c>
      <c r="CL96" s="401">
        <f>ROUNDUP(CK96*$CN$9,-3)</f>
        <v>4446000</v>
      </c>
      <c r="CZ96" s="124" t="s">
        <v>32</v>
      </c>
      <c r="DA96" s="130" t="s">
        <v>88</v>
      </c>
      <c r="DB96" s="321"/>
      <c r="DC96" s="321"/>
      <c r="DD96" s="321"/>
      <c r="DE96" s="321"/>
      <c r="DF96" s="321"/>
      <c r="DG96" s="321"/>
      <c r="DH96" s="322"/>
      <c r="DK96" s="302">
        <v>250</v>
      </c>
      <c r="DL96" s="402" t="s">
        <v>136</v>
      </c>
      <c r="DM96" s="287">
        <v>2</v>
      </c>
      <c r="DN96" s="340">
        <v>444700</v>
      </c>
      <c r="DO96" s="341"/>
      <c r="DP96" s="341">
        <f t="shared" si="120"/>
        <v>601000</v>
      </c>
      <c r="DQ96" s="342"/>
      <c r="DR96" s="341">
        <f t="shared" si="121"/>
        <v>201000</v>
      </c>
      <c r="DS96" s="343"/>
      <c r="DT96" s="161"/>
      <c r="DU96" s="161"/>
      <c r="DV96" s="161"/>
      <c r="DW96" s="161"/>
      <c r="DX96" s="311" t="s">
        <v>514</v>
      </c>
      <c r="DY96" s="162">
        <v>142883</v>
      </c>
      <c r="DZ96" s="162">
        <v>158600</v>
      </c>
      <c r="EA96" s="286">
        <f t="shared" si="102"/>
        <v>214110</v>
      </c>
      <c r="ED96" s="251" t="s">
        <v>280</v>
      </c>
      <c r="EE96" s="162">
        <v>94955</v>
      </c>
      <c r="EF96" s="162">
        <v>105400</v>
      </c>
      <c r="EG96" s="286">
        <f t="shared" si="134"/>
        <v>142290</v>
      </c>
    </row>
    <row r="97" spans="3:137" ht="15" thickBot="1">
      <c r="C97" s="23"/>
      <c r="D97" s="23"/>
      <c r="E97" s="244" t="s">
        <v>427</v>
      </c>
      <c r="F97" s="244" t="s">
        <v>428</v>
      </c>
      <c r="G97" s="244" t="s">
        <v>419</v>
      </c>
      <c r="H97" s="244" t="s">
        <v>394</v>
      </c>
      <c r="I97" s="244" t="s">
        <v>374</v>
      </c>
      <c r="J97" s="244" t="s">
        <v>347</v>
      </c>
      <c r="K97" s="244" t="s">
        <v>139</v>
      </c>
      <c r="L97" s="244" t="s">
        <v>136</v>
      </c>
      <c r="M97" s="244" t="s">
        <v>132</v>
      </c>
      <c r="N97" s="244" t="s">
        <v>124</v>
      </c>
      <c r="O97" s="244" t="s">
        <v>117</v>
      </c>
      <c r="P97" s="244" t="s">
        <v>108</v>
      </c>
      <c r="Q97" s="244" t="s">
        <v>77</v>
      </c>
      <c r="R97" s="244" t="s">
        <v>57</v>
      </c>
      <c r="S97" s="244" t="s">
        <v>40</v>
      </c>
      <c r="T97" s="244" t="s">
        <v>125</v>
      </c>
      <c r="U97" s="244" t="s">
        <v>59</v>
      </c>
      <c r="V97" s="244" t="s">
        <v>75</v>
      </c>
      <c r="W97" s="244" t="s">
        <v>51</v>
      </c>
      <c r="X97" s="244" t="s">
        <v>53</v>
      </c>
      <c r="Y97" s="23"/>
      <c r="AA97" s="441"/>
      <c r="AB97" s="141" t="s">
        <v>75</v>
      </c>
      <c r="AC97" s="142" t="s">
        <v>52</v>
      </c>
      <c r="AD97" s="143" t="s">
        <v>51</v>
      </c>
      <c r="AE97" s="144">
        <f>ROUNDUP(((2900)*35%)+(2900),-3)</f>
        <v>4000</v>
      </c>
      <c r="AF97" s="145">
        <f t="shared" si="138"/>
        <v>2000</v>
      </c>
      <c r="AG97" s="146">
        <f t="shared" si="139"/>
        <v>1000</v>
      </c>
      <c r="AH97" s="145">
        <f t="shared" si="140"/>
        <v>1000</v>
      </c>
      <c r="AI97" s="147">
        <f t="shared" si="141"/>
        <v>8000</v>
      </c>
      <c r="AJ97" s="150">
        <f t="shared" si="142"/>
        <v>12000</v>
      </c>
      <c r="AN97" s="181"/>
      <c r="AO97" s="103"/>
      <c r="AP97" s="404" t="s">
        <v>53</v>
      </c>
      <c r="AQ97" s="104"/>
      <c r="AR97" s="423" t="s">
        <v>476</v>
      </c>
      <c r="AS97" s="423" t="s">
        <v>476</v>
      </c>
      <c r="AT97" s="423" t="s">
        <v>476</v>
      </c>
      <c r="AU97" s="423" t="s">
        <v>476</v>
      </c>
      <c r="AV97" s="424" t="s">
        <v>476</v>
      </c>
      <c r="AW97" s="423" t="s">
        <v>476</v>
      </c>
      <c r="AX97" s="175"/>
      <c r="BK97" s="80" t="s">
        <v>51</v>
      </c>
      <c r="BL97" s="81">
        <f>(454250*15%)+454250</f>
        <v>522387.5</v>
      </c>
      <c r="BM97" s="82">
        <f t="shared" si="143"/>
        <v>627000</v>
      </c>
      <c r="CB97" s="117"/>
      <c r="CC97" s="117"/>
      <c r="CG97" s="78">
        <f t="shared" si="117"/>
        <v>3</v>
      </c>
      <c r="CH97" s="104" t="s">
        <v>75</v>
      </c>
      <c r="CI97" s="1" t="s">
        <v>515</v>
      </c>
      <c r="CJ97" s="175" t="s">
        <v>505</v>
      </c>
      <c r="CK97" s="271">
        <v>3758667.5</v>
      </c>
      <c r="CL97" s="401">
        <f>ROUNDUP(CK97*$CN$9,-3)</f>
        <v>4511000</v>
      </c>
      <c r="CZ97" s="324">
        <v>16</v>
      </c>
      <c r="DA97" s="325" t="s">
        <v>53</v>
      </c>
      <c r="DB97" s="325">
        <v>150</v>
      </c>
      <c r="DC97" s="442">
        <v>3200</v>
      </c>
      <c r="DD97" s="443"/>
      <c r="DE97" s="442">
        <f>ROUNDUP(DC97*$DF$52,-3)</f>
        <v>5000</v>
      </c>
      <c r="DF97" s="443"/>
      <c r="DG97" s="442">
        <f>ROUNDUP((DE97*45%),-3)</f>
        <v>3000</v>
      </c>
      <c r="DH97" s="443"/>
      <c r="DK97" s="161"/>
      <c r="DL97" s="161"/>
      <c r="DM97" s="161"/>
      <c r="DN97" s="161"/>
      <c r="DO97" s="161"/>
      <c r="DP97" s="161"/>
      <c r="DQ97" s="161"/>
      <c r="DR97" s="161"/>
      <c r="DS97" s="161"/>
      <c r="DT97" s="161"/>
      <c r="DU97" s="161"/>
      <c r="DV97" s="161"/>
      <c r="DW97" s="161"/>
      <c r="DX97" s="311" t="s">
        <v>516</v>
      </c>
      <c r="DY97" s="162">
        <v>151622</v>
      </c>
      <c r="DZ97" s="162">
        <v>168300</v>
      </c>
      <c r="EA97" s="286">
        <f t="shared" si="102"/>
        <v>227205.00000000003</v>
      </c>
      <c r="ED97" s="251" t="s">
        <v>517</v>
      </c>
      <c r="EE97" s="162">
        <v>181802</v>
      </c>
      <c r="EF97" s="162">
        <v>201800</v>
      </c>
      <c r="EG97" s="286">
        <f t="shared" si="134"/>
        <v>272430</v>
      </c>
    </row>
    <row r="98" spans="3:137" ht="15" thickBot="1">
      <c r="C98" s="249" t="s">
        <v>518</v>
      </c>
      <c r="D98" s="249"/>
      <c r="E98" s="105">
        <f>ROUNDUP(3300000,-3)</f>
        <v>3300000</v>
      </c>
      <c r="F98" s="105">
        <f>ROUNDUP(2500000,-3)</f>
        <v>2500000</v>
      </c>
      <c r="G98" s="105">
        <f>ROUNDUP(2400000,-3)</f>
        <v>2400000</v>
      </c>
      <c r="H98" s="105">
        <f>ROUNDUP(1650000,-3)</f>
        <v>1650000</v>
      </c>
      <c r="I98" s="105">
        <f>ROUNDUP(1350000,-3)</f>
        <v>1350000</v>
      </c>
      <c r="J98" s="105">
        <f>ROUNDUP(1100000,-3)</f>
        <v>1100000</v>
      </c>
      <c r="K98" s="105">
        <f>ROUNDUP(800000,-3)</f>
        <v>800000</v>
      </c>
      <c r="L98" s="105">
        <f>ROUNDUP(660000,-3)</f>
        <v>660000</v>
      </c>
      <c r="M98" s="105">
        <f>ROUNDUP(425000,-3)</f>
        <v>425000</v>
      </c>
      <c r="N98" s="105">
        <f>ROUNDUP(230000,-3)</f>
        <v>230000</v>
      </c>
      <c r="O98" s="105">
        <f>ROUNDUP(210000,-3)</f>
        <v>210000</v>
      </c>
      <c r="P98" s="105">
        <f>ROUNDUP(115000,-3)</f>
        <v>115000</v>
      </c>
      <c r="Q98" s="105">
        <f>ROUNDUP(105000,-3)</f>
        <v>105000</v>
      </c>
      <c r="R98" s="105">
        <f>ROUNDUP(90000,-3)</f>
        <v>90000</v>
      </c>
      <c r="S98" s="105">
        <f>ROUNDUP(75000,-3)</f>
        <v>75000</v>
      </c>
      <c r="T98" s="105">
        <f>ROUNDUP(65000,-3)</f>
        <v>65000</v>
      </c>
      <c r="U98" s="105">
        <f>ROUNDUP(52000,-3)</f>
        <v>52000</v>
      </c>
      <c r="V98" s="105">
        <f>ROUNDUP(44000,-3)</f>
        <v>44000</v>
      </c>
      <c r="W98" s="105">
        <f>ROUNDUP(35000,-3)</f>
        <v>35000</v>
      </c>
      <c r="X98" s="105">
        <f>ROUNDUP(33000,-2)</f>
        <v>33000</v>
      </c>
      <c r="Y98" s="23">
        <v>0.4</v>
      </c>
      <c r="AA98" s="396" t="s">
        <v>59</v>
      </c>
      <c r="AB98" s="189" t="s">
        <v>59</v>
      </c>
      <c r="AC98" s="190" t="s">
        <v>52</v>
      </c>
      <c r="AD98" s="191" t="s">
        <v>53</v>
      </c>
      <c r="AE98" s="439">
        <f>ROUNDUP(((3200)*35%)+(3200),-3)</f>
        <v>5000</v>
      </c>
      <c r="AF98" s="114">
        <f t="shared" si="138"/>
        <v>2000</v>
      </c>
      <c r="AG98" s="113">
        <f t="shared" si="139"/>
        <v>1000</v>
      </c>
      <c r="AH98" s="114">
        <f t="shared" si="140"/>
        <v>1000</v>
      </c>
      <c r="AI98" s="440">
        <f t="shared" si="141"/>
        <v>9000</v>
      </c>
      <c r="AJ98" s="112">
        <f t="shared" si="142"/>
        <v>14000</v>
      </c>
      <c r="AN98" s="181"/>
      <c r="AO98" s="103"/>
      <c r="AP98" s="404" t="s">
        <v>51</v>
      </c>
      <c r="AQ98" s="104"/>
      <c r="AR98" s="425">
        <v>19120</v>
      </c>
      <c r="AS98" s="406">
        <f t="shared" ref="AS98:AS126" si="144">ROUNDUP(AR98*$AY$91,-2)</f>
        <v>13400</v>
      </c>
      <c r="AT98" s="406">
        <f t="shared" ref="AT98:AT126" si="145">ROUNDUP(AR98*$AY$92,-2)</f>
        <v>2000</v>
      </c>
      <c r="AU98" s="406">
        <f t="shared" ref="AU98:AU126" si="146">ROUNDUP(AR98*$AY$93,-2)</f>
        <v>3900</v>
      </c>
      <c r="AV98" s="389">
        <f t="shared" ref="AV98:AV126" si="147">SUM(AR98:AU98)</f>
        <v>38420</v>
      </c>
      <c r="AW98" s="406">
        <f t="shared" ref="AW98:AW126" si="148">AV98*$AY$95</f>
        <v>46104</v>
      </c>
      <c r="AX98" s="175">
        <f t="shared" ref="AX98:AX126" si="149">AW98-AS98</f>
        <v>32704</v>
      </c>
      <c r="BK98" s="80" t="s">
        <v>75</v>
      </c>
      <c r="BL98" s="81">
        <f>(623800*15%)+623800</f>
        <v>717370</v>
      </c>
      <c r="BM98" s="82">
        <f t="shared" si="143"/>
        <v>861000</v>
      </c>
      <c r="CB98" s="117"/>
      <c r="CC98" s="117"/>
      <c r="CG98" s="153">
        <f t="shared" si="117"/>
        <v>4</v>
      </c>
      <c r="CH98" s="143" t="s">
        <v>59</v>
      </c>
      <c r="CI98" s="170" t="s">
        <v>519</v>
      </c>
      <c r="CJ98" s="148" t="s">
        <v>483</v>
      </c>
      <c r="CK98" s="411">
        <v>4194455</v>
      </c>
      <c r="CL98" s="426">
        <f>ROUNDUP(CK98*$CN$9,-3)</f>
        <v>5034000</v>
      </c>
      <c r="CZ98" s="324" t="s">
        <v>317</v>
      </c>
      <c r="DA98" s="325" t="s">
        <v>318</v>
      </c>
      <c r="DB98" s="325">
        <v>100</v>
      </c>
      <c r="DC98" s="444">
        <v>4300</v>
      </c>
      <c r="DD98" s="445"/>
      <c r="DE98" s="444">
        <f>ROUNDUP(DC98*$DF$52,-3)</f>
        <v>6000</v>
      </c>
      <c r="DF98" s="445"/>
      <c r="DG98" s="444">
        <f>ROUNDUP((DE98*45%),-3)</f>
        <v>3000</v>
      </c>
      <c r="DH98" s="445"/>
      <c r="DK98" s="161"/>
      <c r="DL98" s="161"/>
      <c r="DM98" s="161"/>
      <c r="DN98" s="161"/>
      <c r="DO98" s="161"/>
      <c r="DP98" s="161"/>
      <c r="DQ98" s="161"/>
      <c r="DR98" s="161"/>
      <c r="DS98" s="161"/>
      <c r="DT98" s="161"/>
      <c r="DU98" s="161"/>
      <c r="DV98" s="161"/>
      <c r="DW98" s="161"/>
      <c r="DX98" s="311" t="s">
        <v>520</v>
      </c>
      <c r="DY98" s="162">
        <v>162523</v>
      </c>
      <c r="DZ98" s="162">
        <v>180400</v>
      </c>
      <c r="EA98" s="286">
        <f t="shared" si="102"/>
        <v>243540.00000000003</v>
      </c>
      <c r="ED98" s="251" t="s">
        <v>521</v>
      </c>
      <c r="EE98" s="162">
        <v>286216</v>
      </c>
      <c r="EF98" s="162">
        <v>317700</v>
      </c>
      <c r="EG98" s="286">
        <f t="shared" si="134"/>
        <v>428895</v>
      </c>
    </row>
    <row r="99" spans="3:137" ht="15" thickBot="1">
      <c r="C99" s="23" t="s">
        <v>12</v>
      </c>
      <c r="D99" s="23"/>
      <c r="E99" s="107">
        <f t="shared" ref="E99:X99" si="150">ROUNDUP(E98*$Y$98,-3)</f>
        <v>1320000</v>
      </c>
      <c r="F99" s="107">
        <f t="shared" si="150"/>
        <v>1000000</v>
      </c>
      <c r="G99" s="107">
        <f t="shared" si="150"/>
        <v>960000</v>
      </c>
      <c r="H99" s="107">
        <f t="shared" si="150"/>
        <v>660000</v>
      </c>
      <c r="I99" s="107">
        <f t="shared" si="150"/>
        <v>540000</v>
      </c>
      <c r="J99" s="107">
        <f t="shared" si="150"/>
        <v>440000</v>
      </c>
      <c r="K99" s="107">
        <f t="shared" si="150"/>
        <v>320000</v>
      </c>
      <c r="L99" s="107">
        <f t="shared" si="150"/>
        <v>264000</v>
      </c>
      <c r="M99" s="107">
        <f t="shared" si="150"/>
        <v>170000</v>
      </c>
      <c r="N99" s="107">
        <f t="shared" si="150"/>
        <v>92000</v>
      </c>
      <c r="O99" s="107">
        <f t="shared" si="150"/>
        <v>84000</v>
      </c>
      <c r="P99" s="107">
        <f t="shared" si="150"/>
        <v>46000</v>
      </c>
      <c r="Q99" s="107">
        <f t="shared" si="150"/>
        <v>42000</v>
      </c>
      <c r="R99" s="107">
        <f t="shared" si="150"/>
        <v>36000</v>
      </c>
      <c r="S99" s="107">
        <f t="shared" si="150"/>
        <v>30000</v>
      </c>
      <c r="T99" s="107">
        <f t="shared" si="150"/>
        <v>26000</v>
      </c>
      <c r="U99" s="107">
        <f t="shared" si="150"/>
        <v>21000</v>
      </c>
      <c r="V99" s="107">
        <f t="shared" si="150"/>
        <v>18000</v>
      </c>
      <c r="W99" s="107">
        <f t="shared" si="150"/>
        <v>14000</v>
      </c>
      <c r="X99" s="107">
        <f t="shared" si="150"/>
        <v>14000</v>
      </c>
      <c r="Y99" s="23">
        <v>0.1</v>
      </c>
      <c r="AA99" s="446"/>
      <c r="AB99" s="103" t="s">
        <v>59</v>
      </c>
      <c r="AC99" s="52" t="s">
        <v>52</v>
      </c>
      <c r="AD99" s="104" t="s">
        <v>51</v>
      </c>
      <c r="AE99" s="433">
        <f>ROUNDUP(((3700)*35%)+(3700),-3)</f>
        <v>5000</v>
      </c>
      <c r="AF99" s="106">
        <f t="shared" si="138"/>
        <v>2000</v>
      </c>
      <c r="AG99" s="117">
        <f t="shared" si="139"/>
        <v>1000</v>
      </c>
      <c r="AH99" s="106">
        <f t="shared" si="140"/>
        <v>1000</v>
      </c>
      <c r="AI99" s="108">
        <f t="shared" si="141"/>
        <v>9000</v>
      </c>
      <c r="AJ99" s="268">
        <f t="shared" si="142"/>
        <v>14000</v>
      </c>
      <c r="AN99" s="181"/>
      <c r="AO99" s="103"/>
      <c r="AP99" s="404" t="s">
        <v>75</v>
      </c>
      <c r="AQ99" s="104"/>
      <c r="AR99" s="425">
        <v>34150</v>
      </c>
      <c r="AS99" s="406">
        <f t="shared" si="144"/>
        <v>24000</v>
      </c>
      <c r="AT99" s="406">
        <f t="shared" si="145"/>
        <v>3500</v>
      </c>
      <c r="AU99" s="406">
        <f t="shared" si="146"/>
        <v>6900</v>
      </c>
      <c r="AV99" s="389">
        <f t="shared" si="147"/>
        <v>68550</v>
      </c>
      <c r="AW99" s="406">
        <f t="shared" si="148"/>
        <v>82260</v>
      </c>
      <c r="AX99" s="175">
        <f t="shared" si="149"/>
        <v>58260</v>
      </c>
      <c r="BK99" s="80" t="s">
        <v>59</v>
      </c>
      <c r="BL99" s="81">
        <f>(852850*15%)+852850</f>
        <v>980777.5</v>
      </c>
      <c r="BM99" s="82">
        <f t="shared" si="143"/>
        <v>1177000</v>
      </c>
      <c r="CB99" s="117"/>
      <c r="CC99" s="117"/>
      <c r="CZ99" s="324">
        <v>20</v>
      </c>
      <c r="DA99" s="325" t="s">
        <v>372</v>
      </c>
      <c r="DB99" s="325">
        <v>100</v>
      </c>
      <c r="DC99" s="444">
        <v>4300</v>
      </c>
      <c r="DD99" s="445"/>
      <c r="DE99" s="444">
        <f>ROUNDUP(DC99*$DF$52,-3)</f>
        <v>6000</v>
      </c>
      <c r="DF99" s="445"/>
      <c r="DG99" s="444">
        <f>ROUNDUP((DE99*45%),-3)</f>
        <v>3000</v>
      </c>
      <c r="DH99" s="445"/>
      <c r="DK99" s="161" t="s">
        <v>522</v>
      </c>
      <c r="DL99" s="161"/>
      <c r="DM99" s="161"/>
      <c r="DN99" s="161"/>
      <c r="DO99" s="161"/>
      <c r="DP99" s="161"/>
      <c r="DQ99" s="161"/>
      <c r="DR99" s="161"/>
      <c r="DS99" s="161"/>
      <c r="DT99" s="161"/>
      <c r="DU99" s="161"/>
      <c r="DV99" s="161"/>
      <c r="DW99" s="161"/>
      <c r="DX99" s="311" t="s">
        <v>523</v>
      </c>
      <c r="DY99" s="162">
        <v>178378</v>
      </c>
      <c r="DZ99" s="162">
        <v>198000</v>
      </c>
      <c r="EA99" s="286">
        <f t="shared" si="102"/>
        <v>267300</v>
      </c>
      <c r="ED99" s="251" t="s">
        <v>524</v>
      </c>
      <c r="EE99" s="162">
        <v>434775</v>
      </c>
      <c r="EF99" s="162">
        <v>482600</v>
      </c>
      <c r="EG99" s="286">
        <f t="shared" si="134"/>
        <v>651510</v>
      </c>
    </row>
    <row r="100" spans="3:137" ht="21.6" thickBot="1">
      <c r="C100" s="23" t="s">
        <v>13</v>
      </c>
      <c r="D100" s="23"/>
      <c r="E100" s="107">
        <f t="shared" ref="E100:X100" si="151">ROUNDUP(E98*$Y$99,-3)</f>
        <v>330000</v>
      </c>
      <c r="F100" s="107">
        <f t="shared" si="151"/>
        <v>250000</v>
      </c>
      <c r="G100" s="107">
        <f t="shared" si="151"/>
        <v>240000</v>
      </c>
      <c r="H100" s="107">
        <f t="shared" si="151"/>
        <v>165000</v>
      </c>
      <c r="I100" s="107">
        <f t="shared" si="151"/>
        <v>135000</v>
      </c>
      <c r="J100" s="107">
        <f t="shared" si="151"/>
        <v>110000</v>
      </c>
      <c r="K100" s="107">
        <f t="shared" si="151"/>
        <v>80000</v>
      </c>
      <c r="L100" s="107">
        <f t="shared" si="151"/>
        <v>66000</v>
      </c>
      <c r="M100" s="107">
        <f t="shared" si="151"/>
        <v>43000</v>
      </c>
      <c r="N100" s="107">
        <f t="shared" si="151"/>
        <v>23000</v>
      </c>
      <c r="O100" s="107">
        <f t="shared" si="151"/>
        <v>21000</v>
      </c>
      <c r="P100" s="107">
        <f t="shared" si="151"/>
        <v>12000</v>
      </c>
      <c r="Q100" s="107">
        <f t="shared" si="151"/>
        <v>11000</v>
      </c>
      <c r="R100" s="107">
        <f t="shared" si="151"/>
        <v>9000</v>
      </c>
      <c r="S100" s="107">
        <f t="shared" si="151"/>
        <v>8000</v>
      </c>
      <c r="T100" s="107">
        <f t="shared" si="151"/>
        <v>7000</v>
      </c>
      <c r="U100" s="107">
        <f t="shared" si="151"/>
        <v>6000</v>
      </c>
      <c r="V100" s="107">
        <f t="shared" si="151"/>
        <v>5000</v>
      </c>
      <c r="W100" s="107">
        <f t="shared" si="151"/>
        <v>4000</v>
      </c>
      <c r="X100" s="107">
        <f t="shared" si="151"/>
        <v>4000</v>
      </c>
      <c r="Y100" s="23">
        <v>0.2</v>
      </c>
      <c r="AA100" s="441"/>
      <c r="AB100" s="141" t="s">
        <v>59</v>
      </c>
      <c r="AC100" s="142" t="s">
        <v>52</v>
      </c>
      <c r="AD100" s="143" t="s">
        <v>75</v>
      </c>
      <c r="AE100" s="144">
        <f>ROUNDUP(((4400)*35%)+(4400),-3)</f>
        <v>6000</v>
      </c>
      <c r="AF100" s="145">
        <f t="shared" si="138"/>
        <v>3000</v>
      </c>
      <c r="AG100" s="146">
        <f t="shared" si="139"/>
        <v>1000</v>
      </c>
      <c r="AH100" s="145">
        <f t="shared" si="140"/>
        <v>2000</v>
      </c>
      <c r="AI100" s="147">
        <f t="shared" si="141"/>
        <v>12000</v>
      </c>
      <c r="AJ100" s="150">
        <f t="shared" si="142"/>
        <v>18000</v>
      </c>
      <c r="AN100" s="181"/>
      <c r="AO100" s="103"/>
      <c r="AP100" s="404" t="s">
        <v>59</v>
      </c>
      <c r="AQ100" s="104"/>
      <c r="AR100" s="425">
        <v>45050</v>
      </c>
      <c r="AS100" s="406">
        <f t="shared" si="144"/>
        <v>31600</v>
      </c>
      <c r="AT100" s="406">
        <f t="shared" si="145"/>
        <v>4600</v>
      </c>
      <c r="AU100" s="406">
        <f t="shared" si="146"/>
        <v>9100</v>
      </c>
      <c r="AV100" s="389">
        <f t="shared" si="147"/>
        <v>90350</v>
      </c>
      <c r="AW100" s="406">
        <f t="shared" si="148"/>
        <v>108420</v>
      </c>
      <c r="AX100" s="175">
        <f t="shared" si="149"/>
        <v>76820</v>
      </c>
      <c r="BK100" s="80" t="s">
        <v>125</v>
      </c>
      <c r="BL100" s="81">
        <f>(1155650*15%)+1155650</f>
        <v>1328997.5</v>
      </c>
      <c r="BM100" s="82">
        <f t="shared" si="143"/>
        <v>1595000</v>
      </c>
      <c r="BT100" s="266" t="s">
        <v>386</v>
      </c>
      <c r="BU100" s="266"/>
      <c r="BV100" s="266"/>
      <c r="BW100" s="266"/>
      <c r="BX100" s="266"/>
      <c r="BY100" s="266"/>
      <c r="BZ100" s="266"/>
      <c r="CA100" s="447"/>
      <c r="CZ100" s="324" t="s">
        <v>320</v>
      </c>
      <c r="DA100" s="325" t="s">
        <v>321</v>
      </c>
      <c r="DB100" s="325">
        <v>65</v>
      </c>
      <c r="DC100" s="444">
        <v>6300</v>
      </c>
      <c r="DD100" s="445"/>
      <c r="DE100" s="444">
        <f t="shared" ref="DE100:DE146" si="152">ROUNDUP(DC100*$DF$52,-3)</f>
        <v>9000</v>
      </c>
      <c r="DF100" s="445"/>
      <c r="DG100" s="444">
        <f t="shared" ref="DG100:DG130" si="153">ROUNDUP((DE100*45%),-3)</f>
        <v>5000</v>
      </c>
      <c r="DH100" s="445"/>
      <c r="DK100" s="353" t="s">
        <v>65</v>
      </c>
      <c r="DL100" s="354"/>
      <c r="DM100" s="355" t="s">
        <v>312</v>
      </c>
      <c r="DN100" s="355" t="s">
        <v>313</v>
      </c>
      <c r="DO100" s="356"/>
      <c r="DP100" s="355" t="s">
        <v>314</v>
      </c>
      <c r="DQ100" s="355"/>
      <c r="DR100" s="355" t="s">
        <v>48</v>
      </c>
      <c r="DS100" s="357"/>
      <c r="DT100" s="161"/>
      <c r="DU100" s="161"/>
      <c r="DV100" s="161"/>
      <c r="DW100" s="161"/>
      <c r="DX100" s="311" t="s">
        <v>525</v>
      </c>
      <c r="DY100" s="162">
        <v>185405</v>
      </c>
      <c r="DZ100" s="162">
        <v>205800</v>
      </c>
      <c r="EA100" s="286">
        <f t="shared" si="102"/>
        <v>277830</v>
      </c>
      <c r="ED100" s="251" t="s">
        <v>526</v>
      </c>
      <c r="EE100" s="162">
        <v>802162</v>
      </c>
      <c r="EF100" s="162">
        <v>890400</v>
      </c>
      <c r="EG100" s="286">
        <f t="shared" si="134"/>
        <v>1202040</v>
      </c>
    </row>
    <row r="101" spans="3:137" ht="18" thickBot="1">
      <c r="C101" s="23" t="s">
        <v>208</v>
      </c>
      <c r="D101" s="23"/>
      <c r="E101" s="107">
        <f t="shared" ref="E101:X101" si="154">ROUNDUP(E98*$Y$100,-3)</f>
        <v>660000</v>
      </c>
      <c r="F101" s="107">
        <f t="shared" si="154"/>
        <v>500000</v>
      </c>
      <c r="G101" s="107">
        <f t="shared" si="154"/>
        <v>480000</v>
      </c>
      <c r="H101" s="107">
        <f t="shared" si="154"/>
        <v>330000</v>
      </c>
      <c r="I101" s="107">
        <f t="shared" si="154"/>
        <v>270000</v>
      </c>
      <c r="J101" s="107">
        <f t="shared" si="154"/>
        <v>220000</v>
      </c>
      <c r="K101" s="107">
        <f t="shared" si="154"/>
        <v>160000</v>
      </c>
      <c r="L101" s="107">
        <f t="shared" si="154"/>
        <v>132000</v>
      </c>
      <c r="M101" s="107">
        <f t="shared" si="154"/>
        <v>85000</v>
      </c>
      <c r="N101" s="107">
        <f t="shared" si="154"/>
        <v>46000</v>
      </c>
      <c r="O101" s="107">
        <f t="shared" si="154"/>
        <v>42000</v>
      </c>
      <c r="P101" s="107">
        <f t="shared" si="154"/>
        <v>23000</v>
      </c>
      <c r="Q101" s="107">
        <f t="shared" si="154"/>
        <v>21000</v>
      </c>
      <c r="R101" s="107">
        <f t="shared" si="154"/>
        <v>18000</v>
      </c>
      <c r="S101" s="107">
        <f t="shared" si="154"/>
        <v>15000</v>
      </c>
      <c r="T101" s="107">
        <f t="shared" si="154"/>
        <v>13000</v>
      </c>
      <c r="U101" s="107">
        <f t="shared" si="154"/>
        <v>11000</v>
      </c>
      <c r="V101" s="107">
        <f t="shared" si="154"/>
        <v>9000</v>
      </c>
      <c r="W101" s="107">
        <f t="shared" si="154"/>
        <v>7000</v>
      </c>
      <c r="X101" s="107">
        <f t="shared" si="154"/>
        <v>7000</v>
      </c>
      <c r="Y101" s="110"/>
      <c r="AA101" s="396" t="s">
        <v>125</v>
      </c>
      <c r="AB101" s="189" t="s">
        <v>125</v>
      </c>
      <c r="AC101" s="190" t="s">
        <v>52</v>
      </c>
      <c r="AD101" s="191" t="s">
        <v>53</v>
      </c>
      <c r="AE101" s="439">
        <f>ROUNDUP(((4700)*35%)+(4700),-3)</f>
        <v>7000</v>
      </c>
      <c r="AF101" s="114">
        <f t="shared" si="138"/>
        <v>3000</v>
      </c>
      <c r="AG101" s="113">
        <f t="shared" si="139"/>
        <v>1000</v>
      </c>
      <c r="AH101" s="114">
        <f t="shared" si="140"/>
        <v>2000</v>
      </c>
      <c r="AI101" s="440">
        <f t="shared" si="141"/>
        <v>13000</v>
      </c>
      <c r="AJ101" s="112">
        <f t="shared" si="142"/>
        <v>20000</v>
      </c>
      <c r="AN101" s="181"/>
      <c r="AO101" s="103"/>
      <c r="AP101" s="404" t="s">
        <v>125</v>
      </c>
      <c r="AQ101" s="104"/>
      <c r="AR101" s="425">
        <v>57780</v>
      </c>
      <c r="AS101" s="406">
        <f t="shared" si="144"/>
        <v>40500</v>
      </c>
      <c r="AT101" s="406">
        <f t="shared" si="145"/>
        <v>5800</v>
      </c>
      <c r="AU101" s="406">
        <f t="shared" si="146"/>
        <v>11600</v>
      </c>
      <c r="AV101" s="389">
        <f t="shared" si="147"/>
        <v>115680</v>
      </c>
      <c r="AW101" s="406">
        <f t="shared" si="148"/>
        <v>138816</v>
      </c>
      <c r="AX101" s="175">
        <f t="shared" si="149"/>
        <v>98316</v>
      </c>
      <c r="BK101" s="80" t="s">
        <v>40</v>
      </c>
      <c r="BL101" s="81">
        <f>(1898500*15%)+1898500</f>
        <v>2183275</v>
      </c>
      <c r="BM101" s="82">
        <f t="shared" si="143"/>
        <v>2620000</v>
      </c>
      <c r="BR101" s="379" t="s">
        <v>390</v>
      </c>
      <c r="BS101" s="380"/>
      <c r="BT101" s="381" t="s">
        <v>252</v>
      </c>
      <c r="BU101" s="381" t="s">
        <v>77</v>
      </c>
      <c r="BV101" s="381" t="s">
        <v>108</v>
      </c>
      <c r="BW101" s="381" t="s">
        <v>117</v>
      </c>
      <c r="BX101" s="381" t="s">
        <v>124</v>
      </c>
      <c r="BY101" s="381" t="s">
        <v>132</v>
      </c>
      <c r="BZ101" s="382" t="s">
        <v>136</v>
      </c>
      <c r="CA101" s="382" t="s">
        <v>139</v>
      </c>
      <c r="CH101" s="56" t="s">
        <v>41</v>
      </c>
      <c r="CI101" s="448" t="s">
        <v>42</v>
      </c>
      <c r="CJ101" s="58" t="s">
        <v>43</v>
      </c>
      <c r="CK101" s="57" t="s">
        <v>44</v>
      </c>
      <c r="CL101" s="57" t="s">
        <v>23</v>
      </c>
      <c r="CZ101" s="324" t="s">
        <v>325</v>
      </c>
      <c r="DA101" s="325" t="s">
        <v>326</v>
      </c>
      <c r="DB101" s="325">
        <v>65</v>
      </c>
      <c r="DC101" s="444">
        <v>6500</v>
      </c>
      <c r="DD101" s="445"/>
      <c r="DE101" s="444">
        <f t="shared" si="152"/>
        <v>9000</v>
      </c>
      <c r="DF101" s="445"/>
      <c r="DG101" s="444">
        <f t="shared" si="153"/>
        <v>5000</v>
      </c>
      <c r="DH101" s="445"/>
      <c r="DK101" s="361" t="s">
        <v>32</v>
      </c>
      <c r="DL101" s="362" t="s">
        <v>88</v>
      </c>
      <c r="DM101" s="363"/>
      <c r="DN101" s="363"/>
      <c r="DO101" s="364"/>
      <c r="DP101" s="363"/>
      <c r="DQ101" s="363"/>
      <c r="DR101" s="363"/>
      <c r="DS101" s="365"/>
      <c r="DT101" s="161"/>
      <c r="DU101" s="161"/>
      <c r="DV101" s="161"/>
      <c r="DW101" s="161"/>
      <c r="DX101" s="311" t="s">
        <v>527</v>
      </c>
      <c r="DY101" s="162">
        <v>232072</v>
      </c>
      <c r="DZ101" s="162">
        <v>257600</v>
      </c>
      <c r="EA101" s="286">
        <f t="shared" si="102"/>
        <v>347760</v>
      </c>
      <c r="ED101" s="254" t="s">
        <v>528</v>
      </c>
      <c r="EE101" s="216">
        <v>1257117</v>
      </c>
      <c r="EF101" s="216">
        <v>1395400</v>
      </c>
      <c r="EG101" s="298">
        <f t="shared" si="134"/>
        <v>1883790.0000000002</v>
      </c>
    </row>
    <row r="102" spans="3:137" ht="15" thickBot="1">
      <c r="C102" s="259" t="s">
        <v>15</v>
      </c>
      <c r="D102" s="259"/>
      <c r="E102" s="260">
        <f t="shared" ref="E102:X102" si="155">SUM(E98:E101)</f>
        <v>5610000</v>
      </c>
      <c r="F102" s="260">
        <f t="shared" si="155"/>
        <v>4250000</v>
      </c>
      <c r="G102" s="260">
        <f t="shared" si="155"/>
        <v>4080000</v>
      </c>
      <c r="H102" s="260">
        <f t="shared" si="155"/>
        <v>2805000</v>
      </c>
      <c r="I102" s="260">
        <f t="shared" si="155"/>
        <v>2295000</v>
      </c>
      <c r="J102" s="260">
        <f t="shared" si="155"/>
        <v>1870000</v>
      </c>
      <c r="K102" s="260">
        <f t="shared" si="155"/>
        <v>1360000</v>
      </c>
      <c r="L102" s="260">
        <f t="shared" si="155"/>
        <v>1122000</v>
      </c>
      <c r="M102" s="260">
        <f t="shared" si="155"/>
        <v>723000</v>
      </c>
      <c r="N102" s="260">
        <f t="shared" si="155"/>
        <v>391000</v>
      </c>
      <c r="O102" s="260">
        <f t="shared" si="155"/>
        <v>357000</v>
      </c>
      <c r="P102" s="260">
        <f t="shared" si="155"/>
        <v>196000</v>
      </c>
      <c r="Q102" s="260">
        <f t="shared" si="155"/>
        <v>179000</v>
      </c>
      <c r="R102" s="260">
        <f t="shared" si="155"/>
        <v>153000</v>
      </c>
      <c r="S102" s="260">
        <f t="shared" si="155"/>
        <v>128000</v>
      </c>
      <c r="T102" s="260">
        <f t="shared" si="155"/>
        <v>111000</v>
      </c>
      <c r="U102" s="260">
        <f t="shared" si="155"/>
        <v>90000</v>
      </c>
      <c r="V102" s="260">
        <f t="shared" si="155"/>
        <v>76000</v>
      </c>
      <c r="W102" s="260">
        <f t="shared" si="155"/>
        <v>60000</v>
      </c>
      <c r="X102" s="260">
        <f t="shared" si="155"/>
        <v>58000</v>
      </c>
      <c r="Y102" s="23">
        <v>1.1000000000000001</v>
      </c>
      <c r="AA102" s="446"/>
      <c r="AB102" s="103" t="s">
        <v>125</v>
      </c>
      <c r="AC102" s="52" t="s">
        <v>52</v>
      </c>
      <c r="AD102" s="104" t="s">
        <v>51</v>
      </c>
      <c r="AE102" s="433">
        <f>ROUNDUP(((4900)*35%)+(4900),-3)</f>
        <v>7000</v>
      </c>
      <c r="AF102" s="106">
        <f t="shared" si="138"/>
        <v>3000</v>
      </c>
      <c r="AG102" s="117">
        <f t="shared" si="139"/>
        <v>1000</v>
      </c>
      <c r="AH102" s="106">
        <f t="shared" si="140"/>
        <v>2000</v>
      </c>
      <c r="AI102" s="108">
        <f t="shared" si="141"/>
        <v>13000</v>
      </c>
      <c r="AJ102" s="268">
        <f t="shared" si="142"/>
        <v>20000</v>
      </c>
      <c r="AN102" s="183"/>
      <c r="AO102" s="141"/>
      <c r="AP102" s="415" t="s">
        <v>40</v>
      </c>
      <c r="AQ102" s="143"/>
      <c r="AR102" s="436">
        <v>100120</v>
      </c>
      <c r="AS102" s="417">
        <f t="shared" si="144"/>
        <v>70100</v>
      </c>
      <c r="AT102" s="417">
        <f t="shared" si="145"/>
        <v>10100</v>
      </c>
      <c r="AU102" s="417">
        <f t="shared" si="146"/>
        <v>20100</v>
      </c>
      <c r="AV102" s="418">
        <f t="shared" si="147"/>
        <v>200420</v>
      </c>
      <c r="AW102" s="417">
        <f t="shared" si="148"/>
        <v>240504</v>
      </c>
      <c r="AX102" s="148">
        <f t="shared" si="149"/>
        <v>170404</v>
      </c>
      <c r="BK102" s="80" t="s">
        <v>57</v>
      </c>
      <c r="BL102" s="81">
        <v>4752000</v>
      </c>
      <c r="BM102" s="82">
        <f t="shared" si="143"/>
        <v>5703000</v>
      </c>
      <c r="BR102" s="419" t="s">
        <v>529</v>
      </c>
      <c r="BS102" s="385" t="s">
        <v>530</v>
      </c>
      <c r="BT102" s="55">
        <v>115000</v>
      </c>
      <c r="BU102" s="55">
        <v>163000</v>
      </c>
      <c r="BV102" s="55">
        <v>301000</v>
      </c>
      <c r="BW102" s="55">
        <v>475000</v>
      </c>
      <c r="BX102" s="55">
        <v>679000</v>
      </c>
      <c r="BY102" s="55">
        <v>1403000</v>
      </c>
      <c r="BZ102" s="55">
        <v>2642000</v>
      </c>
      <c r="CA102" s="55">
        <v>3735000</v>
      </c>
      <c r="CH102" s="181">
        <v>1</v>
      </c>
      <c r="CI102" s="175" t="s">
        <v>531</v>
      </c>
      <c r="CJ102" s="1" t="s">
        <v>532</v>
      </c>
      <c r="CK102" s="449">
        <v>505513.75</v>
      </c>
      <c r="CL102" s="450">
        <f>ROUNDUP(CK102*$CN$9,-3)</f>
        <v>607000</v>
      </c>
      <c r="CZ102" s="324">
        <v>25</v>
      </c>
      <c r="DA102" s="325" t="s">
        <v>75</v>
      </c>
      <c r="DB102" s="325">
        <v>60</v>
      </c>
      <c r="DC102" s="444">
        <v>6900</v>
      </c>
      <c r="DD102" s="445"/>
      <c r="DE102" s="444">
        <f>ROUNDUP(DC102*$DF$52,-3)</f>
        <v>10000</v>
      </c>
      <c r="DF102" s="445"/>
      <c r="DG102" s="444">
        <f>ROUNDUP((DE102*45%),-3)</f>
        <v>5000</v>
      </c>
      <c r="DH102" s="445"/>
      <c r="DK102" s="287">
        <v>35</v>
      </c>
      <c r="DL102" s="156" t="s">
        <v>380</v>
      </c>
      <c r="DM102" s="451">
        <v>100</v>
      </c>
      <c r="DN102" s="328">
        <v>3200</v>
      </c>
      <c r="DO102" s="329"/>
      <c r="DP102" s="328">
        <f>ROUNDUP(DN102*$DS$52,-3)</f>
        <v>5000</v>
      </c>
      <c r="DQ102" s="329"/>
      <c r="DR102" s="328">
        <f>ROUNDUP((DP102*45%),-3)</f>
        <v>3000</v>
      </c>
      <c r="DS102" s="330"/>
      <c r="DT102" s="161"/>
      <c r="DU102" s="161"/>
      <c r="DV102" s="161"/>
      <c r="DW102" s="161"/>
      <c r="DX102" s="311" t="s">
        <v>533</v>
      </c>
      <c r="DY102" s="162">
        <v>266667</v>
      </c>
      <c r="DZ102" s="162">
        <v>296000</v>
      </c>
      <c r="EA102" s="286">
        <f t="shared" si="102"/>
        <v>399600</v>
      </c>
    </row>
    <row r="103" spans="3:137" ht="17.399999999999999">
      <c r="C103" s="23" t="s">
        <v>215</v>
      </c>
      <c r="D103" s="23"/>
      <c r="E103" s="107">
        <f t="shared" ref="E103:X103" si="156">ROUNDUP(E102*$Y$102,-3)</f>
        <v>6171000</v>
      </c>
      <c r="F103" s="107">
        <f t="shared" si="156"/>
        <v>4675000</v>
      </c>
      <c r="G103" s="107">
        <f t="shared" si="156"/>
        <v>4488000</v>
      </c>
      <c r="H103" s="107">
        <f t="shared" si="156"/>
        <v>3086000</v>
      </c>
      <c r="I103" s="107">
        <f t="shared" si="156"/>
        <v>2525000</v>
      </c>
      <c r="J103" s="107">
        <f t="shared" si="156"/>
        <v>2057000</v>
      </c>
      <c r="K103" s="107">
        <f t="shared" si="156"/>
        <v>1496000</v>
      </c>
      <c r="L103" s="107">
        <f t="shared" si="156"/>
        <v>1235000</v>
      </c>
      <c r="M103" s="107">
        <f t="shared" si="156"/>
        <v>796000</v>
      </c>
      <c r="N103" s="107">
        <f t="shared" si="156"/>
        <v>431000</v>
      </c>
      <c r="O103" s="107">
        <f t="shared" si="156"/>
        <v>393000</v>
      </c>
      <c r="P103" s="107">
        <f t="shared" si="156"/>
        <v>216000</v>
      </c>
      <c r="Q103" s="107">
        <f t="shared" si="156"/>
        <v>197000</v>
      </c>
      <c r="R103" s="107">
        <f t="shared" si="156"/>
        <v>169000</v>
      </c>
      <c r="S103" s="107">
        <f t="shared" si="156"/>
        <v>141000</v>
      </c>
      <c r="T103" s="107">
        <f t="shared" si="156"/>
        <v>123000</v>
      </c>
      <c r="U103" s="107">
        <f t="shared" si="156"/>
        <v>99000</v>
      </c>
      <c r="V103" s="107">
        <f t="shared" si="156"/>
        <v>84000</v>
      </c>
      <c r="W103" s="107">
        <f t="shared" si="156"/>
        <v>66000</v>
      </c>
      <c r="X103" s="107">
        <f t="shared" si="156"/>
        <v>64000</v>
      </c>
      <c r="Y103" s="23"/>
      <c r="AA103" s="446"/>
      <c r="AB103" s="103" t="s">
        <v>125</v>
      </c>
      <c r="AC103" s="52" t="s">
        <v>52</v>
      </c>
      <c r="AD103" s="104" t="s">
        <v>75</v>
      </c>
      <c r="AE103" s="433">
        <f>ROUNDUP(((6100)*35%)+(6100),-3)</f>
        <v>9000</v>
      </c>
      <c r="AF103" s="106">
        <f t="shared" si="138"/>
        <v>4000</v>
      </c>
      <c r="AG103" s="117">
        <f t="shared" si="139"/>
        <v>1000</v>
      </c>
      <c r="AH103" s="106">
        <f t="shared" si="140"/>
        <v>2000</v>
      </c>
      <c r="AI103" s="108">
        <f t="shared" si="141"/>
        <v>16000</v>
      </c>
      <c r="AJ103" s="268">
        <f t="shared" si="142"/>
        <v>24000</v>
      </c>
      <c r="AL103" s="23">
        <v>0.4</v>
      </c>
      <c r="AN103" s="396" t="s">
        <v>534</v>
      </c>
      <c r="AO103" s="189"/>
      <c r="AP103" s="397" t="s">
        <v>430</v>
      </c>
      <c r="AQ103" s="191"/>
      <c r="AR103" s="452">
        <v>9850</v>
      </c>
      <c r="AS103" s="114">
        <f t="shared" si="144"/>
        <v>6900</v>
      </c>
      <c r="AT103" s="114">
        <f t="shared" si="145"/>
        <v>1000</v>
      </c>
      <c r="AU103" s="114">
        <f t="shared" si="146"/>
        <v>2000</v>
      </c>
      <c r="AV103" s="399">
        <f t="shared" si="147"/>
        <v>19750</v>
      </c>
      <c r="AW103" s="400">
        <f t="shared" si="148"/>
        <v>23700</v>
      </c>
      <c r="AX103" s="109">
        <f t="shared" si="149"/>
        <v>16800</v>
      </c>
      <c r="BK103" s="80" t="s">
        <v>77</v>
      </c>
      <c r="BL103" s="81">
        <v>7799650</v>
      </c>
      <c r="BM103" s="82">
        <f t="shared" si="143"/>
        <v>9360000</v>
      </c>
      <c r="BN103" s="60"/>
      <c r="BR103" s="422"/>
      <c r="BS103" s="385" t="s">
        <v>535</v>
      </c>
      <c r="BT103" s="55">
        <v>67000</v>
      </c>
      <c r="BU103" s="55">
        <v>94000</v>
      </c>
      <c r="BV103" s="55">
        <v>175000</v>
      </c>
      <c r="BW103" s="55">
        <v>275000</v>
      </c>
      <c r="BX103" s="55">
        <v>391000</v>
      </c>
      <c r="BY103" s="55">
        <v>746000</v>
      </c>
      <c r="BZ103" s="55">
        <v>1525000</v>
      </c>
      <c r="CA103" s="55">
        <v>1965000</v>
      </c>
      <c r="CH103" s="181"/>
      <c r="CI103" s="175" t="s">
        <v>536</v>
      </c>
      <c r="CJ103" s="1" t="s">
        <v>537</v>
      </c>
      <c r="CK103" s="449">
        <v>771343.75</v>
      </c>
      <c r="CL103" s="450">
        <f t="shared" ref="CL103:CL119" si="157">ROUNDUP(CK103*$CN$9,-3)</f>
        <v>926000</v>
      </c>
      <c r="CZ103" s="324" t="s">
        <v>330</v>
      </c>
      <c r="DA103" s="325" t="s">
        <v>331</v>
      </c>
      <c r="DB103" s="325">
        <v>45</v>
      </c>
      <c r="DC103" s="444">
        <v>9100</v>
      </c>
      <c r="DD103" s="445"/>
      <c r="DE103" s="444">
        <f t="shared" si="152"/>
        <v>13000</v>
      </c>
      <c r="DF103" s="445"/>
      <c r="DG103" s="444">
        <f t="shared" si="153"/>
        <v>6000</v>
      </c>
      <c r="DH103" s="445"/>
      <c r="DK103" s="287">
        <v>40</v>
      </c>
      <c r="DL103" s="156" t="s">
        <v>383</v>
      </c>
      <c r="DM103" s="451">
        <v>75</v>
      </c>
      <c r="DN103" s="328">
        <v>3700</v>
      </c>
      <c r="DO103" s="329"/>
      <c r="DP103" s="328">
        <f>ROUNDUP(DN103*$DS$52,-3)</f>
        <v>5000</v>
      </c>
      <c r="DQ103" s="329"/>
      <c r="DR103" s="328">
        <f>ROUNDUP((DP103*45%),-3)</f>
        <v>3000</v>
      </c>
      <c r="DS103" s="330"/>
      <c r="DT103" s="161"/>
      <c r="DU103" s="161"/>
      <c r="DV103" s="161"/>
      <c r="DW103" s="161"/>
      <c r="DX103" s="311" t="s">
        <v>538</v>
      </c>
      <c r="DY103" s="162">
        <v>287838</v>
      </c>
      <c r="DZ103" s="162">
        <v>319500</v>
      </c>
      <c r="EA103" s="286">
        <f t="shared" si="102"/>
        <v>431325</v>
      </c>
    </row>
    <row r="104" spans="3:137" ht="15" thickBot="1">
      <c r="AA104" s="453"/>
      <c r="AB104" s="141" t="s">
        <v>125</v>
      </c>
      <c r="AC104" s="142" t="s">
        <v>52</v>
      </c>
      <c r="AD104" s="143" t="s">
        <v>59</v>
      </c>
      <c r="AE104" s="144">
        <f>ROUNDUP(((6900)*35%)+(6900),-3)</f>
        <v>10000</v>
      </c>
      <c r="AF104" s="145">
        <f t="shared" si="138"/>
        <v>4000</v>
      </c>
      <c r="AG104" s="146">
        <f t="shared" si="139"/>
        <v>1000</v>
      </c>
      <c r="AH104" s="145">
        <f t="shared" si="140"/>
        <v>2000</v>
      </c>
      <c r="AI104" s="147">
        <f t="shared" si="141"/>
        <v>17000</v>
      </c>
      <c r="AJ104" s="150">
        <f t="shared" si="142"/>
        <v>26000</v>
      </c>
      <c r="AL104" s="23">
        <v>0.1</v>
      </c>
      <c r="AN104" s="181"/>
      <c r="AO104" s="103"/>
      <c r="AP104" s="404" t="s">
        <v>437</v>
      </c>
      <c r="AQ104" s="104"/>
      <c r="AR104" s="425">
        <v>9850</v>
      </c>
      <c r="AS104" s="406">
        <f t="shared" si="144"/>
        <v>6900</v>
      </c>
      <c r="AT104" s="406">
        <f t="shared" si="145"/>
        <v>1000</v>
      </c>
      <c r="AU104" s="406">
        <f t="shared" si="146"/>
        <v>2000</v>
      </c>
      <c r="AV104" s="389">
        <f t="shared" si="147"/>
        <v>19750</v>
      </c>
      <c r="AW104" s="406">
        <f t="shared" si="148"/>
        <v>23700</v>
      </c>
      <c r="AX104" s="175">
        <f t="shared" si="149"/>
        <v>16800</v>
      </c>
      <c r="BK104" s="178" t="s">
        <v>108</v>
      </c>
      <c r="BL104" s="179">
        <v>120889650</v>
      </c>
      <c r="BM104" s="192">
        <f t="shared" si="143"/>
        <v>145068000</v>
      </c>
      <c r="BR104" s="422"/>
      <c r="BS104" s="385" t="s">
        <v>539</v>
      </c>
      <c r="BT104" s="55">
        <v>205000</v>
      </c>
      <c r="BU104" s="55">
        <v>251000</v>
      </c>
      <c r="BV104" s="55">
        <v>381000</v>
      </c>
      <c r="BW104" s="55">
        <v>578000</v>
      </c>
      <c r="BX104" s="55">
        <v>834000</v>
      </c>
      <c r="BY104" s="55">
        <v>1803000</v>
      </c>
      <c r="BZ104" s="55">
        <v>3106000</v>
      </c>
      <c r="CA104" s="55">
        <v>4320000</v>
      </c>
      <c r="CH104" s="181"/>
      <c r="CI104" s="175" t="s">
        <v>540</v>
      </c>
      <c r="CJ104" s="1" t="s">
        <v>541</v>
      </c>
      <c r="CK104" s="449">
        <v>771343.75</v>
      </c>
      <c r="CL104" s="450">
        <f t="shared" si="157"/>
        <v>926000</v>
      </c>
      <c r="CZ104" s="324" t="s">
        <v>336</v>
      </c>
      <c r="DA104" s="325" t="s">
        <v>337</v>
      </c>
      <c r="DB104" s="325">
        <v>45</v>
      </c>
      <c r="DC104" s="444">
        <v>4600</v>
      </c>
      <c r="DD104" s="445"/>
      <c r="DE104" s="444">
        <f t="shared" si="152"/>
        <v>7000</v>
      </c>
      <c r="DF104" s="445"/>
      <c r="DG104" s="444">
        <f t="shared" si="153"/>
        <v>4000</v>
      </c>
      <c r="DH104" s="445"/>
      <c r="DK104" s="287">
        <v>50</v>
      </c>
      <c r="DL104" s="156" t="s">
        <v>40</v>
      </c>
      <c r="DM104" s="156">
        <v>100</v>
      </c>
      <c r="DN104" s="328">
        <v>7300</v>
      </c>
      <c r="DO104" s="329"/>
      <c r="DP104" s="328">
        <f>ROUNDUP(DN104*$DS$52,-3)</f>
        <v>10000</v>
      </c>
      <c r="DQ104" s="329"/>
      <c r="DR104" s="328">
        <f>ROUNDUP((DP104*45%),-3)</f>
        <v>5000</v>
      </c>
      <c r="DS104" s="330"/>
      <c r="DT104" s="161"/>
      <c r="DU104" s="161"/>
      <c r="DV104" s="161"/>
      <c r="DW104" s="161"/>
      <c r="DX104" s="311" t="s">
        <v>542</v>
      </c>
      <c r="DY104" s="162">
        <v>328468</v>
      </c>
      <c r="DZ104" s="162">
        <v>364600</v>
      </c>
      <c r="EA104" s="286">
        <f t="shared" si="102"/>
        <v>492210.00000000006</v>
      </c>
      <c r="ED104" s="32" t="s">
        <v>543</v>
      </c>
      <c r="EE104" s="274"/>
      <c r="EF104" s="274"/>
      <c r="EG104" s="274"/>
    </row>
    <row r="105" spans="3:137" ht="15" customHeight="1">
      <c r="AA105" s="396" t="s">
        <v>40</v>
      </c>
      <c r="AB105" s="189" t="s">
        <v>40</v>
      </c>
      <c r="AC105" s="190" t="s">
        <v>52</v>
      </c>
      <c r="AD105" s="191" t="s">
        <v>53</v>
      </c>
      <c r="AE105" s="439">
        <f>ROUNDUP(((7600)*35%)+(7600),-3)</f>
        <v>11000</v>
      </c>
      <c r="AF105" s="114">
        <f t="shared" si="138"/>
        <v>5000</v>
      </c>
      <c r="AG105" s="113">
        <f t="shared" si="139"/>
        <v>2000</v>
      </c>
      <c r="AH105" s="114">
        <f t="shared" si="140"/>
        <v>3000</v>
      </c>
      <c r="AI105" s="440">
        <f t="shared" si="141"/>
        <v>21000</v>
      </c>
      <c r="AJ105" s="112">
        <f t="shared" si="142"/>
        <v>32000</v>
      </c>
      <c r="AL105" s="23">
        <v>0.2</v>
      </c>
      <c r="AN105" s="181"/>
      <c r="AO105" s="103"/>
      <c r="AP105" s="404" t="s">
        <v>53</v>
      </c>
      <c r="AQ105" s="104"/>
      <c r="AR105" s="425">
        <v>8100</v>
      </c>
      <c r="AS105" s="406">
        <f t="shared" si="144"/>
        <v>5700</v>
      </c>
      <c r="AT105" s="406">
        <f t="shared" si="145"/>
        <v>900</v>
      </c>
      <c r="AU105" s="406">
        <f t="shared" si="146"/>
        <v>1700</v>
      </c>
      <c r="AV105" s="389">
        <f t="shared" si="147"/>
        <v>16400</v>
      </c>
      <c r="AW105" s="406">
        <f t="shared" si="148"/>
        <v>19680</v>
      </c>
      <c r="AX105" s="175">
        <f t="shared" si="149"/>
        <v>13980</v>
      </c>
      <c r="BK105" s="52"/>
      <c r="BL105" s="52"/>
      <c r="BM105" s="117"/>
      <c r="BO105" s="23">
        <v>0.4</v>
      </c>
      <c r="BR105" s="422"/>
      <c r="BS105" s="385" t="s">
        <v>544</v>
      </c>
      <c r="BT105" s="55">
        <v>212000</v>
      </c>
      <c r="BU105" s="55">
        <v>260000</v>
      </c>
      <c r="BV105" s="55">
        <v>394000</v>
      </c>
      <c r="BW105" s="55">
        <v>596000</v>
      </c>
      <c r="BX105" s="55">
        <v>860000</v>
      </c>
      <c r="BY105" s="55">
        <v>1849000</v>
      </c>
      <c r="BZ105" s="55">
        <v>3184000</v>
      </c>
      <c r="CA105" s="55">
        <v>4428000</v>
      </c>
      <c r="CH105" s="181"/>
      <c r="CI105" s="175" t="s">
        <v>545</v>
      </c>
      <c r="CJ105" s="1" t="s">
        <v>546</v>
      </c>
      <c r="CK105" s="449">
        <v>1687517.5</v>
      </c>
      <c r="CL105" s="450">
        <f t="shared" si="157"/>
        <v>2026000</v>
      </c>
      <c r="CZ105" s="324" t="s">
        <v>340</v>
      </c>
      <c r="DA105" s="454" t="s">
        <v>341</v>
      </c>
      <c r="DB105" s="325">
        <v>35</v>
      </c>
      <c r="DC105" s="444">
        <v>5300</v>
      </c>
      <c r="DD105" s="445"/>
      <c r="DE105" s="444">
        <f t="shared" si="152"/>
        <v>8000</v>
      </c>
      <c r="DF105" s="445"/>
      <c r="DG105" s="444">
        <f t="shared" si="153"/>
        <v>4000</v>
      </c>
      <c r="DH105" s="445"/>
      <c r="DK105" s="287">
        <v>65</v>
      </c>
      <c r="DL105" s="156" t="s">
        <v>322</v>
      </c>
      <c r="DM105" s="156">
        <v>60</v>
      </c>
      <c r="DN105" s="328">
        <v>9800</v>
      </c>
      <c r="DO105" s="329"/>
      <c r="DP105" s="328">
        <f t="shared" ref="DP105:DP112" si="158">ROUNDUP(DN105*$DS$52,-3)</f>
        <v>14000</v>
      </c>
      <c r="DQ105" s="329"/>
      <c r="DR105" s="328">
        <f t="shared" ref="DR105:DR112" si="159">ROUNDUP((DN105*45%),-3)</f>
        <v>5000</v>
      </c>
      <c r="DS105" s="330"/>
      <c r="DT105" s="161"/>
      <c r="DU105" s="161"/>
      <c r="DV105" s="161"/>
      <c r="DW105" s="161"/>
      <c r="DX105" s="311" t="s">
        <v>547</v>
      </c>
      <c r="DY105" s="162">
        <v>361351</v>
      </c>
      <c r="DZ105" s="162">
        <v>401100</v>
      </c>
      <c r="EA105" s="286">
        <f t="shared" si="102"/>
        <v>541485</v>
      </c>
      <c r="ED105" s="280" t="s">
        <v>245</v>
      </c>
      <c r="EE105" s="281" t="s">
        <v>248</v>
      </c>
      <c r="EF105" s="281" t="s">
        <v>249</v>
      </c>
      <c r="EG105" s="375" t="s">
        <v>91</v>
      </c>
    </row>
    <row r="106" spans="3:137">
      <c r="C106" s="23"/>
      <c r="D106" s="23"/>
      <c r="E106" s="244" t="s">
        <v>427</v>
      </c>
      <c r="F106" s="244" t="s">
        <v>428</v>
      </c>
      <c r="G106" s="244" t="s">
        <v>419</v>
      </c>
      <c r="H106" s="244" t="s">
        <v>394</v>
      </c>
      <c r="I106" s="244" t="s">
        <v>374</v>
      </c>
      <c r="J106" s="244" t="s">
        <v>347</v>
      </c>
      <c r="K106" s="244" t="s">
        <v>139</v>
      </c>
      <c r="L106" s="244" t="s">
        <v>136</v>
      </c>
      <c r="M106" s="244" t="s">
        <v>132</v>
      </c>
      <c r="N106" s="244" t="s">
        <v>124</v>
      </c>
      <c r="O106" s="244" t="s">
        <v>117</v>
      </c>
      <c r="P106" s="244" t="s">
        <v>108</v>
      </c>
      <c r="Q106" s="244" t="s">
        <v>77</v>
      </c>
      <c r="R106" s="244" t="s">
        <v>57</v>
      </c>
      <c r="S106" s="244" t="s">
        <v>40</v>
      </c>
      <c r="T106" s="244" t="s">
        <v>125</v>
      </c>
      <c r="U106" s="244" t="s">
        <v>59</v>
      </c>
      <c r="V106" s="244" t="s">
        <v>75</v>
      </c>
      <c r="W106" s="244" t="s">
        <v>51</v>
      </c>
      <c r="X106" s="244" t="s">
        <v>53</v>
      </c>
      <c r="Y106" s="23"/>
      <c r="AA106" s="446"/>
      <c r="AB106" s="103" t="s">
        <v>40</v>
      </c>
      <c r="AC106" s="52" t="s">
        <v>52</v>
      </c>
      <c r="AD106" s="104" t="s">
        <v>51</v>
      </c>
      <c r="AE106" s="433">
        <f>ROUNDUP(((6900)*35%)+(6900),-3)</f>
        <v>10000</v>
      </c>
      <c r="AF106" s="106">
        <f t="shared" si="138"/>
        <v>4000</v>
      </c>
      <c r="AG106" s="117">
        <f t="shared" si="139"/>
        <v>1000</v>
      </c>
      <c r="AH106" s="106">
        <f t="shared" si="140"/>
        <v>2000</v>
      </c>
      <c r="AI106" s="108">
        <f t="shared" si="141"/>
        <v>17000</v>
      </c>
      <c r="AJ106" s="268">
        <f t="shared" si="142"/>
        <v>26000</v>
      </c>
      <c r="AL106" s="110"/>
      <c r="AN106" s="181"/>
      <c r="AO106" s="103"/>
      <c r="AP106" s="404" t="s">
        <v>51</v>
      </c>
      <c r="AQ106" s="104"/>
      <c r="AR106" s="425">
        <v>11150</v>
      </c>
      <c r="AS106" s="406">
        <f t="shared" si="144"/>
        <v>7900</v>
      </c>
      <c r="AT106" s="406">
        <f t="shared" si="145"/>
        <v>1200</v>
      </c>
      <c r="AU106" s="406">
        <f t="shared" si="146"/>
        <v>2300</v>
      </c>
      <c r="AV106" s="389">
        <f t="shared" si="147"/>
        <v>22550</v>
      </c>
      <c r="AW106" s="406">
        <f t="shared" si="148"/>
        <v>27060</v>
      </c>
      <c r="AX106" s="175">
        <f t="shared" si="149"/>
        <v>19160</v>
      </c>
      <c r="BO106" s="23">
        <v>0.1</v>
      </c>
      <c r="BR106" s="427"/>
      <c r="BS106" s="385" t="s">
        <v>548</v>
      </c>
      <c r="BT106" s="55">
        <v>135000</v>
      </c>
      <c r="BU106" s="55">
        <v>150000</v>
      </c>
      <c r="BV106" s="55">
        <v>234000</v>
      </c>
      <c r="BW106" s="55">
        <v>314000</v>
      </c>
      <c r="BX106" s="55">
        <v>449000</v>
      </c>
      <c r="BY106" s="55">
        <v>1133000</v>
      </c>
      <c r="BZ106" s="55">
        <v>1393000</v>
      </c>
      <c r="CA106" s="55">
        <v>2039000</v>
      </c>
      <c r="CH106" s="181"/>
      <c r="CI106" s="175" t="s">
        <v>549</v>
      </c>
      <c r="CJ106" s="1" t="s">
        <v>550</v>
      </c>
      <c r="CK106" s="449">
        <v>1687517.5</v>
      </c>
      <c r="CL106" s="450">
        <f t="shared" si="157"/>
        <v>2026000</v>
      </c>
      <c r="CZ106" s="324">
        <v>35</v>
      </c>
      <c r="DA106" s="325" t="s">
        <v>380</v>
      </c>
      <c r="DB106" s="325">
        <v>30</v>
      </c>
      <c r="DC106" s="444">
        <v>11300</v>
      </c>
      <c r="DD106" s="445"/>
      <c r="DE106" s="444">
        <f>ROUNDUP(DC106*$DF$52,-3)</f>
        <v>16000</v>
      </c>
      <c r="DF106" s="445"/>
      <c r="DG106" s="444">
        <f>ROUNDUP((DE106*45%),-3)</f>
        <v>8000</v>
      </c>
      <c r="DH106" s="445"/>
      <c r="DK106" s="287">
        <v>75</v>
      </c>
      <c r="DL106" s="156" t="s">
        <v>77</v>
      </c>
      <c r="DM106" s="156">
        <v>35</v>
      </c>
      <c r="DN106" s="328">
        <v>15900</v>
      </c>
      <c r="DO106" s="329"/>
      <c r="DP106" s="328">
        <f t="shared" si="158"/>
        <v>22000</v>
      </c>
      <c r="DQ106" s="329"/>
      <c r="DR106" s="328">
        <f t="shared" si="159"/>
        <v>8000</v>
      </c>
      <c r="DS106" s="330"/>
      <c r="DT106" s="161"/>
      <c r="DU106" s="161"/>
      <c r="DV106" s="161"/>
      <c r="DW106" s="161"/>
      <c r="DX106" s="311" t="s">
        <v>551</v>
      </c>
      <c r="DY106" s="162">
        <v>776757</v>
      </c>
      <c r="DZ106" s="162">
        <v>862200</v>
      </c>
      <c r="EA106" s="286">
        <f t="shared" si="102"/>
        <v>1163970</v>
      </c>
      <c r="ED106" s="154" t="s">
        <v>251</v>
      </c>
      <c r="EE106" s="252">
        <v>28559</v>
      </c>
      <c r="EF106" s="252">
        <v>31700</v>
      </c>
      <c r="EG106" s="286">
        <f>EF106*$DW$4</f>
        <v>42795</v>
      </c>
    </row>
    <row r="107" spans="3:137" ht="18" thickBot="1">
      <c r="C107" s="249" t="s">
        <v>552</v>
      </c>
      <c r="D107" s="249"/>
      <c r="E107" s="105">
        <f>ROUNDUP(2400000,-3)</f>
        <v>2400000</v>
      </c>
      <c r="F107" s="105"/>
      <c r="G107" s="105">
        <f>ROUNDUP(1800000,-3)</f>
        <v>1800000</v>
      </c>
      <c r="H107" s="105">
        <f>ROUNDUP(1500000,-3)</f>
        <v>1500000</v>
      </c>
      <c r="I107" s="105">
        <f>ROUNDUP(1050000,-3)</f>
        <v>1050000</v>
      </c>
      <c r="J107" s="105">
        <f>ROUNDUP(830000,-3)</f>
        <v>830000</v>
      </c>
      <c r="K107" s="105">
        <f>ROUNDUP(600000,-3)</f>
        <v>600000</v>
      </c>
      <c r="L107" s="105">
        <f>ROUNDUP(450000,-3)</f>
        <v>450000</v>
      </c>
      <c r="M107" s="105">
        <f>ROUNDUP(285000,-3)</f>
        <v>285000</v>
      </c>
      <c r="N107" s="105">
        <f>ROUNDUP(195000,-3)</f>
        <v>195000</v>
      </c>
      <c r="O107" s="105">
        <f>ROUNDUP(160000,-3)</f>
        <v>160000</v>
      </c>
      <c r="P107" s="105">
        <f>ROUNDUP(120000,-3)</f>
        <v>120000</v>
      </c>
      <c r="Q107" s="105">
        <f>ROUNDUP(110000,-3)</f>
        <v>110000</v>
      </c>
      <c r="R107" s="105">
        <f>ROUNDUP(95000,-3)</f>
        <v>95000</v>
      </c>
      <c r="S107" s="105">
        <f>ROUNDUP(78000,-3)</f>
        <v>78000</v>
      </c>
      <c r="T107" s="105">
        <f>ROUNDUP(65000,-3)</f>
        <v>65000</v>
      </c>
      <c r="U107" s="105">
        <f>ROUNDUP(57000,-3)</f>
        <v>57000</v>
      </c>
      <c r="V107" s="105">
        <f>ROUNDUP(48000,-3)</f>
        <v>48000</v>
      </c>
      <c r="W107" s="105">
        <f>ROUNDUP(38000,-3)</f>
        <v>38000</v>
      </c>
      <c r="X107" s="105">
        <f>ROUNDUP(29000,-2)</f>
        <v>29000</v>
      </c>
      <c r="Y107" s="23">
        <v>0.4</v>
      </c>
      <c r="AA107" s="446"/>
      <c r="AB107" s="103" t="s">
        <v>40</v>
      </c>
      <c r="AC107" s="52" t="s">
        <v>52</v>
      </c>
      <c r="AD107" s="104" t="s">
        <v>75</v>
      </c>
      <c r="AE107" s="433">
        <f>ROUNDUP(((8300)*35%)+(8300),-3)</f>
        <v>12000</v>
      </c>
      <c r="AF107" s="106">
        <f t="shared" si="138"/>
        <v>5000</v>
      </c>
      <c r="AG107" s="117">
        <f t="shared" si="139"/>
        <v>2000</v>
      </c>
      <c r="AH107" s="106">
        <f t="shared" si="140"/>
        <v>3000</v>
      </c>
      <c r="AI107" s="108">
        <f t="shared" si="141"/>
        <v>22000</v>
      </c>
      <c r="AJ107" s="268">
        <f t="shared" si="142"/>
        <v>33000</v>
      </c>
      <c r="AL107" s="23">
        <v>1.5</v>
      </c>
      <c r="AN107" s="181"/>
      <c r="AO107" s="103"/>
      <c r="AP107" s="404" t="s">
        <v>75</v>
      </c>
      <c r="AQ107" s="104"/>
      <c r="AR107" s="425">
        <v>18580</v>
      </c>
      <c r="AS107" s="406">
        <f t="shared" si="144"/>
        <v>13100</v>
      </c>
      <c r="AT107" s="406">
        <f t="shared" si="145"/>
        <v>1900</v>
      </c>
      <c r="AU107" s="406">
        <f t="shared" si="146"/>
        <v>3800</v>
      </c>
      <c r="AV107" s="389">
        <f t="shared" si="147"/>
        <v>37380</v>
      </c>
      <c r="AW107" s="406">
        <f t="shared" si="148"/>
        <v>44856</v>
      </c>
      <c r="AX107" s="175">
        <f t="shared" si="149"/>
        <v>31756</v>
      </c>
      <c r="BJ107" s="261" t="s">
        <v>553</v>
      </c>
      <c r="BK107" s="261"/>
      <c r="BL107" s="261"/>
      <c r="BM107" s="261"/>
      <c r="BN107" s="261"/>
      <c r="BO107" s="23">
        <v>0.2</v>
      </c>
      <c r="BR107" s="419" t="s">
        <v>554</v>
      </c>
      <c r="BS107" s="385" t="s">
        <v>530</v>
      </c>
      <c r="BT107" s="55">
        <v>149000</v>
      </c>
      <c r="BU107" s="55">
        <v>239000</v>
      </c>
      <c r="BV107" s="55">
        <v>429000</v>
      </c>
      <c r="BW107" s="55">
        <v>807000</v>
      </c>
      <c r="BX107" s="55">
        <v>1084000</v>
      </c>
      <c r="BY107" s="55">
        <v>2154000</v>
      </c>
      <c r="BZ107" s="55">
        <v>4049000</v>
      </c>
      <c r="CA107" s="55">
        <v>5920000</v>
      </c>
      <c r="CH107" s="181"/>
      <c r="CI107" s="175" t="s">
        <v>555</v>
      </c>
      <c r="CJ107" s="1" t="s">
        <v>556</v>
      </c>
      <c r="CK107" s="449">
        <v>1306610</v>
      </c>
      <c r="CL107" s="450">
        <f t="shared" si="157"/>
        <v>1568000</v>
      </c>
      <c r="CZ107" s="324" t="s">
        <v>344</v>
      </c>
      <c r="DA107" s="454" t="s">
        <v>345</v>
      </c>
      <c r="DB107" s="325">
        <v>25</v>
      </c>
      <c r="DC107" s="444">
        <v>12600</v>
      </c>
      <c r="DD107" s="445"/>
      <c r="DE107" s="444">
        <f t="shared" si="152"/>
        <v>18000</v>
      </c>
      <c r="DF107" s="445"/>
      <c r="DG107" s="444">
        <f t="shared" si="153"/>
        <v>9000</v>
      </c>
      <c r="DH107" s="445"/>
      <c r="DK107" s="287">
        <v>100</v>
      </c>
      <c r="DL107" s="156" t="s">
        <v>108</v>
      </c>
      <c r="DM107" s="156">
        <v>15</v>
      </c>
      <c r="DN107" s="328">
        <v>26900</v>
      </c>
      <c r="DO107" s="329"/>
      <c r="DP107" s="328">
        <f t="shared" si="158"/>
        <v>37000</v>
      </c>
      <c r="DQ107" s="329"/>
      <c r="DR107" s="328">
        <f t="shared" si="159"/>
        <v>13000</v>
      </c>
      <c r="DS107" s="330"/>
      <c r="DT107" s="161"/>
      <c r="DU107" s="161"/>
      <c r="DV107" s="161"/>
      <c r="DW107" s="161"/>
      <c r="DX107" s="331" t="s">
        <v>557</v>
      </c>
      <c r="DY107" s="216">
        <v>870180</v>
      </c>
      <c r="DZ107" s="216">
        <v>965900</v>
      </c>
      <c r="EA107" s="298">
        <f t="shared" si="102"/>
        <v>1303965</v>
      </c>
      <c r="ED107" s="154" t="s">
        <v>255</v>
      </c>
      <c r="EE107" s="252">
        <v>41712</v>
      </c>
      <c r="EF107" s="252">
        <v>46300</v>
      </c>
      <c r="EG107" s="286">
        <f t="shared" ref="EG107:EG116" si="160">EF107*$DW$4</f>
        <v>62505.000000000007</v>
      </c>
    </row>
    <row r="108" spans="3:137" ht="15" thickBot="1">
      <c r="C108" s="23" t="s">
        <v>12</v>
      </c>
      <c r="D108" s="23"/>
      <c r="E108" s="107">
        <f>ROUNDUP(E107*$Y$107,-3)</f>
        <v>960000</v>
      </c>
      <c r="F108" s="107"/>
      <c r="G108" s="107">
        <f t="shared" ref="G108:X108" si="161">ROUNDUP(G107*$Y$107,-3)</f>
        <v>720000</v>
      </c>
      <c r="H108" s="107">
        <f t="shared" si="161"/>
        <v>600000</v>
      </c>
      <c r="I108" s="107">
        <f t="shared" si="161"/>
        <v>420000</v>
      </c>
      <c r="J108" s="107">
        <f t="shared" si="161"/>
        <v>332000</v>
      </c>
      <c r="K108" s="107">
        <f t="shared" si="161"/>
        <v>240000</v>
      </c>
      <c r="L108" s="107">
        <f t="shared" si="161"/>
        <v>180000</v>
      </c>
      <c r="M108" s="107">
        <f t="shared" si="161"/>
        <v>114000</v>
      </c>
      <c r="N108" s="107">
        <f t="shared" si="161"/>
        <v>78000</v>
      </c>
      <c r="O108" s="107">
        <f t="shared" si="161"/>
        <v>64000</v>
      </c>
      <c r="P108" s="107">
        <f t="shared" si="161"/>
        <v>48000</v>
      </c>
      <c r="Q108" s="107">
        <f t="shared" si="161"/>
        <v>44000</v>
      </c>
      <c r="R108" s="107">
        <f t="shared" si="161"/>
        <v>38000</v>
      </c>
      <c r="S108" s="107">
        <f t="shared" si="161"/>
        <v>32000</v>
      </c>
      <c r="T108" s="107">
        <f t="shared" si="161"/>
        <v>26000</v>
      </c>
      <c r="U108" s="107">
        <f t="shared" si="161"/>
        <v>23000</v>
      </c>
      <c r="V108" s="107">
        <f t="shared" si="161"/>
        <v>20000</v>
      </c>
      <c r="W108" s="107">
        <f t="shared" si="161"/>
        <v>16000</v>
      </c>
      <c r="X108" s="107">
        <f t="shared" si="161"/>
        <v>12000</v>
      </c>
      <c r="Y108" s="23">
        <v>0.1</v>
      </c>
      <c r="AA108" s="446"/>
      <c r="AB108" s="103" t="s">
        <v>40</v>
      </c>
      <c r="AC108" s="52" t="s">
        <v>52</v>
      </c>
      <c r="AD108" s="104" t="s">
        <v>59</v>
      </c>
      <c r="AE108" s="433">
        <f>ROUNDUP(((9700)*35%)+(9700),-3)</f>
        <v>14000</v>
      </c>
      <c r="AF108" s="106">
        <f t="shared" si="138"/>
        <v>6000</v>
      </c>
      <c r="AG108" s="117">
        <f t="shared" si="139"/>
        <v>2000</v>
      </c>
      <c r="AH108" s="106">
        <f t="shared" si="140"/>
        <v>3000</v>
      </c>
      <c r="AI108" s="108">
        <f t="shared" si="141"/>
        <v>25000</v>
      </c>
      <c r="AJ108" s="268">
        <f t="shared" si="142"/>
        <v>38000</v>
      </c>
      <c r="AN108" s="181"/>
      <c r="AO108" s="103"/>
      <c r="AP108" s="404" t="s">
        <v>59</v>
      </c>
      <c r="AQ108" s="104"/>
      <c r="AR108" s="425">
        <v>26050</v>
      </c>
      <c r="AS108" s="406">
        <f t="shared" si="144"/>
        <v>18300</v>
      </c>
      <c r="AT108" s="406">
        <f t="shared" si="145"/>
        <v>2700</v>
      </c>
      <c r="AU108" s="406">
        <f t="shared" si="146"/>
        <v>5300</v>
      </c>
      <c r="AV108" s="389">
        <f t="shared" si="147"/>
        <v>52350</v>
      </c>
      <c r="AW108" s="406">
        <f t="shared" si="148"/>
        <v>62820</v>
      </c>
      <c r="AX108" s="175">
        <f t="shared" si="149"/>
        <v>44520</v>
      </c>
      <c r="BK108" s="29" t="s">
        <v>21</v>
      </c>
      <c r="BL108" s="30" t="s">
        <v>22</v>
      </c>
      <c r="BM108" s="31" t="s">
        <v>23</v>
      </c>
      <c r="BO108" s="110"/>
      <c r="BR108" s="422"/>
      <c r="BS108" s="385" t="s">
        <v>535</v>
      </c>
      <c r="BT108" s="55">
        <v>89000</v>
      </c>
      <c r="BU108" s="55">
        <v>140000</v>
      </c>
      <c r="BV108" s="55">
        <v>239000</v>
      </c>
      <c r="BW108" s="55">
        <v>469000</v>
      </c>
      <c r="BX108" s="55">
        <v>645000</v>
      </c>
      <c r="BY108" s="55">
        <v>1264000</v>
      </c>
      <c r="BZ108" s="55">
        <v>2321000</v>
      </c>
      <c r="CA108" s="55">
        <v>3417000</v>
      </c>
      <c r="CH108" s="181"/>
      <c r="CI108" s="175" t="s">
        <v>558</v>
      </c>
      <c r="CJ108" s="1" t="s">
        <v>559</v>
      </c>
      <c r="CK108" s="449">
        <v>1948456.25</v>
      </c>
      <c r="CL108" s="450">
        <f t="shared" si="157"/>
        <v>2339000</v>
      </c>
      <c r="CZ108" s="324" t="s">
        <v>348</v>
      </c>
      <c r="DA108" s="454" t="s">
        <v>349</v>
      </c>
      <c r="DB108" s="325">
        <v>24</v>
      </c>
      <c r="DC108" s="444">
        <v>12600</v>
      </c>
      <c r="DD108" s="445"/>
      <c r="DE108" s="444">
        <f t="shared" si="152"/>
        <v>18000</v>
      </c>
      <c r="DF108" s="445"/>
      <c r="DG108" s="444">
        <f t="shared" si="153"/>
        <v>9000</v>
      </c>
      <c r="DH108" s="445"/>
      <c r="DK108" s="287">
        <v>125</v>
      </c>
      <c r="DL108" s="156" t="s">
        <v>117</v>
      </c>
      <c r="DM108" s="156">
        <v>15</v>
      </c>
      <c r="DN108" s="328">
        <v>51200</v>
      </c>
      <c r="DO108" s="329"/>
      <c r="DP108" s="328">
        <f t="shared" si="158"/>
        <v>70000</v>
      </c>
      <c r="DQ108" s="329"/>
      <c r="DR108" s="328">
        <f t="shared" si="159"/>
        <v>24000</v>
      </c>
      <c r="DS108" s="330"/>
      <c r="DT108" s="161"/>
      <c r="DU108" s="161"/>
      <c r="DV108" s="161"/>
      <c r="DW108" s="161"/>
      <c r="DX108" s="161"/>
      <c r="DY108" s="161"/>
      <c r="ED108" s="154" t="s">
        <v>258</v>
      </c>
      <c r="EE108" s="252">
        <v>30811</v>
      </c>
      <c r="EF108" s="252">
        <v>34200</v>
      </c>
      <c r="EG108" s="286">
        <f t="shared" si="160"/>
        <v>46170</v>
      </c>
    </row>
    <row r="109" spans="3:137" ht="15" thickBot="1">
      <c r="C109" s="23" t="s">
        <v>13</v>
      </c>
      <c r="D109" s="23"/>
      <c r="E109" s="107">
        <f>ROUNDUP(E107*$Y$108,-3)</f>
        <v>240000</v>
      </c>
      <c r="F109" s="107"/>
      <c r="G109" s="107">
        <f t="shared" ref="G109:X109" si="162">ROUNDUP(G107*$Y$108,-3)</f>
        <v>180000</v>
      </c>
      <c r="H109" s="107">
        <f t="shared" si="162"/>
        <v>150000</v>
      </c>
      <c r="I109" s="107">
        <f t="shared" si="162"/>
        <v>105000</v>
      </c>
      <c r="J109" s="107">
        <f t="shared" si="162"/>
        <v>83000</v>
      </c>
      <c r="K109" s="107">
        <f t="shared" si="162"/>
        <v>60000</v>
      </c>
      <c r="L109" s="107">
        <f t="shared" si="162"/>
        <v>45000</v>
      </c>
      <c r="M109" s="107">
        <f t="shared" si="162"/>
        <v>29000</v>
      </c>
      <c r="N109" s="107">
        <f t="shared" si="162"/>
        <v>20000</v>
      </c>
      <c r="O109" s="107">
        <f t="shared" si="162"/>
        <v>16000</v>
      </c>
      <c r="P109" s="107">
        <f t="shared" si="162"/>
        <v>12000</v>
      </c>
      <c r="Q109" s="107">
        <f t="shared" si="162"/>
        <v>11000</v>
      </c>
      <c r="R109" s="107">
        <f t="shared" si="162"/>
        <v>10000</v>
      </c>
      <c r="S109" s="107">
        <f t="shared" si="162"/>
        <v>8000</v>
      </c>
      <c r="T109" s="107">
        <f t="shared" si="162"/>
        <v>7000</v>
      </c>
      <c r="U109" s="107">
        <f t="shared" si="162"/>
        <v>6000</v>
      </c>
      <c r="V109" s="107">
        <f t="shared" si="162"/>
        <v>5000</v>
      </c>
      <c r="W109" s="107">
        <f t="shared" si="162"/>
        <v>4000</v>
      </c>
      <c r="X109" s="107">
        <f t="shared" si="162"/>
        <v>3000</v>
      </c>
      <c r="Y109" s="23">
        <v>0.2</v>
      </c>
      <c r="AA109" s="441"/>
      <c r="AB109" s="141" t="s">
        <v>40</v>
      </c>
      <c r="AC109" s="142" t="s">
        <v>52</v>
      </c>
      <c r="AD109" s="143" t="s">
        <v>125</v>
      </c>
      <c r="AE109" s="144">
        <f>ROUNDUP(((10400)*35%)+(10400),-3)</f>
        <v>15000</v>
      </c>
      <c r="AF109" s="145">
        <f t="shared" si="138"/>
        <v>6000</v>
      </c>
      <c r="AG109" s="146">
        <f t="shared" si="139"/>
        <v>2000</v>
      </c>
      <c r="AH109" s="145">
        <f t="shared" si="140"/>
        <v>3000</v>
      </c>
      <c r="AI109" s="147">
        <f t="shared" si="141"/>
        <v>26000</v>
      </c>
      <c r="AJ109" s="150">
        <f t="shared" si="142"/>
        <v>39000</v>
      </c>
      <c r="AN109" s="181"/>
      <c r="AO109" s="103"/>
      <c r="AP109" s="404" t="s">
        <v>125</v>
      </c>
      <c r="AQ109" s="104"/>
      <c r="AR109" s="425">
        <v>31900</v>
      </c>
      <c r="AS109" s="406">
        <f t="shared" si="144"/>
        <v>22400</v>
      </c>
      <c r="AT109" s="406">
        <f t="shared" si="145"/>
        <v>3200</v>
      </c>
      <c r="AU109" s="406">
        <f t="shared" si="146"/>
        <v>6400</v>
      </c>
      <c r="AV109" s="389">
        <f t="shared" si="147"/>
        <v>63900</v>
      </c>
      <c r="AW109" s="406">
        <f t="shared" si="148"/>
        <v>76680</v>
      </c>
      <c r="AX109" s="175">
        <f t="shared" si="149"/>
        <v>54280</v>
      </c>
      <c r="BK109" s="53" t="s">
        <v>53</v>
      </c>
      <c r="BL109" s="54">
        <f>(300250*15%)+300250</f>
        <v>345287.5</v>
      </c>
      <c r="BM109" s="55">
        <f t="shared" ref="BM109:BM116" si="163">ROUNDUP(BL109*$BO$122,-3)</f>
        <v>449000</v>
      </c>
      <c r="BO109" s="23">
        <v>1.2</v>
      </c>
      <c r="BR109" s="422"/>
      <c r="BS109" s="385" t="s">
        <v>539</v>
      </c>
      <c r="BT109" s="55">
        <v>247000</v>
      </c>
      <c r="BU109" s="55">
        <v>336000</v>
      </c>
      <c r="BV109" s="55">
        <v>518000</v>
      </c>
      <c r="BW109" s="55">
        <v>815000</v>
      </c>
      <c r="BX109" s="55">
        <v>1171000</v>
      </c>
      <c r="BY109" s="55">
        <v>2286000</v>
      </c>
      <c r="BZ109" s="55">
        <v>4284000</v>
      </c>
      <c r="CA109" s="55">
        <v>5708000</v>
      </c>
      <c r="CH109" s="181"/>
      <c r="CI109" s="175" t="s">
        <v>560</v>
      </c>
      <c r="CJ109" s="1" t="s">
        <v>561</v>
      </c>
      <c r="CK109" s="449">
        <v>2313791.25</v>
      </c>
      <c r="CL109" s="450">
        <f t="shared" si="157"/>
        <v>2777000</v>
      </c>
      <c r="CZ109" s="324" t="s">
        <v>352</v>
      </c>
      <c r="DA109" s="454" t="s">
        <v>353</v>
      </c>
      <c r="DB109" s="325">
        <v>24</v>
      </c>
      <c r="DC109" s="444">
        <v>13500</v>
      </c>
      <c r="DD109" s="445"/>
      <c r="DE109" s="444">
        <f t="shared" si="152"/>
        <v>19000</v>
      </c>
      <c r="DF109" s="445"/>
      <c r="DG109" s="444">
        <f t="shared" si="153"/>
        <v>9000</v>
      </c>
      <c r="DH109" s="445"/>
      <c r="DK109" s="287">
        <v>150</v>
      </c>
      <c r="DL109" s="156" t="s">
        <v>124</v>
      </c>
      <c r="DM109" s="156">
        <v>10</v>
      </c>
      <c r="DN109" s="328">
        <v>99100</v>
      </c>
      <c r="DO109" s="329"/>
      <c r="DP109" s="328">
        <f t="shared" si="158"/>
        <v>134000</v>
      </c>
      <c r="DQ109" s="329"/>
      <c r="DR109" s="328">
        <f t="shared" si="159"/>
        <v>45000</v>
      </c>
      <c r="DS109" s="330"/>
      <c r="DT109" s="161"/>
      <c r="DU109" s="161"/>
      <c r="DV109" s="161"/>
      <c r="DW109" s="161"/>
      <c r="DX109" s="161"/>
      <c r="DY109" s="161"/>
      <c r="ED109" s="154" t="s">
        <v>263</v>
      </c>
      <c r="EE109" s="252">
        <v>37748</v>
      </c>
      <c r="EF109" s="252">
        <v>41900</v>
      </c>
      <c r="EG109" s="286">
        <f t="shared" si="160"/>
        <v>56565.000000000007</v>
      </c>
    </row>
    <row r="110" spans="3:137" ht="15" thickBot="1">
      <c r="C110" s="23" t="s">
        <v>208</v>
      </c>
      <c r="D110" s="23"/>
      <c r="E110" s="107">
        <f>ROUNDUP(E107*$Y$109,-3)</f>
        <v>480000</v>
      </c>
      <c r="F110" s="107"/>
      <c r="G110" s="107">
        <f t="shared" ref="G110:X110" si="164">ROUNDUP(G107*$Y$109,-3)</f>
        <v>360000</v>
      </c>
      <c r="H110" s="107">
        <f t="shared" si="164"/>
        <v>300000</v>
      </c>
      <c r="I110" s="107">
        <f t="shared" si="164"/>
        <v>210000</v>
      </c>
      <c r="J110" s="107">
        <f t="shared" si="164"/>
        <v>166000</v>
      </c>
      <c r="K110" s="107">
        <f t="shared" si="164"/>
        <v>120000</v>
      </c>
      <c r="L110" s="107">
        <f t="shared" si="164"/>
        <v>90000</v>
      </c>
      <c r="M110" s="107">
        <f t="shared" si="164"/>
        <v>57000</v>
      </c>
      <c r="N110" s="107">
        <f t="shared" si="164"/>
        <v>39000</v>
      </c>
      <c r="O110" s="107">
        <f t="shared" si="164"/>
        <v>32000</v>
      </c>
      <c r="P110" s="107">
        <f t="shared" si="164"/>
        <v>24000</v>
      </c>
      <c r="Q110" s="107">
        <f t="shared" si="164"/>
        <v>22000</v>
      </c>
      <c r="R110" s="107">
        <f t="shared" si="164"/>
        <v>19000</v>
      </c>
      <c r="S110" s="107">
        <f t="shared" si="164"/>
        <v>16000</v>
      </c>
      <c r="T110" s="107">
        <f t="shared" si="164"/>
        <v>13000</v>
      </c>
      <c r="U110" s="107">
        <f t="shared" si="164"/>
        <v>12000</v>
      </c>
      <c r="V110" s="107">
        <f t="shared" si="164"/>
        <v>10000</v>
      </c>
      <c r="W110" s="107">
        <f t="shared" si="164"/>
        <v>8000</v>
      </c>
      <c r="X110" s="107">
        <f t="shared" si="164"/>
        <v>6000</v>
      </c>
      <c r="Y110" s="110"/>
      <c r="AA110" s="396" t="s">
        <v>57</v>
      </c>
      <c r="AB110" s="189" t="s">
        <v>57</v>
      </c>
      <c r="AC110" s="190" t="s">
        <v>52</v>
      </c>
      <c r="AD110" s="191" t="s">
        <v>125</v>
      </c>
      <c r="AE110" s="439">
        <f>ROUNDUP(((15200)*35%)+(15200),-3)</f>
        <v>21000</v>
      </c>
      <c r="AF110" s="114">
        <f t="shared" si="138"/>
        <v>9000</v>
      </c>
      <c r="AG110" s="113">
        <f t="shared" si="139"/>
        <v>3000</v>
      </c>
      <c r="AH110" s="114">
        <f t="shared" si="140"/>
        <v>5000</v>
      </c>
      <c r="AI110" s="440">
        <f t="shared" si="141"/>
        <v>38000</v>
      </c>
      <c r="AJ110" s="112">
        <f t="shared" si="142"/>
        <v>57000</v>
      </c>
      <c r="AN110" s="183"/>
      <c r="AO110" s="141"/>
      <c r="AP110" s="415" t="s">
        <v>40</v>
      </c>
      <c r="AQ110" s="143"/>
      <c r="AR110" s="436">
        <v>49200</v>
      </c>
      <c r="AS110" s="417">
        <f t="shared" si="144"/>
        <v>34500</v>
      </c>
      <c r="AT110" s="417">
        <f t="shared" si="145"/>
        <v>5000</v>
      </c>
      <c r="AU110" s="417">
        <f t="shared" si="146"/>
        <v>9900</v>
      </c>
      <c r="AV110" s="418">
        <f t="shared" si="147"/>
        <v>98600</v>
      </c>
      <c r="AW110" s="417">
        <f t="shared" si="148"/>
        <v>118320</v>
      </c>
      <c r="AX110" s="148">
        <f t="shared" si="149"/>
        <v>83820</v>
      </c>
      <c r="BK110" s="80" t="s">
        <v>51</v>
      </c>
      <c r="BL110" s="81">
        <f>(418000*15%)+418000</f>
        <v>480700</v>
      </c>
      <c r="BM110" s="82">
        <f t="shared" si="163"/>
        <v>625000</v>
      </c>
      <c r="BR110" s="422"/>
      <c r="BS110" s="385" t="s">
        <v>544</v>
      </c>
      <c r="BT110" s="55">
        <v>255000</v>
      </c>
      <c r="BU110" s="55">
        <v>346000</v>
      </c>
      <c r="BV110" s="55">
        <v>534000</v>
      </c>
      <c r="BW110" s="55">
        <v>839000</v>
      </c>
      <c r="BX110" s="55">
        <v>1207000</v>
      </c>
      <c r="BY110" s="55">
        <v>2342000</v>
      </c>
      <c r="BZ110" s="55">
        <v>4389000</v>
      </c>
      <c r="CA110" s="55">
        <v>5834000</v>
      </c>
      <c r="CH110" s="181"/>
      <c r="CI110" s="175" t="s">
        <v>562</v>
      </c>
      <c r="CJ110" s="1" t="s">
        <v>563</v>
      </c>
      <c r="CK110" s="449">
        <v>2526903.75</v>
      </c>
      <c r="CL110" s="450">
        <f t="shared" si="157"/>
        <v>3033000</v>
      </c>
      <c r="CZ110" s="324" t="s">
        <v>357</v>
      </c>
      <c r="DA110" s="454" t="s">
        <v>358</v>
      </c>
      <c r="DB110" s="325">
        <v>20</v>
      </c>
      <c r="DC110" s="444">
        <v>15000</v>
      </c>
      <c r="DD110" s="445"/>
      <c r="DE110" s="444">
        <f t="shared" si="152"/>
        <v>21000</v>
      </c>
      <c r="DF110" s="445"/>
      <c r="DG110" s="444">
        <f t="shared" si="153"/>
        <v>10000</v>
      </c>
      <c r="DH110" s="445"/>
      <c r="DK110" s="287">
        <v>200</v>
      </c>
      <c r="DL110" s="156" t="s">
        <v>132</v>
      </c>
      <c r="DM110" s="156">
        <v>4</v>
      </c>
      <c r="DN110" s="328">
        <v>218600</v>
      </c>
      <c r="DO110" s="329"/>
      <c r="DP110" s="328">
        <f t="shared" si="158"/>
        <v>296000</v>
      </c>
      <c r="DQ110" s="329"/>
      <c r="DR110" s="328">
        <f t="shared" si="159"/>
        <v>99000</v>
      </c>
      <c r="DS110" s="330"/>
      <c r="DT110" s="161"/>
      <c r="DU110" s="161"/>
      <c r="DV110" s="161"/>
      <c r="DW110" s="161"/>
      <c r="DX110" s="161"/>
      <c r="DY110" s="161"/>
      <c r="ED110" s="154" t="s">
        <v>274</v>
      </c>
      <c r="EE110" s="252">
        <v>72162</v>
      </c>
      <c r="EF110" s="252">
        <v>80100</v>
      </c>
      <c r="EG110" s="286">
        <f t="shared" si="160"/>
        <v>108135</v>
      </c>
    </row>
    <row r="111" spans="3:137" ht="15" thickBot="1">
      <c r="C111" s="259" t="s">
        <v>15</v>
      </c>
      <c r="D111" s="259"/>
      <c r="E111" s="260">
        <f t="shared" ref="E111:X111" si="165">SUM(E107:E110)</f>
        <v>4080000</v>
      </c>
      <c r="F111" s="260"/>
      <c r="G111" s="260">
        <f t="shared" si="165"/>
        <v>3060000</v>
      </c>
      <c r="H111" s="260">
        <f t="shared" si="165"/>
        <v>2550000</v>
      </c>
      <c r="I111" s="260">
        <f t="shared" si="165"/>
        <v>1785000</v>
      </c>
      <c r="J111" s="260">
        <f t="shared" si="165"/>
        <v>1411000</v>
      </c>
      <c r="K111" s="260">
        <f t="shared" si="165"/>
        <v>1020000</v>
      </c>
      <c r="L111" s="260">
        <f t="shared" si="165"/>
        <v>765000</v>
      </c>
      <c r="M111" s="260">
        <f t="shared" si="165"/>
        <v>485000</v>
      </c>
      <c r="N111" s="260">
        <f t="shared" si="165"/>
        <v>332000</v>
      </c>
      <c r="O111" s="260">
        <f t="shared" si="165"/>
        <v>272000</v>
      </c>
      <c r="P111" s="260">
        <f t="shared" si="165"/>
        <v>204000</v>
      </c>
      <c r="Q111" s="260">
        <f t="shared" si="165"/>
        <v>187000</v>
      </c>
      <c r="R111" s="260">
        <f t="shared" si="165"/>
        <v>162000</v>
      </c>
      <c r="S111" s="260">
        <f t="shared" si="165"/>
        <v>134000</v>
      </c>
      <c r="T111" s="260">
        <f t="shared" si="165"/>
        <v>111000</v>
      </c>
      <c r="U111" s="260">
        <f t="shared" si="165"/>
        <v>98000</v>
      </c>
      <c r="V111" s="260">
        <f t="shared" si="165"/>
        <v>83000</v>
      </c>
      <c r="W111" s="260">
        <f t="shared" si="165"/>
        <v>66000</v>
      </c>
      <c r="X111" s="260">
        <f t="shared" si="165"/>
        <v>50000</v>
      </c>
      <c r="Y111" s="23">
        <v>1.1000000000000001</v>
      </c>
      <c r="AA111" s="441"/>
      <c r="AB111" s="141" t="s">
        <v>57</v>
      </c>
      <c r="AC111" s="142" t="s">
        <v>52</v>
      </c>
      <c r="AD111" s="143" t="s">
        <v>40</v>
      </c>
      <c r="AE111" s="144">
        <f>ROUNDUP(((16400)*35%)+(16400),-3)</f>
        <v>23000</v>
      </c>
      <c r="AF111" s="145">
        <f t="shared" si="138"/>
        <v>10000</v>
      </c>
      <c r="AG111" s="146">
        <f t="shared" si="139"/>
        <v>3000</v>
      </c>
      <c r="AH111" s="145">
        <f t="shared" si="140"/>
        <v>5000</v>
      </c>
      <c r="AI111" s="147">
        <f t="shared" si="141"/>
        <v>41000</v>
      </c>
      <c r="AJ111" s="150">
        <f t="shared" si="142"/>
        <v>62000</v>
      </c>
      <c r="AN111" s="396" t="s">
        <v>564</v>
      </c>
      <c r="AO111" s="189"/>
      <c r="AP111" s="397" t="s">
        <v>430</v>
      </c>
      <c r="AQ111" s="191"/>
      <c r="AR111" s="452">
        <v>10150</v>
      </c>
      <c r="AS111" s="114">
        <f t="shared" si="144"/>
        <v>7200</v>
      </c>
      <c r="AT111" s="114">
        <f t="shared" si="145"/>
        <v>1100</v>
      </c>
      <c r="AU111" s="114">
        <f t="shared" si="146"/>
        <v>2100</v>
      </c>
      <c r="AV111" s="399">
        <f t="shared" si="147"/>
        <v>20550</v>
      </c>
      <c r="AW111" s="400">
        <f t="shared" si="148"/>
        <v>24660</v>
      </c>
      <c r="AX111" s="109">
        <f t="shared" si="149"/>
        <v>17460</v>
      </c>
      <c r="BK111" s="80" t="s">
        <v>75</v>
      </c>
      <c r="BL111" s="81">
        <f>(535800*15%)+535800</f>
        <v>616170</v>
      </c>
      <c r="BM111" s="82">
        <f t="shared" si="163"/>
        <v>802000</v>
      </c>
      <c r="BR111" s="427"/>
      <c r="BS111" s="385" t="s">
        <v>548</v>
      </c>
      <c r="BT111" s="55">
        <v>149000</v>
      </c>
      <c r="BU111" s="55">
        <v>170000</v>
      </c>
      <c r="BV111" s="55">
        <v>272000</v>
      </c>
      <c r="BW111" s="55">
        <v>412000</v>
      </c>
      <c r="BX111" s="55">
        <v>555000</v>
      </c>
      <c r="BY111" s="55">
        <v>1341000</v>
      </c>
      <c r="BZ111" s="55">
        <v>1676000</v>
      </c>
      <c r="CA111" s="55">
        <v>2640000</v>
      </c>
      <c r="CH111" s="181"/>
      <c r="CI111" s="175" t="s">
        <v>565</v>
      </c>
      <c r="CJ111" s="1" t="s">
        <v>566</v>
      </c>
      <c r="CK111" s="449">
        <v>2526903.75</v>
      </c>
      <c r="CL111" s="450">
        <f t="shared" si="157"/>
        <v>3033000</v>
      </c>
      <c r="CZ111" s="324">
        <v>40</v>
      </c>
      <c r="DA111" s="325" t="s">
        <v>383</v>
      </c>
      <c r="DB111" s="325">
        <v>20</v>
      </c>
      <c r="DC111" s="444">
        <v>15000</v>
      </c>
      <c r="DD111" s="445"/>
      <c r="DE111" s="444">
        <f>ROUNDUP(DC111*$DF$52,-3)</f>
        <v>21000</v>
      </c>
      <c r="DF111" s="445"/>
      <c r="DG111" s="444">
        <f>ROUNDUP((DE111*45%),-3)</f>
        <v>10000</v>
      </c>
      <c r="DH111" s="445"/>
      <c r="DK111" s="287">
        <v>250</v>
      </c>
      <c r="DL111" s="156" t="s">
        <v>136</v>
      </c>
      <c r="DM111" s="156">
        <v>2</v>
      </c>
      <c r="DN111" s="328">
        <v>304300</v>
      </c>
      <c r="DO111" s="329"/>
      <c r="DP111" s="328">
        <f t="shared" si="158"/>
        <v>411000</v>
      </c>
      <c r="DQ111" s="329"/>
      <c r="DR111" s="328">
        <f t="shared" si="159"/>
        <v>137000</v>
      </c>
      <c r="DS111" s="330"/>
      <c r="DT111" s="161"/>
      <c r="DU111" s="161"/>
      <c r="DV111" s="161"/>
      <c r="DW111" s="161"/>
      <c r="DX111" s="161"/>
      <c r="DY111" s="161"/>
      <c r="ED111" s="154" t="s">
        <v>280</v>
      </c>
      <c r="EE111" s="252">
        <v>79369</v>
      </c>
      <c r="EF111" s="252">
        <v>88100</v>
      </c>
      <c r="EG111" s="286">
        <f t="shared" si="160"/>
        <v>118935.00000000001</v>
      </c>
    </row>
    <row r="112" spans="3:137" ht="15" thickBot="1">
      <c r="C112" s="23" t="s">
        <v>215</v>
      </c>
      <c r="D112" s="23"/>
      <c r="E112" s="107">
        <f>ROUNDUP(E111*$Y$111,-3)</f>
        <v>4488000</v>
      </c>
      <c r="F112" s="107"/>
      <c r="G112" s="107">
        <f t="shared" ref="G112:X112" si="166">ROUNDUP(G111*$Y$111,-3)</f>
        <v>3366000</v>
      </c>
      <c r="H112" s="107">
        <f t="shared" si="166"/>
        <v>2805000</v>
      </c>
      <c r="I112" s="107">
        <f t="shared" si="166"/>
        <v>1964000</v>
      </c>
      <c r="J112" s="107">
        <f t="shared" si="166"/>
        <v>1553000</v>
      </c>
      <c r="K112" s="107">
        <f t="shared" si="166"/>
        <v>1122000</v>
      </c>
      <c r="L112" s="107">
        <f t="shared" si="166"/>
        <v>842000</v>
      </c>
      <c r="M112" s="107">
        <f t="shared" si="166"/>
        <v>534000</v>
      </c>
      <c r="N112" s="107">
        <f t="shared" si="166"/>
        <v>366000</v>
      </c>
      <c r="O112" s="107">
        <f t="shared" si="166"/>
        <v>300000</v>
      </c>
      <c r="P112" s="107">
        <f t="shared" si="166"/>
        <v>225000</v>
      </c>
      <c r="Q112" s="107">
        <f t="shared" si="166"/>
        <v>206000</v>
      </c>
      <c r="R112" s="107">
        <f t="shared" si="166"/>
        <v>179000</v>
      </c>
      <c r="S112" s="107">
        <f t="shared" si="166"/>
        <v>148000</v>
      </c>
      <c r="T112" s="107">
        <f t="shared" si="166"/>
        <v>123000</v>
      </c>
      <c r="U112" s="107">
        <f t="shared" si="166"/>
        <v>108000</v>
      </c>
      <c r="V112" s="107">
        <f t="shared" si="166"/>
        <v>92000</v>
      </c>
      <c r="W112" s="107">
        <f t="shared" si="166"/>
        <v>73000</v>
      </c>
      <c r="X112" s="107">
        <f t="shared" si="166"/>
        <v>55000</v>
      </c>
      <c r="Y112" s="23"/>
      <c r="AA112" s="396" t="s">
        <v>77</v>
      </c>
      <c r="AB112" s="189" t="s">
        <v>77</v>
      </c>
      <c r="AC112" s="190" t="s">
        <v>52</v>
      </c>
      <c r="AD112" s="191" t="s">
        <v>51</v>
      </c>
      <c r="AE112" s="439">
        <f>ROUNDUP(((12100)*35%)+(12100),-3)</f>
        <v>17000</v>
      </c>
      <c r="AF112" s="114">
        <f t="shared" si="138"/>
        <v>7000</v>
      </c>
      <c r="AG112" s="113">
        <f t="shared" si="139"/>
        <v>2000</v>
      </c>
      <c r="AH112" s="114">
        <f t="shared" si="140"/>
        <v>4000</v>
      </c>
      <c r="AI112" s="440">
        <f t="shared" si="141"/>
        <v>30000</v>
      </c>
      <c r="AJ112" s="112">
        <f t="shared" si="142"/>
        <v>45000</v>
      </c>
      <c r="AN112" s="181"/>
      <c r="AO112" s="103"/>
      <c r="AP112" s="404" t="s">
        <v>437</v>
      </c>
      <c r="AQ112" s="104"/>
      <c r="AR112" s="425">
        <v>10150</v>
      </c>
      <c r="AS112" s="406">
        <f t="shared" si="144"/>
        <v>7200</v>
      </c>
      <c r="AT112" s="406">
        <f t="shared" si="145"/>
        <v>1100</v>
      </c>
      <c r="AU112" s="406">
        <f t="shared" si="146"/>
        <v>2100</v>
      </c>
      <c r="AV112" s="389">
        <f t="shared" si="147"/>
        <v>20550</v>
      </c>
      <c r="AW112" s="406">
        <f t="shared" si="148"/>
        <v>24660</v>
      </c>
      <c r="AX112" s="175">
        <f t="shared" si="149"/>
        <v>17460</v>
      </c>
      <c r="BK112" s="80" t="s">
        <v>59</v>
      </c>
      <c r="BL112" s="81">
        <f>(869650*15%)+869650</f>
        <v>1000097.5</v>
      </c>
      <c r="BM112" s="82">
        <f t="shared" si="163"/>
        <v>1301000</v>
      </c>
      <c r="CH112" s="181"/>
      <c r="CI112" s="175" t="s">
        <v>567</v>
      </c>
      <c r="CJ112" s="1" t="s">
        <v>568</v>
      </c>
      <c r="CK112" s="449">
        <v>2526903.75</v>
      </c>
      <c r="CL112" s="450">
        <f t="shared" si="157"/>
        <v>3033000</v>
      </c>
      <c r="CZ112" s="324" t="s">
        <v>361</v>
      </c>
      <c r="DA112" s="454" t="s">
        <v>362</v>
      </c>
      <c r="DB112" s="325">
        <v>17</v>
      </c>
      <c r="DC112" s="444">
        <v>15100</v>
      </c>
      <c r="DD112" s="445"/>
      <c r="DE112" s="444">
        <f t="shared" si="152"/>
        <v>21000</v>
      </c>
      <c r="DF112" s="445"/>
      <c r="DG112" s="444">
        <f t="shared" si="153"/>
        <v>10000</v>
      </c>
      <c r="DH112" s="445"/>
      <c r="DK112" s="302">
        <v>300</v>
      </c>
      <c r="DL112" s="215" t="s">
        <v>139</v>
      </c>
      <c r="DM112" s="215">
        <v>1</v>
      </c>
      <c r="DN112" s="341">
        <v>478200</v>
      </c>
      <c r="DO112" s="342"/>
      <c r="DP112" s="341">
        <f t="shared" si="158"/>
        <v>646000</v>
      </c>
      <c r="DQ112" s="342"/>
      <c r="DR112" s="341">
        <f t="shared" si="159"/>
        <v>216000</v>
      </c>
      <c r="DS112" s="343"/>
      <c r="DT112" s="161"/>
      <c r="DU112" s="161"/>
      <c r="DV112" s="161"/>
      <c r="DW112" s="161"/>
      <c r="DX112" s="161"/>
      <c r="DY112" s="161"/>
      <c r="ED112" s="154" t="s">
        <v>517</v>
      </c>
      <c r="EE112" s="252">
        <v>212072</v>
      </c>
      <c r="EF112" s="252">
        <v>235400</v>
      </c>
      <c r="EG112" s="286">
        <f t="shared" si="160"/>
        <v>317790</v>
      </c>
    </row>
    <row r="113" spans="3:137">
      <c r="AA113" s="181"/>
      <c r="AB113" s="103" t="s">
        <v>77</v>
      </c>
      <c r="AC113" s="52" t="s">
        <v>52</v>
      </c>
      <c r="AD113" s="104" t="s">
        <v>75</v>
      </c>
      <c r="AE113" s="433">
        <f>ROUNDUP(((12600)*35%)+(12600),-3)</f>
        <v>18000</v>
      </c>
      <c r="AF113" s="106">
        <f t="shared" si="138"/>
        <v>8000</v>
      </c>
      <c r="AG113" s="117">
        <f t="shared" si="139"/>
        <v>2000</v>
      </c>
      <c r="AH113" s="106">
        <f t="shared" si="140"/>
        <v>4000</v>
      </c>
      <c r="AI113" s="108">
        <f t="shared" si="141"/>
        <v>32000</v>
      </c>
      <c r="AJ113" s="268">
        <f t="shared" si="142"/>
        <v>48000</v>
      </c>
      <c r="AN113" s="181"/>
      <c r="AO113" s="103"/>
      <c r="AP113" s="404" t="s">
        <v>53</v>
      </c>
      <c r="AQ113" s="104"/>
      <c r="AR113" s="425">
        <v>8750</v>
      </c>
      <c r="AS113" s="406">
        <f t="shared" si="144"/>
        <v>6200</v>
      </c>
      <c r="AT113" s="406">
        <f t="shared" si="145"/>
        <v>900</v>
      </c>
      <c r="AU113" s="406">
        <f t="shared" si="146"/>
        <v>1800</v>
      </c>
      <c r="AV113" s="389">
        <f t="shared" si="147"/>
        <v>17650</v>
      </c>
      <c r="AW113" s="406">
        <f t="shared" si="148"/>
        <v>21180</v>
      </c>
      <c r="AX113" s="175">
        <f t="shared" si="149"/>
        <v>14980</v>
      </c>
      <c r="BK113" s="80" t="s">
        <v>125</v>
      </c>
      <c r="BL113" s="81">
        <f>(1167300*15%)+1167300</f>
        <v>1342395</v>
      </c>
      <c r="BM113" s="82">
        <f t="shared" si="163"/>
        <v>1746000</v>
      </c>
      <c r="CH113" s="181"/>
      <c r="CI113" s="175" t="s">
        <v>569</v>
      </c>
      <c r="CJ113" s="1" t="s">
        <v>570</v>
      </c>
      <c r="CK113" s="449">
        <v>2526903.75</v>
      </c>
      <c r="CL113" s="450">
        <f t="shared" si="157"/>
        <v>3033000</v>
      </c>
      <c r="CZ113" s="324" t="s">
        <v>366</v>
      </c>
      <c r="DA113" s="454" t="s">
        <v>367</v>
      </c>
      <c r="DB113" s="325">
        <v>15</v>
      </c>
      <c r="DC113" s="444">
        <v>15300</v>
      </c>
      <c r="DD113" s="445"/>
      <c r="DE113" s="444">
        <f t="shared" si="152"/>
        <v>21000</v>
      </c>
      <c r="DF113" s="445"/>
      <c r="DG113" s="444">
        <f t="shared" si="153"/>
        <v>10000</v>
      </c>
      <c r="DH113" s="445"/>
      <c r="DK113" s="161"/>
      <c r="DL113" s="161"/>
      <c r="DM113" s="161"/>
      <c r="DN113" s="161"/>
      <c r="DO113" s="161"/>
      <c r="DP113" s="161"/>
      <c r="DQ113" s="161"/>
      <c r="DR113" s="161"/>
      <c r="DS113" s="161"/>
      <c r="DT113" s="161"/>
      <c r="DU113" s="161"/>
      <c r="DV113" s="161"/>
      <c r="DW113" s="161"/>
      <c r="DX113" s="161"/>
      <c r="DY113" s="161"/>
      <c r="ED113" s="154" t="s">
        <v>521</v>
      </c>
      <c r="EE113" s="252">
        <v>216216</v>
      </c>
      <c r="EF113" s="252">
        <v>240000</v>
      </c>
      <c r="EG113" s="286">
        <f t="shared" si="160"/>
        <v>324000</v>
      </c>
    </row>
    <row r="114" spans="3:137" ht="21">
      <c r="AA114" s="181"/>
      <c r="AB114" s="103" t="s">
        <v>77</v>
      </c>
      <c r="AC114" s="52" t="s">
        <v>52</v>
      </c>
      <c r="AD114" s="104" t="s">
        <v>59</v>
      </c>
      <c r="AE114" s="433">
        <f>ROUNDUP(((15300)*35%)+(15300),-3)</f>
        <v>21000</v>
      </c>
      <c r="AF114" s="106">
        <f t="shared" si="138"/>
        <v>9000</v>
      </c>
      <c r="AG114" s="117">
        <f t="shared" si="139"/>
        <v>3000</v>
      </c>
      <c r="AH114" s="106">
        <f t="shared" si="140"/>
        <v>5000</v>
      </c>
      <c r="AI114" s="108">
        <f t="shared" si="141"/>
        <v>38000</v>
      </c>
      <c r="AJ114" s="268">
        <f t="shared" si="142"/>
        <v>57000</v>
      </c>
      <c r="AN114" s="181"/>
      <c r="AO114" s="103"/>
      <c r="AP114" s="404" t="s">
        <v>51</v>
      </c>
      <c r="AQ114" s="104"/>
      <c r="AR114" s="425">
        <v>11800</v>
      </c>
      <c r="AS114" s="406">
        <f t="shared" si="144"/>
        <v>8300</v>
      </c>
      <c r="AT114" s="406">
        <f t="shared" si="145"/>
        <v>1200</v>
      </c>
      <c r="AU114" s="406">
        <f t="shared" si="146"/>
        <v>2400</v>
      </c>
      <c r="AV114" s="389">
        <f t="shared" si="147"/>
        <v>23700</v>
      </c>
      <c r="AW114" s="406">
        <f t="shared" si="148"/>
        <v>28440</v>
      </c>
      <c r="AX114" s="175">
        <f t="shared" si="149"/>
        <v>20140</v>
      </c>
      <c r="BK114" s="80" t="s">
        <v>40</v>
      </c>
      <c r="BL114" s="81">
        <f>(1933450*15%)+1933450</f>
        <v>2223467.5</v>
      </c>
      <c r="BM114" s="82">
        <f t="shared" si="163"/>
        <v>2891000</v>
      </c>
      <c r="BT114" s="266" t="s">
        <v>461</v>
      </c>
      <c r="BU114" s="266"/>
      <c r="BV114" s="266"/>
      <c r="BW114" s="266"/>
      <c r="BX114" s="266"/>
      <c r="BY114" s="266"/>
      <c r="BZ114" s="266"/>
      <c r="CA114" s="447"/>
      <c r="CH114" s="181"/>
      <c r="CI114" s="175" t="s">
        <v>571</v>
      </c>
      <c r="CJ114" s="1" t="s">
        <v>572</v>
      </c>
      <c r="CK114" s="449">
        <v>2526903.75</v>
      </c>
      <c r="CL114" s="450">
        <f t="shared" si="157"/>
        <v>3033000</v>
      </c>
      <c r="CZ114" s="324" t="s">
        <v>370</v>
      </c>
      <c r="DA114" s="454" t="s">
        <v>371</v>
      </c>
      <c r="DB114" s="325">
        <v>15</v>
      </c>
      <c r="DC114" s="444">
        <v>15900</v>
      </c>
      <c r="DD114" s="445"/>
      <c r="DE114" s="444">
        <f t="shared" si="152"/>
        <v>22000</v>
      </c>
      <c r="DF114" s="445"/>
      <c r="DG114" s="444">
        <f t="shared" si="153"/>
        <v>10000</v>
      </c>
      <c r="DH114" s="445"/>
      <c r="DK114" s="161"/>
      <c r="DL114" s="161"/>
      <c r="DM114" s="161"/>
      <c r="DN114" s="161"/>
      <c r="DO114" s="161"/>
      <c r="DP114" s="161"/>
      <c r="DQ114" s="161"/>
      <c r="DR114" s="161"/>
      <c r="DS114" s="161"/>
      <c r="DT114" s="161"/>
      <c r="DU114" s="161"/>
      <c r="DV114" s="161"/>
      <c r="DW114" s="161"/>
      <c r="DX114" s="161"/>
      <c r="DY114" s="161"/>
      <c r="ED114" s="154" t="s">
        <v>524</v>
      </c>
      <c r="EE114" s="252">
        <v>395946</v>
      </c>
      <c r="EF114" s="252">
        <v>439500</v>
      </c>
      <c r="EG114" s="286">
        <f t="shared" si="160"/>
        <v>593325</v>
      </c>
    </row>
    <row r="115" spans="3:137">
      <c r="C115" s="23"/>
      <c r="D115" s="23"/>
      <c r="E115" s="244" t="s">
        <v>427</v>
      </c>
      <c r="F115" s="244" t="s">
        <v>428</v>
      </c>
      <c r="G115" s="244" t="s">
        <v>419</v>
      </c>
      <c r="H115" s="244" t="s">
        <v>394</v>
      </c>
      <c r="I115" s="244" t="s">
        <v>374</v>
      </c>
      <c r="J115" s="244" t="s">
        <v>347</v>
      </c>
      <c r="K115" s="244" t="s">
        <v>139</v>
      </c>
      <c r="L115" s="244" t="s">
        <v>136</v>
      </c>
      <c r="M115" s="244" t="s">
        <v>132</v>
      </c>
      <c r="N115" s="244" t="s">
        <v>124</v>
      </c>
      <c r="O115" s="244" t="s">
        <v>117</v>
      </c>
      <c r="P115" s="244" t="s">
        <v>108</v>
      </c>
      <c r="Q115" s="244" t="s">
        <v>77</v>
      </c>
      <c r="R115" s="244" t="s">
        <v>57</v>
      </c>
      <c r="S115" s="244" t="s">
        <v>40</v>
      </c>
      <c r="T115" s="244" t="s">
        <v>125</v>
      </c>
      <c r="U115" s="244" t="s">
        <v>59</v>
      </c>
      <c r="V115" s="244" t="s">
        <v>75</v>
      </c>
      <c r="W115" s="244" t="s">
        <v>51</v>
      </c>
      <c r="X115" s="244" t="s">
        <v>53</v>
      </c>
      <c r="Y115" s="23"/>
      <c r="AA115" s="181"/>
      <c r="AB115" s="103" t="s">
        <v>77</v>
      </c>
      <c r="AC115" s="52" t="s">
        <v>52</v>
      </c>
      <c r="AD115" s="104" t="s">
        <v>125</v>
      </c>
      <c r="AE115" s="433">
        <f>ROUNDUP(((17000)*35%)+(17000),-3)</f>
        <v>23000</v>
      </c>
      <c r="AF115" s="106">
        <f t="shared" si="138"/>
        <v>10000</v>
      </c>
      <c r="AG115" s="117">
        <f t="shared" si="139"/>
        <v>3000</v>
      </c>
      <c r="AH115" s="106">
        <f t="shared" si="140"/>
        <v>5000</v>
      </c>
      <c r="AI115" s="108">
        <f t="shared" si="141"/>
        <v>41000</v>
      </c>
      <c r="AJ115" s="268">
        <f t="shared" si="142"/>
        <v>62000</v>
      </c>
      <c r="AN115" s="181"/>
      <c r="AO115" s="103"/>
      <c r="AP115" s="404" t="s">
        <v>75</v>
      </c>
      <c r="AQ115" s="104"/>
      <c r="AR115" s="425">
        <v>16200</v>
      </c>
      <c r="AS115" s="406">
        <f t="shared" si="144"/>
        <v>11400</v>
      </c>
      <c r="AT115" s="406">
        <f t="shared" si="145"/>
        <v>1700</v>
      </c>
      <c r="AU115" s="406">
        <f t="shared" si="146"/>
        <v>3300</v>
      </c>
      <c r="AV115" s="389">
        <f t="shared" si="147"/>
        <v>32600</v>
      </c>
      <c r="AW115" s="406">
        <f t="shared" si="148"/>
        <v>39120</v>
      </c>
      <c r="AX115" s="175">
        <f t="shared" si="149"/>
        <v>27720</v>
      </c>
      <c r="BK115" s="80" t="s">
        <v>57</v>
      </c>
      <c r="BL115" s="81">
        <v>6267450</v>
      </c>
      <c r="BM115" s="82">
        <f t="shared" si="163"/>
        <v>8148000</v>
      </c>
      <c r="BR115" s="379" t="s">
        <v>390</v>
      </c>
      <c r="BS115" s="380"/>
      <c r="BT115" s="381" t="s">
        <v>252</v>
      </c>
      <c r="BU115" s="381" t="s">
        <v>77</v>
      </c>
      <c r="BV115" s="381" t="s">
        <v>108</v>
      </c>
      <c r="BW115" s="381" t="s">
        <v>117</v>
      </c>
      <c r="BX115" s="381" t="s">
        <v>124</v>
      </c>
      <c r="BY115" s="381" t="s">
        <v>132</v>
      </c>
      <c r="BZ115" s="382" t="s">
        <v>136</v>
      </c>
      <c r="CA115" s="382" t="s">
        <v>139</v>
      </c>
      <c r="CH115" s="181"/>
      <c r="CI115" s="175" t="s">
        <v>573</v>
      </c>
      <c r="CJ115" s="1" t="s">
        <v>574</v>
      </c>
      <c r="CK115" s="449">
        <v>2550092.5</v>
      </c>
      <c r="CL115" s="450">
        <f t="shared" si="157"/>
        <v>3061000</v>
      </c>
      <c r="CZ115" s="324" t="s">
        <v>375</v>
      </c>
      <c r="DA115" s="454" t="s">
        <v>376</v>
      </c>
      <c r="DB115" s="325">
        <v>40</v>
      </c>
      <c r="DC115" s="444">
        <v>21700</v>
      </c>
      <c r="DD115" s="445"/>
      <c r="DE115" s="444">
        <f t="shared" si="152"/>
        <v>30000</v>
      </c>
      <c r="DF115" s="445"/>
      <c r="DG115" s="444">
        <f t="shared" si="153"/>
        <v>14000</v>
      </c>
      <c r="DH115" s="445"/>
      <c r="DK115" s="161"/>
      <c r="DL115" s="161"/>
      <c r="DM115" s="161"/>
      <c r="DN115" s="161"/>
      <c r="DO115" s="161"/>
      <c r="DP115" s="161"/>
      <c r="DQ115" s="161"/>
      <c r="DR115" s="161"/>
      <c r="DS115" s="161"/>
      <c r="DT115" s="161"/>
      <c r="DU115" s="161"/>
      <c r="DV115" s="161"/>
      <c r="DW115" s="161"/>
      <c r="DX115" s="161"/>
      <c r="DY115" s="161"/>
      <c r="ED115" s="154" t="s">
        <v>526</v>
      </c>
      <c r="EE115" s="252">
        <v>499730</v>
      </c>
      <c r="EF115" s="252">
        <v>554700</v>
      </c>
      <c r="EG115" s="286">
        <f t="shared" si="160"/>
        <v>748845</v>
      </c>
    </row>
    <row r="116" spans="3:137" ht="18" thickBot="1">
      <c r="C116" s="249" t="s">
        <v>518</v>
      </c>
      <c r="D116" s="249"/>
      <c r="E116" s="105">
        <f>ROUNDUP(5650000,-3)</f>
        <v>5650000</v>
      </c>
      <c r="F116" s="105"/>
      <c r="G116" s="105">
        <f>ROUNDUP(3700000,-3)</f>
        <v>3700000</v>
      </c>
      <c r="H116" s="105">
        <f>ROUNDUP(2600000,-3)</f>
        <v>2600000</v>
      </c>
      <c r="I116" s="105">
        <f>ROUNDUP(2100000,-3)</f>
        <v>2100000</v>
      </c>
      <c r="J116" s="105">
        <f>ROUNDUP(1600000,-3)</f>
        <v>1600000</v>
      </c>
      <c r="K116" s="105">
        <f>ROUNDUP(1100000,-3)</f>
        <v>1100000</v>
      </c>
      <c r="L116" s="105">
        <f>ROUNDUP(860000,-3)</f>
        <v>860000</v>
      </c>
      <c r="M116" s="105">
        <f>ROUNDUP(560000,-3)</f>
        <v>560000</v>
      </c>
      <c r="N116" s="105">
        <f>ROUNDUP(340000,-3)</f>
        <v>340000</v>
      </c>
      <c r="O116" s="105">
        <f>ROUNDUP(260000,-3)</f>
        <v>260000</v>
      </c>
      <c r="P116" s="105">
        <f>ROUNDUP(175000,-3)</f>
        <v>175000</v>
      </c>
      <c r="Q116" s="105">
        <f>ROUNDUP(160000,-3)</f>
        <v>160000</v>
      </c>
      <c r="R116" s="105">
        <f>ROUNDUP(150000,-3)</f>
        <v>150000</v>
      </c>
      <c r="S116" s="105">
        <f>ROUNDUP(95000,-3)</f>
        <v>95000</v>
      </c>
      <c r="T116" s="105">
        <f>ROUNDUP(85000,-3)</f>
        <v>85000</v>
      </c>
      <c r="U116" s="105">
        <f>ROUNDUP(70000,-3)</f>
        <v>70000</v>
      </c>
      <c r="V116" s="105">
        <f>ROUNDUP(60000,-3)</f>
        <v>60000</v>
      </c>
      <c r="W116" s="105">
        <f>ROUNDUP(52000,-3)</f>
        <v>52000</v>
      </c>
      <c r="X116" s="105">
        <f>ROUNDUP(38000,-2)</f>
        <v>38000</v>
      </c>
      <c r="Y116" s="23">
        <v>0.4</v>
      </c>
      <c r="AA116" s="181"/>
      <c r="AB116" s="103" t="s">
        <v>77</v>
      </c>
      <c r="AC116" s="52" t="s">
        <v>52</v>
      </c>
      <c r="AD116" s="104" t="s">
        <v>40</v>
      </c>
      <c r="AE116" s="433">
        <f>ROUNDUP(((18400)*35%)+(18400),-3)</f>
        <v>25000</v>
      </c>
      <c r="AF116" s="106">
        <f t="shared" si="138"/>
        <v>10000</v>
      </c>
      <c r="AG116" s="117">
        <f t="shared" si="139"/>
        <v>3000</v>
      </c>
      <c r="AH116" s="106">
        <f t="shared" si="140"/>
        <v>5000</v>
      </c>
      <c r="AI116" s="108">
        <f t="shared" si="141"/>
        <v>43000</v>
      </c>
      <c r="AJ116" s="268">
        <f t="shared" si="142"/>
        <v>65000</v>
      </c>
      <c r="AN116" s="181"/>
      <c r="AO116" s="103"/>
      <c r="AP116" s="404" t="s">
        <v>59</v>
      </c>
      <c r="AQ116" s="104"/>
      <c r="AR116" s="425">
        <v>23800</v>
      </c>
      <c r="AS116" s="406">
        <f t="shared" si="144"/>
        <v>16700</v>
      </c>
      <c r="AT116" s="406">
        <f t="shared" si="145"/>
        <v>2400</v>
      </c>
      <c r="AU116" s="406">
        <f t="shared" si="146"/>
        <v>4800</v>
      </c>
      <c r="AV116" s="389">
        <f t="shared" si="147"/>
        <v>47700</v>
      </c>
      <c r="AW116" s="406">
        <f t="shared" si="148"/>
        <v>57240</v>
      </c>
      <c r="AX116" s="175">
        <f t="shared" si="149"/>
        <v>40540</v>
      </c>
      <c r="BK116" s="178" t="s">
        <v>77</v>
      </c>
      <c r="BL116" s="179">
        <v>8253900</v>
      </c>
      <c r="BM116" s="192">
        <f t="shared" si="163"/>
        <v>10731000</v>
      </c>
      <c r="BN116" s="60"/>
      <c r="BR116" s="419" t="s">
        <v>529</v>
      </c>
      <c r="BS116" s="385" t="s">
        <v>530</v>
      </c>
      <c r="BT116" s="55">
        <f t="shared" ref="BT116:CA125" si="167">BT102*$CB$72</f>
        <v>155250</v>
      </c>
      <c r="BU116" s="55">
        <f t="shared" si="167"/>
        <v>220050</v>
      </c>
      <c r="BV116" s="55">
        <f t="shared" si="167"/>
        <v>406350</v>
      </c>
      <c r="BW116" s="55">
        <f t="shared" si="167"/>
        <v>641250</v>
      </c>
      <c r="BX116" s="55">
        <f t="shared" si="167"/>
        <v>916650.00000000012</v>
      </c>
      <c r="BY116" s="55">
        <f t="shared" si="167"/>
        <v>1894050.0000000002</v>
      </c>
      <c r="BZ116" s="55">
        <f t="shared" si="167"/>
        <v>3566700.0000000005</v>
      </c>
      <c r="CA116" s="55">
        <f t="shared" si="167"/>
        <v>5042250</v>
      </c>
      <c r="CH116" s="181"/>
      <c r="CI116" s="175" t="s">
        <v>575</v>
      </c>
      <c r="CJ116" s="1" t="s">
        <v>576</v>
      </c>
      <c r="CK116" s="449">
        <v>1590242.5</v>
      </c>
      <c r="CL116" s="450">
        <f t="shared" si="157"/>
        <v>1909000</v>
      </c>
      <c r="CZ116" s="324" t="s">
        <v>378</v>
      </c>
      <c r="DA116" s="454" t="s">
        <v>379</v>
      </c>
      <c r="DB116" s="325">
        <v>12</v>
      </c>
      <c r="DC116" s="444">
        <v>21800</v>
      </c>
      <c r="DD116" s="445"/>
      <c r="DE116" s="444">
        <f t="shared" si="152"/>
        <v>30000</v>
      </c>
      <c r="DF116" s="445"/>
      <c r="DG116" s="444">
        <f t="shared" si="153"/>
        <v>14000</v>
      </c>
      <c r="DH116" s="445"/>
      <c r="DK116" s="161"/>
      <c r="DL116" s="161"/>
      <c r="DM116" s="161"/>
      <c r="DN116" s="161"/>
      <c r="DO116" s="161"/>
      <c r="DP116" s="161"/>
      <c r="DQ116" s="161"/>
      <c r="DR116" s="161"/>
      <c r="DS116" s="161"/>
      <c r="DT116" s="161"/>
      <c r="DU116" s="161"/>
      <c r="DV116" s="161"/>
      <c r="DW116" s="161"/>
      <c r="DX116" s="161"/>
      <c r="DY116" s="161"/>
      <c r="ED116" s="214" t="s">
        <v>528</v>
      </c>
      <c r="EE116" s="255">
        <v>735315</v>
      </c>
      <c r="EF116" s="255">
        <v>816200</v>
      </c>
      <c r="EG116" s="298">
        <f t="shared" si="160"/>
        <v>1101870</v>
      </c>
    </row>
    <row r="117" spans="3:137" ht="15" thickBot="1">
      <c r="C117" s="23" t="s">
        <v>12</v>
      </c>
      <c r="D117" s="23"/>
      <c r="E117" s="107">
        <f>ROUNDUP(E116*$Y$116,-3)</f>
        <v>2260000</v>
      </c>
      <c r="F117" s="107"/>
      <c r="G117" s="107">
        <f t="shared" ref="G117:X117" si="168">ROUNDUP(G116*$Y$116,-3)</f>
        <v>1480000</v>
      </c>
      <c r="H117" s="107">
        <f t="shared" si="168"/>
        <v>1040000</v>
      </c>
      <c r="I117" s="107">
        <f t="shared" si="168"/>
        <v>840000</v>
      </c>
      <c r="J117" s="107">
        <f t="shared" si="168"/>
        <v>640000</v>
      </c>
      <c r="K117" s="107">
        <f t="shared" si="168"/>
        <v>440000</v>
      </c>
      <c r="L117" s="107">
        <f t="shared" si="168"/>
        <v>344000</v>
      </c>
      <c r="M117" s="107">
        <f t="shared" si="168"/>
        <v>224000</v>
      </c>
      <c r="N117" s="107">
        <f t="shared" si="168"/>
        <v>136000</v>
      </c>
      <c r="O117" s="107">
        <f t="shared" si="168"/>
        <v>104000</v>
      </c>
      <c r="P117" s="107">
        <f t="shared" si="168"/>
        <v>70000</v>
      </c>
      <c r="Q117" s="107">
        <f t="shared" si="168"/>
        <v>64000</v>
      </c>
      <c r="R117" s="107">
        <f t="shared" si="168"/>
        <v>60000</v>
      </c>
      <c r="S117" s="107">
        <f t="shared" si="168"/>
        <v>38000</v>
      </c>
      <c r="T117" s="107">
        <f t="shared" si="168"/>
        <v>34000</v>
      </c>
      <c r="U117" s="107">
        <f t="shared" si="168"/>
        <v>28000</v>
      </c>
      <c r="V117" s="107">
        <f t="shared" si="168"/>
        <v>24000</v>
      </c>
      <c r="W117" s="107">
        <f t="shared" si="168"/>
        <v>21000</v>
      </c>
      <c r="X117" s="107">
        <f t="shared" si="168"/>
        <v>16000</v>
      </c>
      <c r="Y117" s="23">
        <v>0.1</v>
      </c>
      <c r="AA117" s="183"/>
      <c r="AB117" s="141" t="s">
        <v>77</v>
      </c>
      <c r="AC117" s="142" t="s">
        <v>52</v>
      </c>
      <c r="AD117" s="143" t="s">
        <v>57</v>
      </c>
      <c r="AE117" s="144">
        <f>ROUNDUP(((27300)*35%)+(27300),-3)</f>
        <v>37000</v>
      </c>
      <c r="AF117" s="145">
        <f t="shared" si="138"/>
        <v>15000</v>
      </c>
      <c r="AG117" s="146">
        <f t="shared" si="139"/>
        <v>4000</v>
      </c>
      <c r="AH117" s="145">
        <f t="shared" si="140"/>
        <v>8000</v>
      </c>
      <c r="AI117" s="147">
        <f t="shared" si="141"/>
        <v>64000</v>
      </c>
      <c r="AJ117" s="150">
        <f t="shared" si="142"/>
        <v>96000</v>
      </c>
      <c r="AN117" s="181"/>
      <c r="AO117" s="103"/>
      <c r="AP117" s="404" t="s">
        <v>125</v>
      </c>
      <c r="AQ117" s="104"/>
      <c r="AR117" s="425">
        <v>33050</v>
      </c>
      <c r="AS117" s="406">
        <f t="shared" si="144"/>
        <v>23200</v>
      </c>
      <c r="AT117" s="406">
        <f t="shared" si="145"/>
        <v>3400</v>
      </c>
      <c r="AU117" s="406">
        <f t="shared" si="146"/>
        <v>6700</v>
      </c>
      <c r="AV117" s="389">
        <f t="shared" si="147"/>
        <v>66350</v>
      </c>
      <c r="AW117" s="406">
        <f t="shared" si="148"/>
        <v>79620</v>
      </c>
      <c r="AX117" s="175">
        <f t="shared" si="149"/>
        <v>56420</v>
      </c>
      <c r="BR117" s="422"/>
      <c r="BS117" s="385" t="s">
        <v>535</v>
      </c>
      <c r="BT117" s="55">
        <f t="shared" si="167"/>
        <v>90450</v>
      </c>
      <c r="BU117" s="55">
        <f t="shared" si="167"/>
        <v>126900.00000000001</v>
      </c>
      <c r="BV117" s="55">
        <f t="shared" si="167"/>
        <v>236250.00000000003</v>
      </c>
      <c r="BW117" s="55">
        <f t="shared" si="167"/>
        <v>371250</v>
      </c>
      <c r="BX117" s="55">
        <f t="shared" si="167"/>
        <v>527850</v>
      </c>
      <c r="BY117" s="55">
        <f t="shared" si="167"/>
        <v>1007100.0000000001</v>
      </c>
      <c r="BZ117" s="55">
        <f t="shared" si="167"/>
        <v>2058750.0000000002</v>
      </c>
      <c r="CA117" s="55">
        <f t="shared" si="167"/>
        <v>2652750</v>
      </c>
      <c r="CH117" s="181"/>
      <c r="CI117" s="455" t="s">
        <v>577</v>
      </c>
      <c r="CJ117" s="1" t="s">
        <v>578</v>
      </c>
      <c r="CK117" s="449">
        <v>2385362.5</v>
      </c>
      <c r="CL117" s="450">
        <f t="shared" si="157"/>
        <v>2863000</v>
      </c>
      <c r="CZ117" s="324">
        <v>50</v>
      </c>
      <c r="DA117" s="325" t="s">
        <v>40</v>
      </c>
      <c r="DB117" s="325">
        <v>30</v>
      </c>
      <c r="DC117" s="444">
        <v>23800</v>
      </c>
      <c r="DD117" s="445"/>
      <c r="DE117" s="444">
        <f>ROUNDUP(DC117*$DF$52,-3)</f>
        <v>33000</v>
      </c>
      <c r="DF117" s="445"/>
      <c r="DG117" s="444">
        <f>ROUNDUP((DE117*45%),-3)</f>
        <v>15000</v>
      </c>
      <c r="DH117" s="445"/>
      <c r="DK117" s="161"/>
      <c r="DL117" s="161"/>
      <c r="DM117" s="161"/>
      <c r="DN117" s="161"/>
      <c r="DO117" s="161"/>
      <c r="DP117" s="161"/>
      <c r="DQ117" s="161"/>
      <c r="DR117" s="161"/>
      <c r="DS117" s="161"/>
      <c r="DT117" s="161"/>
      <c r="DU117" s="161"/>
      <c r="DV117" s="161"/>
      <c r="DW117" s="161"/>
      <c r="DX117" s="161"/>
      <c r="DY117" s="161"/>
    </row>
    <row r="118" spans="3:137" ht="15" thickBot="1">
      <c r="C118" s="23" t="s">
        <v>13</v>
      </c>
      <c r="D118" s="23"/>
      <c r="E118" s="107">
        <f>ROUNDUP(E116*$Y$117,-3)</f>
        <v>565000</v>
      </c>
      <c r="F118" s="107"/>
      <c r="G118" s="107">
        <f t="shared" ref="G118:X118" si="169">ROUNDUP(G116*$Y$117,-3)</f>
        <v>370000</v>
      </c>
      <c r="H118" s="107">
        <f t="shared" si="169"/>
        <v>260000</v>
      </c>
      <c r="I118" s="107">
        <f t="shared" si="169"/>
        <v>210000</v>
      </c>
      <c r="J118" s="107">
        <f t="shared" si="169"/>
        <v>160000</v>
      </c>
      <c r="K118" s="107">
        <f t="shared" si="169"/>
        <v>110000</v>
      </c>
      <c r="L118" s="107">
        <f t="shared" si="169"/>
        <v>86000</v>
      </c>
      <c r="M118" s="107">
        <f t="shared" si="169"/>
        <v>56000</v>
      </c>
      <c r="N118" s="107">
        <f t="shared" si="169"/>
        <v>34000</v>
      </c>
      <c r="O118" s="107">
        <f t="shared" si="169"/>
        <v>26000</v>
      </c>
      <c r="P118" s="107">
        <f t="shared" si="169"/>
        <v>18000</v>
      </c>
      <c r="Q118" s="107">
        <f t="shared" si="169"/>
        <v>16000</v>
      </c>
      <c r="R118" s="107">
        <f t="shared" si="169"/>
        <v>15000</v>
      </c>
      <c r="S118" s="107">
        <f t="shared" si="169"/>
        <v>10000</v>
      </c>
      <c r="T118" s="107">
        <f t="shared" si="169"/>
        <v>9000</v>
      </c>
      <c r="U118" s="107">
        <f t="shared" si="169"/>
        <v>7000</v>
      </c>
      <c r="V118" s="107">
        <f t="shared" si="169"/>
        <v>6000</v>
      </c>
      <c r="W118" s="107">
        <f t="shared" si="169"/>
        <v>6000</v>
      </c>
      <c r="X118" s="107">
        <f t="shared" si="169"/>
        <v>4000</v>
      </c>
      <c r="Y118" s="23">
        <v>0.2</v>
      </c>
      <c r="AA118" s="396" t="s">
        <v>108</v>
      </c>
      <c r="AB118" s="189" t="s">
        <v>108</v>
      </c>
      <c r="AC118" s="190" t="s">
        <v>52</v>
      </c>
      <c r="AD118" s="191" t="s">
        <v>125</v>
      </c>
      <c r="AE118" s="439">
        <f>ROUNDUP(((48900)*35%)+(48900),-3)</f>
        <v>67000</v>
      </c>
      <c r="AF118" s="114">
        <f t="shared" si="138"/>
        <v>27000</v>
      </c>
      <c r="AG118" s="113">
        <f t="shared" si="139"/>
        <v>7000</v>
      </c>
      <c r="AH118" s="114">
        <f t="shared" si="140"/>
        <v>14000</v>
      </c>
      <c r="AI118" s="440">
        <f t="shared" si="141"/>
        <v>115000</v>
      </c>
      <c r="AJ118" s="112">
        <f t="shared" si="142"/>
        <v>173000</v>
      </c>
      <c r="AN118" s="183"/>
      <c r="AO118" s="141"/>
      <c r="AP118" s="415" t="s">
        <v>40</v>
      </c>
      <c r="AQ118" s="143"/>
      <c r="AR118" s="436">
        <v>45150</v>
      </c>
      <c r="AS118" s="417">
        <f t="shared" si="144"/>
        <v>31700</v>
      </c>
      <c r="AT118" s="417">
        <f t="shared" si="145"/>
        <v>4600</v>
      </c>
      <c r="AU118" s="417">
        <f t="shared" si="146"/>
        <v>9100</v>
      </c>
      <c r="AV118" s="418">
        <f t="shared" si="147"/>
        <v>90550</v>
      </c>
      <c r="AW118" s="417">
        <f t="shared" si="148"/>
        <v>108660</v>
      </c>
      <c r="AX118" s="148">
        <f t="shared" si="149"/>
        <v>76960</v>
      </c>
      <c r="BO118" s="23">
        <v>0.4</v>
      </c>
      <c r="BR118" s="422"/>
      <c r="BS118" s="385" t="s">
        <v>539</v>
      </c>
      <c r="BT118" s="55">
        <f t="shared" si="167"/>
        <v>276750</v>
      </c>
      <c r="BU118" s="55">
        <f t="shared" si="167"/>
        <v>338850</v>
      </c>
      <c r="BV118" s="55">
        <f t="shared" si="167"/>
        <v>514350.00000000006</v>
      </c>
      <c r="BW118" s="55">
        <f t="shared" si="167"/>
        <v>780300</v>
      </c>
      <c r="BX118" s="55">
        <f t="shared" si="167"/>
        <v>1125900</v>
      </c>
      <c r="BY118" s="55">
        <f t="shared" si="167"/>
        <v>2434050</v>
      </c>
      <c r="BZ118" s="55">
        <f t="shared" si="167"/>
        <v>4193100.0000000005</v>
      </c>
      <c r="CA118" s="55">
        <f t="shared" si="167"/>
        <v>5832000</v>
      </c>
      <c r="CH118" s="181"/>
      <c r="CI118" s="175" t="s">
        <v>579</v>
      </c>
      <c r="CJ118" s="1" t="s">
        <v>580</v>
      </c>
      <c r="CK118" s="449">
        <v>500000</v>
      </c>
      <c r="CL118" s="450">
        <f t="shared" si="157"/>
        <v>600000</v>
      </c>
      <c r="CZ118" s="324" t="s">
        <v>381</v>
      </c>
      <c r="DA118" s="454" t="s">
        <v>382</v>
      </c>
      <c r="DB118" s="325">
        <v>6</v>
      </c>
      <c r="DC118" s="444">
        <v>36100</v>
      </c>
      <c r="DD118" s="445"/>
      <c r="DE118" s="444">
        <f t="shared" si="152"/>
        <v>49000</v>
      </c>
      <c r="DF118" s="445"/>
      <c r="DG118" s="444">
        <f t="shared" si="153"/>
        <v>23000</v>
      </c>
      <c r="DH118" s="445"/>
      <c r="DK118" s="161"/>
      <c r="DL118" s="161"/>
      <c r="DM118" s="161"/>
      <c r="DN118" s="161"/>
      <c r="DO118" s="161"/>
      <c r="DP118" s="161"/>
      <c r="DQ118" s="161"/>
      <c r="DR118" s="161"/>
      <c r="DS118" s="161"/>
      <c r="DT118" s="161"/>
      <c r="DU118" s="161"/>
      <c r="DV118" s="161"/>
      <c r="DW118" s="161"/>
      <c r="DX118" s="161"/>
      <c r="DY118" s="161"/>
    </row>
    <row r="119" spans="3:137" ht="15" thickBot="1">
      <c r="C119" s="23" t="s">
        <v>208</v>
      </c>
      <c r="D119" s="23"/>
      <c r="E119" s="107">
        <f>ROUNDUP(E116*$Y$118,-3)</f>
        <v>1130000</v>
      </c>
      <c r="F119" s="107"/>
      <c r="G119" s="107">
        <f t="shared" ref="G119:X119" si="170">ROUNDUP(G116*$Y$118,-3)</f>
        <v>740000</v>
      </c>
      <c r="H119" s="107">
        <f t="shared" si="170"/>
        <v>520000</v>
      </c>
      <c r="I119" s="107">
        <f t="shared" si="170"/>
        <v>420000</v>
      </c>
      <c r="J119" s="107">
        <f t="shared" si="170"/>
        <v>320000</v>
      </c>
      <c r="K119" s="107">
        <f t="shared" si="170"/>
        <v>220000</v>
      </c>
      <c r="L119" s="107">
        <f t="shared" si="170"/>
        <v>172000</v>
      </c>
      <c r="M119" s="107">
        <f t="shared" si="170"/>
        <v>112000</v>
      </c>
      <c r="N119" s="107">
        <f t="shared" si="170"/>
        <v>68000</v>
      </c>
      <c r="O119" s="107">
        <f t="shared" si="170"/>
        <v>52000</v>
      </c>
      <c r="P119" s="107">
        <f t="shared" si="170"/>
        <v>35000</v>
      </c>
      <c r="Q119" s="107">
        <f t="shared" si="170"/>
        <v>32000</v>
      </c>
      <c r="R119" s="107">
        <f t="shared" si="170"/>
        <v>30000</v>
      </c>
      <c r="S119" s="107">
        <f t="shared" si="170"/>
        <v>19000</v>
      </c>
      <c r="T119" s="107">
        <f t="shared" si="170"/>
        <v>17000</v>
      </c>
      <c r="U119" s="107">
        <f t="shared" si="170"/>
        <v>14000</v>
      </c>
      <c r="V119" s="107">
        <f t="shared" si="170"/>
        <v>12000</v>
      </c>
      <c r="W119" s="107">
        <f t="shared" si="170"/>
        <v>11000</v>
      </c>
      <c r="X119" s="107">
        <f t="shared" si="170"/>
        <v>8000</v>
      </c>
      <c r="Y119" s="110"/>
      <c r="AA119" s="181"/>
      <c r="AB119" s="103" t="s">
        <v>108</v>
      </c>
      <c r="AC119" s="52" t="s">
        <v>52</v>
      </c>
      <c r="AD119" s="104" t="s">
        <v>40</v>
      </c>
      <c r="AE119" s="433">
        <f>ROUNDUP(((45100)*35%)+(45100),-3)</f>
        <v>61000</v>
      </c>
      <c r="AF119" s="106">
        <f t="shared" si="138"/>
        <v>25000</v>
      </c>
      <c r="AG119" s="117">
        <f t="shared" si="139"/>
        <v>7000</v>
      </c>
      <c r="AH119" s="106">
        <f t="shared" si="140"/>
        <v>13000</v>
      </c>
      <c r="AI119" s="108">
        <f t="shared" si="141"/>
        <v>106000</v>
      </c>
      <c r="AJ119" s="268">
        <f t="shared" si="142"/>
        <v>159000</v>
      </c>
      <c r="AN119" s="396" t="s">
        <v>581</v>
      </c>
      <c r="AO119" s="189"/>
      <c r="AP119" s="397" t="s">
        <v>430</v>
      </c>
      <c r="AQ119" s="191"/>
      <c r="AR119" s="452">
        <v>40750</v>
      </c>
      <c r="AS119" s="114">
        <f t="shared" si="144"/>
        <v>28600</v>
      </c>
      <c r="AT119" s="114">
        <f t="shared" si="145"/>
        <v>4100</v>
      </c>
      <c r="AU119" s="114">
        <f t="shared" si="146"/>
        <v>8200</v>
      </c>
      <c r="AV119" s="399">
        <f t="shared" si="147"/>
        <v>81650</v>
      </c>
      <c r="AW119" s="400">
        <f t="shared" si="148"/>
        <v>97980</v>
      </c>
      <c r="AX119" s="109">
        <f t="shared" si="149"/>
        <v>69380</v>
      </c>
      <c r="BO119" s="23">
        <v>0.1</v>
      </c>
      <c r="BR119" s="422"/>
      <c r="BS119" s="385" t="s">
        <v>544</v>
      </c>
      <c r="BT119" s="55">
        <f t="shared" si="167"/>
        <v>286200</v>
      </c>
      <c r="BU119" s="55">
        <f t="shared" si="167"/>
        <v>351000</v>
      </c>
      <c r="BV119" s="55">
        <f t="shared" si="167"/>
        <v>531900</v>
      </c>
      <c r="BW119" s="55">
        <f t="shared" si="167"/>
        <v>804600</v>
      </c>
      <c r="BX119" s="55">
        <f t="shared" si="167"/>
        <v>1161000</v>
      </c>
      <c r="BY119" s="55">
        <f t="shared" si="167"/>
        <v>2496150</v>
      </c>
      <c r="BZ119" s="55">
        <f t="shared" si="167"/>
        <v>4298400</v>
      </c>
      <c r="CA119" s="55">
        <f t="shared" si="167"/>
        <v>5977800</v>
      </c>
      <c r="CH119" s="183"/>
      <c r="CI119" s="148" t="s">
        <v>582</v>
      </c>
      <c r="CJ119" s="170" t="s">
        <v>583</v>
      </c>
      <c r="CK119" s="456">
        <v>500000</v>
      </c>
      <c r="CL119" s="457">
        <f t="shared" si="157"/>
        <v>600000</v>
      </c>
      <c r="CZ119" s="324" t="s">
        <v>387</v>
      </c>
      <c r="DA119" s="454" t="s">
        <v>388</v>
      </c>
      <c r="DB119" s="325">
        <v>17</v>
      </c>
      <c r="DC119" s="444">
        <v>36300</v>
      </c>
      <c r="DD119" s="445"/>
      <c r="DE119" s="444">
        <f t="shared" si="152"/>
        <v>50000</v>
      </c>
      <c r="DF119" s="445"/>
      <c r="DG119" s="444">
        <f t="shared" si="153"/>
        <v>23000</v>
      </c>
      <c r="DH119" s="445"/>
      <c r="DK119" s="161"/>
      <c r="DL119" s="161"/>
      <c r="DM119" s="161"/>
      <c r="DN119" s="161"/>
      <c r="DO119" s="161"/>
      <c r="DP119" s="161"/>
      <c r="DQ119" s="161"/>
      <c r="DR119" s="161"/>
      <c r="DS119" s="161"/>
      <c r="DT119" s="161"/>
      <c r="DU119" s="161"/>
      <c r="DV119" s="161"/>
      <c r="DW119" s="161"/>
      <c r="DX119" s="161"/>
      <c r="DY119" s="161"/>
      <c r="ED119" s="27" t="s">
        <v>584</v>
      </c>
      <c r="EE119" s="458"/>
      <c r="EF119" s="458"/>
      <c r="EG119" s="458"/>
    </row>
    <row r="120" spans="3:137" ht="18.600000000000001" thickBot="1">
      <c r="C120" s="259" t="s">
        <v>15</v>
      </c>
      <c r="D120" s="259"/>
      <c r="E120" s="260">
        <f t="shared" ref="E120:X120" si="171">SUM(E116:E119)</f>
        <v>9605000</v>
      </c>
      <c r="F120" s="260"/>
      <c r="G120" s="260">
        <f t="shared" si="171"/>
        <v>6290000</v>
      </c>
      <c r="H120" s="260">
        <f t="shared" si="171"/>
        <v>4420000</v>
      </c>
      <c r="I120" s="260">
        <f t="shared" si="171"/>
        <v>3570000</v>
      </c>
      <c r="J120" s="260">
        <f t="shared" si="171"/>
        <v>2720000</v>
      </c>
      <c r="K120" s="260">
        <f t="shared" si="171"/>
        <v>1870000</v>
      </c>
      <c r="L120" s="260">
        <f t="shared" si="171"/>
        <v>1462000</v>
      </c>
      <c r="M120" s="260">
        <f>SUM(M116:M119)</f>
        <v>952000</v>
      </c>
      <c r="N120" s="260">
        <f>SUM(N116:N119)</f>
        <v>578000</v>
      </c>
      <c r="O120" s="260">
        <f>SUM(O116:O119)</f>
        <v>442000</v>
      </c>
      <c r="P120" s="260">
        <f>SUM(P116:P119)</f>
        <v>298000</v>
      </c>
      <c r="Q120" s="260">
        <f t="shared" si="171"/>
        <v>272000</v>
      </c>
      <c r="R120" s="260">
        <f t="shared" si="171"/>
        <v>255000</v>
      </c>
      <c r="S120" s="260">
        <f t="shared" si="171"/>
        <v>162000</v>
      </c>
      <c r="T120" s="260">
        <f t="shared" si="171"/>
        <v>145000</v>
      </c>
      <c r="U120" s="260">
        <f t="shared" si="171"/>
        <v>119000</v>
      </c>
      <c r="V120" s="260">
        <f t="shared" si="171"/>
        <v>102000</v>
      </c>
      <c r="W120" s="260">
        <f t="shared" si="171"/>
        <v>90000</v>
      </c>
      <c r="X120" s="260">
        <f t="shared" si="171"/>
        <v>66000</v>
      </c>
      <c r="Y120" s="23">
        <v>1.1000000000000001</v>
      </c>
      <c r="AA120" s="181"/>
      <c r="AB120" s="103" t="s">
        <v>108</v>
      </c>
      <c r="AC120" s="52" t="s">
        <v>52</v>
      </c>
      <c r="AD120" s="104" t="s">
        <v>57</v>
      </c>
      <c r="AE120" s="433">
        <f>ROUNDUP(((50000)*35%)+(50000),-3)</f>
        <v>68000</v>
      </c>
      <c r="AF120" s="106">
        <f t="shared" si="138"/>
        <v>28000</v>
      </c>
      <c r="AG120" s="117">
        <f t="shared" si="139"/>
        <v>7000</v>
      </c>
      <c r="AH120" s="106">
        <f t="shared" si="140"/>
        <v>14000</v>
      </c>
      <c r="AI120" s="108">
        <f t="shared" si="141"/>
        <v>117000</v>
      </c>
      <c r="AJ120" s="268">
        <f t="shared" si="142"/>
        <v>176000</v>
      </c>
      <c r="AN120" s="181"/>
      <c r="AO120" s="103"/>
      <c r="AP120" s="404" t="s">
        <v>437</v>
      </c>
      <c r="AQ120" s="104"/>
      <c r="AR120" s="425">
        <v>40750</v>
      </c>
      <c r="AS120" s="406">
        <f t="shared" si="144"/>
        <v>28600</v>
      </c>
      <c r="AT120" s="406">
        <f t="shared" si="145"/>
        <v>4100</v>
      </c>
      <c r="AU120" s="406">
        <f t="shared" si="146"/>
        <v>8200</v>
      </c>
      <c r="AV120" s="389">
        <f t="shared" si="147"/>
        <v>81650</v>
      </c>
      <c r="AW120" s="406">
        <f t="shared" si="148"/>
        <v>97980</v>
      </c>
      <c r="AX120" s="175">
        <f t="shared" si="149"/>
        <v>69380</v>
      </c>
      <c r="BO120" s="23">
        <v>0.2</v>
      </c>
      <c r="BR120" s="427"/>
      <c r="BS120" s="385" t="s">
        <v>548</v>
      </c>
      <c r="BT120" s="55">
        <f t="shared" si="167"/>
        <v>182250</v>
      </c>
      <c r="BU120" s="55">
        <f t="shared" si="167"/>
        <v>202500</v>
      </c>
      <c r="BV120" s="55">
        <f t="shared" si="167"/>
        <v>315900</v>
      </c>
      <c r="BW120" s="55">
        <f t="shared" si="167"/>
        <v>423900</v>
      </c>
      <c r="BX120" s="55">
        <f t="shared" si="167"/>
        <v>606150</v>
      </c>
      <c r="BY120" s="55">
        <f t="shared" si="167"/>
        <v>1529550</v>
      </c>
      <c r="BZ120" s="55">
        <f t="shared" si="167"/>
        <v>1880550.0000000002</v>
      </c>
      <c r="CA120" s="55">
        <f t="shared" si="167"/>
        <v>2752650</v>
      </c>
      <c r="CZ120" s="324">
        <v>65</v>
      </c>
      <c r="DA120" s="325" t="s">
        <v>322</v>
      </c>
      <c r="DB120" s="325">
        <v>16</v>
      </c>
      <c r="DC120" s="444">
        <v>38800</v>
      </c>
      <c r="DD120" s="445"/>
      <c r="DE120" s="444">
        <f>ROUNDUP(DC120*$DF$52,-3)</f>
        <v>53000</v>
      </c>
      <c r="DF120" s="445"/>
      <c r="DG120" s="444">
        <f>ROUNDUP((DE120*45%),-3)</f>
        <v>24000</v>
      </c>
      <c r="DH120" s="445"/>
      <c r="DK120" s="1">
        <v>1.1499999999999999</v>
      </c>
      <c r="DL120" s="459" t="s">
        <v>585</v>
      </c>
      <c r="DM120" s="459"/>
      <c r="DN120" s="459"/>
      <c r="DO120" s="459"/>
      <c r="DP120" s="459"/>
      <c r="DQ120" s="459"/>
      <c r="DR120" s="459"/>
      <c r="DS120" s="459"/>
      <c r="DT120" s="459"/>
      <c r="DU120" s="459"/>
      <c r="DV120" s="459"/>
      <c r="DW120" s="459"/>
      <c r="DX120" s="459"/>
      <c r="DY120" s="459"/>
      <c r="ED120" s="304" t="s">
        <v>245</v>
      </c>
      <c r="EE120" s="305" t="s">
        <v>248</v>
      </c>
      <c r="EF120" s="305" t="s">
        <v>249</v>
      </c>
      <c r="EG120" s="375" t="s">
        <v>91</v>
      </c>
    </row>
    <row r="121" spans="3:137" ht="18.600000000000001" thickBot="1">
      <c r="C121" s="23" t="s">
        <v>215</v>
      </c>
      <c r="D121" s="23"/>
      <c r="E121" s="107">
        <f>ROUNDUP(E120*$Y$120,-3)</f>
        <v>10566000</v>
      </c>
      <c r="F121" s="107"/>
      <c r="G121" s="107">
        <f t="shared" ref="G121:X121" si="172">ROUNDUP(G120*$Y$120,-3)</f>
        <v>6919000</v>
      </c>
      <c r="H121" s="107">
        <f t="shared" si="172"/>
        <v>4862000</v>
      </c>
      <c r="I121" s="107">
        <f t="shared" si="172"/>
        <v>3927000</v>
      </c>
      <c r="J121" s="107">
        <f t="shared" si="172"/>
        <v>2992000</v>
      </c>
      <c r="K121" s="107">
        <f t="shared" si="172"/>
        <v>2057000</v>
      </c>
      <c r="L121" s="107">
        <f t="shared" si="172"/>
        <v>1609000</v>
      </c>
      <c r="M121" s="107">
        <f t="shared" si="172"/>
        <v>1048000</v>
      </c>
      <c r="N121" s="107">
        <f t="shared" si="172"/>
        <v>636000</v>
      </c>
      <c r="O121" s="107">
        <f t="shared" si="172"/>
        <v>487000</v>
      </c>
      <c r="P121" s="107">
        <f t="shared" si="172"/>
        <v>328000</v>
      </c>
      <c r="Q121" s="107">
        <f t="shared" si="172"/>
        <v>300000</v>
      </c>
      <c r="R121" s="107">
        <f t="shared" si="172"/>
        <v>281000</v>
      </c>
      <c r="S121" s="107">
        <f t="shared" si="172"/>
        <v>179000</v>
      </c>
      <c r="T121" s="107">
        <f t="shared" si="172"/>
        <v>160000</v>
      </c>
      <c r="U121" s="107">
        <f t="shared" si="172"/>
        <v>131000</v>
      </c>
      <c r="V121" s="107">
        <f t="shared" si="172"/>
        <v>113000</v>
      </c>
      <c r="W121" s="107">
        <f t="shared" si="172"/>
        <v>99000</v>
      </c>
      <c r="X121" s="107">
        <f t="shared" si="172"/>
        <v>73000</v>
      </c>
      <c r="Y121" s="23"/>
      <c r="AA121" s="183"/>
      <c r="AB121" s="141" t="s">
        <v>108</v>
      </c>
      <c r="AC121" s="142" t="s">
        <v>52</v>
      </c>
      <c r="AD121" s="143" t="s">
        <v>77</v>
      </c>
      <c r="AE121" s="144">
        <f>ROUNDUP(((52400)*35%)+(52400),-3)</f>
        <v>71000</v>
      </c>
      <c r="AF121" s="145">
        <f t="shared" si="138"/>
        <v>29000</v>
      </c>
      <c r="AG121" s="146">
        <f t="shared" si="139"/>
        <v>8000</v>
      </c>
      <c r="AH121" s="145">
        <f t="shared" si="140"/>
        <v>15000</v>
      </c>
      <c r="AI121" s="147">
        <f t="shared" si="141"/>
        <v>123000</v>
      </c>
      <c r="AJ121" s="150">
        <f t="shared" si="142"/>
        <v>185000</v>
      </c>
      <c r="AN121" s="181"/>
      <c r="AO121" s="103"/>
      <c r="AP121" s="404" t="s">
        <v>53</v>
      </c>
      <c r="AQ121" s="104"/>
      <c r="AR121" s="425">
        <v>32950</v>
      </c>
      <c r="AS121" s="406">
        <f t="shared" si="144"/>
        <v>23100</v>
      </c>
      <c r="AT121" s="406">
        <f t="shared" si="145"/>
        <v>3300</v>
      </c>
      <c r="AU121" s="406">
        <f t="shared" si="146"/>
        <v>6600</v>
      </c>
      <c r="AV121" s="389">
        <f t="shared" si="147"/>
        <v>65950</v>
      </c>
      <c r="AW121" s="406">
        <f t="shared" si="148"/>
        <v>79140</v>
      </c>
      <c r="AX121" s="175">
        <f t="shared" si="149"/>
        <v>56040</v>
      </c>
      <c r="BO121" s="110"/>
      <c r="BR121" s="419" t="s">
        <v>554</v>
      </c>
      <c r="BS121" s="385" t="s">
        <v>530</v>
      </c>
      <c r="BT121" s="55">
        <f t="shared" si="167"/>
        <v>201150</v>
      </c>
      <c r="BU121" s="55">
        <f t="shared" si="167"/>
        <v>322650</v>
      </c>
      <c r="BV121" s="55">
        <f t="shared" si="167"/>
        <v>579150</v>
      </c>
      <c r="BW121" s="55">
        <f t="shared" si="167"/>
        <v>1089450</v>
      </c>
      <c r="BX121" s="55">
        <f t="shared" si="167"/>
        <v>1463400</v>
      </c>
      <c r="BY121" s="55">
        <f t="shared" si="167"/>
        <v>2907900</v>
      </c>
      <c r="BZ121" s="55">
        <f t="shared" si="167"/>
        <v>5466150</v>
      </c>
      <c r="CA121" s="55">
        <f t="shared" si="167"/>
        <v>7992000.0000000009</v>
      </c>
      <c r="CZ121" s="324" t="s">
        <v>391</v>
      </c>
      <c r="DA121" s="454" t="s">
        <v>392</v>
      </c>
      <c r="DB121" s="325">
        <v>20</v>
      </c>
      <c r="DC121" s="444">
        <v>32300</v>
      </c>
      <c r="DD121" s="445"/>
      <c r="DE121" s="444">
        <f t="shared" si="152"/>
        <v>44000</v>
      </c>
      <c r="DF121" s="445"/>
      <c r="DG121" s="444">
        <f t="shared" si="153"/>
        <v>20000</v>
      </c>
      <c r="DH121" s="445"/>
      <c r="DK121" s="460"/>
      <c r="DL121" s="461" t="s">
        <v>586</v>
      </c>
      <c r="DM121" s="461"/>
      <c r="DN121" s="461"/>
      <c r="DO121" s="461"/>
      <c r="DP121" s="461"/>
      <c r="DQ121" s="461"/>
      <c r="DR121" s="462"/>
      <c r="DS121" s="461" t="s">
        <v>587</v>
      </c>
      <c r="DT121" s="461"/>
      <c r="DU121" s="461"/>
      <c r="DV121" s="461"/>
      <c r="DW121" s="461"/>
      <c r="DX121" s="461"/>
      <c r="DY121" s="161"/>
      <c r="ED121" s="311">
        <v>20</v>
      </c>
      <c r="EE121" s="162">
        <v>109730</v>
      </c>
      <c r="EF121" s="162">
        <v>121800</v>
      </c>
      <c r="EG121" s="286">
        <f>EF121*$DW$4</f>
        <v>164430</v>
      </c>
    </row>
    <row r="122" spans="3:137" ht="29.4" thickBot="1">
      <c r="C122" s="390" t="s">
        <v>412</v>
      </c>
      <c r="D122" s="391">
        <f>D121-D117</f>
        <v>0</v>
      </c>
      <c r="E122" s="391">
        <f t="shared" ref="E122:X122" si="173">E121-E117</f>
        <v>8306000</v>
      </c>
      <c r="F122" s="391">
        <f t="shared" si="173"/>
        <v>0</v>
      </c>
      <c r="G122" s="391">
        <f t="shared" si="173"/>
        <v>5439000</v>
      </c>
      <c r="H122" s="391">
        <f t="shared" si="173"/>
        <v>3822000</v>
      </c>
      <c r="I122" s="391">
        <f t="shared" si="173"/>
        <v>3087000</v>
      </c>
      <c r="J122" s="391">
        <f t="shared" si="173"/>
        <v>2352000</v>
      </c>
      <c r="K122" s="391">
        <f t="shared" si="173"/>
        <v>1617000</v>
      </c>
      <c r="L122" s="391">
        <f t="shared" si="173"/>
        <v>1265000</v>
      </c>
      <c r="M122" s="391">
        <f t="shared" si="173"/>
        <v>824000</v>
      </c>
      <c r="N122" s="391">
        <f t="shared" si="173"/>
        <v>500000</v>
      </c>
      <c r="O122" s="391">
        <f t="shared" si="173"/>
        <v>383000</v>
      </c>
      <c r="P122" s="391">
        <f t="shared" si="173"/>
        <v>258000</v>
      </c>
      <c r="Q122" s="391">
        <f t="shared" si="173"/>
        <v>236000</v>
      </c>
      <c r="R122" s="391">
        <f t="shared" si="173"/>
        <v>221000</v>
      </c>
      <c r="S122" s="391">
        <f t="shared" si="173"/>
        <v>141000</v>
      </c>
      <c r="T122" s="391">
        <f t="shared" si="173"/>
        <v>126000</v>
      </c>
      <c r="U122" s="391">
        <f t="shared" si="173"/>
        <v>103000</v>
      </c>
      <c r="V122" s="391">
        <f t="shared" si="173"/>
        <v>89000</v>
      </c>
      <c r="W122" s="391">
        <f t="shared" si="173"/>
        <v>78000</v>
      </c>
      <c r="X122" s="391">
        <f t="shared" si="173"/>
        <v>57000</v>
      </c>
      <c r="AA122" s="396" t="s">
        <v>117</v>
      </c>
      <c r="AB122" s="189" t="s">
        <v>117</v>
      </c>
      <c r="AC122" s="190" t="s">
        <v>52</v>
      </c>
      <c r="AD122" s="191" t="s">
        <v>77</v>
      </c>
      <c r="AE122" s="439">
        <f>ROUNDUP(((71400)*35%)+(71400),-3)</f>
        <v>97000</v>
      </c>
      <c r="AF122" s="114">
        <f t="shared" si="138"/>
        <v>39000</v>
      </c>
      <c r="AG122" s="113">
        <f t="shared" si="139"/>
        <v>10000</v>
      </c>
      <c r="AH122" s="114">
        <f t="shared" si="140"/>
        <v>20000</v>
      </c>
      <c r="AI122" s="440">
        <f t="shared" si="141"/>
        <v>166000</v>
      </c>
      <c r="AJ122" s="112">
        <f t="shared" si="142"/>
        <v>249000</v>
      </c>
      <c r="AN122" s="181"/>
      <c r="AO122" s="103"/>
      <c r="AP122" s="404" t="s">
        <v>51</v>
      </c>
      <c r="AQ122" s="104"/>
      <c r="AR122" s="425">
        <v>40600</v>
      </c>
      <c r="AS122" s="406">
        <f t="shared" si="144"/>
        <v>28500</v>
      </c>
      <c r="AT122" s="406">
        <f t="shared" si="145"/>
        <v>4100</v>
      </c>
      <c r="AU122" s="406">
        <f t="shared" si="146"/>
        <v>8200</v>
      </c>
      <c r="AV122" s="389">
        <f t="shared" si="147"/>
        <v>81400</v>
      </c>
      <c r="AW122" s="406">
        <f t="shared" si="148"/>
        <v>97680</v>
      </c>
      <c r="AX122" s="175">
        <f t="shared" si="149"/>
        <v>69180</v>
      </c>
      <c r="BO122" s="23">
        <v>1.3</v>
      </c>
      <c r="BR122" s="422"/>
      <c r="BS122" s="385" t="s">
        <v>535</v>
      </c>
      <c r="BT122" s="55">
        <f t="shared" si="167"/>
        <v>120150.00000000001</v>
      </c>
      <c r="BU122" s="55">
        <f t="shared" si="167"/>
        <v>189000</v>
      </c>
      <c r="BV122" s="55">
        <f t="shared" si="167"/>
        <v>322650</v>
      </c>
      <c r="BW122" s="55">
        <f t="shared" si="167"/>
        <v>633150</v>
      </c>
      <c r="BX122" s="55">
        <f t="shared" si="167"/>
        <v>870750</v>
      </c>
      <c r="BY122" s="55">
        <f t="shared" si="167"/>
        <v>1706400</v>
      </c>
      <c r="BZ122" s="55">
        <f t="shared" si="167"/>
        <v>3133350</v>
      </c>
      <c r="CA122" s="55">
        <f t="shared" si="167"/>
        <v>4612950</v>
      </c>
      <c r="CH122" s="56" t="s">
        <v>41</v>
      </c>
      <c r="CI122" s="448" t="s">
        <v>42</v>
      </c>
      <c r="CJ122" s="58" t="s">
        <v>43</v>
      </c>
      <c r="CK122" s="57" t="s">
        <v>44</v>
      </c>
      <c r="CL122" s="57" t="s">
        <v>23</v>
      </c>
      <c r="CZ122" s="324" t="s">
        <v>397</v>
      </c>
      <c r="DA122" s="454" t="s">
        <v>398</v>
      </c>
      <c r="DB122" s="325">
        <v>18</v>
      </c>
      <c r="DC122" s="444">
        <v>33300</v>
      </c>
      <c r="DD122" s="445"/>
      <c r="DE122" s="444">
        <f t="shared" si="152"/>
        <v>45000</v>
      </c>
      <c r="DF122" s="445"/>
      <c r="DG122" s="444">
        <f t="shared" si="153"/>
        <v>21000</v>
      </c>
      <c r="DH122" s="445"/>
      <c r="DK122" s="463" t="s">
        <v>10</v>
      </c>
      <c r="DL122" s="463" t="s">
        <v>588</v>
      </c>
      <c r="DM122" s="464" t="s">
        <v>91</v>
      </c>
      <c r="DN122" s="463" t="s">
        <v>589</v>
      </c>
      <c r="DO122" s="463" t="s">
        <v>590</v>
      </c>
      <c r="DP122" s="464" t="s">
        <v>91</v>
      </c>
      <c r="DQ122" s="463" t="s">
        <v>589</v>
      </c>
      <c r="DR122" s="465"/>
      <c r="DS122" s="466" t="s">
        <v>591</v>
      </c>
      <c r="DT122" s="464" t="s">
        <v>91</v>
      </c>
      <c r="DU122" s="467" t="s">
        <v>592</v>
      </c>
      <c r="DV122" s="467" t="s">
        <v>593</v>
      </c>
      <c r="DW122" s="464" t="s">
        <v>91</v>
      </c>
      <c r="DX122" s="467" t="s">
        <v>592</v>
      </c>
      <c r="DY122" s="161"/>
      <c r="ED122" s="311">
        <v>25</v>
      </c>
      <c r="EE122" s="162">
        <v>175766</v>
      </c>
      <c r="EF122" s="162">
        <v>195100</v>
      </c>
      <c r="EG122" s="286">
        <f t="shared" ref="EG122:EG126" si="174">EF122*$DW$4</f>
        <v>263385</v>
      </c>
    </row>
    <row r="123" spans="3:137" ht="29.4" thickBot="1">
      <c r="C123" s="23"/>
      <c r="D123" s="23"/>
      <c r="AA123" s="183"/>
      <c r="AB123" s="141" t="s">
        <v>117</v>
      </c>
      <c r="AC123" s="142" t="s">
        <v>52</v>
      </c>
      <c r="AD123" s="143" t="s">
        <v>108</v>
      </c>
      <c r="AE123" s="144">
        <f>ROUNDUP(((79100)*35%)+(79100),-3)</f>
        <v>107000</v>
      </c>
      <c r="AF123" s="145">
        <f t="shared" si="138"/>
        <v>43000</v>
      </c>
      <c r="AG123" s="146">
        <f t="shared" si="139"/>
        <v>11000</v>
      </c>
      <c r="AH123" s="145">
        <f t="shared" si="140"/>
        <v>22000</v>
      </c>
      <c r="AI123" s="147">
        <f t="shared" si="141"/>
        <v>183000</v>
      </c>
      <c r="AJ123" s="150">
        <f t="shared" si="142"/>
        <v>275000</v>
      </c>
      <c r="AN123" s="181"/>
      <c r="AO123" s="103"/>
      <c r="AP123" s="404" t="s">
        <v>75</v>
      </c>
      <c r="AQ123" s="104"/>
      <c r="AR123" s="425">
        <v>49200</v>
      </c>
      <c r="AS123" s="406">
        <f t="shared" si="144"/>
        <v>34500</v>
      </c>
      <c r="AT123" s="406">
        <f t="shared" si="145"/>
        <v>5000</v>
      </c>
      <c r="AU123" s="406">
        <f t="shared" si="146"/>
        <v>9900</v>
      </c>
      <c r="AV123" s="389">
        <f t="shared" si="147"/>
        <v>98600</v>
      </c>
      <c r="AW123" s="406">
        <f t="shared" si="148"/>
        <v>118320</v>
      </c>
      <c r="AX123" s="175">
        <f t="shared" si="149"/>
        <v>83820</v>
      </c>
      <c r="BR123" s="422"/>
      <c r="BS123" s="385" t="s">
        <v>539</v>
      </c>
      <c r="BT123" s="55">
        <f t="shared" si="167"/>
        <v>333450</v>
      </c>
      <c r="BU123" s="55">
        <f t="shared" si="167"/>
        <v>453600.00000000006</v>
      </c>
      <c r="BV123" s="55">
        <f t="shared" si="167"/>
        <v>699300</v>
      </c>
      <c r="BW123" s="55">
        <f t="shared" si="167"/>
        <v>1100250</v>
      </c>
      <c r="BX123" s="55">
        <f t="shared" si="167"/>
        <v>1580850</v>
      </c>
      <c r="BY123" s="55">
        <f t="shared" si="167"/>
        <v>3086100</v>
      </c>
      <c r="BZ123" s="55">
        <f t="shared" si="167"/>
        <v>5783400</v>
      </c>
      <c r="CA123" s="55">
        <f t="shared" si="167"/>
        <v>7705800.0000000009</v>
      </c>
      <c r="CH123" s="181">
        <v>1</v>
      </c>
      <c r="CI123" s="468" t="s">
        <v>594</v>
      </c>
      <c r="CJ123" s="469" t="s">
        <v>595</v>
      </c>
      <c r="CK123" s="449">
        <v>1246659</v>
      </c>
      <c r="CL123" s="401">
        <f>ROUNDUP(CK123*$CN$9,-3)</f>
        <v>1496000</v>
      </c>
      <c r="CZ123" s="324" t="s">
        <v>400</v>
      </c>
      <c r="DA123" s="454" t="s">
        <v>401</v>
      </c>
      <c r="DB123" s="325">
        <v>18</v>
      </c>
      <c r="DC123" s="444">
        <v>37300</v>
      </c>
      <c r="DD123" s="445"/>
      <c r="DE123" s="444">
        <f t="shared" si="152"/>
        <v>51000</v>
      </c>
      <c r="DF123" s="445"/>
      <c r="DG123" s="444">
        <f t="shared" si="153"/>
        <v>23000</v>
      </c>
      <c r="DH123" s="445"/>
      <c r="DK123" s="470" t="s">
        <v>53</v>
      </c>
      <c r="DL123" s="471">
        <v>241000</v>
      </c>
      <c r="DM123" s="471">
        <f>DL123*$DK$120</f>
        <v>277150</v>
      </c>
      <c r="DN123" s="470">
        <v>6.9</v>
      </c>
      <c r="DO123" s="471">
        <v>309000</v>
      </c>
      <c r="DP123" s="471">
        <f>DO123*$DK$120</f>
        <v>355350</v>
      </c>
      <c r="DQ123" s="472">
        <v>7.3</v>
      </c>
      <c r="DR123" s="465"/>
      <c r="DS123" s="473">
        <v>251200</v>
      </c>
      <c r="DT123" s="473">
        <f>DS123*$DK$120</f>
        <v>288880</v>
      </c>
      <c r="DU123" s="474">
        <v>7.3</v>
      </c>
      <c r="DV123" s="473">
        <v>320000</v>
      </c>
      <c r="DW123" s="473">
        <f>DV123*$DK$120</f>
        <v>368000</v>
      </c>
      <c r="DX123" s="474">
        <v>7.6</v>
      </c>
      <c r="DY123" s="161"/>
      <c r="ED123" s="311">
        <v>32</v>
      </c>
      <c r="EE123" s="162">
        <v>247207</v>
      </c>
      <c r="EF123" s="162">
        <v>274400</v>
      </c>
      <c r="EG123" s="286">
        <f t="shared" si="174"/>
        <v>370440</v>
      </c>
    </row>
    <row r="124" spans="3:137" ht="28.8">
      <c r="C124" s="475" t="s">
        <v>596</v>
      </c>
      <c r="D124" s="475"/>
      <c r="E124" s="475"/>
      <c r="F124" s="475"/>
      <c r="G124" s="475"/>
      <c r="H124" s="475"/>
      <c r="I124" s="475"/>
      <c r="J124" s="475"/>
      <c r="K124" s="475"/>
      <c r="L124" s="475"/>
      <c r="M124" s="476"/>
      <c r="N124" s="476"/>
      <c r="O124" s="476"/>
      <c r="AA124" s="396" t="s">
        <v>124</v>
      </c>
      <c r="AB124" s="189" t="s">
        <v>124</v>
      </c>
      <c r="AC124" s="190" t="s">
        <v>52</v>
      </c>
      <c r="AD124" s="191" t="s">
        <v>77</v>
      </c>
      <c r="AE124" s="439">
        <f>ROUNDUP(((89900)*35%)+(89900),-3)</f>
        <v>122000</v>
      </c>
      <c r="AF124" s="114">
        <f t="shared" si="138"/>
        <v>49000</v>
      </c>
      <c r="AG124" s="113">
        <f t="shared" si="139"/>
        <v>13000</v>
      </c>
      <c r="AH124" s="114">
        <f t="shared" si="140"/>
        <v>25000</v>
      </c>
      <c r="AI124" s="440">
        <f t="shared" si="141"/>
        <v>209000</v>
      </c>
      <c r="AJ124" s="112">
        <f t="shared" si="142"/>
        <v>314000</v>
      </c>
      <c r="AN124" s="181"/>
      <c r="AO124" s="103"/>
      <c r="AP124" s="404" t="s">
        <v>59</v>
      </c>
      <c r="AQ124" s="104"/>
      <c r="AR124" s="425">
        <v>73700</v>
      </c>
      <c r="AS124" s="406">
        <f t="shared" si="144"/>
        <v>51600</v>
      </c>
      <c r="AT124" s="406">
        <f t="shared" si="145"/>
        <v>7400</v>
      </c>
      <c r="AU124" s="406">
        <f t="shared" si="146"/>
        <v>14800</v>
      </c>
      <c r="AV124" s="389">
        <f t="shared" si="147"/>
        <v>147500</v>
      </c>
      <c r="AW124" s="406">
        <f t="shared" si="148"/>
        <v>177000</v>
      </c>
      <c r="AX124" s="175">
        <f t="shared" si="149"/>
        <v>125400</v>
      </c>
      <c r="BR124" s="422"/>
      <c r="BS124" s="385" t="s">
        <v>544</v>
      </c>
      <c r="BT124" s="55">
        <f t="shared" si="167"/>
        <v>344250</v>
      </c>
      <c r="BU124" s="55">
        <f t="shared" si="167"/>
        <v>467100.00000000006</v>
      </c>
      <c r="BV124" s="55">
        <f t="shared" si="167"/>
        <v>720900</v>
      </c>
      <c r="BW124" s="55">
        <f t="shared" si="167"/>
        <v>1132650</v>
      </c>
      <c r="BX124" s="55">
        <f t="shared" si="167"/>
        <v>1629450</v>
      </c>
      <c r="BY124" s="55">
        <f t="shared" si="167"/>
        <v>3161700</v>
      </c>
      <c r="BZ124" s="55">
        <f t="shared" si="167"/>
        <v>5925150</v>
      </c>
      <c r="CA124" s="55">
        <f t="shared" si="167"/>
        <v>7875900.0000000009</v>
      </c>
      <c r="CH124" s="181"/>
      <c r="CI124" s="468" t="s">
        <v>597</v>
      </c>
      <c r="CJ124" s="469" t="s">
        <v>598</v>
      </c>
      <c r="CK124" s="449">
        <v>2185101</v>
      </c>
      <c r="CL124" s="401">
        <f>ROUNDUP(CK124*$CN$9,-3)</f>
        <v>2623000</v>
      </c>
      <c r="CZ124" s="324" t="s">
        <v>404</v>
      </c>
      <c r="DA124" s="454" t="s">
        <v>405</v>
      </c>
      <c r="DB124" s="325">
        <v>16</v>
      </c>
      <c r="DC124" s="444">
        <v>39100</v>
      </c>
      <c r="DD124" s="445"/>
      <c r="DE124" s="444">
        <f t="shared" si="152"/>
        <v>53000</v>
      </c>
      <c r="DF124" s="445"/>
      <c r="DG124" s="444">
        <f t="shared" si="153"/>
        <v>24000</v>
      </c>
      <c r="DH124" s="445"/>
      <c r="DK124" s="470" t="s">
        <v>51</v>
      </c>
      <c r="DL124" s="471">
        <v>310000</v>
      </c>
      <c r="DM124" s="471">
        <f t="shared" ref="DM124:DM140" si="175">DL124*$DK$120</f>
        <v>356500</v>
      </c>
      <c r="DN124" s="470">
        <v>9</v>
      </c>
      <c r="DO124" s="471">
        <v>397000</v>
      </c>
      <c r="DP124" s="471">
        <f t="shared" ref="DP124:DP140" si="176">DO124*$DK$120</f>
        <v>456549.99999999994</v>
      </c>
      <c r="DQ124" s="472">
        <v>9.42</v>
      </c>
      <c r="DR124" s="465"/>
      <c r="DS124" s="473">
        <v>333400</v>
      </c>
      <c r="DT124" s="473">
        <f t="shared" ref="DT124:DT134" si="177">DS124*$DK$120</f>
        <v>383409.99999999994</v>
      </c>
      <c r="DU124" s="474">
        <v>9.6999999999999993</v>
      </c>
      <c r="DV124" s="473">
        <v>425000</v>
      </c>
      <c r="DW124" s="473">
        <f t="shared" ref="DW124:DW137" si="178">DV124*$DK$120</f>
        <v>488749.99999999994</v>
      </c>
      <c r="DX124" s="474">
        <v>11</v>
      </c>
      <c r="DY124" s="161"/>
      <c r="ED124" s="311">
        <v>40</v>
      </c>
      <c r="EE124" s="162">
        <v>372883</v>
      </c>
      <c r="EF124" s="162">
        <v>413900</v>
      </c>
      <c r="EG124" s="286">
        <f t="shared" si="174"/>
        <v>558765</v>
      </c>
    </row>
    <row r="125" spans="3:137" ht="28.8">
      <c r="C125" s="475"/>
      <c r="D125" s="475"/>
      <c r="E125" s="475"/>
      <c r="F125" s="475"/>
      <c r="G125" s="475"/>
      <c r="H125" s="475"/>
      <c r="I125" s="475"/>
      <c r="J125" s="475"/>
      <c r="K125" s="475"/>
      <c r="L125" s="475"/>
      <c r="M125" s="476"/>
      <c r="N125" s="476"/>
      <c r="O125" s="476"/>
      <c r="AA125" s="181"/>
      <c r="AB125" s="103" t="s">
        <v>124</v>
      </c>
      <c r="AC125" s="52" t="s">
        <v>52</v>
      </c>
      <c r="AD125" s="104" t="s">
        <v>108</v>
      </c>
      <c r="AE125" s="433">
        <f>ROUNDUP(((98100)*35%)+(98100),-3)</f>
        <v>133000</v>
      </c>
      <c r="AF125" s="106">
        <f t="shared" si="138"/>
        <v>54000</v>
      </c>
      <c r="AG125" s="117">
        <f t="shared" si="139"/>
        <v>14000</v>
      </c>
      <c r="AH125" s="106">
        <f t="shared" si="140"/>
        <v>27000</v>
      </c>
      <c r="AI125" s="108">
        <f t="shared" si="141"/>
        <v>228000</v>
      </c>
      <c r="AJ125" s="268">
        <f t="shared" si="142"/>
        <v>342000</v>
      </c>
      <c r="AN125" s="181"/>
      <c r="AO125" s="103"/>
      <c r="AP125" s="404" t="s">
        <v>125</v>
      </c>
      <c r="AQ125" s="104"/>
      <c r="AR125" s="425">
        <v>92700</v>
      </c>
      <c r="AS125" s="406">
        <f t="shared" si="144"/>
        <v>64900</v>
      </c>
      <c r="AT125" s="406">
        <f t="shared" si="145"/>
        <v>9300</v>
      </c>
      <c r="AU125" s="406">
        <f t="shared" si="146"/>
        <v>18600</v>
      </c>
      <c r="AV125" s="389">
        <f t="shared" si="147"/>
        <v>185500</v>
      </c>
      <c r="AW125" s="406">
        <f t="shared" si="148"/>
        <v>222600</v>
      </c>
      <c r="AX125" s="175">
        <f t="shared" si="149"/>
        <v>157700</v>
      </c>
      <c r="BR125" s="427"/>
      <c r="BS125" s="385" t="s">
        <v>548</v>
      </c>
      <c r="BT125" s="55">
        <f t="shared" si="167"/>
        <v>201150</v>
      </c>
      <c r="BU125" s="55">
        <f t="shared" si="167"/>
        <v>229500.00000000003</v>
      </c>
      <c r="BV125" s="55">
        <f t="shared" si="167"/>
        <v>367200</v>
      </c>
      <c r="BW125" s="55">
        <f t="shared" si="167"/>
        <v>556200</v>
      </c>
      <c r="BX125" s="55">
        <f t="shared" si="167"/>
        <v>749250</v>
      </c>
      <c r="BY125" s="55">
        <f t="shared" si="167"/>
        <v>1810350.0000000002</v>
      </c>
      <c r="BZ125" s="55">
        <f t="shared" si="167"/>
        <v>2262600</v>
      </c>
      <c r="CA125" s="55">
        <f t="shared" si="167"/>
        <v>3564000.0000000005</v>
      </c>
      <c r="CH125" s="181"/>
      <c r="CI125" s="468" t="s">
        <v>599</v>
      </c>
      <c r="CJ125" s="469" t="s">
        <v>600</v>
      </c>
      <c r="CK125" s="449">
        <v>3600390</v>
      </c>
      <c r="CL125" s="401">
        <f>ROUNDUP(CK125*$CN$9,-3)</f>
        <v>4321000</v>
      </c>
      <c r="CZ125" s="324" t="s">
        <v>410</v>
      </c>
      <c r="DA125" s="454" t="s">
        <v>411</v>
      </c>
      <c r="DB125" s="325">
        <v>20</v>
      </c>
      <c r="DC125" s="444">
        <v>42100</v>
      </c>
      <c r="DD125" s="445"/>
      <c r="DE125" s="444">
        <f t="shared" si="152"/>
        <v>57000</v>
      </c>
      <c r="DF125" s="445"/>
      <c r="DG125" s="444">
        <f t="shared" si="153"/>
        <v>26000</v>
      </c>
      <c r="DH125" s="445"/>
      <c r="DK125" s="470" t="s">
        <v>75</v>
      </c>
      <c r="DL125" s="471">
        <v>464200</v>
      </c>
      <c r="DM125" s="471">
        <f t="shared" si="175"/>
        <v>533830</v>
      </c>
      <c r="DN125" s="470">
        <v>13.8</v>
      </c>
      <c r="DO125" s="471">
        <v>597500</v>
      </c>
      <c r="DP125" s="471">
        <f t="shared" si="176"/>
        <v>687125</v>
      </c>
      <c r="DQ125" s="472">
        <v>14.3</v>
      </c>
      <c r="DR125" s="465"/>
      <c r="DS125" s="473">
        <v>482200</v>
      </c>
      <c r="DT125" s="473">
        <f t="shared" si="177"/>
        <v>554530</v>
      </c>
      <c r="DU125" s="474">
        <v>14.3</v>
      </c>
      <c r="DV125" s="473">
        <v>617500</v>
      </c>
      <c r="DW125" s="473">
        <f t="shared" si="178"/>
        <v>710125</v>
      </c>
      <c r="DX125" s="474">
        <v>15</v>
      </c>
      <c r="DY125" s="161"/>
      <c r="ED125" s="311">
        <v>50</v>
      </c>
      <c r="EE125" s="162">
        <v>451802</v>
      </c>
      <c r="EF125" s="162">
        <v>501500</v>
      </c>
      <c r="EG125" s="286">
        <f t="shared" si="174"/>
        <v>677025</v>
      </c>
    </row>
    <row r="126" spans="3:137" ht="29.4" thickBot="1">
      <c r="C126" s="475"/>
      <c r="D126" s="475"/>
      <c r="E126" s="475"/>
      <c r="F126" s="475"/>
      <c r="G126" s="475"/>
      <c r="H126" s="475"/>
      <c r="I126" s="475"/>
      <c r="J126" s="475"/>
      <c r="K126" s="475"/>
      <c r="L126" s="475"/>
      <c r="M126" s="476"/>
      <c r="N126" s="476"/>
      <c r="O126" s="476"/>
      <c r="AA126" s="183"/>
      <c r="AB126" s="141" t="s">
        <v>124</v>
      </c>
      <c r="AC126" s="142" t="s">
        <v>52</v>
      </c>
      <c r="AD126" s="143" t="s">
        <v>117</v>
      </c>
      <c r="AE126" s="144">
        <f>ROUNDUP(((102800)*35%)+(102800),-3)</f>
        <v>139000</v>
      </c>
      <c r="AF126" s="145">
        <f t="shared" si="138"/>
        <v>56000</v>
      </c>
      <c r="AG126" s="146">
        <f t="shared" si="139"/>
        <v>14000</v>
      </c>
      <c r="AH126" s="145">
        <f t="shared" si="140"/>
        <v>28000</v>
      </c>
      <c r="AI126" s="147">
        <f t="shared" si="141"/>
        <v>237000</v>
      </c>
      <c r="AJ126" s="150">
        <f t="shared" si="142"/>
        <v>356000</v>
      </c>
      <c r="AN126" s="183"/>
      <c r="AO126" s="141"/>
      <c r="AP126" s="415" t="s">
        <v>40</v>
      </c>
      <c r="AQ126" s="143"/>
      <c r="AR126" s="436">
        <v>133100</v>
      </c>
      <c r="AS126" s="417">
        <f t="shared" si="144"/>
        <v>93200</v>
      </c>
      <c r="AT126" s="417">
        <f t="shared" si="145"/>
        <v>13400</v>
      </c>
      <c r="AU126" s="417">
        <f t="shared" si="146"/>
        <v>26700</v>
      </c>
      <c r="AV126" s="418">
        <f t="shared" si="147"/>
        <v>266400</v>
      </c>
      <c r="AW126" s="417">
        <f t="shared" si="148"/>
        <v>319680</v>
      </c>
      <c r="AX126" s="148">
        <f t="shared" si="149"/>
        <v>226480</v>
      </c>
      <c r="BB126" s="23" t="s">
        <v>269</v>
      </c>
      <c r="BC126" s="23"/>
      <c r="BD126" s="300" t="s">
        <v>373</v>
      </c>
      <c r="BE126" s="300"/>
      <c r="BF126" s="300"/>
      <c r="BG126" s="300"/>
      <c r="BH126" s="300"/>
      <c r="BI126" s="23"/>
      <c r="BJ126" s="23"/>
      <c r="BK126" s="23"/>
      <c r="BL126" s="23"/>
      <c r="BM126" s="23"/>
      <c r="BN126" s="23"/>
      <c r="BO126" s="23"/>
      <c r="BP126" s="23"/>
      <c r="BQ126" s="23"/>
      <c r="CH126" s="181"/>
      <c r="CI126" s="468" t="s">
        <v>601</v>
      </c>
      <c r="CJ126" s="469" t="s">
        <v>602</v>
      </c>
      <c r="CK126" s="449">
        <v>1940079</v>
      </c>
      <c r="CL126" s="401">
        <f t="shared" ref="CL126:CL148" si="179">ROUNDUP(CK126*$CN$9,-3)</f>
        <v>2329000</v>
      </c>
      <c r="CZ126" s="324" t="s">
        <v>416</v>
      </c>
      <c r="DA126" s="454" t="s">
        <v>417</v>
      </c>
      <c r="DB126" s="325">
        <v>10</v>
      </c>
      <c r="DC126" s="444">
        <v>48100</v>
      </c>
      <c r="DD126" s="445"/>
      <c r="DE126" s="444">
        <f t="shared" si="152"/>
        <v>65000</v>
      </c>
      <c r="DF126" s="445"/>
      <c r="DG126" s="444">
        <f t="shared" si="153"/>
        <v>30000</v>
      </c>
      <c r="DH126" s="445"/>
      <c r="DK126" s="470" t="s">
        <v>240</v>
      </c>
      <c r="DL126" s="471">
        <v>612500</v>
      </c>
      <c r="DM126" s="471">
        <f t="shared" si="175"/>
        <v>704375</v>
      </c>
      <c r="DN126" s="470">
        <v>18.2</v>
      </c>
      <c r="DO126" s="471">
        <v>788500</v>
      </c>
      <c r="DP126" s="471">
        <f t="shared" si="176"/>
        <v>906774.99999999988</v>
      </c>
      <c r="DQ126" s="472">
        <v>19</v>
      </c>
      <c r="DR126" s="465"/>
      <c r="DS126" s="473">
        <v>658000</v>
      </c>
      <c r="DT126" s="473">
        <f t="shared" si="177"/>
        <v>756699.99999999988</v>
      </c>
      <c r="DU126" s="474">
        <v>20.399999999999999</v>
      </c>
      <c r="DV126" s="473">
        <v>843000</v>
      </c>
      <c r="DW126" s="473">
        <f t="shared" si="178"/>
        <v>969449.99999999988</v>
      </c>
      <c r="DX126" s="474">
        <v>21</v>
      </c>
      <c r="DY126" s="161"/>
      <c r="ED126" s="331">
        <v>63</v>
      </c>
      <c r="EE126" s="216">
        <v>784144</v>
      </c>
      <c r="EF126" s="216">
        <v>870400</v>
      </c>
      <c r="EG126" s="298">
        <f t="shared" si="174"/>
        <v>1175040</v>
      </c>
    </row>
    <row r="127" spans="3:137" ht="28.8">
      <c r="C127" s="16" t="s">
        <v>603</v>
      </c>
      <c r="D127" s="20" t="s">
        <v>604</v>
      </c>
      <c r="E127" s="17" t="s">
        <v>605</v>
      </c>
      <c r="F127" s="20" t="s">
        <v>606</v>
      </c>
      <c r="G127" s="20" t="s">
        <v>607</v>
      </c>
      <c r="H127" s="20" t="s">
        <v>608</v>
      </c>
      <c r="I127" s="227" t="s">
        <v>609</v>
      </c>
      <c r="J127" s="227" t="s">
        <v>610</v>
      </c>
      <c r="K127" s="227" t="s">
        <v>610</v>
      </c>
      <c r="L127" s="226" t="s">
        <v>611</v>
      </c>
      <c r="M127" s="5"/>
      <c r="N127" s="83"/>
      <c r="O127" s="62"/>
      <c r="AA127" s="396" t="s">
        <v>132</v>
      </c>
      <c r="AB127" s="189" t="s">
        <v>132</v>
      </c>
      <c r="AC127" s="190" t="s">
        <v>52</v>
      </c>
      <c r="AD127" s="191" t="s">
        <v>108</v>
      </c>
      <c r="AE127" s="439">
        <f>ROUNDUP(((176500)*35%)+(176500),-3)</f>
        <v>239000</v>
      </c>
      <c r="AF127" s="114">
        <f t="shared" si="138"/>
        <v>96000</v>
      </c>
      <c r="AG127" s="113">
        <f t="shared" si="139"/>
        <v>24000</v>
      </c>
      <c r="AH127" s="114">
        <f t="shared" si="140"/>
        <v>48000</v>
      </c>
      <c r="AI127" s="440">
        <f t="shared" si="141"/>
        <v>407000</v>
      </c>
      <c r="AJ127" s="112">
        <f t="shared" si="142"/>
        <v>611000</v>
      </c>
      <c r="AN127" s="396" t="s">
        <v>612</v>
      </c>
      <c r="AO127" s="189"/>
      <c r="AP127" s="397" t="s">
        <v>430</v>
      </c>
      <c r="AQ127" s="191"/>
      <c r="AR127" s="420" t="s">
        <v>476</v>
      </c>
      <c r="AS127" s="420" t="s">
        <v>476</v>
      </c>
      <c r="AT127" s="420" t="s">
        <v>476</v>
      </c>
      <c r="AU127" s="420" t="s">
        <v>476</v>
      </c>
      <c r="AV127" s="421" t="s">
        <v>476</v>
      </c>
      <c r="AW127" s="420" t="s">
        <v>476</v>
      </c>
      <c r="AX127" s="109"/>
      <c r="BB127" s="23"/>
      <c r="BC127" s="23">
        <f>300+8</f>
        <v>308</v>
      </c>
      <c r="BD127" s="23">
        <f>250+8</f>
        <v>258</v>
      </c>
      <c r="BE127" s="23">
        <f>200+8</f>
        <v>208</v>
      </c>
      <c r="BF127" s="23">
        <f>150+8</f>
        <v>158</v>
      </c>
      <c r="BG127" s="23">
        <f>125+8</f>
        <v>133</v>
      </c>
      <c r="BH127" s="23">
        <f>100+8</f>
        <v>108</v>
      </c>
      <c r="BI127" s="23">
        <f>80+8</f>
        <v>88</v>
      </c>
      <c r="BJ127" s="23">
        <f>65+8</f>
        <v>73</v>
      </c>
      <c r="BK127" s="23">
        <f>50+8</f>
        <v>58</v>
      </c>
      <c r="BL127" s="23">
        <f>40+8</f>
        <v>48</v>
      </c>
      <c r="BM127" s="23">
        <f>32+8</f>
        <v>40</v>
      </c>
      <c r="BN127" s="23">
        <f>25+8</f>
        <v>33</v>
      </c>
      <c r="BO127" s="23">
        <f>20+8</f>
        <v>28</v>
      </c>
      <c r="BP127" s="23">
        <f>15+8</f>
        <v>23</v>
      </c>
      <c r="BQ127" s="23"/>
      <c r="CH127" s="181"/>
      <c r="CI127" s="468" t="s">
        <v>613</v>
      </c>
      <c r="CJ127" s="469" t="s">
        <v>614</v>
      </c>
      <c r="CK127" s="449">
        <v>2223501</v>
      </c>
      <c r="CL127" s="401">
        <f t="shared" si="179"/>
        <v>2669000</v>
      </c>
      <c r="CZ127" s="324">
        <v>75</v>
      </c>
      <c r="DA127" s="325" t="s">
        <v>77</v>
      </c>
      <c r="DB127" s="325">
        <v>12</v>
      </c>
      <c r="DC127" s="444">
        <v>54800</v>
      </c>
      <c r="DD127" s="445"/>
      <c r="DE127" s="444">
        <f>ROUNDUP(DC127*$DF$52,-3)</f>
        <v>74000</v>
      </c>
      <c r="DF127" s="445"/>
      <c r="DG127" s="444">
        <f>ROUNDUP((DE127*45%),-3)</f>
        <v>34000</v>
      </c>
      <c r="DH127" s="445"/>
      <c r="DK127" s="470" t="s">
        <v>243</v>
      </c>
      <c r="DL127" s="471">
        <v>704000</v>
      </c>
      <c r="DM127" s="471">
        <f t="shared" si="175"/>
        <v>809599.99999999988</v>
      </c>
      <c r="DN127" s="470">
        <v>21</v>
      </c>
      <c r="DO127" s="471">
        <v>906000</v>
      </c>
      <c r="DP127" s="471">
        <f t="shared" si="176"/>
        <v>1041899.9999999999</v>
      </c>
      <c r="DQ127" s="472">
        <v>21.7</v>
      </c>
      <c r="DR127" s="465"/>
      <c r="DS127" s="473">
        <v>782500</v>
      </c>
      <c r="DT127" s="473">
        <f t="shared" si="177"/>
        <v>899874.99999999988</v>
      </c>
      <c r="DU127" s="474">
        <v>24.5</v>
      </c>
      <c r="DV127" s="473">
        <v>1002000</v>
      </c>
      <c r="DW127" s="473">
        <f t="shared" si="178"/>
        <v>1152300</v>
      </c>
      <c r="DX127" s="474">
        <v>24.3</v>
      </c>
      <c r="DY127" s="161"/>
    </row>
    <row r="128" spans="3:137" ht="29.4" thickBot="1">
      <c r="C128" s="36"/>
      <c r="D128" s="40"/>
      <c r="E128" s="37"/>
      <c r="F128" s="40"/>
      <c r="G128" s="40"/>
      <c r="H128" s="40"/>
      <c r="I128" s="233" t="s">
        <v>615</v>
      </c>
      <c r="J128" s="233" t="s">
        <v>616</v>
      </c>
      <c r="K128" s="233" t="s">
        <v>617</v>
      </c>
      <c r="L128" s="232" t="s">
        <v>617</v>
      </c>
      <c r="M128" s="5"/>
      <c r="O128" s="477"/>
      <c r="AA128" s="181"/>
      <c r="AB128" s="103" t="s">
        <v>132</v>
      </c>
      <c r="AC128" s="52" t="s">
        <v>52</v>
      </c>
      <c r="AD128" s="104" t="s">
        <v>117</v>
      </c>
      <c r="AE128" s="433">
        <f>ROUNDUP(((189500)*35%)+(189500),-3)</f>
        <v>256000</v>
      </c>
      <c r="AF128" s="106">
        <f t="shared" si="138"/>
        <v>103000</v>
      </c>
      <c r="AG128" s="117">
        <f t="shared" si="139"/>
        <v>26000</v>
      </c>
      <c r="AH128" s="106">
        <f t="shared" si="140"/>
        <v>52000</v>
      </c>
      <c r="AI128" s="108">
        <f t="shared" si="141"/>
        <v>437000</v>
      </c>
      <c r="AJ128" s="268">
        <f t="shared" si="142"/>
        <v>656000</v>
      </c>
      <c r="AN128" s="181"/>
      <c r="AO128" s="103"/>
      <c r="AP128" s="404" t="s">
        <v>437</v>
      </c>
      <c r="AQ128" s="104"/>
      <c r="AR128" s="423" t="s">
        <v>476</v>
      </c>
      <c r="AS128" s="423" t="s">
        <v>476</v>
      </c>
      <c r="AT128" s="423" t="s">
        <v>476</v>
      </c>
      <c r="AU128" s="423" t="s">
        <v>476</v>
      </c>
      <c r="AV128" s="424" t="s">
        <v>476</v>
      </c>
      <c r="AW128" s="423" t="s">
        <v>476</v>
      </c>
      <c r="AX128" s="175"/>
      <c r="BB128" s="23"/>
      <c r="BC128" s="244" t="s">
        <v>139</v>
      </c>
      <c r="BD128" s="244" t="s">
        <v>136</v>
      </c>
      <c r="BE128" s="244" t="s">
        <v>132</v>
      </c>
      <c r="BF128" s="244" t="s">
        <v>124</v>
      </c>
      <c r="BG128" s="244" t="s">
        <v>117</v>
      </c>
      <c r="BH128" s="244" t="s">
        <v>108</v>
      </c>
      <c r="BI128" s="244" t="s">
        <v>77</v>
      </c>
      <c r="BJ128" s="244" t="s">
        <v>57</v>
      </c>
      <c r="BK128" s="244" t="s">
        <v>40</v>
      </c>
      <c r="BL128" s="244" t="s">
        <v>125</v>
      </c>
      <c r="BM128" s="244" t="s">
        <v>59</v>
      </c>
      <c r="BN128" s="244" t="s">
        <v>75</v>
      </c>
      <c r="BO128" s="244" t="s">
        <v>51</v>
      </c>
      <c r="BP128" s="244" t="s">
        <v>53</v>
      </c>
      <c r="BQ128" s="23"/>
      <c r="CH128" s="181"/>
      <c r="CI128" s="468" t="s">
        <v>618</v>
      </c>
      <c r="CJ128" s="469" t="s">
        <v>619</v>
      </c>
      <c r="CK128" s="449">
        <v>4003887</v>
      </c>
      <c r="CL128" s="401">
        <f t="shared" si="179"/>
        <v>4805000</v>
      </c>
      <c r="CZ128" s="324" t="s">
        <v>424</v>
      </c>
      <c r="DA128" s="454" t="s">
        <v>425</v>
      </c>
      <c r="DB128" s="325">
        <v>8</v>
      </c>
      <c r="DC128" s="444">
        <v>83700</v>
      </c>
      <c r="DD128" s="445"/>
      <c r="DE128" s="444">
        <f t="shared" si="152"/>
        <v>113000</v>
      </c>
      <c r="DF128" s="445"/>
      <c r="DG128" s="444">
        <f t="shared" si="153"/>
        <v>51000</v>
      </c>
      <c r="DH128" s="445"/>
      <c r="DK128" s="470" t="s">
        <v>40</v>
      </c>
      <c r="DL128" s="471">
        <v>960000</v>
      </c>
      <c r="DM128" s="471">
        <f t="shared" si="175"/>
        <v>1104000</v>
      </c>
      <c r="DN128" s="470">
        <v>28.5</v>
      </c>
      <c r="DO128" s="471">
        <v>1236000</v>
      </c>
      <c r="DP128" s="471">
        <f t="shared" si="176"/>
        <v>1421400</v>
      </c>
      <c r="DQ128" s="472">
        <v>29.7</v>
      </c>
      <c r="DR128" s="465"/>
      <c r="DS128" s="473">
        <v>1045000</v>
      </c>
      <c r="DT128" s="473">
        <f t="shared" si="177"/>
        <v>1201750</v>
      </c>
      <c r="DU128" s="474">
        <v>31</v>
      </c>
      <c r="DV128" s="473">
        <v>1338000</v>
      </c>
      <c r="DW128" s="473">
        <f t="shared" si="178"/>
        <v>1538699.9999999998</v>
      </c>
      <c r="DX128" s="474">
        <v>32.64</v>
      </c>
      <c r="DY128" s="161"/>
    </row>
    <row r="129" spans="1:129" ht="21.6" thickBot="1">
      <c r="A129" s="23" t="s">
        <v>620</v>
      </c>
      <c r="B129" s="23">
        <v>0.52</v>
      </c>
      <c r="C129" s="478" t="s">
        <v>621</v>
      </c>
      <c r="D129" s="109">
        <v>5300</v>
      </c>
      <c r="E129" s="394"/>
      <c r="F129" s="394"/>
      <c r="G129" s="394"/>
      <c r="H129" s="109">
        <v>6200</v>
      </c>
      <c r="I129" s="394"/>
      <c r="J129" s="394"/>
      <c r="K129" s="394"/>
      <c r="L129" s="413"/>
      <c r="AA129" s="183"/>
      <c r="AB129" s="141" t="s">
        <v>132</v>
      </c>
      <c r="AC129" s="142" t="s">
        <v>52</v>
      </c>
      <c r="AD129" s="143" t="s">
        <v>124</v>
      </c>
      <c r="AE129" s="144">
        <f>ROUNDUP(((201300)*35%)+(201300),-3)</f>
        <v>272000</v>
      </c>
      <c r="AF129" s="145">
        <f t="shared" si="138"/>
        <v>109000</v>
      </c>
      <c r="AG129" s="146">
        <f t="shared" si="139"/>
        <v>28000</v>
      </c>
      <c r="AH129" s="145">
        <f t="shared" si="140"/>
        <v>55000</v>
      </c>
      <c r="AI129" s="147">
        <f t="shared" si="141"/>
        <v>464000</v>
      </c>
      <c r="AJ129" s="150">
        <f t="shared" si="142"/>
        <v>696000</v>
      </c>
      <c r="AN129" s="181"/>
      <c r="AO129" s="103"/>
      <c r="AP129" s="404" t="s">
        <v>53</v>
      </c>
      <c r="AQ129" s="104"/>
      <c r="AR129" s="425">
        <v>20950</v>
      </c>
      <c r="AS129" s="406">
        <f t="shared" ref="AS129:AS140" si="180">ROUNDUP(AR129*$AY$91,-2)</f>
        <v>14700</v>
      </c>
      <c r="AT129" s="406">
        <f t="shared" ref="AT129:AT140" si="181">ROUNDUP(AR129*$AY$92,-2)</f>
        <v>2100</v>
      </c>
      <c r="AU129" s="406">
        <f t="shared" ref="AU129:AU140" si="182">ROUNDUP(AR129*$AY$93,-2)</f>
        <v>4200</v>
      </c>
      <c r="AV129" s="389">
        <f t="shared" ref="AV129:AV140" si="183">SUM(AR129:AU129)</f>
        <v>41950</v>
      </c>
      <c r="AW129" s="406">
        <f t="shared" ref="AW129:AW140" si="184">AV129*$AY$95</f>
        <v>50340</v>
      </c>
      <c r="AX129" s="175">
        <f t="shared" ref="AX129:AX140" si="185">AW129-AS129</f>
        <v>35640</v>
      </c>
      <c r="BB129" s="249" t="s">
        <v>622</v>
      </c>
      <c r="BC129" s="105"/>
      <c r="BD129" s="105"/>
      <c r="BE129" s="105">
        <f>ROUNDUP(((6007000/6)*10%)+(6007000/6),-3)</f>
        <v>1102000</v>
      </c>
      <c r="BF129" s="105">
        <f>ROUNDUP(((3390000/6)*10%)+(3390000/6),-3)</f>
        <v>622000</v>
      </c>
      <c r="BG129" s="105">
        <f>ROUNDUP(((2846000/6)*10%)+(2846000/6),-3)</f>
        <v>522000</v>
      </c>
      <c r="BH129" s="105">
        <f>ROUNDUP(((2113000/6)*10%)+(2113000/6),-3)</f>
        <v>388000</v>
      </c>
      <c r="BI129" s="105">
        <f>ROUNDUP(((1460000/6)*10%)+(1460000/6),-3)</f>
        <v>268000</v>
      </c>
      <c r="BJ129" s="105">
        <f>ROUNDUP(((1127000/6)*10%)+(1127000/6),-3)</f>
        <v>207000</v>
      </c>
      <c r="BK129" s="105">
        <f>ROUNDUP(((883000/6)*10%)+(883000/6),-3)</f>
        <v>162000</v>
      </c>
      <c r="BL129" s="105">
        <f>ROUNDUP(((648000/6)*10%)+(648000/6),-3)</f>
        <v>119000</v>
      </c>
      <c r="BM129" s="105">
        <f>ROUNDUP(((564000/6)*10%)+(564000/6),-3)</f>
        <v>104000</v>
      </c>
      <c r="BN129" s="105">
        <f>ROUNDUP(((428000/6)*10%)+(428000/6),-3)</f>
        <v>79000</v>
      </c>
      <c r="BO129" s="105">
        <f>ROUNDUP(((286000/6)*10%)+(286000/6),-3)</f>
        <v>53000</v>
      </c>
      <c r="BP129" s="105">
        <f>ROUNDUP(((222000/6)*10%)+(222000/6),-3)</f>
        <v>41000</v>
      </c>
      <c r="BQ129" s="250"/>
      <c r="BT129" s="479" t="s">
        <v>623</v>
      </c>
      <c r="BU129" s="479"/>
      <c r="BV129" s="479"/>
      <c r="BW129" s="479"/>
      <c r="BX129" s="479"/>
      <c r="BY129" s="479"/>
      <c r="BZ129" s="479"/>
      <c r="CH129" s="181"/>
      <c r="CI129" s="468" t="s">
        <v>575</v>
      </c>
      <c r="CJ129" s="469" t="s">
        <v>624</v>
      </c>
      <c r="CK129" s="449">
        <v>1290816</v>
      </c>
      <c r="CL129" s="401">
        <f t="shared" si="179"/>
        <v>1549000</v>
      </c>
      <c r="CZ129" s="324" t="s">
        <v>433</v>
      </c>
      <c r="DA129" s="454" t="s">
        <v>434</v>
      </c>
      <c r="DB129" s="325">
        <v>6</v>
      </c>
      <c r="DC129" s="444">
        <v>84500</v>
      </c>
      <c r="DD129" s="445"/>
      <c r="DE129" s="444">
        <f t="shared" si="152"/>
        <v>115000</v>
      </c>
      <c r="DF129" s="445"/>
      <c r="DG129" s="444">
        <f t="shared" si="153"/>
        <v>52000</v>
      </c>
      <c r="DH129" s="445"/>
      <c r="DK129" s="470" t="s">
        <v>252</v>
      </c>
      <c r="DL129" s="471">
        <v>1225000</v>
      </c>
      <c r="DM129" s="471">
        <f t="shared" si="175"/>
        <v>1408750</v>
      </c>
      <c r="DN129" s="470">
        <v>36.299999999999997</v>
      </c>
      <c r="DO129" s="471">
        <v>1576000</v>
      </c>
      <c r="DP129" s="471">
        <f t="shared" si="176"/>
        <v>1812399.9999999998</v>
      </c>
      <c r="DQ129" s="472">
        <v>37.799999999999997</v>
      </c>
      <c r="DR129" s="465"/>
      <c r="DS129" s="473">
        <v>1665000</v>
      </c>
      <c r="DT129" s="473">
        <f t="shared" si="177"/>
        <v>1914749.9999999998</v>
      </c>
      <c r="DU129" s="474">
        <v>49.5</v>
      </c>
      <c r="DV129" s="473">
        <v>2132000</v>
      </c>
      <c r="DW129" s="473">
        <f t="shared" si="178"/>
        <v>2451800</v>
      </c>
      <c r="DX129" s="474">
        <v>51.72</v>
      </c>
      <c r="DY129" s="161"/>
    </row>
    <row r="130" spans="1:129" ht="15" thickBot="1">
      <c r="A130" s="480" t="s">
        <v>625</v>
      </c>
      <c r="B130" s="480"/>
      <c r="C130" s="181"/>
      <c r="D130" s="175"/>
      <c r="H130" s="175">
        <f>H129*F129</f>
        <v>0</v>
      </c>
      <c r="L130" s="481"/>
      <c r="AA130" s="414" t="s">
        <v>136</v>
      </c>
      <c r="AB130" s="141" t="s">
        <v>136</v>
      </c>
      <c r="AC130" s="142" t="s">
        <v>52</v>
      </c>
      <c r="AD130" s="143" t="s">
        <v>132</v>
      </c>
      <c r="AE130" s="144">
        <f>ROUNDUP(((352000)*35%)+(352000),-3)</f>
        <v>476000</v>
      </c>
      <c r="AF130" s="145">
        <f t="shared" si="138"/>
        <v>191000</v>
      </c>
      <c r="AG130" s="146">
        <f t="shared" si="139"/>
        <v>48000</v>
      </c>
      <c r="AH130" s="145">
        <f t="shared" si="140"/>
        <v>96000</v>
      </c>
      <c r="AI130" s="147">
        <f t="shared" si="141"/>
        <v>811000</v>
      </c>
      <c r="AJ130" s="150">
        <f t="shared" si="142"/>
        <v>1217000</v>
      </c>
      <c r="AN130" s="181"/>
      <c r="AO130" s="103"/>
      <c r="AP130" s="404" t="s">
        <v>51</v>
      </c>
      <c r="AQ130" s="104"/>
      <c r="AR130" s="425">
        <v>28300</v>
      </c>
      <c r="AS130" s="406">
        <f t="shared" si="180"/>
        <v>19900</v>
      </c>
      <c r="AT130" s="406">
        <f t="shared" si="181"/>
        <v>2900</v>
      </c>
      <c r="AU130" s="406">
        <f t="shared" si="182"/>
        <v>5700</v>
      </c>
      <c r="AV130" s="389">
        <f t="shared" si="183"/>
        <v>56800</v>
      </c>
      <c r="AW130" s="406">
        <f t="shared" si="184"/>
        <v>68160</v>
      </c>
      <c r="AX130" s="175">
        <f t="shared" si="185"/>
        <v>48260</v>
      </c>
      <c r="BB130" s="23" t="s">
        <v>12</v>
      </c>
      <c r="BC130" s="107"/>
      <c r="BD130" s="107"/>
      <c r="BE130" s="107">
        <f t="shared" ref="BE130:BP130" si="186">ROUNDUP(($BI$11/(1100/BE127)),-3)</f>
        <v>99000</v>
      </c>
      <c r="BF130" s="107">
        <f t="shared" si="186"/>
        <v>75000</v>
      </c>
      <c r="BG130" s="107">
        <f t="shared" si="186"/>
        <v>64000</v>
      </c>
      <c r="BH130" s="107">
        <f t="shared" si="186"/>
        <v>52000</v>
      </c>
      <c r="BI130" s="107">
        <f t="shared" si="186"/>
        <v>42000</v>
      </c>
      <c r="BJ130" s="107">
        <f t="shared" si="186"/>
        <v>35000</v>
      </c>
      <c r="BK130" s="107">
        <f t="shared" si="186"/>
        <v>28000</v>
      </c>
      <c r="BL130" s="107">
        <f t="shared" si="186"/>
        <v>23000</v>
      </c>
      <c r="BM130" s="107">
        <f t="shared" si="186"/>
        <v>19000</v>
      </c>
      <c r="BN130" s="107">
        <f t="shared" si="186"/>
        <v>16000</v>
      </c>
      <c r="BO130" s="107">
        <f t="shared" si="186"/>
        <v>14000</v>
      </c>
      <c r="BP130" s="107">
        <f t="shared" si="186"/>
        <v>11000</v>
      </c>
      <c r="BQ130" s="23"/>
      <c r="CH130" s="181"/>
      <c r="CI130" s="468" t="s">
        <v>577</v>
      </c>
      <c r="CJ130" s="469" t="s">
        <v>626</v>
      </c>
      <c r="CK130" s="449">
        <v>2435544</v>
      </c>
      <c r="CL130" s="401">
        <f t="shared" si="179"/>
        <v>2923000</v>
      </c>
      <c r="CZ130" s="324" t="s">
        <v>440</v>
      </c>
      <c r="DA130" s="454" t="s">
        <v>441</v>
      </c>
      <c r="DB130" s="325">
        <v>7</v>
      </c>
      <c r="DC130" s="444">
        <v>100300</v>
      </c>
      <c r="DD130" s="445"/>
      <c r="DE130" s="444">
        <f t="shared" si="152"/>
        <v>136000</v>
      </c>
      <c r="DF130" s="445"/>
      <c r="DG130" s="444">
        <f t="shared" si="153"/>
        <v>62000</v>
      </c>
      <c r="DH130" s="445"/>
      <c r="DK130" s="470" t="s">
        <v>77</v>
      </c>
      <c r="DL130" s="471">
        <v>1582000</v>
      </c>
      <c r="DM130" s="471">
        <f t="shared" si="175"/>
        <v>1819299.9999999998</v>
      </c>
      <c r="DN130" s="470">
        <v>47</v>
      </c>
      <c r="DO130" s="471">
        <v>2036000</v>
      </c>
      <c r="DP130" s="471">
        <f t="shared" si="176"/>
        <v>2341400</v>
      </c>
      <c r="DQ130" s="472">
        <v>49</v>
      </c>
      <c r="DR130" s="465"/>
      <c r="DS130" s="473">
        <v>2172000</v>
      </c>
      <c r="DT130" s="473">
        <f t="shared" si="177"/>
        <v>2497800</v>
      </c>
      <c r="DU130" s="474">
        <v>64.5</v>
      </c>
      <c r="DV130" s="473">
        <v>2780000</v>
      </c>
      <c r="DW130" s="473">
        <f t="shared" si="178"/>
        <v>3196999.9999999995</v>
      </c>
      <c r="DX130" s="474">
        <v>67.739999999999995</v>
      </c>
      <c r="DY130" s="161"/>
    </row>
    <row r="131" spans="1:129">
      <c r="A131" s="23" t="s">
        <v>13</v>
      </c>
      <c r="B131" s="23">
        <v>0.4</v>
      </c>
      <c r="C131" s="181"/>
      <c r="D131" s="482">
        <f>SUM(D129:D130)</f>
        <v>5300</v>
      </c>
      <c r="H131" s="482">
        <f>SUM(H129:H130)</f>
        <v>6200</v>
      </c>
      <c r="L131" s="481"/>
      <c r="AA131" s="43"/>
      <c r="AB131" s="62"/>
      <c r="AC131" s="52"/>
      <c r="AD131" s="52"/>
      <c r="AE131" s="433"/>
      <c r="AF131" s="117"/>
      <c r="AG131" s="117"/>
      <c r="AH131" s="117"/>
      <c r="AI131" s="389"/>
      <c r="AJ131" s="117"/>
      <c r="AN131" s="181"/>
      <c r="AO131" s="103"/>
      <c r="AP131" s="404" t="s">
        <v>75</v>
      </c>
      <c r="AQ131" s="104"/>
      <c r="AR131" s="425">
        <v>41900</v>
      </c>
      <c r="AS131" s="406">
        <f t="shared" si="180"/>
        <v>29400</v>
      </c>
      <c r="AT131" s="406">
        <f t="shared" si="181"/>
        <v>4200</v>
      </c>
      <c r="AU131" s="406">
        <f t="shared" si="182"/>
        <v>8400</v>
      </c>
      <c r="AV131" s="389">
        <f t="shared" si="183"/>
        <v>83900</v>
      </c>
      <c r="AW131" s="406">
        <f t="shared" si="184"/>
        <v>100680</v>
      </c>
      <c r="AX131" s="175">
        <f t="shared" si="185"/>
        <v>71280</v>
      </c>
      <c r="BB131" s="23" t="s">
        <v>13</v>
      </c>
      <c r="BC131" s="107">
        <f t="shared" ref="BC131:BP131" si="187">ROUNDUP(BC129*$R$73,-3)</f>
        <v>0</v>
      </c>
      <c r="BD131" s="107">
        <f t="shared" si="187"/>
        <v>0</v>
      </c>
      <c r="BE131" s="107">
        <f t="shared" si="187"/>
        <v>441000</v>
      </c>
      <c r="BF131" s="107">
        <f t="shared" si="187"/>
        <v>249000</v>
      </c>
      <c r="BG131" s="107">
        <f t="shared" si="187"/>
        <v>209000</v>
      </c>
      <c r="BH131" s="107">
        <f t="shared" si="187"/>
        <v>156000</v>
      </c>
      <c r="BI131" s="107">
        <f t="shared" si="187"/>
        <v>108000</v>
      </c>
      <c r="BJ131" s="107">
        <f t="shared" si="187"/>
        <v>83000</v>
      </c>
      <c r="BK131" s="107">
        <f t="shared" si="187"/>
        <v>65000</v>
      </c>
      <c r="BL131" s="107">
        <f t="shared" si="187"/>
        <v>48000</v>
      </c>
      <c r="BM131" s="107">
        <f t="shared" si="187"/>
        <v>42000</v>
      </c>
      <c r="BN131" s="107">
        <f t="shared" si="187"/>
        <v>32000</v>
      </c>
      <c r="BO131" s="107">
        <f t="shared" si="187"/>
        <v>22000</v>
      </c>
      <c r="BP131" s="107">
        <f t="shared" si="187"/>
        <v>17000</v>
      </c>
      <c r="BQ131" s="23">
        <v>0.4</v>
      </c>
      <c r="BS131" s="483" t="s">
        <v>10</v>
      </c>
      <c r="BT131" s="483" t="s">
        <v>53</v>
      </c>
      <c r="BU131" s="483" t="s">
        <v>51</v>
      </c>
      <c r="BV131" s="483" t="s">
        <v>75</v>
      </c>
      <c r="BW131" s="483" t="s">
        <v>240</v>
      </c>
      <c r="BX131" s="483" t="s">
        <v>243</v>
      </c>
      <c r="BY131" s="483" t="s">
        <v>40</v>
      </c>
      <c r="BZ131" s="1">
        <v>1.35</v>
      </c>
      <c r="CH131" s="181"/>
      <c r="CI131" s="468" t="s">
        <v>579</v>
      </c>
      <c r="CJ131" s="469" t="s">
        <v>627</v>
      </c>
      <c r="CK131" s="449">
        <v>600000</v>
      </c>
      <c r="CL131" s="401">
        <f t="shared" si="179"/>
        <v>720000</v>
      </c>
      <c r="CZ131" s="324" t="s">
        <v>445</v>
      </c>
      <c r="DA131" s="454" t="s">
        <v>446</v>
      </c>
      <c r="DB131" s="325">
        <v>6</v>
      </c>
      <c r="DC131" s="444">
        <v>102600</v>
      </c>
      <c r="DD131" s="445"/>
      <c r="DE131" s="444">
        <f t="shared" si="152"/>
        <v>139000</v>
      </c>
      <c r="DF131" s="445"/>
      <c r="DG131" s="444">
        <f>ROUNDUP((DE131*45%),-3)</f>
        <v>63000</v>
      </c>
      <c r="DH131" s="445"/>
      <c r="DK131" s="470" t="s">
        <v>108</v>
      </c>
      <c r="DL131" s="471">
        <v>2290000</v>
      </c>
      <c r="DM131" s="471">
        <f t="shared" si="175"/>
        <v>2633500</v>
      </c>
      <c r="DN131" s="470">
        <v>68</v>
      </c>
      <c r="DO131" s="471">
        <v>2947000</v>
      </c>
      <c r="DP131" s="471">
        <f t="shared" si="176"/>
        <v>3389049.9999999995</v>
      </c>
      <c r="DQ131" s="472">
        <v>71</v>
      </c>
      <c r="DR131" s="465"/>
      <c r="DS131" s="473">
        <v>3088000</v>
      </c>
      <c r="DT131" s="473">
        <f t="shared" si="177"/>
        <v>3551199.9999999995</v>
      </c>
      <c r="DU131" s="474">
        <v>91.6</v>
      </c>
      <c r="DV131" s="473">
        <v>3954000</v>
      </c>
      <c r="DW131" s="473">
        <f t="shared" si="178"/>
        <v>4547100</v>
      </c>
      <c r="DX131" s="474">
        <v>96.42</v>
      </c>
      <c r="DY131" s="161"/>
    </row>
    <row r="132" spans="1:129" ht="15" thickBot="1">
      <c r="A132" s="23" t="s">
        <v>208</v>
      </c>
      <c r="B132" s="23">
        <v>0.2</v>
      </c>
      <c r="C132" s="181"/>
      <c r="D132" s="175">
        <f>D131*$B$131</f>
        <v>2120</v>
      </c>
      <c r="H132" s="175">
        <f>H131*$B$131</f>
        <v>2480</v>
      </c>
      <c r="L132" s="481"/>
      <c r="AB132" s="62"/>
      <c r="AC132" s="52"/>
      <c r="AD132" s="52"/>
      <c r="AE132" s="433"/>
      <c r="AF132" s="117"/>
      <c r="AG132" s="117"/>
      <c r="AH132" s="117"/>
      <c r="AI132" s="389"/>
      <c r="AJ132" s="117"/>
      <c r="AN132" s="181"/>
      <c r="AO132" s="103"/>
      <c r="AP132" s="404" t="s">
        <v>59</v>
      </c>
      <c r="AQ132" s="104"/>
      <c r="AR132" s="425">
        <v>67750</v>
      </c>
      <c r="AS132" s="406">
        <f t="shared" si="180"/>
        <v>47500</v>
      </c>
      <c r="AT132" s="406">
        <f t="shared" si="181"/>
        <v>6800</v>
      </c>
      <c r="AU132" s="406">
        <f t="shared" si="182"/>
        <v>13600</v>
      </c>
      <c r="AV132" s="389">
        <f t="shared" si="183"/>
        <v>135650</v>
      </c>
      <c r="AW132" s="406">
        <f t="shared" si="184"/>
        <v>162780</v>
      </c>
      <c r="AX132" s="175">
        <f t="shared" si="185"/>
        <v>115280</v>
      </c>
      <c r="BB132" s="23" t="s">
        <v>208</v>
      </c>
      <c r="BC132" s="107">
        <f t="shared" ref="BC132:BP132" si="188">ROUNDUP(BC129*$R$74,-3)</f>
        <v>0</v>
      </c>
      <c r="BD132" s="107">
        <f t="shared" si="188"/>
        <v>0</v>
      </c>
      <c r="BE132" s="107">
        <f t="shared" si="188"/>
        <v>221000</v>
      </c>
      <c r="BF132" s="107">
        <f t="shared" si="188"/>
        <v>125000</v>
      </c>
      <c r="BG132" s="107">
        <f t="shared" si="188"/>
        <v>105000</v>
      </c>
      <c r="BH132" s="107">
        <f t="shared" si="188"/>
        <v>78000</v>
      </c>
      <c r="BI132" s="107">
        <f t="shared" si="188"/>
        <v>54000</v>
      </c>
      <c r="BJ132" s="107">
        <f t="shared" si="188"/>
        <v>42000</v>
      </c>
      <c r="BK132" s="107">
        <f t="shared" si="188"/>
        <v>33000</v>
      </c>
      <c r="BL132" s="107">
        <f t="shared" si="188"/>
        <v>24000</v>
      </c>
      <c r="BM132" s="107">
        <f t="shared" si="188"/>
        <v>21000</v>
      </c>
      <c r="BN132" s="107">
        <f t="shared" si="188"/>
        <v>16000</v>
      </c>
      <c r="BO132" s="107">
        <f t="shared" si="188"/>
        <v>11000</v>
      </c>
      <c r="BP132" s="107">
        <f t="shared" si="188"/>
        <v>9000</v>
      </c>
      <c r="BQ132" s="23">
        <v>0.2</v>
      </c>
      <c r="BS132" s="484" t="s">
        <v>628</v>
      </c>
      <c r="BT132" s="485">
        <v>17500</v>
      </c>
      <c r="BU132" s="485">
        <v>25300</v>
      </c>
      <c r="BV132" s="485">
        <v>43700</v>
      </c>
      <c r="BW132" s="485">
        <v>58300</v>
      </c>
      <c r="BX132" s="485">
        <v>77600</v>
      </c>
      <c r="BY132" s="485">
        <v>116500</v>
      </c>
      <c r="CH132" s="181"/>
      <c r="CI132" s="468" t="s">
        <v>629</v>
      </c>
      <c r="CJ132" s="469" t="s">
        <v>630</v>
      </c>
      <c r="CK132" s="449">
        <v>9258579</v>
      </c>
      <c r="CL132" s="401">
        <f t="shared" si="179"/>
        <v>11111000</v>
      </c>
      <c r="CZ132" s="324">
        <v>100</v>
      </c>
      <c r="DA132" s="325" t="s">
        <v>108</v>
      </c>
      <c r="DB132" s="325">
        <v>5</v>
      </c>
      <c r="DC132" s="444">
        <v>109400</v>
      </c>
      <c r="DD132" s="445"/>
      <c r="DE132" s="444">
        <f>ROUNDUP(DC132*$DF$52,-3)</f>
        <v>148000</v>
      </c>
      <c r="DF132" s="445"/>
      <c r="DG132" s="444">
        <f>ROUNDUP((DE132*45%),-3)</f>
        <v>67000</v>
      </c>
      <c r="DH132" s="445"/>
      <c r="DK132" s="470" t="s">
        <v>117</v>
      </c>
      <c r="DL132" s="471">
        <v>3083000</v>
      </c>
      <c r="DM132" s="471">
        <f t="shared" si="175"/>
        <v>3545449.9999999995</v>
      </c>
      <c r="DN132" s="470">
        <v>91.5</v>
      </c>
      <c r="DO132" s="471">
        <v>3965000</v>
      </c>
      <c r="DP132" s="471">
        <f t="shared" si="176"/>
        <v>4559750</v>
      </c>
      <c r="DQ132" s="472">
        <v>95.1</v>
      </c>
      <c r="DR132" s="465"/>
      <c r="DS132" s="473">
        <v>4178000</v>
      </c>
      <c r="DT132" s="473">
        <f t="shared" si="177"/>
        <v>4804700</v>
      </c>
      <c r="DU132" s="474">
        <v>124</v>
      </c>
      <c r="DV132" s="473">
        <v>5350000</v>
      </c>
      <c r="DW132" s="473">
        <f t="shared" si="178"/>
        <v>6152499.9999999991</v>
      </c>
      <c r="DX132" s="474">
        <v>130.68</v>
      </c>
      <c r="DY132" s="161"/>
    </row>
    <row r="133" spans="1:129">
      <c r="A133" s="259" t="s">
        <v>15</v>
      </c>
      <c r="B133" s="259"/>
      <c r="C133" s="181"/>
      <c r="D133" s="175">
        <f>D131*$B$132</f>
        <v>1060</v>
      </c>
      <c r="H133" s="175">
        <f>H131*$B$132</f>
        <v>1240</v>
      </c>
      <c r="L133" s="481"/>
      <c r="AA133" s="15" t="s">
        <v>631</v>
      </c>
      <c r="AB133" s="16" t="s">
        <v>10</v>
      </c>
      <c r="AC133" s="17"/>
      <c r="AD133" s="18"/>
      <c r="AE133" s="19" t="s">
        <v>11</v>
      </c>
      <c r="AF133" s="20" t="s">
        <v>12</v>
      </c>
      <c r="AG133" s="15" t="s">
        <v>13</v>
      </c>
      <c r="AH133" s="19" t="s">
        <v>14</v>
      </c>
      <c r="AI133" s="21" t="s">
        <v>15</v>
      </c>
      <c r="AJ133" s="22" t="s">
        <v>16</v>
      </c>
      <c r="AN133" s="181"/>
      <c r="AO133" s="103"/>
      <c r="AP133" s="404" t="s">
        <v>125</v>
      </c>
      <c r="AQ133" s="104"/>
      <c r="AR133" s="425">
        <v>92150</v>
      </c>
      <c r="AS133" s="406">
        <f t="shared" si="180"/>
        <v>64600</v>
      </c>
      <c r="AT133" s="406">
        <f t="shared" si="181"/>
        <v>9300</v>
      </c>
      <c r="AU133" s="406">
        <f t="shared" si="182"/>
        <v>18500</v>
      </c>
      <c r="AV133" s="389">
        <f t="shared" si="183"/>
        <v>184550</v>
      </c>
      <c r="AW133" s="406">
        <f t="shared" si="184"/>
        <v>221460</v>
      </c>
      <c r="AX133" s="175">
        <f t="shared" si="185"/>
        <v>156860</v>
      </c>
      <c r="BB133" s="259" t="s">
        <v>15</v>
      </c>
      <c r="BC133" s="259">
        <f t="shared" ref="BC133:BP133" si="189">SUM(BC129:BC132)</f>
        <v>0</v>
      </c>
      <c r="BD133" s="259">
        <f t="shared" si="189"/>
        <v>0</v>
      </c>
      <c r="BE133" s="259">
        <f t="shared" si="189"/>
        <v>1863000</v>
      </c>
      <c r="BF133" s="259">
        <f t="shared" si="189"/>
        <v>1071000</v>
      </c>
      <c r="BG133" s="259">
        <f t="shared" si="189"/>
        <v>900000</v>
      </c>
      <c r="BH133" s="259">
        <f t="shared" si="189"/>
        <v>674000</v>
      </c>
      <c r="BI133" s="259">
        <f t="shared" si="189"/>
        <v>472000</v>
      </c>
      <c r="BJ133" s="259">
        <f t="shared" si="189"/>
        <v>367000</v>
      </c>
      <c r="BK133" s="259">
        <f t="shared" si="189"/>
        <v>288000</v>
      </c>
      <c r="BL133" s="259">
        <f t="shared" si="189"/>
        <v>214000</v>
      </c>
      <c r="BM133" s="259">
        <f t="shared" si="189"/>
        <v>186000</v>
      </c>
      <c r="BN133" s="259">
        <f t="shared" si="189"/>
        <v>143000</v>
      </c>
      <c r="BO133" s="259">
        <f t="shared" si="189"/>
        <v>100000</v>
      </c>
      <c r="BP133" s="259">
        <f t="shared" si="189"/>
        <v>78000</v>
      </c>
      <c r="BQ133" s="110"/>
      <c r="BS133" s="484" t="s">
        <v>632</v>
      </c>
      <c r="BT133" s="485">
        <v>13650</v>
      </c>
      <c r="BU133" s="485">
        <v>18500</v>
      </c>
      <c r="BV133" s="485">
        <v>31100</v>
      </c>
      <c r="BW133" s="485">
        <v>43700</v>
      </c>
      <c r="BX133" s="485">
        <v>53300</v>
      </c>
      <c r="BY133" s="485">
        <v>82500</v>
      </c>
      <c r="CH133" s="181"/>
      <c r="CI133" s="468" t="s">
        <v>633</v>
      </c>
      <c r="CJ133" s="469" t="s">
        <v>634</v>
      </c>
      <c r="CK133" s="449">
        <v>1591734</v>
      </c>
      <c r="CL133" s="401">
        <f t="shared" si="179"/>
        <v>1911000</v>
      </c>
      <c r="CZ133" s="324" t="s">
        <v>452</v>
      </c>
      <c r="DA133" s="454" t="s">
        <v>453</v>
      </c>
      <c r="DB133" s="325">
        <v>4</v>
      </c>
      <c r="DC133" s="444">
        <v>145200</v>
      </c>
      <c r="DD133" s="445"/>
      <c r="DE133" s="444">
        <f t="shared" si="152"/>
        <v>197000</v>
      </c>
      <c r="DF133" s="445"/>
      <c r="DG133" s="444">
        <f t="shared" ref="DG133:DG146" si="190">ROUNDUP((DE133*45%),-3)</f>
        <v>89000</v>
      </c>
      <c r="DH133" s="445"/>
      <c r="DK133" s="470" t="s">
        <v>124</v>
      </c>
      <c r="DL133" s="471">
        <v>3670000</v>
      </c>
      <c r="DM133" s="471">
        <f t="shared" si="175"/>
        <v>4220500</v>
      </c>
      <c r="DN133" s="470">
        <v>109</v>
      </c>
      <c r="DO133" s="471">
        <v>4722000</v>
      </c>
      <c r="DP133" s="471">
        <f t="shared" si="176"/>
        <v>5430300</v>
      </c>
      <c r="DQ133" s="472">
        <v>113.2</v>
      </c>
      <c r="DR133" s="465"/>
      <c r="DS133" s="473">
        <v>5402000</v>
      </c>
      <c r="DT133" s="473">
        <f t="shared" si="177"/>
        <v>6212299.9999999991</v>
      </c>
      <c r="DU133" s="474">
        <v>160.5</v>
      </c>
      <c r="DV133" s="473">
        <v>6915000</v>
      </c>
      <c r="DW133" s="473">
        <f t="shared" si="178"/>
        <v>7952249.9999999991</v>
      </c>
      <c r="DX133" s="474">
        <v>169.56</v>
      </c>
      <c r="DY133" s="161"/>
    </row>
    <row r="134" spans="1:129" ht="15" thickBot="1">
      <c r="A134" s="23" t="s">
        <v>215</v>
      </c>
      <c r="B134" s="23">
        <v>1.2</v>
      </c>
      <c r="C134" s="181"/>
      <c r="D134" s="486">
        <f t="shared" ref="D134:D140" si="191">SUM(D131:D133)</f>
        <v>8480</v>
      </c>
      <c r="H134" s="486">
        <f t="shared" ref="H134:H140" si="192">SUM(H131:H133)</f>
        <v>9920</v>
      </c>
      <c r="L134" s="481"/>
      <c r="AA134" s="434"/>
      <c r="AB134" s="7"/>
      <c r="AC134" s="8"/>
      <c r="AD134" s="14"/>
      <c r="AE134" s="43" t="s">
        <v>22</v>
      </c>
      <c r="AF134" s="44"/>
      <c r="AG134" s="434"/>
      <c r="AH134" s="43" t="s">
        <v>29</v>
      </c>
      <c r="AI134" s="435"/>
      <c r="AJ134" s="46" t="s">
        <v>30</v>
      </c>
      <c r="AN134" s="183"/>
      <c r="AO134" s="141"/>
      <c r="AP134" s="415" t="s">
        <v>40</v>
      </c>
      <c r="AQ134" s="143"/>
      <c r="AR134" s="436">
        <v>141300</v>
      </c>
      <c r="AS134" s="417">
        <f t="shared" si="180"/>
        <v>99000</v>
      </c>
      <c r="AT134" s="417">
        <f t="shared" si="181"/>
        <v>14200</v>
      </c>
      <c r="AU134" s="417">
        <f t="shared" si="182"/>
        <v>28300</v>
      </c>
      <c r="AV134" s="418">
        <f t="shared" si="183"/>
        <v>282800</v>
      </c>
      <c r="AW134" s="417">
        <f t="shared" si="184"/>
        <v>339360</v>
      </c>
      <c r="AX134" s="148">
        <f t="shared" si="185"/>
        <v>240360</v>
      </c>
      <c r="BB134" s="23" t="s">
        <v>215</v>
      </c>
      <c r="BC134" s="107">
        <f t="shared" ref="BC134:BP140" si="193">ROUNDUP(BC133*$R$76,-3)</f>
        <v>0</v>
      </c>
      <c r="BD134" s="107">
        <f t="shared" si="193"/>
        <v>0</v>
      </c>
      <c r="BE134" s="107">
        <f t="shared" si="193"/>
        <v>1957000</v>
      </c>
      <c r="BF134" s="107">
        <f t="shared" si="193"/>
        <v>1125000</v>
      </c>
      <c r="BG134" s="107">
        <f t="shared" si="193"/>
        <v>945000</v>
      </c>
      <c r="BH134" s="107">
        <f t="shared" si="193"/>
        <v>708000</v>
      </c>
      <c r="BI134" s="107">
        <f t="shared" si="193"/>
        <v>496000</v>
      </c>
      <c r="BJ134" s="107">
        <f t="shared" si="193"/>
        <v>386000</v>
      </c>
      <c r="BK134" s="107">
        <f t="shared" si="193"/>
        <v>303000</v>
      </c>
      <c r="BL134" s="107">
        <f t="shared" si="193"/>
        <v>225000</v>
      </c>
      <c r="BM134" s="107">
        <f t="shared" si="193"/>
        <v>196000</v>
      </c>
      <c r="BN134" s="107">
        <f t="shared" si="193"/>
        <v>151000</v>
      </c>
      <c r="BO134" s="107">
        <f t="shared" si="193"/>
        <v>105000</v>
      </c>
      <c r="BP134" s="107">
        <f t="shared" si="193"/>
        <v>82000</v>
      </c>
      <c r="BQ134" s="23">
        <v>1.2</v>
      </c>
      <c r="BS134" s="484" t="s">
        <v>539</v>
      </c>
      <c r="BT134" s="485">
        <v>22400</v>
      </c>
      <c r="BU134" s="485">
        <v>32000</v>
      </c>
      <c r="BV134" s="485">
        <v>57200</v>
      </c>
      <c r="BW134" s="485">
        <v>75700</v>
      </c>
      <c r="BX134" s="485">
        <v>97000</v>
      </c>
      <c r="BY134" s="485">
        <v>167800</v>
      </c>
      <c r="CH134" s="181"/>
      <c r="CI134" s="468" t="s">
        <v>635</v>
      </c>
      <c r="CJ134" s="469" t="s">
        <v>634</v>
      </c>
      <c r="CK134" s="449">
        <v>1644405</v>
      </c>
      <c r="CL134" s="401">
        <f t="shared" si="179"/>
        <v>1974000</v>
      </c>
      <c r="CZ134" s="324" t="s">
        <v>458</v>
      </c>
      <c r="DA134" s="454" t="s">
        <v>459</v>
      </c>
      <c r="DB134" s="325">
        <v>6</v>
      </c>
      <c r="DC134" s="444">
        <v>149100</v>
      </c>
      <c r="DD134" s="445"/>
      <c r="DE134" s="444">
        <f t="shared" si="152"/>
        <v>202000</v>
      </c>
      <c r="DF134" s="445"/>
      <c r="DG134" s="444">
        <f t="shared" si="190"/>
        <v>91000</v>
      </c>
      <c r="DH134" s="445"/>
      <c r="DK134" s="487" t="s">
        <v>132</v>
      </c>
      <c r="DL134" s="488">
        <v>6500000</v>
      </c>
      <c r="DM134" s="488">
        <f t="shared" si="175"/>
        <v>7474999.9999999991</v>
      </c>
      <c r="DN134" s="487">
        <v>156.30000000000001</v>
      </c>
      <c r="DO134" s="488">
        <v>8355000</v>
      </c>
      <c r="DP134" s="488">
        <f t="shared" si="176"/>
        <v>9608250</v>
      </c>
      <c r="DQ134" s="489">
        <v>162.6</v>
      </c>
      <c r="DR134" s="490"/>
      <c r="DS134" s="491">
        <v>8245000</v>
      </c>
      <c r="DT134" s="491">
        <f t="shared" si="177"/>
        <v>9481750</v>
      </c>
      <c r="DU134" s="492">
        <v>255</v>
      </c>
      <c r="DV134" s="491">
        <v>10597000</v>
      </c>
      <c r="DW134" s="491">
        <f t="shared" si="178"/>
        <v>12186549.999999998</v>
      </c>
      <c r="DX134" s="492">
        <v>263</v>
      </c>
      <c r="DY134" s="161"/>
    </row>
    <row r="135" spans="1:129" ht="15" thickBot="1">
      <c r="A135" s="23" t="s">
        <v>215</v>
      </c>
      <c r="B135" s="23">
        <v>1.2</v>
      </c>
      <c r="C135" s="181"/>
      <c r="D135" s="486">
        <f t="shared" si="191"/>
        <v>11660</v>
      </c>
      <c r="H135" s="486">
        <f t="shared" si="192"/>
        <v>13640</v>
      </c>
      <c r="L135" s="481"/>
      <c r="AA135" s="396" t="s">
        <v>53</v>
      </c>
      <c r="AB135" s="189" t="s">
        <v>53</v>
      </c>
      <c r="AC135" s="190" t="s">
        <v>52</v>
      </c>
      <c r="AD135" s="191" t="s">
        <v>53</v>
      </c>
      <c r="AE135" s="43" t="s">
        <v>22</v>
      </c>
      <c r="AF135" s="114" t="e">
        <f t="shared" ref="AF135:AF142" si="194">ROUNDUP(AE135*$AL$148,-3)</f>
        <v>#VALUE!</v>
      </c>
      <c r="AG135" s="113" t="e">
        <f t="shared" ref="AG135:AG142" si="195">ROUNDUP(AE135*$AL$149,-3)</f>
        <v>#VALUE!</v>
      </c>
      <c r="AH135" s="43" t="s">
        <v>29</v>
      </c>
      <c r="AI135" s="115" t="e">
        <f t="shared" ref="AI135:AI142" si="196">SUM(AE135:AH135)</f>
        <v>#VALUE!</v>
      </c>
      <c r="AJ135" s="46" t="s">
        <v>30</v>
      </c>
      <c r="AN135" s="183"/>
      <c r="AO135" s="141"/>
      <c r="AP135" s="415" t="s">
        <v>40</v>
      </c>
      <c r="AQ135" s="143"/>
      <c r="AR135" s="436">
        <v>141300</v>
      </c>
      <c r="AS135" s="417">
        <f t="shared" si="180"/>
        <v>99000</v>
      </c>
      <c r="AT135" s="417">
        <f t="shared" si="181"/>
        <v>14200</v>
      </c>
      <c r="AU135" s="417">
        <f t="shared" si="182"/>
        <v>28300</v>
      </c>
      <c r="AV135" s="418">
        <f t="shared" si="183"/>
        <v>282800</v>
      </c>
      <c r="AW135" s="417">
        <f t="shared" si="184"/>
        <v>339360</v>
      </c>
      <c r="AX135" s="148">
        <f t="shared" si="185"/>
        <v>240360</v>
      </c>
      <c r="BB135" s="23" t="s">
        <v>215</v>
      </c>
      <c r="BC135" s="107">
        <f t="shared" si="193"/>
        <v>0</v>
      </c>
      <c r="BD135" s="107">
        <f t="shared" si="193"/>
        <v>0</v>
      </c>
      <c r="BE135" s="107">
        <f t="shared" si="193"/>
        <v>2055000</v>
      </c>
      <c r="BF135" s="107">
        <f t="shared" si="193"/>
        <v>1182000</v>
      </c>
      <c r="BG135" s="107">
        <f t="shared" si="193"/>
        <v>993000</v>
      </c>
      <c r="BH135" s="107">
        <f t="shared" si="193"/>
        <v>744000</v>
      </c>
      <c r="BI135" s="107">
        <f t="shared" si="193"/>
        <v>521000</v>
      </c>
      <c r="BJ135" s="107">
        <f t="shared" si="193"/>
        <v>406000</v>
      </c>
      <c r="BK135" s="107">
        <f t="shared" si="193"/>
        <v>319000</v>
      </c>
      <c r="BL135" s="107">
        <f t="shared" si="193"/>
        <v>237000</v>
      </c>
      <c r="BM135" s="107">
        <f t="shared" si="193"/>
        <v>206000</v>
      </c>
      <c r="BN135" s="107">
        <f t="shared" si="193"/>
        <v>159000</v>
      </c>
      <c r="BO135" s="107">
        <f t="shared" si="193"/>
        <v>111000</v>
      </c>
      <c r="BP135" s="107">
        <f t="shared" si="193"/>
        <v>87000</v>
      </c>
      <c r="BQ135" s="23">
        <v>1.2</v>
      </c>
      <c r="BS135" s="484" t="s">
        <v>539</v>
      </c>
      <c r="BT135" s="485">
        <v>22400</v>
      </c>
      <c r="BU135" s="485">
        <v>32000</v>
      </c>
      <c r="BV135" s="485">
        <v>57200</v>
      </c>
      <c r="BW135" s="485">
        <v>75700</v>
      </c>
      <c r="BX135" s="485">
        <v>97000</v>
      </c>
      <c r="BY135" s="485">
        <v>167800</v>
      </c>
      <c r="CH135" s="181"/>
      <c r="CI135" s="468" t="s">
        <v>635</v>
      </c>
      <c r="CJ135" s="469" t="s">
        <v>634</v>
      </c>
      <c r="CK135" s="449">
        <v>1644405</v>
      </c>
      <c r="CL135" s="401">
        <f t="shared" si="179"/>
        <v>1974000</v>
      </c>
      <c r="CZ135" s="324" t="s">
        <v>458</v>
      </c>
      <c r="DA135" s="454" t="s">
        <v>459</v>
      </c>
      <c r="DB135" s="325">
        <v>6</v>
      </c>
      <c r="DC135" s="444">
        <v>149100</v>
      </c>
      <c r="DD135" s="445"/>
      <c r="DE135" s="444">
        <f t="shared" si="152"/>
        <v>202000</v>
      </c>
      <c r="DF135" s="445"/>
      <c r="DG135" s="444">
        <f t="shared" si="190"/>
        <v>91000</v>
      </c>
      <c r="DH135" s="445"/>
      <c r="DK135" s="487" t="s">
        <v>136</v>
      </c>
      <c r="DL135" s="488">
        <v>0</v>
      </c>
      <c r="DM135" s="488">
        <f t="shared" si="175"/>
        <v>0</v>
      </c>
      <c r="DN135" s="487">
        <v>0</v>
      </c>
      <c r="DO135" s="488">
        <v>0</v>
      </c>
      <c r="DP135" s="488">
        <f t="shared" si="176"/>
        <v>0</v>
      </c>
      <c r="DQ135" s="489">
        <v>0</v>
      </c>
      <c r="DR135" s="465"/>
      <c r="DS135" s="491">
        <v>0</v>
      </c>
      <c r="DT135" s="491">
        <v>0</v>
      </c>
      <c r="DU135" s="492">
        <v>0</v>
      </c>
      <c r="DV135" s="491">
        <v>0</v>
      </c>
      <c r="DW135" s="491">
        <f t="shared" si="178"/>
        <v>0</v>
      </c>
      <c r="DX135" s="492">
        <v>0</v>
      </c>
      <c r="DY135" s="161"/>
    </row>
    <row r="136" spans="1:129" ht="15" thickBot="1">
      <c r="A136" s="23" t="s">
        <v>215</v>
      </c>
      <c r="B136" s="23">
        <v>1.2</v>
      </c>
      <c r="C136" s="181"/>
      <c r="D136" s="486">
        <f t="shared" si="191"/>
        <v>21200</v>
      </c>
      <c r="H136" s="486">
        <f t="shared" si="192"/>
        <v>24800</v>
      </c>
      <c r="L136" s="481"/>
      <c r="AA136" s="396" t="s">
        <v>53</v>
      </c>
      <c r="AB136" s="189" t="s">
        <v>53</v>
      </c>
      <c r="AC136" s="190" t="s">
        <v>52</v>
      </c>
      <c r="AD136" s="191" t="s">
        <v>53</v>
      </c>
      <c r="AE136" s="43" t="s">
        <v>22</v>
      </c>
      <c r="AF136" s="114" t="e">
        <f t="shared" si="194"/>
        <v>#VALUE!</v>
      </c>
      <c r="AG136" s="113" t="e">
        <f t="shared" si="195"/>
        <v>#VALUE!</v>
      </c>
      <c r="AH136" s="43" t="s">
        <v>29</v>
      </c>
      <c r="AI136" s="115" t="e">
        <f t="shared" si="196"/>
        <v>#VALUE!</v>
      </c>
      <c r="AJ136" s="46" t="s">
        <v>30</v>
      </c>
      <c r="AN136" s="183"/>
      <c r="AO136" s="141"/>
      <c r="AP136" s="415" t="s">
        <v>40</v>
      </c>
      <c r="AQ136" s="143"/>
      <c r="AR136" s="436">
        <v>141300</v>
      </c>
      <c r="AS136" s="417">
        <f t="shared" si="180"/>
        <v>99000</v>
      </c>
      <c r="AT136" s="417">
        <f t="shared" si="181"/>
        <v>14200</v>
      </c>
      <c r="AU136" s="417">
        <f t="shared" si="182"/>
        <v>28300</v>
      </c>
      <c r="AV136" s="418">
        <f t="shared" si="183"/>
        <v>282800</v>
      </c>
      <c r="AW136" s="417">
        <f t="shared" si="184"/>
        <v>339360</v>
      </c>
      <c r="AX136" s="148">
        <f t="shared" si="185"/>
        <v>240360</v>
      </c>
      <c r="BB136" s="23" t="s">
        <v>215</v>
      </c>
      <c r="BC136" s="107">
        <f t="shared" si="193"/>
        <v>0</v>
      </c>
      <c r="BD136" s="107">
        <f t="shared" si="193"/>
        <v>0</v>
      </c>
      <c r="BE136" s="107">
        <f t="shared" si="193"/>
        <v>2158000</v>
      </c>
      <c r="BF136" s="107">
        <f t="shared" si="193"/>
        <v>1242000</v>
      </c>
      <c r="BG136" s="107">
        <f t="shared" si="193"/>
        <v>1043000</v>
      </c>
      <c r="BH136" s="107">
        <f t="shared" si="193"/>
        <v>782000</v>
      </c>
      <c r="BI136" s="107">
        <f t="shared" si="193"/>
        <v>548000</v>
      </c>
      <c r="BJ136" s="107">
        <f t="shared" si="193"/>
        <v>427000</v>
      </c>
      <c r="BK136" s="107">
        <f t="shared" si="193"/>
        <v>335000</v>
      </c>
      <c r="BL136" s="107">
        <f t="shared" si="193"/>
        <v>249000</v>
      </c>
      <c r="BM136" s="107">
        <f t="shared" si="193"/>
        <v>217000</v>
      </c>
      <c r="BN136" s="107">
        <f t="shared" si="193"/>
        <v>167000</v>
      </c>
      <c r="BO136" s="107">
        <f t="shared" si="193"/>
        <v>117000</v>
      </c>
      <c r="BP136" s="107">
        <f t="shared" si="193"/>
        <v>92000</v>
      </c>
      <c r="BQ136" s="23">
        <v>1.2</v>
      </c>
      <c r="BS136" s="484" t="s">
        <v>539</v>
      </c>
      <c r="BT136" s="485">
        <v>22400</v>
      </c>
      <c r="BU136" s="485">
        <v>32000</v>
      </c>
      <c r="BV136" s="485">
        <v>57200</v>
      </c>
      <c r="BW136" s="485">
        <v>75700</v>
      </c>
      <c r="BX136" s="485">
        <v>97000</v>
      </c>
      <c r="BY136" s="485">
        <v>167800</v>
      </c>
      <c r="CH136" s="181"/>
      <c r="CI136" s="468" t="s">
        <v>635</v>
      </c>
      <c r="CJ136" s="469" t="s">
        <v>634</v>
      </c>
      <c r="CK136" s="449">
        <v>1644405</v>
      </c>
      <c r="CL136" s="401">
        <f t="shared" si="179"/>
        <v>1974000</v>
      </c>
      <c r="CZ136" s="324" t="s">
        <v>458</v>
      </c>
      <c r="DA136" s="454" t="s">
        <v>459</v>
      </c>
      <c r="DB136" s="325">
        <v>6</v>
      </c>
      <c r="DC136" s="444">
        <v>149100</v>
      </c>
      <c r="DD136" s="445"/>
      <c r="DE136" s="444">
        <f t="shared" si="152"/>
        <v>202000</v>
      </c>
      <c r="DF136" s="445"/>
      <c r="DG136" s="444">
        <f t="shared" si="190"/>
        <v>91000</v>
      </c>
      <c r="DH136" s="445"/>
      <c r="DK136" s="487" t="s">
        <v>139</v>
      </c>
      <c r="DL136" s="488">
        <v>0</v>
      </c>
      <c r="DM136" s="488">
        <f t="shared" si="175"/>
        <v>0</v>
      </c>
      <c r="DN136" s="487">
        <v>0</v>
      </c>
      <c r="DO136" s="488">
        <v>0</v>
      </c>
      <c r="DP136" s="488">
        <f t="shared" si="176"/>
        <v>0</v>
      </c>
      <c r="DQ136" s="489">
        <v>0</v>
      </c>
      <c r="DR136" s="465"/>
      <c r="DS136" s="491">
        <v>0</v>
      </c>
      <c r="DT136" s="491">
        <v>0</v>
      </c>
      <c r="DU136" s="492">
        <v>0</v>
      </c>
      <c r="DV136" s="491">
        <v>11037128</v>
      </c>
      <c r="DW136" s="491">
        <f t="shared" si="178"/>
        <v>12692697.199999999</v>
      </c>
      <c r="DX136" s="492">
        <v>0</v>
      </c>
      <c r="DY136" s="161"/>
    </row>
    <row r="137" spans="1:129" ht="15" thickBot="1">
      <c r="A137" s="23" t="s">
        <v>215</v>
      </c>
      <c r="B137" s="23">
        <v>1.2</v>
      </c>
      <c r="C137" s="181"/>
      <c r="D137" s="486">
        <f t="shared" si="191"/>
        <v>41340</v>
      </c>
      <c r="H137" s="486">
        <f t="shared" si="192"/>
        <v>48360</v>
      </c>
      <c r="L137" s="481"/>
      <c r="AA137" s="396" t="s">
        <v>53</v>
      </c>
      <c r="AB137" s="189" t="s">
        <v>53</v>
      </c>
      <c r="AC137" s="190" t="s">
        <v>52</v>
      </c>
      <c r="AD137" s="191" t="s">
        <v>53</v>
      </c>
      <c r="AE137" s="43" t="s">
        <v>22</v>
      </c>
      <c r="AF137" s="114" t="e">
        <f t="shared" si="194"/>
        <v>#VALUE!</v>
      </c>
      <c r="AG137" s="113" t="e">
        <f t="shared" si="195"/>
        <v>#VALUE!</v>
      </c>
      <c r="AH137" s="43" t="s">
        <v>29</v>
      </c>
      <c r="AI137" s="115" t="e">
        <f t="shared" si="196"/>
        <v>#VALUE!</v>
      </c>
      <c r="AJ137" s="46" t="s">
        <v>30</v>
      </c>
      <c r="AN137" s="183"/>
      <c r="AO137" s="141"/>
      <c r="AP137" s="415" t="s">
        <v>40</v>
      </c>
      <c r="AQ137" s="143"/>
      <c r="AR137" s="436">
        <v>141300</v>
      </c>
      <c r="AS137" s="417">
        <f t="shared" si="180"/>
        <v>99000</v>
      </c>
      <c r="AT137" s="417">
        <f t="shared" si="181"/>
        <v>14200</v>
      </c>
      <c r="AU137" s="417">
        <f t="shared" si="182"/>
        <v>28300</v>
      </c>
      <c r="AV137" s="418">
        <f t="shared" si="183"/>
        <v>282800</v>
      </c>
      <c r="AW137" s="417">
        <f t="shared" si="184"/>
        <v>339360</v>
      </c>
      <c r="AX137" s="148">
        <f t="shared" si="185"/>
        <v>240360</v>
      </c>
      <c r="BB137" s="23" t="s">
        <v>215</v>
      </c>
      <c r="BC137" s="107">
        <f t="shared" si="193"/>
        <v>0</v>
      </c>
      <c r="BD137" s="107">
        <f t="shared" si="193"/>
        <v>0</v>
      </c>
      <c r="BE137" s="107">
        <f t="shared" si="193"/>
        <v>2266000</v>
      </c>
      <c r="BF137" s="107">
        <f t="shared" si="193"/>
        <v>1305000</v>
      </c>
      <c r="BG137" s="107">
        <f t="shared" si="193"/>
        <v>1096000</v>
      </c>
      <c r="BH137" s="107">
        <f t="shared" si="193"/>
        <v>822000</v>
      </c>
      <c r="BI137" s="107">
        <f t="shared" si="193"/>
        <v>576000</v>
      </c>
      <c r="BJ137" s="107">
        <f t="shared" si="193"/>
        <v>449000</v>
      </c>
      <c r="BK137" s="107">
        <f t="shared" si="193"/>
        <v>352000</v>
      </c>
      <c r="BL137" s="107">
        <f t="shared" si="193"/>
        <v>262000</v>
      </c>
      <c r="BM137" s="107">
        <f t="shared" si="193"/>
        <v>228000</v>
      </c>
      <c r="BN137" s="107">
        <f t="shared" si="193"/>
        <v>176000</v>
      </c>
      <c r="BO137" s="107">
        <f t="shared" si="193"/>
        <v>123000</v>
      </c>
      <c r="BP137" s="107">
        <f t="shared" si="193"/>
        <v>97000</v>
      </c>
      <c r="BQ137" s="23">
        <v>1.2</v>
      </c>
      <c r="BS137" s="484" t="s">
        <v>539</v>
      </c>
      <c r="BT137" s="485">
        <v>22400</v>
      </c>
      <c r="BU137" s="485">
        <v>32000</v>
      </c>
      <c r="BV137" s="485">
        <v>57200</v>
      </c>
      <c r="BW137" s="485">
        <v>75700</v>
      </c>
      <c r="BX137" s="485">
        <v>97000</v>
      </c>
      <c r="BY137" s="485">
        <v>167800</v>
      </c>
      <c r="CH137" s="181"/>
      <c r="CI137" s="468" t="s">
        <v>635</v>
      </c>
      <c r="CJ137" s="469" t="s">
        <v>634</v>
      </c>
      <c r="CK137" s="449">
        <v>1644405</v>
      </c>
      <c r="CL137" s="401">
        <f t="shared" si="179"/>
        <v>1974000</v>
      </c>
      <c r="CZ137" s="324" t="s">
        <v>458</v>
      </c>
      <c r="DA137" s="454" t="s">
        <v>459</v>
      </c>
      <c r="DB137" s="325">
        <v>6</v>
      </c>
      <c r="DC137" s="444">
        <v>149100</v>
      </c>
      <c r="DD137" s="445"/>
      <c r="DE137" s="444">
        <f t="shared" si="152"/>
        <v>202000</v>
      </c>
      <c r="DF137" s="445"/>
      <c r="DG137" s="444">
        <f t="shared" si="190"/>
        <v>91000</v>
      </c>
      <c r="DH137" s="445"/>
      <c r="DK137" s="487" t="s">
        <v>347</v>
      </c>
      <c r="DL137" s="488">
        <v>0</v>
      </c>
      <c r="DM137" s="488">
        <f t="shared" si="175"/>
        <v>0</v>
      </c>
      <c r="DN137" s="487">
        <v>0</v>
      </c>
      <c r="DO137" s="488">
        <v>0</v>
      </c>
      <c r="DP137" s="488">
        <f t="shared" si="176"/>
        <v>0</v>
      </c>
      <c r="DQ137" s="489">
        <v>0</v>
      </c>
      <c r="DR137" s="465"/>
      <c r="DS137" s="491">
        <v>0</v>
      </c>
      <c r="DT137" s="491">
        <v>0</v>
      </c>
      <c r="DU137" s="492">
        <v>0</v>
      </c>
      <c r="DV137" s="491">
        <v>12940000</v>
      </c>
      <c r="DW137" s="491">
        <f t="shared" si="178"/>
        <v>14880999.999999998</v>
      </c>
      <c r="DX137" s="492">
        <v>0</v>
      </c>
      <c r="DY137" s="161"/>
    </row>
    <row r="138" spans="1:129" ht="15" thickBot="1">
      <c r="A138" s="23" t="s">
        <v>215</v>
      </c>
      <c r="B138" s="23">
        <v>1.2</v>
      </c>
      <c r="C138" s="181"/>
      <c r="D138" s="486">
        <f t="shared" si="191"/>
        <v>74200</v>
      </c>
      <c r="H138" s="486">
        <f t="shared" si="192"/>
        <v>86800</v>
      </c>
      <c r="L138" s="481"/>
      <c r="AA138" s="396" t="s">
        <v>53</v>
      </c>
      <c r="AB138" s="189" t="s">
        <v>53</v>
      </c>
      <c r="AC138" s="190" t="s">
        <v>52</v>
      </c>
      <c r="AD138" s="191" t="s">
        <v>53</v>
      </c>
      <c r="AE138" s="43" t="s">
        <v>22</v>
      </c>
      <c r="AF138" s="114" t="e">
        <f t="shared" si="194"/>
        <v>#VALUE!</v>
      </c>
      <c r="AG138" s="113" t="e">
        <f t="shared" si="195"/>
        <v>#VALUE!</v>
      </c>
      <c r="AH138" s="43" t="s">
        <v>29</v>
      </c>
      <c r="AI138" s="115" t="e">
        <f t="shared" si="196"/>
        <v>#VALUE!</v>
      </c>
      <c r="AJ138" s="46" t="s">
        <v>30</v>
      </c>
      <c r="AN138" s="183"/>
      <c r="AO138" s="141"/>
      <c r="AP138" s="415" t="s">
        <v>40</v>
      </c>
      <c r="AQ138" s="143"/>
      <c r="AR138" s="436">
        <v>141300</v>
      </c>
      <c r="AS138" s="417">
        <f t="shared" si="180"/>
        <v>99000</v>
      </c>
      <c r="AT138" s="417">
        <f t="shared" si="181"/>
        <v>14200</v>
      </c>
      <c r="AU138" s="417">
        <f t="shared" si="182"/>
        <v>28300</v>
      </c>
      <c r="AV138" s="418">
        <f t="shared" si="183"/>
        <v>282800</v>
      </c>
      <c r="AW138" s="417">
        <f t="shared" si="184"/>
        <v>339360</v>
      </c>
      <c r="AX138" s="148">
        <f t="shared" si="185"/>
        <v>240360</v>
      </c>
      <c r="BB138" s="23" t="s">
        <v>215</v>
      </c>
      <c r="BC138" s="107">
        <f t="shared" si="193"/>
        <v>0</v>
      </c>
      <c r="BD138" s="107">
        <f t="shared" si="193"/>
        <v>0</v>
      </c>
      <c r="BE138" s="107">
        <f t="shared" si="193"/>
        <v>2380000</v>
      </c>
      <c r="BF138" s="107">
        <f t="shared" si="193"/>
        <v>1371000</v>
      </c>
      <c r="BG138" s="107">
        <f t="shared" si="193"/>
        <v>1151000</v>
      </c>
      <c r="BH138" s="107">
        <f t="shared" si="193"/>
        <v>864000</v>
      </c>
      <c r="BI138" s="107">
        <f t="shared" si="193"/>
        <v>605000</v>
      </c>
      <c r="BJ138" s="107">
        <f t="shared" si="193"/>
        <v>472000</v>
      </c>
      <c r="BK138" s="107">
        <f t="shared" si="193"/>
        <v>370000</v>
      </c>
      <c r="BL138" s="107">
        <f t="shared" si="193"/>
        <v>276000</v>
      </c>
      <c r="BM138" s="107">
        <f t="shared" si="193"/>
        <v>240000</v>
      </c>
      <c r="BN138" s="107">
        <f t="shared" si="193"/>
        <v>185000</v>
      </c>
      <c r="BO138" s="107">
        <f t="shared" si="193"/>
        <v>130000</v>
      </c>
      <c r="BP138" s="107">
        <f t="shared" si="193"/>
        <v>102000</v>
      </c>
      <c r="BQ138" s="23">
        <v>1.2</v>
      </c>
      <c r="BS138" s="484" t="s">
        <v>539</v>
      </c>
      <c r="BT138" s="485">
        <v>22400</v>
      </c>
      <c r="BU138" s="485">
        <v>32000</v>
      </c>
      <c r="BV138" s="485">
        <v>57200</v>
      </c>
      <c r="BW138" s="485">
        <v>75700</v>
      </c>
      <c r="BX138" s="485">
        <v>97000</v>
      </c>
      <c r="BY138" s="485">
        <v>167800</v>
      </c>
      <c r="CH138" s="181"/>
      <c r="CI138" s="468" t="s">
        <v>635</v>
      </c>
      <c r="CJ138" s="469" t="s">
        <v>634</v>
      </c>
      <c r="CK138" s="449">
        <v>1644405</v>
      </c>
      <c r="CL138" s="401">
        <f t="shared" si="179"/>
        <v>1974000</v>
      </c>
      <c r="CZ138" s="324" t="s">
        <v>458</v>
      </c>
      <c r="DA138" s="454" t="s">
        <v>459</v>
      </c>
      <c r="DB138" s="325">
        <v>6</v>
      </c>
      <c r="DC138" s="444">
        <v>149100</v>
      </c>
      <c r="DD138" s="445"/>
      <c r="DE138" s="444">
        <f t="shared" si="152"/>
        <v>202000</v>
      </c>
      <c r="DF138" s="445"/>
      <c r="DG138" s="444">
        <f t="shared" si="190"/>
        <v>91000</v>
      </c>
      <c r="DH138" s="445"/>
      <c r="DK138" s="487" t="s">
        <v>374</v>
      </c>
      <c r="DL138" s="488">
        <v>0</v>
      </c>
      <c r="DM138" s="488">
        <f t="shared" si="175"/>
        <v>0</v>
      </c>
      <c r="DN138" s="487">
        <v>0</v>
      </c>
      <c r="DO138" s="488">
        <v>0</v>
      </c>
      <c r="DP138" s="488">
        <f t="shared" si="176"/>
        <v>0</v>
      </c>
      <c r="DQ138" s="489">
        <v>0</v>
      </c>
      <c r="DR138" s="490"/>
      <c r="DS138" s="491">
        <v>0</v>
      </c>
      <c r="DT138" s="491">
        <v>0</v>
      </c>
      <c r="DU138" s="492">
        <v>0</v>
      </c>
      <c r="DV138" s="491">
        <v>16039115</v>
      </c>
      <c r="DW138" s="491">
        <f>DV138*$DK$120</f>
        <v>18444982.25</v>
      </c>
      <c r="DX138" s="492">
        <v>0</v>
      </c>
      <c r="DY138" s="161"/>
    </row>
    <row r="139" spans="1:129" ht="15" thickBot="1">
      <c r="A139" s="23" t="s">
        <v>215</v>
      </c>
      <c r="B139" s="23">
        <v>1.2</v>
      </c>
      <c r="C139" s="181"/>
      <c r="D139" s="486">
        <f t="shared" si="191"/>
        <v>136740</v>
      </c>
      <c r="H139" s="486">
        <f t="shared" si="192"/>
        <v>159960</v>
      </c>
      <c r="L139" s="481"/>
      <c r="AA139" s="396" t="s">
        <v>53</v>
      </c>
      <c r="AB139" s="189" t="s">
        <v>53</v>
      </c>
      <c r="AC139" s="190" t="s">
        <v>52</v>
      </c>
      <c r="AD139" s="191" t="s">
        <v>53</v>
      </c>
      <c r="AE139" s="43" t="s">
        <v>22</v>
      </c>
      <c r="AF139" s="114" t="e">
        <f t="shared" si="194"/>
        <v>#VALUE!</v>
      </c>
      <c r="AG139" s="113" t="e">
        <f t="shared" si="195"/>
        <v>#VALUE!</v>
      </c>
      <c r="AH139" s="43" t="s">
        <v>29</v>
      </c>
      <c r="AI139" s="115" t="e">
        <f t="shared" si="196"/>
        <v>#VALUE!</v>
      </c>
      <c r="AJ139" s="46" t="s">
        <v>30</v>
      </c>
      <c r="AN139" s="183"/>
      <c r="AO139" s="141"/>
      <c r="AP139" s="415" t="s">
        <v>40</v>
      </c>
      <c r="AQ139" s="143"/>
      <c r="AR139" s="436">
        <v>141300</v>
      </c>
      <c r="AS139" s="417">
        <f t="shared" si="180"/>
        <v>99000</v>
      </c>
      <c r="AT139" s="417">
        <f t="shared" si="181"/>
        <v>14200</v>
      </c>
      <c r="AU139" s="417">
        <f t="shared" si="182"/>
        <v>28300</v>
      </c>
      <c r="AV139" s="418">
        <f t="shared" si="183"/>
        <v>282800</v>
      </c>
      <c r="AW139" s="417">
        <f t="shared" si="184"/>
        <v>339360</v>
      </c>
      <c r="AX139" s="148">
        <f t="shared" si="185"/>
        <v>240360</v>
      </c>
      <c r="BB139" s="23" t="s">
        <v>215</v>
      </c>
      <c r="BC139" s="107">
        <f t="shared" si="193"/>
        <v>0</v>
      </c>
      <c r="BD139" s="107">
        <f t="shared" si="193"/>
        <v>0</v>
      </c>
      <c r="BE139" s="107">
        <f t="shared" si="193"/>
        <v>2499000</v>
      </c>
      <c r="BF139" s="107">
        <f t="shared" si="193"/>
        <v>1440000</v>
      </c>
      <c r="BG139" s="107">
        <f t="shared" si="193"/>
        <v>1209000</v>
      </c>
      <c r="BH139" s="107">
        <f t="shared" si="193"/>
        <v>908000</v>
      </c>
      <c r="BI139" s="107">
        <f t="shared" si="193"/>
        <v>636000</v>
      </c>
      <c r="BJ139" s="107">
        <f t="shared" si="193"/>
        <v>496000</v>
      </c>
      <c r="BK139" s="107">
        <f t="shared" si="193"/>
        <v>389000</v>
      </c>
      <c r="BL139" s="107">
        <f t="shared" si="193"/>
        <v>290000</v>
      </c>
      <c r="BM139" s="107">
        <f t="shared" si="193"/>
        <v>252000</v>
      </c>
      <c r="BN139" s="107">
        <f t="shared" si="193"/>
        <v>195000</v>
      </c>
      <c r="BO139" s="107">
        <f t="shared" si="193"/>
        <v>137000</v>
      </c>
      <c r="BP139" s="107">
        <f t="shared" si="193"/>
        <v>108000</v>
      </c>
      <c r="BQ139" s="23">
        <v>1.2</v>
      </c>
      <c r="BS139" s="484" t="s">
        <v>539</v>
      </c>
      <c r="BT139" s="485">
        <v>22400</v>
      </c>
      <c r="BU139" s="485">
        <v>32000</v>
      </c>
      <c r="BV139" s="485">
        <v>57200</v>
      </c>
      <c r="BW139" s="485">
        <v>75700</v>
      </c>
      <c r="BX139" s="485">
        <v>97000</v>
      </c>
      <c r="BY139" s="485">
        <v>167800</v>
      </c>
      <c r="CH139" s="181"/>
      <c r="CI139" s="468" t="s">
        <v>635</v>
      </c>
      <c r="CJ139" s="469" t="s">
        <v>634</v>
      </c>
      <c r="CK139" s="449">
        <v>1644405</v>
      </c>
      <c r="CL139" s="401">
        <f t="shared" si="179"/>
        <v>1974000</v>
      </c>
      <c r="CZ139" s="324" t="s">
        <v>458</v>
      </c>
      <c r="DA139" s="454" t="s">
        <v>459</v>
      </c>
      <c r="DB139" s="325">
        <v>6</v>
      </c>
      <c r="DC139" s="444">
        <v>149100</v>
      </c>
      <c r="DD139" s="445"/>
      <c r="DE139" s="444">
        <f t="shared" si="152"/>
        <v>202000</v>
      </c>
      <c r="DF139" s="445"/>
      <c r="DG139" s="444">
        <f t="shared" si="190"/>
        <v>91000</v>
      </c>
      <c r="DH139" s="445"/>
      <c r="DK139" s="487" t="s">
        <v>394</v>
      </c>
      <c r="DL139" s="488">
        <v>0</v>
      </c>
      <c r="DM139" s="488">
        <f t="shared" si="175"/>
        <v>0</v>
      </c>
      <c r="DN139" s="487">
        <v>0</v>
      </c>
      <c r="DO139" s="488">
        <v>0</v>
      </c>
      <c r="DP139" s="488">
        <f t="shared" si="176"/>
        <v>0</v>
      </c>
      <c r="DQ139" s="489">
        <v>0</v>
      </c>
      <c r="DR139" s="490"/>
      <c r="DS139" s="491">
        <v>0</v>
      </c>
      <c r="DT139" s="491">
        <v>0</v>
      </c>
      <c r="DU139" s="492">
        <v>0</v>
      </c>
      <c r="DV139" s="491">
        <v>21877600</v>
      </c>
      <c r="DW139" s="491">
        <f>DV139*$DK$120</f>
        <v>25159239.999999996</v>
      </c>
      <c r="DX139" s="492">
        <v>0</v>
      </c>
      <c r="DY139" s="161"/>
    </row>
    <row r="140" spans="1:129" ht="15" thickBot="1">
      <c r="A140" s="23" t="s">
        <v>215</v>
      </c>
      <c r="B140" s="23">
        <v>1.2</v>
      </c>
      <c r="C140" s="181"/>
      <c r="D140" s="486">
        <f t="shared" si="191"/>
        <v>252280</v>
      </c>
      <c r="H140" s="486">
        <f t="shared" si="192"/>
        <v>295120</v>
      </c>
      <c r="L140" s="481"/>
      <c r="AA140" s="396" t="s">
        <v>53</v>
      </c>
      <c r="AB140" s="189" t="s">
        <v>53</v>
      </c>
      <c r="AC140" s="190" t="s">
        <v>52</v>
      </c>
      <c r="AD140" s="191" t="s">
        <v>53</v>
      </c>
      <c r="AE140" s="43" t="s">
        <v>22</v>
      </c>
      <c r="AF140" s="114" t="e">
        <f t="shared" si="194"/>
        <v>#VALUE!</v>
      </c>
      <c r="AG140" s="113" t="e">
        <f t="shared" si="195"/>
        <v>#VALUE!</v>
      </c>
      <c r="AH140" s="43" t="s">
        <v>29</v>
      </c>
      <c r="AI140" s="115" t="e">
        <f t="shared" si="196"/>
        <v>#VALUE!</v>
      </c>
      <c r="AJ140" s="46" t="s">
        <v>30</v>
      </c>
      <c r="AN140" s="183"/>
      <c r="AO140" s="141"/>
      <c r="AP140" s="415" t="s">
        <v>40</v>
      </c>
      <c r="AQ140" s="143"/>
      <c r="AR140" s="436">
        <v>141300</v>
      </c>
      <c r="AS140" s="417">
        <f t="shared" si="180"/>
        <v>99000</v>
      </c>
      <c r="AT140" s="417">
        <f t="shared" si="181"/>
        <v>14200</v>
      </c>
      <c r="AU140" s="417">
        <f t="shared" si="182"/>
        <v>28300</v>
      </c>
      <c r="AV140" s="418">
        <f t="shared" si="183"/>
        <v>282800</v>
      </c>
      <c r="AW140" s="417">
        <f t="shared" si="184"/>
        <v>339360</v>
      </c>
      <c r="AX140" s="148">
        <f t="shared" si="185"/>
        <v>240360</v>
      </c>
      <c r="BB140" s="23" t="s">
        <v>215</v>
      </c>
      <c r="BC140" s="107">
        <f t="shared" si="193"/>
        <v>0</v>
      </c>
      <c r="BD140" s="107">
        <f t="shared" si="193"/>
        <v>0</v>
      </c>
      <c r="BE140" s="107">
        <f t="shared" si="193"/>
        <v>2624000</v>
      </c>
      <c r="BF140" s="107">
        <f t="shared" si="193"/>
        <v>1512000</v>
      </c>
      <c r="BG140" s="107">
        <f t="shared" si="193"/>
        <v>1270000</v>
      </c>
      <c r="BH140" s="107">
        <f t="shared" si="193"/>
        <v>954000</v>
      </c>
      <c r="BI140" s="107">
        <f t="shared" si="193"/>
        <v>668000</v>
      </c>
      <c r="BJ140" s="107">
        <f t="shared" si="193"/>
        <v>521000</v>
      </c>
      <c r="BK140" s="107">
        <f t="shared" si="193"/>
        <v>409000</v>
      </c>
      <c r="BL140" s="107">
        <f t="shared" si="193"/>
        <v>305000</v>
      </c>
      <c r="BM140" s="107">
        <f t="shared" si="193"/>
        <v>265000</v>
      </c>
      <c r="BN140" s="107">
        <f t="shared" si="193"/>
        <v>205000</v>
      </c>
      <c r="BO140" s="107">
        <f t="shared" si="193"/>
        <v>144000</v>
      </c>
      <c r="BP140" s="107">
        <f t="shared" si="193"/>
        <v>114000</v>
      </c>
      <c r="BQ140" s="23">
        <v>1.2</v>
      </c>
      <c r="BS140" s="484" t="s">
        <v>539</v>
      </c>
      <c r="BT140" s="485">
        <v>22400</v>
      </c>
      <c r="BU140" s="485">
        <v>32000</v>
      </c>
      <c r="BV140" s="485">
        <v>57200</v>
      </c>
      <c r="BW140" s="485">
        <v>75700</v>
      </c>
      <c r="BX140" s="485">
        <v>97000</v>
      </c>
      <c r="BY140" s="485">
        <v>167800</v>
      </c>
      <c r="CH140" s="181"/>
      <c r="CI140" s="468" t="s">
        <v>635</v>
      </c>
      <c r="CJ140" s="469" t="s">
        <v>634</v>
      </c>
      <c r="CK140" s="449">
        <v>1644405</v>
      </c>
      <c r="CL140" s="401">
        <f t="shared" si="179"/>
        <v>1974000</v>
      </c>
      <c r="CZ140" s="324" t="s">
        <v>458</v>
      </c>
      <c r="DA140" s="454" t="s">
        <v>459</v>
      </c>
      <c r="DB140" s="325">
        <v>6</v>
      </c>
      <c r="DC140" s="444">
        <v>149100</v>
      </c>
      <c r="DD140" s="445"/>
      <c r="DE140" s="444">
        <f t="shared" si="152"/>
        <v>202000</v>
      </c>
      <c r="DF140" s="445"/>
      <c r="DG140" s="444">
        <f t="shared" si="190"/>
        <v>91000</v>
      </c>
      <c r="DH140" s="445"/>
      <c r="DK140" s="487" t="s">
        <v>419</v>
      </c>
      <c r="DL140" s="488">
        <v>0</v>
      </c>
      <c r="DM140" s="488">
        <f t="shared" si="175"/>
        <v>0</v>
      </c>
      <c r="DN140" s="487">
        <v>0</v>
      </c>
      <c r="DO140" s="488">
        <v>0</v>
      </c>
      <c r="DP140" s="488">
        <f t="shared" si="176"/>
        <v>0</v>
      </c>
      <c r="DQ140" s="489">
        <v>0</v>
      </c>
      <c r="DR140" s="490"/>
      <c r="DS140" s="491">
        <v>0</v>
      </c>
      <c r="DT140" s="491">
        <v>0</v>
      </c>
      <c r="DU140" s="492">
        <v>0</v>
      </c>
      <c r="DV140" s="491">
        <v>26107500</v>
      </c>
      <c r="DW140" s="491">
        <f>DV140*$DK$120</f>
        <v>30023624.999999996</v>
      </c>
      <c r="DX140" s="492">
        <v>0</v>
      </c>
      <c r="DY140" s="161"/>
    </row>
    <row r="141" spans="1:129" ht="15" thickBot="1">
      <c r="A141" s="23"/>
      <c r="B141" s="23"/>
      <c r="AA141" s="403" t="s">
        <v>51</v>
      </c>
      <c r="AB141" s="103" t="s">
        <v>51</v>
      </c>
      <c r="AC141" s="52" t="s">
        <v>52</v>
      </c>
      <c r="AD141" s="493" t="s">
        <v>51</v>
      </c>
      <c r="AE141" s="433">
        <f>ROUNDUP(((1300)*35%)+(1300),-3)</f>
        <v>2000</v>
      </c>
      <c r="AF141" s="106">
        <f t="shared" si="194"/>
        <v>1000</v>
      </c>
      <c r="AG141" s="117">
        <f t="shared" si="195"/>
        <v>1000</v>
      </c>
      <c r="AH141" s="106">
        <f>ROUNDUP(AE141*$AL$150,-3)</f>
        <v>1000</v>
      </c>
      <c r="AI141" s="177">
        <f t="shared" si="196"/>
        <v>5000</v>
      </c>
      <c r="AJ141" s="106">
        <f>ROUNDUP(AI141*$AL$152,-3)</f>
        <v>7000</v>
      </c>
      <c r="AN141" s="181"/>
      <c r="AO141" s="103"/>
      <c r="AP141" s="404" t="s">
        <v>437</v>
      </c>
      <c r="AQ141" s="104"/>
      <c r="AR141" s="423" t="s">
        <v>476</v>
      </c>
      <c r="AS141" s="423" t="s">
        <v>476</v>
      </c>
      <c r="AT141" s="423" t="s">
        <v>476</v>
      </c>
      <c r="AU141" s="423" t="s">
        <v>476</v>
      </c>
      <c r="AV141" s="424" t="s">
        <v>476</v>
      </c>
      <c r="AW141" s="423" t="s">
        <v>476</v>
      </c>
      <c r="AX141" s="175"/>
      <c r="BS141" s="484" t="s">
        <v>636</v>
      </c>
      <c r="BT141" s="485">
        <v>55400</v>
      </c>
      <c r="BU141" s="485">
        <v>68000</v>
      </c>
      <c r="BV141" s="485">
        <v>82500</v>
      </c>
      <c r="BW141" s="485">
        <v>116500</v>
      </c>
      <c r="BX141" s="485">
        <v>155200</v>
      </c>
      <c r="BY141" s="485">
        <v>233100</v>
      </c>
      <c r="CH141" s="181"/>
      <c r="CI141" s="468" t="s">
        <v>637</v>
      </c>
      <c r="CJ141" s="469" t="s">
        <v>638</v>
      </c>
      <c r="CK141" s="449">
        <v>4188327</v>
      </c>
      <c r="CL141" s="401">
        <f t="shared" si="179"/>
        <v>5026000</v>
      </c>
      <c r="CZ141" s="324" t="s">
        <v>639</v>
      </c>
      <c r="DA141" s="454" t="s">
        <v>640</v>
      </c>
      <c r="DB141" s="325">
        <v>3</v>
      </c>
      <c r="DC141" s="444">
        <v>217300</v>
      </c>
      <c r="DD141" s="445"/>
      <c r="DE141" s="444">
        <f t="shared" si="152"/>
        <v>294000</v>
      </c>
      <c r="DF141" s="445"/>
      <c r="DG141" s="444">
        <f t="shared" si="190"/>
        <v>133000</v>
      </c>
      <c r="DH141" s="445"/>
      <c r="DK141" s="161"/>
      <c r="DL141" s="161"/>
      <c r="DM141" s="161"/>
      <c r="DN141" s="161"/>
      <c r="DO141" s="161"/>
      <c r="DP141" s="161"/>
      <c r="DQ141" s="161"/>
      <c r="DR141" s="161"/>
      <c r="DS141" s="161"/>
      <c r="DT141" s="161"/>
      <c r="DU141" s="161"/>
      <c r="DV141" s="161"/>
      <c r="DW141" s="161"/>
      <c r="DX141" s="161"/>
      <c r="DY141" s="161"/>
    </row>
    <row r="142" spans="1:129" ht="15" thickBot="1">
      <c r="A142" s="23"/>
      <c r="B142" s="23"/>
      <c r="C142" s="16" t="s">
        <v>603</v>
      </c>
      <c r="D142" s="20" t="s">
        <v>604</v>
      </c>
      <c r="E142" s="17" t="s">
        <v>605</v>
      </c>
      <c r="F142" s="20" t="s">
        <v>606</v>
      </c>
      <c r="G142" s="20" t="s">
        <v>607</v>
      </c>
      <c r="H142" s="20" t="s">
        <v>608</v>
      </c>
      <c r="I142" s="227" t="s">
        <v>609</v>
      </c>
      <c r="J142" s="227" t="s">
        <v>610</v>
      </c>
      <c r="K142" s="227" t="s">
        <v>610</v>
      </c>
      <c r="L142" s="226" t="s">
        <v>611</v>
      </c>
      <c r="AA142" s="414" t="s">
        <v>75</v>
      </c>
      <c r="AB142" s="141" t="s">
        <v>75</v>
      </c>
      <c r="AC142" s="142" t="s">
        <v>52</v>
      </c>
      <c r="AD142" s="143" t="s">
        <v>75</v>
      </c>
      <c r="AE142" s="144">
        <f>ROUNDUP(((2200)*35%)+(2200),-3)</f>
        <v>3000</v>
      </c>
      <c r="AF142" s="145">
        <f t="shared" si="194"/>
        <v>2000</v>
      </c>
      <c r="AG142" s="146">
        <f t="shared" si="195"/>
        <v>1000</v>
      </c>
      <c r="AH142" s="145">
        <f>ROUNDUP(AE142*$AL$150,-3)</f>
        <v>1000</v>
      </c>
      <c r="AI142" s="151">
        <f t="shared" si="196"/>
        <v>7000</v>
      </c>
      <c r="AJ142" s="145">
        <f>ROUNDUP(AI142*$AL$152,-3)</f>
        <v>10000</v>
      </c>
      <c r="AN142" s="181"/>
      <c r="AO142" s="103"/>
      <c r="AP142" s="404" t="s">
        <v>53</v>
      </c>
      <c r="AQ142" s="104"/>
      <c r="AR142" s="425">
        <v>8300</v>
      </c>
      <c r="AS142" s="406">
        <f t="shared" ref="AS142:AS155" si="197">ROUNDUP(AR142*$AY$91,-2)</f>
        <v>5900</v>
      </c>
      <c r="AT142" s="406">
        <f t="shared" ref="AT142:AT155" si="198">ROUNDUP(AR142*$AY$92,-2)</f>
        <v>900</v>
      </c>
      <c r="AU142" s="406">
        <f t="shared" ref="AU142:AU155" si="199">ROUNDUP(AR142*$AY$93,-2)</f>
        <v>1700</v>
      </c>
      <c r="AV142" s="389">
        <f t="shared" ref="AV142:AV155" si="200">SUM(AR142:AU142)</f>
        <v>16800</v>
      </c>
      <c r="AW142" s="406">
        <f t="shared" ref="AW142:AW155" si="201">AV142*$AY$95</f>
        <v>20160</v>
      </c>
      <c r="AX142" s="175">
        <f t="shared" ref="AX142:AX155" si="202">AW142-AS142</f>
        <v>14260</v>
      </c>
      <c r="BS142" s="484" t="s">
        <v>641</v>
      </c>
      <c r="BT142" s="485">
        <v>11700</v>
      </c>
      <c r="BU142" s="485">
        <v>15600</v>
      </c>
      <c r="BV142" s="485">
        <v>19400</v>
      </c>
      <c r="BW142" s="485">
        <v>29200</v>
      </c>
      <c r="BX142" s="485">
        <v>34000</v>
      </c>
      <c r="BY142" s="485">
        <v>48500</v>
      </c>
      <c r="CH142" s="181"/>
      <c r="CI142" s="468" t="s">
        <v>642</v>
      </c>
      <c r="CJ142" s="469" t="s">
        <v>643</v>
      </c>
      <c r="CK142" s="449">
        <v>966687</v>
      </c>
      <c r="CL142" s="401">
        <f t="shared" si="179"/>
        <v>1161000</v>
      </c>
      <c r="CZ142" s="324" t="s">
        <v>462</v>
      </c>
      <c r="DA142" s="454" t="s">
        <v>463</v>
      </c>
      <c r="DB142" s="325">
        <v>3</v>
      </c>
      <c r="DC142" s="444">
        <v>241500</v>
      </c>
      <c r="DD142" s="445"/>
      <c r="DE142" s="444">
        <f t="shared" si="152"/>
        <v>327000</v>
      </c>
      <c r="DF142" s="445"/>
      <c r="DG142" s="444">
        <f t="shared" si="190"/>
        <v>148000</v>
      </c>
      <c r="DH142" s="445"/>
      <c r="DK142" s="161"/>
      <c r="DL142" s="161"/>
      <c r="DM142" s="161"/>
      <c r="DN142" s="161"/>
      <c r="DO142" s="161"/>
      <c r="DP142" s="161"/>
      <c r="DQ142" s="161"/>
      <c r="DR142" s="161"/>
      <c r="DS142" s="161"/>
      <c r="DT142" s="161"/>
      <c r="DU142" s="161"/>
      <c r="DV142" s="161"/>
      <c r="DW142" s="161"/>
      <c r="DX142" s="161"/>
      <c r="DY142" s="161"/>
    </row>
    <row r="143" spans="1:129" ht="15" thickBot="1">
      <c r="C143" s="36"/>
      <c r="D143" s="40"/>
      <c r="E143" s="37"/>
      <c r="F143" s="40"/>
      <c r="G143" s="40"/>
      <c r="H143" s="40"/>
      <c r="I143" s="233" t="s">
        <v>615</v>
      </c>
      <c r="J143" s="233" t="s">
        <v>616</v>
      </c>
      <c r="K143" s="233" t="s">
        <v>617</v>
      </c>
      <c r="L143" s="232" t="s">
        <v>617</v>
      </c>
      <c r="AB143" s="62"/>
      <c r="AC143" s="52"/>
      <c r="AD143" s="52"/>
      <c r="AE143" s="433"/>
      <c r="AF143" s="117"/>
      <c r="AG143" s="117"/>
      <c r="AH143" s="117"/>
      <c r="AI143" s="389"/>
      <c r="AJ143" s="117"/>
      <c r="AN143" s="181"/>
      <c r="AO143" s="103"/>
      <c r="AP143" s="404" t="s">
        <v>51</v>
      </c>
      <c r="AQ143" s="104"/>
      <c r="AR143" s="425">
        <v>9950</v>
      </c>
      <c r="AS143" s="406">
        <f t="shared" si="197"/>
        <v>7000</v>
      </c>
      <c r="AT143" s="406">
        <f t="shared" si="198"/>
        <v>1000</v>
      </c>
      <c r="AU143" s="406">
        <f t="shared" si="199"/>
        <v>2000</v>
      </c>
      <c r="AV143" s="389">
        <f t="shared" si="200"/>
        <v>19950</v>
      </c>
      <c r="AW143" s="406">
        <f t="shared" si="201"/>
        <v>23940</v>
      </c>
      <c r="AX143" s="175">
        <f t="shared" si="202"/>
        <v>16940</v>
      </c>
      <c r="BS143" s="484" t="s">
        <v>644</v>
      </c>
      <c r="BT143" s="485">
        <v>13650</v>
      </c>
      <c r="BU143" s="485">
        <v>16500</v>
      </c>
      <c r="BV143" s="485">
        <v>23300</v>
      </c>
      <c r="BW143" s="485">
        <v>34000</v>
      </c>
      <c r="BX143" s="485">
        <v>44600</v>
      </c>
      <c r="BY143" s="485">
        <v>62200</v>
      </c>
      <c r="CH143" s="181"/>
      <c r="CI143" s="494" t="s">
        <v>645</v>
      </c>
      <c r="CJ143" s="469" t="s">
        <v>646</v>
      </c>
      <c r="CK143" s="449">
        <v>1267785</v>
      </c>
      <c r="CL143" s="401">
        <f t="shared" si="179"/>
        <v>1522000</v>
      </c>
      <c r="CZ143" s="324" t="s">
        <v>467</v>
      </c>
      <c r="DA143" s="454" t="s">
        <v>468</v>
      </c>
      <c r="DB143" s="325">
        <v>2</v>
      </c>
      <c r="DC143" s="444">
        <v>251800</v>
      </c>
      <c r="DD143" s="445"/>
      <c r="DE143" s="444">
        <f t="shared" si="152"/>
        <v>340000</v>
      </c>
      <c r="DF143" s="445"/>
      <c r="DG143" s="444">
        <f t="shared" si="190"/>
        <v>153000</v>
      </c>
      <c r="DH143" s="445"/>
      <c r="DK143" s="161"/>
      <c r="DL143" s="161"/>
      <c r="DM143" s="161"/>
      <c r="DN143" s="161"/>
      <c r="DO143" s="161"/>
      <c r="DP143" s="161"/>
      <c r="DQ143" s="161"/>
      <c r="DR143" s="161"/>
      <c r="DS143" s="161"/>
      <c r="DT143" s="161"/>
      <c r="DU143" s="161"/>
      <c r="DV143" s="161"/>
      <c r="DW143" s="161"/>
      <c r="DX143" s="161"/>
      <c r="DY143" s="161"/>
    </row>
    <row r="144" spans="1:129" ht="19.5" customHeight="1" thickBot="1">
      <c r="A144" s="23" t="s">
        <v>620</v>
      </c>
      <c r="B144" s="23">
        <v>0.52</v>
      </c>
      <c r="C144" s="478" t="s">
        <v>647</v>
      </c>
      <c r="D144" s="109">
        <v>8700</v>
      </c>
      <c r="E144" s="495"/>
      <c r="F144" s="394"/>
      <c r="G144" s="394"/>
      <c r="H144" s="394"/>
      <c r="I144" s="394"/>
      <c r="J144" s="394"/>
      <c r="K144" s="495"/>
      <c r="L144" s="496"/>
      <c r="M144" s="497"/>
      <c r="N144" s="497"/>
      <c r="O144" s="497"/>
      <c r="P144" s="497"/>
      <c r="Q144" s="497"/>
      <c r="R144" s="23"/>
      <c r="AA144" s="498" t="s">
        <v>648</v>
      </c>
      <c r="AB144" s="16" t="s">
        <v>10</v>
      </c>
      <c r="AC144" s="17"/>
      <c r="AD144" s="18"/>
      <c r="AE144" s="19" t="s">
        <v>11</v>
      </c>
      <c r="AF144" s="20" t="s">
        <v>12</v>
      </c>
      <c r="AG144" s="24" t="s">
        <v>13</v>
      </c>
      <c r="AH144" s="22" t="s">
        <v>14</v>
      </c>
      <c r="AI144" s="25" t="s">
        <v>15</v>
      </c>
      <c r="AJ144" s="22" t="s">
        <v>16</v>
      </c>
      <c r="AN144" s="181"/>
      <c r="AO144" s="103"/>
      <c r="AP144" s="404" t="s">
        <v>75</v>
      </c>
      <c r="AQ144" s="104"/>
      <c r="AR144" s="425">
        <v>13950</v>
      </c>
      <c r="AS144" s="406">
        <f t="shared" si="197"/>
        <v>9800</v>
      </c>
      <c r="AT144" s="406">
        <f t="shared" si="198"/>
        <v>1400</v>
      </c>
      <c r="AU144" s="406">
        <f t="shared" si="199"/>
        <v>2800</v>
      </c>
      <c r="AV144" s="389">
        <f t="shared" si="200"/>
        <v>27950</v>
      </c>
      <c r="AW144" s="406">
        <f t="shared" si="201"/>
        <v>33540</v>
      </c>
      <c r="AX144" s="175">
        <f t="shared" si="202"/>
        <v>23740</v>
      </c>
      <c r="BS144" s="484" t="s">
        <v>649</v>
      </c>
      <c r="BT144" s="485">
        <v>16500</v>
      </c>
      <c r="BU144" s="485">
        <v>23300</v>
      </c>
      <c r="BV144" s="485">
        <v>31100</v>
      </c>
      <c r="BW144" s="485">
        <v>45700</v>
      </c>
      <c r="BX144" s="485">
        <v>54400</v>
      </c>
      <c r="BY144" s="485">
        <v>82500</v>
      </c>
      <c r="CH144" s="181"/>
      <c r="CI144" s="468" t="s">
        <v>650</v>
      </c>
      <c r="CJ144" s="469" t="s">
        <v>651</v>
      </c>
      <c r="CK144" s="449">
        <v>1618674</v>
      </c>
      <c r="CL144" s="401">
        <f t="shared" si="179"/>
        <v>1943000</v>
      </c>
      <c r="CZ144" s="324" t="s">
        <v>472</v>
      </c>
      <c r="DA144" s="454" t="s">
        <v>473</v>
      </c>
      <c r="DB144" s="325">
        <v>4</v>
      </c>
      <c r="DC144" s="444">
        <v>272400</v>
      </c>
      <c r="DD144" s="445"/>
      <c r="DE144" s="444">
        <f t="shared" si="152"/>
        <v>368000</v>
      </c>
      <c r="DF144" s="445"/>
      <c r="DG144" s="444">
        <f t="shared" si="190"/>
        <v>166000</v>
      </c>
      <c r="DH144" s="445"/>
      <c r="DJ144" s="1">
        <v>1.5</v>
      </c>
      <c r="DK144" s="499" t="s">
        <v>652</v>
      </c>
      <c r="DL144" s="499"/>
      <c r="DM144" s="499"/>
      <c r="DN144" s="499"/>
      <c r="DO144" s="499"/>
      <c r="DP144" s="499"/>
      <c r="DQ144" s="161"/>
      <c r="DR144" s="161"/>
      <c r="DS144" s="499" t="s">
        <v>653</v>
      </c>
      <c r="DT144" s="499"/>
      <c r="DU144" s="499"/>
      <c r="DV144" s="499"/>
      <c r="DW144" s="499"/>
      <c r="DX144" s="499"/>
      <c r="DY144" s="161"/>
    </row>
    <row r="145" spans="1:129" ht="15.75" customHeight="1" thickBot="1">
      <c r="A145" s="480" t="s">
        <v>625</v>
      </c>
      <c r="B145" s="480"/>
      <c r="C145" s="181"/>
      <c r="D145" s="175"/>
      <c r="E145" s="387"/>
      <c r="K145" s="387"/>
      <c r="L145" s="500"/>
      <c r="M145" s="497"/>
      <c r="N145" s="497"/>
      <c r="O145" s="497"/>
      <c r="P145" s="497"/>
      <c r="Q145" s="497"/>
      <c r="R145" s="23"/>
      <c r="AA145" s="501"/>
      <c r="AB145" s="36"/>
      <c r="AC145" s="37"/>
      <c r="AD145" s="38"/>
      <c r="AE145" s="39" t="s">
        <v>22</v>
      </c>
      <c r="AF145" s="40"/>
      <c r="AG145" s="502"/>
      <c r="AH145" s="42" t="s">
        <v>29</v>
      </c>
      <c r="AI145" s="393"/>
      <c r="AJ145" s="42" t="s">
        <v>30</v>
      </c>
      <c r="AN145" s="181"/>
      <c r="AO145" s="103"/>
      <c r="AP145" s="404" t="s">
        <v>59</v>
      </c>
      <c r="AQ145" s="104"/>
      <c r="AR145" s="425">
        <v>20300</v>
      </c>
      <c r="AS145" s="406">
        <f t="shared" si="197"/>
        <v>14300</v>
      </c>
      <c r="AT145" s="406">
        <f t="shared" si="198"/>
        <v>2100</v>
      </c>
      <c r="AU145" s="406">
        <f t="shared" si="199"/>
        <v>4100</v>
      </c>
      <c r="AV145" s="389">
        <f t="shared" si="200"/>
        <v>40800</v>
      </c>
      <c r="AW145" s="406">
        <f t="shared" si="201"/>
        <v>48960</v>
      </c>
      <c r="AX145" s="175">
        <f t="shared" si="202"/>
        <v>34660</v>
      </c>
      <c r="BS145" s="484" t="s">
        <v>654</v>
      </c>
      <c r="BT145" s="485">
        <v>33100</v>
      </c>
      <c r="BU145" s="485">
        <v>39800</v>
      </c>
      <c r="BV145" s="485">
        <v>61100</v>
      </c>
      <c r="BW145" s="485">
        <v>92200</v>
      </c>
      <c r="BX145" s="485">
        <v>116500</v>
      </c>
      <c r="BY145" s="485">
        <v>165000</v>
      </c>
      <c r="CH145" s="181"/>
      <c r="CI145" s="468" t="s">
        <v>655</v>
      </c>
      <c r="CJ145" s="469" t="s">
        <v>656</v>
      </c>
      <c r="CK145" s="449">
        <v>591234</v>
      </c>
      <c r="CL145" s="401">
        <f t="shared" si="179"/>
        <v>710000</v>
      </c>
      <c r="CZ145" s="324">
        <v>150</v>
      </c>
      <c r="DA145" s="325" t="s">
        <v>124</v>
      </c>
      <c r="DB145" s="325">
        <v>3</v>
      </c>
      <c r="DC145" s="444">
        <v>274900</v>
      </c>
      <c r="DD145" s="445"/>
      <c r="DE145" s="444">
        <f t="shared" si="152"/>
        <v>372000</v>
      </c>
      <c r="DF145" s="445"/>
      <c r="DG145" s="444">
        <f t="shared" si="190"/>
        <v>168000</v>
      </c>
      <c r="DH145" s="445"/>
      <c r="DK145" s="503" t="s">
        <v>657</v>
      </c>
      <c r="DL145" s="504" t="s">
        <v>658</v>
      </c>
      <c r="DM145" s="354" t="s">
        <v>659</v>
      </c>
      <c r="DN145" s="354"/>
      <c r="DO145" s="354"/>
      <c r="DP145" s="505"/>
      <c r="DQ145" s="161"/>
      <c r="DR145" s="161"/>
      <c r="DS145" s="503" t="s">
        <v>657</v>
      </c>
      <c r="DT145" s="506" t="s">
        <v>658</v>
      </c>
      <c r="DU145" s="507" t="s">
        <v>659</v>
      </c>
      <c r="DV145" s="507"/>
      <c r="DW145" s="507"/>
      <c r="DX145" s="508"/>
      <c r="DY145" s="161"/>
    </row>
    <row r="146" spans="1:129" ht="29.4" thickBot="1">
      <c r="A146" s="23" t="s">
        <v>13</v>
      </c>
      <c r="B146" s="23">
        <v>0.4</v>
      </c>
      <c r="C146" s="509"/>
      <c r="D146" s="482">
        <f>SUM(D144:D145)</f>
        <v>8700</v>
      </c>
      <c r="E146" s="387"/>
      <c r="K146" s="387"/>
      <c r="L146" s="500"/>
      <c r="M146" s="497"/>
      <c r="N146" s="497"/>
      <c r="O146" s="497"/>
      <c r="P146" s="497"/>
      <c r="Q146" s="497"/>
      <c r="R146" s="23"/>
      <c r="AA146" s="403" t="s">
        <v>53</v>
      </c>
      <c r="AB146" s="103" t="s">
        <v>53</v>
      </c>
      <c r="AC146" s="52" t="s">
        <v>52</v>
      </c>
      <c r="AD146" s="104" t="s">
        <v>53</v>
      </c>
      <c r="AE146" s="433">
        <f>ROUNDUP(((1300)*35%)+(1300),-3)</f>
        <v>2000</v>
      </c>
      <c r="AF146" s="106">
        <f t="shared" ref="AF146:AF158" si="203">ROUNDUP(AE146*$AL$154,-3)</f>
        <v>1000</v>
      </c>
      <c r="AG146" s="117">
        <f t="shared" ref="AG146:AG158" si="204">ROUNDUP(AE146*$AL$155,-3)</f>
        <v>1000</v>
      </c>
      <c r="AH146" s="106">
        <f t="shared" ref="AH146:AH158" si="205">ROUNDUP(AE146*$AL$156,-3)</f>
        <v>1000</v>
      </c>
      <c r="AI146" s="177">
        <f t="shared" ref="AI146:AI158" si="206">SUM(AE146:AH146)</f>
        <v>5000</v>
      </c>
      <c r="AJ146" s="106">
        <f t="shared" ref="AJ146:AJ158" si="207">ROUNDUP(AI146*$AL$158,-3)</f>
        <v>7000</v>
      </c>
      <c r="AN146" s="181"/>
      <c r="AO146" s="103"/>
      <c r="AP146" s="404" t="s">
        <v>125</v>
      </c>
      <c r="AQ146" s="104"/>
      <c r="AR146" s="425">
        <v>28100</v>
      </c>
      <c r="AS146" s="406">
        <f t="shared" si="197"/>
        <v>19700</v>
      </c>
      <c r="AT146" s="406">
        <f t="shared" si="198"/>
        <v>2900</v>
      </c>
      <c r="AU146" s="406">
        <f t="shared" si="199"/>
        <v>5700</v>
      </c>
      <c r="AV146" s="389">
        <f t="shared" si="200"/>
        <v>56400</v>
      </c>
      <c r="AW146" s="406">
        <f t="shared" si="201"/>
        <v>67680</v>
      </c>
      <c r="AX146" s="175">
        <f t="shared" si="202"/>
        <v>47980</v>
      </c>
      <c r="BS146" s="510" t="s">
        <v>660</v>
      </c>
      <c r="BT146" s="511">
        <v>14600</v>
      </c>
      <c r="BU146" s="511">
        <v>16500</v>
      </c>
      <c r="BV146" s="511">
        <v>24300</v>
      </c>
      <c r="BW146" s="511">
        <v>38900</v>
      </c>
      <c r="BX146" s="511">
        <v>45700</v>
      </c>
      <c r="BY146" s="511">
        <v>63100</v>
      </c>
      <c r="CH146" s="181"/>
      <c r="CI146" s="468" t="s">
        <v>661</v>
      </c>
      <c r="CJ146" s="469" t="s">
        <v>662</v>
      </c>
      <c r="CK146" s="449">
        <v>595929</v>
      </c>
      <c r="CL146" s="401">
        <f t="shared" si="179"/>
        <v>716000</v>
      </c>
      <c r="CZ146" s="428">
        <v>200</v>
      </c>
      <c r="DA146" s="430" t="s">
        <v>132</v>
      </c>
      <c r="DB146" s="430">
        <v>2</v>
      </c>
      <c r="DC146" s="512">
        <v>569600</v>
      </c>
      <c r="DD146" s="513"/>
      <c r="DE146" s="512">
        <f t="shared" si="152"/>
        <v>769000</v>
      </c>
      <c r="DF146" s="513"/>
      <c r="DG146" s="512">
        <f t="shared" si="190"/>
        <v>347000</v>
      </c>
      <c r="DH146" s="513"/>
      <c r="DK146" s="514"/>
      <c r="DL146" s="515"/>
      <c r="DM146" s="362" t="s">
        <v>588</v>
      </c>
      <c r="DN146" s="516" t="s">
        <v>91</v>
      </c>
      <c r="DO146" s="362" t="s">
        <v>663</v>
      </c>
      <c r="DP146" s="517" t="s">
        <v>91</v>
      </c>
      <c r="DQ146" s="161"/>
      <c r="DR146" s="161"/>
      <c r="DS146" s="514"/>
      <c r="DT146" s="518"/>
      <c r="DU146" s="519" t="s">
        <v>591</v>
      </c>
      <c r="DV146" s="516" t="s">
        <v>91</v>
      </c>
      <c r="DW146" s="519" t="s">
        <v>664</v>
      </c>
      <c r="DX146" s="517" t="s">
        <v>91</v>
      </c>
      <c r="DY146" s="161"/>
    </row>
    <row r="147" spans="1:129" ht="15" thickBot="1">
      <c r="A147" s="23" t="s">
        <v>208</v>
      </c>
      <c r="B147" s="23">
        <v>0.2</v>
      </c>
      <c r="C147" s="181"/>
      <c r="D147" s="175">
        <f>D146*B146</f>
        <v>3480</v>
      </c>
      <c r="E147" s="387"/>
      <c r="K147" s="387"/>
      <c r="L147" s="500"/>
      <c r="M147" s="497"/>
      <c r="N147" s="497"/>
      <c r="O147" s="497"/>
      <c r="P147" s="497"/>
      <c r="Q147" s="497"/>
      <c r="R147" s="23"/>
      <c r="AA147" s="414"/>
      <c r="AB147" s="141" t="s">
        <v>53</v>
      </c>
      <c r="AC147" s="142" t="s">
        <v>52</v>
      </c>
      <c r="AD147" s="143" t="s">
        <v>51</v>
      </c>
      <c r="AE147" s="144">
        <f>ROUNDUP(((2100)*35%)+(2100),-3)</f>
        <v>3000</v>
      </c>
      <c r="AF147" s="145">
        <f t="shared" si="203"/>
        <v>2000</v>
      </c>
      <c r="AG147" s="146">
        <f t="shared" si="204"/>
        <v>1000</v>
      </c>
      <c r="AH147" s="145">
        <f t="shared" si="205"/>
        <v>1000</v>
      </c>
      <c r="AI147" s="151">
        <f t="shared" si="206"/>
        <v>7000</v>
      </c>
      <c r="AJ147" s="145">
        <f t="shared" si="207"/>
        <v>10000</v>
      </c>
      <c r="AN147" s="183"/>
      <c r="AO147" s="141"/>
      <c r="AP147" s="415" t="s">
        <v>40</v>
      </c>
      <c r="AQ147" s="143"/>
      <c r="AR147" s="436">
        <v>37100</v>
      </c>
      <c r="AS147" s="417">
        <f t="shared" si="197"/>
        <v>26000</v>
      </c>
      <c r="AT147" s="417">
        <f t="shared" si="198"/>
        <v>3800</v>
      </c>
      <c r="AU147" s="417">
        <f t="shared" si="199"/>
        <v>7500</v>
      </c>
      <c r="AV147" s="418">
        <f t="shared" si="200"/>
        <v>74400</v>
      </c>
      <c r="AW147" s="417">
        <f t="shared" si="201"/>
        <v>89280</v>
      </c>
      <c r="AX147" s="148">
        <f t="shared" si="202"/>
        <v>63280</v>
      </c>
      <c r="CH147" s="181"/>
      <c r="CI147" s="468" t="s">
        <v>665</v>
      </c>
      <c r="CJ147" s="469" t="s">
        <v>666</v>
      </c>
      <c r="CK147" s="449">
        <v>1819494</v>
      </c>
      <c r="CL147" s="401">
        <f t="shared" si="179"/>
        <v>2184000</v>
      </c>
      <c r="DK147" s="287" t="s">
        <v>136</v>
      </c>
      <c r="DL147" s="520" t="s">
        <v>667</v>
      </c>
      <c r="DM147" s="521">
        <v>4244400</v>
      </c>
      <c r="DN147" s="163">
        <f>DM147*$DJ$144</f>
        <v>6366600</v>
      </c>
      <c r="DO147" s="521">
        <v>5808000</v>
      </c>
      <c r="DP147" s="164">
        <f>DO147*$DJ$144</f>
        <v>8712000</v>
      </c>
      <c r="DQ147" s="161">
        <f>DP147/6</f>
        <v>1452000</v>
      </c>
      <c r="DR147" s="161"/>
      <c r="DS147" s="287" t="s">
        <v>668</v>
      </c>
      <c r="DT147" s="520" t="s">
        <v>669</v>
      </c>
      <c r="DU147" s="163">
        <v>5405000</v>
      </c>
      <c r="DV147" s="163">
        <f>DU147*$DJ$144</f>
        <v>8107500</v>
      </c>
      <c r="DW147" s="163">
        <v>7395000</v>
      </c>
      <c r="DX147" s="164">
        <f>DW147*$DJ$144</f>
        <v>11092500</v>
      </c>
      <c r="DY147" s="161"/>
    </row>
    <row r="148" spans="1:129" ht="18.600000000000001" thickBot="1">
      <c r="A148" s="259" t="s">
        <v>15</v>
      </c>
      <c r="B148" s="259"/>
      <c r="C148" s="181"/>
      <c r="D148" s="175">
        <f>D146*B147</f>
        <v>1740</v>
      </c>
      <c r="E148" s="387"/>
      <c r="K148" s="387"/>
      <c r="L148" s="500"/>
      <c r="M148" s="497"/>
      <c r="N148" s="497"/>
      <c r="O148" s="497"/>
      <c r="P148" s="497"/>
      <c r="Q148" s="497"/>
      <c r="R148" s="23"/>
      <c r="AA148" s="396" t="s">
        <v>51</v>
      </c>
      <c r="AB148" s="189" t="s">
        <v>51</v>
      </c>
      <c r="AC148" s="190" t="s">
        <v>52</v>
      </c>
      <c r="AD148" s="191" t="s">
        <v>53</v>
      </c>
      <c r="AE148" s="439">
        <f>ROUNDUP(((1800)*35%)+(1800),-3)</f>
        <v>3000</v>
      </c>
      <c r="AF148" s="114">
        <f t="shared" si="203"/>
        <v>2000</v>
      </c>
      <c r="AG148" s="113">
        <f t="shared" si="204"/>
        <v>1000</v>
      </c>
      <c r="AH148" s="114">
        <f t="shared" si="205"/>
        <v>1000</v>
      </c>
      <c r="AI148" s="115">
        <f t="shared" si="206"/>
        <v>7000</v>
      </c>
      <c r="AJ148" s="114">
        <f t="shared" si="207"/>
        <v>10000</v>
      </c>
      <c r="AL148" s="23">
        <v>0.4</v>
      </c>
      <c r="AN148" s="396" t="s">
        <v>670</v>
      </c>
      <c r="AO148" s="189"/>
      <c r="AP148" s="397" t="s">
        <v>430</v>
      </c>
      <c r="AQ148" s="191"/>
      <c r="AR148" s="398">
        <v>8000</v>
      </c>
      <c r="AS148" s="114">
        <f t="shared" si="197"/>
        <v>5600</v>
      </c>
      <c r="AT148" s="114">
        <f t="shared" si="198"/>
        <v>800</v>
      </c>
      <c r="AU148" s="114">
        <f t="shared" si="199"/>
        <v>1600</v>
      </c>
      <c r="AV148" s="399">
        <f t="shared" si="200"/>
        <v>16000</v>
      </c>
      <c r="AW148" s="400">
        <f t="shared" si="201"/>
        <v>19200</v>
      </c>
      <c r="AX148" s="175">
        <f t="shared" si="202"/>
        <v>13600</v>
      </c>
      <c r="BU148" s="522" t="s">
        <v>671</v>
      </c>
      <c r="BV148" s="522"/>
      <c r="BW148" s="522"/>
      <c r="CH148" s="183"/>
      <c r="CI148" s="523" t="s">
        <v>672</v>
      </c>
      <c r="CJ148" s="524" t="s">
        <v>673</v>
      </c>
      <c r="CK148" s="456">
        <v>9835053</v>
      </c>
      <c r="CL148" s="426">
        <f t="shared" si="179"/>
        <v>11803000</v>
      </c>
      <c r="DK148" s="287" t="s">
        <v>139</v>
      </c>
      <c r="DL148" s="520" t="s">
        <v>667</v>
      </c>
      <c r="DM148" s="521">
        <v>5047100</v>
      </c>
      <c r="DN148" s="163">
        <v>5047100</v>
      </c>
      <c r="DO148" s="521">
        <v>6906000</v>
      </c>
      <c r="DP148" s="164">
        <f t="shared" ref="DP148:DP153" si="208">DO148*$DJ$144</f>
        <v>10359000</v>
      </c>
      <c r="DQ148" s="161"/>
      <c r="DR148" s="161"/>
      <c r="DS148" s="287" t="s">
        <v>674</v>
      </c>
      <c r="DT148" s="520" t="s">
        <v>669</v>
      </c>
      <c r="DU148" s="163">
        <v>6432000</v>
      </c>
      <c r="DV148" s="163">
        <f t="shared" ref="DV148:DV153" si="209">DU148*$DJ$144</f>
        <v>9648000</v>
      </c>
      <c r="DW148" s="163">
        <v>8801000</v>
      </c>
      <c r="DX148" s="164">
        <f t="shared" ref="DX148:DX153" si="210">DW148*$DJ$144</f>
        <v>13201500</v>
      </c>
      <c r="DY148" s="161"/>
    </row>
    <row r="149" spans="1:129" ht="15" thickBot="1">
      <c r="A149" s="23" t="s">
        <v>215</v>
      </c>
      <c r="B149" s="23">
        <v>1.2</v>
      </c>
      <c r="C149" s="525"/>
      <c r="D149" s="486">
        <f>SUM(D146:D148)</f>
        <v>13920</v>
      </c>
      <c r="E149" s="387"/>
      <c r="K149" s="387"/>
      <c r="L149" s="500"/>
      <c r="M149" s="497"/>
      <c r="N149" s="497"/>
      <c r="O149" s="497"/>
      <c r="P149" s="497"/>
      <c r="Q149" s="497"/>
      <c r="R149" s="23"/>
      <c r="AA149" s="414"/>
      <c r="AB149" s="141" t="s">
        <v>51</v>
      </c>
      <c r="AC149" s="142" t="s">
        <v>52</v>
      </c>
      <c r="AD149" s="143" t="s">
        <v>51</v>
      </c>
      <c r="AE149" s="144">
        <f>ROUNDUP(((1800)*35%)+(1800),-3)</f>
        <v>3000</v>
      </c>
      <c r="AF149" s="145">
        <f t="shared" si="203"/>
        <v>2000</v>
      </c>
      <c r="AG149" s="146">
        <f t="shared" si="204"/>
        <v>1000</v>
      </c>
      <c r="AH149" s="145">
        <f t="shared" si="205"/>
        <v>1000</v>
      </c>
      <c r="AI149" s="151">
        <f t="shared" si="206"/>
        <v>7000</v>
      </c>
      <c r="AJ149" s="145">
        <f t="shared" si="207"/>
        <v>10000</v>
      </c>
      <c r="AL149" s="23">
        <v>0.1</v>
      </c>
      <c r="AN149" s="181"/>
      <c r="AO149" s="103"/>
      <c r="AP149" s="404" t="s">
        <v>437</v>
      </c>
      <c r="AQ149" s="104"/>
      <c r="AR149" s="425">
        <v>8000</v>
      </c>
      <c r="AS149" s="406">
        <f t="shared" si="197"/>
        <v>5600</v>
      </c>
      <c r="AT149" s="406">
        <f t="shared" si="198"/>
        <v>800</v>
      </c>
      <c r="AU149" s="406">
        <f t="shared" si="199"/>
        <v>1600</v>
      </c>
      <c r="AV149" s="389">
        <f t="shared" si="200"/>
        <v>16000</v>
      </c>
      <c r="AW149" s="406">
        <f t="shared" si="201"/>
        <v>19200</v>
      </c>
      <c r="AX149" s="175">
        <f t="shared" si="202"/>
        <v>13600</v>
      </c>
      <c r="BS149" s="483" t="s">
        <v>10</v>
      </c>
      <c r="BT149" s="483" t="s">
        <v>53</v>
      </c>
      <c r="BU149" s="483" t="s">
        <v>51</v>
      </c>
      <c r="BV149" s="483" t="s">
        <v>75</v>
      </c>
      <c r="BW149" s="483" t="s">
        <v>240</v>
      </c>
      <c r="BX149" s="483" t="s">
        <v>243</v>
      </c>
      <c r="BY149" s="483" t="s">
        <v>40</v>
      </c>
      <c r="CI149" s="526"/>
      <c r="CJ149" s="469"/>
      <c r="CK149" s="62"/>
      <c r="CL149" s="117"/>
      <c r="DK149" s="287" t="s">
        <v>347</v>
      </c>
      <c r="DL149" s="520" t="s">
        <v>675</v>
      </c>
      <c r="DM149" s="521">
        <v>6206000</v>
      </c>
      <c r="DN149" s="163">
        <v>6206000</v>
      </c>
      <c r="DO149" s="521">
        <v>8491200</v>
      </c>
      <c r="DP149" s="164">
        <f t="shared" si="208"/>
        <v>12736800</v>
      </c>
      <c r="DQ149" s="161"/>
      <c r="DR149" s="161"/>
      <c r="DS149" s="287" t="s">
        <v>676</v>
      </c>
      <c r="DT149" s="520" t="s">
        <v>669</v>
      </c>
      <c r="DU149" s="163">
        <v>7077000</v>
      </c>
      <c r="DV149" s="163">
        <f t="shared" si="209"/>
        <v>10615500</v>
      </c>
      <c r="DW149" s="163">
        <v>9683000</v>
      </c>
      <c r="DX149" s="164">
        <f t="shared" si="210"/>
        <v>14524500</v>
      </c>
      <c r="DY149" s="161"/>
    </row>
    <row r="150" spans="1:129" ht="21.6" thickBot="1">
      <c r="A150" s="23"/>
      <c r="B150" s="23"/>
      <c r="C150" s="183"/>
      <c r="D150" s="527">
        <f>ROUNDUP((D149*B149),-3)</f>
        <v>17000</v>
      </c>
      <c r="E150" s="528"/>
      <c r="F150" s="170"/>
      <c r="G150" s="170"/>
      <c r="H150" s="170"/>
      <c r="I150" s="170"/>
      <c r="J150" s="170"/>
      <c r="K150" s="528"/>
      <c r="L150" s="529"/>
      <c r="M150" s="497"/>
      <c r="N150" s="497"/>
      <c r="O150" s="497"/>
      <c r="P150" s="497"/>
      <c r="Q150" s="497"/>
      <c r="R150" s="23"/>
      <c r="AA150" s="396" t="s">
        <v>75</v>
      </c>
      <c r="AB150" s="189" t="s">
        <v>75</v>
      </c>
      <c r="AC150" s="190" t="s">
        <v>52</v>
      </c>
      <c r="AD150" s="191" t="s">
        <v>53</v>
      </c>
      <c r="AE150" s="439">
        <f>ROUNDUP(((2100)*35%)+(2100),-3)</f>
        <v>3000</v>
      </c>
      <c r="AF150" s="114">
        <f t="shared" si="203"/>
        <v>2000</v>
      </c>
      <c r="AG150" s="113">
        <f t="shared" si="204"/>
        <v>1000</v>
      </c>
      <c r="AH150" s="114">
        <f t="shared" si="205"/>
        <v>1000</v>
      </c>
      <c r="AI150" s="115">
        <f t="shared" si="206"/>
        <v>7000</v>
      </c>
      <c r="AJ150" s="114">
        <f t="shared" si="207"/>
        <v>10000</v>
      </c>
      <c r="AL150" s="23">
        <v>0.2</v>
      </c>
      <c r="AN150" s="181"/>
      <c r="AO150" s="103"/>
      <c r="AP150" s="404" t="s">
        <v>53</v>
      </c>
      <c r="AQ150" s="104"/>
      <c r="AR150" s="425">
        <v>7100</v>
      </c>
      <c r="AS150" s="406">
        <f t="shared" si="197"/>
        <v>5000</v>
      </c>
      <c r="AT150" s="406">
        <f t="shared" si="198"/>
        <v>800</v>
      </c>
      <c r="AU150" s="406">
        <f t="shared" si="199"/>
        <v>1500</v>
      </c>
      <c r="AV150" s="389">
        <f t="shared" si="200"/>
        <v>14400</v>
      </c>
      <c r="AW150" s="406">
        <f t="shared" si="201"/>
        <v>17280</v>
      </c>
      <c r="AX150" s="175">
        <f t="shared" si="202"/>
        <v>12280</v>
      </c>
      <c r="BS150" s="484" t="s">
        <v>628</v>
      </c>
      <c r="BT150" s="485">
        <f>BT132*$BZ$131</f>
        <v>23625</v>
      </c>
      <c r="BU150" s="485">
        <f t="shared" ref="BU150:BY153" si="211">BU132*$BZ$131</f>
        <v>34155</v>
      </c>
      <c r="BV150" s="485">
        <f t="shared" si="211"/>
        <v>58995.000000000007</v>
      </c>
      <c r="BW150" s="485">
        <f t="shared" si="211"/>
        <v>78705</v>
      </c>
      <c r="BX150" s="485">
        <f t="shared" si="211"/>
        <v>104760</v>
      </c>
      <c r="BY150" s="485">
        <f t="shared" si="211"/>
        <v>157275</v>
      </c>
      <c r="CM150" s="12"/>
      <c r="CN150" s="12"/>
      <c r="CO150" s="12"/>
      <c r="DK150" s="287" t="s">
        <v>374</v>
      </c>
      <c r="DL150" s="520" t="s">
        <v>675</v>
      </c>
      <c r="DM150" s="521">
        <v>7107000</v>
      </c>
      <c r="DN150" s="163">
        <v>7107000</v>
      </c>
      <c r="DO150" s="521">
        <v>9724000</v>
      </c>
      <c r="DP150" s="164">
        <f t="shared" si="208"/>
        <v>14586000</v>
      </c>
      <c r="DQ150" s="161"/>
      <c r="DR150" s="161"/>
      <c r="DS150" s="287" t="s">
        <v>677</v>
      </c>
      <c r="DT150" s="520" t="s">
        <v>669</v>
      </c>
      <c r="DU150" s="163">
        <v>8106000</v>
      </c>
      <c r="DV150" s="163">
        <f t="shared" si="209"/>
        <v>12159000</v>
      </c>
      <c r="DW150" s="163">
        <v>11091000</v>
      </c>
      <c r="DX150" s="164">
        <f t="shared" si="210"/>
        <v>16636500</v>
      </c>
      <c r="DY150" s="161"/>
    </row>
    <row r="151" spans="1:129" ht="36.75" customHeight="1" thickBot="1">
      <c r="A151" s="23"/>
      <c r="B151" s="23"/>
      <c r="D151" s="5"/>
      <c r="E151" s="530"/>
      <c r="K151" s="530"/>
      <c r="L151" s="530"/>
      <c r="M151" s="497"/>
      <c r="N151" s="497"/>
      <c r="O151" s="497"/>
      <c r="P151" s="497"/>
      <c r="Q151" s="497"/>
      <c r="R151" s="23"/>
      <c r="AA151" s="181"/>
      <c r="AB151" s="103" t="s">
        <v>75</v>
      </c>
      <c r="AC151" s="52" t="s">
        <v>52</v>
      </c>
      <c r="AD151" s="104" t="s">
        <v>51</v>
      </c>
      <c r="AE151" s="433">
        <f>ROUNDUP(((2200)*35%)+(2200),-3)</f>
        <v>3000</v>
      </c>
      <c r="AF151" s="106">
        <f t="shared" si="203"/>
        <v>2000</v>
      </c>
      <c r="AG151" s="117">
        <f t="shared" si="204"/>
        <v>1000</v>
      </c>
      <c r="AH151" s="106">
        <f t="shared" si="205"/>
        <v>1000</v>
      </c>
      <c r="AI151" s="177">
        <f t="shared" si="206"/>
        <v>7000</v>
      </c>
      <c r="AJ151" s="106">
        <f t="shared" si="207"/>
        <v>10000</v>
      </c>
      <c r="AL151" s="110"/>
      <c r="AN151" s="181"/>
      <c r="AO151" s="103"/>
      <c r="AP151" s="404" t="s">
        <v>51</v>
      </c>
      <c r="AQ151" s="104"/>
      <c r="AR151" s="425">
        <v>8750</v>
      </c>
      <c r="AS151" s="406">
        <f t="shared" si="197"/>
        <v>6200</v>
      </c>
      <c r="AT151" s="406">
        <f t="shared" si="198"/>
        <v>900</v>
      </c>
      <c r="AU151" s="406">
        <f t="shared" si="199"/>
        <v>1800</v>
      </c>
      <c r="AV151" s="389">
        <f t="shared" si="200"/>
        <v>17650</v>
      </c>
      <c r="AW151" s="406">
        <f t="shared" si="201"/>
        <v>21180</v>
      </c>
      <c r="AX151" s="175">
        <f t="shared" si="202"/>
        <v>14980</v>
      </c>
      <c r="BS151" s="484" t="s">
        <v>632</v>
      </c>
      <c r="BT151" s="485">
        <f>BT133*$BZ$131</f>
        <v>18427.5</v>
      </c>
      <c r="BU151" s="485">
        <f t="shared" si="211"/>
        <v>24975</v>
      </c>
      <c r="BV151" s="485">
        <f t="shared" si="211"/>
        <v>41985</v>
      </c>
      <c r="BW151" s="485">
        <f t="shared" si="211"/>
        <v>58995.000000000007</v>
      </c>
      <c r="BX151" s="485">
        <f t="shared" si="211"/>
        <v>71955</v>
      </c>
      <c r="BY151" s="485">
        <f t="shared" si="211"/>
        <v>111375.00000000001</v>
      </c>
      <c r="CJ151" s="531" t="s">
        <v>678</v>
      </c>
      <c r="CK151" s="532"/>
      <c r="CL151" s="532"/>
      <c r="DK151" s="287" t="s">
        <v>394</v>
      </c>
      <c r="DL151" s="156" t="s">
        <v>679</v>
      </c>
      <c r="DM151" s="163">
        <v>9135000</v>
      </c>
      <c r="DN151" s="163">
        <v>9135000</v>
      </c>
      <c r="DO151" s="163">
        <v>12500000</v>
      </c>
      <c r="DP151" s="164">
        <f t="shared" si="208"/>
        <v>18750000</v>
      </c>
      <c r="DQ151" s="161"/>
      <c r="DR151" s="161"/>
      <c r="DS151" s="287" t="s">
        <v>680</v>
      </c>
      <c r="DT151" s="156" t="s">
        <v>681</v>
      </c>
      <c r="DU151" s="163">
        <v>13348000</v>
      </c>
      <c r="DV151" s="163">
        <f t="shared" si="209"/>
        <v>20022000</v>
      </c>
      <c r="DW151" s="163">
        <v>18302000</v>
      </c>
      <c r="DX151" s="164">
        <f t="shared" si="210"/>
        <v>27453000</v>
      </c>
      <c r="DY151" s="161"/>
    </row>
    <row r="152" spans="1:129" ht="18" thickBot="1">
      <c r="A152" s="23"/>
      <c r="B152" s="23"/>
      <c r="C152" s="16" t="s">
        <v>603</v>
      </c>
      <c r="D152" s="20" t="s">
        <v>604</v>
      </c>
      <c r="E152" s="17" t="s">
        <v>605</v>
      </c>
      <c r="F152" s="20" t="s">
        <v>606</v>
      </c>
      <c r="G152" s="20" t="s">
        <v>607</v>
      </c>
      <c r="H152" s="20" t="s">
        <v>608</v>
      </c>
      <c r="I152" s="227" t="s">
        <v>609</v>
      </c>
      <c r="J152" s="227" t="s">
        <v>610</v>
      </c>
      <c r="K152" s="227" t="s">
        <v>610</v>
      </c>
      <c r="L152" s="226" t="s">
        <v>611</v>
      </c>
      <c r="M152" s="497"/>
      <c r="N152" s="497"/>
      <c r="O152" s="497"/>
      <c r="P152" s="497"/>
      <c r="Q152" s="497"/>
      <c r="R152" s="23"/>
      <c r="AA152" s="414"/>
      <c r="AB152" s="141" t="s">
        <v>75</v>
      </c>
      <c r="AC152" s="142" t="s">
        <v>52</v>
      </c>
      <c r="AD152" s="143" t="s">
        <v>75</v>
      </c>
      <c r="AE152" s="144">
        <f>ROUNDUP(((2500)*35%)+(2500),-3)</f>
        <v>4000</v>
      </c>
      <c r="AF152" s="145">
        <f t="shared" si="203"/>
        <v>2000</v>
      </c>
      <c r="AG152" s="146">
        <f t="shared" si="204"/>
        <v>1000</v>
      </c>
      <c r="AH152" s="145">
        <f t="shared" si="205"/>
        <v>1000</v>
      </c>
      <c r="AI152" s="151">
        <f t="shared" si="206"/>
        <v>8000</v>
      </c>
      <c r="AJ152" s="145">
        <f t="shared" si="207"/>
        <v>11000</v>
      </c>
      <c r="AL152" s="23">
        <v>1.3</v>
      </c>
      <c r="AN152" s="181"/>
      <c r="AO152" s="103"/>
      <c r="AP152" s="404" t="s">
        <v>75</v>
      </c>
      <c r="AQ152" s="104"/>
      <c r="AR152" s="425">
        <v>11700</v>
      </c>
      <c r="AS152" s="406">
        <f t="shared" si="197"/>
        <v>8200</v>
      </c>
      <c r="AT152" s="406">
        <f t="shared" si="198"/>
        <v>1200</v>
      </c>
      <c r="AU152" s="406">
        <f t="shared" si="199"/>
        <v>2400</v>
      </c>
      <c r="AV152" s="389">
        <f t="shared" si="200"/>
        <v>23500</v>
      </c>
      <c r="AW152" s="406">
        <f t="shared" si="201"/>
        <v>28200</v>
      </c>
      <c r="AX152" s="175">
        <f t="shared" si="202"/>
        <v>20000</v>
      </c>
      <c r="BS152" s="484" t="s">
        <v>539</v>
      </c>
      <c r="BT152" s="485">
        <f>BT134*$BZ$131</f>
        <v>30240.000000000004</v>
      </c>
      <c r="BU152" s="485">
        <f t="shared" si="211"/>
        <v>43200</v>
      </c>
      <c r="BV152" s="485">
        <f t="shared" si="211"/>
        <v>77220</v>
      </c>
      <c r="BW152" s="485">
        <f t="shared" si="211"/>
        <v>102195</v>
      </c>
      <c r="BX152" s="485">
        <f t="shared" si="211"/>
        <v>130950.00000000001</v>
      </c>
      <c r="BY152" s="485">
        <f t="shared" si="211"/>
        <v>226530.00000000003</v>
      </c>
      <c r="CH152" s="56" t="s">
        <v>41</v>
      </c>
      <c r="CI152" s="448" t="s">
        <v>42</v>
      </c>
      <c r="CJ152" s="58" t="s">
        <v>43</v>
      </c>
      <c r="CK152" s="57" t="s">
        <v>44</v>
      </c>
      <c r="CL152" s="57" t="s">
        <v>23</v>
      </c>
      <c r="DK152" s="287" t="s">
        <v>419</v>
      </c>
      <c r="DL152" s="520" t="s">
        <v>679</v>
      </c>
      <c r="DM152" s="521">
        <v>10165000</v>
      </c>
      <c r="DN152" s="163">
        <v>10165000</v>
      </c>
      <c r="DO152" s="521">
        <v>13908000</v>
      </c>
      <c r="DP152" s="164">
        <f t="shared" si="208"/>
        <v>20862000</v>
      </c>
      <c r="DQ152" s="161"/>
      <c r="DR152" s="161"/>
      <c r="DS152" s="287" t="s">
        <v>682</v>
      </c>
      <c r="DT152" s="520" t="s">
        <v>681</v>
      </c>
      <c r="DU152" s="163">
        <v>14862000</v>
      </c>
      <c r="DV152" s="163">
        <f t="shared" si="209"/>
        <v>22293000</v>
      </c>
      <c r="DW152" s="163">
        <v>20379000</v>
      </c>
      <c r="DX152" s="164">
        <f t="shared" si="210"/>
        <v>30568500</v>
      </c>
      <c r="DY152" s="161"/>
    </row>
    <row r="153" spans="1:129" ht="15" thickBot="1">
      <c r="C153" s="36"/>
      <c r="D153" s="40"/>
      <c r="E153" s="37"/>
      <c r="F153" s="40"/>
      <c r="G153" s="40"/>
      <c r="H153" s="40"/>
      <c r="I153" s="233" t="s">
        <v>615</v>
      </c>
      <c r="J153" s="233" t="s">
        <v>616</v>
      </c>
      <c r="K153" s="233" t="s">
        <v>617</v>
      </c>
      <c r="L153" s="232" t="s">
        <v>617</v>
      </c>
      <c r="M153" s="497"/>
      <c r="N153" s="497"/>
      <c r="O153" s="497"/>
      <c r="P153" s="497"/>
      <c r="Q153" s="497"/>
      <c r="R153" s="23"/>
      <c r="AA153" s="437" t="s">
        <v>59</v>
      </c>
      <c r="AB153" s="66" t="s">
        <v>59</v>
      </c>
      <c r="AC153" s="67" t="s">
        <v>52</v>
      </c>
      <c r="AD153" s="68" t="s">
        <v>59</v>
      </c>
      <c r="AE153" s="69">
        <f>ROUNDUP(((4700)*35%)+(4700),-3)</f>
        <v>7000</v>
      </c>
      <c r="AF153" s="70">
        <f t="shared" si="203"/>
        <v>3000</v>
      </c>
      <c r="AG153" s="71">
        <f t="shared" si="204"/>
        <v>1000</v>
      </c>
      <c r="AH153" s="70">
        <f t="shared" si="205"/>
        <v>2000</v>
      </c>
      <c r="AI153" s="75">
        <f t="shared" si="206"/>
        <v>13000</v>
      </c>
      <c r="AJ153" s="70">
        <f t="shared" si="207"/>
        <v>17000</v>
      </c>
      <c r="AN153" s="181"/>
      <c r="AO153" s="103"/>
      <c r="AP153" s="404" t="s">
        <v>59</v>
      </c>
      <c r="AQ153" s="104"/>
      <c r="AR153" s="425">
        <v>18500</v>
      </c>
      <c r="AS153" s="406">
        <f t="shared" si="197"/>
        <v>13000</v>
      </c>
      <c r="AT153" s="406">
        <f t="shared" si="198"/>
        <v>1900</v>
      </c>
      <c r="AU153" s="406">
        <f t="shared" si="199"/>
        <v>3700</v>
      </c>
      <c r="AV153" s="389">
        <f t="shared" si="200"/>
        <v>37100</v>
      </c>
      <c r="AW153" s="406">
        <f t="shared" si="201"/>
        <v>44520</v>
      </c>
      <c r="AX153" s="175">
        <f t="shared" si="202"/>
        <v>31520</v>
      </c>
      <c r="BS153" s="484" t="s">
        <v>683</v>
      </c>
      <c r="BT153" s="485">
        <f>BT135*$BZ$131</f>
        <v>30240.000000000004</v>
      </c>
      <c r="BU153" s="485">
        <f t="shared" si="211"/>
        <v>43200</v>
      </c>
      <c r="BV153" s="485">
        <f t="shared" si="211"/>
        <v>77220</v>
      </c>
      <c r="BW153" s="485">
        <f t="shared" si="211"/>
        <v>102195</v>
      </c>
      <c r="BX153" s="485">
        <f t="shared" si="211"/>
        <v>130950.00000000001</v>
      </c>
      <c r="BY153" s="485">
        <f t="shared" si="211"/>
        <v>226530.00000000003</v>
      </c>
      <c r="CH153" s="181">
        <v>1</v>
      </c>
      <c r="CI153" s="468" t="s">
        <v>684</v>
      </c>
      <c r="CJ153" s="469" t="s">
        <v>685</v>
      </c>
      <c r="CK153" s="449">
        <v>2283423</v>
      </c>
      <c r="CL153" s="401">
        <f>ROUNDUP(CK153*$CN$9,-3)</f>
        <v>2741000</v>
      </c>
      <c r="DK153" s="302" t="s">
        <v>427</v>
      </c>
      <c r="DL153" s="533" t="s">
        <v>679</v>
      </c>
      <c r="DM153" s="534">
        <v>12223400</v>
      </c>
      <c r="DN153" s="217">
        <v>12223400</v>
      </c>
      <c r="DO153" s="534">
        <v>16725000</v>
      </c>
      <c r="DP153" s="218">
        <f t="shared" si="208"/>
        <v>25087500</v>
      </c>
      <c r="DQ153" s="161"/>
      <c r="DR153" s="161"/>
      <c r="DS153" s="302" t="s">
        <v>686</v>
      </c>
      <c r="DT153" s="533" t="s">
        <v>681</v>
      </c>
      <c r="DU153" s="217">
        <v>17891000</v>
      </c>
      <c r="DV153" s="217">
        <f t="shared" si="209"/>
        <v>26836500</v>
      </c>
      <c r="DW153" s="217">
        <v>24532000</v>
      </c>
      <c r="DX153" s="218">
        <f t="shared" si="210"/>
        <v>36798000</v>
      </c>
      <c r="DY153" s="161"/>
    </row>
    <row r="154" spans="1:129" ht="15" thickBot="1">
      <c r="A154" s="23" t="s">
        <v>620</v>
      </c>
      <c r="B154" s="23">
        <v>0.52</v>
      </c>
      <c r="C154" s="478" t="s">
        <v>687</v>
      </c>
      <c r="D154" s="109">
        <v>13700</v>
      </c>
      <c r="E154" s="535"/>
      <c r="F154" s="394"/>
      <c r="G154" s="394"/>
      <c r="H154" s="394"/>
      <c r="I154" s="394"/>
      <c r="J154" s="394"/>
      <c r="K154" s="535"/>
      <c r="L154" s="536"/>
      <c r="M154" s="537"/>
      <c r="N154" s="537"/>
      <c r="O154" s="537"/>
      <c r="P154" s="537"/>
      <c r="Q154" s="537"/>
      <c r="R154" s="23"/>
      <c r="AA154" s="437" t="s">
        <v>125</v>
      </c>
      <c r="AB154" s="66" t="s">
        <v>125</v>
      </c>
      <c r="AC154" s="67" t="s">
        <v>52</v>
      </c>
      <c r="AD154" s="538" t="s">
        <v>125</v>
      </c>
      <c r="AE154" s="69">
        <f>ROUNDUP(((6400)*35%)+(6400),-3)</f>
        <v>9000</v>
      </c>
      <c r="AF154" s="70">
        <f t="shared" si="203"/>
        <v>4000</v>
      </c>
      <c r="AG154" s="71">
        <f t="shared" si="204"/>
        <v>1000</v>
      </c>
      <c r="AH154" s="70">
        <f t="shared" si="205"/>
        <v>2000</v>
      </c>
      <c r="AI154" s="75">
        <f t="shared" si="206"/>
        <v>16000</v>
      </c>
      <c r="AJ154" s="70">
        <f t="shared" si="207"/>
        <v>21000</v>
      </c>
      <c r="AL154" s="23">
        <v>0.4</v>
      </c>
      <c r="AN154" s="181"/>
      <c r="AO154" s="103"/>
      <c r="AP154" s="404" t="s">
        <v>125</v>
      </c>
      <c r="AQ154" s="104"/>
      <c r="AR154" s="425">
        <v>20300</v>
      </c>
      <c r="AS154" s="406">
        <f t="shared" si="197"/>
        <v>14300</v>
      </c>
      <c r="AT154" s="406">
        <f t="shared" si="198"/>
        <v>2100</v>
      </c>
      <c r="AU154" s="406">
        <f t="shared" si="199"/>
        <v>4100</v>
      </c>
      <c r="AV154" s="389">
        <f t="shared" si="200"/>
        <v>40800</v>
      </c>
      <c r="AW154" s="406">
        <f t="shared" si="201"/>
        <v>48960</v>
      </c>
      <c r="AX154" s="175">
        <f t="shared" si="202"/>
        <v>34660</v>
      </c>
      <c r="BS154" s="484" t="s">
        <v>636</v>
      </c>
      <c r="BT154" s="485">
        <f t="shared" ref="BT154:BY159" si="212">BT141*$BZ$131</f>
        <v>74790</v>
      </c>
      <c r="BU154" s="485">
        <f t="shared" si="212"/>
        <v>91800</v>
      </c>
      <c r="BV154" s="485">
        <f t="shared" si="212"/>
        <v>111375.00000000001</v>
      </c>
      <c r="BW154" s="485">
        <f t="shared" si="212"/>
        <v>157275</v>
      </c>
      <c r="BX154" s="485">
        <f t="shared" si="212"/>
        <v>209520</v>
      </c>
      <c r="BY154" s="485">
        <f t="shared" si="212"/>
        <v>314685</v>
      </c>
      <c r="CH154" s="181"/>
      <c r="CI154" s="468" t="s">
        <v>688</v>
      </c>
      <c r="CJ154" s="469" t="s">
        <v>689</v>
      </c>
      <c r="CK154" s="449">
        <v>1978935</v>
      </c>
      <c r="CL154" s="401">
        <f>ROUNDUP(CK154*$CN$9,-3)</f>
        <v>2375000</v>
      </c>
    </row>
    <row r="155" spans="1:129" ht="15" thickBot="1">
      <c r="A155" s="480" t="s">
        <v>625</v>
      </c>
      <c r="B155" s="480"/>
      <c r="C155" s="181"/>
      <c r="D155" s="175"/>
      <c r="E155" s="388"/>
      <c r="K155" s="388"/>
      <c r="L155" s="539"/>
      <c r="M155" s="537"/>
      <c r="N155" s="537"/>
      <c r="O155" s="537"/>
      <c r="P155" s="537"/>
      <c r="Q155" s="537"/>
      <c r="R155" s="23"/>
      <c r="AA155" s="437" t="s">
        <v>40</v>
      </c>
      <c r="AB155" s="66" t="s">
        <v>40</v>
      </c>
      <c r="AC155" s="67" t="s">
        <v>52</v>
      </c>
      <c r="AD155" s="538" t="s">
        <v>40</v>
      </c>
      <c r="AE155" s="69">
        <f>ROUNDUP(((9500)*35%)+(9500),-3)</f>
        <v>13000</v>
      </c>
      <c r="AF155" s="70">
        <f t="shared" si="203"/>
        <v>6000</v>
      </c>
      <c r="AG155" s="71">
        <f t="shared" si="204"/>
        <v>2000</v>
      </c>
      <c r="AH155" s="70">
        <f t="shared" si="205"/>
        <v>3000</v>
      </c>
      <c r="AI155" s="75">
        <f t="shared" si="206"/>
        <v>24000</v>
      </c>
      <c r="AJ155" s="70">
        <f t="shared" si="207"/>
        <v>32000</v>
      </c>
      <c r="AL155" s="23">
        <v>0.1</v>
      </c>
      <c r="AN155" s="183"/>
      <c r="AO155" s="141"/>
      <c r="AP155" s="415" t="s">
        <v>40</v>
      </c>
      <c r="AQ155" s="143"/>
      <c r="AR155" s="436">
        <v>29050</v>
      </c>
      <c r="AS155" s="417">
        <f t="shared" si="197"/>
        <v>20400</v>
      </c>
      <c r="AT155" s="417">
        <f t="shared" si="198"/>
        <v>3000</v>
      </c>
      <c r="AU155" s="417">
        <f t="shared" si="199"/>
        <v>5900</v>
      </c>
      <c r="AV155" s="418">
        <f t="shared" si="200"/>
        <v>58350</v>
      </c>
      <c r="AW155" s="417">
        <f t="shared" si="201"/>
        <v>70020</v>
      </c>
      <c r="AX155" s="148">
        <f t="shared" si="202"/>
        <v>49620</v>
      </c>
      <c r="BS155" s="484" t="s">
        <v>641</v>
      </c>
      <c r="BT155" s="485">
        <f t="shared" si="212"/>
        <v>15795.000000000002</v>
      </c>
      <c r="BU155" s="485">
        <f t="shared" si="212"/>
        <v>21060</v>
      </c>
      <c r="BV155" s="485">
        <f t="shared" si="212"/>
        <v>26190</v>
      </c>
      <c r="BW155" s="485">
        <f t="shared" si="212"/>
        <v>39420</v>
      </c>
      <c r="BX155" s="485">
        <f t="shared" si="212"/>
        <v>45900</v>
      </c>
      <c r="BY155" s="485">
        <f t="shared" si="212"/>
        <v>65475.000000000007</v>
      </c>
      <c r="CH155" s="181"/>
      <c r="CI155" s="468" t="s">
        <v>690</v>
      </c>
      <c r="CJ155" s="469" t="s">
        <v>691</v>
      </c>
      <c r="CK155" s="449">
        <v>4481439</v>
      </c>
      <c r="CL155" s="401">
        <f>ROUNDUP(CK155*$CN$9,-3)</f>
        <v>5378000</v>
      </c>
    </row>
    <row r="156" spans="1:129" ht="30.75" customHeight="1" thickBot="1">
      <c r="A156" s="23" t="s">
        <v>13</v>
      </c>
      <c r="B156" s="23">
        <v>0.4</v>
      </c>
      <c r="C156" s="181"/>
      <c r="D156" s="482">
        <f>SUM(D154:D155)</f>
        <v>13700</v>
      </c>
      <c r="E156" s="388"/>
      <c r="K156" s="388"/>
      <c r="L156" s="539"/>
      <c r="M156" s="537"/>
      <c r="N156" s="537"/>
      <c r="O156" s="537"/>
      <c r="P156" s="537"/>
      <c r="Q156" s="537"/>
      <c r="R156" s="23"/>
      <c r="AA156" s="437" t="s">
        <v>57</v>
      </c>
      <c r="AB156" s="66" t="s">
        <v>57</v>
      </c>
      <c r="AC156" s="67" t="s">
        <v>52</v>
      </c>
      <c r="AD156" s="538" t="s">
        <v>57</v>
      </c>
      <c r="AE156" s="69">
        <f>ROUNDUP(((10600)*35%)+(10600),-3)</f>
        <v>15000</v>
      </c>
      <c r="AF156" s="70">
        <f t="shared" si="203"/>
        <v>6000</v>
      </c>
      <c r="AG156" s="71">
        <f t="shared" si="204"/>
        <v>2000</v>
      </c>
      <c r="AH156" s="70">
        <f t="shared" si="205"/>
        <v>3000</v>
      </c>
      <c r="AI156" s="75">
        <f t="shared" si="206"/>
        <v>26000</v>
      </c>
      <c r="AJ156" s="70">
        <f t="shared" si="207"/>
        <v>34000</v>
      </c>
      <c r="AL156" s="23">
        <v>0.2</v>
      </c>
      <c r="BS156" s="484" t="s">
        <v>644</v>
      </c>
      <c r="BT156" s="485">
        <f t="shared" si="212"/>
        <v>18427.5</v>
      </c>
      <c r="BU156" s="485">
        <f t="shared" si="212"/>
        <v>22275</v>
      </c>
      <c r="BV156" s="485">
        <f t="shared" si="212"/>
        <v>31455.000000000004</v>
      </c>
      <c r="BW156" s="485">
        <f t="shared" si="212"/>
        <v>45900</v>
      </c>
      <c r="BX156" s="485">
        <f t="shared" si="212"/>
        <v>60210.000000000007</v>
      </c>
      <c r="BY156" s="485">
        <f t="shared" si="212"/>
        <v>83970</v>
      </c>
      <c r="CH156" s="181"/>
      <c r="CI156" s="468" t="s">
        <v>692</v>
      </c>
      <c r="CJ156" s="469" t="s">
        <v>693</v>
      </c>
      <c r="CK156" s="449">
        <v>5849295</v>
      </c>
      <c r="CL156" s="401">
        <f t="shared" ref="CL156:CL175" si="213">ROUNDUP(CK156*$CN$9,-3)</f>
        <v>7020000</v>
      </c>
      <c r="DK156" s="266" t="s">
        <v>694</v>
      </c>
      <c r="DL156" s="266"/>
      <c r="DM156" s="266"/>
      <c r="DN156" s="266"/>
      <c r="DO156" s="266"/>
      <c r="DP156" s="266"/>
    </row>
    <row r="157" spans="1:129" ht="15" thickBot="1">
      <c r="A157" s="23" t="s">
        <v>208</v>
      </c>
      <c r="B157" s="23">
        <v>0.2</v>
      </c>
      <c r="C157" s="181"/>
      <c r="D157" s="175">
        <f>D156*B156</f>
        <v>5480</v>
      </c>
      <c r="E157" s="388"/>
      <c r="K157" s="388"/>
      <c r="L157" s="539"/>
      <c r="M157" s="537"/>
      <c r="N157" s="537"/>
      <c r="O157" s="537"/>
      <c r="P157" s="537"/>
      <c r="Q157" s="537"/>
      <c r="R157" s="23"/>
      <c r="AA157" s="437" t="s">
        <v>77</v>
      </c>
      <c r="AB157" s="66" t="s">
        <v>77</v>
      </c>
      <c r="AC157" s="67" t="s">
        <v>52</v>
      </c>
      <c r="AD157" s="538" t="s">
        <v>77</v>
      </c>
      <c r="AE157" s="69">
        <f>ROUNDUP(((22300)*35%)+(22300),-3)</f>
        <v>31000</v>
      </c>
      <c r="AF157" s="70">
        <f t="shared" si="203"/>
        <v>13000</v>
      </c>
      <c r="AG157" s="71">
        <f t="shared" si="204"/>
        <v>4000</v>
      </c>
      <c r="AH157" s="70">
        <f t="shared" si="205"/>
        <v>7000</v>
      </c>
      <c r="AI157" s="75">
        <f t="shared" si="206"/>
        <v>55000</v>
      </c>
      <c r="AJ157" s="70">
        <f t="shared" si="207"/>
        <v>72000</v>
      </c>
      <c r="AL157" s="110"/>
      <c r="BS157" s="484" t="s">
        <v>649</v>
      </c>
      <c r="BT157" s="485">
        <f t="shared" si="212"/>
        <v>22275</v>
      </c>
      <c r="BU157" s="485">
        <f t="shared" si="212"/>
        <v>31455.000000000004</v>
      </c>
      <c r="BV157" s="485">
        <f t="shared" si="212"/>
        <v>41985</v>
      </c>
      <c r="BW157" s="485">
        <f t="shared" si="212"/>
        <v>61695.000000000007</v>
      </c>
      <c r="BX157" s="485">
        <f t="shared" si="212"/>
        <v>73440</v>
      </c>
      <c r="BY157" s="485">
        <f t="shared" si="212"/>
        <v>111375.00000000001</v>
      </c>
      <c r="CH157" s="181"/>
      <c r="CI157" s="468"/>
      <c r="CJ157" s="469"/>
      <c r="CK157" s="449"/>
      <c r="CL157" s="401"/>
      <c r="DK157" s="540" t="s">
        <v>695</v>
      </c>
      <c r="DL157" s="541" t="s">
        <v>696</v>
      </c>
      <c r="DM157" s="542" t="s">
        <v>697</v>
      </c>
      <c r="DN157" s="542"/>
      <c r="DO157" s="542"/>
      <c r="DP157" s="543"/>
    </row>
    <row r="158" spans="1:129" ht="29.4" thickBot="1">
      <c r="A158" s="259" t="s">
        <v>15</v>
      </c>
      <c r="B158" s="259"/>
      <c r="C158" s="181"/>
      <c r="D158" s="175">
        <f>D156*B157</f>
        <v>2740</v>
      </c>
      <c r="E158" s="388"/>
      <c r="K158" s="388"/>
      <c r="L158" s="539"/>
      <c r="M158" s="537"/>
      <c r="N158" s="537"/>
      <c r="O158" s="537"/>
      <c r="P158" s="537"/>
      <c r="Q158" s="537"/>
      <c r="R158" s="23"/>
      <c r="AA158" s="414" t="s">
        <v>108</v>
      </c>
      <c r="AB158" s="141" t="s">
        <v>108</v>
      </c>
      <c r="AC158" s="142" t="s">
        <v>52</v>
      </c>
      <c r="AD158" s="544" t="s">
        <v>108</v>
      </c>
      <c r="AE158" s="144">
        <f>ROUNDUP(((39400)*35%)+(39400),-3)</f>
        <v>54000</v>
      </c>
      <c r="AF158" s="145">
        <f t="shared" si="203"/>
        <v>22000</v>
      </c>
      <c r="AG158" s="146">
        <f t="shared" si="204"/>
        <v>6000</v>
      </c>
      <c r="AH158" s="145">
        <f t="shared" si="205"/>
        <v>11000</v>
      </c>
      <c r="AI158" s="151">
        <f t="shared" si="206"/>
        <v>93000</v>
      </c>
      <c r="AJ158" s="145">
        <f t="shared" si="207"/>
        <v>121000</v>
      </c>
      <c r="AL158" s="23">
        <v>1.3</v>
      </c>
      <c r="BS158" s="484" t="s">
        <v>654</v>
      </c>
      <c r="BT158" s="485">
        <f t="shared" si="212"/>
        <v>44685</v>
      </c>
      <c r="BU158" s="485">
        <f t="shared" si="212"/>
        <v>53730</v>
      </c>
      <c r="BV158" s="485">
        <f t="shared" si="212"/>
        <v>82485</v>
      </c>
      <c r="BW158" s="485">
        <f t="shared" si="212"/>
        <v>124470.00000000001</v>
      </c>
      <c r="BX158" s="485">
        <f t="shared" si="212"/>
        <v>157275</v>
      </c>
      <c r="BY158" s="485">
        <f t="shared" si="212"/>
        <v>222750.00000000003</v>
      </c>
      <c r="CH158" s="181"/>
      <c r="CI158" s="468" t="s">
        <v>698</v>
      </c>
      <c r="CJ158" s="469" t="s">
        <v>699</v>
      </c>
      <c r="CK158" s="449">
        <v>2415423</v>
      </c>
      <c r="CL158" s="401">
        <f t="shared" si="213"/>
        <v>2899000</v>
      </c>
      <c r="DK158" s="540"/>
      <c r="DL158" s="541"/>
      <c r="DM158" s="545" t="s">
        <v>591</v>
      </c>
      <c r="DN158" s="546" t="s">
        <v>91</v>
      </c>
      <c r="DO158" s="545" t="s">
        <v>664</v>
      </c>
      <c r="DP158" s="547" t="s">
        <v>91</v>
      </c>
    </row>
    <row r="159" spans="1:129" ht="29.4" thickBot="1">
      <c r="A159" s="23" t="s">
        <v>215</v>
      </c>
      <c r="B159" s="23">
        <v>1.2</v>
      </c>
      <c r="C159" s="181"/>
      <c r="D159" s="486">
        <f>SUM(D156:D158)</f>
        <v>21920</v>
      </c>
      <c r="E159" s="388"/>
      <c r="K159" s="388"/>
      <c r="L159" s="539"/>
      <c r="M159" s="537"/>
      <c r="N159" s="537"/>
      <c r="O159" s="537"/>
      <c r="P159" s="537"/>
      <c r="Q159" s="537"/>
      <c r="R159" s="23"/>
      <c r="AB159" s="62"/>
      <c r="AC159" s="52"/>
      <c r="AD159" s="52"/>
      <c r="AE159" s="433"/>
      <c r="AF159" s="117"/>
      <c r="AG159" s="117"/>
      <c r="AH159" s="117"/>
      <c r="AI159" s="389"/>
      <c r="AJ159" s="117"/>
      <c r="BS159" s="510" t="s">
        <v>660</v>
      </c>
      <c r="BT159" s="485">
        <f t="shared" si="212"/>
        <v>19710</v>
      </c>
      <c r="BU159" s="485">
        <f t="shared" si="212"/>
        <v>22275</v>
      </c>
      <c r="BV159" s="485">
        <f t="shared" si="212"/>
        <v>32805</v>
      </c>
      <c r="BW159" s="485">
        <f t="shared" si="212"/>
        <v>52515</v>
      </c>
      <c r="BX159" s="485">
        <f t="shared" si="212"/>
        <v>61695.000000000007</v>
      </c>
      <c r="BY159" s="485">
        <f t="shared" si="212"/>
        <v>85185</v>
      </c>
      <c r="CH159" s="181"/>
      <c r="CI159" s="468" t="s">
        <v>700</v>
      </c>
      <c r="CJ159" s="469" t="s">
        <v>701</v>
      </c>
      <c r="CK159" s="449">
        <v>2110113</v>
      </c>
      <c r="CL159" s="401">
        <f t="shared" si="213"/>
        <v>2533000</v>
      </c>
      <c r="DK159" s="548" t="s">
        <v>668</v>
      </c>
      <c r="DL159" s="549" t="s">
        <v>702</v>
      </c>
      <c r="DM159" s="284">
        <v>7723000</v>
      </c>
      <c r="DN159" s="284">
        <f>DM159*$DJ$144</f>
        <v>11584500</v>
      </c>
      <c r="DO159" s="284">
        <v>10581000</v>
      </c>
      <c r="DP159" s="550">
        <f>DO159*$DJ$144</f>
        <v>15871500</v>
      </c>
    </row>
    <row r="160" spans="1:129" ht="29.4" thickBot="1">
      <c r="A160" s="23"/>
      <c r="B160" s="23"/>
      <c r="C160" s="183"/>
      <c r="D160" s="527">
        <f>ROUNDUP((D159*B159),-3)</f>
        <v>27000</v>
      </c>
      <c r="E160" s="551"/>
      <c r="F160" s="170"/>
      <c r="G160" s="170"/>
      <c r="H160" s="170"/>
      <c r="I160" s="170"/>
      <c r="J160" s="170"/>
      <c r="K160" s="551"/>
      <c r="L160" s="552"/>
      <c r="M160" s="537"/>
      <c r="N160" s="537"/>
      <c r="O160" s="537"/>
      <c r="P160" s="537"/>
      <c r="Q160" s="537"/>
      <c r="R160" s="23"/>
      <c r="AA160" s="498" t="s">
        <v>703</v>
      </c>
      <c r="AB160" s="16" t="s">
        <v>10</v>
      </c>
      <c r="AC160" s="17"/>
      <c r="AD160" s="18"/>
      <c r="AE160" s="19" t="s">
        <v>11</v>
      </c>
      <c r="AF160" s="20" t="s">
        <v>12</v>
      </c>
      <c r="AG160" s="24" t="s">
        <v>13</v>
      </c>
      <c r="AH160" s="22" t="s">
        <v>14</v>
      </c>
      <c r="AI160" s="25" t="s">
        <v>15</v>
      </c>
      <c r="AJ160" s="22" t="s">
        <v>16</v>
      </c>
      <c r="CH160" s="181"/>
      <c r="CI160" s="468" t="s">
        <v>704</v>
      </c>
      <c r="CJ160" s="469" t="s">
        <v>705</v>
      </c>
      <c r="CK160" s="449">
        <v>3642572</v>
      </c>
      <c r="CL160" s="401">
        <f t="shared" si="213"/>
        <v>4372000</v>
      </c>
      <c r="DK160" s="154" t="s">
        <v>674</v>
      </c>
      <c r="DL160" s="155" t="s">
        <v>706</v>
      </c>
      <c r="DM160" s="163">
        <v>10164000</v>
      </c>
      <c r="DN160" s="163">
        <f t="shared" ref="DN160:DN165" si="214">DM160*$DJ$144</f>
        <v>15246000</v>
      </c>
      <c r="DO160" s="163">
        <v>13927000</v>
      </c>
      <c r="DP160" s="164">
        <f t="shared" ref="DP160:DP165" si="215">DO160*$DJ$144</f>
        <v>20890500</v>
      </c>
    </row>
    <row r="161" spans="1:120" ht="29.4" thickBot="1">
      <c r="A161" s="23"/>
      <c r="B161" s="23"/>
      <c r="D161" s="5"/>
      <c r="E161" s="553"/>
      <c r="K161" s="553"/>
      <c r="L161" s="553"/>
      <c r="M161" s="537"/>
      <c r="N161" s="537"/>
      <c r="O161" s="537"/>
      <c r="P161" s="537"/>
      <c r="Q161" s="537"/>
      <c r="R161" s="23"/>
      <c r="AA161" s="501"/>
      <c r="AB161" s="36"/>
      <c r="AC161" s="37"/>
      <c r="AD161" s="38"/>
      <c r="AE161" s="39" t="s">
        <v>22</v>
      </c>
      <c r="AF161" s="40"/>
      <c r="AG161" s="502"/>
      <c r="AH161" s="42" t="s">
        <v>29</v>
      </c>
      <c r="AI161" s="393"/>
      <c r="AJ161" s="42" t="s">
        <v>30</v>
      </c>
      <c r="CH161" s="181"/>
      <c r="CI161" s="468" t="s">
        <v>707</v>
      </c>
      <c r="CJ161" s="469" t="s">
        <v>708</v>
      </c>
      <c r="CK161" s="449">
        <v>4116504</v>
      </c>
      <c r="CL161" s="401">
        <f t="shared" si="213"/>
        <v>4940000</v>
      </c>
      <c r="DK161" s="154" t="s">
        <v>676</v>
      </c>
      <c r="DL161" s="155" t="s">
        <v>709</v>
      </c>
      <c r="DM161" s="163">
        <v>12037000</v>
      </c>
      <c r="DN161" s="163">
        <f t="shared" si="214"/>
        <v>18055500</v>
      </c>
      <c r="DO161" s="163">
        <v>16492000</v>
      </c>
      <c r="DP161" s="164">
        <f t="shared" si="215"/>
        <v>24738000</v>
      </c>
    </row>
    <row r="162" spans="1:120" ht="28.8">
      <c r="A162" s="23"/>
      <c r="B162" s="23"/>
      <c r="C162" s="16" t="s">
        <v>603</v>
      </c>
      <c r="D162" s="20" t="s">
        <v>604</v>
      </c>
      <c r="E162" s="17" t="s">
        <v>605</v>
      </c>
      <c r="F162" s="20" t="s">
        <v>606</v>
      </c>
      <c r="G162" s="20" t="s">
        <v>607</v>
      </c>
      <c r="H162" s="20" t="s">
        <v>608</v>
      </c>
      <c r="I162" s="227" t="s">
        <v>609</v>
      </c>
      <c r="J162" s="227" t="s">
        <v>610</v>
      </c>
      <c r="K162" s="227" t="s">
        <v>610</v>
      </c>
      <c r="L162" s="226" t="s">
        <v>611</v>
      </c>
      <c r="M162" s="537"/>
      <c r="N162" s="537"/>
      <c r="O162" s="537"/>
      <c r="P162" s="537"/>
      <c r="Q162" s="537"/>
      <c r="R162" s="23"/>
      <c r="AA162" s="403" t="s">
        <v>53</v>
      </c>
      <c r="AB162" s="103" t="s">
        <v>53</v>
      </c>
      <c r="AC162" s="52" t="s">
        <v>52</v>
      </c>
      <c r="AD162" s="104" t="s">
        <v>53</v>
      </c>
      <c r="AE162" s="433">
        <f>ROUNDUP(((1600)*35%)+(1600),-3)</f>
        <v>3000</v>
      </c>
      <c r="AF162" s="106">
        <f t="shared" ref="AF162:AF173" si="216">ROUNDUP(AE162*$AL$170,-3)</f>
        <v>2000</v>
      </c>
      <c r="AG162" s="117">
        <f t="shared" ref="AG162:AG173" si="217">ROUNDUP(AE162*$AL$171,-3)</f>
        <v>1000</v>
      </c>
      <c r="AH162" s="106">
        <f t="shared" ref="AH162:AH173" si="218">ROUNDUP(AE162*$AL$172,-3)</f>
        <v>1000</v>
      </c>
      <c r="AI162" s="177">
        <f t="shared" ref="AI162:AI173" si="219">SUM(AE162:AH162)</f>
        <v>7000</v>
      </c>
      <c r="AJ162" s="106">
        <f t="shared" ref="AJ162:AJ173" si="220">ROUNDUP(AI162*$AL$174,-3)</f>
        <v>10000</v>
      </c>
      <c r="CH162" s="181"/>
      <c r="CI162" s="468" t="s">
        <v>710</v>
      </c>
      <c r="CJ162" s="469" t="s">
        <v>711</v>
      </c>
      <c r="CK162" s="449">
        <v>6069867</v>
      </c>
      <c r="CL162" s="401">
        <f t="shared" si="213"/>
        <v>7284000</v>
      </c>
      <c r="DK162" s="154" t="s">
        <v>677</v>
      </c>
      <c r="DL162" s="155" t="s">
        <v>712</v>
      </c>
      <c r="DM162" s="163">
        <v>15692000</v>
      </c>
      <c r="DN162" s="163">
        <f t="shared" si="214"/>
        <v>23538000</v>
      </c>
      <c r="DO162" s="163">
        <v>21516000</v>
      </c>
      <c r="DP162" s="164">
        <f t="shared" si="215"/>
        <v>32274000</v>
      </c>
    </row>
    <row r="163" spans="1:120" ht="15" thickBot="1">
      <c r="C163" s="36"/>
      <c r="D163" s="40"/>
      <c r="E163" s="37"/>
      <c r="F163" s="40"/>
      <c r="G163" s="40"/>
      <c r="H163" s="40"/>
      <c r="I163" s="233" t="s">
        <v>615</v>
      </c>
      <c r="J163" s="233" t="s">
        <v>616</v>
      </c>
      <c r="K163" s="233" t="s">
        <v>617</v>
      </c>
      <c r="L163" s="232" t="s">
        <v>617</v>
      </c>
      <c r="M163" s="537"/>
      <c r="N163" s="537"/>
      <c r="O163" s="537"/>
      <c r="P163" s="537"/>
      <c r="Q163" s="537"/>
      <c r="R163" s="23"/>
      <c r="AA163" s="181"/>
      <c r="AB163" s="103" t="s">
        <v>53</v>
      </c>
      <c r="AC163" s="52" t="s">
        <v>52</v>
      </c>
      <c r="AD163" s="104" t="s">
        <v>51</v>
      </c>
      <c r="AE163" s="433">
        <f>ROUNDUP(((2000)*35%)+(2000),-3)</f>
        <v>3000</v>
      </c>
      <c r="AF163" s="106">
        <f t="shared" si="216"/>
        <v>2000</v>
      </c>
      <c r="AG163" s="117">
        <f t="shared" si="217"/>
        <v>1000</v>
      </c>
      <c r="AH163" s="106">
        <f t="shared" si="218"/>
        <v>1000</v>
      </c>
      <c r="AI163" s="177">
        <f t="shared" si="219"/>
        <v>7000</v>
      </c>
      <c r="AJ163" s="106">
        <f t="shared" si="220"/>
        <v>10000</v>
      </c>
      <c r="CH163" s="181"/>
      <c r="CI163" s="468"/>
      <c r="CJ163" s="469"/>
      <c r="CK163" s="449"/>
      <c r="CL163" s="401"/>
      <c r="DK163" s="154" t="s">
        <v>680</v>
      </c>
      <c r="DL163" s="155" t="s">
        <v>712</v>
      </c>
      <c r="DM163" s="163">
        <v>17716000</v>
      </c>
      <c r="DN163" s="163">
        <f t="shared" si="214"/>
        <v>26574000</v>
      </c>
      <c r="DO163" s="163">
        <v>24292000</v>
      </c>
      <c r="DP163" s="164">
        <f t="shared" si="215"/>
        <v>36438000</v>
      </c>
    </row>
    <row r="164" spans="1:120" ht="28.8">
      <c r="A164" s="23" t="s">
        <v>620</v>
      </c>
      <c r="B164" s="23">
        <v>0.52</v>
      </c>
      <c r="C164" s="478" t="s">
        <v>713</v>
      </c>
      <c r="D164" s="109">
        <v>20200</v>
      </c>
      <c r="E164" s="554"/>
      <c r="F164" s="394"/>
      <c r="G164" s="394"/>
      <c r="H164" s="394"/>
      <c r="I164" s="394"/>
      <c r="J164" s="394"/>
      <c r="K164" s="554"/>
      <c r="L164" s="555"/>
      <c r="M164" s="23"/>
      <c r="N164" s="23"/>
      <c r="O164" s="23"/>
      <c r="P164" s="23"/>
      <c r="Q164" s="23"/>
      <c r="AA164" s="403" t="s">
        <v>51</v>
      </c>
      <c r="AB164" s="103" t="s">
        <v>51</v>
      </c>
      <c r="AC164" s="52" t="s">
        <v>52</v>
      </c>
      <c r="AD164" s="493" t="s">
        <v>51</v>
      </c>
      <c r="AE164" s="433">
        <f>ROUNDUP(((2200)*35%)+(2200),-3)</f>
        <v>3000</v>
      </c>
      <c r="AF164" s="106">
        <f t="shared" si="216"/>
        <v>2000</v>
      </c>
      <c r="AG164" s="117">
        <f t="shared" si="217"/>
        <v>1000</v>
      </c>
      <c r="AH164" s="106">
        <f t="shared" si="218"/>
        <v>1000</v>
      </c>
      <c r="AI164" s="177">
        <f t="shared" si="219"/>
        <v>7000</v>
      </c>
      <c r="AJ164" s="106">
        <f t="shared" si="220"/>
        <v>10000</v>
      </c>
      <c r="CH164" s="181"/>
      <c r="CI164" s="468" t="s">
        <v>714</v>
      </c>
      <c r="CJ164" s="469" t="s">
        <v>715</v>
      </c>
      <c r="CK164" s="449">
        <v>2218692</v>
      </c>
      <c r="CL164" s="401">
        <f t="shared" si="213"/>
        <v>2663000</v>
      </c>
      <c r="DK164" s="154" t="s">
        <v>682</v>
      </c>
      <c r="DL164" s="155" t="s">
        <v>712</v>
      </c>
      <c r="DM164" s="163">
        <v>19741000</v>
      </c>
      <c r="DN164" s="163">
        <f t="shared" si="214"/>
        <v>29611500</v>
      </c>
      <c r="DO164" s="163">
        <v>27068000</v>
      </c>
      <c r="DP164" s="164">
        <f t="shared" si="215"/>
        <v>40602000</v>
      </c>
    </row>
    <row r="165" spans="1:120" ht="29.4" thickBot="1">
      <c r="A165" s="480" t="s">
        <v>625</v>
      </c>
      <c r="B165" s="480"/>
      <c r="C165" s="181"/>
      <c r="D165" s="175">
        <f>D164*B164</f>
        <v>10504</v>
      </c>
      <c r="E165" s="556"/>
      <c r="K165" s="556"/>
      <c r="L165" s="557"/>
      <c r="M165" s="23"/>
      <c r="N165" s="23"/>
      <c r="O165" s="23"/>
      <c r="P165" s="23"/>
      <c r="Q165" s="23"/>
      <c r="AA165" s="403" t="s">
        <v>75</v>
      </c>
      <c r="AB165" s="103" t="s">
        <v>75</v>
      </c>
      <c r="AC165" s="52" t="s">
        <v>52</v>
      </c>
      <c r="AD165" s="493" t="s">
        <v>53</v>
      </c>
      <c r="AE165" s="433">
        <f>ROUNDUP(((3000)*35%)+(3000),-3)</f>
        <v>5000</v>
      </c>
      <c r="AF165" s="106">
        <f t="shared" si="216"/>
        <v>2000</v>
      </c>
      <c r="AG165" s="117">
        <f t="shared" si="217"/>
        <v>1000</v>
      </c>
      <c r="AH165" s="106">
        <f t="shared" si="218"/>
        <v>1000</v>
      </c>
      <c r="AI165" s="177">
        <f t="shared" si="219"/>
        <v>9000</v>
      </c>
      <c r="AJ165" s="106">
        <f t="shared" si="220"/>
        <v>12000</v>
      </c>
      <c r="CH165" s="181"/>
      <c r="CI165" s="468" t="s">
        <v>716</v>
      </c>
      <c r="CJ165" s="469" t="s">
        <v>717</v>
      </c>
      <c r="CK165" s="449">
        <v>2222460</v>
      </c>
      <c r="CL165" s="401">
        <f t="shared" si="213"/>
        <v>2667000</v>
      </c>
      <c r="DK165" s="214" t="s">
        <v>686</v>
      </c>
      <c r="DL165" s="238" t="s">
        <v>712</v>
      </c>
      <c r="DM165" s="217">
        <v>23790000</v>
      </c>
      <c r="DN165" s="217">
        <f t="shared" si="214"/>
        <v>35685000</v>
      </c>
      <c r="DO165" s="217">
        <v>32621000</v>
      </c>
      <c r="DP165" s="218">
        <f t="shared" si="215"/>
        <v>48931500</v>
      </c>
    </row>
    <row r="166" spans="1:120" ht="28.8">
      <c r="A166" s="23" t="s">
        <v>13</v>
      </c>
      <c r="B166" s="23">
        <v>0.4</v>
      </c>
      <c r="C166" s="181"/>
      <c r="D166" s="482">
        <f>SUM(D164:D165)</f>
        <v>30704</v>
      </c>
      <c r="E166" s="556"/>
      <c r="K166" s="556"/>
      <c r="L166" s="557"/>
      <c r="M166" s="23"/>
      <c r="N166" s="23"/>
      <c r="O166" s="23"/>
      <c r="P166" s="23"/>
      <c r="Q166" s="23"/>
      <c r="AA166" s="181"/>
      <c r="AB166" s="103" t="s">
        <v>75</v>
      </c>
      <c r="AC166" s="52" t="s">
        <v>52</v>
      </c>
      <c r="AD166" s="493" t="s">
        <v>51</v>
      </c>
      <c r="AE166" s="433">
        <f>ROUNDUP(((2800)*35%)+(2800),-3)</f>
        <v>4000</v>
      </c>
      <c r="AF166" s="106">
        <f t="shared" si="216"/>
        <v>2000</v>
      </c>
      <c r="AG166" s="117">
        <f t="shared" si="217"/>
        <v>1000</v>
      </c>
      <c r="AH166" s="106">
        <f t="shared" si="218"/>
        <v>1000</v>
      </c>
      <c r="AI166" s="177">
        <f t="shared" si="219"/>
        <v>8000</v>
      </c>
      <c r="AJ166" s="106">
        <f t="shared" si="220"/>
        <v>11000</v>
      </c>
      <c r="CH166" s="181"/>
      <c r="CI166" s="468" t="s">
        <v>718</v>
      </c>
      <c r="CJ166" s="469" t="s">
        <v>719</v>
      </c>
      <c r="CK166" s="449">
        <v>5338128</v>
      </c>
      <c r="CL166" s="401">
        <f t="shared" si="213"/>
        <v>6406000</v>
      </c>
    </row>
    <row r="167" spans="1:120" ht="28.8">
      <c r="A167" s="23" t="s">
        <v>208</v>
      </c>
      <c r="B167" s="23">
        <v>0.2</v>
      </c>
      <c r="C167" s="181"/>
      <c r="D167" s="175">
        <f>D166*B166</f>
        <v>12281.6</v>
      </c>
      <c r="E167" s="556"/>
      <c r="K167" s="556"/>
      <c r="L167" s="557"/>
      <c r="M167" s="23"/>
      <c r="N167" s="23"/>
      <c r="O167" s="23"/>
      <c r="P167" s="23"/>
      <c r="Q167" s="23"/>
      <c r="Y167" s="23"/>
      <c r="AA167" s="181"/>
      <c r="AB167" s="103" t="s">
        <v>75</v>
      </c>
      <c r="AC167" s="52" t="s">
        <v>52</v>
      </c>
      <c r="AD167" s="493" t="s">
        <v>75</v>
      </c>
      <c r="AE167" s="433">
        <f>ROUNDUP(((3700)*35%)+(3700),-3)</f>
        <v>5000</v>
      </c>
      <c r="AF167" s="106">
        <f t="shared" si="216"/>
        <v>2000</v>
      </c>
      <c r="AG167" s="117">
        <f t="shared" si="217"/>
        <v>1000</v>
      </c>
      <c r="AH167" s="106">
        <f t="shared" si="218"/>
        <v>1000</v>
      </c>
      <c r="AI167" s="177">
        <f t="shared" si="219"/>
        <v>9000</v>
      </c>
      <c r="AJ167" s="106">
        <f t="shared" si="220"/>
        <v>12000</v>
      </c>
      <c r="CH167" s="181"/>
      <c r="CI167" s="468" t="s">
        <v>720</v>
      </c>
      <c r="CJ167" s="469" t="s">
        <v>721</v>
      </c>
      <c r="CK167" s="449">
        <v>5948940</v>
      </c>
      <c r="CL167" s="401">
        <f t="shared" si="213"/>
        <v>7139000</v>
      </c>
    </row>
    <row r="168" spans="1:120" ht="15" thickBot="1">
      <c r="A168" s="259" t="s">
        <v>15</v>
      </c>
      <c r="B168" s="259"/>
      <c r="C168" s="181"/>
      <c r="D168" s="175">
        <f>D166*B167</f>
        <v>6140.8</v>
      </c>
      <c r="E168" s="556"/>
      <c r="K168" s="556"/>
      <c r="L168" s="557"/>
      <c r="M168" s="23"/>
      <c r="N168" s="23"/>
      <c r="O168" s="23"/>
      <c r="P168" s="23"/>
      <c r="Q168" s="23"/>
      <c r="Y168" s="23"/>
      <c r="AA168" s="403" t="s">
        <v>59</v>
      </c>
      <c r="AB168" s="103" t="s">
        <v>59</v>
      </c>
      <c r="AC168" s="52" t="s">
        <v>52</v>
      </c>
      <c r="AD168" s="493" t="s">
        <v>59</v>
      </c>
      <c r="AE168" s="433">
        <f>ROUNDUP(((5700)*35%)+(5700),-3)</f>
        <v>8000</v>
      </c>
      <c r="AF168" s="106">
        <f t="shared" si="216"/>
        <v>4000</v>
      </c>
      <c r="AG168" s="117">
        <f t="shared" si="217"/>
        <v>1000</v>
      </c>
      <c r="AH168" s="106">
        <f t="shared" si="218"/>
        <v>2000</v>
      </c>
      <c r="AI168" s="177">
        <f t="shared" si="219"/>
        <v>15000</v>
      </c>
      <c r="AJ168" s="106">
        <f t="shared" si="220"/>
        <v>20000</v>
      </c>
      <c r="CH168" s="183"/>
      <c r="CI168" s="523"/>
      <c r="CJ168" s="524"/>
      <c r="CK168" s="558"/>
      <c r="CL168" s="145"/>
    </row>
    <row r="169" spans="1:120">
      <c r="A169" s="23" t="s">
        <v>215</v>
      </c>
      <c r="B169" s="23">
        <v>1.2</v>
      </c>
      <c r="C169" s="181"/>
      <c r="D169" s="486">
        <f>SUM(D166:D168)</f>
        <v>49126.400000000001</v>
      </c>
      <c r="E169" s="556"/>
      <c r="K169" s="556"/>
      <c r="L169" s="557"/>
      <c r="M169" s="23"/>
      <c r="N169" s="23"/>
      <c r="O169" s="23"/>
      <c r="P169" s="23"/>
      <c r="Q169" s="23"/>
      <c r="Y169" s="23"/>
      <c r="AA169" s="403" t="s">
        <v>125</v>
      </c>
      <c r="AB169" s="103" t="s">
        <v>125</v>
      </c>
      <c r="AC169" s="52" t="s">
        <v>52</v>
      </c>
      <c r="AD169" s="493" t="s">
        <v>125</v>
      </c>
      <c r="AE169" s="433">
        <f>ROUNDUP(((7700)*35%)+(7700),-3)</f>
        <v>11000</v>
      </c>
      <c r="AF169" s="106">
        <f t="shared" si="216"/>
        <v>5000</v>
      </c>
      <c r="AG169" s="117">
        <f t="shared" si="217"/>
        <v>2000</v>
      </c>
      <c r="AH169" s="106">
        <f t="shared" si="218"/>
        <v>3000</v>
      </c>
      <c r="AI169" s="177">
        <f t="shared" si="219"/>
        <v>21000</v>
      </c>
      <c r="AJ169" s="106">
        <f t="shared" si="220"/>
        <v>28000</v>
      </c>
      <c r="CH169" s="394"/>
      <c r="CI169" s="559"/>
      <c r="CJ169" s="560"/>
      <c r="CK169" s="561"/>
      <c r="CL169" s="113"/>
    </row>
    <row r="170" spans="1:120" ht="15" thickBot="1">
      <c r="C170" s="183"/>
      <c r="D170" s="527">
        <f>ROUNDUP((D169*B169),-3)</f>
        <v>59000</v>
      </c>
      <c r="E170" s="562"/>
      <c r="F170" s="170"/>
      <c r="G170" s="170"/>
      <c r="H170" s="170"/>
      <c r="I170" s="170"/>
      <c r="J170" s="170"/>
      <c r="K170" s="562"/>
      <c r="L170" s="563"/>
      <c r="M170" s="23"/>
      <c r="N170" s="23"/>
      <c r="O170" s="23"/>
      <c r="P170" s="23"/>
      <c r="Q170" s="23"/>
      <c r="Y170" s="23"/>
      <c r="AA170" s="403" t="s">
        <v>40</v>
      </c>
      <c r="AB170" s="103" t="s">
        <v>40</v>
      </c>
      <c r="AC170" s="52" t="s">
        <v>52</v>
      </c>
      <c r="AD170" s="493" t="s">
        <v>40</v>
      </c>
      <c r="AE170" s="433">
        <f>ROUNDUP(((9500)*35%)+(9500),-3)</f>
        <v>13000</v>
      </c>
      <c r="AF170" s="106">
        <f t="shared" si="216"/>
        <v>6000</v>
      </c>
      <c r="AG170" s="117">
        <f t="shared" si="217"/>
        <v>2000</v>
      </c>
      <c r="AH170" s="106">
        <f t="shared" si="218"/>
        <v>3000</v>
      </c>
      <c r="AI170" s="177">
        <f t="shared" si="219"/>
        <v>24000</v>
      </c>
      <c r="AJ170" s="106">
        <f t="shared" si="220"/>
        <v>32000</v>
      </c>
      <c r="AL170" s="23">
        <v>0.4</v>
      </c>
      <c r="CI170" s="526"/>
      <c r="CJ170" s="469"/>
      <c r="CK170" s="62"/>
      <c r="CL170" s="117"/>
    </row>
    <row r="171" spans="1:120" ht="21.6" thickBot="1">
      <c r="E171" s="556"/>
      <c r="K171" s="556"/>
      <c r="L171" s="556"/>
      <c r="M171" s="23"/>
      <c r="N171" s="23"/>
      <c r="O171" s="23"/>
      <c r="P171" s="23"/>
      <c r="Q171" s="23"/>
      <c r="Y171" s="110"/>
      <c r="AA171" s="403" t="s">
        <v>57</v>
      </c>
      <c r="AB171" s="103" t="s">
        <v>57</v>
      </c>
      <c r="AC171" s="52" t="s">
        <v>52</v>
      </c>
      <c r="AD171" s="493" t="s">
        <v>57</v>
      </c>
      <c r="AE171" s="433">
        <f>ROUNDUP(((9800)*35%)+(9800),-3)</f>
        <v>14000</v>
      </c>
      <c r="AF171" s="106">
        <f t="shared" si="216"/>
        <v>6000</v>
      </c>
      <c r="AG171" s="117">
        <f t="shared" si="217"/>
        <v>2000</v>
      </c>
      <c r="AH171" s="106">
        <f t="shared" si="218"/>
        <v>3000</v>
      </c>
      <c r="AI171" s="177">
        <f t="shared" si="219"/>
        <v>25000</v>
      </c>
      <c r="AJ171" s="106">
        <f t="shared" si="220"/>
        <v>33000</v>
      </c>
      <c r="AL171" s="23">
        <v>0.1</v>
      </c>
      <c r="CH171" s="170"/>
      <c r="CI171" s="564"/>
      <c r="CJ171" s="565" t="s">
        <v>722</v>
      </c>
      <c r="CK171" s="566"/>
      <c r="CL171" s="146"/>
    </row>
    <row r="172" spans="1:120" ht="18" thickBot="1">
      <c r="C172" s="16" t="s">
        <v>603</v>
      </c>
      <c r="D172" s="20" t="s">
        <v>604</v>
      </c>
      <c r="E172" s="17" t="s">
        <v>605</v>
      </c>
      <c r="F172" s="20" t="s">
        <v>606</v>
      </c>
      <c r="G172" s="20" t="s">
        <v>607</v>
      </c>
      <c r="H172" s="20" t="s">
        <v>608</v>
      </c>
      <c r="I172" s="227" t="s">
        <v>609</v>
      </c>
      <c r="J172" s="227" t="s">
        <v>610</v>
      </c>
      <c r="K172" s="227" t="s">
        <v>610</v>
      </c>
      <c r="L172" s="226" t="s">
        <v>611</v>
      </c>
      <c r="M172" s="23"/>
      <c r="N172" s="23"/>
      <c r="O172" s="23"/>
      <c r="P172" s="23"/>
      <c r="Q172" s="23"/>
      <c r="Y172" s="23"/>
      <c r="AA172" s="403" t="s">
        <v>77</v>
      </c>
      <c r="AB172" s="103" t="s">
        <v>77</v>
      </c>
      <c r="AC172" s="52" t="s">
        <v>52</v>
      </c>
      <c r="AD172" s="493" t="s">
        <v>77</v>
      </c>
      <c r="AE172" s="433">
        <f>ROUNDUP(((24100)*35%)+(24100),-3)</f>
        <v>33000</v>
      </c>
      <c r="AF172" s="106">
        <f t="shared" si="216"/>
        <v>14000</v>
      </c>
      <c r="AG172" s="117">
        <f t="shared" si="217"/>
        <v>4000</v>
      </c>
      <c r="AH172" s="106">
        <f t="shared" si="218"/>
        <v>7000</v>
      </c>
      <c r="AI172" s="177">
        <f t="shared" si="219"/>
        <v>58000</v>
      </c>
      <c r="AJ172" s="106">
        <f t="shared" si="220"/>
        <v>76000</v>
      </c>
      <c r="AL172" s="23">
        <v>0.2</v>
      </c>
      <c r="CH172" s="56" t="s">
        <v>41</v>
      </c>
      <c r="CI172" s="448" t="s">
        <v>42</v>
      </c>
      <c r="CJ172" s="58" t="s">
        <v>43</v>
      </c>
      <c r="CK172" s="57" t="s">
        <v>44</v>
      </c>
      <c r="CL172" s="57" t="s">
        <v>23</v>
      </c>
    </row>
    <row r="173" spans="1:120" ht="15" thickBot="1">
      <c r="C173" s="36"/>
      <c r="D173" s="40"/>
      <c r="E173" s="37"/>
      <c r="F173" s="40"/>
      <c r="G173" s="40"/>
      <c r="H173" s="40"/>
      <c r="I173" s="233" t="s">
        <v>615</v>
      </c>
      <c r="J173" s="233" t="s">
        <v>616</v>
      </c>
      <c r="K173" s="233" t="s">
        <v>617</v>
      </c>
      <c r="L173" s="232" t="s">
        <v>617</v>
      </c>
      <c r="M173" s="23"/>
      <c r="N173" s="23"/>
      <c r="O173" s="23"/>
      <c r="P173" s="23"/>
      <c r="Q173" s="23"/>
      <c r="Y173" s="23"/>
      <c r="AA173" s="414" t="s">
        <v>108</v>
      </c>
      <c r="AB173" s="141" t="s">
        <v>108</v>
      </c>
      <c r="AC173" s="142" t="s">
        <v>52</v>
      </c>
      <c r="AD173" s="544" t="s">
        <v>108</v>
      </c>
      <c r="AE173" s="144">
        <f>ROUNDUP(((47300)*35%)+(47300),-3)</f>
        <v>64000</v>
      </c>
      <c r="AF173" s="145">
        <f t="shared" si="216"/>
        <v>26000</v>
      </c>
      <c r="AG173" s="146">
        <f t="shared" si="217"/>
        <v>7000</v>
      </c>
      <c r="AH173" s="145">
        <f t="shared" si="218"/>
        <v>13000</v>
      </c>
      <c r="AI173" s="151">
        <f t="shared" si="219"/>
        <v>110000</v>
      </c>
      <c r="AJ173" s="145">
        <f t="shared" si="220"/>
        <v>143000</v>
      </c>
      <c r="CH173" s="181"/>
      <c r="CI173" s="468" t="s">
        <v>723</v>
      </c>
      <c r="CJ173" s="469" t="s">
        <v>724</v>
      </c>
      <c r="CK173" s="449">
        <v>3638406</v>
      </c>
      <c r="CL173" s="401">
        <f t="shared" si="213"/>
        <v>4367000</v>
      </c>
    </row>
    <row r="174" spans="1:120" ht="15" thickBot="1">
      <c r="A174" s="23" t="s">
        <v>620</v>
      </c>
      <c r="B174" s="23">
        <v>0.52</v>
      </c>
      <c r="C174" s="478" t="s">
        <v>725</v>
      </c>
      <c r="D174" s="109">
        <v>33500</v>
      </c>
      <c r="E174" s="535"/>
      <c r="F174" s="394"/>
      <c r="G174" s="394"/>
      <c r="H174" s="394"/>
      <c r="I174" s="394"/>
      <c r="J174" s="394"/>
      <c r="K174" s="535"/>
      <c r="L174" s="536"/>
      <c r="M174" s="537"/>
      <c r="N174" s="537"/>
      <c r="O174" s="537"/>
      <c r="P174" s="537"/>
      <c r="Q174" s="537"/>
      <c r="AL174" s="23">
        <v>1.3</v>
      </c>
      <c r="CH174" s="181"/>
      <c r="CI174" s="494" t="s">
        <v>726</v>
      </c>
      <c r="CJ174" s="469" t="s">
        <v>727</v>
      </c>
      <c r="CK174" s="449">
        <v>3554301</v>
      </c>
      <c r="CL174" s="401">
        <f t="shared" si="213"/>
        <v>4266000</v>
      </c>
    </row>
    <row r="175" spans="1:120" ht="15" thickBot="1">
      <c r="A175" s="480" t="s">
        <v>625</v>
      </c>
      <c r="B175" s="480"/>
      <c r="C175" s="181"/>
      <c r="D175" s="175"/>
      <c r="E175" s="556"/>
      <c r="K175" s="556"/>
      <c r="L175" s="557"/>
      <c r="M175" s="537"/>
      <c r="N175" s="537"/>
      <c r="O175" s="537"/>
      <c r="P175" s="537"/>
      <c r="Q175" s="537"/>
      <c r="AA175" s="498" t="s">
        <v>728</v>
      </c>
      <c r="AB175" s="16" t="s">
        <v>10</v>
      </c>
      <c r="AC175" s="17"/>
      <c r="AD175" s="18"/>
      <c r="AE175" s="19" t="s">
        <v>11</v>
      </c>
      <c r="AF175" s="20" t="s">
        <v>12</v>
      </c>
      <c r="AG175" s="24" t="s">
        <v>13</v>
      </c>
      <c r="AH175" s="22" t="s">
        <v>14</v>
      </c>
      <c r="AI175" s="25" t="s">
        <v>15</v>
      </c>
      <c r="AJ175" s="22" t="s">
        <v>16</v>
      </c>
      <c r="CH175" s="183"/>
      <c r="CI175" s="523" t="s">
        <v>729</v>
      </c>
      <c r="CJ175" s="524" t="s">
        <v>730</v>
      </c>
      <c r="CK175" s="456">
        <v>5570268</v>
      </c>
      <c r="CL175" s="426">
        <f t="shared" si="213"/>
        <v>6685000</v>
      </c>
    </row>
    <row r="176" spans="1:120" ht="15" thickBot="1">
      <c r="A176" s="23" t="s">
        <v>13</v>
      </c>
      <c r="B176" s="23">
        <v>0.4</v>
      </c>
      <c r="C176" s="181"/>
      <c r="D176" s="482">
        <f>SUM(D174:D175)</f>
        <v>33500</v>
      </c>
      <c r="E176" s="556"/>
      <c r="K176" s="556"/>
      <c r="L176" s="557"/>
      <c r="M176" s="537"/>
      <c r="N176" s="537"/>
      <c r="O176" s="537"/>
      <c r="P176" s="537"/>
      <c r="Q176" s="537"/>
      <c r="AA176" s="501"/>
      <c r="AB176" s="36"/>
      <c r="AC176" s="37"/>
      <c r="AD176" s="38"/>
      <c r="AE176" s="39" t="s">
        <v>22</v>
      </c>
      <c r="AF176" s="40"/>
      <c r="AG176" s="502"/>
      <c r="AH176" s="42" t="s">
        <v>29</v>
      </c>
      <c r="AI176" s="393"/>
      <c r="AJ176" s="42" t="s">
        <v>30</v>
      </c>
    </row>
    <row r="177" spans="1:90" ht="15" thickBot="1">
      <c r="A177" s="23" t="s">
        <v>208</v>
      </c>
      <c r="B177" s="23">
        <v>0.2</v>
      </c>
      <c r="C177" s="181"/>
      <c r="D177" s="175">
        <f>D176*B176</f>
        <v>13400</v>
      </c>
      <c r="E177" s="556"/>
      <c r="K177" s="556"/>
      <c r="L177" s="557"/>
      <c r="M177" s="537"/>
      <c r="N177" s="537"/>
      <c r="O177" s="537"/>
      <c r="P177" s="537"/>
      <c r="Q177" s="537"/>
      <c r="AA177" s="403" t="s">
        <v>53</v>
      </c>
      <c r="AB177" s="103" t="s">
        <v>53</v>
      </c>
      <c r="AC177" s="52" t="s">
        <v>52</v>
      </c>
      <c r="AD177" s="104" t="s">
        <v>53</v>
      </c>
      <c r="AE177" s="433">
        <f>ROUNDUP(((2500)*35%)+(2500),-3)</f>
        <v>4000</v>
      </c>
      <c r="AF177" s="106">
        <f t="shared" ref="AF177:AF217" si="221">ROUNDUP(AE177*$AL$187,-3)</f>
        <v>2000</v>
      </c>
      <c r="AG177" s="117">
        <f t="shared" ref="AG177:AG217" si="222">ROUNDUP(AE177*$AL$188,-3)</f>
        <v>1000</v>
      </c>
      <c r="AH177" s="106">
        <f t="shared" ref="AH177:AH217" si="223">ROUNDUP(AE177*$AL$189,-3)</f>
        <v>1000</v>
      </c>
      <c r="AI177" s="177">
        <f t="shared" ref="AI177:AI217" si="224">SUM(AE177:AH177)</f>
        <v>8000</v>
      </c>
      <c r="AJ177" s="268">
        <f t="shared" ref="AJ177:AJ217" si="225">ROUNDUP(AI177*$AL$191,-3)</f>
        <v>11000</v>
      </c>
    </row>
    <row r="178" spans="1:90" ht="37.5" customHeight="1">
      <c r="A178" s="259" t="s">
        <v>15</v>
      </c>
      <c r="B178" s="259"/>
      <c r="C178" s="181"/>
      <c r="D178" s="175">
        <f>D176*B177</f>
        <v>6700</v>
      </c>
      <c r="E178" s="556"/>
      <c r="K178" s="556"/>
      <c r="L178" s="557"/>
      <c r="M178" s="537"/>
      <c r="N178" s="537"/>
      <c r="O178" s="537"/>
      <c r="P178" s="537"/>
      <c r="Q178" s="537"/>
      <c r="AA178" s="403" t="s">
        <v>51</v>
      </c>
      <c r="AB178" s="103" t="s">
        <v>51</v>
      </c>
      <c r="AC178" s="52" t="s">
        <v>52</v>
      </c>
      <c r="AD178" s="104" t="s">
        <v>53</v>
      </c>
      <c r="AE178" s="433">
        <f>ROUNDUP(((3500)*35%)+(3500),-3)</f>
        <v>5000</v>
      </c>
      <c r="AF178" s="106">
        <f t="shared" si="221"/>
        <v>2000</v>
      </c>
      <c r="AG178" s="117">
        <f t="shared" si="222"/>
        <v>1000</v>
      </c>
      <c r="AH178" s="106">
        <f t="shared" si="223"/>
        <v>1000</v>
      </c>
      <c r="AI178" s="177">
        <f t="shared" si="224"/>
        <v>9000</v>
      </c>
      <c r="AJ178" s="268">
        <f t="shared" si="225"/>
        <v>12000</v>
      </c>
      <c r="CH178" s="1">
        <v>1.1499999999999999</v>
      </c>
      <c r="CI178" s="567" t="s">
        <v>731</v>
      </c>
      <c r="CJ178" s="568" t="s">
        <v>732</v>
      </c>
      <c r="CK178" s="568" t="s">
        <v>733</v>
      </c>
      <c r="CL178" s="569" t="s">
        <v>91</v>
      </c>
    </row>
    <row r="179" spans="1:90" ht="15" customHeight="1">
      <c r="A179" s="23" t="s">
        <v>215</v>
      </c>
      <c r="B179" s="23">
        <v>1.2</v>
      </c>
      <c r="C179" s="181"/>
      <c r="D179" s="486">
        <f>SUM(D176:D178)</f>
        <v>53600</v>
      </c>
      <c r="E179" s="556"/>
      <c r="K179" s="556"/>
      <c r="L179" s="557"/>
      <c r="M179" s="537"/>
      <c r="N179" s="537"/>
      <c r="O179" s="537"/>
      <c r="P179" s="537"/>
      <c r="Q179" s="537"/>
      <c r="AA179" s="181"/>
      <c r="AB179" s="103" t="s">
        <v>51</v>
      </c>
      <c r="AC179" s="52" t="s">
        <v>52</v>
      </c>
      <c r="AD179" s="104" t="s">
        <v>51</v>
      </c>
      <c r="AE179" s="433">
        <f>ROUNDUP(((3500)*35%)+(3500),-3)</f>
        <v>5000</v>
      </c>
      <c r="AF179" s="106">
        <f t="shared" si="221"/>
        <v>2000</v>
      </c>
      <c r="AG179" s="117">
        <f t="shared" si="222"/>
        <v>1000</v>
      </c>
      <c r="AH179" s="106">
        <f t="shared" si="223"/>
        <v>1000</v>
      </c>
      <c r="AI179" s="177">
        <f t="shared" si="224"/>
        <v>9000</v>
      </c>
      <c r="AJ179" s="268">
        <f t="shared" si="225"/>
        <v>12000</v>
      </c>
      <c r="CI179" s="570" t="s">
        <v>734</v>
      </c>
      <c r="CJ179" s="571"/>
      <c r="CK179" s="571"/>
      <c r="CL179" s="572"/>
    </row>
    <row r="180" spans="1:90" ht="15" thickBot="1">
      <c r="C180" s="183"/>
      <c r="D180" s="527">
        <f>ROUNDUP((D179*B179),-3)</f>
        <v>65000</v>
      </c>
      <c r="E180" s="562"/>
      <c r="F180" s="170"/>
      <c r="G180" s="170"/>
      <c r="H180" s="170"/>
      <c r="I180" s="170"/>
      <c r="J180" s="170"/>
      <c r="K180" s="562"/>
      <c r="L180" s="563"/>
      <c r="M180" s="537"/>
      <c r="N180" s="537"/>
      <c r="O180" s="537"/>
      <c r="P180" s="537"/>
      <c r="Q180" s="537"/>
      <c r="AA180" s="403" t="s">
        <v>75</v>
      </c>
      <c r="AB180" s="103" t="s">
        <v>75</v>
      </c>
      <c r="AC180" s="52" t="s">
        <v>52</v>
      </c>
      <c r="AD180" s="104" t="s">
        <v>53</v>
      </c>
      <c r="AE180" s="433">
        <f>ROUNDUP(((5200)*35%)+(5200),-3)</f>
        <v>8000</v>
      </c>
      <c r="AF180" s="106">
        <f t="shared" si="221"/>
        <v>4000</v>
      </c>
      <c r="AG180" s="117">
        <f t="shared" si="222"/>
        <v>1000</v>
      </c>
      <c r="AH180" s="106">
        <f t="shared" si="223"/>
        <v>2000</v>
      </c>
      <c r="AI180" s="177">
        <f t="shared" si="224"/>
        <v>15000</v>
      </c>
      <c r="AJ180" s="268">
        <f t="shared" si="225"/>
        <v>20000</v>
      </c>
      <c r="CI180" s="573" t="s">
        <v>735</v>
      </c>
      <c r="CJ180" s="574" t="s">
        <v>736</v>
      </c>
      <c r="CK180" s="575">
        <v>12303576</v>
      </c>
      <c r="CL180" s="576">
        <f>CK180*$CH$178</f>
        <v>14149112.399999999</v>
      </c>
    </row>
    <row r="181" spans="1:90" ht="15" thickBot="1">
      <c r="E181" s="553"/>
      <c r="K181" s="553"/>
      <c r="L181" s="553"/>
      <c r="M181" s="537"/>
      <c r="N181" s="537"/>
      <c r="O181" s="537"/>
      <c r="P181" s="537"/>
      <c r="Q181" s="537"/>
      <c r="AA181" s="181"/>
      <c r="AB181" s="103" t="s">
        <v>75</v>
      </c>
      <c r="AC181" s="52" t="s">
        <v>52</v>
      </c>
      <c r="AD181" s="104" t="s">
        <v>51</v>
      </c>
      <c r="AE181" s="433">
        <f>ROUNDUP(((5400)*35%)+(5400),-3)</f>
        <v>8000</v>
      </c>
      <c r="AF181" s="106">
        <f t="shared" si="221"/>
        <v>4000</v>
      </c>
      <c r="AG181" s="117">
        <f t="shared" si="222"/>
        <v>1000</v>
      </c>
      <c r="AH181" s="106">
        <f t="shared" si="223"/>
        <v>2000</v>
      </c>
      <c r="AI181" s="177">
        <f t="shared" si="224"/>
        <v>15000</v>
      </c>
      <c r="AJ181" s="268">
        <f t="shared" si="225"/>
        <v>20000</v>
      </c>
      <c r="CI181" s="573" t="s">
        <v>737</v>
      </c>
      <c r="CJ181" s="574" t="s">
        <v>736</v>
      </c>
      <c r="CK181" s="575">
        <v>10907898</v>
      </c>
      <c r="CL181" s="576">
        <f>CK181*$CH$178</f>
        <v>12544082.699999999</v>
      </c>
    </row>
    <row r="182" spans="1:90">
      <c r="C182" s="16" t="s">
        <v>603</v>
      </c>
      <c r="D182" s="20" t="s">
        <v>604</v>
      </c>
      <c r="E182" s="17" t="s">
        <v>605</v>
      </c>
      <c r="F182" s="20" t="s">
        <v>606</v>
      </c>
      <c r="G182" s="20" t="s">
        <v>607</v>
      </c>
      <c r="H182" s="20" t="s">
        <v>608</v>
      </c>
      <c r="I182" s="227" t="s">
        <v>609</v>
      </c>
      <c r="J182" s="227" t="s">
        <v>610</v>
      </c>
      <c r="K182" s="227" t="s">
        <v>610</v>
      </c>
      <c r="L182" s="226" t="s">
        <v>611</v>
      </c>
      <c r="M182" s="537"/>
      <c r="N182" s="537"/>
      <c r="O182" s="537"/>
      <c r="P182" s="537"/>
      <c r="Q182" s="537"/>
      <c r="AA182" s="181"/>
      <c r="AB182" s="103" t="s">
        <v>75</v>
      </c>
      <c r="AC182" s="52" t="s">
        <v>52</v>
      </c>
      <c r="AD182" s="104" t="s">
        <v>75</v>
      </c>
      <c r="AE182" s="433">
        <f>ROUNDUP(((5700)*35%)+(5700),-3)</f>
        <v>8000</v>
      </c>
      <c r="AF182" s="106">
        <f t="shared" si="221"/>
        <v>4000</v>
      </c>
      <c r="AG182" s="117">
        <f t="shared" si="222"/>
        <v>1000</v>
      </c>
      <c r="AH182" s="106">
        <f t="shared" si="223"/>
        <v>2000</v>
      </c>
      <c r="AI182" s="177">
        <f t="shared" si="224"/>
        <v>15000</v>
      </c>
      <c r="AJ182" s="268">
        <f t="shared" si="225"/>
        <v>20000</v>
      </c>
      <c r="CI182" s="573" t="s">
        <v>738</v>
      </c>
      <c r="CJ182" s="574" t="s">
        <v>736</v>
      </c>
      <c r="CK182" s="577"/>
      <c r="CL182" s="576"/>
    </row>
    <row r="183" spans="1:90" ht="15" thickBot="1">
      <c r="C183" s="36"/>
      <c r="D183" s="40"/>
      <c r="E183" s="37"/>
      <c r="F183" s="40"/>
      <c r="G183" s="40"/>
      <c r="H183" s="40"/>
      <c r="I183" s="233" t="s">
        <v>615</v>
      </c>
      <c r="J183" s="233" t="s">
        <v>616</v>
      </c>
      <c r="K183" s="233" t="s">
        <v>617</v>
      </c>
      <c r="L183" s="232" t="s">
        <v>617</v>
      </c>
      <c r="M183" s="537"/>
      <c r="N183" s="537"/>
      <c r="O183" s="537"/>
      <c r="P183" s="537"/>
      <c r="Q183" s="537"/>
      <c r="AA183" s="403" t="s">
        <v>59</v>
      </c>
      <c r="AB183" s="103" t="s">
        <v>59</v>
      </c>
      <c r="AC183" s="52" t="s">
        <v>52</v>
      </c>
      <c r="AD183" s="104" t="s">
        <v>53</v>
      </c>
      <c r="AE183" s="433">
        <f>ROUNDUP(((7700)*35%)+(7700),-3)</f>
        <v>11000</v>
      </c>
      <c r="AF183" s="106">
        <f t="shared" si="221"/>
        <v>5000</v>
      </c>
      <c r="AG183" s="117">
        <f t="shared" si="222"/>
        <v>2000</v>
      </c>
      <c r="AH183" s="106">
        <f t="shared" si="223"/>
        <v>3000</v>
      </c>
      <c r="AI183" s="177">
        <f t="shared" si="224"/>
        <v>21000</v>
      </c>
      <c r="AJ183" s="268">
        <f t="shared" si="225"/>
        <v>28000</v>
      </c>
      <c r="CI183" s="573" t="s">
        <v>739</v>
      </c>
      <c r="CJ183" s="574" t="s">
        <v>740</v>
      </c>
      <c r="CK183" s="577"/>
      <c r="CL183" s="576"/>
    </row>
    <row r="184" spans="1:90">
      <c r="A184" s="23" t="s">
        <v>620</v>
      </c>
      <c r="B184" s="23">
        <v>0.52</v>
      </c>
      <c r="C184" s="478" t="s">
        <v>741</v>
      </c>
      <c r="D184" s="394"/>
      <c r="E184" s="109">
        <v>1700</v>
      </c>
      <c r="F184" s="394"/>
      <c r="G184" s="394"/>
      <c r="H184" s="394"/>
      <c r="I184" s="394"/>
      <c r="J184" s="394"/>
      <c r="K184" s="394"/>
      <c r="L184" s="413"/>
      <c r="AA184" s="181"/>
      <c r="AB184" s="103" t="s">
        <v>59</v>
      </c>
      <c r="AC184" s="52" t="s">
        <v>52</v>
      </c>
      <c r="AD184" s="104" t="s">
        <v>51</v>
      </c>
      <c r="AE184" s="433">
        <f>ROUNDUP(((8100)*35%)+(8100),-3)</f>
        <v>11000</v>
      </c>
      <c r="AF184" s="106">
        <f t="shared" si="221"/>
        <v>5000</v>
      </c>
      <c r="AG184" s="117">
        <f t="shared" si="222"/>
        <v>2000</v>
      </c>
      <c r="AH184" s="106">
        <f t="shared" si="223"/>
        <v>3000</v>
      </c>
      <c r="AI184" s="177">
        <f t="shared" si="224"/>
        <v>21000</v>
      </c>
      <c r="AJ184" s="268">
        <f t="shared" si="225"/>
        <v>28000</v>
      </c>
      <c r="CI184" s="578"/>
      <c r="CJ184" s="574" t="s">
        <v>742</v>
      </c>
      <c r="CK184" s="577"/>
      <c r="CL184" s="576"/>
    </row>
    <row r="185" spans="1:90">
      <c r="A185" s="480" t="s">
        <v>625</v>
      </c>
      <c r="B185" s="480"/>
      <c r="C185" s="181"/>
      <c r="E185" s="175">
        <f>E184*B184</f>
        <v>884</v>
      </c>
      <c r="L185" s="481"/>
      <c r="AA185" s="181"/>
      <c r="AB185" s="103" t="s">
        <v>59</v>
      </c>
      <c r="AC185" s="52" t="s">
        <v>52</v>
      </c>
      <c r="AD185" s="104" t="s">
        <v>75</v>
      </c>
      <c r="AE185" s="433">
        <f>ROUNDUP(((9200)*35%)+(9200),-3)</f>
        <v>13000</v>
      </c>
      <c r="AF185" s="106">
        <f t="shared" si="221"/>
        <v>6000</v>
      </c>
      <c r="AG185" s="117">
        <f t="shared" si="222"/>
        <v>2000</v>
      </c>
      <c r="AH185" s="106">
        <f t="shared" si="223"/>
        <v>3000</v>
      </c>
      <c r="AI185" s="177">
        <f t="shared" si="224"/>
        <v>24000</v>
      </c>
      <c r="AJ185" s="268">
        <f t="shared" si="225"/>
        <v>32000</v>
      </c>
      <c r="CI185" s="578"/>
      <c r="CJ185" s="574" t="s">
        <v>743</v>
      </c>
      <c r="CK185" s="577"/>
      <c r="CL185" s="576"/>
    </row>
    <row r="186" spans="1:90" ht="15" thickBot="1">
      <c r="A186" s="23" t="s">
        <v>13</v>
      </c>
      <c r="B186" s="23">
        <v>0.4</v>
      </c>
      <c r="C186" s="181"/>
      <c r="E186" s="482">
        <f>SUM(E184:E185)</f>
        <v>2584</v>
      </c>
      <c r="L186" s="481"/>
      <c r="AA186" s="181"/>
      <c r="AB186" s="103" t="s">
        <v>59</v>
      </c>
      <c r="AC186" s="52" t="s">
        <v>52</v>
      </c>
      <c r="AD186" s="493" t="s">
        <v>59</v>
      </c>
      <c r="AE186" s="433">
        <f>ROUNDUP(((9500)*35%)+(9500),-3)</f>
        <v>13000</v>
      </c>
      <c r="AF186" s="106">
        <f t="shared" si="221"/>
        <v>6000</v>
      </c>
      <c r="AG186" s="117">
        <f t="shared" si="222"/>
        <v>2000</v>
      </c>
      <c r="AH186" s="106">
        <f t="shared" si="223"/>
        <v>3000</v>
      </c>
      <c r="AI186" s="177">
        <f t="shared" si="224"/>
        <v>24000</v>
      </c>
      <c r="AJ186" s="268">
        <f t="shared" si="225"/>
        <v>32000</v>
      </c>
      <c r="CI186" s="579" t="s">
        <v>744</v>
      </c>
      <c r="CJ186" s="580" t="s">
        <v>740</v>
      </c>
      <c r="CK186" s="581">
        <v>7269558</v>
      </c>
      <c r="CL186" s="582">
        <f>CK186*$CH$178</f>
        <v>8359991.6999999993</v>
      </c>
    </row>
    <row r="187" spans="1:90">
      <c r="A187" s="23" t="s">
        <v>208</v>
      </c>
      <c r="B187" s="23">
        <v>0.2</v>
      </c>
      <c r="C187" s="181"/>
      <c r="E187" s="175">
        <f>E186*B186</f>
        <v>1033.6000000000001</v>
      </c>
      <c r="L187" s="481"/>
      <c r="AA187" s="403" t="s">
        <v>125</v>
      </c>
      <c r="AB187" s="103" t="s">
        <v>125</v>
      </c>
      <c r="AC187" s="52" t="s">
        <v>52</v>
      </c>
      <c r="AD187" s="104" t="s">
        <v>53</v>
      </c>
      <c r="AE187" s="433">
        <f>ROUNDUP(((10600)*35%)+(10600),-3)</f>
        <v>15000</v>
      </c>
      <c r="AF187" s="106">
        <f t="shared" si="221"/>
        <v>6000</v>
      </c>
      <c r="AG187" s="117">
        <f t="shared" si="222"/>
        <v>2000</v>
      </c>
      <c r="AH187" s="106">
        <f t="shared" si="223"/>
        <v>3000</v>
      </c>
      <c r="AI187" s="177">
        <f t="shared" si="224"/>
        <v>26000</v>
      </c>
      <c r="AJ187" s="268">
        <f t="shared" si="225"/>
        <v>34000</v>
      </c>
      <c r="AL187" s="23">
        <v>0.4</v>
      </c>
    </row>
    <row r="188" spans="1:90">
      <c r="A188" s="259" t="s">
        <v>15</v>
      </c>
      <c r="B188" s="259"/>
      <c r="C188" s="181"/>
      <c r="E188" s="175">
        <f>E186*B187</f>
        <v>516.80000000000007</v>
      </c>
      <c r="L188" s="481"/>
      <c r="AA188" s="181"/>
      <c r="AB188" s="103" t="s">
        <v>125</v>
      </c>
      <c r="AC188" s="52" t="s">
        <v>52</v>
      </c>
      <c r="AD188" s="104" t="s">
        <v>51</v>
      </c>
      <c r="AE188" s="433">
        <f>ROUNDUP(((10600)*35%)+(10600),-3)</f>
        <v>15000</v>
      </c>
      <c r="AF188" s="106">
        <f t="shared" si="221"/>
        <v>6000</v>
      </c>
      <c r="AG188" s="117">
        <f t="shared" si="222"/>
        <v>2000</v>
      </c>
      <c r="AH188" s="106">
        <f t="shared" si="223"/>
        <v>3000</v>
      </c>
      <c r="AI188" s="177">
        <f t="shared" si="224"/>
        <v>26000</v>
      </c>
      <c r="AJ188" s="268">
        <f t="shared" si="225"/>
        <v>34000</v>
      </c>
      <c r="AL188" s="23">
        <v>0.1</v>
      </c>
    </row>
    <row r="189" spans="1:90" ht="15" customHeight="1" thickBot="1">
      <c r="A189" s="23" t="s">
        <v>215</v>
      </c>
      <c r="B189" s="23">
        <v>1.2</v>
      </c>
      <c r="C189" s="181"/>
      <c r="E189" s="486">
        <f>SUM(E186:E188)</f>
        <v>4134.4000000000005</v>
      </c>
      <c r="L189" s="481"/>
      <c r="AA189" s="181"/>
      <c r="AB189" s="103" t="s">
        <v>125</v>
      </c>
      <c r="AC189" s="52" t="s">
        <v>52</v>
      </c>
      <c r="AD189" s="104" t="s">
        <v>75</v>
      </c>
      <c r="AE189" s="433">
        <f>ROUNDUP(((11300)*35%)+(11300),-3)</f>
        <v>16000</v>
      </c>
      <c r="AF189" s="106">
        <f t="shared" si="221"/>
        <v>7000</v>
      </c>
      <c r="AG189" s="117">
        <f t="shared" si="222"/>
        <v>2000</v>
      </c>
      <c r="AH189" s="106">
        <f t="shared" si="223"/>
        <v>4000</v>
      </c>
      <c r="AI189" s="177">
        <f t="shared" si="224"/>
        <v>29000</v>
      </c>
      <c r="AJ189" s="268">
        <f t="shared" si="225"/>
        <v>38000</v>
      </c>
      <c r="AL189" s="23">
        <v>0.2</v>
      </c>
      <c r="CI189" s="570" t="s">
        <v>745</v>
      </c>
      <c r="CJ189" s="571"/>
      <c r="CK189" s="571"/>
      <c r="CL189" s="572"/>
    </row>
    <row r="190" spans="1:90" ht="28.2" thickBot="1">
      <c r="C190" s="183"/>
      <c r="D190" s="170"/>
      <c r="E190" s="527">
        <f>ROUNDUP((E189*B189),-3)</f>
        <v>5000</v>
      </c>
      <c r="F190" s="170"/>
      <c r="G190" s="170"/>
      <c r="H190" s="170"/>
      <c r="I190" s="170"/>
      <c r="J190" s="170"/>
      <c r="K190" s="170"/>
      <c r="L190" s="410"/>
      <c r="AA190" s="181"/>
      <c r="AB190" s="103" t="s">
        <v>125</v>
      </c>
      <c r="AC190" s="52" t="s">
        <v>52</v>
      </c>
      <c r="AD190" s="104" t="s">
        <v>59</v>
      </c>
      <c r="AE190" s="433">
        <f>ROUNDUP(((12700)*35%)+(12700),-3)</f>
        <v>18000</v>
      </c>
      <c r="AF190" s="106">
        <f t="shared" si="221"/>
        <v>8000</v>
      </c>
      <c r="AG190" s="117">
        <f t="shared" si="222"/>
        <v>2000</v>
      </c>
      <c r="AH190" s="106">
        <f t="shared" si="223"/>
        <v>4000</v>
      </c>
      <c r="AI190" s="177">
        <f t="shared" si="224"/>
        <v>32000</v>
      </c>
      <c r="AJ190" s="268">
        <f t="shared" si="225"/>
        <v>42000</v>
      </c>
      <c r="CI190" s="583" t="s">
        <v>731</v>
      </c>
      <c r="CJ190" s="584" t="s">
        <v>732</v>
      </c>
      <c r="CK190" s="584" t="s">
        <v>733</v>
      </c>
      <c r="CL190" s="585" t="s">
        <v>91</v>
      </c>
    </row>
    <row r="191" spans="1:90" ht="15" thickBot="1">
      <c r="AA191" s="181"/>
      <c r="AB191" s="103" t="s">
        <v>125</v>
      </c>
      <c r="AC191" s="52" t="s">
        <v>52</v>
      </c>
      <c r="AD191" s="493" t="s">
        <v>125</v>
      </c>
      <c r="AE191" s="433">
        <f>ROUNDUP(((12700)*35%)+(12700),-3)</f>
        <v>18000</v>
      </c>
      <c r="AF191" s="106">
        <f t="shared" si="221"/>
        <v>8000</v>
      </c>
      <c r="AG191" s="117">
        <f t="shared" si="222"/>
        <v>2000</v>
      </c>
      <c r="AH191" s="106">
        <f t="shared" si="223"/>
        <v>4000</v>
      </c>
      <c r="AI191" s="177">
        <f t="shared" si="224"/>
        <v>32000</v>
      </c>
      <c r="AJ191" s="268">
        <f t="shared" si="225"/>
        <v>42000</v>
      </c>
      <c r="AL191" s="23">
        <v>1.3</v>
      </c>
      <c r="CI191" s="586" t="s">
        <v>746</v>
      </c>
      <c r="CJ191" s="587" t="s">
        <v>747</v>
      </c>
      <c r="CK191" s="575">
        <v>12355338</v>
      </c>
      <c r="CL191" s="575">
        <f>CK191*$CH$178</f>
        <v>14208638.699999999</v>
      </c>
    </row>
    <row r="192" spans="1:90">
      <c r="C192" s="16" t="s">
        <v>603</v>
      </c>
      <c r="D192" s="20" t="s">
        <v>604</v>
      </c>
      <c r="E192" s="17" t="s">
        <v>605</v>
      </c>
      <c r="F192" s="20" t="s">
        <v>606</v>
      </c>
      <c r="G192" s="20" t="s">
        <v>607</v>
      </c>
      <c r="H192" s="20" t="s">
        <v>608</v>
      </c>
      <c r="I192" s="227" t="s">
        <v>609</v>
      </c>
      <c r="J192" s="227" t="s">
        <v>610</v>
      </c>
      <c r="K192" s="227" t="s">
        <v>610</v>
      </c>
      <c r="L192" s="226" t="s">
        <v>611</v>
      </c>
      <c r="AA192" s="403" t="s">
        <v>40</v>
      </c>
      <c r="AB192" s="103" t="s">
        <v>40</v>
      </c>
      <c r="AC192" s="52" t="s">
        <v>52</v>
      </c>
      <c r="AD192" s="104" t="s">
        <v>53</v>
      </c>
      <c r="AE192" s="433">
        <f>ROUNDUP(((12800)*35%)+(12800),-3)</f>
        <v>18000</v>
      </c>
      <c r="AF192" s="106">
        <f t="shared" si="221"/>
        <v>8000</v>
      </c>
      <c r="AG192" s="117">
        <f t="shared" si="222"/>
        <v>2000</v>
      </c>
      <c r="AH192" s="106">
        <f t="shared" si="223"/>
        <v>4000</v>
      </c>
      <c r="AI192" s="177">
        <f t="shared" si="224"/>
        <v>32000</v>
      </c>
      <c r="AJ192" s="268">
        <f t="shared" si="225"/>
        <v>42000</v>
      </c>
      <c r="CI192" s="586" t="s">
        <v>748</v>
      </c>
      <c r="CJ192" s="587" t="s">
        <v>749</v>
      </c>
      <c r="CK192" s="575">
        <v>12355338</v>
      </c>
      <c r="CL192" s="575">
        <f t="shared" ref="CL192:CL204" si="226">CK192*$CH$178</f>
        <v>14208638.699999999</v>
      </c>
    </row>
    <row r="193" spans="1:90" ht="15" thickBot="1">
      <c r="C193" s="36"/>
      <c r="D193" s="40"/>
      <c r="E193" s="37"/>
      <c r="F193" s="40"/>
      <c r="G193" s="40"/>
      <c r="H193" s="40"/>
      <c r="I193" s="233" t="s">
        <v>615</v>
      </c>
      <c r="J193" s="233" t="s">
        <v>616</v>
      </c>
      <c r="K193" s="233" t="s">
        <v>617</v>
      </c>
      <c r="L193" s="232" t="s">
        <v>617</v>
      </c>
      <c r="AA193" s="181"/>
      <c r="AB193" s="103" t="s">
        <v>40</v>
      </c>
      <c r="AC193" s="52" t="s">
        <v>52</v>
      </c>
      <c r="AD193" s="104" t="s">
        <v>51</v>
      </c>
      <c r="AE193" s="433">
        <f>ROUNDUP(((12900)*35%)+(12900),-3)</f>
        <v>18000</v>
      </c>
      <c r="AF193" s="106">
        <f t="shared" si="221"/>
        <v>8000</v>
      </c>
      <c r="AG193" s="117">
        <f t="shared" si="222"/>
        <v>2000</v>
      </c>
      <c r="AH193" s="106">
        <f t="shared" si="223"/>
        <v>4000</v>
      </c>
      <c r="AI193" s="177">
        <f t="shared" si="224"/>
        <v>32000</v>
      </c>
      <c r="AJ193" s="268">
        <f t="shared" si="225"/>
        <v>42000</v>
      </c>
      <c r="CI193" s="586" t="s">
        <v>750</v>
      </c>
      <c r="CJ193" s="587" t="s">
        <v>751</v>
      </c>
      <c r="CK193" s="575">
        <v>12508689</v>
      </c>
      <c r="CL193" s="575">
        <f t="shared" si="226"/>
        <v>14384992.35</v>
      </c>
    </row>
    <row r="194" spans="1:90">
      <c r="A194" s="23" t="s">
        <v>620</v>
      </c>
      <c r="B194" s="23">
        <v>0.52</v>
      </c>
      <c r="C194" s="478" t="s">
        <v>752</v>
      </c>
      <c r="D194" s="394"/>
      <c r="E194" s="109">
        <v>2800</v>
      </c>
      <c r="F194" s="495"/>
      <c r="G194" s="495"/>
      <c r="H194" s="495"/>
      <c r="I194" s="495"/>
      <c r="J194" s="495"/>
      <c r="K194" s="495"/>
      <c r="L194" s="496"/>
      <c r="M194" s="497"/>
      <c r="N194" s="497"/>
      <c r="O194" s="497"/>
      <c r="P194" s="497"/>
      <c r="Q194" s="497"/>
      <c r="R194" s="23"/>
      <c r="AA194" s="181"/>
      <c r="AB194" s="103" t="s">
        <v>40</v>
      </c>
      <c r="AC194" s="52" t="s">
        <v>52</v>
      </c>
      <c r="AD194" s="104" t="s">
        <v>75</v>
      </c>
      <c r="AE194" s="433">
        <f>ROUNDUP(((13400)*35%)+(13400),-3)</f>
        <v>19000</v>
      </c>
      <c r="AF194" s="106">
        <f t="shared" si="221"/>
        <v>8000</v>
      </c>
      <c r="AG194" s="117">
        <f t="shared" si="222"/>
        <v>2000</v>
      </c>
      <c r="AH194" s="106">
        <f t="shared" si="223"/>
        <v>4000</v>
      </c>
      <c r="AI194" s="177">
        <f t="shared" si="224"/>
        <v>33000</v>
      </c>
      <c r="AJ194" s="268">
        <f t="shared" si="225"/>
        <v>43000</v>
      </c>
      <c r="CI194" s="586" t="s">
        <v>753</v>
      </c>
      <c r="CJ194" s="587" t="s">
        <v>754</v>
      </c>
      <c r="CK194" s="575">
        <v>12587628</v>
      </c>
      <c r="CL194" s="575">
        <f t="shared" si="226"/>
        <v>14475772.199999999</v>
      </c>
    </row>
    <row r="195" spans="1:90">
      <c r="A195" s="480" t="s">
        <v>625</v>
      </c>
      <c r="B195" s="480"/>
      <c r="C195" s="181"/>
      <c r="E195" s="175">
        <f>E194*B194</f>
        <v>1456</v>
      </c>
      <c r="L195" s="481"/>
      <c r="M195" s="497"/>
      <c r="N195" s="497"/>
      <c r="O195" s="497"/>
      <c r="P195" s="497"/>
      <c r="Q195" s="497"/>
      <c r="R195" s="23"/>
      <c r="AA195" s="181"/>
      <c r="AB195" s="103" t="s">
        <v>40</v>
      </c>
      <c r="AC195" s="52" t="s">
        <v>52</v>
      </c>
      <c r="AD195" s="104" t="s">
        <v>59</v>
      </c>
      <c r="AE195" s="433">
        <f>ROUNDUP(((18400)*35%)+(18400),-3)</f>
        <v>25000</v>
      </c>
      <c r="AF195" s="106">
        <f t="shared" si="221"/>
        <v>10000</v>
      </c>
      <c r="AG195" s="117">
        <f t="shared" si="222"/>
        <v>3000</v>
      </c>
      <c r="AH195" s="106">
        <f t="shared" si="223"/>
        <v>5000</v>
      </c>
      <c r="AI195" s="177">
        <f t="shared" si="224"/>
        <v>43000</v>
      </c>
      <c r="AJ195" s="268">
        <f t="shared" si="225"/>
        <v>56000</v>
      </c>
      <c r="CI195" s="586" t="s">
        <v>755</v>
      </c>
      <c r="CJ195" s="587" t="s">
        <v>756</v>
      </c>
      <c r="CK195" s="575">
        <v>27872790</v>
      </c>
      <c r="CL195" s="575">
        <f t="shared" si="226"/>
        <v>32053708.499999996</v>
      </c>
    </row>
    <row r="196" spans="1:90">
      <c r="A196" s="23" t="s">
        <v>13</v>
      </c>
      <c r="B196" s="23">
        <v>0.4</v>
      </c>
      <c r="C196" s="181"/>
      <c r="E196" s="482">
        <f>SUM(E194:E195)</f>
        <v>4256</v>
      </c>
      <c r="L196" s="481"/>
      <c r="M196" s="497"/>
      <c r="N196" s="497"/>
      <c r="O196" s="497"/>
      <c r="P196" s="497"/>
      <c r="Q196" s="497"/>
      <c r="R196" s="23"/>
      <c r="AA196" s="181"/>
      <c r="AB196" s="103" t="s">
        <v>40</v>
      </c>
      <c r="AC196" s="52" t="s">
        <v>52</v>
      </c>
      <c r="AD196" s="104" t="s">
        <v>125</v>
      </c>
      <c r="AE196" s="433">
        <f>ROUNDUP(((18500)*35%)+(18500),-3)</f>
        <v>25000</v>
      </c>
      <c r="AF196" s="106">
        <f t="shared" si="221"/>
        <v>10000</v>
      </c>
      <c r="AG196" s="117">
        <f t="shared" si="222"/>
        <v>3000</v>
      </c>
      <c r="AH196" s="106">
        <f t="shared" si="223"/>
        <v>5000</v>
      </c>
      <c r="AI196" s="177">
        <f t="shared" si="224"/>
        <v>43000</v>
      </c>
      <c r="AJ196" s="268">
        <f t="shared" si="225"/>
        <v>56000</v>
      </c>
      <c r="CI196" s="586" t="s">
        <v>757</v>
      </c>
      <c r="CJ196" s="587" t="s">
        <v>758</v>
      </c>
      <c r="CK196" s="575">
        <v>25999815</v>
      </c>
      <c r="CL196" s="575">
        <f t="shared" si="226"/>
        <v>29899787.249999996</v>
      </c>
    </row>
    <row r="197" spans="1:90">
      <c r="A197" s="23" t="s">
        <v>208</v>
      </c>
      <c r="B197" s="23">
        <v>0.2</v>
      </c>
      <c r="C197" s="181"/>
      <c r="E197" s="175">
        <f>E196*B196</f>
        <v>1702.4</v>
      </c>
      <c r="L197" s="481"/>
      <c r="M197" s="497"/>
      <c r="N197" s="497"/>
      <c r="O197" s="497"/>
      <c r="P197" s="497"/>
      <c r="Q197" s="497"/>
      <c r="R197" s="23"/>
      <c r="AA197" s="181"/>
      <c r="AB197" s="103" t="s">
        <v>40</v>
      </c>
      <c r="AC197" s="52" t="s">
        <v>52</v>
      </c>
      <c r="AD197" s="104" t="s">
        <v>40</v>
      </c>
      <c r="AE197" s="433">
        <f>ROUNDUP(((20200)*35%)+(20200),-3)</f>
        <v>28000</v>
      </c>
      <c r="AF197" s="106">
        <f t="shared" si="221"/>
        <v>12000</v>
      </c>
      <c r="AG197" s="117">
        <f t="shared" si="222"/>
        <v>3000</v>
      </c>
      <c r="AH197" s="106">
        <f t="shared" si="223"/>
        <v>6000</v>
      </c>
      <c r="AI197" s="177">
        <f t="shared" si="224"/>
        <v>49000</v>
      </c>
      <c r="AJ197" s="268">
        <f t="shared" si="225"/>
        <v>64000</v>
      </c>
      <c r="CI197" s="586" t="s">
        <v>759</v>
      </c>
      <c r="CJ197" s="587" t="s">
        <v>760</v>
      </c>
      <c r="CK197" s="575">
        <v>29724207</v>
      </c>
      <c r="CL197" s="575">
        <f>CK197*$CH$178</f>
        <v>34182838.049999997</v>
      </c>
    </row>
    <row r="198" spans="1:90">
      <c r="A198" s="259" t="s">
        <v>15</v>
      </c>
      <c r="B198" s="259"/>
      <c r="C198" s="181"/>
      <c r="E198" s="175">
        <f>E196*B197</f>
        <v>851.2</v>
      </c>
      <c r="L198" s="481"/>
      <c r="M198" s="497"/>
      <c r="N198" s="497"/>
      <c r="O198" s="497"/>
      <c r="P198" s="497"/>
      <c r="Q198" s="497"/>
      <c r="R198" s="23"/>
      <c r="AA198" s="403" t="s">
        <v>57</v>
      </c>
      <c r="AB198" s="103" t="s">
        <v>57</v>
      </c>
      <c r="AC198" s="52" t="s">
        <v>52</v>
      </c>
      <c r="AD198" s="104" t="s">
        <v>125</v>
      </c>
      <c r="AE198" s="433">
        <f>ROUNDUP(((30700)*35%)+(30700),-3)</f>
        <v>42000</v>
      </c>
      <c r="AF198" s="106">
        <f t="shared" si="221"/>
        <v>17000</v>
      </c>
      <c r="AG198" s="117">
        <f t="shared" si="222"/>
        <v>5000</v>
      </c>
      <c r="AH198" s="106">
        <f t="shared" si="223"/>
        <v>9000</v>
      </c>
      <c r="AI198" s="177">
        <f t="shared" si="224"/>
        <v>73000</v>
      </c>
      <c r="AJ198" s="268">
        <f t="shared" si="225"/>
        <v>95000</v>
      </c>
      <c r="CI198" s="586" t="s">
        <v>761</v>
      </c>
      <c r="CJ198" s="587" t="s">
        <v>762</v>
      </c>
      <c r="CK198" s="575">
        <v>40065720</v>
      </c>
      <c r="CL198" s="575">
        <f t="shared" si="226"/>
        <v>46075578</v>
      </c>
    </row>
    <row r="199" spans="1:90">
      <c r="A199" s="23" t="s">
        <v>215</v>
      </c>
      <c r="B199" s="23">
        <v>1.2</v>
      </c>
      <c r="C199" s="181"/>
      <c r="E199" s="486">
        <f>SUM(E196:E198)</f>
        <v>6809.5999999999995</v>
      </c>
      <c r="L199" s="481"/>
      <c r="M199" s="497"/>
      <c r="N199" s="497"/>
      <c r="O199" s="497"/>
      <c r="P199" s="497"/>
      <c r="Q199" s="497"/>
      <c r="R199" s="23"/>
      <c r="AA199" s="181"/>
      <c r="AB199" s="103" t="s">
        <v>57</v>
      </c>
      <c r="AC199" s="52" t="s">
        <v>52</v>
      </c>
      <c r="AD199" s="104" t="s">
        <v>40</v>
      </c>
      <c r="AE199" s="433">
        <f>ROUNDUP(((33000)*35%)+(33000),-3)</f>
        <v>45000</v>
      </c>
      <c r="AF199" s="106">
        <f t="shared" si="221"/>
        <v>18000</v>
      </c>
      <c r="AG199" s="117">
        <f t="shared" si="222"/>
        <v>5000</v>
      </c>
      <c r="AH199" s="106">
        <f t="shared" si="223"/>
        <v>9000</v>
      </c>
      <c r="AI199" s="177">
        <f t="shared" si="224"/>
        <v>77000</v>
      </c>
      <c r="AJ199" s="268">
        <f t="shared" si="225"/>
        <v>101000</v>
      </c>
      <c r="CI199" s="586" t="s">
        <v>763</v>
      </c>
      <c r="CJ199" s="587" t="s">
        <v>764</v>
      </c>
      <c r="CK199" s="575">
        <v>49904697</v>
      </c>
      <c r="CL199" s="575">
        <f t="shared" si="226"/>
        <v>57390401.549999997</v>
      </c>
    </row>
    <row r="200" spans="1:90" ht="15" thickBot="1">
      <c r="C200" s="183"/>
      <c r="D200" s="170"/>
      <c r="E200" s="527">
        <f>ROUNDUP((E199*B199),-3)</f>
        <v>9000</v>
      </c>
      <c r="F200" s="170"/>
      <c r="G200" s="170"/>
      <c r="H200" s="170"/>
      <c r="I200" s="170"/>
      <c r="J200" s="170"/>
      <c r="K200" s="170"/>
      <c r="L200" s="410"/>
      <c r="M200" s="497"/>
      <c r="N200" s="497"/>
      <c r="O200" s="497"/>
      <c r="P200" s="497"/>
      <c r="Q200" s="497"/>
      <c r="R200" s="23"/>
      <c r="AA200" s="181"/>
      <c r="AB200" s="103" t="s">
        <v>57</v>
      </c>
      <c r="AC200" s="52" t="s">
        <v>52</v>
      </c>
      <c r="AD200" s="493" t="s">
        <v>57</v>
      </c>
      <c r="AE200" s="433">
        <f>ROUNDUP(((31000)*35%)+(31000),-3)</f>
        <v>42000</v>
      </c>
      <c r="AF200" s="106">
        <f t="shared" si="221"/>
        <v>17000</v>
      </c>
      <c r="AG200" s="117">
        <f t="shared" si="222"/>
        <v>5000</v>
      </c>
      <c r="AH200" s="106">
        <f t="shared" si="223"/>
        <v>9000</v>
      </c>
      <c r="AI200" s="177">
        <f t="shared" si="224"/>
        <v>73000</v>
      </c>
      <c r="AJ200" s="268">
        <f t="shared" si="225"/>
        <v>95000</v>
      </c>
      <c r="CI200" s="586" t="s">
        <v>765</v>
      </c>
      <c r="CJ200" s="587" t="s">
        <v>766</v>
      </c>
      <c r="CK200" s="575">
        <v>87177993</v>
      </c>
      <c r="CL200" s="575">
        <f t="shared" si="226"/>
        <v>100254691.94999999</v>
      </c>
    </row>
    <row r="201" spans="1:90" ht="15" thickBot="1">
      <c r="F201" s="530"/>
      <c r="G201" s="530"/>
      <c r="H201" s="530"/>
      <c r="I201" s="530"/>
      <c r="J201" s="530"/>
      <c r="K201" s="530"/>
      <c r="L201" s="530"/>
      <c r="M201" s="497"/>
      <c r="N201" s="497"/>
      <c r="O201" s="497"/>
      <c r="P201" s="497"/>
      <c r="Q201" s="497"/>
      <c r="R201" s="23"/>
      <c r="AA201" s="403" t="s">
        <v>77</v>
      </c>
      <c r="AB201" s="103" t="s">
        <v>77</v>
      </c>
      <c r="AC201" s="52" t="s">
        <v>52</v>
      </c>
      <c r="AD201" s="104" t="s">
        <v>51</v>
      </c>
      <c r="AE201" s="433">
        <f>ROUNDUP(((27500)*35%)+(27500),-3)</f>
        <v>38000</v>
      </c>
      <c r="AF201" s="106">
        <f t="shared" si="221"/>
        <v>16000</v>
      </c>
      <c r="AG201" s="117">
        <f t="shared" si="222"/>
        <v>4000</v>
      </c>
      <c r="AH201" s="106">
        <f t="shared" si="223"/>
        <v>8000</v>
      </c>
      <c r="AI201" s="177">
        <f t="shared" si="224"/>
        <v>66000</v>
      </c>
      <c r="AJ201" s="268">
        <f t="shared" si="225"/>
        <v>86000</v>
      </c>
      <c r="CI201" s="586" t="s">
        <v>767</v>
      </c>
      <c r="CJ201" s="587" t="s">
        <v>768</v>
      </c>
      <c r="CK201" s="575">
        <v>120791034</v>
      </c>
      <c r="CL201" s="575">
        <f t="shared" si="226"/>
        <v>138909689.09999999</v>
      </c>
    </row>
    <row r="202" spans="1:90">
      <c r="C202" s="16" t="s">
        <v>603</v>
      </c>
      <c r="D202" s="20" t="s">
        <v>604</v>
      </c>
      <c r="E202" s="17" t="s">
        <v>605</v>
      </c>
      <c r="F202" s="20" t="s">
        <v>606</v>
      </c>
      <c r="G202" s="20" t="s">
        <v>607</v>
      </c>
      <c r="H202" s="20" t="s">
        <v>608</v>
      </c>
      <c r="I202" s="227" t="s">
        <v>609</v>
      </c>
      <c r="J202" s="227" t="s">
        <v>610</v>
      </c>
      <c r="K202" s="227" t="s">
        <v>610</v>
      </c>
      <c r="L202" s="226" t="s">
        <v>611</v>
      </c>
      <c r="M202" s="497"/>
      <c r="N202" s="497"/>
      <c r="O202" s="497"/>
      <c r="P202" s="497"/>
      <c r="Q202" s="497"/>
      <c r="R202" s="23"/>
      <c r="AA202" s="181"/>
      <c r="AB202" s="103" t="s">
        <v>77</v>
      </c>
      <c r="AC202" s="52" t="s">
        <v>52</v>
      </c>
      <c r="AD202" s="104" t="s">
        <v>75</v>
      </c>
      <c r="AE202" s="433">
        <f>ROUNDUP(((28300)*35%)+(28300),-3)</f>
        <v>39000</v>
      </c>
      <c r="AF202" s="106">
        <f t="shared" si="221"/>
        <v>16000</v>
      </c>
      <c r="AG202" s="117">
        <f t="shared" si="222"/>
        <v>4000</v>
      </c>
      <c r="AH202" s="106">
        <f t="shared" si="223"/>
        <v>8000</v>
      </c>
      <c r="AI202" s="177">
        <f t="shared" si="224"/>
        <v>67000</v>
      </c>
      <c r="AJ202" s="268">
        <f t="shared" si="225"/>
        <v>88000</v>
      </c>
      <c r="CI202" s="586" t="s">
        <v>769</v>
      </c>
      <c r="CJ202" s="587" t="s">
        <v>770</v>
      </c>
      <c r="CK202" s="575">
        <v>155404857</v>
      </c>
      <c r="CL202" s="575">
        <f t="shared" si="226"/>
        <v>178715585.54999998</v>
      </c>
    </row>
    <row r="203" spans="1:90" ht="15" thickBot="1">
      <c r="C203" s="36"/>
      <c r="D203" s="40"/>
      <c r="E203" s="37"/>
      <c r="F203" s="40"/>
      <c r="G203" s="40"/>
      <c r="H203" s="40"/>
      <c r="I203" s="233" t="s">
        <v>615</v>
      </c>
      <c r="J203" s="233" t="s">
        <v>616</v>
      </c>
      <c r="K203" s="233" t="s">
        <v>617</v>
      </c>
      <c r="L203" s="232" t="s">
        <v>617</v>
      </c>
      <c r="M203" s="497"/>
      <c r="N203" s="497"/>
      <c r="O203" s="497"/>
      <c r="P203" s="497"/>
      <c r="Q203" s="497"/>
      <c r="R203" s="23"/>
      <c r="AA203" s="181"/>
      <c r="AB203" s="103" t="s">
        <v>77</v>
      </c>
      <c r="AC203" s="52" t="s">
        <v>52</v>
      </c>
      <c r="AD203" s="104" t="s">
        <v>59</v>
      </c>
      <c r="AE203" s="433">
        <f>ROUNDUP(((31800)*35%)+(31800),-3)</f>
        <v>43000</v>
      </c>
      <c r="AF203" s="106">
        <f t="shared" si="221"/>
        <v>18000</v>
      </c>
      <c r="AG203" s="117">
        <f t="shared" si="222"/>
        <v>5000</v>
      </c>
      <c r="AH203" s="106">
        <f t="shared" si="223"/>
        <v>9000</v>
      </c>
      <c r="AI203" s="177">
        <f t="shared" si="224"/>
        <v>75000</v>
      </c>
      <c r="AJ203" s="268">
        <f t="shared" si="225"/>
        <v>98000</v>
      </c>
      <c r="CI203" s="586" t="s">
        <v>771</v>
      </c>
      <c r="CJ203" s="587" t="s">
        <v>772</v>
      </c>
      <c r="CK203" s="575">
        <v>167998311</v>
      </c>
      <c r="CL203" s="575">
        <f t="shared" si="226"/>
        <v>193198057.64999998</v>
      </c>
    </row>
    <row r="204" spans="1:90" ht="15" thickBot="1">
      <c r="A204" s="23" t="s">
        <v>620</v>
      </c>
      <c r="B204" s="23">
        <v>0.52</v>
      </c>
      <c r="C204" s="478" t="s">
        <v>773</v>
      </c>
      <c r="D204" s="394"/>
      <c r="E204" s="109">
        <v>4800</v>
      </c>
      <c r="F204" s="535"/>
      <c r="G204" s="535"/>
      <c r="H204" s="535"/>
      <c r="I204" s="535"/>
      <c r="J204" s="535"/>
      <c r="K204" s="535"/>
      <c r="L204" s="536"/>
      <c r="M204" s="537"/>
      <c r="N204" s="537"/>
      <c r="O204" s="537"/>
      <c r="P204" s="537"/>
      <c r="Q204" s="537"/>
      <c r="R204" s="23"/>
      <c r="AA204" s="181"/>
      <c r="AB204" s="103" t="s">
        <v>77</v>
      </c>
      <c r="AC204" s="52" t="s">
        <v>52</v>
      </c>
      <c r="AD204" s="104" t="s">
        <v>125</v>
      </c>
      <c r="AE204" s="433">
        <f>ROUNDUP(((33300)*35%)+(33300),-3)</f>
        <v>45000</v>
      </c>
      <c r="AF204" s="106">
        <f t="shared" si="221"/>
        <v>18000</v>
      </c>
      <c r="AG204" s="117">
        <f t="shared" si="222"/>
        <v>5000</v>
      </c>
      <c r="AH204" s="106">
        <f t="shared" si="223"/>
        <v>9000</v>
      </c>
      <c r="AI204" s="177">
        <f t="shared" si="224"/>
        <v>77000</v>
      </c>
      <c r="AJ204" s="268">
        <f t="shared" si="225"/>
        <v>101000</v>
      </c>
      <c r="CI204" s="588" t="s">
        <v>774</v>
      </c>
      <c r="CJ204" s="589" t="s">
        <v>775</v>
      </c>
      <c r="CK204" s="575">
        <v>239038884</v>
      </c>
      <c r="CL204" s="575">
        <f t="shared" si="226"/>
        <v>274894716.59999996</v>
      </c>
    </row>
    <row r="205" spans="1:90">
      <c r="A205" s="480" t="s">
        <v>625</v>
      </c>
      <c r="B205" s="480"/>
      <c r="C205" s="181"/>
      <c r="E205" s="175">
        <f>E204*B204</f>
        <v>2496</v>
      </c>
      <c r="L205" s="481"/>
      <c r="M205" s="537"/>
      <c r="N205" s="537"/>
      <c r="O205" s="537"/>
      <c r="P205" s="537"/>
      <c r="Q205" s="537"/>
      <c r="R205" s="23"/>
      <c r="AA205" s="181"/>
      <c r="AB205" s="103" t="s">
        <v>77</v>
      </c>
      <c r="AC205" s="52" t="s">
        <v>52</v>
      </c>
      <c r="AD205" s="104" t="s">
        <v>40</v>
      </c>
      <c r="AE205" s="433">
        <f>ROUNDUP(((35900)*35%)+(35900),-3)</f>
        <v>49000</v>
      </c>
      <c r="AF205" s="106">
        <f t="shared" si="221"/>
        <v>20000</v>
      </c>
      <c r="AG205" s="117">
        <f t="shared" si="222"/>
        <v>5000</v>
      </c>
      <c r="AH205" s="106">
        <f t="shared" si="223"/>
        <v>10000</v>
      </c>
      <c r="AI205" s="177">
        <f t="shared" si="224"/>
        <v>84000</v>
      </c>
      <c r="AJ205" s="268">
        <f t="shared" si="225"/>
        <v>110000</v>
      </c>
    </row>
    <row r="206" spans="1:90">
      <c r="A206" s="23" t="s">
        <v>13</v>
      </c>
      <c r="B206" s="23">
        <v>0.4</v>
      </c>
      <c r="C206" s="181"/>
      <c r="E206" s="482">
        <f>SUM(E204:E205)</f>
        <v>7296</v>
      </c>
      <c r="L206" s="481"/>
      <c r="M206" s="537"/>
      <c r="N206" s="537"/>
      <c r="O206" s="537"/>
      <c r="P206" s="537"/>
      <c r="Q206" s="537"/>
      <c r="R206" s="23"/>
      <c r="AA206" s="181"/>
      <c r="AB206" s="103" t="s">
        <v>77</v>
      </c>
      <c r="AC206" s="52" t="s">
        <v>52</v>
      </c>
      <c r="AD206" s="104" t="s">
        <v>57</v>
      </c>
      <c r="AE206" s="433">
        <f>ROUNDUP(((40900)*35%)+(40900),-3)</f>
        <v>56000</v>
      </c>
      <c r="AF206" s="106">
        <f t="shared" si="221"/>
        <v>23000</v>
      </c>
      <c r="AG206" s="117">
        <f t="shared" si="222"/>
        <v>6000</v>
      </c>
      <c r="AH206" s="106">
        <f t="shared" si="223"/>
        <v>12000</v>
      </c>
      <c r="AI206" s="177">
        <f t="shared" si="224"/>
        <v>97000</v>
      </c>
      <c r="AJ206" s="268">
        <f t="shared" si="225"/>
        <v>127000</v>
      </c>
    </row>
    <row r="207" spans="1:90">
      <c r="A207" s="23" t="s">
        <v>208</v>
      </c>
      <c r="B207" s="23">
        <v>0.2</v>
      </c>
      <c r="C207" s="181"/>
      <c r="E207" s="175">
        <f>E206*B206</f>
        <v>2918.4</v>
      </c>
      <c r="L207" s="481"/>
      <c r="M207" s="537"/>
      <c r="N207" s="537"/>
      <c r="O207" s="537"/>
      <c r="P207" s="537"/>
      <c r="Q207" s="537"/>
      <c r="R207" s="23"/>
      <c r="AA207" s="181"/>
      <c r="AB207" s="103" t="s">
        <v>77</v>
      </c>
      <c r="AC207" s="52" t="s">
        <v>52</v>
      </c>
      <c r="AD207" s="493" t="s">
        <v>77</v>
      </c>
      <c r="AE207" s="433">
        <f>ROUNDUP(((46800)*35%)+(46800),-3)</f>
        <v>64000</v>
      </c>
      <c r="AF207" s="106">
        <f t="shared" si="221"/>
        <v>26000</v>
      </c>
      <c r="AG207" s="117">
        <f t="shared" si="222"/>
        <v>7000</v>
      </c>
      <c r="AH207" s="106">
        <f t="shared" si="223"/>
        <v>13000</v>
      </c>
      <c r="AI207" s="177">
        <f t="shared" si="224"/>
        <v>110000</v>
      </c>
      <c r="AJ207" s="268">
        <f t="shared" si="225"/>
        <v>143000</v>
      </c>
    </row>
    <row r="208" spans="1:90" ht="15" customHeight="1" thickBot="1">
      <c r="A208" s="259" t="s">
        <v>15</v>
      </c>
      <c r="B208" s="259"/>
      <c r="C208" s="181"/>
      <c r="E208" s="175">
        <f>E206*B207</f>
        <v>1459.2</v>
      </c>
      <c r="L208" s="481"/>
      <c r="M208" s="537"/>
      <c r="N208" s="537"/>
      <c r="O208" s="537"/>
      <c r="P208" s="537"/>
      <c r="Q208" s="537"/>
      <c r="R208" s="23"/>
      <c r="AA208" s="403" t="s">
        <v>108</v>
      </c>
      <c r="AB208" s="103" t="s">
        <v>108</v>
      </c>
      <c r="AC208" s="52" t="s">
        <v>52</v>
      </c>
      <c r="AD208" s="104" t="s">
        <v>125</v>
      </c>
      <c r="AE208" s="433">
        <f>ROUNDUP(((71500)*35%)+(71500),-3)</f>
        <v>97000</v>
      </c>
      <c r="AF208" s="106">
        <f t="shared" si="221"/>
        <v>39000</v>
      </c>
      <c r="AG208" s="117">
        <f t="shared" si="222"/>
        <v>10000</v>
      </c>
      <c r="AH208" s="106">
        <f t="shared" si="223"/>
        <v>20000</v>
      </c>
      <c r="AI208" s="177">
        <f t="shared" si="224"/>
        <v>166000</v>
      </c>
      <c r="AJ208" s="268">
        <f t="shared" si="225"/>
        <v>216000</v>
      </c>
      <c r="CI208" s="570" t="s">
        <v>776</v>
      </c>
      <c r="CJ208" s="571"/>
      <c r="CK208" s="571"/>
      <c r="CL208" s="572"/>
    </row>
    <row r="209" spans="1:90" ht="27.6">
      <c r="A209" s="23" t="s">
        <v>215</v>
      </c>
      <c r="B209" s="23">
        <v>1.2</v>
      </c>
      <c r="C209" s="181"/>
      <c r="E209" s="486">
        <f>SUM(E206:E208)</f>
        <v>11673.6</v>
      </c>
      <c r="L209" s="481"/>
      <c r="M209" s="537"/>
      <c r="N209" s="537"/>
      <c r="O209" s="537"/>
      <c r="P209" s="537"/>
      <c r="Q209" s="537"/>
      <c r="R209" s="23"/>
      <c r="AA209" s="181"/>
      <c r="AB209" s="103" t="s">
        <v>108</v>
      </c>
      <c r="AC209" s="52" t="s">
        <v>52</v>
      </c>
      <c r="AD209" s="104" t="s">
        <v>40</v>
      </c>
      <c r="AE209" s="433">
        <f>ROUNDUP(((72100)*35%)+(72100),-3)</f>
        <v>98000</v>
      </c>
      <c r="AF209" s="106">
        <f t="shared" si="221"/>
        <v>40000</v>
      </c>
      <c r="AG209" s="117">
        <f t="shared" si="222"/>
        <v>10000</v>
      </c>
      <c r="AH209" s="106">
        <f t="shared" si="223"/>
        <v>20000</v>
      </c>
      <c r="AI209" s="177">
        <f t="shared" si="224"/>
        <v>168000</v>
      </c>
      <c r="AJ209" s="268">
        <f t="shared" si="225"/>
        <v>219000</v>
      </c>
      <c r="CI209" s="583" t="s">
        <v>731</v>
      </c>
      <c r="CJ209" s="584" t="s">
        <v>732</v>
      </c>
      <c r="CK209" s="584" t="s">
        <v>733</v>
      </c>
      <c r="CL209" s="585" t="s">
        <v>91</v>
      </c>
    </row>
    <row r="210" spans="1:90" ht="15.75" customHeight="1" thickBot="1">
      <c r="A210" s="23"/>
      <c r="B210" s="23"/>
      <c r="C210" s="183"/>
      <c r="D210" s="170"/>
      <c r="E210" s="527">
        <f>ROUNDUP((E209*B209),-3)</f>
        <v>15000</v>
      </c>
      <c r="F210" s="170"/>
      <c r="G210" s="170"/>
      <c r="H210" s="170"/>
      <c r="I210" s="170"/>
      <c r="J210" s="170"/>
      <c r="K210" s="170"/>
      <c r="L210" s="410"/>
      <c r="M210" s="537"/>
      <c r="N210" s="537"/>
      <c r="O210" s="537"/>
      <c r="P210" s="537"/>
      <c r="Q210" s="537"/>
      <c r="R210" s="23"/>
      <c r="AA210" s="181"/>
      <c r="AB210" s="103" t="s">
        <v>108</v>
      </c>
      <c r="AC210" s="52" t="s">
        <v>52</v>
      </c>
      <c r="AD210" s="104" t="s">
        <v>57</v>
      </c>
      <c r="AE210" s="433">
        <f>ROUNDUP(((85700)*35%)+(85700),-3)</f>
        <v>116000</v>
      </c>
      <c r="AF210" s="106">
        <f t="shared" si="221"/>
        <v>47000</v>
      </c>
      <c r="AG210" s="117">
        <f t="shared" si="222"/>
        <v>12000</v>
      </c>
      <c r="AH210" s="106">
        <f t="shared" si="223"/>
        <v>24000</v>
      </c>
      <c r="AI210" s="177">
        <f t="shared" si="224"/>
        <v>199000</v>
      </c>
      <c r="AJ210" s="268">
        <f t="shared" si="225"/>
        <v>259000</v>
      </c>
      <c r="CI210" s="586" t="s">
        <v>777</v>
      </c>
      <c r="CJ210" s="587" t="s">
        <v>778</v>
      </c>
      <c r="CK210" s="575">
        <v>32458188</v>
      </c>
      <c r="CL210" s="575">
        <f t="shared" ref="CL210:CL223" si="227">CK210*$CH$178</f>
        <v>37326916.199999996</v>
      </c>
    </row>
    <row r="211" spans="1:90" ht="15" customHeight="1" thickBot="1">
      <c r="A211" s="23"/>
      <c r="B211" s="23"/>
      <c r="E211" s="5"/>
      <c r="M211" s="537"/>
      <c r="N211" s="537"/>
      <c r="O211" s="537"/>
      <c r="P211" s="537"/>
      <c r="Q211" s="537"/>
      <c r="R211" s="23"/>
      <c r="AA211" s="181"/>
      <c r="AB211" s="103" t="s">
        <v>108</v>
      </c>
      <c r="AC211" s="52" t="s">
        <v>52</v>
      </c>
      <c r="AD211" s="104" t="s">
        <v>77</v>
      </c>
      <c r="AE211" s="433">
        <f>ROUNDUP(((87800)*35%)+(87800),-3)</f>
        <v>119000</v>
      </c>
      <c r="AF211" s="106">
        <f t="shared" si="221"/>
        <v>48000</v>
      </c>
      <c r="AG211" s="117">
        <f t="shared" si="222"/>
        <v>12000</v>
      </c>
      <c r="AH211" s="106">
        <f t="shared" si="223"/>
        <v>24000</v>
      </c>
      <c r="AI211" s="177">
        <f t="shared" si="224"/>
        <v>203000</v>
      </c>
      <c r="AJ211" s="268">
        <f t="shared" si="225"/>
        <v>264000</v>
      </c>
      <c r="CI211" s="586" t="s">
        <v>779</v>
      </c>
      <c r="CJ211" s="587" t="s">
        <v>780</v>
      </c>
      <c r="CK211" s="575">
        <v>31760886</v>
      </c>
      <c r="CL211" s="575">
        <f t="shared" si="227"/>
        <v>36525018.899999999</v>
      </c>
    </row>
    <row r="212" spans="1:90" ht="15" customHeight="1">
      <c r="A212" s="23"/>
      <c r="B212" s="23"/>
      <c r="C212" s="16" t="s">
        <v>603</v>
      </c>
      <c r="D212" s="20" t="s">
        <v>604</v>
      </c>
      <c r="E212" s="17" t="s">
        <v>605</v>
      </c>
      <c r="F212" s="20" t="s">
        <v>606</v>
      </c>
      <c r="G212" s="20" t="s">
        <v>607</v>
      </c>
      <c r="H212" s="20" t="s">
        <v>608</v>
      </c>
      <c r="I212" s="227" t="s">
        <v>609</v>
      </c>
      <c r="J212" s="227" t="s">
        <v>610</v>
      </c>
      <c r="K212" s="227" t="s">
        <v>610</v>
      </c>
      <c r="L212" s="226" t="s">
        <v>611</v>
      </c>
      <c r="M212" s="537"/>
      <c r="N212" s="537"/>
      <c r="O212" s="537"/>
      <c r="P212" s="537"/>
      <c r="Q212" s="537"/>
      <c r="R212" s="23"/>
      <c r="AA212" s="181"/>
      <c r="AB212" s="103" t="s">
        <v>108</v>
      </c>
      <c r="AC212" s="52" t="s">
        <v>52</v>
      </c>
      <c r="AD212" s="493" t="s">
        <v>108</v>
      </c>
      <c r="AE212" s="433">
        <f>ROUNDUP(((93500)*35%)+(93500),-3)</f>
        <v>127000</v>
      </c>
      <c r="AF212" s="106">
        <f t="shared" si="221"/>
        <v>51000</v>
      </c>
      <c r="AG212" s="117">
        <f t="shared" si="222"/>
        <v>13000</v>
      </c>
      <c r="AH212" s="106">
        <f t="shared" si="223"/>
        <v>26000</v>
      </c>
      <c r="AI212" s="177">
        <f t="shared" si="224"/>
        <v>217000</v>
      </c>
      <c r="AJ212" s="268">
        <f t="shared" si="225"/>
        <v>283000</v>
      </c>
      <c r="CI212" s="586" t="s">
        <v>781</v>
      </c>
      <c r="CJ212" s="587" t="s">
        <v>782</v>
      </c>
      <c r="CK212" s="575">
        <v>32896452</v>
      </c>
      <c r="CL212" s="575">
        <f t="shared" si="227"/>
        <v>37830919.799999997</v>
      </c>
    </row>
    <row r="213" spans="1:90" ht="15" thickBot="1">
      <c r="C213" s="36"/>
      <c r="D213" s="40"/>
      <c r="E213" s="37"/>
      <c r="F213" s="40"/>
      <c r="G213" s="40"/>
      <c r="H213" s="40"/>
      <c r="I213" s="233" t="s">
        <v>615</v>
      </c>
      <c r="J213" s="233" t="s">
        <v>616</v>
      </c>
      <c r="K213" s="233" t="s">
        <v>617</v>
      </c>
      <c r="L213" s="232" t="s">
        <v>617</v>
      </c>
      <c r="M213" s="537"/>
      <c r="N213" s="537"/>
      <c r="O213" s="537"/>
      <c r="P213" s="537"/>
      <c r="Q213" s="537"/>
      <c r="R213" s="23"/>
      <c r="AA213" s="403" t="s">
        <v>117</v>
      </c>
      <c r="AB213" s="103" t="s">
        <v>117</v>
      </c>
      <c r="AC213" s="52" t="s">
        <v>52</v>
      </c>
      <c r="AD213" s="104" t="s">
        <v>117</v>
      </c>
      <c r="AE213" s="433">
        <f>ROUNDUP(((164900)*35%)+(164900),-3)</f>
        <v>223000</v>
      </c>
      <c r="AF213" s="106">
        <f t="shared" si="221"/>
        <v>90000</v>
      </c>
      <c r="AG213" s="117">
        <f t="shared" si="222"/>
        <v>23000</v>
      </c>
      <c r="AH213" s="106">
        <f t="shared" si="223"/>
        <v>45000</v>
      </c>
      <c r="AI213" s="177">
        <f t="shared" si="224"/>
        <v>381000</v>
      </c>
      <c r="AJ213" s="268">
        <f t="shared" si="225"/>
        <v>496000</v>
      </c>
      <c r="CI213" s="586" t="s">
        <v>783</v>
      </c>
      <c r="CJ213" s="587" t="s">
        <v>784</v>
      </c>
      <c r="CK213" s="575">
        <v>33027804</v>
      </c>
      <c r="CL213" s="575">
        <f t="shared" si="227"/>
        <v>37981974.599999994</v>
      </c>
    </row>
    <row r="214" spans="1:90">
      <c r="A214" s="23" t="s">
        <v>620</v>
      </c>
      <c r="B214" s="23">
        <v>0.52</v>
      </c>
      <c r="C214" s="478" t="s">
        <v>785</v>
      </c>
      <c r="D214" s="394"/>
      <c r="E214" s="109">
        <f>ROUNDUP((16900*0.65),-3)</f>
        <v>11000</v>
      </c>
      <c r="F214" s="554"/>
      <c r="G214" s="554"/>
      <c r="H214" s="554"/>
      <c r="I214" s="554"/>
      <c r="J214" s="554"/>
      <c r="K214" s="554"/>
      <c r="L214" s="555"/>
      <c r="M214" s="23"/>
      <c r="N214" s="23"/>
      <c r="O214" s="23"/>
      <c r="P214" s="23"/>
      <c r="Q214" s="23"/>
      <c r="AA214" s="403" t="s">
        <v>124</v>
      </c>
      <c r="AB214" s="103" t="s">
        <v>124</v>
      </c>
      <c r="AC214" s="52" t="s">
        <v>52</v>
      </c>
      <c r="AD214" s="104" t="s">
        <v>40</v>
      </c>
      <c r="AE214" s="433">
        <f>ROUNDUP(((185500)*35%)+(185500),-3)</f>
        <v>251000</v>
      </c>
      <c r="AF214" s="106">
        <f t="shared" si="221"/>
        <v>101000</v>
      </c>
      <c r="AG214" s="117">
        <f t="shared" si="222"/>
        <v>26000</v>
      </c>
      <c r="AH214" s="106">
        <f t="shared" si="223"/>
        <v>51000</v>
      </c>
      <c r="AI214" s="177">
        <f t="shared" si="224"/>
        <v>429000</v>
      </c>
      <c r="AJ214" s="268">
        <f t="shared" si="225"/>
        <v>558000</v>
      </c>
      <c r="CI214" s="586" t="s">
        <v>786</v>
      </c>
      <c r="CJ214" s="587" t="s">
        <v>787</v>
      </c>
      <c r="CK214" s="575">
        <v>50088459</v>
      </c>
      <c r="CL214" s="575">
        <f t="shared" si="227"/>
        <v>57601727.849999994</v>
      </c>
    </row>
    <row r="215" spans="1:90">
      <c r="A215" s="480" t="s">
        <v>625</v>
      </c>
      <c r="B215" s="480"/>
      <c r="C215" s="181"/>
      <c r="E215" s="175">
        <f>E214*B214</f>
        <v>5720</v>
      </c>
      <c r="L215" s="481"/>
      <c r="M215" s="23"/>
      <c r="N215" s="23"/>
      <c r="O215" s="23"/>
      <c r="P215" s="23"/>
      <c r="Q215" s="23"/>
      <c r="AA215" s="181"/>
      <c r="AB215" s="103" t="s">
        <v>124</v>
      </c>
      <c r="AC215" s="52" t="s">
        <v>52</v>
      </c>
      <c r="AD215" s="104" t="s">
        <v>108</v>
      </c>
      <c r="AE215" s="433">
        <f>ROUNDUP(((215500)*35%)+(215500),-3)</f>
        <v>291000</v>
      </c>
      <c r="AF215" s="106">
        <f t="shared" si="221"/>
        <v>117000</v>
      </c>
      <c r="AG215" s="117">
        <f t="shared" si="222"/>
        <v>30000</v>
      </c>
      <c r="AH215" s="106">
        <f t="shared" si="223"/>
        <v>59000</v>
      </c>
      <c r="AI215" s="177">
        <f t="shared" si="224"/>
        <v>497000</v>
      </c>
      <c r="AJ215" s="268">
        <f t="shared" si="225"/>
        <v>647000</v>
      </c>
      <c r="CI215" s="586" t="s">
        <v>788</v>
      </c>
      <c r="CJ215" s="587" t="s">
        <v>789</v>
      </c>
      <c r="CK215" s="575">
        <v>43080297</v>
      </c>
      <c r="CL215" s="575">
        <f t="shared" si="227"/>
        <v>49542341.549999997</v>
      </c>
    </row>
    <row r="216" spans="1:90">
      <c r="A216" s="23" t="s">
        <v>13</v>
      </c>
      <c r="B216" s="23">
        <v>0.4</v>
      </c>
      <c r="C216" s="181"/>
      <c r="E216" s="482">
        <f>SUM(E214:E215)</f>
        <v>16720</v>
      </c>
      <c r="L216" s="481"/>
      <c r="M216" s="23"/>
      <c r="N216" s="23"/>
      <c r="O216" s="23"/>
      <c r="P216" s="23"/>
      <c r="Q216" s="23"/>
      <c r="AA216" s="181"/>
      <c r="AB216" s="103" t="s">
        <v>124</v>
      </c>
      <c r="AC216" s="52" t="s">
        <v>52</v>
      </c>
      <c r="AD216" s="493" t="s">
        <v>124</v>
      </c>
      <c r="AE216" s="433">
        <f>ROUNDUP(((235200)*35%)+(235200),-3)</f>
        <v>318000</v>
      </c>
      <c r="AF216" s="106">
        <f t="shared" si="221"/>
        <v>128000</v>
      </c>
      <c r="AG216" s="117">
        <f t="shared" si="222"/>
        <v>32000</v>
      </c>
      <c r="AH216" s="106">
        <f t="shared" si="223"/>
        <v>64000</v>
      </c>
      <c r="AI216" s="177">
        <f t="shared" si="224"/>
        <v>542000</v>
      </c>
      <c r="AJ216" s="268">
        <f t="shared" si="225"/>
        <v>705000</v>
      </c>
      <c r="CI216" s="586" t="s">
        <v>790</v>
      </c>
      <c r="CJ216" s="587" t="s">
        <v>791</v>
      </c>
      <c r="CK216" s="575">
        <v>55005360</v>
      </c>
      <c r="CL216" s="575">
        <f t="shared" si="227"/>
        <v>63256163.999999993</v>
      </c>
    </row>
    <row r="217" spans="1:90" ht="15" thickBot="1">
      <c r="A217" s="23" t="s">
        <v>208</v>
      </c>
      <c r="B217" s="23">
        <v>0.2</v>
      </c>
      <c r="C217" s="181"/>
      <c r="E217" s="175">
        <f>E216*B216</f>
        <v>6688</v>
      </c>
      <c r="L217" s="481"/>
      <c r="M217" s="23"/>
      <c r="N217" s="23"/>
      <c r="O217" s="23"/>
      <c r="P217" s="23"/>
      <c r="Q217" s="23"/>
      <c r="AA217" s="414" t="s">
        <v>132</v>
      </c>
      <c r="AB217" s="141" t="s">
        <v>132</v>
      </c>
      <c r="AC217" s="142" t="s">
        <v>52</v>
      </c>
      <c r="AD217" s="143" t="s">
        <v>132</v>
      </c>
      <c r="AE217" s="144">
        <f>ROUNDUP(((487700)*35%)+(487700),-3)</f>
        <v>659000</v>
      </c>
      <c r="AF217" s="145">
        <f t="shared" si="221"/>
        <v>264000</v>
      </c>
      <c r="AG217" s="146">
        <f t="shared" si="222"/>
        <v>66000</v>
      </c>
      <c r="AH217" s="145">
        <f t="shared" si="223"/>
        <v>132000</v>
      </c>
      <c r="AI217" s="151">
        <f t="shared" si="224"/>
        <v>1121000</v>
      </c>
      <c r="AJ217" s="150">
        <f t="shared" si="225"/>
        <v>1458000</v>
      </c>
      <c r="CI217" s="586" t="s">
        <v>792</v>
      </c>
      <c r="CJ217" s="587" t="s">
        <v>793</v>
      </c>
      <c r="CK217" s="575">
        <v>66461949</v>
      </c>
      <c r="CL217" s="575">
        <f t="shared" si="227"/>
        <v>76431241.349999994</v>
      </c>
    </row>
    <row r="218" spans="1:90" ht="15" thickBot="1">
      <c r="A218" s="259" t="s">
        <v>15</v>
      </c>
      <c r="B218" s="259"/>
      <c r="C218" s="181"/>
      <c r="E218" s="175">
        <f>E216*B217</f>
        <v>3344</v>
      </c>
      <c r="L218" s="481"/>
      <c r="M218" s="23"/>
      <c r="N218" s="23"/>
      <c r="O218" s="23"/>
      <c r="P218" s="23"/>
      <c r="Q218" s="23"/>
      <c r="CI218" s="586" t="s">
        <v>794</v>
      </c>
      <c r="CJ218" s="587" t="s">
        <v>795</v>
      </c>
      <c r="CK218" s="575">
        <v>69142662</v>
      </c>
      <c r="CL218" s="575">
        <f t="shared" si="227"/>
        <v>79514061.299999997</v>
      </c>
    </row>
    <row r="219" spans="1:90">
      <c r="A219" s="23" t="s">
        <v>215</v>
      </c>
      <c r="B219" s="23">
        <v>1.2</v>
      </c>
      <c r="C219" s="181"/>
      <c r="E219" s="486">
        <f>SUM(E216:E218)</f>
        <v>26752</v>
      </c>
      <c r="L219" s="481"/>
      <c r="M219" s="23"/>
      <c r="N219" s="23"/>
      <c r="O219" s="23"/>
      <c r="P219" s="23"/>
      <c r="Q219" s="23"/>
      <c r="AA219" s="498" t="s">
        <v>796</v>
      </c>
      <c r="AB219" s="16" t="s">
        <v>10</v>
      </c>
      <c r="AC219" s="17"/>
      <c r="AD219" s="18"/>
      <c r="AE219" s="19" t="s">
        <v>11</v>
      </c>
      <c r="AF219" s="20" t="s">
        <v>12</v>
      </c>
      <c r="AG219" s="24" t="s">
        <v>13</v>
      </c>
      <c r="AH219" s="22" t="s">
        <v>14</v>
      </c>
      <c r="AI219" s="25" t="s">
        <v>15</v>
      </c>
      <c r="AJ219" s="22" t="s">
        <v>16</v>
      </c>
      <c r="CI219" s="586" t="s">
        <v>797</v>
      </c>
      <c r="CJ219" s="587" t="s">
        <v>798</v>
      </c>
      <c r="CK219" s="575">
        <v>104384631</v>
      </c>
      <c r="CL219" s="575">
        <f t="shared" si="227"/>
        <v>120042325.64999999</v>
      </c>
    </row>
    <row r="220" spans="1:90" ht="15.75" customHeight="1" thickBot="1">
      <c r="C220" s="183"/>
      <c r="D220" s="170"/>
      <c r="E220" s="527">
        <f>ROUNDUP((E219*B219),-3)</f>
        <v>33000</v>
      </c>
      <c r="F220" s="170"/>
      <c r="G220" s="170"/>
      <c r="H220" s="170"/>
      <c r="I220" s="170"/>
      <c r="J220" s="170"/>
      <c r="K220" s="170"/>
      <c r="L220" s="410"/>
      <c r="M220" s="23"/>
      <c r="N220" s="23"/>
      <c r="O220" s="23"/>
      <c r="P220" s="23"/>
      <c r="Q220" s="23"/>
      <c r="AA220" s="501"/>
      <c r="AB220" s="36"/>
      <c r="AC220" s="37"/>
      <c r="AD220" s="38"/>
      <c r="AE220" s="39" t="s">
        <v>22</v>
      </c>
      <c r="AF220" s="40"/>
      <c r="AG220" s="502"/>
      <c r="AH220" s="42" t="s">
        <v>29</v>
      </c>
      <c r="AI220" s="393"/>
      <c r="AJ220" s="42" t="s">
        <v>30</v>
      </c>
      <c r="CI220" s="586" t="s">
        <v>799</v>
      </c>
      <c r="CJ220" s="587" t="s">
        <v>800</v>
      </c>
      <c r="CK220" s="575">
        <v>141923532</v>
      </c>
      <c r="CL220" s="575">
        <f t="shared" si="227"/>
        <v>163212061.79999998</v>
      </c>
    </row>
    <row r="221" spans="1:90" ht="15.75" customHeight="1" thickBot="1">
      <c r="F221" s="556"/>
      <c r="G221" s="556"/>
      <c r="H221" s="556"/>
      <c r="I221" s="556"/>
      <c r="J221" s="556"/>
      <c r="K221" s="556"/>
      <c r="L221" s="556"/>
      <c r="M221" s="23"/>
      <c r="N221" s="23"/>
      <c r="O221" s="23"/>
      <c r="P221" s="23"/>
      <c r="Q221" s="23"/>
      <c r="AA221" s="396" t="s">
        <v>40</v>
      </c>
      <c r="AB221" s="189"/>
      <c r="AC221" s="190" t="s">
        <v>40</v>
      </c>
      <c r="AD221" s="191"/>
      <c r="AE221" s="439">
        <f>ROUNDUP(((28500)*35%)+(28500),-3)</f>
        <v>39000</v>
      </c>
      <c r="AF221" s="114">
        <f>ROUNDUP(AE221*$AL$231,-3)</f>
        <v>16000</v>
      </c>
      <c r="AG221" s="113">
        <f>ROUNDUP(AE221*$AL$232,-3)</f>
        <v>4000</v>
      </c>
      <c r="AH221" s="114">
        <f>ROUNDUP(AE221*$AL$233,-3)</f>
        <v>8000</v>
      </c>
      <c r="AI221" s="115">
        <f>SUM(AE221:AH221)</f>
        <v>67000</v>
      </c>
      <c r="AJ221" s="112">
        <f>ROUNDUP(AI221*$AL$235,-3)</f>
        <v>88000</v>
      </c>
      <c r="CI221" s="586" t="s">
        <v>801</v>
      </c>
      <c r="CJ221" s="587" t="s">
        <v>802</v>
      </c>
      <c r="CK221" s="575">
        <v>177600468</v>
      </c>
      <c r="CL221" s="575">
        <f t="shared" si="227"/>
        <v>204240538.19999999</v>
      </c>
    </row>
    <row r="222" spans="1:90" ht="15.75" customHeight="1">
      <c r="C222" s="16" t="s">
        <v>603</v>
      </c>
      <c r="D222" s="20" t="s">
        <v>604</v>
      </c>
      <c r="E222" s="17" t="s">
        <v>605</v>
      </c>
      <c r="F222" s="20" t="s">
        <v>606</v>
      </c>
      <c r="G222" s="20" t="s">
        <v>607</v>
      </c>
      <c r="H222" s="20" t="s">
        <v>608</v>
      </c>
      <c r="I222" s="227" t="s">
        <v>609</v>
      </c>
      <c r="J222" s="227" t="s">
        <v>610</v>
      </c>
      <c r="K222" s="227" t="s">
        <v>610</v>
      </c>
      <c r="L222" s="226" t="s">
        <v>611</v>
      </c>
      <c r="M222" s="23"/>
      <c r="N222" s="23"/>
      <c r="O222" s="23"/>
      <c r="P222" s="23"/>
      <c r="Q222" s="23"/>
      <c r="AA222" s="403" t="s">
        <v>57</v>
      </c>
      <c r="AB222" s="103"/>
      <c r="AC222" s="52" t="s">
        <v>57</v>
      </c>
      <c r="AD222" s="104"/>
      <c r="AE222" s="433">
        <f>ROUNDUP(((37200)*35%)+(37200),-3)</f>
        <v>51000</v>
      </c>
      <c r="AF222" s="106">
        <f>ROUNDUP(AE222*$AL$231,-3)</f>
        <v>21000</v>
      </c>
      <c r="AG222" s="117">
        <f>ROUNDUP(AE222*$AL$232,-3)</f>
        <v>6000</v>
      </c>
      <c r="AH222" s="106">
        <f>ROUNDUP(AE222*$AL$233,-3)</f>
        <v>11000</v>
      </c>
      <c r="AI222" s="177">
        <f>SUM(AE222:AH222)</f>
        <v>89000</v>
      </c>
      <c r="AJ222" s="268">
        <f>ROUNDUP(AI222*$AL$235,-3)</f>
        <v>116000</v>
      </c>
      <c r="CI222" s="586" t="s">
        <v>803</v>
      </c>
      <c r="CJ222" s="587" t="s">
        <v>804</v>
      </c>
      <c r="CK222" s="575">
        <v>185155092</v>
      </c>
      <c r="CL222" s="575">
        <f t="shared" si="227"/>
        <v>212928355.79999998</v>
      </c>
    </row>
    <row r="223" spans="1:90" ht="15.75" customHeight="1" thickBot="1">
      <c r="C223" s="36"/>
      <c r="D223" s="40"/>
      <c r="E223" s="37"/>
      <c r="F223" s="40"/>
      <c r="G223" s="40"/>
      <c r="H223" s="40"/>
      <c r="I223" s="233" t="s">
        <v>615</v>
      </c>
      <c r="J223" s="233" t="s">
        <v>616</v>
      </c>
      <c r="K223" s="233" t="s">
        <v>617</v>
      </c>
      <c r="L223" s="232" t="s">
        <v>617</v>
      </c>
      <c r="M223" s="23"/>
      <c r="N223" s="23"/>
      <c r="O223" s="23"/>
      <c r="P223" s="23"/>
      <c r="Q223" s="23"/>
      <c r="AA223" s="403" t="s">
        <v>77</v>
      </c>
      <c r="AB223" s="103"/>
      <c r="AC223" s="52" t="s">
        <v>77</v>
      </c>
      <c r="AD223" s="104"/>
      <c r="AE223" s="433">
        <f>ROUNDUP(((44200)*35%)+(44200),-3)</f>
        <v>60000</v>
      </c>
      <c r="AF223" s="106">
        <f>ROUNDUP(AE223*$AL$231,-3)</f>
        <v>24000</v>
      </c>
      <c r="AG223" s="117">
        <f>ROUNDUP(AE223*$AL$232,-3)</f>
        <v>6000</v>
      </c>
      <c r="AH223" s="106">
        <f>ROUNDUP(AE223*$AL$233,-3)</f>
        <v>12000</v>
      </c>
      <c r="AI223" s="177">
        <f>SUM(AE223:AH223)</f>
        <v>102000</v>
      </c>
      <c r="AJ223" s="268">
        <f>ROUNDUP(AI223*$AL$235,-3)</f>
        <v>133000</v>
      </c>
      <c r="CI223" s="588" t="s">
        <v>805</v>
      </c>
      <c r="CJ223" s="589" t="s">
        <v>806</v>
      </c>
      <c r="CK223" s="575">
        <v>261611808</v>
      </c>
      <c r="CL223" s="575">
        <f t="shared" si="227"/>
        <v>300853579.19999999</v>
      </c>
    </row>
    <row r="224" spans="1:90" ht="15.75" customHeight="1">
      <c r="A224" s="23" t="s">
        <v>620</v>
      </c>
      <c r="B224" s="23">
        <v>0.52</v>
      </c>
      <c r="C224" s="478" t="s">
        <v>807</v>
      </c>
      <c r="D224" s="394"/>
      <c r="E224" s="109">
        <v>11000</v>
      </c>
      <c r="F224" s="535"/>
      <c r="G224" s="535"/>
      <c r="H224" s="535"/>
      <c r="I224" s="535"/>
      <c r="J224" s="535"/>
      <c r="K224" s="535"/>
      <c r="L224" s="536"/>
      <c r="M224" s="537"/>
      <c r="N224" s="537"/>
      <c r="O224" s="537"/>
      <c r="P224" s="537"/>
      <c r="Q224" s="537"/>
      <c r="AA224" s="403" t="s">
        <v>108</v>
      </c>
      <c r="AB224" s="103"/>
      <c r="AC224" s="52" t="s">
        <v>108</v>
      </c>
      <c r="AD224" s="104"/>
      <c r="AE224" s="433">
        <f>ROUNDUP(((72900)*35%)+(72900),-3)</f>
        <v>99000</v>
      </c>
      <c r="AF224" s="106">
        <f>ROUNDUP(AE224*$AL$231,-3)</f>
        <v>40000</v>
      </c>
      <c r="AG224" s="117">
        <f>ROUNDUP(AE224*$AL$232,-3)</f>
        <v>10000</v>
      </c>
      <c r="AH224" s="106">
        <f>ROUNDUP(AE224*$AL$233,-3)</f>
        <v>20000</v>
      </c>
      <c r="AI224" s="177">
        <f>SUM(AE224:AH224)</f>
        <v>169000</v>
      </c>
      <c r="AJ224" s="268">
        <f>ROUNDUP(AI224*$AL$235,-3)</f>
        <v>220000</v>
      </c>
    </row>
    <row r="225" spans="1:90" ht="15.75" customHeight="1" thickBot="1">
      <c r="A225" s="480" t="s">
        <v>625</v>
      </c>
      <c r="B225" s="480"/>
      <c r="C225" s="181"/>
      <c r="E225" s="175">
        <f>E224*B224</f>
        <v>5720</v>
      </c>
      <c r="L225" s="481"/>
      <c r="M225" s="537"/>
      <c r="N225" s="537"/>
      <c r="O225" s="537"/>
      <c r="P225" s="537"/>
      <c r="Q225" s="537"/>
      <c r="AA225" s="414" t="s">
        <v>124</v>
      </c>
      <c r="AB225" s="141"/>
      <c r="AC225" s="142" t="s">
        <v>124</v>
      </c>
      <c r="AD225" s="143"/>
      <c r="AE225" s="144">
        <f>ROUNDUP(((166800)*35%)+(166800),-3)</f>
        <v>226000</v>
      </c>
      <c r="AF225" s="145">
        <f>ROUNDUP(AE225*$AL$231,-3)</f>
        <v>91000</v>
      </c>
      <c r="AG225" s="146">
        <f>ROUNDUP(AE225*$AL$232,-3)</f>
        <v>23000</v>
      </c>
      <c r="AH225" s="145">
        <f>ROUNDUP(AE225*$AL$233,-3)</f>
        <v>46000</v>
      </c>
      <c r="AI225" s="151">
        <f>SUM(AE225:AH225)</f>
        <v>386000</v>
      </c>
      <c r="AJ225" s="150">
        <f>ROUNDUP(AI225*$AL$235,-3)</f>
        <v>502000</v>
      </c>
    </row>
    <row r="226" spans="1:90" ht="15.75" customHeight="1" thickBot="1">
      <c r="A226" s="23" t="s">
        <v>13</v>
      </c>
      <c r="B226" s="23">
        <v>0.4</v>
      </c>
      <c r="C226" s="181"/>
      <c r="E226" s="482">
        <f>SUM(E224:E225)</f>
        <v>16720</v>
      </c>
      <c r="L226" s="481"/>
      <c r="M226" s="537"/>
      <c r="N226" s="537"/>
      <c r="O226" s="537"/>
      <c r="P226" s="537"/>
      <c r="Q226" s="537"/>
    </row>
    <row r="227" spans="1:90" ht="15.75" customHeight="1">
      <c r="A227" s="23" t="s">
        <v>208</v>
      </c>
      <c r="B227" s="23">
        <v>0.2</v>
      </c>
      <c r="C227" s="181"/>
      <c r="E227" s="175">
        <f>E226*B226</f>
        <v>6688</v>
      </c>
      <c r="L227" s="481"/>
      <c r="M227" s="537"/>
      <c r="N227" s="537"/>
      <c r="O227" s="537"/>
      <c r="P227" s="537"/>
      <c r="Q227" s="537"/>
      <c r="AA227" s="498" t="s">
        <v>808</v>
      </c>
      <c r="AB227" s="16" t="s">
        <v>10</v>
      </c>
      <c r="AC227" s="17"/>
      <c r="AD227" s="18"/>
      <c r="AE227" s="19" t="s">
        <v>11</v>
      </c>
      <c r="AF227" s="20" t="s">
        <v>12</v>
      </c>
      <c r="AG227" s="24" t="s">
        <v>13</v>
      </c>
      <c r="AH227" s="22" t="s">
        <v>14</v>
      </c>
      <c r="AI227" s="25" t="s">
        <v>15</v>
      </c>
      <c r="AJ227" s="22" t="s">
        <v>16</v>
      </c>
    </row>
    <row r="228" spans="1:90" ht="15.75" customHeight="1" thickBot="1">
      <c r="A228" s="259" t="s">
        <v>15</v>
      </c>
      <c r="B228" s="259"/>
      <c r="C228" s="181"/>
      <c r="E228" s="175">
        <f>E226*B227</f>
        <v>3344</v>
      </c>
      <c r="L228" s="481"/>
      <c r="M228" s="537"/>
      <c r="N228" s="537"/>
      <c r="O228" s="537"/>
      <c r="P228" s="537"/>
      <c r="Q228" s="537"/>
      <c r="AA228" s="501"/>
      <c r="AB228" s="36"/>
      <c r="AC228" s="37"/>
      <c r="AD228" s="38"/>
      <c r="AE228" s="39" t="s">
        <v>22</v>
      </c>
      <c r="AF228" s="40"/>
      <c r="AG228" s="502"/>
      <c r="AH228" s="42" t="s">
        <v>29</v>
      </c>
      <c r="AI228" s="393"/>
      <c r="AJ228" s="42" t="s">
        <v>30</v>
      </c>
      <c r="CI228" s="590" t="s">
        <v>809</v>
      </c>
      <c r="CJ228" s="591"/>
      <c r="CK228" s="591"/>
      <c r="CL228" s="592"/>
    </row>
    <row r="229" spans="1:90" ht="27" customHeight="1">
      <c r="A229" s="23" t="s">
        <v>215</v>
      </c>
      <c r="B229" s="23">
        <v>1.2</v>
      </c>
      <c r="C229" s="181"/>
      <c r="E229" s="486">
        <f>SUM(E226:E228)</f>
        <v>26752</v>
      </c>
      <c r="L229" s="481"/>
      <c r="M229" s="537"/>
      <c r="N229" s="537"/>
      <c r="O229" s="537"/>
      <c r="P229" s="537"/>
      <c r="Q229" s="537"/>
      <c r="AA229" s="403" t="s">
        <v>53</v>
      </c>
      <c r="AB229" s="103"/>
      <c r="AC229" s="52" t="s">
        <v>53</v>
      </c>
      <c r="AD229" s="104"/>
      <c r="AE229" s="433">
        <f>ROUNDUP(((23600)*15%)+(23600),-3)</f>
        <v>28000</v>
      </c>
      <c r="AF229" s="106">
        <f>ROUNDUP(AE229*$AL$239,-3)</f>
        <v>12000</v>
      </c>
      <c r="AG229" s="117">
        <f>ROUNDUP(AE229*$AL$240,-3)</f>
        <v>3000</v>
      </c>
      <c r="AH229" s="106">
        <f>ROUNDUP(AE229*$AL$241,-3)</f>
        <v>6000</v>
      </c>
      <c r="AI229" s="177">
        <f>SUM(AE229:AH229)</f>
        <v>49000</v>
      </c>
      <c r="AJ229" s="106">
        <f>ROUNDUP(AI229*$AL$243,-3)</f>
        <v>64000</v>
      </c>
      <c r="CI229" s="583" t="s">
        <v>731</v>
      </c>
      <c r="CJ229" s="584" t="s">
        <v>732</v>
      </c>
      <c r="CK229" s="584" t="s">
        <v>733</v>
      </c>
      <c r="CL229" s="593" t="s">
        <v>733</v>
      </c>
    </row>
    <row r="230" spans="1:90" ht="15.75" customHeight="1" thickBot="1">
      <c r="C230" s="183"/>
      <c r="D230" s="170"/>
      <c r="E230" s="527">
        <f>ROUNDUP((E229*B229),-3)</f>
        <v>33000</v>
      </c>
      <c r="F230" s="170"/>
      <c r="G230" s="170"/>
      <c r="H230" s="170"/>
      <c r="I230" s="170"/>
      <c r="J230" s="170"/>
      <c r="K230" s="170"/>
      <c r="L230" s="410"/>
      <c r="M230" s="537"/>
      <c r="N230" s="537"/>
      <c r="O230" s="537"/>
      <c r="P230" s="537"/>
      <c r="Q230" s="537"/>
      <c r="AA230" s="403" t="s">
        <v>51</v>
      </c>
      <c r="AB230" s="103"/>
      <c r="AC230" s="52" t="s">
        <v>51</v>
      </c>
      <c r="AD230" s="104"/>
      <c r="AE230" s="433">
        <f>ROUNDUP(((28900)*15%)+(28900),-3)</f>
        <v>34000</v>
      </c>
      <c r="AF230" s="106">
        <f>ROUNDUP(AE230*$AL$239,-3)</f>
        <v>14000</v>
      </c>
      <c r="AG230" s="117">
        <f>ROUNDUP(AE230*$AL$240,-3)</f>
        <v>4000</v>
      </c>
      <c r="AH230" s="106">
        <f>ROUNDUP(AE230*$AL$241,-3)</f>
        <v>7000</v>
      </c>
      <c r="AI230" s="177">
        <f>SUM(AE230:AH230)</f>
        <v>59000</v>
      </c>
      <c r="AJ230" s="106">
        <f>ROUNDUP(AI230*$AL$243,-3)</f>
        <v>77000</v>
      </c>
      <c r="CI230" s="586" t="s">
        <v>810</v>
      </c>
      <c r="CJ230" s="587" t="s">
        <v>811</v>
      </c>
      <c r="CK230" s="575">
        <v>8930631</v>
      </c>
      <c r="CL230" s="594">
        <f t="shared" ref="CL230:CL244" si="228">CK230*$CH$178</f>
        <v>10270225.649999999</v>
      </c>
    </row>
    <row r="231" spans="1:90" ht="15.75" customHeight="1" thickBot="1">
      <c r="F231" s="553"/>
      <c r="G231" s="553"/>
      <c r="H231" s="553"/>
      <c r="I231" s="553"/>
      <c r="J231" s="553"/>
      <c r="K231" s="553"/>
      <c r="L231" s="553"/>
      <c r="M231" s="537"/>
      <c r="N231" s="537"/>
      <c r="O231" s="537"/>
      <c r="P231" s="537"/>
      <c r="Q231" s="537"/>
      <c r="AA231" s="403" t="s">
        <v>75</v>
      </c>
      <c r="AB231" s="103"/>
      <c r="AC231" s="52" t="s">
        <v>75</v>
      </c>
      <c r="AD231" s="104"/>
      <c r="AE231" s="433">
        <f>ROUNDUP(((39800)*15%)+(38900),-3)</f>
        <v>45000</v>
      </c>
      <c r="AF231" s="106">
        <f>ROUNDUP(AE231*$AL$239,-3)</f>
        <v>18000</v>
      </c>
      <c r="AG231" s="117">
        <f>ROUNDUP(AE231*$AL$240,-3)</f>
        <v>5000</v>
      </c>
      <c r="AH231" s="106">
        <f>ROUNDUP(AE231*$AL$241,-3)</f>
        <v>9000</v>
      </c>
      <c r="AI231" s="177">
        <f>SUM(AE231:AH231)</f>
        <v>77000</v>
      </c>
      <c r="AJ231" s="106">
        <f>ROUNDUP(AI231*$AL$243,-3)</f>
        <v>101000</v>
      </c>
      <c r="AL231" s="23">
        <v>0.4</v>
      </c>
      <c r="CI231" s="586" t="s">
        <v>812</v>
      </c>
      <c r="CJ231" s="587" t="s">
        <v>811</v>
      </c>
      <c r="CK231" s="575">
        <v>9053022</v>
      </c>
      <c r="CL231" s="594">
        <f t="shared" si="228"/>
        <v>10410975.299999999</v>
      </c>
    </row>
    <row r="232" spans="1:90" ht="15.75" customHeight="1">
      <c r="C232" s="16" t="s">
        <v>603</v>
      </c>
      <c r="D232" s="20" t="s">
        <v>604</v>
      </c>
      <c r="E232" s="17" t="s">
        <v>605</v>
      </c>
      <c r="F232" s="20" t="s">
        <v>606</v>
      </c>
      <c r="G232" s="20" t="s">
        <v>607</v>
      </c>
      <c r="H232" s="20" t="s">
        <v>608</v>
      </c>
      <c r="I232" s="227" t="s">
        <v>609</v>
      </c>
      <c r="J232" s="227" t="s">
        <v>610</v>
      </c>
      <c r="K232" s="227" t="s">
        <v>610</v>
      </c>
      <c r="L232" s="226" t="s">
        <v>611</v>
      </c>
      <c r="M232" s="537"/>
      <c r="N232" s="537"/>
      <c r="O232" s="537"/>
      <c r="P232" s="537"/>
      <c r="Q232" s="537"/>
      <c r="AA232" s="403" t="s">
        <v>59</v>
      </c>
      <c r="AB232" s="103"/>
      <c r="AC232" s="52" t="s">
        <v>59</v>
      </c>
      <c r="AD232" s="104"/>
      <c r="AE232" s="433">
        <f>ROUNDUP(((66000)*15%)+(66000),-3)</f>
        <v>76000</v>
      </c>
      <c r="AF232" s="106">
        <f>ROUNDUP(AE232*$AL$239,-3)</f>
        <v>31000</v>
      </c>
      <c r="AG232" s="117">
        <f>ROUNDUP(AE232*$AL$240,-3)</f>
        <v>8000</v>
      </c>
      <c r="AH232" s="106">
        <f>ROUNDUP(AE232*$AL$241,-3)</f>
        <v>16000</v>
      </c>
      <c r="AI232" s="177">
        <f>SUM(AE232:AH232)</f>
        <v>131000</v>
      </c>
      <c r="AJ232" s="106">
        <f>ROUNDUP(AI232*$AL$243,-3)</f>
        <v>171000</v>
      </c>
      <c r="AL232" s="23">
        <v>0.1</v>
      </c>
      <c r="CI232" s="586" t="s">
        <v>813</v>
      </c>
      <c r="CJ232" s="587" t="s">
        <v>811</v>
      </c>
      <c r="CK232" s="575">
        <v>9220599</v>
      </c>
      <c r="CL232" s="594">
        <f t="shared" si="228"/>
        <v>10603688.85</v>
      </c>
    </row>
    <row r="233" spans="1:90" ht="15.75" customHeight="1" thickBot="1">
      <c r="C233" s="36"/>
      <c r="D233" s="40"/>
      <c r="E233" s="37"/>
      <c r="F233" s="40"/>
      <c r="G233" s="40"/>
      <c r="H233" s="40"/>
      <c r="I233" s="233" t="s">
        <v>615</v>
      </c>
      <c r="J233" s="233" t="s">
        <v>616</v>
      </c>
      <c r="K233" s="233" t="s">
        <v>617</v>
      </c>
      <c r="L233" s="232" t="s">
        <v>617</v>
      </c>
      <c r="M233" s="537"/>
      <c r="N233" s="537"/>
      <c r="O233" s="537"/>
      <c r="P233" s="537"/>
      <c r="Q233" s="537"/>
      <c r="AA233" s="414" t="s">
        <v>125</v>
      </c>
      <c r="AB233" s="141"/>
      <c r="AC233" s="142" t="s">
        <v>125</v>
      </c>
      <c r="AD233" s="143"/>
      <c r="AE233" s="144">
        <f>ROUNDUP(((90000)*15%)+(90000),-3)</f>
        <v>104000</v>
      </c>
      <c r="AF233" s="145">
        <f>ROUNDUP(AE233*$AL$239,-3)</f>
        <v>42000</v>
      </c>
      <c r="AG233" s="146">
        <f>ROUNDUP(AE233*$AL$240,-3)</f>
        <v>11000</v>
      </c>
      <c r="AH233" s="145">
        <f>ROUNDUP(AE233*$AL$241,-3)</f>
        <v>21000</v>
      </c>
      <c r="AI233" s="151">
        <f>SUM(AE233:AH233)</f>
        <v>178000</v>
      </c>
      <c r="AJ233" s="145">
        <f>ROUNDUP(AI233*$AL$243,-3)</f>
        <v>232000</v>
      </c>
      <c r="AL233" s="23">
        <v>0.2</v>
      </c>
      <c r="CI233" s="586" t="s">
        <v>814</v>
      </c>
      <c r="CJ233" s="587" t="s">
        <v>811</v>
      </c>
      <c r="CK233" s="575">
        <v>9525630</v>
      </c>
      <c r="CL233" s="594">
        <f t="shared" si="228"/>
        <v>10954474.5</v>
      </c>
    </row>
    <row r="234" spans="1:90" ht="15.75" customHeight="1" thickBot="1">
      <c r="A234" s="23" t="s">
        <v>620</v>
      </c>
      <c r="B234" s="23">
        <v>0.52</v>
      </c>
      <c r="C234" s="478" t="s">
        <v>815</v>
      </c>
      <c r="D234" s="394"/>
      <c r="E234" s="109">
        <v>18500</v>
      </c>
      <c r="F234" s="394"/>
      <c r="G234" s="394"/>
      <c r="H234" s="394"/>
      <c r="I234" s="394"/>
      <c r="J234" s="394"/>
      <c r="K234" s="394"/>
      <c r="L234" s="413"/>
      <c r="CI234" s="586" t="s">
        <v>816</v>
      </c>
      <c r="CJ234" s="587" t="s">
        <v>817</v>
      </c>
      <c r="CK234" s="575">
        <v>13066122</v>
      </c>
      <c r="CL234" s="594">
        <f t="shared" si="228"/>
        <v>15026040.299999999</v>
      </c>
    </row>
    <row r="235" spans="1:90" ht="15.75" customHeight="1">
      <c r="A235" s="480" t="s">
        <v>625</v>
      </c>
      <c r="B235" s="480"/>
      <c r="C235" s="181"/>
      <c r="E235" s="175">
        <f>E234*B234</f>
        <v>9620</v>
      </c>
      <c r="L235" s="481"/>
      <c r="AA235" s="498" t="s">
        <v>818</v>
      </c>
      <c r="AB235" s="16" t="s">
        <v>10</v>
      </c>
      <c r="AC235" s="17"/>
      <c r="AD235" s="18"/>
      <c r="AE235" s="19" t="s">
        <v>11</v>
      </c>
      <c r="AF235" s="20" t="s">
        <v>12</v>
      </c>
      <c r="AG235" s="24" t="s">
        <v>13</v>
      </c>
      <c r="AH235" s="22" t="s">
        <v>14</v>
      </c>
      <c r="AI235" s="25" t="s">
        <v>15</v>
      </c>
      <c r="AJ235" s="22" t="s">
        <v>16</v>
      </c>
      <c r="AL235" s="23">
        <v>1.3</v>
      </c>
      <c r="CI235" s="586" t="s">
        <v>819</v>
      </c>
      <c r="CJ235" s="587" t="s">
        <v>820</v>
      </c>
      <c r="CK235" s="575">
        <v>21432507</v>
      </c>
      <c r="CL235" s="594">
        <f t="shared" si="228"/>
        <v>24647383.049999997</v>
      </c>
    </row>
    <row r="236" spans="1:90" ht="15.75" customHeight="1" thickBot="1">
      <c r="A236" s="23" t="s">
        <v>13</v>
      </c>
      <c r="B236" s="23">
        <v>0.4</v>
      </c>
      <c r="C236" s="181"/>
      <c r="E236" s="595">
        <f>SUM(E234:E235)</f>
        <v>28120</v>
      </c>
      <c r="L236" s="481"/>
      <c r="AA236" s="501"/>
      <c r="AB236" s="36"/>
      <c r="AC236" s="37"/>
      <c r="AD236" s="38"/>
      <c r="AE236" s="39" t="s">
        <v>22</v>
      </c>
      <c r="AF236" s="40"/>
      <c r="AG236" s="502"/>
      <c r="AH236" s="42" t="s">
        <v>29</v>
      </c>
      <c r="AI236" s="393"/>
      <c r="AJ236" s="42" t="s">
        <v>30</v>
      </c>
      <c r="CI236" s="586" t="s">
        <v>821</v>
      </c>
      <c r="CJ236" s="587" t="s">
        <v>820</v>
      </c>
      <c r="CK236" s="575">
        <v>23843886</v>
      </c>
      <c r="CL236" s="594">
        <f t="shared" si="228"/>
        <v>27420468.899999999</v>
      </c>
    </row>
    <row r="237" spans="1:90" ht="15.75" customHeight="1">
      <c r="A237" s="23" t="s">
        <v>208</v>
      </c>
      <c r="B237" s="23">
        <v>0.2</v>
      </c>
      <c r="C237" s="181"/>
      <c r="E237" s="175">
        <f>E236*B236</f>
        <v>11248</v>
      </c>
      <c r="L237" s="481"/>
      <c r="AA237" s="396" t="s">
        <v>822</v>
      </c>
      <c r="AB237" s="189"/>
      <c r="AC237" s="190" t="s">
        <v>53</v>
      </c>
      <c r="AD237" s="191"/>
      <c r="AE237" s="439">
        <f>ROUNDUP(((23300)*35%)+(23300),-3)/4</f>
        <v>8000</v>
      </c>
      <c r="AF237" s="114">
        <f t="shared" ref="AF237:AF285" si="229">ROUNDUP(AE237*$AL$247,-3)</f>
        <v>4000</v>
      </c>
      <c r="AG237" s="113">
        <f t="shared" ref="AG237:AG285" si="230">ROUNDUP(AE237*$AL$248,-3)</f>
        <v>1000</v>
      </c>
      <c r="AH237" s="114">
        <f t="shared" ref="AH237:AH285" si="231">ROUNDUP(AE237*$AL$249,-3)</f>
        <v>2000</v>
      </c>
      <c r="AI237" s="115">
        <f t="shared" ref="AI237:AI285" si="232">SUM(AE237:AH237)</f>
        <v>15000</v>
      </c>
      <c r="AJ237" s="114">
        <f t="shared" ref="AJ237:AJ285" si="233">ROUNDUP(AI237*$AL$251,-3)</f>
        <v>20000</v>
      </c>
      <c r="CI237" s="586" t="s">
        <v>823</v>
      </c>
      <c r="CJ237" s="587" t="s">
        <v>824</v>
      </c>
      <c r="CK237" s="575">
        <v>28980456</v>
      </c>
      <c r="CL237" s="594">
        <f t="shared" si="228"/>
        <v>33327524.399999999</v>
      </c>
    </row>
    <row r="238" spans="1:90" ht="15.75" customHeight="1" thickBot="1">
      <c r="A238" s="259" t="s">
        <v>15</v>
      </c>
      <c r="B238" s="259"/>
      <c r="C238" s="181"/>
      <c r="E238" s="175">
        <f>E237*B237</f>
        <v>2249.6</v>
      </c>
      <c r="L238" s="481"/>
      <c r="AA238" s="414" t="s">
        <v>825</v>
      </c>
      <c r="AB238" s="141"/>
      <c r="AC238" s="142" t="s">
        <v>53</v>
      </c>
      <c r="AD238" s="143"/>
      <c r="AE238" s="144">
        <f>ROUNDUP(((42200)*35%)+(42200),-3)/4</f>
        <v>14250</v>
      </c>
      <c r="AF238" s="145">
        <f t="shared" si="229"/>
        <v>6000</v>
      </c>
      <c r="AG238" s="146">
        <f t="shared" si="230"/>
        <v>2000</v>
      </c>
      <c r="AH238" s="145">
        <f t="shared" si="231"/>
        <v>3000</v>
      </c>
      <c r="AI238" s="151">
        <f t="shared" si="232"/>
        <v>25250</v>
      </c>
      <c r="AJ238" s="145">
        <f t="shared" si="233"/>
        <v>33000</v>
      </c>
      <c r="CI238" s="596" t="s">
        <v>826</v>
      </c>
      <c r="CJ238" s="597" t="s">
        <v>824</v>
      </c>
      <c r="CK238" s="575">
        <v>32062776</v>
      </c>
      <c r="CL238" s="594">
        <f t="shared" si="228"/>
        <v>36872192.399999999</v>
      </c>
    </row>
    <row r="239" spans="1:90" ht="15.75" customHeight="1">
      <c r="A239" s="23" t="s">
        <v>215</v>
      </c>
      <c r="B239" s="23">
        <v>1.2</v>
      </c>
      <c r="C239" s="181"/>
      <c r="E239" s="486">
        <f>SUM(E236:E238)</f>
        <v>41617.599999999999</v>
      </c>
      <c r="L239" s="481"/>
      <c r="AA239" s="396" t="s">
        <v>822</v>
      </c>
      <c r="AB239" s="189"/>
      <c r="AC239" s="190" t="s">
        <v>51</v>
      </c>
      <c r="AD239" s="191"/>
      <c r="AE239" s="439">
        <f>ROUNDUP(((31700)*35%)+(31700),-3)/4</f>
        <v>10750</v>
      </c>
      <c r="AF239" s="114">
        <f t="shared" si="229"/>
        <v>5000</v>
      </c>
      <c r="AG239" s="113">
        <f t="shared" si="230"/>
        <v>2000</v>
      </c>
      <c r="AH239" s="114">
        <f t="shared" si="231"/>
        <v>3000</v>
      </c>
      <c r="AI239" s="115">
        <f t="shared" si="232"/>
        <v>20750</v>
      </c>
      <c r="AJ239" s="114">
        <f t="shared" si="233"/>
        <v>27000</v>
      </c>
      <c r="AL239" s="23">
        <v>0.4</v>
      </c>
      <c r="CI239" s="596" t="s">
        <v>827</v>
      </c>
      <c r="CJ239" s="597" t="s">
        <v>828</v>
      </c>
      <c r="CK239" s="575">
        <v>48848274</v>
      </c>
      <c r="CL239" s="594">
        <f t="shared" si="228"/>
        <v>56175515.099999994</v>
      </c>
    </row>
    <row r="240" spans="1:90" ht="15.75" customHeight="1" thickBot="1">
      <c r="C240" s="183"/>
      <c r="D240" s="170"/>
      <c r="E240" s="527">
        <f>ROUNDUP((E239*B239),-3)</f>
        <v>50000</v>
      </c>
      <c r="F240" s="170"/>
      <c r="G240" s="170"/>
      <c r="H240" s="170"/>
      <c r="I240" s="170"/>
      <c r="J240" s="170"/>
      <c r="K240" s="170"/>
      <c r="L240" s="410"/>
      <c r="AA240" s="414" t="s">
        <v>825</v>
      </c>
      <c r="AB240" s="141"/>
      <c r="AC240" s="142" t="s">
        <v>51</v>
      </c>
      <c r="AD240" s="143"/>
      <c r="AE240" s="144">
        <f>ROUNDUP(((50600)*35%)+(50600),-3)/4</f>
        <v>17250</v>
      </c>
      <c r="AF240" s="145">
        <f t="shared" si="229"/>
        <v>7000</v>
      </c>
      <c r="AG240" s="146">
        <f t="shared" si="230"/>
        <v>2000</v>
      </c>
      <c r="AH240" s="145">
        <f t="shared" si="231"/>
        <v>4000</v>
      </c>
      <c r="AI240" s="151">
        <f t="shared" si="232"/>
        <v>30250</v>
      </c>
      <c r="AJ240" s="145">
        <f t="shared" si="233"/>
        <v>40000</v>
      </c>
      <c r="AL240" s="23">
        <v>0.1</v>
      </c>
      <c r="CI240" s="596" t="s">
        <v>829</v>
      </c>
      <c r="CJ240" s="597" t="s">
        <v>828</v>
      </c>
      <c r="CK240" s="575">
        <v>56952309</v>
      </c>
      <c r="CL240" s="594">
        <f t="shared" si="228"/>
        <v>65495155.349999994</v>
      </c>
    </row>
    <row r="241" spans="1:90" ht="15.75" customHeight="1" thickBot="1">
      <c r="AA241" s="396" t="s">
        <v>822</v>
      </c>
      <c r="AB241" s="189"/>
      <c r="AC241" s="190" t="s">
        <v>75</v>
      </c>
      <c r="AD241" s="191"/>
      <c r="AE241" s="439">
        <f>ROUNDUP(((43300)*35%)+(43300),-3)/4</f>
        <v>14750</v>
      </c>
      <c r="AF241" s="114">
        <f t="shared" si="229"/>
        <v>6000</v>
      </c>
      <c r="AG241" s="113">
        <f t="shared" si="230"/>
        <v>2000</v>
      </c>
      <c r="AH241" s="114">
        <f t="shared" si="231"/>
        <v>3000</v>
      </c>
      <c r="AI241" s="115">
        <f t="shared" si="232"/>
        <v>25750</v>
      </c>
      <c r="AJ241" s="114">
        <f t="shared" si="233"/>
        <v>34000</v>
      </c>
      <c r="AL241" s="23">
        <v>0.2</v>
      </c>
      <c r="CI241" s="596" t="s">
        <v>830</v>
      </c>
      <c r="CJ241" s="597" t="s">
        <v>831</v>
      </c>
      <c r="CK241" s="575">
        <v>86726097</v>
      </c>
      <c r="CL241" s="594">
        <f t="shared" si="228"/>
        <v>99735011.549999997</v>
      </c>
    </row>
    <row r="242" spans="1:90" ht="15.75" customHeight="1" thickBot="1">
      <c r="C242" s="16" t="s">
        <v>603</v>
      </c>
      <c r="D242" s="20" t="s">
        <v>604</v>
      </c>
      <c r="E242" s="17" t="s">
        <v>605</v>
      </c>
      <c r="F242" s="20" t="s">
        <v>606</v>
      </c>
      <c r="G242" s="20" t="s">
        <v>607</v>
      </c>
      <c r="H242" s="20" t="s">
        <v>608</v>
      </c>
      <c r="I242" s="227" t="s">
        <v>609</v>
      </c>
      <c r="J242" s="227" t="s">
        <v>610</v>
      </c>
      <c r="K242" s="227" t="s">
        <v>610</v>
      </c>
      <c r="L242" s="226" t="s">
        <v>611</v>
      </c>
      <c r="AA242" s="414" t="s">
        <v>825</v>
      </c>
      <c r="AB242" s="141"/>
      <c r="AC242" s="142" t="s">
        <v>75</v>
      </c>
      <c r="AD242" s="143"/>
      <c r="AE242" s="144">
        <f>ROUNDUP(((73600)*35%)+(73600),-3)/4</f>
        <v>25000</v>
      </c>
      <c r="AF242" s="145">
        <f t="shared" si="229"/>
        <v>10000</v>
      </c>
      <c r="AG242" s="146">
        <f t="shared" si="230"/>
        <v>3000</v>
      </c>
      <c r="AH242" s="145">
        <f t="shared" si="231"/>
        <v>5000</v>
      </c>
      <c r="AI242" s="151">
        <f t="shared" si="232"/>
        <v>43000</v>
      </c>
      <c r="AJ242" s="145">
        <f t="shared" si="233"/>
        <v>56000</v>
      </c>
      <c r="CI242" s="596" t="s">
        <v>832</v>
      </c>
      <c r="CJ242" s="597" t="s">
        <v>831</v>
      </c>
      <c r="CK242" s="575">
        <v>93431757</v>
      </c>
      <c r="CL242" s="594">
        <f t="shared" si="228"/>
        <v>107446520.55</v>
      </c>
    </row>
    <row r="243" spans="1:90" ht="15.75" customHeight="1" thickBot="1">
      <c r="C243" s="36"/>
      <c r="D243" s="40"/>
      <c r="E243" s="37"/>
      <c r="F243" s="40"/>
      <c r="G243" s="40"/>
      <c r="H243" s="40"/>
      <c r="I243" s="233" t="s">
        <v>615</v>
      </c>
      <c r="J243" s="233" t="s">
        <v>616</v>
      </c>
      <c r="K243" s="233" t="s">
        <v>617</v>
      </c>
      <c r="L243" s="232" t="s">
        <v>617</v>
      </c>
      <c r="AA243" s="396" t="s">
        <v>822</v>
      </c>
      <c r="AB243" s="189"/>
      <c r="AC243" s="190" t="s">
        <v>59</v>
      </c>
      <c r="AD243" s="191"/>
      <c r="AE243" s="439">
        <f>ROUNDUP(((64800)*35%)+(64800),-3)/4</f>
        <v>22000</v>
      </c>
      <c r="AF243" s="114">
        <f t="shared" si="229"/>
        <v>9000</v>
      </c>
      <c r="AG243" s="113">
        <f t="shared" si="230"/>
        <v>3000</v>
      </c>
      <c r="AH243" s="114">
        <f t="shared" si="231"/>
        <v>5000</v>
      </c>
      <c r="AI243" s="115">
        <f t="shared" si="232"/>
        <v>39000</v>
      </c>
      <c r="AJ243" s="114">
        <f t="shared" si="233"/>
        <v>51000</v>
      </c>
      <c r="AL243" s="23">
        <v>1.3</v>
      </c>
      <c r="CI243" s="596" t="s">
        <v>833</v>
      </c>
      <c r="CJ243" s="597" t="s">
        <v>834</v>
      </c>
      <c r="CK243" s="575">
        <v>123676275</v>
      </c>
      <c r="CL243" s="594">
        <f t="shared" si="228"/>
        <v>142227716.25</v>
      </c>
    </row>
    <row r="244" spans="1:90" ht="15.75" customHeight="1" thickBot="1">
      <c r="A244" s="23" t="s">
        <v>620</v>
      </c>
      <c r="B244" s="23">
        <v>0.52</v>
      </c>
      <c r="C244" s="478" t="s">
        <v>835</v>
      </c>
      <c r="D244" s="109">
        <v>57000</v>
      </c>
      <c r="E244" s="109">
        <v>26000</v>
      </c>
      <c r="F244" s="495"/>
      <c r="G244" s="598">
        <v>60500</v>
      </c>
      <c r="H244" s="495"/>
      <c r="I244" s="495"/>
      <c r="J244" s="495"/>
      <c r="K244" s="495"/>
      <c r="L244" s="496"/>
      <c r="M244" s="497"/>
      <c r="N244" s="497"/>
      <c r="O244" s="497"/>
      <c r="P244" s="497"/>
      <c r="Q244" s="497"/>
      <c r="R244" s="23"/>
      <c r="AA244" s="403" t="s">
        <v>825</v>
      </c>
      <c r="AB244" s="103"/>
      <c r="AC244" s="52" t="s">
        <v>59</v>
      </c>
      <c r="AD244" s="104"/>
      <c r="AE244" s="433">
        <f>ROUNDUP(((99200)*35%)+(99200),-3)/4</f>
        <v>33500</v>
      </c>
      <c r="AF244" s="106">
        <f t="shared" si="229"/>
        <v>14000</v>
      </c>
      <c r="AG244" s="117">
        <f t="shared" si="230"/>
        <v>4000</v>
      </c>
      <c r="AH244" s="106">
        <f t="shared" si="231"/>
        <v>7000</v>
      </c>
      <c r="AI244" s="177">
        <f t="shared" si="232"/>
        <v>58500</v>
      </c>
      <c r="AJ244" s="106">
        <f t="shared" si="233"/>
        <v>77000</v>
      </c>
      <c r="CI244" s="599" t="s">
        <v>836</v>
      </c>
      <c r="CJ244" s="600" t="s">
        <v>837</v>
      </c>
      <c r="CK244" s="581">
        <v>227115057</v>
      </c>
      <c r="CL244" s="601">
        <f t="shared" si="228"/>
        <v>261182315.54999998</v>
      </c>
    </row>
    <row r="245" spans="1:90" ht="15.75" customHeight="1" thickBot="1">
      <c r="A245" s="480" t="s">
        <v>625</v>
      </c>
      <c r="B245" s="480"/>
      <c r="C245" s="181"/>
      <c r="D245" s="175"/>
      <c r="E245" s="175"/>
      <c r="G245" s="175"/>
      <c r="L245" s="481"/>
      <c r="M245" s="497"/>
      <c r="N245" s="497"/>
      <c r="O245" s="497"/>
      <c r="P245" s="497"/>
      <c r="Q245" s="497"/>
      <c r="R245" s="23"/>
      <c r="AA245" s="414" t="s">
        <v>838</v>
      </c>
      <c r="AB245" s="141"/>
      <c r="AC245" s="142" t="s">
        <v>59</v>
      </c>
      <c r="AD245" s="143"/>
      <c r="AE245" s="144">
        <f>ROUNDUP(((40700)*35%)+(40700),-3)/4</f>
        <v>13750</v>
      </c>
      <c r="AF245" s="145">
        <f t="shared" si="229"/>
        <v>6000</v>
      </c>
      <c r="AG245" s="146">
        <f t="shared" si="230"/>
        <v>2000</v>
      </c>
      <c r="AH245" s="145">
        <f t="shared" si="231"/>
        <v>3000</v>
      </c>
      <c r="AI245" s="151">
        <f t="shared" si="232"/>
        <v>24750</v>
      </c>
      <c r="AJ245" s="145">
        <f t="shared" si="233"/>
        <v>33000</v>
      </c>
    </row>
    <row r="246" spans="1:90" ht="15.75" customHeight="1">
      <c r="A246" s="23" t="s">
        <v>13</v>
      </c>
      <c r="B246" s="23">
        <v>0.4</v>
      </c>
      <c r="C246" s="181"/>
      <c r="D246" s="482">
        <f>SUM(D244:D245)</f>
        <v>57000</v>
      </c>
      <c r="E246" s="482">
        <f>SUM(E244:E245)</f>
        <v>26000</v>
      </c>
      <c r="G246" s="482">
        <f>SUM(G244:G245)</f>
        <v>60500</v>
      </c>
      <c r="L246" s="481"/>
      <c r="M246" s="497"/>
      <c r="N246" s="497"/>
      <c r="O246" s="497"/>
      <c r="P246" s="497"/>
      <c r="Q246" s="497"/>
      <c r="R246" s="23"/>
      <c r="AA246" s="396" t="s">
        <v>822</v>
      </c>
      <c r="AB246" s="189"/>
      <c r="AC246" s="190" t="s">
        <v>125</v>
      </c>
      <c r="AD246" s="191"/>
      <c r="AE246" s="439">
        <f>ROUNDUP(((74400)*35%)+(74400),-3)/4</f>
        <v>25250</v>
      </c>
      <c r="AF246" s="114">
        <f t="shared" si="229"/>
        <v>11000</v>
      </c>
      <c r="AG246" s="113">
        <f t="shared" si="230"/>
        <v>3000</v>
      </c>
      <c r="AH246" s="114">
        <f t="shared" si="231"/>
        <v>6000</v>
      </c>
      <c r="AI246" s="115">
        <f t="shared" si="232"/>
        <v>45250</v>
      </c>
      <c r="AJ246" s="114">
        <f t="shared" si="233"/>
        <v>59000</v>
      </c>
    </row>
    <row r="247" spans="1:90" ht="15.75" customHeight="1">
      <c r="A247" s="23" t="s">
        <v>208</v>
      </c>
      <c r="B247" s="23">
        <v>0.2</v>
      </c>
      <c r="C247" s="181"/>
      <c r="D247" s="175">
        <f>D246*$B$246</f>
        <v>22800</v>
      </c>
      <c r="E247" s="175">
        <f>E246*$B$246</f>
        <v>10400</v>
      </c>
      <c r="G247" s="175">
        <f>G246*$B$246</f>
        <v>24200</v>
      </c>
      <c r="L247" s="481"/>
      <c r="M247" s="497"/>
      <c r="N247" s="497"/>
      <c r="O247" s="497"/>
      <c r="P247" s="497"/>
      <c r="Q247" s="497"/>
      <c r="R247" s="23"/>
      <c r="AA247" s="403" t="s">
        <v>825</v>
      </c>
      <c r="AB247" s="103"/>
      <c r="AC247" s="52" t="s">
        <v>125</v>
      </c>
      <c r="AD247" s="104"/>
      <c r="AE247" s="433">
        <f>ROUNDUP(((129900)*35%)+(129900),-3)/4</f>
        <v>44000</v>
      </c>
      <c r="AF247" s="106">
        <f t="shared" si="229"/>
        <v>18000</v>
      </c>
      <c r="AG247" s="117">
        <f t="shared" si="230"/>
        <v>5000</v>
      </c>
      <c r="AH247" s="106">
        <f t="shared" si="231"/>
        <v>9000</v>
      </c>
      <c r="AI247" s="177">
        <f t="shared" si="232"/>
        <v>76000</v>
      </c>
      <c r="AJ247" s="106">
        <f t="shared" si="233"/>
        <v>99000</v>
      </c>
      <c r="AL247" s="23">
        <v>0.4</v>
      </c>
    </row>
    <row r="248" spans="1:90" ht="15.75" customHeight="1" thickBot="1">
      <c r="A248" s="259" t="s">
        <v>15</v>
      </c>
      <c r="B248" s="259"/>
      <c r="C248" s="181"/>
      <c r="D248" s="175">
        <f>D246*$B$247</f>
        <v>11400</v>
      </c>
      <c r="E248" s="175">
        <f>E246*$B$247</f>
        <v>5200</v>
      </c>
      <c r="G248" s="175">
        <f>G246*$B$247</f>
        <v>12100</v>
      </c>
      <c r="L248" s="481"/>
      <c r="M248" s="497"/>
      <c r="N248" s="497"/>
      <c r="O248" s="497"/>
      <c r="P248" s="497"/>
      <c r="Q248" s="497"/>
      <c r="R248" s="23"/>
      <c r="AA248" s="403" t="s">
        <v>838</v>
      </c>
      <c r="AB248" s="103"/>
      <c r="AC248" s="52" t="s">
        <v>125</v>
      </c>
      <c r="AD248" s="104"/>
      <c r="AE248" s="433">
        <f>ROUNDUP(((46000)*35%)+(46000),-3)/4</f>
        <v>15750</v>
      </c>
      <c r="AF248" s="106">
        <f t="shared" si="229"/>
        <v>7000</v>
      </c>
      <c r="AG248" s="117">
        <f t="shared" si="230"/>
        <v>2000</v>
      </c>
      <c r="AH248" s="106">
        <f t="shared" si="231"/>
        <v>4000</v>
      </c>
      <c r="AI248" s="177">
        <f t="shared" si="232"/>
        <v>28750</v>
      </c>
      <c r="AJ248" s="106">
        <f t="shared" si="233"/>
        <v>38000</v>
      </c>
      <c r="AL248" s="23">
        <v>0.1</v>
      </c>
      <c r="CI248" s="590" t="s">
        <v>776</v>
      </c>
      <c r="CJ248" s="591"/>
      <c r="CK248" s="591"/>
      <c r="CL248" s="592"/>
    </row>
    <row r="249" spans="1:90" ht="28.2" thickBot="1">
      <c r="A249" s="23" t="s">
        <v>215</v>
      </c>
      <c r="B249" s="23">
        <v>1.2</v>
      </c>
      <c r="C249" s="181"/>
      <c r="D249" s="486">
        <f>SUM(D246:D248)</f>
        <v>91200</v>
      </c>
      <c r="E249" s="486">
        <f>SUM(E246:E248)</f>
        <v>41600</v>
      </c>
      <c r="G249" s="486">
        <f>SUM(G246:G248)</f>
        <v>96800</v>
      </c>
      <c r="L249" s="481"/>
      <c r="M249" s="497"/>
      <c r="N249" s="497"/>
      <c r="O249" s="497"/>
      <c r="P249" s="497"/>
      <c r="Q249" s="497"/>
      <c r="R249" s="23"/>
      <c r="AA249" s="414" t="s">
        <v>839</v>
      </c>
      <c r="AB249" s="141"/>
      <c r="AC249" s="142" t="s">
        <v>125</v>
      </c>
      <c r="AD249" s="143"/>
      <c r="AE249" s="144">
        <f>ROUNDUP(((67600)*35%)+(67600),-3)/4</f>
        <v>23000</v>
      </c>
      <c r="AF249" s="145">
        <f t="shared" si="229"/>
        <v>10000</v>
      </c>
      <c r="AG249" s="146">
        <f t="shared" si="230"/>
        <v>3000</v>
      </c>
      <c r="AH249" s="145">
        <f t="shared" si="231"/>
        <v>5000</v>
      </c>
      <c r="AI249" s="151">
        <f t="shared" si="232"/>
        <v>41000</v>
      </c>
      <c r="AJ249" s="145">
        <f t="shared" si="233"/>
        <v>54000</v>
      </c>
      <c r="AL249" s="23">
        <v>0.2</v>
      </c>
      <c r="CI249" s="583" t="s">
        <v>731</v>
      </c>
      <c r="CJ249" s="584" t="s">
        <v>732</v>
      </c>
      <c r="CK249" s="584" t="s">
        <v>733</v>
      </c>
      <c r="CL249" s="593" t="s">
        <v>733</v>
      </c>
    </row>
    <row r="250" spans="1:90" ht="15" thickBot="1">
      <c r="C250" s="183"/>
      <c r="D250" s="527">
        <f>ROUNDUP((D249*$B$249),-3)</f>
        <v>110000</v>
      </c>
      <c r="E250" s="527">
        <f>ROUNDUP((E249*$B$249),-3)</f>
        <v>50000</v>
      </c>
      <c r="F250" s="170"/>
      <c r="G250" s="527">
        <f>ROUNDUP((G249*$B$249),-3)</f>
        <v>117000</v>
      </c>
      <c r="H250" s="170"/>
      <c r="I250" s="170"/>
      <c r="J250" s="170"/>
      <c r="K250" s="170"/>
      <c r="L250" s="410"/>
      <c r="M250" s="497"/>
      <c r="N250" s="497"/>
      <c r="O250" s="497"/>
      <c r="P250" s="497"/>
      <c r="Q250" s="497"/>
      <c r="R250" s="23"/>
      <c r="AA250" s="396" t="s">
        <v>822</v>
      </c>
      <c r="AB250" s="189"/>
      <c r="AC250" s="190" t="s">
        <v>40</v>
      </c>
      <c r="AD250" s="191"/>
      <c r="AE250" s="439">
        <f>ROUNDUP(((95200)*35%)+(95200),-3)/4</f>
        <v>32250</v>
      </c>
      <c r="AF250" s="114">
        <f t="shared" si="229"/>
        <v>13000</v>
      </c>
      <c r="AG250" s="113">
        <f t="shared" si="230"/>
        <v>4000</v>
      </c>
      <c r="AH250" s="114">
        <f t="shared" si="231"/>
        <v>7000</v>
      </c>
      <c r="AI250" s="115">
        <f t="shared" si="232"/>
        <v>56250</v>
      </c>
      <c r="AJ250" s="114">
        <f t="shared" si="233"/>
        <v>74000</v>
      </c>
      <c r="CI250" s="602" t="s">
        <v>810</v>
      </c>
      <c r="CJ250" s="603" t="s">
        <v>840</v>
      </c>
      <c r="CK250" s="575">
        <v>17770881</v>
      </c>
      <c r="CL250" s="594">
        <f t="shared" ref="CL250:CL264" si="234">CK250*$CH$178</f>
        <v>20436513.149999999</v>
      </c>
    </row>
    <row r="251" spans="1:90" ht="15.75" customHeight="1" thickBot="1">
      <c r="F251" s="530"/>
      <c r="G251" s="530"/>
      <c r="H251" s="530"/>
      <c r="I251" s="530"/>
      <c r="J251" s="530"/>
      <c r="K251" s="530"/>
      <c r="L251" s="530"/>
      <c r="M251" s="497"/>
      <c r="N251" s="497"/>
      <c r="O251" s="497"/>
      <c r="P251" s="497"/>
      <c r="Q251" s="497"/>
      <c r="R251" s="23"/>
      <c r="AA251" s="403" t="s">
        <v>825</v>
      </c>
      <c r="AB251" s="103"/>
      <c r="AC251" s="52" t="s">
        <v>40</v>
      </c>
      <c r="AD251" s="104"/>
      <c r="AE251" s="433">
        <f>ROUNDUP(((183200)*35%)+(183200),-3)/4</f>
        <v>62000</v>
      </c>
      <c r="AF251" s="106">
        <f t="shared" si="229"/>
        <v>25000</v>
      </c>
      <c r="AG251" s="117">
        <f t="shared" si="230"/>
        <v>7000</v>
      </c>
      <c r="AH251" s="106">
        <f t="shared" si="231"/>
        <v>13000</v>
      </c>
      <c r="AI251" s="177">
        <f t="shared" si="232"/>
        <v>107000</v>
      </c>
      <c r="AJ251" s="106">
        <f t="shared" si="233"/>
        <v>140000</v>
      </c>
      <c r="AL251" s="23">
        <v>1.3</v>
      </c>
      <c r="CI251" s="602" t="s">
        <v>812</v>
      </c>
      <c r="CJ251" s="603" t="s">
        <v>840</v>
      </c>
      <c r="CK251" s="575">
        <v>17893272</v>
      </c>
      <c r="CL251" s="594">
        <f t="shared" si="234"/>
        <v>20577262.799999997</v>
      </c>
    </row>
    <row r="252" spans="1:90" ht="15.75" customHeight="1">
      <c r="C252" s="16" t="s">
        <v>603</v>
      </c>
      <c r="D252" s="20" t="s">
        <v>604</v>
      </c>
      <c r="E252" s="17" t="s">
        <v>605</v>
      </c>
      <c r="F252" s="20" t="s">
        <v>606</v>
      </c>
      <c r="G252" s="20" t="s">
        <v>607</v>
      </c>
      <c r="H252" s="20" t="s">
        <v>608</v>
      </c>
      <c r="I252" s="227" t="s">
        <v>609</v>
      </c>
      <c r="J252" s="227" t="s">
        <v>610</v>
      </c>
      <c r="K252" s="227" t="s">
        <v>610</v>
      </c>
      <c r="L252" s="226" t="s">
        <v>611</v>
      </c>
      <c r="M252" s="497"/>
      <c r="N252" s="497"/>
      <c r="O252" s="497"/>
      <c r="P252" s="497"/>
      <c r="Q252" s="497"/>
      <c r="R252" s="23"/>
      <c r="AA252" s="403" t="s">
        <v>838</v>
      </c>
      <c r="AB252" s="103"/>
      <c r="AC252" s="52" t="s">
        <v>40</v>
      </c>
      <c r="AD252" s="104"/>
      <c r="AE252" s="433">
        <f>ROUNDUP(((59000*35%))+(59000),-3)/4</f>
        <v>20000</v>
      </c>
      <c r="AF252" s="106">
        <f t="shared" si="229"/>
        <v>8000</v>
      </c>
      <c r="AG252" s="117">
        <f t="shared" si="230"/>
        <v>2000</v>
      </c>
      <c r="AH252" s="106">
        <f t="shared" si="231"/>
        <v>4000</v>
      </c>
      <c r="AI252" s="177">
        <f t="shared" si="232"/>
        <v>34000</v>
      </c>
      <c r="AJ252" s="106">
        <f t="shared" si="233"/>
        <v>45000</v>
      </c>
      <c r="CI252" s="602" t="s">
        <v>813</v>
      </c>
      <c r="CJ252" s="603" t="s">
        <v>840</v>
      </c>
      <c r="CK252" s="575">
        <v>18060849</v>
      </c>
      <c r="CL252" s="594">
        <f t="shared" si="234"/>
        <v>20769976.349999998</v>
      </c>
    </row>
    <row r="253" spans="1:90" ht="15.75" customHeight="1" thickBot="1">
      <c r="C253" s="36"/>
      <c r="D253" s="40"/>
      <c r="E253" s="37"/>
      <c r="F253" s="40"/>
      <c r="G253" s="40"/>
      <c r="H253" s="40"/>
      <c r="I253" s="233" t="s">
        <v>615</v>
      </c>
      <c r="J253" s="233" t="s">
        <v>616</v>
      </c>
      <c r="K253" s="233" t="s">
        <v>617</v>
      </c>
      <c r="L253" s="232" t="s">
        <v>617</v>
      </c>
      <c r="M253" s="497"/>
      <c r="N253" s="497"/>
      <c r="O253" s="497"/>
      <c r="P253" s="497"/>
      <c r="Q253" s="497"/>
      <c r="R253" s="23"/>
      <c r="AA253" s="414" t="s">
        <v>839</v>
      </c>
      <c r="AB253" s="141"/>
      <c r="AC253" s="142" t="s">
        <v>40</v>
      </c>
      <c r="AD253" s="143"/>
      <c r="AE253" s="144">
        <f>ROUNDUP(((85300)*35%)+(85300),-3)/4</f>
        <v>29000</v>
      </c>
      <c r="AF253" s="145">
        <f t="shared" si="229"/>
        <v>12000</v>
      </c>
      <c r="AG253" s="146">
        <f t="shared" si="230"/>
        <v>3000</v>
      </c>
      <c r="AH253" s="145">
        <f t="shared" si="231"/>
        <v>6000</v>
      </c>
      <c r="AI253" s="151">
        <f t="shared" si="232"/>
        <v>50000</v>
      </c>
      <c r="AJ253" s="145">
        <f t="shared" si="233"/>
        <v>65000</v>
      </c>
      <c r="CI253" s="602" t="s">
        <v>814</v>
      </c>
      <c r="CJ253" s="603" t="s">
        <v>840</v>
      </c>
      <c r="CK253" s="575">
        <v>18365880</v>
      </c>
      <c r="CL253" s="594">
        <f t="shared" si="234"/>
        <v>21120762</v>
      </c>
    </row>
    <row r="254" spans="1:90" ht="15.75" customHeight="1">
      <c r="A254" s="23" t="s">
        <v>620</v>
      </c>
      <c r="B254" s="23">
        <v>0.52</v>
      </c>
      <c r="C254" s="478" t="s">
        <v>841</v>
      </c>
      <c r="D254" s="109">
        <v>88500</v>
      </c>
      <c r="E254" s="109">
        <v>40000</v>
      </c>
      <c r="F254" s="495"/>
      <c r="G254" s="598">
        <v>92300</v>
      </c>
      <c r="H254" s="535"/>
      <c r="I254" s="535"/>
      <c r="J254" s="535"/>
      <c r="K254" s="535"/>
      <c r="L254" s="536"/>
      <c r="M254" s="537"/>
      <c r="N254" s="537"/>
      <c r="O254" s="537"/>
      <c r="P254" s="537"/>
      <c r="Q254" s="537"/>
      <c r="R254" s="23"/>
      <c r="AA254" s="396" t="s">
        <v>822</v>
      </c>
      <c r="AB254" s="189"/>
      <c r="AC254" s="190" t="s">
        <v>57</v>
      </c>
      <c r="AD254" s="191"/>
      <c r="AE254" s="439">
        <f>ROUNDUP(((138900)*35%)+(138900),-3)/4</f>
        <v>47000</v>
      </c>
      <c r="AF254" s="114">
        <f t="shared" si="229"/>
        <v>19000</v>
      </c>
      <c r="AG254" s="113">
        <f t="shared" si="230"/>
        <v>5000</v>
      </c>
      <c r="AH254" s="114">
        <f t="shared" si="231"/>
        <v>10000</v>
      </c>
      <c r="AI254" s="115">
        <f t="shared" si="232"/>
        <v>81000</v>
      </c>
      <c r="AJ254" s="114">
        <f t="shared" si="233"/>
        <v>106000</v>
      </c>
      <c r="CI254" s="602" t="s">
        <v>816</v>
      </c>
      <c r="CJ254" s="603" t="s">
        <v>842</v>
      </c>
      <c r="CK254" s="575">
        <v>21973530</v>
      </c>
      <c r="CL254" s="594">
        <f t="shared" si="234"/>
        <v>25269559.499999996</v>
      </c>
    </row>
    <row r="255" spans="1:90" ht="15.75" customHeight="1">
      <c r="A255" s="480" t="s">
        <v>625</v>
      </c>
      <c r="B255" s="480"/>
      <c r="C255" s="181"/>
      <c r="D255" s="175"/>
      <c r="E255" s="175"/>
      <c r="G255" s="175"/>
      <c r="L255" s="481"/>
      <c r="M255" s="537"/>
      <c r="N255" s="537"/>
      <c r="O255" s="537"/>
      <c r="P255" s="537"/>
      <c r="Q255" s="537"/>
      <c r="R255" s="23"/>
      <c r="AA255" s="403" t="s">
        <v>825</v>
      </c>
      <c r="AB255" s="103"/>
      <c r="AC255" s="52" t="s">
        <v>57</v>
      </c>
      <c r="AD255" s="104"/>
      <c r="AE255" s="433">
        <f>ROUNDUP(((235700)*35%)+(235700),-3)/4</f>
        <v>79750</v>
      </c>
      <c r="AF255" s="106">
        <f t="shared" si="229"/>
        <v>32000</v>
      </c>
      <c r="AG255" s="117">
        <f t="shared" si="230"/>
        <v>8000</v>
      </c>
      <c r="AH255" s="106">
        <f t="shared" si="231"/>
        <v>16000</v>
      </c>
      <c r="AI255" s="177">
        <f t="shared" si="232"/>
        <v>135750</v>
      </c>
      <c r="AJ255" s="106">
        <f t="shared" si="233"/>
        <v>177000</v>
      </c>
      <c r="CI255" s="602" t="s">
        <v>819</v>
      </c>
      <c r="CJ255" s="603" t="s">
        <v>843</v>
      </c>
      <c r="CK255" s="575">
        <v>30272760</v>
      </c>
      <c r="CL255" s="594">
        <f t="shared" si="234"/>
        <v>34813674</v>
      </c>
    </row>
    <row r="256" spans="1:90" ht="15.75" customHeight="1">
      <c r="A256" s="23" t="s">
        <v>13</v>
      </c>
      <c r="B256" s="23">
        <v>0.4</v>
      </c>
      <c r="C256" s="181"/>
      <c r="D256" s="482">
        <f>SUM(D254:D255)</f>
        <v>88500</v>
      </c>
      <c r="E256" s="482">
        <f>SUM(E254:E255)</f>
        <v>40000</v>
      </c>
      <c r="G256" s="482">
        <f>SUM(G254:G255)</f>
        <v>92300</v>
      </c>
      <c r="L256" s="481"/>
      <c r="M256" s="537"/>
      <c r="N256" s="537"/>
      <c r="O256" s="537"/>
      <c r="P256" s="537"/>
      <c r="Q256" s="537"/>
      <c r="R256" s="23"/>
      <c r="AA256" s="403" t="s">
        <v>838</v>
      </c>
      <c r="AB256" s="103"/>
      <c r="AC256" s="52" t="s">
        <v>57</v>
      </c>
      <c r="AD256" s="104"/>
      <c r="AE256" s="433">
        <f>ROUNDUP(((79900*35%))+(79900),-3)/4</f>
        <v>27000</v>
      </c>
      <c r="AF256" s="106">
        <f t="shared" si="229"/>
        <v>11000</v>
      </c>
      <c r="AG256" s="117">
        <f t="shared" si="230"/>
        <v>3000</v>
      </c>
      <c r="AH256" s="106">
        <f t="shared" si="231"/>
        <v>6000</v>
      </c>
      <c r="AI256" s="177">
        <f t="shared" si="232"/>
        <v>47000</v>
      </c>
      <c r="AJ256" s="106">
        <f t="shared" si="233"/>
        <v>62000</v>
      </c>
      <c r="CI256" s="602" t="s">
        <v>821</v>
      </c>
      <c r="CJ256" s="603" t="s">
        <v>843</v>
      </c>
      <c r="CK256" s="575">
        <v>32684139</v>
      </c>
      <c r="CL256" s="594">
        <f t="shared" si="234"/>
        <v>37586759.849999994</v>
      </c>
    </row>
    <row r="257" spans="1:90" ht="15.75" customHeight="1" thickBot="1">
      <c r="A257" s="23" t="s">
        <v>208</v>
      </c>
      <c r="B257" s="23">
        <v>0.2</v>
      </c>
      <c r="C257" s="181"/>
      <c r="D257" s="175">
        <f>D256*$B$256</f>
        <v>35400</v>
      </c>
      <c r="E257" s="175">
        <f>E256*$B$246</f>
        <v>16000</v>
      </c>
      <c r="G257" s="175">
        <f>G256*$B$246</f>
        <v>36920</v>
      </c>
      <c r="L257" s="481"/>
      <c r="M257" s="537"/>
      <c r="N257" s="537"/>
      <c r="O257" s="537"/>
      <c r="P257" s="537"/>
      <c r="Q257" s="537"/>
      <c r="R257" s="23"/>
      <c r="AA257" s="414" t="s">
        <v>839</v>
      </c>
      <c r="AB257" s="141"/>
      <c r="AC257" s="142" t="s">
        <v>57</v>
      </c>
      <c r="AD257" s="143"/>
      <c r="AE257" s="144">
        <f>ROUNDUP(((135000)*35%)+(135000),-3)/4</f>
        <v>45750</v>
      </c>
      <c r="AF257" s="145">
        <f t="shared" si="229"/>
        <v>19000</v>
      </c>
      <c r="AG257" s="146">
        <f t="shared" si="230"/>
        <v>5000</v>
      </c>
      <c r="AH257" s="145">
        <f t="shared" si="231"/>
        <v>10000</v>
      </c>
      <c r="AI257" s="151">
        <f t="shared" si="232"/>
        <v>79750</v>
      </c>
      <c r="AJ257" s="145">
        <f t="shared" si="233"/>
        <v>104000</v>
      </c>
      <c r="CI257" s="602" t="s">
        <v>823</v>
      </c>
      <c r="CJ257" s="603" t="s">
        <v>844</v>
      </c>
      <c r="CK257" s="575">
        <v>37821336</v>
      </c>
      <c r="CL257" s="594">
        <f t="shared" si="234"/>
        <v>43494536.399999999</v>
      </c>
    </row>
    <row r="258" spans="1:90" ht="27.6">
      <c r="A258" s="259" t="s">
        <v>15</v>
      </c>
      <c r="B258" s="259"/>
      <c r="C258" s="181"/>
      <c r="D258" s="175">
        <f>D256*$B$257</f>
        <v>17700</v>
      </c>
      <c r="E258" s="175">
        <f>E256*$B$257</f>
        <v>8000</v>
      </c>
      <c r="G258" s="175">
        <f>G256*$B$257</f>
        <v>18460</v>
      </c>
      <c r="L258" s="481"/>
      <c r="M258" s="537"/>
      <c r="N258" s="537"/>
      <c r="O258" s="537"/>
      <c r="P258" s="537"/>
      <c r="Q258" s="537"/>
      <c r="R258" s="23"/>
      <c r="AA258" s="396" t="s">
        <v>822</v>
      </c>
      <c r="AB258" s="189"/>
      <c r="AC258" s="190" t="s">
        <v>77</v>
      </c>
      <c r="AD258" s="191"/>
      <c r="AE258" s="439">
        <f>ROUNDUP(((195600)*35%)+(195600),-3)/4</f>
        <v>66250</v>
      </c>
      <c r="AF258" s="114">
        <f t="shared" si="229"/>
        <v>27000</v>
      </c>
      <c r="AG258" s="113">
        <f t="shared" si="230"/>
        <v>7000</v>
      </c>
      <c r="AH258" s="114">
        <f t="shared" si="231"/>
        <v>14000</v>
      </c>
      <c r="AI258" s="115">
        <f t="shared" si="232"/>
        <v>114250</v>
      </c>
      <c r="AJ258" s="114">
        <f t="shared" si="233"/>
        <v>149000</v>
      </c>
      <c r="CI258" s="602" t="s">
        <v>826</v>
      </c>
      <c r="CJ258" s="603" t="s">
        <v>844</v>
      </c>
      <c r="CK258" s="575">
        <v>40903656</v>
      </c>
      <c r="CL258" s="594">
        <f t="shared" si="234"/>
        <v>47039204.399999999</v>
      </c>
    </row>
    <row r="259" spans="1:90" ht="27.6">
      <c r="A259" s="23" t="s">
        <v>215</v>
      </c>
      <c r="B259" s="23">
        <v>1.2</v>
      </c>
      <c r="C259" s="181"/>
      <c r="D259" s="486">
        <f>SUM(D256:D258)</f>
        <v>141600</v>
      </c>
      <c r="E259" s="486">
        <f>SUM(E256:E258)</f>
        <v>64000</v>
      </c>
      <c r="G259" s="486">
        <f>SUM(G256:G258)</f>
        <v>147680</v>
      </c>
      <c r="L259" s="481"/>
      <c r="M259" s="537"/>
      <c r="N259" s="537"/>
      <c r="O259" s="537"/>
      <c r="P259" s="537"/>
      <c r="Q259" s="537"/>
      <c r="R259" s="23"/>
      <c r="AA259" s="403" t="s">
        <v>825</v>
      </c>
      <c r="AB259" s="103"/>
      <c r="AC259" s="52" t="s">
        <v>77</v>
      </c>
      <c r="AD259" s="104"/>
      <c r="AE259" s="433">
        <f>ROUNDUP(((375500)*35%)+(375500),-3)/4</f>
        <v>126750</v>
      </c>
      <c r="AF259" s="106">
        <f t="shared" si="229"/>
        <v>51000</v>
      </c>
      <c r="AG259" s="117">
        <f t="shared" si="230"/>
        <v>13000</v>
      </c>
      <c r="AH259" s="106">
        <f t="shared" si="231"/>
        <v>26000</v>
      </c>
      <c r="AI259" s="177">
        <f t="shared" si="232"/>
        <v>216750</v>
      </c>
      <c r="AJ259" s="106">
        <f t="shared" si="233"/>
        <v>282000</v>
      </c>
      <c r="CI259" s="602" t="s">
        <v>827</v>
      </c>
      <c r="CJ259" s="603" t="s">
        <v>845</v>
      </c>
      <c r="CK259" s="575">
        <v>57849825</v>
      </c>
      <c r="CL259" s="594">
        <f t="shared" si="234"/>
        <v>66527298.749999993</v>
      </c>
    </row>
    <row r="260" spans="1:90" ht="28.2" thickBot="1">
      <c r="C260" s="183"/>
      <c r="D260" s="527">
        <f>ROUNDUP((D259*$B$249),-3)</f>
        <v>170000</v>
      </c>
      <c r="E260" s="527">
        <f>ROUNDUP((E259*$B$249),-3)</f>
        <v>77000</v>
      </c>
      <c r="F260" s="170"/>
      <c r="G260" s="527">
        <f>ROUNDUP((G259*$B$249),-3)</f>
        <v>178000</v>
      </c>
      <c r="H260" s="170"/>
      <c r="I260" s="170"/>
      <c r="J260" s="170"/>
      <c r="K260" s="170"/>
      <c r="L260" s="410"/>
      <c r="M260" s="537"/>
      <c r="N260" s="537"/>
      <c r="O260" s="537"/>
      <c r="P260" s="537"/>
      <c r="Q260" s="537"/>
      <c r="R260" s="23"/>
      <c r="AA260" s="403" t="s">
        <v>838</v>
      </c>
      <c r="AB260" s="103"/>
      <c r="AC260" s="52" t="s">
        <v>77</v>
      </c>
      <c r="AD260" s="104"/>
      <c r="AE260" s="433">
        <f>ROUNDUP(((105800*35%))+(105800),-3)/4</f>
        <v>35750</v>
      </c>
      <c r="AF260" s="106">
        <f t="shared" si="229"/>
        <v>15000</v>
      </c>
      <c r="AG260" s="117">
        <f t="shared" si="230"/>
        <v>4000</v>
      </c>
      <c r="AH260" s="106">
        <f t="shared" si="231"/>
        <v>8000</v>
      </c>
      <c r="AI260" s="177">
        <f t="shared" si="232"/>
        <v>62750</v>
      </c>
      <c r="AJ260" s="106">
        <f t="shared" si="233"/>
        <v>82000</v>
      </c>
      <c r="CI260" s="602" t="s">
        <v>829</v>
      </c>
      <c r="CJ260" s="603" t="s">
        <v>845</v>
      </c>
      <c r="CK260" s="575">
        <v>65953860</v>
      </c>
      <c r="CL260" s="594">
        <f t="shared" si="234"/>
        <v>75846939</v>
      </c>
    </row>
    <row r="261" spans="1:90" ht="28.2" thickBot="1">
      <c r="F261" s="530"/>
      <c r="G261" s="530"/>
      <c r="H261" s="553"/>
      <c r="I261" s="553"/>
      <c r="J261" s="553"/>
      <c r="K261" s="553"/>
      <c r="L261" s="553"/>
      <c r="M261" s="537"/>
      <c r="N261" s="537"/>
      <c r="O261" s="537"/>
      <c r="P261" s="537"/>
      <c r="Q261" s="537"/>
      <c r="R261" s="23"/>
      <c r="AA261" s="414" t="s">
        <v>839</v>
      </c>
      <c r="AB261" s="141"/>
      <c r="AC261" s="142" t="s">
        <v>77</v>
      </c>
      <c r="AD261" s="143"/>
      <c r="AE261" s="144">
        <f>ROUNDUP(((197300)*35%)+(197300),-3)/4</f>
        <v>66750</v>
      </c>
      <c r="AF261" s="145">
        <f t="shared" si="229"/>
        <v>27000</v>
      </c>
      <c r="AG261" s="146">
        <f t="shared" si="230"/>
        <v>7000</v>
      </c>
      <c r="AH261" s="145">
        <f t="shared" si="231"/>
        <v>14000</v>
      </c>
      <c r="AI261" s="151">
        <f t="shared" si="232"/>
        <v>114750</v>
      </c>
      <c r="AJ261" s="145">
        <f t="shared" si="233"/>
        <v>150000</v>
      </c>
      <c r="CI261" s="602" t="s">
        <v>830</v>
      </c>
      <c r="CJ261" s="603" t="s">
        <v>846</v>
      </c>
      <c r="CK261" s="575">
        <v>94147263</v>
      </c>
      <c r="CL261" s="594">
        <f t="shared" si="234"/>
        <v>108269352.44999999</v>
      </c>
    </row>
    <row r="262" spans="1:90" ht="27.6">
      <c r="C262" s="16" t="s">
        <v>603</v>
      </c>
      <c r="D262" s="20" t="s">
        <v>604</v>
      </c>
      <c r="E262" s="17" t="s">
        <v>605</v>
      </c>
      <c r="F262" s="20" t="s">
        <v>606</v>
      </c>
      <c r="G262" s="20" t="s">
        <v>607</v>
      </c>
      <c r="H262" s="20" t="s">
        <v>608</v>
      </c>
      <c r="I262" s="227" t="s">
        <v>609</v>
      </c>
      <c r="J262" s="227" t="s">
        <v>610</v>
      </c>
      <c r="K262" s="227" t="s">
        <v>610</v>
      </c>
      <c r="L262" s="226" t="s">
        <v>611</v>
      </c>
      <c r="M262" s="537"/>
      <c r="N262" s="537"/>
      <c r="O262" s="537"/>
      <c r="P262" s="537"/>
      <c r="Q262" s="537"/>
      <c r="R262" s="23"/>
      <c r="AA262" s="396" t="s">
        <v>822</v>
      </c>
      <c r="AB262" s="189"/>
      <c r="AC262" s="190" t="s">
        <v>108</v>
      </c>
      <c r="AD262" s="191"/>
      <c r="AE262" s="439">
        <f>ROUNDUP(((324100)*35%)+(324100),-3)/4</f>
        <v>109500</v>
      </c>
      <c r="AF262" s="114">
        <f t="shared" si="229"/>
        <v>44000</v>
      </c>
      <c r="AG262" s="113">
        <f t="shared" si="230"/>
        <v>11000</v>
      </c>
      <c r="AH262" s="114">
        <f t="shared" si="231"/>
        <v>22000</v>
      </c>
      <c r="AI262" s="115">
        <f t="shared" si="232"/>
        <v>186500</v>
      </c>
      <c r="AJ262" s="114">
        <f t="shared" si="233"/>
        <v>243000</v>
      </c>
      <c r="CI262" s="602" t="s">
        <v>832</v>
      </c>
      <c r="CJ262" s="603" t="s">
        <v>846</v>
      </c>
      <c r="CK262" s="575">
        <v>100852923</v>
      </c>
      <c r="CL262" s="594">
        <f t="shared" si="234"/>
        <v>115980861.44999999</v>
      </c>
    </row>
    <row r="263" spans="1:90" ht="28.2" thickBot="1">
      <c r="C263" s="36"/>
      <c r="D263" s="40"/>
      <c r="E263" s="37"/>
      <c r="F263" s="40"/>
      <c r="G263" s="40"/>
      <c r="H263" s="40"/>
      <c r="I263" s="233" t="s">
        <v>615</v>
      </c>
      <c r="J263" s="233" t="s">
        <v>616</v>
      </c>
      <c r="K263" s="233" t="s">
        <v>617</v>
      </c>
      <c r="L263" s="232" t="s">
        <v>617</v>
      </c>
      <c r="M263" s="537"/>
      <c r="N263" s="537"/>
      <c r="O263" s="537"/>
      <c r="P263" s="537"/>
      <c r="Q263" s="537"/>
      <c r="R263" s="23"/>
      <c r="AA263" s="403" t="s">
        <v>825</v>
      </c>
      <c r="AB263" s="103"/>
      <c r="AC263" s="52" t="s">
        <v>108</v>
      </c>
      <c r="AD263" s="104"/>
      <c r="AE263" s="433">
        <f>ROUNDUP(((580300)*35%)+(580300),-3)/4</f>
        <v>196000</v>
      </c>
      <c r="AF263" s="106">
        <f t="shared" si="229"/>
        <v>79000</v>
      </c>
      <c r="AG263" s="117">
        <f t="shared" si="230"/>
        <v>20000</v>
      </c>
      <c r="AH263" s="106">
        <f t="shared" si="231"/>
        <v>40000</v>
      </c>
      <c r="AI263" s="177">
        <f t="shared" si="232"/>
        <v>335000</v>
      </c>
      <c r="AJ263" s="106">
        <f t="shared" si="233"/>
        <v>436000</v>
      </c>
      <c r="CI263" s="602" t="s">
        <v>833</v>
      </c>
      <c r="CJ263" s="603" t="s">
        <v>847</v>
      </c>
      <c r="CK263" s="575">
        <v>131097441</v>
      </c>
      <c r="CL263" s="594">
        <f t="shared" si="234"/>
        <v>150762057.14999998</v>
      </c>
    </row>
    <row r="264" spans="1:90" ht="28.2" thickBot="1">
      <c r="A264" s="23" t="s">
        <v>620</v>
      </c>
      <c r="B264" s="23">
        <v>0.52</v>
      </c>
      <c r="C264" s="478" t="s">
        <v>848</v>
      </c>
      <c r="D264" s="109">
        <v>121500</v>
      </c>
      <c r="E264" s="109">
        <v>55000</v>
      </c>
      <c r="F264" s="495"/>
      <c r="G264" s="598">
        <v>124500</v>
      </c>
      <c r="H264" s="554"/>
      <c r="I264" s="554"/>
      <c r="J264" s="604">
        <v>105000</v>
      </c>
      <c r="K264" s="554"/>
      <c r="L264" s="555"/>
      <c r="M264" s="23"/>
      <c r="N264" s="23"/>
      <c r="O264" s="23"/>
      <c r="P264" s="23"/>
      <c r="Q264" s="23"/>
      <c r="AA264" s="403" t="s">
        <v>838</v>
      </c>
      <c r="AB264" s="103"/>
      <c r="AC264" s="52" t="s">
        <v>108</v>
      </c>
      <c r="AD264" s="104"/>
      <c r="AE264" s="433">
        <f>ROUNDUP(((166400*35%))+(166400),-3)/4</f>
        <v>56250</v>
      </c>
      <c r="AF264" s="106">
        <f t="shared" si="229"/>
        <v>23000</v>
      </c>
      <c r="AG264" s="117">
        <f t="shared" si="230"/>
        <v>6000</v>
      </c>
      <c r="AH264" s="106">
        <f t="shared" si="231"/>
        <v>12000</v>
      </c>
      <c r="AI264" s="177">
        <f t="shared" si="232"/>
        <v>97250</v>
      </c>
      <c r="AJ264" s="106">
        <f t="shared" si="233"/>
        <v>127000</v>
      </c>
      <c r="CI264" s="605" t="s">
        <v>836</v>
      </c>
      <c r="CJ264" s="606" t="s">
        <v>849</v>
      </c>
      <c r="CK264" s="581">
        <v>235955937</v>
      </c>
      <c r="CL264" s="601">
        <f t="shared" si="234"/>
        <v>271349327.54999995</v>
      </c>
    </row>
    <row r="265" spans="1:90" ht="15" thickBot="1">
      <c r="A265" s="480" t="s">
        <v>625</v>
      </c>
      <c r="B265" s="480"/>
      <c r="C265" s="181"/>
      <c r="D265" s="175"/>
      <c r="E265" s="175"/>
      <c r="F265" s="387"/>
      <c r="G265" s="175"/>
      <c r="H265" s="556"/>
      <c r="I265" s="556"/>
      <c r="J265" s="175">
        <f>J264*$B$264</f>
        <v>54600</v>
      </c>
      <c r="K265" s="556"/>
      <c r="L265" s="557"/>
      <c r="M265" s="23"/>
      <c r="N265" s="23"/>
      <c r="O265" s="23"/>
      <c r="P265" s="23"/>
      <c r="Q265" s="23"/>
      <c r="AA265" s="414" t="s">
        <v>839</v>
      </c>
      <c r="AB265" s="141"/>
      <c r="AC265" s="142" t="s">
        <v>108</v>
      </c>
      <c r="AD265" s="143"/>
      <c r="AE265" s="144">
        <f>ROUNDUP(((296200)*35%)+(296200),-3)/4</f>
        <v>100000</v>
      </c>
      <c r="AF265" s="145">
        <f t="shared" si="229"/>
        <v>40000</v>
      </c>
      <c r="AG265" s="146">
        <f t="shared" si="230"/>
        <v>10000</v>
      </c>
      <c r="AH265" s="145">
        <f t="shared" si="231"/>
        <v>20000</v>
      </c>
      <c r="AI265" s="151">
        <f t="shared" si="232"/>
        <v>170000</v>
      </c>
      <c r="AJ265" s="145">
        <f t="shared" si="233"/>
        <v>221000</v>
      </c>
    </row>
    <row r="266" spans="1:90" ht="15.75" customHeight="1">
      <c r="A266" s="23" t="s">
        <v>13</v>
      </c>
      <c r="B266" s="23">
        <v>0.4</v>
      </c>
      <c r="C266" s="181"/>
      <c r="D266" s="595">
        <f>SUM(D264:D265)</f>
        <v>121500</v>
      </c>
      <c r="E266" s="595">
        <f>SUM(E264:E265)</f>
        <v>55000</v>
      </c>
      <c r="F266" s="387"/>
      <c r="G266" s="595">
        <f>SUM(G264:G265)</f>
        <v>124500</v>
      </c>
      <c r="H266" s="556"/>
      <c r="I266" s="556"/>
      <c r="J266" s="595">
        <f>SUM(J264:J265)</f>
        <v>159600</v>
      </c>
      <c r="K266" s="556"/>
      <c r="L266" s="557"/>
      <c r="M266" s="23"/>
      <c r="N266" s="23"/>
      <c r="O266" s="23"/>
      <c r="P266" s="23"/>
      <c r="Q266" s="23"/>
      <c r="AA266" s="403" t="s">
        <v>822</v>
      </c>
      <c r="AB266" s="103"/>
      <c r="AC266" s="52" t="s">
        <v>117</v>
      </c>
      <c r="AD266" s="104"/>
      <c r="AE266" s="433">
        <f>ROUNDUP(((513500)*35%)+(513500),-3)/4</f>
        <v>173500</v>
      </c>
      <c r="AF266" s="106">
        <f t="shared" si="229"/>
        <v>70000</v>
      </c>
      <c r="AG266" s="117">
        <f t="shared" si="230"/>
        <v>18000</v>
      </c>
      <c r="AH266" s="106">
        <f t="shared" si="231"/>
        <v>35000</v>
      </c>
      <c r="AI266" s="177">
        <f t="shared" si="232"/>
        <v>296500</v>
      </c>
      <c r="AJ266" s="106">
        <f t="shared" si="233"/>
        <v>386000</v>
      </c>
    </row>
    <row r="267" spans="1:90" ht="15.75" customHeight="1">
      <c r="A267" s="23" t="s">
        <v>208</v>
      </c>
      <c r="B267" s="23">
        <v>0.2</v>
      </c>
      <c r="C267" s="181"/>
      <c r="D267" s="175">
        <f>D266*$B$266</f>
        <v>48600</v>
      </c>
      <c r="E267" s="175">
        <f>E266*$B$266</f>
        <v>22000</v>
      </c>
      <c r="F267" s="387"/>
      <c r="G267" s="175">
        <f>G266*$B$266</f>
        <v>49800</v>
      </c>
      <c r="H267" s="556"/>
      <c r="I267" s="556"/>
      <c r="J267" s="175">
        <f>J266*$B$266</f>
        <v>63840</v>
      </c>
      <c r="K267" s="556"/>
      <c r="L267" s="557"/>
      <c r="M267" s="23"/>
      <c r="N267" s="23"/>
      <c r="O267" s="23"/>
      <c r="P267" s="23"/>
      <c r="Q267" s="23"/>
      <c r="AA267" s="403" t="s">
        <v>825</v>
      </c>
      <c r="AB267" s="103"/>
      <c r="AC267" s="52" t="s">
        <v>117</v>
      </c>
      <c r="AD267" s="104"/>
      <c r="AE267" s="433">
        <f>ROUNDUP(((726500)*35%)+(726500),-3)/4</f>
        <v>245250</v>
      </c>
      <c r="AF267" s="106">
        <f t="shared" si="229"/>
        <v>99000</v>
      </c>
      <c r="AG267" s="117">
        <f t="shared" si="230"/>
        <v>25000</v>
      </c>
      <c r="AH267" s="106">
        <f t="shared" si="231"/>
        <v>50000</v>
      </c>
      <c r="AI267" s="177">
        <f t="shared" si="232"/>
        <v>419250</v>
      </c>
      <c r="AJ267" s="106">
        <f t="shared" si="233"/>
        <v>546000</v>
      </c>
    </row>
    <row r="268" spans="1:90" ht="15.75" customHeight="1">
      <c r="A268" s="259" t="s">
        <v>15</v>
      </c>
      <c r="B268" s="259"/>
      <c r="C268" s="181"/>
      <c r="D268" s="175">
        <f>D267*$B$267</f>
        <v>9720</v>
      </c>
      <c r="E268" s="175">
        <f>E267*$B$267</f>
        <v>4400</v>
      </c>
      <c r="F268" s="387"/>
      <c r="G268" s="175">
        <f>G267*$B$267</f>
        <v>9960</v>
      </c>
      <c r="H268" s="556"/>
      <c r="I268" s="556"/>
      <c r="J268" s="175">
        <f>J267*$B$267</f>
        <v>12768</v>
      </c>
      <c r="K268" s="556"/>
      <c r="L268" s="557"/>
      <c r="M268" s="23"/>
      <c r="N268" s="23"/>
      <c r="O268" s="23"/>
      <c r="P268" s="23"/>
      <c r="Q268" s="23"/>
      <c r="AA268" s="403" t="s">
        <v>838</v>
      </c>
      <c r="AB268" s="103"/>
      <c r="AC268" s="52" t="s">
        <v>117</v>
      </c>
      <c r="AD268" s="104"/>
      <c r="AE268" s="433">
        <f>ROUNDUP(((256300*35%))+(256300),-3)/4</f>
        <v>86750</v>
      </c>
      <c r="AF268" s="106">
        <f t="shared" si="229"/>
        <v>35000</v>
      </c>
      <c r="AG268" s="117">
        <f t="shared" si="230"/>
        <v>9000</v>
      </c>
      <c r="AH268" s="106">
        <f t="shared" si="231"/>
        <v>18000</v>
      </c>
      <c r="AI268" s="177">
        <f t="shared" si="232"/>
        <v>148750</v>
      </c>
      <c r="AJ268" s="106">
        <f t="shared" si="233"/>
        <v>194000</v>
      </c>
    </row>
    <row r="269" spans="1:90" ht="15.75" customHeight="1" thickBot="1">
      <c r="A269" s="23" t="s">
        <v>215</v>
      </c>
      <c r="B269" s="23">
        <v>1.2</v>
      </c>
      <c r="C269" s="181"/>
      <c r="D269" s="486">
        <f>SUM(D266:D268)</f>
        <v>179820</v>
      </c>
      <c r="E269" s="486">
        <f>SUM(E266:E268)</f>
        <v>81400</v>
      </c>
      <c r="F269" s="387"/>
      <c r="G269" s="486">
        <f>SUM(G266:G268)</f>
        <v>184260</v>
      </c>
      <c r="H269" s="556"/>
      <c r="I269" s="556"/>
      <c r="J269" s="486">
        <f>SUM(J266:J268)</f>
        <v>236208</v>
      </c>
      <c r="K269" s="556"/>
      <c r="L269" s="557"/>
      <c r="M269" s="23"/>
      <c r="N269" s="23"/>
      <c r="O269" s="23"/>
      <c r="P269" s="23"/>
      <c r="Q269" s="23"/>
      <c r="AA269" s="403" t="s">
        <v>839</v>
      </c>
      <c r="AB269" s="103"/>
      <c r="AC269" s="52" t="s">
        <v>117</v>
      </c>
      <c r="AD269" s="104"/>
      <c r="AE269" s="433">
        <f>ROUNDUP(((446000)*35%)+(446000),-3)/4</f>
        <v>150750</v>
      </c>
      <c r="AF269" s="106">
        <f t="shared" si="229"/>
        <v>61000</v>
      </c>
      <c r="AG269" s="117">
        <f t="shared" si="230"/>
        <v>16000</v>
      </c>
      <c r="AH269" s="106">
        <f t="shared" si="231"/>
        <v>31000</v>
      </c>
      <c r="AI269" s="177">
        <f t="shared" si="232"/>
        <v>258750</v>
      </c>
      <c r="AJ269" s="106">
        <f t="shared" si="233"/>
        <v>337000</v>
      </c>
    </row>
    <row r="270" spans="1:90" ht="15.75" customHeight="1" thickBot="1">
      <c r="A270" s="23"/>
      <c r="B270" s="23"/>
      <c r="C270" s="183"/>
      <c r="D270" s="527">
        <f>ROUNDUP((D269*$B$249),-3)</f>
        <v>216000</v>
      </c>
      <c r="E270" s="527">
        <f>ROUNDUP((E269*$B$249),-3)</f>
        <v>98000</v>
      </c>
      <c r="F270" s="528"/>
      <c r="G270" s="527">
        <f>ROUNDUP((G269*$B$249),-3)</f>
        <v>222000</v>
      </c>
      <c r="H270" s="562"/>
      <c r="I270" s="562"/>
      <c r="J270" s="527">
        <f>ROUNDUP((J269*$B$249),-3)</f>
        <v>284000</v>
      </c>
      <c r="K270" s="562"/>
      <c r="L270" s="563"/>
      <c r="M270" s="23"/>
      <c r="N270" s="23"/>
      <c r="O270" s="23"/>
      <c r="P270" s="23"/>
      <c r="Q270" s="23"/>
      <c r="AA270" s="396" t="s">
        <v>822</v>
      </c>
      <c r="AB270" s="189"/>
      <c r="AC270" s="190" t="s">
        <v>124</v>
      </c>
      <c r="AD270" s="191"/>
      <c r="AE270" s="439">
        <f>ROUNDUP(((720200)*35%)+(720200),-3)/4</f>
        <v>243250</v>
      </c>
      <c r="AF270" s="114">
        <f t="shared" si="229"/>
        <v>98000</v>
      </c>
      <c r="AG270" s="113">
        <f t="shared" si="230"/>
        <v>25000</v>
      </c>
      <c r="AH270" s="114">
        <f t="shared" si="231"/>
        <v>49000</v>
      </c>
      <c r="AI270" s="115">
        <f t="shared" si="232"/>
        <v>415250</v>
      </c>
      <c r="AJ270" s="114">
        <f t="shared" si="233"/>
        <v>540000</v>
      </c>
    </row>
    <row r="271" spans="1:90" ht="15.75" customHeight="1" thickBot="1">
      <c r="A271" s="23"/>
      <c r="B271" s="23"/>
      <c r="D271" s="5"/>
      <c r="E271" s="5"/>
      <c r="F271" s="387"/>
      <c r="G271" s="5"/>
      <c r="H271" s="556"/>
      <c r="I271" s="556"/>
      <c r="J271" s="5"/>
      <c r="K271" s="556"/>
      <c r="L271" s="556"/>
      <c r="M271" s="23"/>
      <c r="N271" s="23"/>
      <c r="O271" s="23"/>
      <c r="P271" s="23"/>
      <c r="Q271" s="23"/>
      <c r="AA271" s="403" t="s">
        <v>825</v>
      </c>
      <c r="AB271" s="103"/>
      <c r="AC271" s="52" t="s">
        <v>124</v>
      </c>
      <c r="AD271" s="104"/>
      <c r="AE271" s="433">
        <f>ROUNDUP(((1090800)*35%)+(726500),-3)/4</f>
        <v>277250</v>
      </c>
      <c r="AF271" s="106">
        <f t="shared" si="229"/>
        <v>111000</v>
      </c>
      <c r="AG271" s="117">
        <f t="shared" si="230"/>
        <v>28000</v>
      </c>
      <c r="AH271" s="106">
        <f t="shared" si="231"/>
        <v>56000</v>
      </c>
      <c r="AI271" s="177">
        <f t="shared" si="232"/>
        <v>472250</v>
      </c>
      <c r="AJ271" s="106">
        <f t="shared" si="233"/>
        <v>614000</v>
      </c>
    </row>
    <row r="272" spans="1:90" ht="15.75" customHeight="1">
      <c r="A272" s="23"/>
      <c r="B272" s="23"/>
      <c r="C272" s="16" t="s">
        <v>603</v>
      </c>
      <c r="D272" s="20" t="s">
        <v>604</v>
      </c>
      <c r="E272" s="17" t="s">
        <v>605</v>
      </c>
      <c r="F272" s="20" t="s">
        <v>606</v>
      </c>
      <c r="G272" s="20" t="s">
        <v>607</v>
      </c>
      <c r="H272" s="20" t="s">
        <v>608</v>
      </c>
      <c r="I272" s="227" t="s">
        <v>609</v>
      </c>
      <c r="J272" s="227" t="s">
        <v>610</v>
      </c>
      <c r="K272" s="227" t="s">
        <v>610</v>
      </c>
      <c r="L272" s="226" t="s">
        <v>611</v>
      </c>
      <c r="M272" s="23"/>
      <c r="N272" s="23"/>
      <c r="O272" s="23"/>
      <c r="P272" s="23"/>
      <c r="Q272" s="23"/>
      <c r="AA272" s="403" t="s">
        <v>838</v>
      </c>
      <c r="AB272" s="103"/>
      <c r="AC272" s="52" t="s">
        <v>124</v>
      </c>
      <c r="AD272" s="104"/>
      <c r="AE272" s="433">
        <f>ROUNDUP(((338100*35%))+(338100),-3)/4</f>
        <v>114250</v>
      </c>
      <c r="AF272" s="106">
        <f t="shared" si="229"/>
        <v>46000</v>
      </c>
      <c r="AG272" s="117">
        <f t="shared" si="230"/>
        <v>12000</v>
      </c>
      <c r="AH272" s="106">
        <f t="shared" si="231"/>
        <v>23000</v>
      </c>
      <c r="AI272" s="177">
        <f t="shared" si="232"/>
        <v>195250</v>
      </c>
      <c r="AJ272" s="106">
        <f t="shared" si="233"/>
        <v>254000</v>
      </c>
    </row>
    <row r="273" spans="1:36" ht="15.75" customHeight="1" thickBot="1">
      <c r="C273" s="36"/>
      <c r="D273" s="40"/>
      <c r="E273" s="37"/>
      <c r="F273" s="40"/>
      <c r="G273" s="40"/>
      <c r="H273" s="40"/>
      <c r="I273" s="233" t="s">
        <v>615</v>
      </c>
      <c r="J273" s="233" t="s">
        <v>616</v>
      </c>
      <c r="K273" s="233" t="s">
        <v>617</v>
      </c>
      <c r="L273" s="232" t="s">
        <v>617</v>
      </c>
      <c r="M273" s="23"/>
      <c r="N273" s="23"/>
      <c r="O273" s="23"/>
      <c r="P273" s="23"/>
      <c r="Q273" s="23"/>
      <c r="AA273" s="414" t="s">
        <v>839</v>
      </c>
      <c r="AB273" s="141"/>
      <c r="AC273" s="142" t="s">
        <v>124</v>
      </c>
      <c r="AD273" s="143"/>
      <c r="AE273" s="144">
        <f>ROUNDUP(((641200*35%))+(641200),-3)/4</f>
        <v>216500</v>
      </c>
      <c r="AF273" s="145">
        <f t="shared" si="229"/>
        <v>87000</v>
      </c>
      <c r="AG273" s="146">
        <f t="shared" si="230"/>
        <v>22000</v>
      </c>
      <c r="AH273" s="145">
        <f t="shared" si="231"/>
        <v>44000</v>
      </c>
      <c r="AI273" s="151">
        <f t="shared" si="232"/>
        <v>369500</v>
      </c>
      <c r="AJ273" s="145">
        <f t="shared" si="233"/>
        <v>481000</v>
      </c>
    </row>
    <row r="274" spans="1:36" ht="15.75" customHeight="1">
      <c r="A274" s="23" t="s">
        <v>620</v>
      </c>
      <c r="B274" s="23">
        <v>0.52</v>
      </c>
      <c r="C274" s="478" t="s">
        <v>850</v>
      </c>
      <c r="D274" s="109">
        <v>162000</v>
      </c>
      <c r="E274" s="109">
        <v>79000</v>
      </c>
      <c r="F274" s="495"/>
      <c r="G274" s="598">
        <v>166000</v>
      </c>
      <c r="H274" s="535"/>
      <c r="I274" s="535"/>
      <c r="J274" s="400">
        <v>121000</v>
      </c>
      <c r="K274" s="535"/>
      <c r="L274" s="536"/>
      <c r="M274" s="537"/>
      <c r="N274" s="537"/>
      <c r="O274" s="537"/>
      <c r="P274" s="537"/>
      <c r="Q274" s="537"/>
      <c r="AA274" s="403" t="s">
        <v>822</v>
      </c>
      <c r="AB274" s="103"/>
      <c r="AC274" s="52" t="s">
        <v>132</v>
      </c>
      <c r="AD274" s="104"/>
      <c r="AE274" s="433">
        <f>ROUNDUP(((1208600)*35%)+(1208600),-3)/4</f>
        <v>408000</v>
      </c>
      <c r="AF274" s="106">
        <f t="shared" si="229"/>
        <v>164000</v>
      </c>
      <c r="AG274" s="117">
        <f t="shared" si="230"/>
        <v>41000</v>
      </c>
      <c r="AH274" s="106">
        <f t="shared" si="231"/>
        <v>82000</v>
      </c>
      <c r="AI274" s="177">
        <f t="shared" si="232"/>
        <v>695000</v>
      </c>
      <c r="AJ274" s="106">
        <f t="shared" si="233"/>
        <v>904000</v>
      </c>
    </row>
    <row r="275" spans="1:36" ht="15.75" customHeight="1">
      <c r="A275" s="480" t="s">
        <v>625</v>
      </c>
      <c r="B275" s="480"/>
      <c r="C275" s="181"/>
      <c r="D275" s="175"/>
      <c r="E275" s="175"/>
      <c r="F275" s="387"/>
      <c r="G275" s="175"/>
      <c r="H275" s="388"/>
      <c r="I275" s="388"/>
      <c r="J275" s="175">
        <f>J274*$B$274</f>
        <v>62920</v>
      </c>
      <c r="K275" s="388"/>
      <c r="L275" s="539"/>
      <c r="M275" s="537"/>
      <c r="N275" s="537"/>
      <c r="O275" s="537"/>
      <c r="P275" s="537"/>
      <c r="Q275" s="537"/>
      <c r="AA275" s="403" t="s">
        <v>825</v>
      </c>
      <c r="AB275" s="103"/>
      <c r="AC275" s="52" t="s">
        <v>132</v>
      </c>
      <c r="AD275" s="104"/>
      <c r="AE275" s="433">
        <f>ROUNDUP(((1649700)*35%)+(1649700),-3)/4</f>
        <v>557000</v>
      </c>
      <c r="AF275" s="106">
        <f t="shared" si="229"/>
        <v>223000</v>
      </c>
      <c r="AG275" s="117">
        <f t="shared" si="230"/>
        <v>56000</v>
      </c>
      <c r="AH275" s="106">
        <f t="shared" si="231"/>
        <v>112000</v>
      </c>
      <c r="AI275" s="177">
        <f t="shared" si="232"/>
        <v>948000</v>
      </c>
      <c r="AJ275" s="106">
        <f t="shared" si="233"/>
        <v>1233000</v>
      </c>
    </row>
    <row r="276" spans="1:36" ht="15.75" customHeight="1">
      <c r="A276" s="23" t="s">
        <v>13</v>
      </c>
      <c r="B276" s="23">
        <v>0.4</v>
      </c>
      <c r="C276" s="181"/>
      <c r="D276" s="482">
        <f>SUM(D274:D275)</f>
        <v>162000</v>
      </c>
      <c r="E276" s="482">
        <f>SUM(E274:E275)</f>
        <v>79000</v>
      </c>
      <c r="F276" s="387"/>
      <c r="G276" s="482">
        <f>SUM(G274:G275)</f>
        <v>166000</v>
      </c>
      <c r="H276" s="388"/>
      <c r="I276" s="388"/>
      <c r="J276" s="482">
        <f>SUM(J274:J275)</f>
        <v>183920</v>
      </c>
      <c r="K276" s="388"/>
      <c r="L276" s="539"/>
      <c r="M276" s="537"/>
      <c r="N276" s="537"/>
      <c r="O276" s="537"/>
      <c r="P276" s="537"/>
      <c r="Q276" s="537"/>
      <c r="AA276" s="403" t="s">
        <v>838</v>
      </c>
      <c r="AB276" s="103"/>
      <c r="AC276" s="52" t="s">
        <v>132</v>
      </c>
      <c r="AD276" s="104"/>
      <c r="AE276" s="433">
        <f>ROUNDUP(((594600*35%))+(594600),-3)/4</f>
        <v>200750</v>
      </c>
      <c r="AF276" s="106">
        <f t="shared" si="229"/>
        <v>81000</v>
      </c>
      <c r="AG276" s="117">
        <f t="shared" si="230"/>
        <v>21000</v>
      </c>
      <c r="AH276" s="106">
        <f t="shared" si="231"/>
        <v>41000</v>
      </c>
      <c r="AI276" s="177">
        <f t="shared" si="232"/>
        <v>343750</v>
      </c>
      <c r="AJ276" s="106">
        <f t="shared" si="233"/>
        <v>447000</v>
      </c>
    </row>
    <row r="277" spans="1:36" ht="15.75" customHeight="1" thickBot="1">
      <c r="A277" s="23" t="s">
        <v>208</v>
      </c>
      <c r="B277" s="23">
        <v>0.2</v>
      </c>
      <c r="C277" s="181"/>
      <c r="D277" s="175">
        <f>D276*$B$276</f>
        <v>64800</v>
      </c>
      <c r="E277" s="175">
        <f>E276*$B$276</f>
        <v>31600</v>
      </c>
      <c r="F277" s="387"/>
      <c r="G277" s="175">
        <f>G276*$B$276</f>
        <v>66400</v>
      </c>
      <c r="H277" s="388"/>
      <c r="I277" s="388"/>
      <c r="J277" s="175">
        <f>J276*$B$276</f>
        <v>73568</v>
      </c>
      <c r="K277" s="388"/>
      <c r="L277" s="539"/>
      <c r="M277" s="537"/>
      <c r="N277" s="537"/>
      <c r="O277" s="537"/>
      <c r="P277" s="537"/>
      <c r="Q277" s="537"/>
      <c r="AA277" s="403" t="s">
        <v>839</v>
      </c>
      <c r="AB277" s="103"/>
      <c r="AC277" s="52" t="s">
        <v>132</v>
      </c>
      <c r="AD277" s="104"/>
      <c r="AE277" s="433">
        <f>ROUNDUP(((641200*35%))+(641200),-3)/4</f>
        <v>216500</v>
      </c>
      <c r="AF277" s="106">
        <f t="shared" si="229"/>
        <v>87000</v>
      </c>
      <c r="AG277" s="117">
        <f t="shared" si="230"/>
        <v>22000</v>
      </c>
      <c r="AH277" s="106">
        <f t="shared" si="231"/>
        <v>44000</v>
      </c>
      <c r="AI277" s="177">
        <f t="shared" si="232"/>
        <v>369500</v>
      </c>
      <c r="AJ277" s="106">
        <f t="shared" si="233"/>
        <v>481000</v>
      </c>
    </row>
    <row r="278" spans="1:36" ht="15.75" customHeight="1">
      <c r="A278" s="259" t="s">
        <v>15</v>
      </c>
      <c r="B278" s="259"/>
      <c r="C278" s="181"/>
      <c r="D278" s="175">
        <f>D276*$B$277</f>
        <v>32400</v>
      </c>
      <c r="E278" s="175">
        <f>E276*$B$277</f>
        <v>15800</v>
      </c>
      <c r="F278" s="387"/>
      <c r="G278" s="175">
        <f>G276*$B$277</f>
        <v>33200</v>
      </c>
      <c r="H278" s="388"/>
      <c r="I278" s="388"/>
      <c r="J278" s="175">
        <f>J276*$B$277</f>
        <v>36784</v>
      </c>
      <c r="K278" s="388"/>
      <c r="L278" s="539"/>
      <c r="M278" s="537"/>
      <c r="N278" s="537"/>
      <c r="O278" s="537"/>
      <c r="P278" s="537"/>
      <c r="Q278" s="537"/>
      <c r="AA278" s="396" t="s">
        <v>822</v>
      </c>
      <c r="AB278" s="189"/>
      <c r="AC278" s="190" t="s">
        <v>136</v>
      </c>
      <c r="AD278" s="191"/>
      <c r="AE278" s="439">
        <f>ROUNDUP(((1866800)*35%)+(1866800),-3)/4</f>
        <v>630250</v>
      </c>
      <c r="AF278" s="114">
        <f t="shared" si="229"/>
        <v>253000</v>
      </c>
      <c r="AG278" s="113">
        <f t="shared" si="230"/>
        <v>64000</v>
      </c>
      <c r="AH278" s="114">
        <f t="shared" si="231"/>
        <v>127000</v>
      </c>
      <c r="AI278" s="115">
        <f t="shared" si="232"/>
        <v>1074250</v>
      </c>
      <c r="AJ278" s="114">
        <f t="shared" si="233"/>
        <v>1397000</v>
      </c>
    </row>
    <row r="279" spans="1:36" ht="15.75" customHeight="1">
      <c r="A279" s="23" t="s">
        <v>215</v>
      </c>
      <c r="B279" s="23">
        <v>1.2</v>
      </c>
      <c r="C279" s="181"/>
      <c r="D279" s="486">
        <f>SUM(D276:D278)</f>
        <v>259200</v>
      </c>
      <c r="E279" s="486">
        <f>SUM(E276:E278)</f>
        <v>126400</v>
      </c>
      <c r="F279" s="387"/>
      <c r="G279" s="486">
        <f>SUM(G276:G278)</f>
        <v>265600</v>
      </c>
      <c r="H279" s="388"/>
      <c r="I279" s="388"/>
      <c r="J279" s="486">
        <f>SUM(J276:J278)</f>
        <v>294272</v>
      </c>
      <c r="K279" s="388"/>
      <c r="L279" s="539"/>
      <c r="M279" s="537"/>
      <c r="N279" s="537"/>
      <c r="O279" s="537"/>
      <c r="P279" s="537"/>
      <c r="Q279" s="537"/>
      <c r="AA279" s="403" t="s">
        <v>825</v>
      </c>
      <c r="AB279" s="103"/>
      <c r="AC279" s="52" t="s">
        <v>136</v>
      </c>
      <c r="AD279" s="104"/>
      <c r="AE279" s="433">
        <f>ROUNDUP(((2513500)*35%)+(2513500),-3)/4</f>
        <v>848500</v>
      </c>
      <c r="AF279" s="106">
        <f t="shared" si="229"/>
        <v>340000</v>
      </c>
      <c r="AG279" s="117">
        <f t="shared" si="230"/>
        <v>85000</v>
      </c>
      <c r="AH279" s="106">
        <f t="shared" si="231"/>
        <v>170000</v>
      </c>
      <c r="AI279" s="177">
        <f t="shared" si="232"/>
        <v>1443500</v>
      </c>
      <c r="AJ279" s="106">
        <f t="shared" si="233"/>
        <v>1877000</v>
      </c>
    </row>
    <row r="280" spans="1:36" ht="15.75" customHeight="1" thickBot="1">
      <c r="C280" s="183"/>
      <c r="D280" s="527">
        <f>ROUNDUP((D279*$B$249),-3)</f>
        <v>312000</v>
      </c>
      <c r="E280" s="527">
        <f>ROUNDUP((E279*$B$249),-3)</f>
        <v>152000</v>
      </c>
      <c r="F280" s="528"/>
      <c r="G280" s="527">
        <f>ROUNDUP((G279*$B$249),-3)</f>
        <v>319000</v>
      </c>
      <c r="H280" s="551"/>
      <c r="I280" s="551"/>
      <c r="J280" s="527">
        <f>ROUNDUP((J279*$B$249),-3)</f>
        <v>354000</v>
      </c>
      <c r="K280" s="551"/>
      <c r="L280" s="552"/>
      <c r="M280" s="537"/>
      <c r="N280" s="537"/>
      <c r="O280" s="537"/>
      <c r="P280" s="537"/>
      <c r="Q280" s="537"/>
      <c r="AA280" s="403" t="s">
        <v>838</v>
      </c>
      <c r="AB280" s="103"/>
      <c r="AC280" s="52" t="s">
        <v>136</v>
      </c>
      <c r="AD280" s="104"/>
      <c r="AE280" s="433">
        <f>ROUNDUP(((979400*35%))+(979400),-3)/4</f>
        <v>330750</v>
      </c>
      <c r="AF280" s="106">
        <f t="shared" si="229"/>
        <v>133000</v>
      </c>
      <c r="AG280" s="117">
        <f t="shared" si="230"/>
        <v>34000</v>
      </c>
      <c r="AH280" s="106">
        <f t="shared" si="231"/>
        <v>67000</v>
      </c>
      <c r="AI280" s="177">
        <f t="shared" si="232"/>
        <v>564750</v>
      </c>
      <c r="AJ280" s="106">
        <f t="shared" si="233"/>
        <v>735000</v>
      </c>
    </row>
    <row r="281" spans="1:36" ht="15.75" customHeight="1" thickBot="1">
      <c r="F281" s="530"/>
      <c r="G281" s="530"/>
      <c r="H281" s="553"/>
      <c r="I281" s="553"/>
      <c r="J281" s="553"/>
      <c r="K281" s="553"/>
      <c r="L281" s="553"/>
      <c r="M281" s="537"/>
      <c r="N281" s="537"/>
      <c r="O281" s="537"/>
      <c r="P281" s="537"/>
      <c r="Q281" s="537"/>
      <c r="AA281" s="414" t="s">
        <v>839</v>
      </c>
      <c r="AB281" s="141"/>
      <c r="AC281" s="142" t="s">
        <v>136</v>
      </c>
      <c r="AD281" s="143"/>
      <c r="AE281" s="144">
        <f>ROUNDUP(((1584400*35%))+(1584400),-3)/4</f>
        <v>534750</v>
      </c>
      <c r="AF281" s="145">
        <f t="shared" si="229"/>
        <v>214000</v>
      </c>
      <c r="AG281" s="146">
        <f t="shared" si="230"/>
        <v>54000</v>
      </c>
      <c r="AH281" s="145">
        <f t="shared" si="231"/>
        <v>107000</v>
      </c>
      <c r="AI281" s="151">
        <f t="shared" si="232"/>
        <v>909750</v>
      </c>
      <c r="AJ281" s="145">
        <f t="shared" si="233"/>
        <v>1183000</v>
      </c>
    </row>
    <row r="282" spans="1:36" ht="15.75" customHeight="1">
      <c r="C282" s="16" t="s">
        <v>603</v>
      </c>
      <c r="D282" s="20" t="s">
        <v>604</v>
      </c>
      <c r="E282" s="17" t="s">
        <v>605</v>
      </c>
      <c r="F282" s="20" t="s">
        <v>606</v>
      </c>
      <c r="G282" s="20" t="s">
        <v>607</v>
      </c>
      <c r="H282" s="20" t="s">
        <v>608</v>
      </c>
      <c r="I282" s="227" t="s">
        <v>609</v>
      </c>
      <c r="J282" s="227" t="s">
        <v>610</v>
      </c>
      <c r="K282" s="227" t="s">
        <v>610</v>
      </c>
      <c r="L282" s="226" t="s">
        <v>611</v>
      </c>
      <c r="M282" s="537"/>
      <c r="N282" s="537"/>
      <c r="O282" s="537"/>
      <c r="P282" s="537"/>
      <c r="Q282" s="537"/>
      <c r="AA282" s="403" t="s">
        <v>822</v>
      </c>
      <c r="AB282" s="103"/>
      <c r="AC282" s="52" t="s">
        <v>139</v>
      </c>
      <c r="AD282" s="104"/>
      <c r="AE282" s="433">
        <f>ROUNDUP(((2635000)*35%)+(2635000),-3)/4</f>
        <v>889500</v>
      </c>
      <c r="AF282" s="106">
        <f t="shared" si="229"/>
        <v>356000</v>
      </c>
      <c r="AG282" s="117">
        <f t="shared" si="230"/>
        <v>89000</v>
      </c>
      <c r="AH282" s="106">
        <f t="shared" si="231"/>
        <v>178000</v>
      </c>
      <c r="AI282" s="177">
        <f t="shared" si="232"/>
        <v>1512500</v>
      </c>
      <c r="AJ282" s="106">
        <f t="shared" si="233"/>
        <v>1967000</v>
      </c>
    </row>
    <row r="283" spans="1:36" ht="15.75" customHeight="1" thickBot="1">
      <c r="C283" s="36"/>
      <c r="D283" s="40"/>
      <c r="E283" s="37"/>
      <c r="F283" s="40"/>
      <c r="G283" s="40"/>
      <c r="H283" s="40"/>
      <c r="I283" s="233" t="s">
        <v>615</v>
      </c>
      <c r="J283" s="233" t="s">
        <v>616</v>
      </c>
      <c r="K283" s="233" t="s">
        <v>617</v>
      </c>
      <c r="L283" s="232" t="s">
        <v>617</v>
      </c>
      <c r="M283" s="537"/>
      <c r="N283" s="537"/>
      <c r="O283" s="537"/>
      <c r="P283" s="537"/>
      <c r="Q283" s="537"/>
      <c r="AA283" s="403" t="s">
        <v>825</v>
      </c>
      <c r="AB283" s="103"/>
      <c r="AC283" s="52" t="s">
        <v>139</v>
      </c>
      <c r="AD283" s="104"/>
      <c r="AE283" s="433">
        <f>ROUNDUP(((3565500)*35%)+(3565500),-3)/4</f>
        <v>1203500</v>
      </c>
      <c r="AF283" s="106">
        <f t="shared" si="229"/>
        <v>482000</v>
      </c>
      <c r="AG283" s="117">
        <f t="shared" si="230"/>
        <v>121000</v>
      </c>
      <c r="AH283" s="106">
        <f t="shared" si="231"/>
        <v>241000</v>
      </c>
      <c r="AI283" s="177">
        <f t="shared" si="232"/>
        <v>2047500</v>
      </c>
      <c r="AJ283" s="106">
        <f t="shared" si="233"/>
        <v>2662000</v>
      </c>
    </row>
    <row r="284" spans="1:36" ht="15.75" customHeight="1">
      <c r="A284" s="23" t="s">
        <v>620</v>
      </c>
      <c r="B284" s="23">
        <v>0.52</v>
      </c>
      <c r="C284" s="478" t="s">
        <v>851</v>
      </c>
      <c r="D284" s="109">
        <v>234000</v>
      </c>
      <c r="E284" s="109">
        <v>112000</v>
      </c>
      <c r="F284" s="495"/>
      <c r="G284" s="598">
        <v>265000</v>
      </c>
      <c r="H284" s="535"/>
      <c r="I284" s="535"/>
      <c r="J284" s="400">
        <v>144000</v>
      </c>
      <c r="K284" s="394"/>
      <c r="L284" s="413"/>
      <c r="AA284" s="403" t="s">
        <v>838</v>
      </c>
      <c r="AB284" s="103"/>
      <c r="AC284" s="52" t="s">
        <v>139</v>
      </c>
      <c r="AD284" s="104"/>
      <c r="AE284" s="433">
        <f>ROUNDUP(((1374800*35%))+(1374800),-3)/4</f>
        <v>464000</v>
      </c>
      <c r="AF284" s="106">
        <f t="shared" si="229"/>
        <v>186000</v>
      </c>
      <c r="AG284" s="117">
        <f t="shared" si="230"/>
        <v>47000</v>
      </c>
      <c r="AH284" s="106">
        <f t="shared" si="231"/>
        <v>93000</v>
      </c>
      <c r="AI284" s="177">
        <f t="shared" si="232"/>
        <v>790000</v>
      </c>
      <c r="AJ284" s="106">
        <f t="shared" si="233"/>
        <v>1027000</v>
      </c>
    </row>
    <row r="285" spans="1:36" ht="15.75" customHeight="1" thickBot="1">
      <c r="A285" s="480" t="s">
        <v>625</v>
      </c>
      <c r="B285" s="480"/>
      <c r="C285" s="181"/>
      <c r="D285" s="175"/>
      <c r="E285" s="175"/>
      <c r="F285" s="387"/>
      <c r="G285" s="175"/>
      <c r="H285" s="388"/>
      <c r="I285" s="388"/>
      <c r="J285" s="175">
        <f>J284*$B$284</f>
        <v>74880</v>
      </c>
      <c r="L285" s="481"/>
      <c r="AA285" s="414" t="s">
        <v>839</v>
      </c>
      <c r="AB285" s="141"/>
      <c r="AC285" s="142" t="s">
        <v>139</v>
      </c>
      <c r="AD285" s="143"/>
      <c r="AE285" s="144">
        <f>ROUNDUP(((2224600*35%))+(2224600),-3)/4</f>
        <v>751000</v>
      </c>
      <c r="AF285" s="145">
        <f t="shared" si="229"/>
        <v>301000</v>
      </c>
      <c r="AG285" s="146">
        <f t="shared" si="230"/>
        <v>76000</v>
      </c>
      <c r="AH285" s="145">
        <f t="shared" si="231"/>
        <v>151000</v>
      </c>
      <c r="AI285" s="151">
        <f t="shared" si="232"/>
        <v>1279000</v>
      </c>
      <c r="AJ285" s="145">
        <f t="shared" si="233"/>
        <v>1663000</v>
      </c>
    </row>
    <row r="286" spans="1:36" ht="15.75" customHeight="1">
      <c r="A286" s="23" t="s">
        <v>13</v>
      </c>
      <c r="B286" s="23">
        <v>0.4</v>
      </c>
      <c r="C286" s="181"/>
      <c r="D286" s="482">
        <f>SUM(D284:D285)</f>
        <v>234000</v>
      </c>
      <c r="E286" s="482">
        <f>SUM(E284:E285)</f>
        <v>112000</v>
      </c>
      <c r="F286" s="387"/>
      <c r="G286" s="482">
        <f>SUM(G284:G285)</f>
        <v>265000</v>
      </c>
      <c r="H286" s="388"/>
      <c r="I286" s="388"/>
      <c r="J286" s="482">
        <f>SUM(J284:J285)</f>
        <v>218880</v>
      </c>
      <c r="L286" s="481"/>
    </row>
    <row r="287" spans="1:36" ht="15.75" customHeight="1" thickBot="1">
      <c r="A287" s="23" t="s">
        <v>208</v>
      </c>
      <c r="B287" s="23">
        <v>0.2</v>
      </c>
      <c r="C287" s="181"/>
      <c r="D287" s="175">
        <f>D286*$B$286</f>
        <v>93600</v>
      </c>
      <c r="E287" s="175">
        <f>E286*$B$286</f>
        <v>44800</v>
      </c>
      <c r="F287" s="387"/>
      <c r="G287" s="175">
        <f>G286*$B$286</f>
        <v>106000</v>
      </c>
      <c r="H287" s="388"/>
      <c r="I287" s="388"/>
      <c r="J287" s="175">
        <f>J286*$B$286</f>
        <v>87552</v>
      </c>
      <c r="L287" s="481"/>
    </row>
    <row r="288" spans="1:36" ht="15.75" customHeight="1">
      <c r="A288" s="259" t="s">
        <v>15</v>
      </c>
      <c r="B288" s="259"/>
      <c r="C288" s="181"/>
      <c r="D288" s="175">
        <f>D286*$B$287</f>
        <v>46800</v>
      </c>
      <c r="E288" s="175">
        <f>E286*$B$287</f>
        <v>22400</v>
      </c>
      <c r="F288" s="387"/>
      <c r="G288" s="175">
        <f>G286*$B$287</f>
        <v>53000</v>
      </c>
      <c r="H288" s="388"/>
      <c r="I288" s="388"/>
      <c r="J288" s="175">
        <f>J286*$B$287</f>
        <v>43776</v>
      </c>
      <c r="L288" s="481"/>
      <c r="AA288" s="498" t="s">
        <v>852</v>
      </c>
      <c r="AB288" s="16" t="s">
        <v>10</v>
      </c>
      <c r="AC288" s="17"/>
      <c r="AD288" s="18"/>
      <c r="AE288" s="19" t="s">
        <v>11</v>
      </c>
      <c r="AF288" s="20" t="s">
        <v>12</v>
      </c>
      <c r="AG288" s="24" t="s">
        <v>13</v>
      </c>
      <c r="AH288" s="22" t="s">
        <v>14</v>
      </c>
      <c r="AI288" s="25" t="s">
        <v>15</v>
      </c>
      <c r="AJ288" s="22" t="s">
        <v>16</v>
      </c>
    </row>
    <row r="289" spans="1:38" ht="15.75" customHeight="1" thickBot="1">
      <c r="A289" s="23" t="s">
        <v>215</v>
      </c>
      <c r="B289" s="23">
        <v>1.2</v>
      </c>
      <c r="C289" s="181"/>
      <c r="D289" s="486">
        <f>SUM(D286:D288)</f>
        <v>374400</v>
      </c>
      <c r="E289" s="486">
        <f>SUM(E286:E288)</f>
        <v>179200</v>
      </c>
      <c r="F289" s="387"/>
      <c r="G289" s="486">
        <f>SUM(G286:G288)</f>
        <v>424000</v>
      </c>
      <c r="H289" s="388"/>
      <c r="I289" s="388"/>
      <c r="J289" s="486">
        <f>SUM(J286:J288)</f>
        <v>350208</v>
      </c>
      <c r="L289" s="481"/>
      <c r="AA289" s="501"/>
      <c r="AB289" s="36"/>
      <c r="AC289" s="37"/>
      <c r="AD289" s="38"/>
      <c r="AE289" s="39" t="s">
        <v>22</v>
      </c>
      <c r="AF289" s="40"/>
      <c r="AG289" s="502"/>
      <c r="AH289" s="42" t="s">
        <v>29</v>
      </c>
      <c r="AI289" s="393"/>
      <c r="AJ289" s="42" t="s">
        <v>30</v>
      </c>
    </row>
    <row r="290" spans="1:38" ht="15.75" customHeight="1" thickBot="1">
      <c r="C290" s="183"/>
      <c r="D290" s="527">
        <f>ROUNDUP((D289*$B$249),-3)</f>
        <v>450000</v>
      </c>
      <c r="E290" s="527">
        <f>ROUNDUP((E289*$B$249),-3)</f>
        <v>216000</v>
      </c>
      <c r="F290" s="528"/>
      <c r="G290" s="527">
        <f>ROUNDUP((G289*$B$249),-3)</f>
        <v>509000</v>
      </c>
      <c r="H290" s="551"/>
      <c r="I290" s="551"/>
      <c r="J290" s="527">
        <f>ROUNDUP((J289*$B$249),-3)</f>
        <v>421000</v>
      </c>
      <c r="K290" s="170"/>
      <c r="L290" s="410"/>
      <c r="AA290" s="437" t="s">
        <v>853</v>
      </c>
      <c r="AB290" s="66"/>
      <c r="AC290" s="67" t="s">
        <v>75</v>
      </c>
      <c r="AD290" s="68"/>
      <c r="AE290" s="69">
        <f>ROUNDUP(((376200)*35%)+(376200),-3)</f>
        <v>508000</v>
      </c>
      <c r="AF290" s="70">
        <f t="shared" ref="AF290:AF348" si="235">ROUNDUP(AE290*$AL$300,-3)</f>
        <v>204000</v>
      </c>
      <c r="AG290" s="71">
        <f>ROUNDUP(AE290*$AL$301,-3)</f>
        <v>51000</v>
      </c>
      <c r="AH290" s="70">
        <f t="shared" ref="AH290:AH348" si="236">ROUNDUP(AE290*$AL$302,-3)</f>
        <v>102000</v>
      </c>
      <c r="AI290" s="75">
        <f t="shared" ref="AI290:AI348" si="237">SUM(AE290:AH290)</f>
        <v>865000</v>
      </c>
      <c r="AJ290" s="70">
        <f t="shared" ref="AJ290:AJ348" si="238">ROUNDUP(AI290*$AL$304,-3)</f>
        <v>1125000</v>
      </c>
    </row>
    <row r="291" spans="1:38" ht="15.75" customHeight="1" thickBot="1">
      <c r="F291" s="530"/>
      <c r="G291" s="530"/>
      <c r="H291" s="553"/>
      <c r="I291" s="553"/>
      <c r="J291" s="553"/>
      <c r="AA291" s="396" t="s">
        <v>853</v>
      </c>
      <c r="AB291" s="189"/>
      <c r="AC291" s="190" t="s">
        <v>59</v>
      </c>
      <c r="AD291" s="191"/>
      <c r="AE291" s="439">
        <f>ROUNDUP(((479600)*35%)+(376200),-3)</f>
        <v>545000</v>
      </c>
      <c r="AF291" s="114">
        <f t="shared" si="235"/>
        <v>218000</v>
      </c>
      <c r="AG291" s="113">
        <f t="shared" ref="AG291:AG348" si="239">ROUNDUP(AE291*$AL$301,-3)</f>
        <v>55000</v>
      </c>
      <c r="AH291" s="114">
        <f t="shared" si="236"/>
        <v>109000</v>
      </c>
      <c r="AI291" s="115">
        <f t="shared" si="237"/>
        <v>927000</v>
      </c>
      <c r="AJ291" s="114">
        <f t="shared" si="238"/>
        <v>1206000</v>
      </c>
    </row>
    <row r="292" spans="1:38" ht="15.75" customHeight="1">
      <c r="C292" s="16" t="s">
        <v>603</v>
      </c>
      <c r="D292" s="20" t="s">
        <v>604</v>
      </c>
      <c r="E292" s="17" t="s">
        <v>605</v>
      </c>
      <c r="F292" s="20" t="s">
        <v>606</v>
      </c>
      <c r="G292" s="20" t="s">
        <v>607</v>
      </c>
      <c r="H292" s="20" t="s">
        <v>608</v>
      </c>
      <c r="I292" s="227" t="s">
        <v>609</v>
      </c>
      <c r="J292" s="227" t="s">
        <v>610</v>
      </c>
      <c r="K292" s="227" t="s">
        <v>610</v>
      </c>
      <c r="L292" s="226" t="s">
        <v>611</v>
      </c>
      <c r="AA292" s="403" t="s">
        <v>854</v>
      </c>
      <c r="AB292" s="103"/>
      <c r="AC292" s="52" t="s">
        <v>59</v>
      </c>
      <c r="AD292" s="104"/>
      <c r="AE292" s="433">
        <f>ROUNDUP(((331100)*35%)+(331100),-3)</f>
        <v>447000</v>
      </c>
      <c r="AF292" s="106">
        <f t="shared" si="235"/>
        <v>179000</v>
      </c>
      <c r="AG292" s="117">
        <f t="shared" si="239"/>
        <v>45000</v>
      </c>
      <c r="AH292" s="106">
        <f t="shared" si="236"/>
        <v>90000</v>
      </c>
      <c r="AI292" s="177">
        <f t="shared" si="237"/>
        <v>761000</v>
      </c>
      <c r="AJ292" s="106">
        <f t="shared" si="238"/>
        <v>990000</v>
      </c>
    </row>
    <row r="293" spans="1:38" ht="15.75" customHeight="1" thickBot="1">
      <c r="C293" s="36"/>
      <c r="D293" s="40"/>
      <c r="E293" s="37"/>
      <c r="F293" s="40"/>
      <c r="G293" s="40"/>
      <c r="H293" s="40"/>
      <c r="I293" s="233" t="s">
        <v>615</v>
      </c>
      <c r="J293" s="233" t="s">
        <v>616</v>
      </c>
      <c r="K293" s="233" t="s">
        <v>617</v>
      </c>
      <c r="L293" s="232" t="s">
        <v>617</v>
      </c>
      <c r="AA293" s="403" t="s">
        <v>855</v>
      </c>
      <c r="AB293" s="103"/>
      <c r="AC293" s="52" t="s">
        <v>59</v>
      </c>
      <c r="AD293" s="104"/>
      <c r="AE293" s="433">
        <f>ROUNDUP(((441100)*35%)+(441100),-3)</f>
        <v>596000</v>
      </c>
      <c r="AF293" s="106">
        <f t="shared" si="235"/>
        <v>239000</v>
      </c>
      <c r="AG293" s="117">
        <f t="shared" si="239"/>
        <v>60000</v>
      </c>
      <c r="AH293" s="106">
        <f t="shared" si="236"/>
        <v>120000</v>
      </c>
      <c r="AI293" s="177">
        <f t="shared" si="237"/>
        <v>1015000</v>
      </c>
      <c r="AJ293" s="106">
        <f t="shared" si="238"/>
        <v>1320000</v>
      </c>
    </row>
    <row r="294" spans="1:38" ht="15.75" customHeight="1">
      <c r="A294" s="23" t="s">
        <v>620</v>
      </c>
      <c r="B294" s="23">
        <v>0.52</v>
      </c>
      <c r="C294" s="478" t="s">
        <v>856</v>
      </c>
      <c r="D294" s="109">
        <v>323000</v>
      </c>
      <c r="E294" s="109">
        <v>153000</v>
      </c>
      <c r="F294" s="495"/>
      <c r="G294" s="598">
        <v>327000</v>
      </c>
      <c r="H294" s="535"/>
      <c r="I294" s="535"/>
      <c r="J294" s="400">
        <v>180000</v>
      </c>
      <c r="K294" s="495"/>
      <c r="L294" s="496"/>
      <c r="M294" s="497"/>
      <c r="N294" s="497"/>
      <c r="O294" s="497"/>
      <c r="P294" s="497"/>
      <c r="Q294" s="497"/>
      <c r="R294" s="23"/>
      <c r="AA294" s="403" t="s">
        <v>857</v>
      </c>
      <c r="AB294" s="103"/>
      <c r="AC294" s="52" t="s">
        <v>59</v>
      </c>
      <c r="AD294" s="104"/>
      <c r="AE294" s="433">
        <f>ROUNDUP(((620400)*35%)+(620400),-3)</f>
        <v>838000</v>
      </c>
      <c r="AF294" s="106">
        <f t="shared" si="235"/>
        <v>336000</v>
      </c>
      <c r="AG294" s="117">
        <f t="shared" si="239"/>
        <v>84000</v>
      </c>
      <c r="AH294" s="106">
        <f t="shared" si="236"/>
        <v>168000</v>
      </c>
      <c r="AI294" s="177">
        <f t="shared" si="237"/>
        <v>1426000</v>
      </c>
      <c r="AJ294" s="106">
        <f t="shared" si="238"/>
        <v>1854000</v>
      </c>
    </row>
    <row r="295" spans="1:38" ht="15.75" customHeight="1" thickBot="1">
      <c r="A295" s="480" t="s">
        <v>625</v>
      </c>
      <c r="B295" s="480"/>
      <c r="C295" s="181"/>
      <c r="D295" s="175"/>
      <c r="E295" s="175"/>
      <c r="F295" s="387"/>
      <c r="G295" s="175"/>
      <c r="H295" s="388"/>
      <c r="I295" s="388"/>
      <c r="J295" s="175">
        <f>J294*$B$294</f>
        <v>93600</v>
      </c>
      <c r="K295" s="387"/>
      <c r="L295" s="500"/>
      <c r="M295" s="497"/>
      <c r="N295" s="497"/>
      <c r="O295" s="497"/>
      <c r="P295" s="497"/>
      <c r="Q295" s="497"/>
      <c r="R295" s="23"/>
      <c r="AA295" s="414" t="s">
        <v>858</v>
      </c>
      <c r="AB295" s="141"/>
      <c r="AC295" s="142" t="s">
        <v>59</v>
      </c>
      <c r="AD295" s="143"/>
      <c r="AE295" s="144">
        <f>ROUNDUP(((638000)*35%)+(638000),-3)</f>
        <v>862000</v>
      </c>
      <c r="AF295" s="145">
        <f t="shared" si="235"/>
        <v>345000</v>
      </c>
      <c r="AG295" s="146">
        <f t="shared" si="239"/>
        <v>87000</v>
      </c>
      <c r="AH295" s="145">
        <f t="shared" si="236"/>
        <v>173000</v>
      </c>
      <c r="AI295" s="151">
        <f t="shared" si="237"/>
        <v>1467000</v>
      </c>
      <c r="AJ295" s="145">
        <f t="shared" si="238"/>
        <v>1908000</v>
      </c>
    </row>
    <row r="296" spans="1:38" ht="15.75" customHeight="1">
      <c r="A296" s="23" t="s">
        <v>13</v>
      </c>
      <c r="B296" s="23">
        <v>0.4</v>
      </c>
      <c r="C296" s="181"/>
      <c r="D296" s="482">
        <f>SUM(D294:D295)</f>
        <v>323000</v>
      </c>
      <c r="E296" s="482">
        <f>SUM(E294:E295)</f>
        <v>153000</v>
      </c>
      <c r="F296" s="387"/>
      <c r="G296" s="482">
        <f>SUM(G294:G295)</f>
        <v>327000</v>
      </c>
      <c r="H296" s="388"/>
      <c r="I296" s="388"/>
      <c r="J296" s="482">
        <f>SUM(J294:J295)</f>
        <v>273600</v>
      </c>
      <c r="K296" s="387"/>
      <c r="L296" s="500"/>
      <c r="M296" s="497"/>
      <c r="N296" s="497"/>
      <c r="O296" s="497"/>
      <c r="P296" s="497"/>
      <c r="Q296" s="497"/>
      <c r="R296" s="23"/>
      <c r="AA296" s="396" t="s">
        <v>853</v>
      </c>
      <c r="AB296" s="189"/>
      <c r="AC296" s="190" t="s">
        <v>125</v>
      </c>
      <c r="AD296" s="191"/>
      <c r="AE296" s="439">
        <f>ROUNDUP(((500500)*35%)+(500500),-3)</f>
        <v>676000</v>
      </c>
      <c r="AF296" s="114">
        <f t="shared" si="235"/>
        <v>271000</v>
      </c>
      <c r="AG296" s="113">
        <f t="shared" si="239"/>
        <v>68000</v>
      </c>
      <c r="AH296" s="114">
        <f t="shared" si="236"/>
        <v>136000</v>
      </c>
      <c r="AI296" s="115">
        <f t="shared" si="237"/>
        <v>1151000</v>
      </c>
      <c r="AJ296" s="114">
        <f t="shared" si="238"/>
        <v>1497000</v>
      </c>
    </row>
    <row r="297" spans="1:38" ht="15.75" customHeight="1">
      <c r="A297" s="23" t="s">
        <v>208</v>
      </c>
      <c r="B297" s="23">
        <v>0.2</v>
      </c>
      <c r="C297" s="181"/>
      <c r="D297" s="175">
        <f>D296*$B$296</f>
        <v>129200</v>
      </c>
      <c r="E297" s="175">
        <f>E296*$B$296</f>
        <v>61200</v>
      </c>
      <c r="F297" s="387"/>
      <c r="G297" s="175">
        <f>G296*$B$296</f>
        <v>130800</v>
      </c>
      <c r="H297" s="388"/>
      <c r="I297" s="388"/>
      <c r="J297" s="175">
        <f>J296*$B$296</f>
        <v>109440</v>
      </c>
      <c r="K297" s="387"/>
      <c r="L297" s="500"/>
      <c r="M297" s="497"/>
      <c r="N297" s="497"/>
      <c r="O297" s="497"/>
      <c r="P297" s="497"/>
      <c r="Q297" s="497"/>
      <c r="R297" s="23"/>
      <c r="AA297" s="403" t="s">
        <v>854</v>
      </c>
      <c r="AB297" s="103"/>
      <c r="AC297" s="52" t="s">
        <v>125</v>
      </c>
      <c r="AD297" s="104"/>
      <c r="AE297" s="433">
        <f>ROUNDUP(((348700)*35%)+(348700),-3)</f>
        <v>471000</v>
      </c>
      <c r="AF297" s="106">
        <f t="shared" si="235"/>
        <v>189000</v>
      </c>
      <c r="AG297" s="117">
        <f t="shared" si="239"/>
        <v>48000</v>
      </c>
      <c r="AH297" s="106">
        <f t="shared" si="236"/>
        <v>95000</v>
      </c>
      <c r="AI297" s="177">
        <f t="shared" si="237"/>
        <v>803000</v>
      </c>
      <c r="AJ297" s="106">
        <f t="shared" si="238"/>
        <v>1044000</v>
      </c>
    </row>
    <row r="298" spans="1:38" ht="15.75" customHeight="1">
      <c r="A298" s="259" t="s">
        <v>15</v>
      </c>
      <c r="B298" s="259"/>
      <c r="C298" s="181"/>
      <c r="D298" s="175">
        <f>D296*$B$297</f>
        <v>64600</v>
      </c>
      <c r="E298" s="175">
        <f>E296*$B$297</f>
        <v>30600</v>
      </c>
      <c r="F298" s="387"/>
      <c r="G298" s="175">
        <f>G296*$B$297</f>
        <v>65400</v>
      </c>
      <c r="H298" s="388"/>
      <c r="I298" s="388"/>
      <c r="J298" s="175">
        <f>J296*$B$297</f>
        <v>54720</v>
      </c>
      <c r="K298" s="387"/>
      <c r="L298" s="500"/>
      <c r="M298" s="497"/>
      <c r="N298" s="497"/>
      <c r="O298" s="497"/>
      <c r="P298" s="497"/>
      <c r="Q298" s="497"/>
      <c r="R298" s="23"/>
      <c r="AA298" s="403" t="s">
        <v>855</v>
      </c>
      <c r="AB298" s="103"/>
      <c r="AC298" s="52" t="s">
        <v>125</v>
      </c>
      <c r="AD298" s="104"/>
      <c r="AE298" s="433">
        <f>ROUNDUP(((444400)*35%)+(444400),-3)</f>
        <v>600000</v>
      </c>
      <c r="AF298" s="106">
        <f t="shared" si="235"/>
        <v>240000</v>
      </c>
      <c r="AG298" s="117">
        <f t="shared" si="239"/>
        <v>60000</v>
      </c>
      <c r="AH298" s="106">
        <f t="shared" si="236"/>
        <v>120000</v>
      </c>
      <c r="AI298" s="177">
        <f t="shared" si="237"/>
        <v>1020000</v>
      </c>
      <c r="AJ298" s="106">
        <f t="shared" si="238"/>
        <v>1326000</v>
      </c>
    </row>
    <row r="299" spans="1:38" ht="15.75" customHeight="1">
      <c r="A299" s="23" t="s">
        <v>215</v>
      </c>
      <c r="B299" s="23">
        <v>1.2</v>
      </c>
      <c r="C299" s="181"/>
      <c r="D299" s="486">
        <f>SUM(D296:D298)</f>
        <v>516800</v>
      </c>
      <c r="E299" s="486">
        <f>SUM(E296:E298)</f>
        <v>244800</v>
      </c>
      <c r="F299" s="387"/>
      <c r="G299" s="486">
        <f>SUM(G296:G298)</f>
        <v>523200</v>
      </c>
      <c r="H299" s="388"/>
      <c r="I299" s="388"/>
      <c r="J299" s="486">
        <f>SUM(J296:J298)</f>
        <v>437760</v>
      </c>
      <c r="K299" s="387"/>
      <c r="L299" s="500"/>
      <c r="M299" s="497"/>
      <c r="N299" s="497"/>
      <c r="O299" s="497"/>
      <c r="P299" s="497"/>
      <c r="Q299" s="497"/>
      <c r="R299" s="23"/>
      <c r="AA299" s="403" t="s">
        <v>857</v>
      </c>
      <c r="AB299" s="103"/>
      <c r="AC299" s="52" t="s">
        <v>125</v>
      </c>
      <c r="AD299" s="104"/>
      <c r="AE299" s="433">
        <f>ROUNDUP(((632500)*35%)+(632500),-3)</f>
        <v>854000</v>
      </c>
      <c r="AF299" s="106">
        <f t="shared" si="235"/>
        <v>342000</v>
      </c>
      <c r="AG299" s="117">
        <f t="shared" si="239"/>
        <v>86000</v>
      </c>
      <c r="AH299" s="106">
        <f t="shared" si="236"/>
        <v>171000</v>
      </c>
      <c r="AI299" s="177">
        <f t="shared" si="237"/>
        <v>1453000</v>
      </c>
      <c r="AJ299" s="106">
        <f t="shared" si="238"/>
        <v>1889000</v>
      </c>
    </row>
    <row r="300" spans="1:38" ht="15.75" customHeight="1" thickBot="1">
      <c r="C300" s="183"/>
      <c r="D300" s="527">
        <f>ROUNDUP((D299*$B$249),-3)</f>
        <v>621000</v>
      </c>
      <c r="E300" s="527">
        <f>ROUNDUP((E299*$B$249),-3)</f>
        <v>294000</v>
      </c>
      <c r="F300" s="528"/>
      <c r="G300" s="527">
        <f>ROUNDUP((G299*$B$249),-3)</f>
        <v>628000</v>
      </c>
      <c r="H300" s="551"/>
      <c r="I300" s="551"/>
      <c r="J300" s="527">
        <f>ROUNDUP((J299*$B$249),-3)</f>
        <v>526000</v>
      </c>
      <c r="K300" s="528"/>
      <c r="L300" s="529"/>
      <c r="M300" s="497"/>
      <c r="N300" s="497"/>
      <c r="O300" s="497"/>
      <c r="P300" s="497"/>
      <c r="Q300" s="497"/>
      <c r="R300" s="23"/>
      <c r="AA300" s="414" t="s">
        <v>858</v>
      </c>
      <c r="AB300" s="141"/>
      <c r="AC300" s="142" t="s">
        <v>125</v>
      </c>
      <c r="AD300" s="143"/>
      <c r="AE300" s="144">
        <f>ROUNDUP(((650100)*35%)+(650100),-3)</f>
        <v>878000</v>
      </c>
      <c r="AF300" s="145">
        <f t="shared" si="235"/>
        <v>352000</v>
      </c>
      <c r="AG300" s="146">
        <f t="shared" si="239"/>
        <v>88000</v>
      </c>
      <c r="AH300" s="145">
        <f t="shared" si="236"/>
        <v>176000</v>
      </c>
      <c r="AI300" s="151">
        <f t="shared" si="237"/>
        <v>1494000</v>
      </c>
      <c r="AJ300" s="145">
        <f t="shared" si="238"/>
        <v>1943000</v>
      </c>
      <c r="AL300" s="23">
        <v>0.4</v>
      </c>
    </row>
    <row r="301" spans="1:38" ht="15.75" customHeight="1" thickBot="1">
      <c r="F301" s="530"/>
      <c r="G301" s="530"/>
      <c r="H301" s="553"/>
      <c r="I301" s="553"/>
      <c r="J301" s="553"/>
      <c r="K301" s="553"/>
      <c r="L301" s="553"/>
      <c r="M301" s="497"/>
      <c r="N301" s="497"/>
      <c r="O301" s="497"/>
      <c r="P301" s="497"/>
      <c r="Q301" s="497"/>
      <c r="R301" s="23"/>
      <c r="AA301" s="396" t="s">
        <v>853</v>
      </c>
      <c r="AB301" s="189"/>
      <c r="AC301" s="190" t="s">
        <v>40</v>
      </c>
      <c r="AD301" s="191"/>
      <c r="AE301" s="439">
        <f>ROUNDUP(((614900)*35%)+(614900),-3)</f>
        <v>831000</v>
      </c>
      <c r="AF301" s="114">
        <f t="shared" si="235"/>
        <v>333000</v>
      </c>
      <c r="AG301" s="113">
        <f t="shared" si="239"/>
        <v>84000</v>
      </c>
      <c r="AH301" s="114">
        <f t="shared" si="236"/>
        <v>167000</v>
      </c>
      <c r="AI301" s="115">
        <f t="shared" si="237"/>
        <v>1415000</v>
      </c>
      <c r="AJ301" s="114">
        <f t="shared" si="238"/>
        <v>1840000</v>
      </c>
      <c r="AL301" s="23">
        <v>0.1</v>
      </c>
    </row>
    <row r="302" spans="1:38" ht="15.75" customHeight="1">
      <c r="C302" s="20" t="s">
        <v>603</v>
      </c>
      <c r="D302" s="20" t="s">
        <v>604</v>
      </c>
      <c r="E302" s="17" t="s">
        <v>605</v>
      </c>
      <c r="F302" s="20" t="s">
        <v>606</v>
      </c>
      <c r="G302" s="20" t="s">
        <v>607</v>
      </c>
      <c r="H302" s="20" t="s">
        <v>608</v>
      </c>
      <c r="I302" s="227" t="s">
        <v>609</v>
      </c>
      <c r="J302" s="227" t="s">
        <v>610</v>
      </c>
      <c r="K302" s="227" t="s">
        <v>610</v>
      </c>
      <c r="L302" s="226" t="s">
        <v>611</v>
      </c>
      <c r="M302" s="497"/>
      <c r="N302" s="497"/>
      <c r="O302" s="497"/>
      <c r="P302" s="497"/>
      <c r="Q302" s="497"/>
      <c r="R302" s="23"/>
      <c r="AA302" s="403" t="s">
        <v>854</v>
      </c>
      <c r="AB302" s="103"/>
      <c r="AC302" s="52" t="s">
        <v>40</v>
      </c>
      <c r="AD302" s="104"/>
      <c r="AE302" s="433">
        <f>ROUNDUP(((423500)*35%)+(423500),-3)</f>
        <v>572000</v>
      </c>
      <c r="AF302" s="106">
        <f t="shared" si="235"/>
        <v>229000</v>
      </c>
      <c r="AG302" s="117">
        <f t="shared" si="239"/>
        <v>58000</v>
      </c>
      <c r="AH302" s="106">
        <f t="shared" si="236"/>
        <v>115000</v>
      </c>
      <c r="AI302" s="177">
        <f t="shared" si="237"/>
        <v>974000</v>
      </c>
      <c r="AJ302" s="106">
        <f t="shared" si="238"/>
        <v>1267000</v>
      </c>
      <c r="AL302" s="23">
        <v>0.2</v>
      </c>
    </row>
    <row r="303" spans="1:38" ht="15.75" customHeight="1" thickBot="1">
      <c r="C303" s="40"/>
      <c r="D303" s="40"/>
      <c r="E303" s="37"/>
      <c r="F303" s="40"/>
      <c r="G303" s="40"/>
      <c r="H303" s="40"/>
      <c r="I303" s="233" t="s">
        <v>615</v>
      </c>
      <c r="J303" s="233" t="s">
        <v>616</v>
      </c>
      <c r="K303" s="233" t="s">
        <v>617</v>
      </c>
      <c r="L303" s="232" t="s">
        <v>617</v>
      </c>
      <c r="M303" s="497"/>
      <c r="N303" s="497"/>
      <c r="O303" s="497"/>
      <c r="P303" s="497"/>
      <c r="Q303" s="497"/>
      <c r="R303" s="23"/>
      <c r="AA303" s="403" t="s">
        <v>855</v>
      </c>
      <c r="AB303" s="103"/>
      <c r="AC303" s="52" t="s">
        <v>40</v>
      </c>
      <c r="AD303" s="104"/>
      <c r="AE303" s="433">
        <f>ROUNDUP(((539000)*35%)+(539000),-3)</f>
        <v>728000</v>
      </c>
      <c r="AF303" s="106">
        <f t="shared" si="235"/>
        <v>292000</v>
      </c>
      <c r="AG303" s="117">
        <f t="shared" si="239"/>
        <v>73000</v>
      </c>
      <c r="AH303" s="106">
        <f t="shared" si="236"/>
        <v>146000</v>
      </c>
      <c r="AI303" s="177">
        <f t="shared" si="237"/>
        <v>1239000</v>
      </c>
      <c r="AJ303" s="106">
        <f t="shared" si="238"/>
        <v>1611000</v>
      </c>
    </row>
    <row r="304" spans="1:38" ht="15.75" customHeight="1">
      <c r="A304" s="23" t="s">
        <v>620</v>
      </c>
      <c r="B304" s="23">
        <v>0.52</v>
      </c>
      <c r="C304" s="607" t="s">
        <v>859</v>
      </c>
      <c r="D304" s="109">
        <v>406000</v>
      </c>
      <c r="E304" s="109">
        <v>192000</v>
      </c>
      <c r="F304" s="495"/>
      <c r="G304" s="598">
        <v>410500</v>
      </c>
      <c r="H304" s="535"/>
      <c r="I304" s="535"/>
      <c r="J304" s="400">
        <v>212000</v>
      </c>
      <c r="K304" s="394"/>
      <c r="L304" s="413"/>
      <c r="M304" s="537"/>
      <c r="N304" s="537"/>
      <c r="O304" s="537"/>
      <c r="P304" s="537"/>
      <c r="Q304" s="537"/>
      <c r="R304" s="23"/>
      <c r="AA304" s="403" t="s">
        <v>857</v>
      </c>
      <c r="AB304" s="103"/>
      <c r="AC304" s="52" t="s">
        <v>40</v>
      </c>
      <c r="AD304" s="104"/>
      <c r="AE304" s="433">
        <f>ROUNDUP(((660000)*35%)+(660000),-3)</f>
        <v>891000</v>
      </c>
      <c r="AF304" s="106">
        <f t="shared" si="235"/>
        <v>357000</v>
      </c>
      <c r="AG304" s="117">
        <f t="shared" si="239"/>
        <v>90000</v>
      </c>
      <c r="AH304" s="106">
        <f t="shared" si="236"/>
        <v>179000</v>
      </c>
      <c r="AI304" s="177">
        <f t="shared" si="237"/>
        <v>1517000</v>
      </c>
      <c r="AJ304" s="106">
        <f t="shared" si="238"/>
        <v>1973000</v>
      </c>
      <c r="AL304" s="23">
        <v>1.3</v>
      </c>
    </row>
    <row r="305" spans="1:38" ht="15.75" customHeight="1" thickBot="1">
      <c r="A305" s="480" t="s">
        <v>625</v>
      </c>
      <c r="B305" s="480"/>
      <c r="C305" s="175"/>
      <c r="D305" s="175"/>
      <c r="E305" s="175"/>
      <c r="F305" s="387"/>
      <c r="G305" s="175"/>
      <c r="H305" s="388"/>
      <c r="I305" s="388"/>
      <c r="J305" s="175">
        <f>J304*$B$304</f>
        <v>110240</v>
      </c>
      <c r="K305" s="388"/>
      <c r="L305" s="539"/>
      <c r="M305" s="537"/>
      <c r="N305" s="537"/>
      <c r="O305" s="537"/>
      <c r="P305" s="537"/>
      <c r="Q305" s="537"/>
      <c r="R305" s="23"/>
      <c r="AA305" s="414" t="s">
        <v>858</v>
      </c>
      <c r="AB305" s="141"/>
      <c r="AC305" s="142" t="s">
        <v>40</v>
      </c>
      <c r="AD305" s="143"/>
      <c r="AE305" s="144">
        <f>ROUNDUP(((689700)*35%)+(689700),-3)</f>
        <v>932000</v>
      </c>
      <c r="AF305" s="145">
        <f t="shared" si="235"/>
        <v>373000</v>
      </c>
      <c r="AG305" s="146">
        <f t="shared" si="239"/>
        <v>94000</v>
      </c>
      <c r="AH305" s="145">
        <f t="shared" si="236"/>
        <v>187000</v>
      </c>
      <c r="AI305" s="151">
        <f t="shared" si="237"/>
        <v>1586000</v>
      </c>
      <c r="AJ305" s="145">
        <f t="shared" si="238"/>
        <v>2062000</v>
      </c>
    </row>
    <row r="306" spans="1:38" ht="15.75" customHeight="1">
      <c r="A306" s="23" t="s">
        <v>13</v>
      </c>
      <c r="B306" s="23">
        <v>0.4</v>
      </c>
      <c r="C306" s="175"/>
      <c r="D306" s="482">
        <f>SUM(D304:D305)</f>
        <v>406000</v>
      </c>
      <c r="E306" s="482">
        <f>SUM(E304:E305)</f>
        <v>192000</v>
      </c>
      <c r="F306" s="387"/>
      <c r="G306" s="482">
        <f>SUM(G304:G305)</f>
        <v>410500</v>
      </c>
      <c r="H306" s="388"/>
      <c r="I306" s="388"/>
      <c r="J306" s="482">
        <f>SUM(J304:J305)</f>
        <v>322240</v>
      </c>
      <c r="K306" s="388"/>
      <c r="L306" s="539"/>
      <c r="M306" s="537"/>
      <c r="N306" s="537"/>
      <c r="O306" s="537"/>
      <c r="P306" s="537"/>
      <c r="Q306" s="537"/>
      <c r="R306" s="23"/>
      <c r="AA306" s="396" t="s">
        <v>854</v>
      </c>
      <c r="AB306" s="189"/>
      <c r="AC306" s="190" t="s">
        <v>57</v>
      </c>
      <c r="AD306" s="191"/>
      <c r="AE306" s="439">
        <f>ROUNDUP(((492800)*35%)+(492800),-3)</f>
        <v>666000</v>
      </c>
      <c r="AF306" s="114">
        <f t="shared" si="235"/>
        <v>267000</v>
      </c>
      <c r="AG306" s="113">
        <f t="shared" si="239"/>
        <v>67000</v>
      </c>
      <c r="AH306" s="114">
        <f t="shared" si="236"/>
        <v>134000</v>
      </c>
      <c r="AI306" s="115">
        <f t="shared" si="237"/>
        <v>1134000</v>
      </c>
      <c r="AJ306" s="114">
        <f t="shared" si="238"/>
        <v>1475000</v>
      </c>
    </row>
    <row r="307" spans="1:38" ht="15.75" customHeight="1">
      <c r="A307" s="23" t="s">
        <v>208</v>
      </c>
      <c r="B307" s="23">
        <v>0.2</v>
      </c>
      <c r="C307" s="175"/>
      <c r="D307" s="175">
        <f>D306*$B$306</f>
        <v>162400</v>
      </c>
      <c r="E307" s="175">
        <f>E306*$B$306</f>
        <v>76800</v>
      </c>
      <c r="F307" s="387"/>
      <c r="G307" s="175">
        <f>G306*$B$306</f>
        <v>164200</v>
      </c>
      <c r="H307" s="388"/>
      <c r="I307" s="388"/>
      <c r="J307" s="175">
        <f>J306*$B$306</f>
        <v>128896</v>
      </c>
      <c r="K307" s="388"/>
      <c r="L307" s="539"/>
      <c r="M307" s="537"/>
      <c r="N307" s="537"/>
      <c r="O307" s="537"/>
      <c r="P307" s="537"/>
      <c r="Q307" s="537"/>
      <c r="R307" s="23"/>
      <c r="AA307" s="403" t="s">
        <v>855</v>
      </c>
      <c r="AB307" s="103"/>
      <c r="AC307" s="52" t="s">
        <v>57</v>
      </c>
      <c r="AD307" s="104"/>
      <c r="AE307" s="433">
        <f>ROUNDUP(((605000)*35%)+(605000),-3)</f>
        <v>817000</v>
      </c>
      <c r="AF307" s="106">
        <f t="shared" si="235"/>
        <v>327000</v>
      </c>
      <c r="AG307" s="117">
        <f t="shared" si="239"/>
        <v>82000</v>
      </c>
      <c r="AH307" s="106">
        <f t="shared" si="236"/>
        <v>164000</v>
      </c>
      <c r="AI307" s="177">
        <f t="shared" si="237"/>
        <v>1390000</v>
      </c>
      <c r="AJ307" s="106">
        <f t="shared" si="238"/>
        <v>1807000</v>
      </c>
    </row>
    <row r="308" spans="1:38" ht="15.75" customHeight="1">
      <c r="A308" s="259" t="s">
        <v>15</v>
      </c>
      <c r="B308" s="259"/>
      <c r="C308" s="175"/>
      <c r="D308" s="175">
        <f>D306*$B$307</f>
        <v>81200</v>
      </c>
      <c r="E308" s="175">
        <f>E306*$B$307</f>
        <v>38400</v>
      </c>
      <c r="F308" s="387"/>
      <c r="G308" s="175">
        <f>G306*$B$307</f>
        <v>82100</v>
      </c>
      <c r="H308" s="388"/>
      <c r="I308" s="388"/>
      <c r="J308" s="175">
        <f>J306*$B$307</f>
        <v>64448</v>
      </c>
      <c r="K308" s="388"/>
      <c r="L308" s="539"/>
      <c r="M308" s="537"/>
      <c r="N308" s="537"/>
      <c r="O308" s="537"/>
      <c r="P308" s="537"/>
      <c r="Q308" s="537"/>
      <c r="R308" s="23"/>
      <c r="AA308" s="403" t="s">
        <v>857</v>
      </c>
      <c r="AB308" s="103"/>
      <c r="AC308" s="52" t="s">
        <v>57</v>
      </c>
      <c r="AD308" s="104"/>
      <c r="AE308" s="433">
        <f>ROUNDUP(((816200)*35%)+(816200),-3)</f>
        <v>1102000</v>
      </c>
      <c r="AF308" s="106">
        <f t="shared" si="235"/>
        <v>441000</v>
      </c>
      <c r="AG308" s="117">
        <f t="shared" si="239"/>
        <v>111000</v>
      </c>
      <c r="AH308" s="106">
        <f t="shared" si="236"/>
        <v>221000</v>
      </c>
      <c r="AI308" s="177">
        <f t="shared" si="237"/>
        <v>1875000</v>
      </c>
      <c r="AJ308" s="106">
        <f t="shared" si="238"/>
        <v>2438000</v>
      </c>
    </row>
    <row r="309" spans="1:38" ht="15.75" customHeight="1" thickBot="1">
      <c r="A309" s="23" t="s">
        <v>215</v>
      </c>
      <c r="B309" s="23">
        <v>1.2</v>
      </c>
      <c r="C309" s="175"/>
      <c r="D309" s="486">
        <f>SUM(D306:D308)</f>
        <v>649600</v>
      </c>
      <c r="E309" s="486">
        <f>SUM(E306:E308)</f>
        <v>307200</v>
      </c>
      <c r="F309" s="387"/>
      <c r="G309" s="486">
        <f>SUM(G306:G308)</f>
        <v>656800</v>
      </c>
      <c r="H309" s="388"/>
      <c r="I309" s="388"/>
      <c r="J309" s="486">
        <f>SUM(J306:J308)</f>
        <v>515584</v>
      </c>
      <c r="K309" s="388"/>
      <c r="L309" s="539"/>
      <c r="M309" s="537"/>
      <c r="N309" s="537"/>
      <c r="O309" s="537"/>
      <c r="P309" s="537"/>
      <c r="Q309" s="537"/>
      <c r="R309" s="23"/>
      <c r="AA309" s="414" t="s">
        <v>858</v>
      </c>
      <c r="AB309" s="141"/>
      <c r="AC309" s="142" t="s">
        <v>57</v>
      </c>
      <c r="AD309" s="143"/>
      <c r="AE309" s="144">
        <f>ROUNDUP(((866800)*35%)+(866800),-3)</f>
        <v>1171000</v>
      </c>
      <c r="AF309" s="145">
        <f t="shared" si="235"/>
        <v>469000</v>
      </c>
      <c r="AG309" s="146">
        <f t="shared" si="239"/>
        <v>118000</v>
      </c>
      <c r="AH309" s="145">
        <f t="shared" si="236"/>
        <v>235000</v>
      </c>
      <c r="AI309" s="151">
        <f t="shared" si="237"/>
        <v>1993000</v>
      </c>
      <c r="AJ309" s="145">
        <f t="shared" si="238"/>
        <v>2591000</v>
      </c>
    </row>
    <row r="310" spans="1:38" ht="15.75" customHeight="1" thickBot="1">
      <c r="C310" s="148"/>
      <c r="D310" s="527">
        <f>ROUNDUP((D309*$B$249),-3)</f>
        <v>780000</v>
      </c>
      <c r="E310" s="527">
        <f>ROUNDUP((E309*$B$249),-3)</f>
        <v>369000</v>
      </c>
      <c r="F310" s="528"/>
      <c r="G310" s="527">
        <f>ROUNDUP((G309*$B$249),-3)</f>
        <v>789000</v>
      </c>
      <c r="H310" s="551"/>
      <c r="I310" s="551"/>
      <c r="J310" s="527">
        <f>ROUNDUP((J309*$B$249),-3)</f>
        <v>619000</v>
      </c>
      <c r="K310" s="551"/>
      <c r="L310" s="552"/>
      <c r="M310" s="537"/>
      <c r="N310" s="537"/>
      <c r="O310" s="537"/>
      <c r="P310" s="537"/>
      <c r="Q310" s="537"/>
      <c r="R310" s="23"/>
      <c r="AA310" s="396" t="s">
        <v>854</v>
      </c>
      <c r="AB310" s="189"/>
      <c r="AC310" s="190" t="s">
        <v>77</v>
      </c>
      <c r="AD310" s="191"/>
      <c r="AE310" s="439">
        <f>ROUNDUP(((562100)*35%)+(562100),-3)</f>
        <v>759000</v>
      </c>
      <c r="AF310" s="114">
        <f t="shared" si="235"/>
        <v>304000</v>
      </c>
      <c r="AG310" s="113">
        <f t="shared" si="239"/>
        <v>76000</v>
      </c>
      <c r="AH310" s="114">
        <f t="shared" si="236"/>
        <v>152000</v>
      </c>
      <c r="AI310" s="115">
        <f t="shared" si="237"/>
        <v>1291000</v>
      </c>
      <c r="AJ310" s="114">
        <f t="shared" si="238"/>
        <v>1679000</v>
      </c>
    </row>
    <row r="311" spans="1:38" ht="15.75" customHeight="1" thickBot="1">
      <c r="D311" s="5"/>
      <c r="E311" s="5"/>
      <c r="F311" s="387"/>
      <c r="G311" s="5"/>
      <c r="H311" s="388"/>
      <c r="I311" s="388"/>
      <c r="J311" s="5"/>
      <c r="K311" s="388"/>
      <c r="L311" s="388"/>
      <c r="M311" s="537"/>
      <c r="N311" s="537"/>
      <c r="O311" s="537"/>
      <c r="P311" s="537"/>
      <c r="Q311" s="537"/>
      <c r="R311" s="23"/>
      <c r="AA311" s="403"/>
      <c r="AB311" s="103"/>
      <c r="AC311" s="52"/>
      <c r="AD311" s="104"/>
      <c r="AE311" s="433"/>
      <c r="AF311" s="106"/>
      <c r="AG311" s="117"/>
      <c r="AH311" s="106"/>
      <c r="AI311" s="177"/>
      <c r="AJ311" s="106"/>
    </row>
    <row r="312" spans="1:38" ht="15.75" customHeight="1">
      <c r="C312" s="20" t="s">
        <v>603</v>
      </c>
      <c r="D312" s="20" t="s">
        <v>604</v>
      </c>
      <c r="E312" s="17" t="s">
        <v>605</v>
      </c>
      <c r="F312" s="20" t="s">
        <v>606</v>
      </c>
      <c r="G312" s="20" t="s">
        <v>607</v>
      </c>
      <c r="H312" s="20" t="s">
        <v>608</v>
      </c>
      <c r="I312" s="227" t="s">
        <v>609</v>
      </c>
      <c r="J312" s="227" t="s">
        <v>610</v>
      </c>
      <c r="K312" s="227" t="s">
        <v>610</v>
      </c>
      <c r="L312" s="226" t="s">
        <v>611</v>
      </c>
      <c r="M312" s="497"/>
      <c r="N312" s="497"/>
      <c r="O312" s="497"/>
      <c r="P312" s="497"/>
      <c r="Q312" s="497"/>
      <c r="R312" s="23"/>
      <c r="AA312" s="403" t="s">
        <v>854</v>
      </c>
      <c r="AB312" s="103"/>
      <c r="AC312" s="52" t="s">
        <v>40</v>
      </c>
      <c r="AD312" s="104"/>
      <c r="AE312" s="433">
        <f>ROUNDUP(((423500)*35%)+(423500),-3)</f>
        <v>572000</v>
      </c>
      <c r="AF312" s="106">
        <f t="shared" ref="AF312:AF320" si="240">ROUNDUP(AE312*$AL$300,-3)</f>
        <v>229000</v>
      </c>
      <c r="AG312" s="117">
        <f t="shared" ref="AG312:AG320" si="241">ROUNDUP(AE312*$AL$301,-3)</f>
        <v>58000</v>
      </c>
      <c r="AH312" s="106">
        <f t="shared" ref="AH312:AH320" si="242">ROUNDUP(AE312*$AL$302,-3)</f>
        <v>115000</v>
      </c>
      <c r="AI312" s="177">
        <f t="shared" ref="AI312:AI320" si="243">SUM(AE312:AH312)</f>
        <v>974000</v>
      </c>
      <c r="AJ312" s="106">
        <f t="shared" ref="AJ312:AJ320" si="244">ROUNDUP(AI312*$AL$304,-3)</f>
        <v>1267000</v>
      </c>
      <c r="AL312" s="23">
        <v>0.2</v>
      </c>
    </row>
    <row r="313" spans="1:38" ht="15.75" customHeight="1" thickBot="1">
      <c r="C313" s="40"/>
      <c r="D313" s="40"/>
      <c r="E313" s="37"/>
      <c r="F313" s="40"/>
      <c r="G313" s="40"/>
      <c r="H313" s="40"/>
      <c r="I313" s="233" t="s">
        <v>615</v>
      </c>
      <c r="J313" s="233" t="s">
        <v>616</v>
      </c>
      <c r="K313" s="233" t="s">
        <v>617</v>
      </c>
      <c r="L313" s="232" t="s">
        <v>617</v>
      </c>
      <c r="M313" s="497"/>
      <c r="N313" s="497"/>
      <c r="O313" s="497"/>
      <c r="P313" s="497"/>
      <c r="Q313" s="497"/>
      <c r="R313" s="23"/>
      <c r="AA313" s="403" t="s">
        <v>855</v>
      </c>
      <c r="AB313" s="103"/>
      <c r="AC313" s="52" t="s">
        <v>40</v>
      </c>
      <c r="AD313" s="104"/>
      <c r="AE313" s="433">
        <f>ROUNDUP(((539000)*35%)+(539000),-3)</f>
        <v>728000</v>
      </c>
      <c r="AF313" s="106">
        <f t="shared" si="240"/>
        <v>292000</v>
      </c>
      <c r="AG313" s="117">
        <f t="shared" si="241"/>
        <v>73000</v>
      </c>
      <c r="AH313" s="106">
        <f t="shared" si="242"/>
        <v>146000</v>
      </c>
      <c r="AI313" s="177">
        <f t="shared" si="243"/>
        <v>1239000</v>
      </c>
      <c r="AJ313" s="106">
        <f t="shared" si="244"/>
        <v>1611000</v>
      </c>
    </row>
    <row r="314" spans="1:38" ht="15.75" customHeight="1">
      <c r="A314" s="23" t="s">
        <v>620</v>
      </c>
      <c r="B314" s="23">
        <v>0.52</v>
      </c>
      <c r="C314" s="607" t="s">
        <v>860</v>
      </c>
      <c r="D314" s="109">
        <v>503000</v>
      </c>
      <c r="E314" s="109"/>
      <c r="F314" s="495"/>
      <c r="G314" s="598">
        <v>504500</v>
      </c>
      <c r="H314" s="535"/>
      <c r="I314" s="535"/>
      <c r="J314" s="400">
        <v>212000</v>
      </c>
      <c r="K314" s="394"/>
      <c r="L314" s="413"/>
      <c r="M314" s="537"/>
      <c r="N314" s="537"/>
      <c r="O314" s="537"/>
      <c r="P314" s="537"/>
      <c r="Q314" s="537"/>
      <c r="R314" s="23"/>
      <c r="AA314" s="403" t="s">
        <v>857</v>
      </c>
      <c r="AB314" s="103"/>
      <c r="AC314" s="52" t="s">
        <v>40</v>
      </c>
      <c r="AD314" s="104"/>
      <c r="AE314" s="433">
        <f>ROUNDUP(((660000)*35%)+(660000),-3)</f>
        <v>891000</v>
      </c>
      <c r="AF314" s="106">
        <f t="shared" si="240"/>
        <v>357000</v>
      </c>
      <c r="AG314" s="117">
        <f t="shared" si="241"/>
        <v>90000</v>
      </c>
      <c r="AH314" s="106">
        <f t="shared" si="242"/>
        <v>179000</v>
      </c>
      <c r="AI314" s="177">
        <f t="shared" si="243"/>
        <v>1517000</v>
      </c>
      <c r="AJ314" s="106">
        <f t="shared" si="244"/>
        <v>1973000</v>
      </c>
      <c r="AL314" s="23">
        <v>1.05</v>
      </c>
    </row>
    <row r="315" spans="1:38" ht="15.75" customHeight="1" thickBot="1">
      <c r="A315" s="480" t="s">
        <v>625</v>
      </c>
      <c r="B315" s="480"/>
      <c r="C315" s="175"/>
      <c r="D315" s="175"/>
      <c r="E315" s="175"/>
      <c r="F315" s="387"/>
      <c r="G315" s="175"/>
      <c r="H315" s="388"/>
      <c r="I315" s="388"/>
      <c r="J315" s="175">
        <f>J314*$B$304</f>
        <v>110240</v>
      </c>
      <c r="K315" s="388"/>
      <c r="L315" s="539"/>
      <c r="M315" s="537"/>
      <c r="N315" s="537"/>
      <c r="O315" s="537"/>
      <c r="P315" s="537"/>
      <c r="Q315" s="537"/>
      <c r="R315" s="23"/>
      <c r="AA315" s="414" t="s">
        <v>858</v>
      </c>
      <c r="AB315" s="141"/>
      <c r="AC315" s="142" t="s">
        <v>40</v>
      </c>
      <c r="AD315" s="143"/>
      <c r="AE315" s="144">
        <f>ROUNDUP(((689700)*35%)+(689700),-3)</f>
        <v>932000</v>
      </c>
      <c r="AF315" s="145">
        <f t="shared" si="240"/>
        <v>373000</v>
      </c>
      <c r="AG315" s="146">
        <f t="shared" si="241"/>
        <v>94000</v>
      </c>
      <c r="AH315" s="145">
        <f t="shared" si="242"/>
        <v>187000</v>
      </c>
      <c r="AI315" s="151">
        <f t="shared" si="243"/>
        <v>1586000</v>
      </c>
      <c r="AJ315" s="145">
        <f t="shared" si="244"/>
        <v>2062000</v>
      </c>
    </row>
    <row r="316" spans="1:38" ht="15.75" customHeight="1">
      <c r="A316" s="23" t="s">
        <v>13</v>
      </c>
      <c r="B316" s="23">
        <v>0.4</v>
      </c>
      <c r="C316" s="175"/>
      <c r="D316" s="482">
        <f>SUM(D314:D315)</f>
        <v>503000</v>
      </c>
      <c r="E316" s="608"/>
      <c r="F316" s="387"/>
      <c r="G316" s="482">
        <f>SUM(G314:G315)</f>
        <v>504500</v>
      </c>
      <c r="H316" s="388"/>
      <c r="I316" s="388"/>
      <c r="J316" s="482">
        <f>SUM(J314:J315)</f>
        <v>322240</v>
      </c>
      <c r="K316" s="388"/>
      <c r="L316" s="539"/>
      <c r="M316" s="537"/>
      <c r="N316" s="537"/>
      <c r="O316" s="537"/>
      <c r="P316" s="537"/>
      <c r="Q316" s="537"/>
      <c r="R316" s="23"/>
      <c r="AA316" s="396" t="s">
        <v>854</v>
      </c>
      <c r="AB316" s="189"/>
      <c r="AC316" s="190" t="s">
        <v>57</v>
      </c>
      <c r="AD316" s="191"/>
      <c r="AE316" s="439">
        <f>ROUNDUP(((492800)*35%)+(492800),-3)</f>
        <v>666000</v>
      </c>
      <c r="AF316" s="114">
        <f t="shared" si="240"/>
        <v>267000</v>
      </c>
      <c r="AG316" s="113">
        <f t="shared" si="241"/>
        <v>67000</v>
      </c>
      <c r="AH316" s="114">
        <f t="shared" si="242"/>
        <v>134000</v>
      </c>
      <c r="AI316" s="115">
        <f t="shared" si="243"/>
        <v>1134000</v>
      </c>
      <c r="AJ316" s="114">
        <f t="shared" si="244"/>
        <v>1475000</v>
      </c>
    </row>
    <row r="317" spans="1:38" ht="15.75" customHeight="1">
      <c r="A317" s="23" t="s">
        <v>208</v>
      </c>
      <c r="B317" s="23">
        <v>0.2</v>
      </c>
      <c r="C317" s="175"/>
      <c r="D317" s="175">
        <f>D316*$B$306</f>
        <v>201200</v>
      </c>
      <c r="E317" s="175"/>
      <c r="F317" s="387"/>
      <c r="G317" s="175">
        <f>G316*$B$306</f>
        <v>201800</v>
      </c>
      <c r="H317" s="388"/>
      <c r="I317" s="388"/>
      <c r="J317" s="175">
        <f>J316*$B$306</f>
        <v>128896</v>
      </c>
      <c r="K317" s="388"/>
      <c r="L317" s="539"/>
      <c r="M317" s="537"/>
      <c r="N317" s="537"/>
      <c r="O317" s="537"/>
      <c r="P317" s="537"/>
      <c r="Q317" s="537"/>
      <c r="R317" s="23"/>
      <c r="AA317" s="403" t="s">
        <v>855</v>
      </c>
      <c r="AB317" s="103"/>
      <c r="AC317" s="52" t="s">
        <v>57</v>
      </c>
      <c r="AD317" s="104"/>
      <c r="AE317" s="433">
        <f>ROUNDUP(((605000)*35%)+(605000),-3)</f>
        <v>817000</v>
      </c>
      <c r="AF317" s="106">
        <f t="shared" si="240"/>
        <v>327000</v>
      </c>
      <c r="AG317" s="117">
        <f t="shared" si="241"/>
        <v>82000</v>
      </c>
      <c r="AH317" s="106">
        <f t="shared" si="242"/>
        <v>164000</v>
      </c>
      <c r="AI317" s="177">
        <f t="shared" si="243"/>
        <v>1390000</v>
      </c>
      <c r="AJ317" s="106">
        <f t="shared" si="244"/>
        <v>1807000</v>
      </c>
    </row>
    <row r="318" spans="1:38" ht="15.75" customHeight="1">
      <c r="A318" s="259" t="s">
        <v>15</v>
      </c>
      <c r="B318" s="259"/>
      <c r="C318" s="175"/>
      <c r="D318" s="175">
        <f>D316*$B$307</f>
        <v>100600</v>
      </c>
      <c r="E318" s="175"/>
      <c r="F318" s="387"/>
      <c r="G318" s="175">
        <f>G316*$B$307</f>
        <v>100900</v>
      </c>
      <c r="H318" s="388"/>
      <c r="I318" s="388"/>
      <c r="J318" s="175">
        <f>J316*$B$307</f>
        <v>64448</v>
      </c>
      <c r="K318" s="388"/>
      <c r="L318" s="539"/>
      <c r="M318" s="537"/>
      <c r="N318" s="537"/>
      <c r="O318" s="537"/>
      <c r="P318" s="537"/>
      <c r="Q318" s="537"/>
      <c r="R318" s="23"/>
      <c r="AA318" s="403" t="s">
        <v>857</v>
      </c>
      <c r="AB318" s="103"/>
      <c r="AC318" s="52" t="s">
        <v>57</v>
      </c>
      <c r="AD318" s="104"/>
      <c r="AE318" s="433">
        <f>ROUNDUP(((816200)*35%)+(816200),-3)</f>
        <v>1102000</v>
      </c>
      <c r="AF318" s="106">
        <f t="shared" si="240"/>
        <v>441000</v>
      </c>
      <c r="AG318" s="117">
        <f t="shared" si="241"/>
        <v>111000</v>
      </c>
      <c r="AH318" s="106">
        <f t="shared" si="242"/>
        <v>221000</v>
      </c>
      <c r="AI318" s="177">
        <f t="shared" si="243"/>
        <v>1875000</v>
      </c>
      <c r="AJ318" s="106">
        <f t="shared" si="244"/>
        <v>2438000</v>
      </c>
    </row>
    <row r="319" spans="1:38" ht="15.75" customHeight="1" thickBot="1">
      <c r="A319" s="23" t="s">
        <v>215</v>
      </c>
      <c r="B319" s="23">
        <v>1.2</v>
      </c>
      <c r="C319" s="175"/>
      <c r="D319" s="486">
        <f>SUM(D316:D318)</f>
        <v>804800</v>
      </c>
      <c r="E319" s="175"/>
      <c r="F319" s="387"/>
      <c r="G319" s="486">
        <f>SUM(G316:G318)</f>
        <v>807200</v>
      </c>
      <c r="H319" s="388"/>
      <c r="I319" s="388"/>
      <c r="J319" s="486">
        <f>SUM(J316:J318)</f>
        <v>515584</v>
      </c>
      <c r="K319" s="388"/>
      <c r="L319" s="539"/>
      <c r="M319" s="537"/>
      <c r="N319" s="537"/>
      <c r="O319" s="537"/>
      <c r="P319" s="537"/>
      <c r="Q319" s="537"/>
      <c r="R319" s="23"/>
      <c r="AA319" s="414" t="s">
        <v>858</v>
      </c>
      <c r="AB319" s="141"/>
      <c r="AC319" s="142" t="s">
        <v>57</v>
      </c>
      <c r="AD319" s="143"/>
      <c r="AE319" s="144">
        <f>ROUNDUP(((866800)*35%)+(866800),-3)</f>
        <v>1171000</v>
      </c>
      <c r="AF319" s="145">
        <f t="shared" si="240"/>
        <v>469000</v>
      </c>
      <c r="AG319" s="146">
        <f t="shared" si="241"/>
        <v>118000</v>
      </c>
      <c r="AH319" s="145">
        <f t="shared" si="242"/>
        <v>235000</v>
      </c>
      <c r="AI319" s="151">
        <f t="shared" si="243"/>
        <v>1993000</v>
      </c>
      <c r="AJ319" s="145">
        <f t="shared" si="244"/>
        <v>2591000</v>
      </c>
    </row>
    <row r="320" spans="1:38" ht="15.75" customHeight="1" thickBot="1">
      <c r="C320" s="148"/>
      <c r="D320" s="527">
        <f>ROUNDUP((D319*$B$249),-3)</f>
        <v>966000</v>
      </c>
      <c r="E320" s="527"/>
      <c r="F320" s="528"/>
      <c r="G320" s="527">
        <f>ROUNDUP((G319*$B$249),-3)</f>
        <v>969000</v>
      </c>
      <c r="H320" s="551"/>
      <c r="I320" s="551"/>
      <c r="J320" s="527">
        <f>ROUNDUP((J319*$B$249),-3)</f>
        <v>619000</v>
      </c>
      <c r="K320" s="551"/>
      <c r="L320" s="552"/>
      <c r="M320" s="537"/>
      <c r="N320" s="537"/>
      <c r="O320" s="537"/>
      <c r="P320" s="537"/>
      <c r="Q320" s="537"/>
      <c r="R320" s="23"/>
      <c r="AA320" s="396" t="s">
        <v>854</v>
      </c>
      <c r="AB320" s="189"/>
      <c r="AC320" s="190" t="s">
        <v>77</v>
      </c>
      <c r="AD320" s="191"/>
      <c r="AE320" s="439">
        <f>ROUNDUP(((562100)*35%)+(562100),-3)</f>
        <v>759000</v>
      </c>
      <c r="AF320" s="114">
        <f t="shared" si="240"/>
        <v>304000</v>
      </c>
      <c r="AG320" s="113">
        <f t="shared" si="241"/>
        <v>76000</v>
      </c>
      <c r="AH320" s="114">
        <f t="shared" si="242"/>
        <v>152000</v>
      </c>
      <c r="AI320" s="115">
        <f t="shared" si="243"/>
        <v>1291000</v>
      </c>
      <c r="AJ320" s="114">
        <f t="shared" si="244"/>
        <v>1679000</v>
      </c>
    </row>
    <row r="321" spans="1:36" ht="15.75" customHeight="1">
      <c r="D321" s="5"/>
      <c r="E321" s="5"/>
      <c r="F321" s="387"/>
      <c r="G321" s="5"/>
      <c r="H321" s="388"/>
      <c r="I321" s="388"/>
      <c r="J321" s="5"/>
      <c r="K321" s="388"/>
      <c r="L321" s="388"/>
      <c r="M321" s="537"/>
      <c r="N321" s="537"/>
      <c r="O321" s="537"/>
      <c r="P321" s="537"/>
      <c r="Q321" s="537"/>
      <c r="R321" s="23"/>
      <c r="AA321" s="403"/>
      <c r="AB321" s="103"/>
      <c r="AC321" s="52"/>
      <c r="AD321" s="104"/>
      <c r="AE321" s="433"/>
      <c r="AF321" s="106"/>
      <c r="AG321" s="117"/>
      <c r="AH321" s="106"/>
      <c r="AI321" s="177"/>
      <c r="AJ321" s="106"/>
    </row>
    <row r="322" spans="1:36" ht="15.75" customHeight="1" thickBot="1">
      <c r="F322" s="530"/>
      <c r="G322" s="530"/>
      <c r="H322" s="553"/>
      <c r="I322" s="553"/>
      <c r="J322" s="553"/>
      <c r="K322" s="553"/>
      <c r="L322" s="553"/>
      <c r="M322" s="537"/>
      <c r="N322" s="537"/>
      <c r="O322" s="537"/>
      <c r="P322" s="537"/>
      <c r="Q322" s="537"/>
      <c r="R322" s="23"/>
      <c r="AA322" s="403" t="s">
        <v>855</v>
      </c>
      <c r="AB322" s="103"/>
      <c r="AC322" s="52" t="s">
        <v>77</v>
      </c>
      <c r="AD322" s="104"/>
      <c r="AE322" s="433">
        <f>ROUNDUP(((699600)*35%)+(699600),-3)</f>
        <v>945000</v>
      </c>
      <c r="AF322" s="106">
        <f t="shared" si="235"/>
        <v>378000</v>
      </c>
      <c r="AG322" s="117">
        <f t="shared" si="239"/>
        <v>95000</v>
      </c>
      <c r="AH322" s="106">
        <f t="shared" si="236"/>
        <v>189000</v>
      </c>
      <c r="AI322" s="177">
        <f t="shared" si="237"/>
        <v>1607000</v>
      </c>
      <c r="AJ322" s="106">
        <f t="shared" si="238"/>
        <v>2090000</v>
      </c>
    </row>
    <row r="323" spans="1:36" ht="15.75" customHeight="1">
      <c r="C323" s="16" t="s">
        <v>603</v>
      </c>
      <c r="D323" s="20" t="s">
        <v>604</v>
      </c>
      <c r="E323" s="17" t="s">
        <v>605</v>
      </c>
      <c r="F323" s="20" t="s">
        <v>606</v>
      </c>
      <c r="G323" s="20" t="s">
        <v>607</v>
      </c>
      <c r="H323" s="20" t="s">
        <v>608</v>
      </c>
      <c r="I323" s="227" t="s">
        <v>609</v>
      </c>
      <c r="J323" s="227" t="s">
        <v>610</v>
      </c>
      <c r="K323" s="227" t="s">
        <v>610</v>
      </c>
      <c r="L323" s="226" t="s">
        <v>611</v>
      </c>
      <c r="M323" s="537"/>
      <c r="N323" s="537"/>
      <c r="O323" s="537"/>
      <c r="P323" s="537"/>
      <c r="Q323" s="537"/>
      <c r="R323" s="23"/>
      <c r="AA323" s="403" t="s">
        <v>857</v>
      </c>
      <c r="AB323" s="103"/>
      <c r="AC323" s="52" t="s">
        <v>77</v>
      </c>
      <c r="AD323" s="104"/>
      <c r="AE323" s="433">
        <f>ROUNDUP(((993300)*35%)+(993300),-3)</f>
        <v>1341000</v>
      </c>
      <c r="AF323" s="106">
        <f t="shared" si="235"/>
        <v>537000</v>
      </c>
      <c r="AG323" s="117">
        <f t="shared" si="239"/>
        <v>135000</v>
      </c>
      <c r="AH323" s="106">
        <f t="shared" si="236"/>
        <v>269000</v>
      </c>
      <c r="AI323" s="177">
        <f t="shared" si="237"/>
        <v>2282000</v>
      </c>
      <c r="AJ323" s="106">
        <f t="shared" si="238"/>
        <v>2967000</v>
      </c>
    </row>
    <row r="324" spans="1:36" ht="15.75" customHeight="1" thickBot="1">
      <c r="C324" s="36"/>
      <c r="D324" s="40"/>
      <c r="E324" s="37"/>
      <c r="F324" s="40"/>
      <c r="G324" s="40"/>
      <c r="H324" s="40"/>
      <c r="I324" s="233" t="s">
        <v>615</v>
      </c>
      <c r="J324" s="233" t="s">
        <v>616</v>
      </c>
      <c r="K324" s="233" t="s">
        <v>617</v>
      </c>
      <c r="L324" s="232" t="s">
        <v>617</v>
      </c>
      <c r="M324" s="537"/>
      <c r="N324" s="537"/>
      <c r="O324" s="537"/>
      <c r="P324" s="537"/>
      <c r="Q324" s="537"/>
      <c r="R324" s="23"/>
      <c r="AA324" s="414" t="s">
        <v>858</v>
      </c>
      <c r="AB324" s="141"/>
      <c r="AC324" s="142" t="s">
        <v>77</v>
      </c>
      <c r="AD324" s="143"/>
      <c r="AE324" s="144">
        <f>ROUNDUP(((1135200)*35%)+(1135200),-3)</f>
        <v>1533000</v>
      </c>
      <c r="AF324" s="145">
        <f t="shared" si="235"/>
        <v>614000</v>
      </c>
      <c r="AG324" s="146">
        <f t="shared" si="239"/>
        <v>154000</v>
      </c>
      <c r="AH324" s="145">
        <f t="shared" si="236"/>
        <v>307000</v>
      </c>
      <c r="AI324" s="151">
        <f t="shared" si="237"/>
        <v>2608000</v>
      </c>
      <c r="AJ324" s="145">
        <f t="shared" si="238"/>
        <v>3391000</v>
      </c>
    </row>
    <row r="325" spans="1:36" ht="15.75" customHeight="1">
      <c r="A325" s="23" t="s">
        <v>620</v>
      </c>
      <c r="B325" s="23">
        <v>0.52</v>
      </c>
      <c r="C325" s="478" t="s">
        <v>861</v>
      </c>
      <c r="D325" s="109">
        <v>628000</v>
      </c>
      <c r="E325" s="109">
        <v>300000</v>
      </c>
      <c r="F325" s="495"/>
      <c r="G325" s="598">
        <v>628500</v>
      </c>
      <c r="H325" s="535"/>
      <c r="I325" s="535"/>
      <c r="J325" s="400">
        <v>254000</v>
      </c>
      <c r="K325" s="554"/>
      <c r="L325" s="555"/>
      <c r="M325" s="23"/>
      <c r="N325" s="23"/>
      <c r="O325" s="23"/>
      <c r="P325" s="23"/>
      <c r="Q325" s="23"/>
      <c r="AA325" s="396" t="s">
        <v>854</v>
      </c>
      <c r="AB325" s="189"/>
      <c r="AC325" s="190" t="s">
        <v>108</v>
      </c>
      <c r="AD325" s="191"/>
      <c r="AE325" s="439">
        <f>ROUNDUP(((786500)*35%)+(786500),-3)</f>
        <v>1062000</v>
      </c>
      <c r="AF325" s="114">
        <f t="shared" si="235"/>
        <v>425000</v>
      </c>
      <c r="AG325" s="113">
        <f t="shared" si="239"/>
        <v>107000</v>
      </c>
      <c r="AH325" s="114">
        <f t="shared" si="236"/>
        <v>213000</v>
      </c>
      <c r="AI325" s="115">
        <f t="shared" si="237"/>
        <v>1807000</v>
      </c>
      <c r="AJ325" s="114">
        <f t="shared" si="238"/>
        <v>2350000</v>
      </c>
    </row>
    <row r="326" spans="1:36" ht="15.75" customHeight="1">
      <c r="A326" s="480" t="s">
        <v>625</v>
      </c>
      <c r="B326" s="480"/>
      <c r="C326" s="181"/>
      <c r="D326" s="175"/>
      <c r="E326" s="175"/>
      <c r="F326" s="387"/>
      <c r="G326" s="175"/>
      <c r="H326" s="388"/>
      <c r="I326" s="388"/>
      <c r="J326" s="175">
        <f>J325*$B$325</f>
        <v>132080</v>
      </c>
      <c r="K326" s="556"/>
      <c r="L326" s="557"/>
      <c r="M326" s="23"/>
      <c r="N326" s="23"/>
      <c r="O326" s="23"/>
      <c r="P326" s="23"/>
      <c r="Q326" s="23"/>
      <c r="AA326" s="403" t="s">
        <v>855</v>
      </c>
      <c r="AB326" s="103"/>
      <c r="AC326" s="52" t="s">
        <v>108</v>
      </c>
      <c r="AD326" s="104"/>
      <c r="AE326" s="433">
        <f>ROUNDUP(((991100)*35%)+(991100),-3)</f>
        <v>1338000</v>
      </c>
      <c r="AF326" s="106">
        <f t="shared" si="235"/>
        <v>536000</v>
      </c>
      <c r="AG326" s="117">
        <f t="shared" si="239"/>
        <v>134000</v>
      </c>
      <c r="AH326" s="106">
        <f t="shared" si="236"/>
        <v>268000</v>
      </c>
      <c r="AI326" s="177">
        <f t="shared" si="237"/>
        <v>2276000</v>
      </c>
      <c r="AJ326" s="106">
        <f t="shared" si="238"/>
        <v>2959000</v>
      </c>
    </row>
    <row r="327" spans="1:36" ht="15.75" customHeight="1">
      <c r="A327" s="23" t="s">
        <v>13</v>
      </c>
      <c r="B327" s="23">
        <v>0.4</v>
      </c>
      <c r="C327" s="181"/>
      <c r="D327" s="482">
        <f>SUM(D325:D326)</f>
        <v>628000</v>
      </c>
      <c r="E327" s="482">
        <f>SUM(E325:E326)</f>
        <v>300000</v>
      </c>
      <c r="F327" s="387"/>
      <c r="G327" s="482">
        <f>SUM(G325:G326)</f>
        <v>628500</v>
      </c>
      <c r="H327" s="388"/>
      <c r="I327" s="388"/>
      <c r="J327" s="482">
        <f>SUM(J325:J326)</f>
        <v>386080</v>
      </c>
      <c r="K327" s="556"/>
      <c r="L327" s="557"/>
      <c r="M327" s="23"/>
      <c r="N327" s="23"/>
      <c r="O327" s="23"/>
      <c r="P327" s="23"/>
      <c r="Q327" s="23"/>
      <c r="AA327" s="403" t="s">
        <v>857</v>
      </c>
      <c r="AB327" s="103"/>
      <c r="AC327" s="52" t="s">
        <v>108</v>
      </c>
      <c r="AD327" s="104"/>
      <c r="AE327" s="433">
        <f>ROUNDUP(((1499300)*35%)+(1499300),-3)</f>
        <v>2025000</v>
      </c>
      <c r="AF327" s="106">
        <f t="shared" si="235"/>
        <v>810000</v>
      </c>
      <c r="AG327" s="117">
        <f t="shared" si="239"/>
        <v>203000</v>
      </c>
      <c r="AH327" s="106">
        <f t="shared" si="236"/>
        <v>405000</v>
      </c>
      <c r="AI327" s="177">
        <f t="shared" si="237"/>
        <v>3443000</v>
      </c>
      <c r="AJ327" s="106">
        <f t="shared" si="238"/>
        <v>4476000</v>
      </c>
    </row>
    <row r="328" spans="1:36" ht="15.75" customHeight="1" thickBot="1">
      <c r="A328" s="23" t="s">
        <v>208</v>
      </c>
      <c r="B328" s="23">
        <v>0.2</v>
      </c>
      <c r="C328" s="181"/>
      <c r="D328" s="175">
        <f>D327*$B$327</f>
        <v>251200</v>
      </c>
      <c r="E328" s="175">
        <f>E327*$B$327</f>
        <v>120000</v>
      </c>
      <c r="F328" s="387"/>
      <c r="G328" s="175">
        <f>G327*$B$327</f>
        <v>251400</v>
      </c>
      <c r="H328" s="388"/>
      <c r="I328" s="388"/>
      <c r="J328" s="175">
        <f>J327*$B$327</f>
        <v>154432</v>
      </c>
      <c r="K328" s="556"/>
      <c r="L328" s="557"/>
      <c r="M328" s="23"/>
      <c r="N328" s="23"/>
      <c r="O328" s="23"/>
      <c r="P328" s="23"/>
      <c r="Q328" s="23"/>
      <c r="AA328" s="414" t="s">
        <v>858</v>
      </c>
      <c r="AB328" s="141"/>
      <c r="AC328" s="142" t="s">
        <v>108</v>
      </c>
      <c r="AD328" s="143"/>
      <c r="AE328" s="144">
        <f>ROUNDUP(((1548800)*35%)+(1548800),-3)</f>
        <v>2091000</v>
      </c>
      <c r="AF328" s="145">
        <f t="shared" si="235"/>
        <v>837000</v>
      </c>
      <c r="AG328" s="146">
        <f t="shared" si="239"/>
        <v>210000</v>
      </c>
      <c r="AH328" s="145">
        <f t="shared" si="236"/>
        <v>419000</v>
      </c>
      <c r="AI328" s="151">
        <f t="shared" si="237"/>
        <v>3557000</v>
      </c>
      <c r="AJ328" s="145">
        <f t="shared" si="238"/>
        <v>4625000</v>
      </c>
    </row>
    <row r="329" spans="1:36" ht="15.75" customHeight="1">
      <c r="A329" s="259" t="s">
        <v>15</v>
      </c>
      <c r="B329" s="259"/>
      <c r="C329" s="181"/>
      <c r="D329" s="175">
        <f>D327*$B$328</f>
        <v>125600</v>
      </c>
      <c r="E329" s="175">
        <f>E327*$B$328</f>
        <v>60000</v>
      </c>
      <c r="F329" s="387"/>
      <c r="G329" s="175">
        <f>G327*$B$328</f>
        <v>125700</v>
      </c>
      <c r="H329" s="388"/>
      <c r="I329" s="388"/>
      <c r="J329" s="175">
        <f>J327*$B$328</f>
        <v>77216</v>
      </c>
      <c r="K329" s="556"/>
      <c r="L329" s="557"/>
      <c r="M329" s="23"/>
      <c r="N329" s="23"/>
      <c r="O329" s="23"/>
      <c r="P329" s="23"/>
      <c r="Q329" s="23"/>
      <c r="AA329" s="396" t="s">
        <v>854</v>
      </c>
      <c r="AB329" s="189"/>
      <c r="AC329" s="190" t="s">
        <v>117</v>
      </c>
      <c r="AD329" s="191"/>
      <c r="AE329" s="439">
        <f>ROUNDUP(((1060400)*35%)+(1060400),-3)</f>
        <v>1432000</v>
      </c>
      <c r="AF329" s="114">
        <f t="shared" si="235"/>
        <v>573000</v>
      </c>
      <c r="AG329" s="113">
        <f t="shared" si="239"/>
        <v>144000</v>
      </c>
      <c r="AH329" s="114">
        <f t="shared" si="236"/>
        <v>287000</v>
      </c>
      <c r="AI329" s="115">
        <f t="shared" si="237"/>
        <v>2436000</v>
      </c>
      <c r="AJ329" s="114">
        <f t="shared" si="238"/>
        <v>3167000</v>
      </c>
    </row>
    <row r="330" spans="1:36" ht="15.75" customHeight="1">
      <c r="A330" s="23" t="s">
        <v>215</v>
      </c>
      <c r="B330" s="23">
        <v>1.2</v>
      </c>
      <c r="C330" s="181"/>
      <c r="D330" s="486">
        <f>SUM(D327:D329)</f>
        <v>1004800</v>
      </c>
      <c r="E330" s="486">
        <f>SUM(E327:E329)</f>
        <v>480000</v>
      </c>
      <c r="F330" s="387"/>
      <c r="G330" s="486">
        <f>SUM(G327:G329)</f>
        <v>1005600</v>
      </c>
      <c r="H330" s="388"/>
      <c r="I330" s="388"/>
      <c r="J330" s="486">
        <f>SUM(J327:J329)</f>
        <v>617728</v>
      </c>
      <c r="K330" s="556"/>
      <c r="L330" s="557"/>
      <c r="M330" s="23"/>
      <c r="N330" s="23"/>
      <c r="O330" s="23"/>
      <c r="P330" s="23"/>
      <c r="Q330" s="23"/>
      <c r="AA330" s="403" t="s">
        <v>855</v>
      </c>
      <c r="AB330" s="103"/>
      <c r="AC330" s="52" t="s">
        <v>117</v>
      </c>
      <c r="AD330" s="104"/>
      <c r="AE330" s="433">
        <f>ROUNDUP(((1300200)*35%)+(1300200),-3)</f>
        <v>1756000</v>
      </c>
      <c r="AF330" s="106">
        <f t="shared" si="235"/>
        <v>703000</v>
      </c>
      <c r="AG330" s="117">
        <f t="shared" si="239"/>
        <v>176000</v>
      </c>
      <c r="AH330" s="106">
        <f t="shared" si="236"/>
        <v>352000</v>
      </c>
      <c r="AI330" s="177">
        <f t="shared" si="237"/>
        <v>2987000</v>
      </c>
      <c r="AJ330" s="106">
        <f t="shared" si="238"/>
        <v>3884000</v>
      </c>
    </row>
    <row r="331" spans="1:36" ht="15.75" customHeight="1" thickBot="1">
      <c r="A331" s="23"/>
      <c r="B331" s="23"/>
      <c r="C331" s="183"/>
      <c r="D331" s="527">
        <f>ROUNDUP((D330*$B$249),-3)</f>
        <v>1206000</v>
      </c>
      <c r="E331" s="527">
        <f>ROUNDUP((E330*$B$249),-3)</f>
        <v>576000</v>
      </c>
      <c r="F331" s="528"/>
      <c r="G331" s="527">
        <f>ROUNDUP((G330*$B$249),-3)</f>
        <v>1207000</v>
      </c>
      <c r="H331" s="551"/>
      <c r="I331" s="551"/>
      <c r="J331" s="527">
        <f>ROUNDUP((J330*$B$249),-3)</f>
        <v>742000</v>
      </c>
      <c r="K331" s="562"/>
      <c r="L331" s="563"/>
      <c r="M331" s="23"/>
      <c r="N331" s="23"/>
      <c r="O331" s="23"/>
      <c r="P331" s="23"/>
      <c r="Q331" s="23"/>
      <c r="AA331" s="403" t="s">
        <v>857</v>
      </c>
      <c r="AB331" s="103"/>
      <c r="AC331" s="52" t="s">
        <v>117</v>
      </c>
      <c r="AD331" s="104"/>
      <c r="AE331" s="433">
        <f>ROUNDUP(((1898600)*35%)+(1898600),-3)</f>
        <v>2564000</v>
      </c>
      <c r="AF331" s="106">
        <f t="shared" si="235"/>
        <v>1026000</v>
      </c>
      <c r="AG331" s="117">
        <f t="shared" si="239"/>
        <v>257000</v>
      </c>
      <c r="AH331" s="106">
        <f t="shared" si="236"/>
        <v>513000</v>
      </c>
      <c r="AI331" s="177">
        <f t="shared" si="237"/>
        <v>4360000</v>
      </c>
      <c r="AJ331" s="106">
        <f t="shared" si="238"/>
        <v>5668000</v>
      </c>
    </row>
    <row r="332" spans="1:36" ht="15.75" customHeight="1" thickBot="1">
      <c r="A332" s="23"/>
      <c r="B332" s="23"/>
      <c r="D332" s="5"/>
      <c r="E332" s="5"/>
      <c r="F332" s="609"/>
      <c r="G332" s="5"/>
      <c r="H332" s="610"/>
      <c r="I332" s="610"/>
      <c r="J332" s="5"/>
      <c r="K332" s="556"/>
      <c r="L332" s="556"/>
      <c r="M332" s="23"/>
      <c r="N332" s="23"/>
      <c r="O332" s="23"/>
      <c r="P332" s="23"/>
      <c r="Q332" s="23"/>
      <c r="AA332" s="414" t="s">
        <v>858</v>
      </c>
      <c r="AB332" s="141"/>
      <c r="AC332" s="142" t="s">
        <v>117</v>
      </c>
      <c r="AD332" s="143"/>
      <c r="AE332" s="144">
        <f>ROUNDUP(((2175800)*35%)+(2175800),-3)</f>
        <v>2938000</v>
      </c>
      <c r="AF332" s="145">
        <f t="shared" si="235"/>
        <v>1176000</v>
      </c>
      <c r="AG332" s="146">
        <f t="shared" si="239"/>
        <v>294000</v>
      </c>
      <c r="AH332" s="145">
        <f t="shared" si="236"/>
        <v>588000</v>
      </c>
      <c r="AI332" s="151">
        <f t="shared" si="237"/>
        <v>4996000</v>
      </c>
      <c r="AJ332" s="145">
        <f t="shared" si="238"/>
        <v>6495000</v>
      </c>
    </row>
    <row r="333" spans="1:36" ht="15.75" customHeight="1">
      <c r="A333" s="23"/>
      <c r="B333" s="23"/>
      <c r="C333" s="16" t="s">
        <v>603</v>
      </c>
      <c r="D333" s="20" t="s">
        <v>604</v>
      </c>
      <c r="E333" s="17" t="s">
        <v>605</v>
      </c>
      <c r="F333" s="20" t="s">
        <v>606</v>
      </c>
      <c r="G333" s="20" t="s">
        <v>607</v>
      </c>
      <c r="H333" s="20" t="s">
        <v>608</v>
      </c>
      <c r="I333" s="227" t="s">
        <v>609</v>
      </c>
      <c r="J333" s="227" t="s">
        <v>610</v>
      </c>
      <c r="K333" s="227" t="s">
        <v>610</v>
      </c>
      <c r="L333" s="226" t="s">
        <v>611</v>
      </c>
      <c r="M333" s="23"/>
      <c r="N333" s="23"/>
      <c r="O333" s="23"/>
      <c r="P333" s="23"/>
      <c r="Q333" s="23"/>
      <c r="AA333" s="396" t="s">
        <v>854</v>
      </c>
      <c r="AB333" s="189"/>
      <c r="AC333" s="190" t="s">
        <v>124</v>
      </c>
      <c r="AD333" s="191"/>
      <c r="AE333" s="439">
        <f>ROUNDUP(((1395900)*35%)+(1395900),-3)</f>
        <v>1885000</v>
      </c>
      <c r="AF333" s="114">
        <f t="shared" si="235"/>
        <v>754000</v>
      </c>
      <c r="AG333" s="113">
        <f t="shared" si="239"/>
        <v>189000</v>
      </c>
      <c r="AH333" s="114">
        <f t="shared" si="236"/>
        <v>377000</v>
      </c>
      <c r="AI333" s="115">
        <f t="shared" si="237"/>
        <v>3205000</v>
      </c>
      <c r="AJ333" s="114">
        <f t="shared" si="238"/>
        <v>4167000</v>
      </c>
    </row>
    <row r="334" spans="1:36" ht="15.75" customHeight="1" thickBot="1">
      <c r="C334" s="36"/>
      <c r="D334" s="40"/>
      <c r="E334" s="37"/>
      <c r="F334" s="40"/>
      <c r="G334" s="40"/>
      <c r="H334" s="40"/>
      <c r="I334" s="233" t="s">
        <v>615</v>
      </c>
      <c r="J334" s="233" t="s">
        <v>616</v>
      </c>
      <c r="K334" s="233" t="s">
        <v>617</v>
      </c>
      <c r="L334" s="232" t="s">
        <v>617</v>
      </c>
      <c r="M334" s="23"/>
      <c r="N334" s="23"/>
      <c r="O334" s="23"/>
      <c r="P334" s="23"/>
      <c r="Q334" s="23"/>
      <c r="AA334" s="403" t="s">
        <v>855</v>
      </c>
      <c r="AB334" s="103"/>
      <c r="AC334" s="52" t="s">
        <v>124</v>
      </c>
      <c r="AD334" s="104"/>
      <c r="AE334" s="433">
        <f>ROUNDUP(((1641200)*35%)+(1641200),-3)</f>
        <v>2216000</v>
      </c>
      <c r="AF334" s="106">
        <f t="shared" si="235"/>
        <v>887000</v>
      </c>
      <c r="AG334" s="117">
        <f t="shared" si="239"/>
        <v>222000</v>
      </c>
      <c r="AH334" s="106">
        <f t="shared" si="236"/>
        <v>444000</v>
      </c>
      <c r="AI334" s="177">
        <f t="shared" si="237"/>
        <v>3769000</v>
      </c>
      <c r="AJ334" s="106">
        <f t="shared" si="238"/>
        <v>4900000</v>
      </c>
    </row>
    <row r="335" spans="1:36" ht="15.75" customHeight="1">
      <c r="A335" s="23" t="s">
        <v>620</v>
      </c>
      <c r="B335" s="23">
        <v>0.52</v>
      </c>
      <c r="C335" s="478" t="s">
        <v>862</v>
      </c>
      <c r="D335" s="109">
        <v>826000</v>
      </c>
      <c r="E335" s="109">
        <v>400000</v>
      </c>
      <c r="F335" s="495"/>
      <c r="G335" s="598">
        <v>825500</v>
      </c>
      <c r="H335" s="535"/>
      <c r="I335" s="535"/>
      <c r="J335" s="400">
        <v>375000</v>
      </c>
      <c r="K335" s="535"/>
      <c r="L335" s="536"/>
      <c r="M335" s="537"/>
      <c r="N335" s="537"/>
      <c r="O335" s="537"/>
      <c r="P335" s="537"/>
      <c r="Q335" s="537"/>
      <c r="AA335" s="403" t="s">
        <v>857</v>
      </c>
      <c r="AB335" s="103"/>
      <c r="AC335" s="52" t="s">
        <v>124</v>
      </c>
      <c r="AD335" s="104"/>
      <c r="AE335" s="433">
        <f>ROUNDUP(((2407900)*35%)+(2407900),-3)</f>
        <v>3251000</v>
      </c>
      <c r="AF335" s="106">
        <f t="shared" si="235"/>
        <v>1301000</v>
      </c>
      <c r="AG335" s="117">
        <f t="shared" si="239"/>
        <v>326000</v>
      </c>
      <c r="AH335" s="106">
        <f t="shared" si="236"/>
        <v>651000</v>
      </c>
      <c r="AI335" s="177">
        <f t="shared" si="237"/>
        <v>5529000</v>
      </c>
      <c r="AJ335" s="106">
        <f t="shared" si="238"/>
        <v>7188000</v>
      </c>
    </row>
    <row r="336" spans="1:36" ht="15.75" customHeight="1" thickBot="1">
      <c r="A336" s="480" t="s">
        <v>625</v>
      </c>
      <c r="B336" s="480"/>
      <c r="C336" s="181"/>
      <c r="D336" s="175"/>
      <c r="E336" s="175"/>
      <c r="F336" s="387"/>
      <c r="G336" s="175"/>
      <c r="H336" s="388"/>
      <c r="I336" s="388"/>
      <c r="J336" s="175">
        <f>J335*$B$335</f>
        <v>195000</v>
      </c>
      <c r="K336" s="388"/>
      <c r="L336" s="539"/>
      <c r="M336" s="537"/>
      <c r="N336" s="537"/>
      <c r="O336" s="537"/>
      <c r="P336" s="537"/>
      <c r="Q336" s="537"/>
      <c r="AA336" s="414" t="s">
        <v>858</v>
      </c>
      <c r="AB336" s="141"/>
      <c r="AC336" s="142" t="s">
        <v>124</v>
      </c>
      <c r="AD336" s="143"/>
      <c r="AE336" s="144">
        <f>ROUNDUP(((2717000)*35%)+(2717000),-3)</f>
        <v>3668000</v>
      </c>
      <c r="AF336" s="145">
        <f t="shared" si="235"/>
        <v>1468000</v>
      </c>
      <c r="AG336" s="146">
        <f t="shared" si="239"/>
        <v>367000</v>
      </c>
      <c r="AH336" s="145">
        <f t="shared" si="236"/>
        <v>734000</v>
      </c>
      <c r="AI336" s="151">
        <f t="shared" si="237"/>
        <v>6237000</v>
      </c>
      <c r="AJ336" s="145">
        <f t="shared" si="238"/>
        <v>8109000</v>
      </c>
    </row>
    <row r="337" spans="1:36" ht="15.75" customHeight="1">
      <c r="A337" s="23" t="s">
        <v>13</v>
      </c>
      <c r="B337" s="23">
        <v>0.4</v>
      </c>
      <c r="C337" s="181"/>
      <c r="D337" s="482">
        <f>SUM(D335:D336)</f>
        <v>826000</v>
      </c>
      <c r="E337" s="482">
        <f>SUM(E335:E336)</f>
        <v>400000</v>
      </c>
      <c r="F337" s="611"/>
      <c r="G337" s="482">
        <f>SUM(G335:G336)</f>
        <v>825500</v>
      </c>
      <c r="H337" s="612"/>
      <c r="I337" s="612"/>
      <c r="J337" s="482">
        <f>SUM(J335:J336)</f>
        <v>570000</v>
      </c>
      <c r="K337" s="388"/>
      <c r="L337" s="539"/>
      <c r="M337" s="537"/>
      <c r="N337" s="537"/>
      <c r="O337" s="537"/>
      <c r="P337" s="537"/>
      <c r="Q337" s="537"/>
      <c r="AA337" s="396" t="s">
        <v>854</v>
      </c>
      <c r="AB337" s="189"/>
      <c r="AC337" s="190" t="s">
        <v>132</v>
      </c>
      <c r="AD337" s="191"/>
      <c r="AE337" s="439">
        <f>ROUNDUP(((2339700)*35%)+(2339700),-3)</f>
        <v>3159000</v>
      </c>
      <c r="AF337" s="114">
        <f t="shared" si="235"/>
        <v>1264000</v>
      </c>
      <c r="AG337" s="113">
        <f t="shared" si="239"/>
        <v>316000</v>
      </c>
      <c r="AH337" s="114">
        <f t="shared" si="236"/>
        <v>632000</v>
      </c>
      <c r="AI337" s="115">
        <f t="shared" si="237"/>
        <v>5371000</v>
      </c>
      <c r="AJ337" s="114">
        <f t="shared" si="238"/>
        <v>6983000</v>
      </c>
    </row>
    <row r="338" spans="1:36" ht="15.75" customHeight="1">
      <c r="A338" s="23" t="s">
        <v>208</v>
      </c>
      <c r="B338" s="23">
        <v>0.2</v>
      </c>
      <c r="C338" s="181"/>
      <c r="D338" s="175">
        <f>D337*$B$337</f>
        <v>330400</v>
      </c>
      <c r="E338" s="175">
        <f>E337*$B$337</f>
        <v>160000</v>
      </c>
      <c r="F338" s="387"/>
      <c r="G338" s="175">
        <f>G337*$B$337</f>
        <v>330200</v>
      </c>
      <c r="H338" s="388"/>
      <c r="I338" s="388"/>
      <c r="J338" s="175">
        <f>J337*$B$337</f>
        <v>228000</v>
      </c>
      <c r="K338" s="388"/>
      <c r="L338" s="539"/>
      <c r="M338" s="537"/>
      <c r="N338" s="537"/>
      <c r="O338" s="537"/>
      <c r="P338" s="537"/>
      <c r="Q338" s="537"/>
      <c r="AA338" s="403" t="s">
        <v>855</v>
      </c>
      <c r="AB338" s="103"/>
      <c r="AC338" s="52" t="s">
        <v>132</v>
      </c>
      <c r="AD338" s="104"/>
      <c r="AE338" s="433">
        <f>ROUNDUP(((2780800)*35%)+(2780800),-3)</f>
        <v>3755000</v>
      </c>
      <c r="AF338" s="106">
        <f t="shared" si="235"/>
        <v>1502000</v>
      </c>
      <c r="AG338" s="117">
        <f t="shared" si="239"/>
        <v>376000</v>
      </c>
      <c r="AH338" s="106">
        <f t="shared" si="236"/>
        <v>751000</v>
      </c>
      <c r="AI338" s="177">
        <f t="shared" si="237"/>
        <v>6384000</v>
      </c>
      <c r="AJ338" s="106">
        <f t="shared" si="238"/>
        <v>8300000</v>
      </c>
    </row>
    <row r="339" spans="1:36" ht="15.75" customHeight="1" thickBot="1">
      <c r="A339" s="259" t="s">
        <v>15</v>
      </c>
      <c r="B339" s="259"/>
      <c r="C339" s="181"/>
      <c r="D339" s="175">
        <f>D337*$B$338</f>
        <v>165200</v>
      </c>
      <c r="E339" s="175">
        <f>E337*$B$338</f>
        <v>80000</v>
      </c>
      <c r="F339" s="387"/>
      <c r="G339" s="175">
        <f>G337*$B$338</f>
        <v>165100</v>
      </c>
      <c r="H339" s="388"/>
      <c r="I339" s="388"/>
      <c r="J339" s="175">
        <f>J337*$B$338</f>
        <v>114000</v>
      </c>
      <c r="K339" s="388"/>
      <c r="L339" s="539"/>
      <c r="M339" s="537"/>
      <c r="N339" s="537"/>
      <c r="O339" s="537"/>
      <c r="P339" s="537"/>
      <c r="Q339" s="537"/>
      <c r="AA339" s="414" t="s">
        <v>857</v>
      </c>
      <c r="AB339" s="141"/>
      <c r="AC339" s="142" t="s">
        <v>132</v>
      </c>
      <c r="AD339" s="143"/>
      <c r="AE339" s="144">
        <f>ROUNDUP(((3868700)*35%)+(3868700),-3)</f>
        <v>5223000</v>
      </c>
      <c r="AF339" s="145">
        <f t="shared" si="235"/>
        <v>2090000</v>
      </c>
      <c r="AG339" s="146">
        <f t="shared" si="239"/>
        <v>523000</v>
      </c>
      <c r="AH339" s="145">
        <f t="shared" si="236"/>
        <v>1045000</v>
      </c>
      <c r="AI339" s="151">
        <f t="shared" si="237"/>
        <v>8881000</v>
      </c>
      <c r="AJ339" s="145">
        <f t="shared" si="238"/>
        <v>11546000</v>
      </c>
    </row>
    <row r="340" spans="1:36" ht="15.75" customHeight="1">
      <c r="A340" s="23" t="s">
        <v>215</v>
      </c>
      <c r="B340" s="23">
        <v>1.2</v>
      </c>
      <c r="C340" s="181"/>
      <c r="D340" s="613">
        <f>SUM(D337:D339)</f>
        <v>1321600</v>
      </c>
      <c r="E340" s="613">
        <f>SUM(E337:E339)</f>
        <v>640000</v>
      </c>
      <c r="F340" s="387"/>
      <c r="G340" s="613">
        <f>SUM(G337:G339)</f>
        <v>1320800</v>
      </c>
      <c r="H340" s="612"/>
      <c r="I340" s="612"/>
      <c r="J340" s="613">
        <f>SUM(J337:J339)</f>
        <v>912000</v>
      </c>
      <c r="K340" s="388"/>
      <c r="L340" s="539"/>
      <c r="M340" s="537"/>
      <c r="N340" s="537"/>
      <c r="O340" s="537"/>
      <c r="P340" s="537"/>
      <c r="Q340" s="537"/>
      <c r="AA340" s="396" t="s">
        <v>854</v>
      </c>
      <c r="AB340" s="189"/>
      <c r="AC340" s="190" t="s">
        <v>136</v>
      </c>
      <c r="AD340" s="191"/>
      <c r="AE340" s="439">
        <f>ROUNDUP(((3536500)*35%)+(3536500),-3)</f>
        <v>4775000</v>
      </c>
      <c r="AF340" s="114">
        <f t="shared" si="235"/>
        <v>1910000</v>
      </c>
      <c r="AG340" s="113">
        <f t="shared" si="239"/>
        <v>478000</v>
      </c>
      <c r="AH340" s="114">
        <f t="shared" si="236"/>
        <v>955000</v>
      </c>
      <c r="AI340" s="115">
        <f t="shared" si="237"/>
        <v>8118000</v>
      </c>
      <c r="AJ340" s="114">
        <f t="shared" si="238"/>
        <v>10554000</v>
      </c>
    </row>
    <row r="341" spans="1:36" ht="15.75" customHeight="1" thickBot="1">
      <c r="A341" s="23"/>
      <c r="B341" s="23"/>
      <c r="C341" s="183"/>
      <c r="D341" s="527">
        <f>ROUNDUP((D340*$B$249),-3)</f>
        <v>1586000</v>
      </c>
      <c r="E341" s="527">
        <f>ROUNDUP((E340*$B$249),-3)</f>
        <v>768000</v>
      </c>
      <c r="F341" s="528"/>
      <c r="G341" s="527">
        <f>ROUNDUP((G340*$B$249),-3)</f>
        <v>1585000</v>
      </c>
      <c r="H341" s="551"/>
      <c r="I341" s="551"/>
      <c r="J341" s="527">
        <f>ROUNDUP((J340*$B$249),-3)</f>
        <v>1095000</v>
      </c>
      <c r="K341" s="551"/>
      <c r="L341" s="552"/>
      <c r="M341" s="537"/>
      <c r="N341" s="537"/>
      <c r="O341" s="537"/>
      <c r="P341" s="537"/>
      <c r="Q341" s="537"/>
      <c r="AA341" s="403" t="s">
        <v>855</v>
      </c>
      <c r="AB341" s="103"/>
      <c r="AC341" s="52" t="s">
        <v>136</v>
      </c>
      <c r="AD341" s="104"/>
      <c r="AE341" s="433">
        <f>ROUNDUP(((4084300)*35%)+(4084300),-3)</f>
        <v>5514000</v>
      </c>
      <c r="AF341" s="106">
        <f t="shared" si="235"/>
        <v>2206000</v>
      </c>
      <c r="AG341" s="117">
        <f t="shared" si="239"/>
        <v>552000</v>
      </c>
      <c r="AH341" s="106">
        <f t="shared" si="236"/>
        <v>1103000</v>
      </c>
      <c r="AI341" s="177">
        <f t="shared" si="237"/>
        <v>9375000</v>
      </c>
      <c r="AJ341" s="106">
        <f t="shared" si="238"/>
        <v>12188000</v>
      </c>
    </row>
    <row r="342" spans="1:36" ht="15.75" customHeight="1" thickBot="1">
      <c r="A342" s="23"/>
      <c r="B342" s="23"/>
      <c r="D342" s="5"/>
      <c r="E342" s="5"/>
      <c r="F342" s="387"/>
      <c r="G342" s="5"/>
      <c r="H342" s="388"/>
      <c r="I342" s="388"/>
      <c r="J342" s="5"/>
      <c r="K342" s="553"/>
      <c r="L342" s="553"/>
      <c r="M342" s="537"/>
      <c r="N342" s="537"/>
      <c r="O342" s="537"/>
      <c r="P342" s="537"/>
      <c r="Q342" s="537"/>
      <c r="AA342" s="414" t="s">
        <v>857</v>
      </c>
      <c r="AB342" s="141"/>
      <c r="AC342" s="142" t="s">
        <v>136</v>
      </c>
      <c r="AD342" s="143"/>
      <c r="AE342" s="144">
        <f>ROUNDUP(((5558300)*35%)+(5558300),-3)</f>
        <v>7504000</v>
      </c>
      <c r="AF342" s="145">
        <f t="shared" si="235"/>
        <v>3002000</v>
      </c>
      <c r="AG342" s="146">
        <f t="shared" si="239"/>
        <v>751000</v>
      </c>
      <c r="AH342" s="145">
        <f t="shared" si="236"/>
        <v>1501000</v>
      </c>
      <c r="AI342" s="151">
        <f t="shared" si="237"/>
        <v>12758000</v>
      </c>
      <c r="AJ342" s="145">
        <f t="shared" si="238"/>
        <v>16586000</v>
      </c>
    </row>
    <row r="343" spans="1:36" ht="15.75" customHeight="1">
      <c r="A343" s="23"/>
      <c r="B343" s="23"/>
      <c r="C343" s="16" t="s">
        <v>603</v>
      </c>
      <c r="D343" s="20" t="s">
        <v>604</v>
      </c>
      <c r="E343" s="17" t="s">
        <v>605</v>
      </c>
      <c r="F343" s="20" t="s">
        <v>606</v>
      </c>
      <c r="G343" s="20" t="s">
        <v>607</v>
      </c>
      <c r="H343" s="20" t="s">
        <v>608</v>
      </c>
      <c r="I343" s="227" t="s">
        <v>609</v>
      </c>
      <c r="J343" s="227" t="s">
        <v>610</v>
      </c>
      <c r="K343" s="227" t="s">
        <v>610</v>
      </c>
      <c r="L343" s="226" t="s">
        <v>611</v>
      </c>
      <c r="M343" s="537"/>
      <c r="N343" s="537"/>
      <c r="O343" s="537"/>
      <c r="P343" s="537"/>
      <c r="Q343" s="537"/>
      <c r="AA343" s="396" t="s">
        <v>854</v>
      </c>
      <c r="AB343" s="189"/>
      <c r="AC343" s="190" t="s">
        <v>139</v>
      </c>
      <c r="AD343" s="191"/>
      <c r="AE343" s="439">
        <f>ROUNDUP(((4526500)*35%)+(4526500),-3)</f>
        <v>6111000</v>
      </c>
      <c r="AF343" s="114">
        <f t="shared" si="235"/>
        <v>2445000</v>
      </c>
      <c r="AG343" s="113">
        <f t="shared" si="239"/>
        <v>612000</v>
      </c>
      <c r="AH343" s="114">
        <f t="shared" si="236"/>
        <v>1223000</v>
      </c>
      <c r="AI343" s="115">
        <f t="shared" si="237"/>
        <v>10391000</v>
      </c>
      <c r="AJ343" s="114">
        <f t="shared" si="238"/>
        <v>13509000</v>
      </c>
    </row>
    <row r="344" spans="1:36" ht="15.75" customHeight="1" thickBot="1">
      <c r="C344" s="36"/>
      <c r="D344" s="40"/>
      <c r="E344" s="37"/>
      <c r="F344" s="40"/>
      <c r="G344" s="40"/>
      <c r="H344" s="40"/>
      <c r="I344" s="233" t="s">
        <v>615</v>
      </c>
      <c r="J344" s="233" t="s">
        <v>616</v>
      </c>
      <c r="K344" s="233" t="s">
        <v>617</v>
      </c>
      <c r="L344" s="232" t="s">
        <v>617</v>
      </c>
      <c r="M344" s="537"/>
      <c r="N344" s="537"/>
      <c r="O344" s="537"/>
      <c r="P344" s="537"/>
      <c r="Q344" s="537"/>
      <c r="AA344" s="403" t="s">
        <v>855</v>
      </c>
      <c r="AB344" s="103"/>
      <c r="AC344" s="52" t="s">
        <v>139</v>
      </c>
      <c r="AD344" s="104"/>
      <c r="AE344" s="433">
        <f>ROUNDUP(((4824600)*35%)+(4824600),-3)</f>
        <v>6514000</v>
      </c>
      <c r="AF344" s="106">
        <f t="shared" si="235"/>
        <v>2606000</v>
      </c>
      <c r="AG344" s="117">
        <f t="shared" si="239"/>
        <v>652000</v>
      </c>
      <c r="AH344" s="106">
        <f t="shared" si="236"/>
        <v>1303000</v>
      </c>
      <c r="AI344" s="177">
        <f t="shared" si="237"/>
        <v>11075000</v>
      </c>
      <c r="AJ344" s="106">
        <f t="shared" si="238"/>
        <v>14398000</v>
      </c>
    </row>
    <row r="345" spans="1:36" ht="15.75" customHeight="1" thickBot="1">
      <c r="A345" s="23" t="s">
        <v>620</v>
      </c>
      <c r="B345" s="23">
        <v>0.52</v>
      </c>
      <c r="C345" s="478" t="s">
        <v>863</v>
      </c>
      <c r="D345" s="109">
        <v>1030000</v>
      </c>
      <c r="E345" s="109">
        <v>500000</v>
      </c>
      <c r="F345" s="495"/>
      <c r="G345" s="598">
        <v>1031500</v>
      </c>
      <c r="H345" s="535"/>
      <c r="I345" s="535"/>
      <c r="J345" s="400">
        <v>443000</v>
      </c>
      <c r="K345" s="394"/>
      <c r="L345" s="413"/>
      <c r="AA345" s="414" t="s">
        <v>857</v>
      </c>
      <c r="AB345" s="141"/>
      <c r="AC345" s="142" t="s">
        <v>139</v>
      </c>
      <c r="AD345" s="143"/>
      <c r="AE345" s="144">
        <f>ROUNDUP(((6802400)*35%)+(6802400),-3)</f>
        <v>9184000</v>
      </c>
      <c r="AF345" s="145">
        <f t="shared" si="235"/>
        <v>3674000</v>
      </c>
      <c r="AG345" s="146">
        <f t="shared" si="239"/>
        <v>919000</v>
      </c>
      <c r="AH345" s="145">
        <f t="shared" si="236"/>
        <v>1837000</v>
      </c>
      <c r="AI345" s="151">
        <f t="shared" si="237"/>
        <v>15614000</v>
      </c>
      <c r="AJ345" s="145">
        <f t="shared" si="238"/>
        <v>20299000</v>
      </c>
    </row>
    <row r="346" spans="1:36" ht="15.75" customHeight="1">
      <c r="A346" s="480" t="s">
        <v>625</v>
      </c>
      <c r="B346" s="480"/>
      <c r="C346" s="181"/>
      <c r="D346" s="175"/>
      <c r="E346" s="175"/>
      <c r="F346" s="387"/>
      <c r="G346" s="175"/>
      <c r="H346" s="388"/>
      <c r="I346" s="388"/>
      <c r="J346" s="175"/>
      <c r="L346" s="481"/>
      <c r="AA346" s="403" t="s">
        <v>854</v>
      </c>
      <c r="AB346" s="103"/>
      <c r="AC346" s="52" t="s">
        <v>347</v>
      </c>
      <c r="AD346" s="104"/>
      <c r="AE346" s="433">
        <f>ROUNDUP(((8610800)*35%)+(8610800),-3)</f>
        <v>11625000</v>
      </c>
      <c r="AF346" s="106">
        <f t="shared" si="235"/>
        <v>4650000</v>
      </c>
      <c r="AG346" s="117">
        <f t="shared" si="239"/>
        <v>1163000</v>
      </c>
      <c r="AH346" s="106">
        <f t="shared" si="236"/>
        <v>2325000</v>
      </c>
      <c r="AI346" s="177">
        <f t="shared" si="237"/>
        <v>19763000</v>
      </c>
      <c r="AJ346" s="106">
        <f t="shared" si="238"/>
        <v>25692000</v>
      </c>
    </row>
    <row r="347" spans="1:36" ht="15.75" customHeight="1">
      <c r="A347" s="23" t="s">
        <v>13</v>
      </c>
      <c r="B347" s="23">
        <v>0.4</v>
      </c>
      <c r="C347" s="181"/>
      <c r="D347" s="482">
        <f>SUM(D345:D346)</f>
        <v>1030000</v>
      </c>
      <c r="E347" s="482">
        <f>SUM(E345:E346)</f>
        <v>500000</v>
      </c>
      <c r="F347" s="611"/>
      <c r="G347" s="482">
        <f>SUM(G345:G346)</f>
        <v>1031500</v>
      </c>
      <c r="H347" s="612"/>
      <c r="I347" s="612"/>
      <c r="J347" s="482">
        <f>SUM(J345:J346)</f>
        <v>443000</v>
      </c>
      <c r="L347" s="481"/>
      <c r="AA347" s="403" t="s">
        <v>855</v>
      </c>
      <c r="AB347" s="103"/>
      <c r="AC347" s="52" t="s">
        <v>347</v>
      </c>
      <c r="AD347" s="104"/>
      <c r="AE347" s="433">
        <f>ROUNDUP(((9506200)*35%)+(9506200),-3)</f>
        <v>12834000</v>
      </c>
      <c r="AF347" s="106">
        <f t="shared" si="235"/>
        <v>5134000</v>
      </c>
      <c r="AG347" s="117">
        <f t="shared" si="239"/>
        <v>1284000</v>
      </c>
      <c r="AH347" s="106">
        <f t="shared" si="236"/>
        <v>2567000</v>
      </c>
      <c r="AI347" s="177">
        <f t="shared" si="237"/>
        <v>21819000</v>
      </c>
      <c r="AJ347" s="106">
        <f t="shared" si="238"/>
        <v>28365000</v>
      </c>
    </row>
    <row r="348" spans="1:36" ht="15.75" customHeight="1" thickBot="1">
      <c r="A348" s="23" t="s">
        <v>208</v>
      </c>
      <c r="B348" s="23">
        <v>0.2</v>
      </c>
      <c r="C348" s="181"/>
      <c r="D348" s="175">
        <f>D347*$B$337</f>
        <v>412000</v>
      </c>
      <c r="E348" s="175">
        <f>E347*$B$337</f>
        <v>200000</v>
      </c>
      <c r="F348" s="387"/>
      <c r="G348" s="175">
        <f>G347*$B$337</f>
        <v>412600</v>
      </c>
      <c r="H348" s="388"/>
      <c r="I348" s="388"/>
      <c r="J348" s="175">
        <f>J347*$B$337</f>
        <v>177200</v>
      </c>
      <c r="L348" s="481"/>
      <c r="AA348" s="414" t="s">
        <v>857</v>
      </c>
      <c r="AB348" s="141"/>
      <c r="AC348" s="142" t="s">
        <v>347</v>
      </c>
      <c r="AD348" s="143"/>
      <c r="AE348" s="144">
        <f>ROUNDUP(((10624900)*35%)+(10624900),-3)</f>
        <v>14344000</v>
      </c>
      <c r="AF348" s="145">
        <f t="shared" si="235"/>
        <v>5738000</v>
      </c>
      <c r="AG348" s="146">
        <f t="shared" si="239"/>
        <v>1435000</v>
      </c>
      <c r="AH348" s="145">
        <f t="shared" si="236"/>
        <v>2869000</v>
      </c>
      <c r="AI348" s="151">
        <f t="shared" si="237"/>
        <v>24386000</v>
      </c>
      <c r="AJ348" s="145">
        <f t="shared" si="238"/>
        <v>31702000</v>
      </c>
    </row>
    <row r="349" spans="1:36" ht="15.75" customHeight="1">
      <c r="A349" s="259" t="s">
        <v>15</v>
      </c>
      <c r="B349" s="259"/>
      <c r="C349" s="181"/>
      <c r="D349" s="175">
        <f>D347*$B$338</f>
        <v>206000</v>
      </c>
      <c r="E349" s="175">
        <f>E347*$B$338</f>
        <v>100000</v>
      </c>
      <c r="F349" s="387"/>
      <c r="G349" s="175">
        <f>G347*$B$338</f>
        <v>206300</v>
      </c>
      <c r="H349" s="388"/>
      <c r="I349" s="388"/>
      <c r="J349" s="175">
        <f>J347*$B$338</f>
        <v>88600</v>
      </c>
      <c r="L349" s="481"/>
    </row>
    <row r="350" spans="1:36" ht="15.75" customHeight="1">
      <c r="A350" s="23" t="s">
        <v>215</v>
      </c>
      <c r="B350" s="23">
        <v>1.2</v>
      </c>
      <c r="C350" s="181"/>
      <c r="D350" s="613">
        <f>SUM(D347:D349)</f>
        <v>1648000</v>
      </c>
      <c r="E350" s="613">
        <f>SUM(E347:E349)</f>
        <v>800000</v>
      </c>
      <c r="F350" s="387"/>
      <c r="G350" s="613">
        <f>SUM(G347:G349)</f>
        <v>1650400</v>
      </c>
      <c r="H350" s="612"/>
      <c r="I350" s="612"/>
      <c r="J350" s="613">
        <f>SUM(J347:J349)</f>
        <v>708800</v>
      </c>
      <c r="L350" s="481"/>
    </row>
    <row r="351" spans="1:36" ht="15.75" customHeight="1" thickBot="1">
      <c r="C351" s="183"/>
      <c r="D351" s="527">
        <f>ROUNDUP((D350*$B$249),-3)</f>
        <v>1978000</v>
      </c>
      <c r="E351" s="527">
        <f>ROUNDUP((E350*$B$249),-3)</f>
        <v>960000</v>
      </c>
      <c r="F351" s="528"/>
      <c r="G351" s="527">
        <f>ROUNDUP((G350*$B$249),-3)</f>
        <v>1981000</v>
      </c>
      <c r="H351" s="551"/>
      <c r="I351" s="551"/>
      <c r="J351" s="527">
        <f>ROUNDUP((J350*$B$249),-3)</f>
        <v>851000</v>
      </c>
      <c r="K351" s="170"/>
      <c r="L351" s="410"/>
    </row>
    <row r="352" spans="1:36" ht="15.75" customHeight="1" thickBot="1">
      <c r="F352" s="530"/>
      <c r="G352" s="530"/>
      <c r="H352" s="553"/>
      <c r="I352" s="553"/>
      <c r="J352" s="553"/>
    </row>
    <row r="353" spans="1:18" ht="15.75" customHeight="1">
      <c r="C353" s="16" t="s">
        <v>603</v>
      </c>
      <c r="D353" s="20" t="s">
        <v>604</v>
      </c>
      <c r="E353" s="17" t="s">
        <v>605</v>
      </c>
      <c r="F353" s="20" t="s">
        <v>606</v>
      </c>
      <c r="G353" s="20" t="s">
        <v>607</v>
      </c>
      <c r="H353" s="20" t="s">
        <v>608</v>
      </c>
      <c r="I353" s="227" t="s">
        <v>609</v>
      </c>
      <c r="J353" s="227" t="s">
        <v>610</v>
      </c>
      <c r="K353" s="227" t="s">
        <v>610</v>
      </c>
      <c r="L353" s="226" t="s">
        <v>611</v>
      </c>
    </row>
    <row r="354" spans="1:18" ht="15.75" customHeight="1" thickBot="1">
      <c r="A354" s="23" t="s">
        <v>620</v>
      </c>
      <c r="B354" s="23">
        <v>0.52</v>
      </c>
      <c r="C354" s="36"/>
      <c r="D354" s="40"/>
      <c r="E354" s="37"/>
      <c r="F354" s="40"/>
      <c r="G354" s="40"/>
      <c r="H354" s="40"/>
      <c r="I354" s="233" t="s">
        <v>615</v>
      </c>
      <c r="J354" s="233" t="s">
        <v>616</v>
      </c>
      <c r="K354" s="233" t="s">
        <v>617</v>
      </c>
      <c r="L354" s="232" t="s">
        <v>617</v>
      </c>
    </row>
    <row r="355" spans="1:18" ht="15.75" customHeight="1">
      <c r="A355" s="480" t="s">
        <v>625</v>
      </c>
      <c r="B355" s="480"/>
      <c r="C355" s="478" t="s">
        <v>864</v>
      </c>
      <c r="D355" s="109">
        <v>1315000</v>
      </c>
      <c r="E355" s="394"/>
      <c r="F355" s="496"/>
      <c r="G355" s="598">
        <v>1310000</v>
      </c>
      <c r="H355" s="535"/>
      <c r="I355" s="535"/>
      <c r="J355" s="400">
        <v>569000</v>
      </c>
      <c r="K355" s="495"/>
      <c r="L355" s="496"/>
      <c r="M355" s="497"/>
      <c r="N355" s="497"/>
      <c r="O355" s="497"/>
      <c r="P355" s="497"/>
      <c r="Q355" s="497"/>
      <c r="R355" s="23"/>
    </row>
    <row r="356" spans="1:18" ht="15.75" customHeight="1">
      <c r="A356" s="23" t="s">
        <v>13</v>
      </c>
      <c r="B356" s="23">
        <v>0.4</v>
      </c>
      <c r="C356" s="181"/>
      <c r="D356" s="175"/>
      <c r="F356" s="500"/>
      <c r="G356" s="175"/>
      <c r="H356" s="388"/>
      <c r="I356" s="388"/>
      <c r="J356" s="175">
        <f>J355*$B$335</f>
        <v>295880</v>
      </c>
      <c r="L356" s="481"/>
      <c r="M356" s="497"/>
      <c r="N356" s="497"/>
      <c r="O356" s="497"/>
      <c r="P356" s="497"/>
      <c r="Q356" s="497"/>
      <c r="R356" s="23"/>
    </row>
    <row r="357" spans="1:18" ht="15.75" customHeight="1">
      <c r="A357" s="23" t="s">
        <v>208</v>
      </c>
      <c r="B357" s="23">
        <v>0.2</v>
      </c>
      <c r="C357" s="181"/>
      <c r="D357" s="482">
        <f>SUM(D355:D356)</f>
        <v>1315000</v>
      </c>
      <c r="E357" s="5"/>
      <c r="F357" s="614"/>
      <c r="G357" s="482">
        <f>SUM(G355:G356)</f>
        <v>1310000</v>
      </c>
      <c r="H357" s="612"/>
      <c r="I357" s="612"/>
      <c r="J357" s="482">
        <f>SUM(J355:J356)</f>
        <v>864880</v>
      </c>
      <c r="L357" s="481"/>
      <c r="M357" s="497"/>
      <c r="N357" s="497"/>
      <c r="O357" s="497"/>
      <c r="P357" s="497"/>
      <c r="Q357" s="497"/>
      <c r="R357" s="23"/>
    </row>
    <row r="358" spans="1:18" ht="15.75" customHeight="1">
      <c r="A358" s="259" t="s">
        <v>15</v>
      </c>
      <c r="B358" s="259"/>
      <c r="C358" s="181"/>
      <c r="D358" s="175">
        <f>D357*$B$337</f>
        <v>526000</v>
      </c>
      <c r="F358" s="500"/>
      <c r="G358" s="175">
        <f>G357*$B$337</f>
        <v>524000</v>
      </c>
      <c r="H358" s="388"/>
      <c r="I358" s="388"/>
      <c r="J358" s="175">
        <f>J357*$B$337</f>
        <v>345952</v>
      </c>
      <c r="L358" s="481"/>
      <c r="M358" s="497"/>
      <c r="N358" s="497"/>
      <c r="O358" s="497"/>
      <c r="P358" s="497"/>
      <c r="Q358" s="497"/>
      <c r="R358" s="23"/>
    </row>
    <row r="359" spans="1:18" ht="15.75" customHeight="1">
      <c r="A359" s="23" t="s">
        <v>215</v>
      </c>
      <c r="B359" s="23">
        <v>1.2</v>
      </c>
      <c r="C359" s="181"/>
      <c r="D359" s="175">
        <f>D357*$B$338</f>
        <v>263000</v>
      </c>
      <c r="F359" s="500"/>
      <c r="G359" s="175">
        <f>G357*$B$338</f>
        <v>262000</v>
      </c>
      <c r="H359" s="388"/>
      <c r="I359" s="388"/>
      <c r="J359" s="175">
        <f>J357*$B$338</f>
        <v>172976</v>
      </c>
      <c r="L359" s="481"/>
      <c r="M359" s="497"/>
      <c r="N359" s="497"/>
      <c r="O359" s="497"/>
      <c r="P359" s="497"/>
      <c r="Q359" s="497"/>
      <c r="R359" s="23"/>
    </row>
    <row r="360" spans="1:18" ht="15.75" customHeight="1">
      <c r="C360" s="181"/>
      <c r="D360" s="613">
        <f>SUM(D357:D359)</f>
        <v>2104000</v>
      </c>
      <c r="E360" s="5"/>
      <c r="F360" s="500"/>
      <c r="G360" s="613">
        <f>SUM(G357:G359)</f>
        <v>2096000</v>
      </c>
      <c r="H360" s="612"/>
      <c r="I360" s="612"/>
      <c r="J360" s="613">
        <f>SUM(J357:J359)</f>
        <v>1383808</v>
      </c>
      <c r="L360" s="481"/>
      <c r="M360" s="497"/>
      <c r="N360" s="497"/>
      <c r="O360" s="497"/>
      <c r="P360" s="497"/>
      <c r="Q360" s="497"/>
      <c r="R360" s="23"/>
    </row>
    <row r="361" spans="1:18" ht="15.75" customHeight="1" thickBot="1">
      <c r="C361" s="183"/>
      <c r="D361" s="527">
        <f>ROUNDUP((D360*$B$249),-3)</f>
        <v>2525000</v>
      </c>
      <c r="E361" s="615"/>
      <c r="F361" s="529"/>
      <c r="G361" s="527">
        <f>ROUNDUP((G360*$B$249),-3)</f>
        <v>2516000</v>
      </c>
      <c r="H361" s="551"/>
      <c r="I361" s="551"/>
      <c r="J361" s="527">
        <f>ROUNDUP((J360*$B$249),-3)</f>
        <v>1661000</v>
      </c>
      <c r="K361" s="170"/>
      <c r="L361" s="410"/>
      <c r="M361" s="497"/>
      <c r="N361" s="497"/>
      <c r="O361" s="497"/>
      <c r="P361" s="497"/>
      <c r="Q361" s="497"/>
      <c r="R361" s="23"/>
    </row>
    <row r="362" spans="1:18" ht="15.75" customHeight="1" thickBot="1">
      <c r="F362" s="530"/>
      <c r="G362" s="530"/>
      <c r="H362" s="553"/>
      <c r="I362" s="553"/>
      <c r="J362" s="553"/>
      <c r="K362" s="530"/>
      <c r="L362" s="530"/>
      <c r="M362" s="497"/>
      <c r="N362" s="497"/>
      <c r="O362" s="497"/>
      <c r="P362" s="497"/>
      <c r="Q362" s="497"/>
      <c r="R362" s="23"/>
    </row>
    <row r="363" spans="1:18" ht="15.75" customHeight="1">
      <c r="C363" s="16" t="s">
        <v>603</v>
      </c>
      <c r="D363" s="20" t="s">
        <v>604</v>
      </c>
      <c r="E363" s="17" t="s">
        <v>605</v>
      </c>
      <c r="F363" s="20" t="s">
        <v>606</v>
      </c>
      <c r="G363" s="20" t="s">
        <v>607</v>
      </c>
      <c r="H363" s="20" t="s">
        <v>608</v>
      </c>
      <c r="I363" s="227" t="s">
        <v>609</v>
      </c>
      <c r="J363" s="227" t="s">
        <v>610</v>
      </c>
      <c r="K363" s="227" t="s">
        <v>610</v>
      </c>
      <c r="L363" s="226" t="s">
        <v>611</v>
      </c>
      <c r="M363" s="497"/>
      <c r="N363" s="497"/>
      <c r="O363" s="497"/>
      <c r="P363" s="497"/>
      <c r="Q363" s="497"/>
      <c r="R363" s="23"/>
    </row>
    <row r="364" spans="1:18" ht="15.75" customHeight="1" thickBot="1">
      <c r="A364" s="23" t="s">
        <v>620</v>
      </c>
      <c r="B364" s="23">
        <v>0.52</v>
      </c>
      <c r="C364" s="36"/>
      <c r="D364" s="40"/>
      <c r="E364" s="37"/>
      <c r="F364" s="40"/>
      <c r="G364" s="40"/>
      <c r="H364" s="40"/>
      <c r="I364" s="233" t="s">
        <v>615</v>
      </c>
      <c r="J364" s="233" t="s">
        <v>616</v>
      </c>
      <c r="K364" s="233" t="s">
        <v>617</v>
      </c>
      <c r="L364" s="232" t="s">
        <v>617</v>
      </c>
      <c r="M364" s="497"/>
      <c r="N364" s="497"/>
      <c r="O364" s="497"/>
      <c r="P364" s="497"/>
      <c r="Q364" s="497"/>
      <c r="R364" s="23"/>
    </row>
    <row r="365" spans="1:18" ht="15.75" customHeight="1">
      <c r="A365" s="480" t="s">
        <v>625</v>
      </c>
      <c r="B365" s="480"/>
      <c r="C365" s="478" t="s">
        <v>865</v>
      </c>
      <c r="D365" s="394"/>
      <c r="E365" s="394"/>
      <c r="F365" s="495"/>
      <c r="G365" s="598">
        <v>1674000</v>
      </c>
      <c r="H365" s="535"/>
      <c r="I365" s="535"/>
      <c r="J365" s="400">
        <v>716000</v>
      </c>
      <c r="K365" s="535"/>
      <c r="L365" s="536"/>
      <c r="M365" s="537"/>
      <c r="N365" s="537"/>
      <c r="O365" s="537"/>
      <c r="P365" s="537"/>
      <c r="Q365" s="537"/>
      <c r="R365" s="23"/>
    </row>
    <row r="366" spans="1:18" ht="15.75" customHeight="1">
      <c r="A366" s="23" t="s">
        <v>13</v>
      </c>
      <c r="B366" s="23">
        <v>0.4</v>
      </c>
      <c r="C366" s="181"/>
      <c r="F366" s="387"/>
      <c r="G366" s="175"/>
      <c r="H366" s="388"/>
      <c r="I366" s="388"/>
      <c r="J366" s="175">
        <f>J365*$B$335</f>
        <v>372320</v>
      </c>
      <c r="L366" s="481"/>
      <c r="M366" s="537"/>
      <c r="N366" s="537"/>
      <c r="O366" s="537"/>
      <c r="P366" s="537"/>
      <c r="Q366" s="537"/>
      <c r="R366" s="23"/>
    </row>
    <row r="367" spans="1:18" ht="15.75" customHeight="1">
      <c r="A367" s="23" t="s">
        <v>208</v>
      </c>
      <c r="B367" s="23">
        <v>0.2</v>
      </c>
      <c r="C367" s="181"/>
      <c r="D367" s="5"/>
      <c r="E367" s="5"/>
      <c r="F367" s="611"/>
      <c r="G367" s="482">
        <f>SUM(G365:G366)</f>
        <v>1674000</v>
      </c>
      <c r="H367" s="612"/>
      <c r="I367" s="612"/>
      <c r="J367" s="482">
        <f>SUM(J365:J366)</f>
        <v>1088320</v>
      </c>
      <c r="L367" s="481"/>
      <c r="M367" s="537"/>
      <c r="N367" s="537"/>
      <c r="O367" s="537"/>
      <c r="P367" s="537"/>
      <c r="Q367" s="537"/>
      <c r="R367" s="23"/>
    </row>
    <row r="368" spans="1:18" ht="15.75" customHeight="1">
      <c r="A368" s="259" t="s">
        <v>15</v>
      </c>
      <c r="B368" s="259"/>
      <c r="C368" s="181"/>
      <c r="F368" s="387"/>
      <c r="G368" s="175">
        <f>G367*$B$337</f>
        <v>669600</v>
      </c>
      <c r="H368" s="388"/>
      <c r="I368" s="388"/>
      <c r="J368" s="175">
        <f>J367*$B$337</f>
        <v>435328</v>
      </c>
      <c r="L368" s="481"/>
      <c r="M368" s="537"/>
      <c r="N368" s="537"/>
      <c r="O368" s="537"/>
      <c r="P368" s="537"/>
      <c r="Q368" s="537"/>
      <c r="R368" s="23"/>
    </row>
    <row r="369" spans="1:18" ht="15.75" customHeight="1">
      <c r="A369" s="23" t="s">
        <v>215</v>
      </c>
      <c r="B369" s="23">
        <v>1.2</v>
      </c>
      <c r="C369" s="181"/>
      <c r="F369" s="387"/>
      <c r="G369" s="175">
        <f>G367*$B$338</f>
        <v>334800</v>
      </c>
      <c r="H369" s="388"/>
      <c r="I369" s="388"/>
      <c r="J369" s="175">
        <f>J367*$B$338</f>
        <v>217664</v>
      </c>
      <c r="L369" s="481"/>
      <c r="M369" s="537"/>
      <c r="N369" s="537"/>
      <c r="O369" s="537"/>
      <c r="P369" s="537"/>
      <c r="Q369" s="537"/>
      <c r="R369" s="23"/>
    </row>
    <row r="370" spans="1:18" ht="15.75" customHeight="1">
      <c r="C370" s="181"/>
      <c r="D370" s="5"/>
      <c r="E370" s="5"/>
      <c r="F370" s="387"/>
      <c r="G370" s="613">
        <f>SUM(G367:G369)</f>
        <v>2678400</v>
      </c>
      <c r="H370" s="612"/>
      <c r="I370" s="612"/>
      <c r="J370" s="613">
        <f>SUM(J367:J369)</f>
        <v>1741312</v>
      </c>
      <c r="L370" s="481"/>
      <c r="M370" s="537"/>
      <c r="N370" s="537"/>
      <c r="O370" s="537"/>
      <c r="P370" s="537"/>
      <c r="Q370" s="537"/>
      <c r="R370" s="23"/>
    </row>
    <row r="371" spans="1:18" ht="15.75" customHeight="1" thickBot="1">
      <c r="C371" s="183"/>
      <c r="D371" s="615"/>
      <c r="E371" s="615"/>
      <c r="F371" s="528"/>
      <c r="G371" s="527">
        <f>ROUNDUP((G370*$B$249),-3)</f>
        <v>3215000</v>
      </c>
      <c r="H371" s="551"/>
      <c r="I371" s="551"/>
      <c r="J371" s="527">
        <f>ROUNDUP((J370*$B$249),-3)</f>
        <v>2090000</v>
      </c>
      <c r="K371" s="170"/>
      <c r="L371" s="410"/>
      <c r="M371" s="537"/>
      <c r="N371" s="537"/>
      <c r="O371" s="537"/>
      <c r="P371" s="537"/>
      <c r="Q371" s="537"/>
      <c r="R371" s="23"/>
    </row>
    <row r="372" spans="1:18" ht="15.75" customHeight="1" thickBot="1">
      <c r="F372" s="530"/>
      <c r="G372" s="530"/>
      <c r="H372" s="553"/>
      <c r="I372" s="553"/>
      <c r="J372" s="553"/>
      <c r="K372" s="553"/>
      <c r="L372" s="553"/>
      <c r="M372" s="537"/>
      <c r="N372" s="537"/>
      <c r="O372" s="537"/>
      <c r="P372" s="537"/>
      <c r="Q372" s="537"/>
      <c r="R372" s="23"/>
    </row>
    <row r="373" spans="1:18" ht="15.75" customHeight="1">
      <c r="C373" s="16" t="s">
        <v>603</v>
      </c>
      <c r="D373" s="20" t="s">
        <v>604</v>
      </c>
      <c r="E373" s="17" t="s">
        <v>605</v>
      </c>
      <c r="F373" s="20" t="s">
        <v>606</v>
      </c>
      <c r="G373" s="20" t="s">
        <v>607</v>
      </c>
      <c r="H373" s="20" t="s">
        <v>608</v>
      </c>
      <c r="I373" s="227" t="s">
        <v>609</v>
      </c>
      <c r="J373" s="227" t="s">
        <v>610</v>
      </c>
      <c r="K373" s="227" t="s">
        <v>610</v>
      </c>
      <c r="L373" s="226" t="s">
        <v>611</v>
      </c>
      <c r="M373" s="537"/>
      <c r="N373" s="537"/>
      <c r="O373" s="537"/>
      <c r="P373" s="537"/>
      <c r="Q373" s="537"/>
      <c r="R373" s="23"/>
    </row>
    <row r="374" spans="1:18" ht="15.75" customHeight="1" thickBot="1">
      <c r="C374" s="36"/>
      <c r="D374" s="40"/>
      <c r="E374" s="37"/>
      <c r="F374" s="40"/>
      <c r="G374" s="40"/>
      <c r="H374" s="40"/>
      <c r="I374" s="233" t="s">
        <v>615</v>
      </c>
      <c r="J374" s="233" t="s">
        <v>616</v>
      </c>
      <c r="K374" s="233" t="s">
        <v>617</v>
      </c>
      <c r="L374" s="232" t="s">
        <v>617</v>
      </c>
      <c r="M374" s="537"/>
      <c r="N374" s="537"/>
      <c r="O374" s="537"/>
      <c r="P374" s="537"/>
      <c r="Q374" s="537"/>
      <c r="R374" s="23"/>
    </row>
    <row r="375" spans="1:18" ht="15.75" customHeight="1">
      <c r="A375" s="23" t="s">
        <v>620</v>
      </c>
      <c r="B375" s="23">
        <v>0.52</v>
      </c>
      <c r="C375" s="478" t="s">
        <v>866</v>
      </c>
      <c r="D375" s="394"/>
      <c r="E375" s="394"/>
      <c r="F375" s="495"/>
      <c r="G375" s="598">
        <v>2221000</v>
      </c>
      <c r="H375" s="535"/>
      <c r="I375" s="535"/>
      <c r="J375" s="400">
        <v>881000</v>
      </c>
      <c r="K375" s="554"/>
      <c r="L375" s="555"/>
      <c r="M375" s="23"/>
      <c r="N375" s="23"/>
      <c r="O375" s="23"/>
      <c r="P375" s="23"/>
      <c r="Q375" s="23"/>
    </row>
    <row r="376" spans="1:18" ht="15.75" customHeight="1">
      <c r="A376" s="480" t="s">
        <v>625</v>
      </c>
      <c r="B376" s="480"/>
      <c r="C376" s="181"/>
      <c r="F376" s="387"/>
      <c r="G376" s="175"/>
      <c r="H376" s="388"/>
      <c r="I376" s="388"/>
      <c r="J376" s="175">
        <f>J375*$B$335</f>
        <v>458120</v>
      </c>
      <c r="L376" s="481"/>
      <c r="M376" s="23"/>
      <c r="N376" s="23"/>
      <c r="O376" s="23"/>
      <c r="P376" s="23"/>
      <c r="Q376" s="23"/>
    </row>
    <row r="377" spans="1:18">
      <c r="A377" s="23" t="s">
        <v>13</v>
      </c>
      <c r="B377" s="23">
        <v>0.4</v>
      </c>
      <c r="C377" s="181"/>
      <c r="D377" s="5"/>
      <c r="E377" s="5"/>
      <c r="F377" s="611"/>
      <c r="G377" s="482">
        <f>SUM(G375:G376)</f>
        <v>2221000</v>
      </c>
      <c r="H377" s="612"/>
      <c r="I377" s="612"/>
      <c r="J377" s="482">
        <f>SUM(J375:J376)</f>
        <v>1339120</v>
      </c>
      <c r="L377" s="481"/>
      <c r="M377" s="23"/>
      <c r="N377" s="23"/>
      <c r="O377" s="23"/>
      <c r="P377" s="23"/>
      <c r="Q377" s="23"/>
    </row>
    <row r="378" spans="1:18">
      <c r="A378" s="23" t="s">
        <v>208</v>
      </c>
      <c r="B378" s="23">
        <v>0.2</v>
      </c>
      <c r="C378" s="181"/>
      <c r="F378" s="387"/>
      <c r="G378" s="175">
        <f>G377*$B$337</f>
        <v>888400</v>
      </c>
      <c r="H378" s="388"/>
      <c r="I378" s="388"/>
      <c r="J378" s="175">
        <f>J377*$B$337</f>
        <v>535648</v>
      </c>
      <c r="L378" s="481"/>
      <c r="M378" s="23"/>
      <c r="N378" s="23"/>
      <c r="O378" s="23"/>
      <c r="P378" s="23"/>
      <c r="Q378" s="23"/>
    </row>
    <row r="379" spans="1:18">
      <c r="A379" s="259" t="s">
        <v>15</v>
      </c>
      <c r="B379" s="259"/>
      <c r="C379" s="181"/>
      <c r="F379" s="387"/>
      <c r="G379" s="175">
        <f>G377*$B$338</f>
        <v>444200</v>
      </c>
      <c r="H379" s="388"/>
      <c r="I379" s="388"/>
      <c r="J379" s="175">
        <f>J377*$B$338</f>
        <v>267824</v>
      </c>
      <c r="L379" s="481"/>
      <c r="M379" s="23"/>
      <c r="N379" s="23"/>
      <c r="O379" s="23"/>
      <c r="P379" s="23"/>
      <c r="Q379" s="23"/>
    </row>
    <row r="380" spans="1:18">
      <c r="A380" s="23" t="s">
        <v>215</v>
      </c>
      <c r="B380" s="23">
        <v>1.2</v>
      </c>
      <c r="C380" s="181"/>
      <c r="D380" s="5"/>
      <c r="E380" s="5"/>
      <c r="F380" s="387"/>
      <c r="G380" s="613">
        <f>SUM(G377:G379)</f>
        <v>3553600</v>
      </c>
      <c r="H380" s="612"/>
      <c r="I380" s="612"/>
      <c r="J380" s="613">
        <f>SUM(J377:J379)</f>
        <v>2142592</v>
      </c>
      <c r="L380" s="481"/>
      <c r="M380" s="23"/>
      <c r="N380" s="23"/>
      <c r="O380" s="23"/>
      <c r="P380" s="23"/>
      <c r="Q380" s="23"/>
    </row>
    <row r="381" spans="1:18" ht="15" thickBot="1">
      <c r="C381" s="183"/>
      <c r="D381" s="615"/>
      <c r="E381" s="615"/>
      <c r="F381" s="528"/>
      <c r="G381" s="527">
        <f>ROUNDUP((G380*$B$249),-3)</f>
        <v>4265000</v>
      </c>
      <c r="H381" s="551"/>
      <c r="I381" s="551"/>
      <c r="J381" s="527">
        <f>ROUNDUP((J380*$B$249),-3)</f>
        <v>2572000</v>
      </c>
      <c r="K381" s="170"/>
      <c r="L381" s="410"/>
      <c r="M381" s="23"/>
      <c r="N381" s="23"/>
      <c r="O381" s="23"/>
      <c r="P381" s="23"/>
      <c r="Q381" s="23"/>
    </row>
    <row r="382" spans="1:18" ht="15" customHeight="1" thickBot="1">
      <c r="F382" s="530"/>
      <c r="G382" s="530"/>
      <c r="H382" s="553"/>
      <c r="I382" s="553"/>
      <c r="J382" s="553"/>
      <c r="K382" s="556"/>
      <c r="L382" s="556"/>
      <c r="M382" s="23"/>
      <c r="N382" s="23"/>
      <c r="O382" s="23"/>
      <c r="P382" s="23"/>
      <c r="Q382" s="23"/>
    </row>
    <row r="383" spans="1:18" ht="15" customHeight="1">
      <c r="C383" s="16" t="s">
        <v>603</v>
      </c>
      <c r="D383" s="20" t="s">
        <v>604</v>
      </c>
      <c r="E383" s="17" t="s">
        <v>605</v>
      </c>
      <c r="F383" s="20" t="s">
        <v>606</v>
      </c>
      <c r="G383" s="20" t="s">
        <v>607</v>
      </c>
      <c r="H383" s="20" t="s">
        <v>608</v>
      </c>
      <c r="I383" s="227" t="s">
        <v>609</v>
      </c>
      <c r="J383" s="227" t="s">
        <v>610</v>
      </c>
      <c r="K383" s="227" t="s">
        <v>610</v>
      </c>
      <c r="L383" s="226" t="s">
        <v>611</v>
      </c>
      <c r="M383" s="23"/>
      <c r="N383" s="23"/>
      <c r="O383" s="23"/>
      <c r="P383" s="23"/>
      <c r="Q383" s="23"/>
    </row>
    <row r="384" spans="1:18" ht="15" thickBot="1">
      <c r="C384" s="36"/>
      <c r="D384" s="40"/>
      <c r="E384" s="37"/>
      <c r="F384" s="40"/>
      <c r="G384" s="40"/>
      <c r="H384" s="40"/>
      <c r="I384" s="233" t="s">
        <v>615</v>
      </c>
      <c r="J384" s="233" t="s">
        <v>616</v>
      </c>
      <c r="K384" s="233" t="s">
        <v>617</v>
      </c>
      <c r="L384" s="232" t="s">
        <v>617</v>
      </c>
      <c r="M384" s="23"/>
      <c r="N384" s="23"/>
      <c r="O384" s="23"/>
      <c r="P384" s="23"/>
      <c r="Q384" s="23"/>
    </row>
    <row r="385" spans="1:17">
      <c r="A385" s="23" t="s">
        <v>620</v>
      </c>
      <c r="B385" s="23">
        <v>0.52</v>
      </c>
      <c r="C385" s="478" t="s">
        <v>867</v>
      </c>
      <c r="D385" s="394"/>
      <c r="E385" s="394"/>
      <c r="F385" s="495"/>
      <c r="G385" s="495"/>
      <c r="H385" s="400">
        <v>10000</v>
      </c>
      <c r="I385" s="535"/>
      <c r="J385" s="400">
        <v>881000</v>
      </c>
      <c r="K385" s="535"/>
      <c r="L385" s="536"/>
      <c r="M385" s="537"/>
      <c r="N385" s="537"/>
      <c r="O385" s="537"/>
      <c r="P385" s="537"/>
      <c r="Q385" s="537"/>
    </row>
    <row r="386" spans="1:17">
      <c r="A386" s="480" t="s">
        <v>625</v>
      </c>
      <c r="B386" s="480"/>
      <c r="C386" s="181"/>
      <c r="F386" s="387"/>
      <c r="G386" s="387"/>
      <c r="H386" s="175"/>
      <c r="I386" s="388"/>
      <c r="J386" s="175">
        <f>J385*$B$335</f>
        <v>458120</v>
      </c>
      <c r="K386" s="388"/>
      <c r="L386" s="539"/>
      <c r="M386" s="537"/>
      <c r="N386" s="537"/>
      <c r="O386" s="537"/>
      <c r="P386" s="537"/>
      <c r="Q386" s="537"/>
    </row>
    <row r="387" spans="1:17">
      <c r="A387" s="23" t="s">
        <v>13</v>
      </c>
      <c r="B387" s="23">
        <v>0.4</v>
      </c>
      <c r="C387" s="181"/>
      <c r="F387" s="387"/>
      <c r="G387" s="387"/>
      <c r="H387" s="482">
        <f>SUM(H385:H386)</f>
        <v>10000</v>
      </c>
      <c r="I387" s="388"/>
      <c r="J387" s="482">
        <f>SUM(J385:J386)</f>
        <v>1339120</v>
      </c>
      <c r="K387" s="388"/>
      <c r="L387" s="539"/>
      <c r="M387" s="537"/>
      <c r="N387" s="537"/>
      <c r="O387" s="537"/>
      <c r="P387" s="537"/>
      <c r="Q387" s="537"/>
    </row>
    <row r="388" spans="1:17">
      <c r="A388" s="23" t="s">
        <v>208</v>
      </c>
      <c r="B388" s="23">
        <v>0.2</v>
      </c>
      <c r="C388" s="181"/>
      <c r="F388" s="387"/>
      <c r="G388" s="387"/>
      <c r="H388" s="175">
        <f>H387*$B$337</f>
        <v>4000</v>
      </c>
      <c r="I388" s="388"/>
      <c r="J388" s="175">
        <f>J387*$B$337</f>
        <v>535648</v>
      </c>
      <c r="K388" s="388"/>
      <c r="L388" s="539"/>
      <c r="M388" s="537"/>
      <c r="N388" s="537"/>
      <c r="O388" s="537"/>
      <c r="P388" s="537"/>
      <c r="Q388" s="537"/>
    </row>
    <row r="389" spans="1:17">
      <c r="A389" s="259" t="s">
        <v>15</v>
      </c>
      <c r="B389" s="259"/>
      <c r="C389" s="181"/>
      <c r="F389" s="387"/>
      <c r="G389" s="387"/>
      <c r="H389" s="175">
        <f>H387*$B$338</f>
        <v>2000</v>
      </c>
      <c r="I389" s="388"/>
      <c r="J389" s="175">
        <f>J387*$B$338</f>
        <v>267824</v>
      </c>
      <c r="K389" s="388"/>
      <c r="L389" s="539"/>
      <c r="M389" s="537"/>
      <c r="N389" s="537"/>
      <c r="O389" s="537"/>
      <c r="P389" s="537"/>
      <c r="Q389" s="537"/>
    </row>
    <row r="390" spans="1:17">
      <c r="A390" s="23" t="s">
        <v>215</v>
      </c>
      <c r="B390" s="23">
        <v>1.2</v>
      </c>
      <c r="C390" s="181"/>
      <c r="F390" s="387"/>
      <c r="G390" s="387"/>
      <c r="H390" s="613">
        <f>SUM(H387:H389)</f>
        <v>16000</v>
      </c>
      <c r="I390" s="388"/>
      <c r="J390" s="613">
        <f>SUM(J387:J389)</f>
        <v>2142592</v>
      </c>
      <c r="K390" s="388"/>
      <c r="L390" s="539"/>
      <c r="M390" s="537"/>
      <c r="N390" s="537"/>
      <c r="O390" s="537"/>
      <c r="P390" s="537"/>
      <c r="Q390" s="537"/>
    </row>
    <row r="391" spans="1:17" ht="15" thickBot="1">
      <c r="C391" s="183"/>
      <c r="D391" s="170"/>
      <c r="E391" s="170"/>
      <c r="F391" s="528"/>
      <c r="G391" s="528"/>
      <c r="H391" s="527">
        <f>ROUNDUP((H390*$B$249),-3)</f>
        <v>20000</v>
      </c>
      <c r="I391" s="551"/>
      <c r="J391" s="527">
        <f>ROUNDUP((J390*$B$249),-3)</f>
        <v>2572000</v>
      </c>
      <c r="K391" s="551"/>
      <c r="L391" s="552"/>
      <c r="M391" s="537"/>
      <c r="N391" s="537"/>
      <c r="O391" s="537"/>
      <c r="P391" s="537"/>
      <c r="Q391" s="537"/>
    </row>
    <row r="392" spans="1:17" ht="15" customHeight="1" thickBot="1">
      <c r="F392" s="530"/>
      <c r="G392" s="530"/>
      <c r="H392" s="553"/>
      <c r="I392" s="553"/>
      <c r="J392" s="553"/>
      <c r="K392" s="553"/>
      <c r="L392" s="553"/>
      <c r="M392" s="537"/>
      <c r="N392" s="537"/>
      <c r="O392" s="537"/>
      <c r="P392" s="537"/>
      <c r="Q392" s="537"/>
    </row>
    <row r="393" spans="1:17" ht="15" customHeight="1">
      <c r="C393" s="16" t="s">
        <v>603</v>
      </c>
      <c r="D393" s="20" t="s">
        <v>604</v>
      </c>
      <c r="E393" s="17" t="s">
        <v>605</v>
      </c>
      <c r="F393" s="20" t="s">
        <v>606</v>
      </c>
      <c r="G393" s="20" t="s">
        <v>607</v>
      </c>
      <c r="H393" s="20" t="s">
        <v>608</v>
      </c>
      <c r="I393" s="227" t="s">
        <v>609</v>
      </c>
      <c r="J393" s="227" t="s">
        <v>610</v>
      </c>
      <c r="K393" s="227" t="s">
        <v>610</v>
      </c>
      <c r="L393" s="226" t="s">
        <v>611</v>
      </c>
      <c r="M393" s="537"/>
      <c r="N393" s="537"/>
      <c r="O393" s="537"/>
      <c r="P393" s="537"/>
      <c r="Q393" s="537"/>
    </row>
    <row r="394" spans="1:17" ht="15" thickBot="1">
      <c r="A394" s="23"/>
      <c r="B394" s="23"/>
      <c r="C394" s="36"/>
      <c r="D394" s="40"/>
      <c r="E394" s="37"/>
      <c r="F394" s="40"/>
      <c r="G394" s="40"/>
      <c r="H394" s="40"/>
      <c r="I394" s="233" t="s">
        <v>615</v>
      </c>
      <c r="J394" s="233" t="s">
        <v>616</v>
      </c>
      <c r="K394" s="233" t="s">
        <v>617</v>
      </c>
      <c r="L394" s="232" t="s">
        <v>617</v>
      </c>
      <c r="M394" s="537"/>
      <c r="N394" s="537"/>
      <c r="O394" s="537"/>
      <c r="P394" s="537"/>
      <c r="Q394" s="537"/>
    </row>
    <row r="395" spans="1:17">
      <c r="A395" s="23" t="s">
        <v>620</v>
      </c>
      <c r="B395" s="23">
        <v>0.52</v>
      </c>
      <c r="C395" s="478" t="s">
        <v>868</v>
      </c>
      <c r="D395" s="394"/>
      <c r="E395" s="394"/>
      <c r="F395" s="109">
        <v>16700</v>
      </c>
      <c r="G395" s="394">
        <v>20000</v>
      </c>
      <c r="H395" s="109">
        <v>15700</v>
      </c>
      <c r="I395" s="109">
        <v>12500</v>
      </c>
      <c r="J395" s="394"/>
      <c r="K395" s="394"/>
      <c r="L395" s="413"/>
    </row>
    <row r="396" spans="1:17">
      <c r="A396" s="480" t="s">
        <v>625</v>
      </c>
      <c r="B396" s="480"/>
      <c r="C396" s="181"/>
      <c r="F396" s="175"/>
      <c r="H396" s="175"/>
      <c r="I396" s="175">
        <f>I395*$B$335</f>
        <v>6500</v>
      </c>
      <c r="L396" s="481"/>
    </row>
    <row r="397" spans="1:17">
      <c r="A397" s="23" t="s">
        <v>13</v>
      </c>
      <c r="B397" s="23">
        <v>0.4</v>
      </c>
      <c r="C397" s="181"/>
      <c r="F397" s="482">
        <f>SUM(F395:F396)</f>
        <v>16700</v>
      </c>
      <c r="G397" s="616">
        <f>SUM(G395:G396)</f>
        <v>20000</v>
      </c>
      <c r="H397" s="482">
        <f>SUM(H395:H396)</f>
        <v>15700</v>
      </c>
      <c r="I397" s="482">
        <f>SUM(I395:I396)</f>
        <v>19000</v>
      </c>
      <c r="L397" s="481"/>
    </row>
    <row r="398" spans="1:17">
      <c r="A398" s="23" t="s">
        <v>208</v>
      </c>
      <c r="B398" s="23">
        <v>0.2</v>
      </c>
      <c r="C398" s="181"/>
      <c r="F398" s="175">
        <f>F397*$B$337</f>
        <v>6680</v>
      </c>
      <c r="G398" s="1">
        <f>G397*$B$337</f>
        <v>8000</v>
      </c>
      <c r="H398" s="175">
        <f>H397*B397</f>
        <v>6280</v>
      </c>
      <c r="I398" s="175">
        <f>I397*$B$337</f>
        <v>7600</v>
      </c>
      <c r="L398" s="481"/>
    </row>
    <row r="399" spans="1:17">
      <c r="A399" s="259" t="s">
        <v>15</v>
      </c>
      <c r="B399" s="259"/>
      <c r="C399" s="181"/>
      <c r="F399" s="175">
        <f>F397*$B$338</f>
        <v>3340</v>
      </c>
      <c r="G399" s="1">
        <f>G397*$B$338</f>
        <v>4000</v>
      </c>
      <c r="H399" s="175">
        <f>H397*B398</f>
        <v>3140</v>
      </c>
      <c r="I399" s="175">
        <f>I397*$B$338</f>
        <v>3800</v>
      </c>
      <c r="L399" s="481"/>
    </row>
    <row r="400" spans="1:17">
      <c r="A400" s="23" t="s">
        <v>215</v>
      </c>
      <c r="B400" s="23">
        <v>1.2</v>
      </c>
      <c r="C400" s="181"/>
      <c r="F400" s="613">
        <f>SUM(F397:F399)</f>
        <v>26720</v>
      </c>
      <c r="G400" s="617">
        <f>SUM(G397:G399)</f>
        <v>32000</v>
      </c>
      <c r="H400" s="613">
        <f>SUM(H397:H399)</f>
        <v>25120</v>
      </c>
      <c r="I400" s="613">
        <f>SUM(I397:I399)</f>
        <v>30400</v>
      </c>
      <c r="L400" s="481"/>
    </row>
    <row r="401" spans="1:12" ht="15" thickBot="1">
      <c r="C401" s="183"/>
      <c r="D401" s="170"/>
      <c r="E401" s="170"/>
      <c r="F401" s="527">
        <f>ROUNDUP((F400*$B$249),-3)</f>
        <v>33000</v>
      </c>
      <c r="G401" s="615">
        <f>ROUNDUP((G400*$B$249),-3)</f>
        <v>39000</v>
      </c>
      <c r="H401" s="527">
        <f>ROUNDUP((H400*B400),-3)</f>
        <v>31000</v>
      </c>
      <c r="I401" s="527">
        <f>ROUNDUP((I400*$B$249),-3)</f>
        <v>37000</v>
      </c>
      <c r="J401" s="170"/>
      <c r="K401" s="170"/>
      <c r="L401" s="410"/>
    </row>
    <row r="402" spans="1:12" ht="15" customHeight="1" thickBot="1"/>
    <row r="403" spans="1:12" ht="15" customHeight="1">
      <c r="C403" s="16" t="s">
        <v>603</v>
      </c>
      <c r="D403" s="20" t="s">
        <v>604</v>
      </c>
      <c r="E403" s="17" t="s">
        <v>605</v>
      </c>
      <c r="F403" s="20" t="s">
        <v>606</v>
      </c>
      <c r="G403" s="20" t="s">
        <v>607</v>
      </c>
      <c r="H403" s="20" t="s">
        <v>608</v>
      </c>
      <c r="I403" s="227" t="s">
        <v>609</v>
      </c>
      <c r="J403" s="227" t="s">
        <v>610</v>
      </c>
      <c r="K403" s="227" t="s">
        <v>610</v>
      </c>
      <c r="L403" s="226" t="s">
        <v>611</v>
      </c>
    </row>
    <row r="404" spans="1:12" ht="15" thickBot="1">
      <c r="C404" s="36"/>
      <c r="D404" s="40"/>
      <c r="E404" s="37"/>
      <c r="F404" s="40"/>
      <c r="G404" s="40"/>
      <c r="H404" s="40"/>
      <c r="I404" s="233" t="s">
        <v>615</v>
      </c>
      <c r="J404" s="233" t="s">
        <v>616</v>
      </c>
      <c r="K404" s="233" t="s">
        <v>617</v>
      </c>
      <c r="L404" s="232" t="s">
        <v>617</v>
      </c>
    </row>
    <row r="405" spans="1:12">
      <c r="A405" s="23" t="s">
        <v>620</v>
      </c>
      <c r="B405" s="23">
        <v>0.52</v>
      </c>
      <c r="C405" s="478" t="s">
        <v>869</v>
      </c>
      <c r="D405" s="394"/>
      <c r="E405" s="394"/>
      <c r="F405" s="109">
        <v>23800</v>
      </c>
      <c r="G405" s="394">
        <v>27600</v>
      </c>
      <c r="H405" s="109">
        <v>24800</v>
      </c>
      <c r="I405" s="109">
        <v>14500</v>
      </c>
      <c r="J405" s="394"/>
      <c r="K405" s="394"/>
      <c r="L405" s="413"/>
    </row>
    <row r="406" spans="1:12">
      <c r="A406" s="480" t="s">
        <v>625</v>
      </c>
      <c r="B406" s="480"/>
      <c r="C406" s="181"/>
      <c r="F406" s="175"/>
      <c r="H406" s="175"/>
      <c r="I406" s="175">
        <f>I405*$B$335</f>
        <v>7540</v>
      </c>
      <c r="L406" s="481"/>
    </row>
    <row r="407" spans="1:12">
      <c r="A407" s="23" t="s">
        <v>13</v>
      </c>
      <c r="B407" s="23">
        <v>0.4</v>
      </c>
      <c r="C407" s="181"/>
      <c r="F407" s="482">
        <f>SUM(F405:F406)</f>
        <v>23800</v>
      </c>
      <c r="G407" s="616">
        <f>SUM(G405:G406)</f>
        <v>27600</v>
      </c>
      <c r="H407" s="482">
        <f>SUM(H405:H406)</f>
        <v>24800</v>
      </c>
      <c r="I407" s="482">
        <f>SUM(I405:I406)</f>
        <v>22040</v>
      </c>
      <c r="L407" s="481"/>
    </row>
    <row r="408" spans="1:12">
      <c r="A408" s="23" t="s">
        <v>208</v>
      </c>
      <c r="B408" s="23">
        <v>0.2</v>
      </c>
      <c r="C408" s="181"/>
      <c r="F408" s="175">
        <f>F407*$B$337</f>
        <v>9520</v>
      </c>
      <c r="G408" s="1">
        <f>G407*$B$337</f>
        <v>11040</v>
      </c>
      <c r="H408" s="175">
        <f>H407*$B$337</f>
        <v>9920</v>
      </c>
      <c r="I408" s="175">
        <f>I407*$B$337</f>
        <v>8816</v>
      </c>
      <c r="L408" s="481"/>
    </row>
    <row r="409" spans="1:12">
      <c r="A409" s="259" t="s">
        <v>15</v>
      </c>
      <c r="B409" s="259"/>
      <c r="C409" s="181"/>
      <c r="F409" s="175">
        <f>F407*$B$338</f>
        <v>4760</v>
      </c>
      <c r="G409" s="1">
        <f>G407*$B$338</f>
        <v>5520</v>
      </c>
      <c r="H409" s="175">
        <f>H407*$B$338</f>
        <v>4960</v>
      </c>
      <c r="I409" s="175">
        <f>I407*$B$338</f>
        <v>4408</v>
      </c>
      <c r="L409" s="481"/>
    </row>
    <row r="410" spans="1:12">
      <c r="A410" s="23" t="s">
        <v>215</v>
      </c>
      <c r="B410" s="23">
        <v>1.2</v>
      </c>
      <c r="C410" s="181"/>
      <c r="F410" s="613">
        <f>SUM(F407:F409)</f>
        <v>38080</v>
      </c>
      <c r="G410" s="617">
        <f>SUM(G407:G409)</f>
        <v>44160</v>
      </c>
      <c r="H410" s="613">
        <f>SUM(H407:H409)</f>
        <v>39680</v>
      </c>
      <c r="I410" s="613">
        <f>SUM(I407:I409)</f>
        <v>35264</v>
      </c>
      <c r="L410" s="481"/>
    </row>
    <row r="411" spans="1:12" ht="15" thickBot="1">
      <c r="C411" s="183"/>
      <c r="D411" s="170"/>
      <c r="E411" s="170"/>
      <c r="F411" s="527">
        <f>ROUNDUP((F410*$B$249),-3)</f>
        <v>46000</v>
      </c>
      <c r="G411" s="615">
        <f>ROUNDUP((G410*$B$249),-3)</f>
        <v>53000</v>
      </c>
      <c r="H411" s="527">
        <f>ROUNDUP((H410*$B$249),-3)</f>
        <v>48000</v>
      </c>
      <c r="I411" s="527">
        <f>ROUNDUP((I410*$B$249),-3)</f>
        <v>43000</v>
      </c>
      <c r="J411" s="170"/>
      <c r="K411" s="170"/>
      <c r="L411" s="410"/>
    </row>
    <row r="412" spans="1:12" ht="15" customHeight="1" thickBot="1"/>
    <row r="413" spans="1:12" ht="15" customHeight="1">
      <c r="C413" s="16" t="s">
        <v>603</v>
      </c>
      <c r="D413" s="20" t="s">
        <v>604</v>
      </c>
      <c r="E413" s="17" t="s">
        <v>605</v>
      </c>
      <c r="F413" s="20" t="s">
        <v>606</v>
      </c>
      <c r="G413" s="20" t="s">
        <v>607</v>
      </c>
      <c r="H413" s="20" t="s">
        <v>608</v>
      </c>
      <c r="I413" s="227" t="s">
        <v>609</v>
      </c>
      <c r="J413" s="227" t="s">
        <v>610</v>
      </c>
      <c r="K413" s="227" t="s">
        <v>610</v>
      </c>
      <c r="L413" s="226" t="s">
        <v>611</v>
      </c>
    </row>
    <row r="414" spans="1:12" ht="15" thickBot="1">
      <c r="C414" s="36"/>
      <c r="D414" s="40"/>
      <c r="E414" s="37"/>
      <c r="F414" s="40"/>
      <c r="G414" s="40"/>
      <c r="H414" s="40"/>
      <c r="I414" s="233" t="s">
        <v>615</v>
      </c>
      <c r="J414" s="233" t="s">
        <v>616</v>
      </c>
      <c r="K414" s="233" t="s">
        <v>617</v>
      </c>
      <c r="L414" s="232" t="s">
        <v>617</v>
      </c>
    </row>
    <row r="415" spans="1:12">
      <c r="A415" s="23" t="s">
        <v>620</v>
      </c>
      <c r="B415" s="23">
        <v>0.52</v>
      </c>
      <c r="C415" s="478" t="s">
        <v>870</v>
      </c>
      <c r="D415" s="394"/>
      <c r="E415" s="394"/>
      <c r="F415" s="109">
        <v>35800</v>
      </c>
      <c r="G415" s="394">
        <v>42600</v>
      </c>
      <c r="H415" s="109">
        <v>36300</v>
      </c>
      <c r="I415" s="109">
        <v>18500</v>
      </c>
      <c r="J415" s="394"/>
      <c r="K415" s="394"/>
      <c r="L415" s="413"/>
    </row>
    <row r="416" spans="1:12">
      <c r="A416" s="480" t="s">
        <v>625</v>
      </c>
      <c r="B416" s="480"/>
      <c r="C416" s="181"/>
      <c r="F416" s="175"/>
      <c r="H416" s="175"/>
      <c r="I416" s="175">
        <f>I415*$B$335</f>
        <v>9620</v>
      </c>
      <c r="L416" s="481"/>
    </row>
    <row r="417" spans="1:18">
      <c r="A417" s="23" t="s">
        <v>13</v>
      </c>
      <c r="B417" s="23">
        <v>0.4</v>
      </c>
      <c r="C417" s="181"/>
      <c r="F417" s="482">
        <f>SUM(F415:F416)</f>
        <v>35800</v>
      </c>
      <c r="G417" s="616">
        <f>SUM(G415:G416)</f>
        <v>42600</v>
      </c>
      <c r="H417" s="482">
        <f>SUM(H415:H416)</f>
        <v>36300</v>
      </c>
      <c r="I417" s="482">
        <f>SUM(I415:I416)</f>
        <v>28120</v>
      </c>
      <c r="L417" s="481"/>
    </row>
    <row r="418" spans="1:18">
      <c r="A418" s="23" t="s">
        <v>208</v>
      </c>
      <c r="B418" s="23">
        <v>0.2</v>
      </c>
      <c r="C418" s="181"/>
      <c r="F418" s="175">
        <f>F417*$B$337</f>
        <v>14320</v>
      </c>
      <c r="G418" s="1">
        <f>G417*$B$337</f>
        <v>17040</v>
      </c>
      <c r="H418" s="175">
        <f>H417*$B$337</f>
        <v>14520</v>
      </c>
      <c r="I418" s="175">
        <f>I417*$B$337</f>
        <v>11248</v>
      </c>
      <c r="L418" s="481"/>
    </row>
    <row r="419" spans="1:18">
      <c r="A419" s="259" t="s">
        <v>15</v>
      </c>
      <c r="B419" s="259"/>
      <c r="C419" s="181"/>
      <c r="F419" s="175">
        <f>F417*$B$338</f>
        <v>7160</v>
      </c>
      <c r="G419" s="1">
        <f>G417*$B$338</f>
        <v>8520</v>
      </c>
      <c r="H419" s="175">
        <f>H417*$B$338</f>
        <v>7260</v>
      </c>
      <c r="I419" s="175">
        <f>I417*$B$338</f>
        <v>5624</v>
      </c>
      <c r="L419" s="481"/>
    </row>
    <row r="420" spans="1:18">
      <c r="A420" s="23" t="s">
        <v>215</v>
      </c>
      <c r="B420" s="23">
        <v>1.2</v>
      </c>
      <c r="C420" s="181"/>
      <c r="F420" s="613">
        <f>SUM(F417:F419)</f>
        <v>57280</v>
      </c>
      <c r="G420" s="617">
        <f>SUM(G417:G419)</f>
        <v>68160</v>
      </c>
      <c r="H420" s="613">
        <f>SUM(H417:H419)</f>
        <v>58080</v>
      </c>
      <c r="I420" s="613">
        <f>SUM(I417:I419)</f>
        <v>44992</v>
      </c>
      <c r="L420" s="481"/>
    </row>
    <row r="421" spans="1:18" ht="15" thickBot="1">
      <c r="C421" s="183"/>
      <c r="D421" s="170"/>
      <c r="E421" s="170"/>
      <c r="F421" s="527">
        <f>ROUNDUP((F420*$B$249),-3)</f>
        <v>69000</v>
      </c>
      <c r="G421" s="615">
        <f>ROUNDUP((G420*$B$249),-3)</f>
        <v>82000</v>
      </c>
      <c r="H421" s="527">
        <f>ROUNDUP((H420*$B$249),-3)</f>
        <v>70000</v>
      </c>
      <c r="I421" s="527">
        <f>ROUNDUP((I420*$B$249),-3)</f>
        <v>54000</v>
      </c>
      <c r="J421" s="170"/>
      <c r="K421" s="170"/>
      <c r="L421" s="410"/>
    </row>
    <row r="422" spans="1:18" ht="15" customHeight="1" thickBot="1"/>
    <row r="423" spans="1:18" ht="15" customHeight="1">
      <c r="C423" s="16" t="s">
        <v>603</v>
      </c>
      <c r="D423" s="20" t="s">
        <v>604</v>
      </c>
      <c r="E423" s="17" t="s">
        <v>605</v>
      </c>
      <c r="F423" s="20" t="s">
        <v>606</v>
      </c>
      <c r="G423" s="17" t="s">
        <v>607</v>
      </c>
      <c r="H423" s="20" t="s">
        <v>608</v>
      </c>
      <c r="I423" s="227" t="s">
        <v>609</v>
      </c>
      <c r="J423" s="226" t="s">
        <v>610</v>
      </c>
      <c r="K423" s="227" t="s">
        <v>610</v>
      </c>
      <c r="L423" s="226" t="s">
        <v>611</v>
      </c>
    </row>
    <row r="424" spans="1:18" ht="15" thickBot="1">
      <c r="C424" s="36"/>
      <c r="D424" s="40"/>
      <c r="E424" s="37"/>
      <c r="F424" s="40"/>
      <c r="G424" s="37"/>
      <c r="H424" s="40"/>
      <c r="I424" s="233" t="s">
        <v>615</v>
      </c>
      <c r="J424" s="232" t="s">
        <v>616</v>
      </c>
      <c r="K424" s="233" t="s">
        <v>617</v>
      </c>
      <c r="L424" s="232" t="s">
        <v>617</v>
      </c>
    </row>
    <row r="425" spans="1:18">
      <c r="A425" s="23" t="s">
        <v>620</v>
      </c>
      <c r="B425" s="23">
        <v>0.52</v>
      </c>
      <c r="C425" s="618" t="s">
        <v>871</v>
      </c>
      <c r="F425" s="175">
        <v>48300</v>
      </c>
      <c r="G425" s="1">
        <v>55000</v>
      </c>
      <c r="H425" s="175">
        <v>52000</v>
      </c>
      <c r="I425" s="175">
        <v>25000</v>
      </c>
      <c r="L425" s="481"/>
      <c r="N425" s="497"/>
      <c r="R425" s="23"/>
    </row>
    <row r="426" spans="1:18">
      <c r="A426" s="480" t="s">
        <v>625</v>
      </c>
      <c r="B426" s="480"/>
      <c r="C426" s="181"/>
      <c r="F426" s="175"/>
      <c r="H426" s="175"/>
      <c r="I426" s="175">
        <f>I425*$B$335</f>
        <v>13000</v>
      </c>
      <c r="L426" s="481"/>
      <c r="N426" s="497"/>
      <c r="R426" s="23"/>
    </row>
    <row r="427" spans="1:18">
      <c r="A427" s="23" t="s">
        <v>13</v>
      </c>
      <c r="B427" s="23">
        <v>0.4</v>
      </c>
      <c r="C427" s="181"/>
      <c r="F427" s="482">
        <f>SUM(F425:F426)</f>
        <v>48300</v>
      </c>
      <c r="G427" s="616">
        <f>SUM(G425:G426)</f>
        <v>55000</v>
      </c>
      <c r="H427" s="482">
        <f>SUM(H425:H426)</f>
        <v>52000</v>
      </c>
      <c r="I427" s="482">
        <f>SUM(I425:I426)</f>
        <v>38000</v>
      </c>
      <c r="L427" s="481"/>
      <c r="N427" s="497"/>
      <c r="R427" s="23"/>
    </row>
    <row r="428" spans="1:18">
      <c r="A428" s="23" t="s">
        <v>208</v>
      </c>
      <c r="B428" s="23">
        <v>0.2</v>
      </c>
      <c r="C428" s="181"/>
      <c r="F428" s="175">
        <f>F427*$B$337</f>
        <v>19320</v>
      </c>
      <c r="G428" s="1">
        <f>G427*$B$337</f>
        <v>22000</v>
      </c>
      <c r="H428" s="175">
        <f>H427*$B$337</f>
        <v>20800</v>
      </c>
      <c r="I428" s="175">
        <f>I427*$B$337</f>
        <v>15200</v>
      </c>
      <c r="L428" s="481"/>
      <c r="N428" s="497"/>
      <c r="R428" s="23"/>
    </row>
    <row r="429" spans="1:18">
      <c r="A429" s="259" t="s">
        <v>15</v>
      </c>
      <c r="B429" s="259"/>
      <c r="C429" s="181"/>
      <c r="F429" s="175">
        <f>F427*$B$338</f>
        <v>9660</v>
      </c>
      <c r="G429" s="1">
        <f>G427*$B$338</f>
        <v>11000</v>
      </c>
      <c r="H429" s="175">
        <f>H427*$B$338</f>
        <v>10400</v>
      </c>
      <c r="I429" s="175">
        <f>I427*$B$338</f>
        <v>7600</v>
      </c>
      <c r="L429" s="481"/>
      <c r="N429" s="497"/>
      <c r="R429" s="23"/>
    </row>
    <row r="430" spans="1:18">
      <c r="A430" s="23" t="s">
        <v>215</v>
      </c>
      <c r="B430" s="23">
        <v>1.2</v>
      </c>
      <c r="C430" s="181"/>
      <c r="F430" s="613">
        <f>SUM(F427:F429)</f>
        <v>77280</v>
      </c>
      <c r="G430" s="617">
        <f>SUM(G427:G429)</f>
        <v>88000</v>
      </c>
      <c r="H430" s="613">
        <f>SUM(H427:H429)</f>
        <v>83200</v>
      </c>
      <c r="I430" s="613">
        <f>SUM(I427:I429)</f>
        <v>60800</v>
      </c>
      <c r="L430" s="481"/>
      <c r="N430" s="497"/>
      <c r="R430" s="23"/>
    </row>
    <row r="431" spans="1:18" ht="15" thickBot="1">
      <c r="C431" s="183"/>
      <c r="D431" s="170"/>
      <c r="E431" s="170"/>
      <c r="F431" s="527">
        <f>ROUNDUP((F430*$B$249),-3)</f>
        <v>93000</v>
      </c>
      <c r="G431" s="615">
        <f>ROUNDUP((G430*$B$249),-3)</f>
        <v>106000</v>
      </c>
      <c r="H431" s="527">
        <f>ROUNDUP((H430*$B$249),-3)</f>
        <v>100000</v>
      </c>
      <c r="I431" s="527">
        <f>ROUNDUP((I430*$B$249),-3)</f>
        <v>73000</v>
      </c>
      <c r="J431" s="170"/>
      <c r="K431" s="170"/>
      <c r="L431" s="410"/>
      <c r="N431" s="497"/>
      <c r="R431" s="23"/>
    </row>
    <row r="432" spans="1:18" ht="15" customHeight="1" thickBot="1">
      <c r="N432" s="497"/>
      <c r="R432" s="23"/>
    </row>
    <row r="433" spans="1:18" ht="15" customHeight="1">
      <c r="C433" s="16" t="s">
        <v>603</v>
      </c>
      <c r="D433" s="20" t="s">
        <v>604</v>
      </c>
      <c r="E433" s="17" t="s">
        <v>605</v>
      </c>
      <c r="F433" s="20" t="s">
        <v>606</v>
      </c>
      <c r="G433" s="17" t="s">
        <v>607</v>
      </c>
      <c r="H433" s="20" t="s">
        <v>608</v>
      </c>
      <c r="I433" s="227" t="s">
        <v>609</v>
      </c>
      <c r="J433" s="226" t="s">
        <v>610</v>
      </c>
      <c r="K433" s="227" t="s">
        <v>610</v>
      </c>
      <c r="L433" s="226" t="s">
        <v>611</v>
      </c>
      <c r="N433" s="497"/>
      <c r="R433" s="23"/>
    </row>
    <row r="434" spans="1:18" ht="15" thickBot="1">
      <c r="C434" s="36"/>
      <c r="D434" s="40"/>
      <c r="E434" s="37"/>
      <c r="F434" s="40"/>
      <c r="G434" s="37"/>
      <c r="H434" s="40"/>
      <c r="I434" s="233" t="s">
        <v>615</v>
      </c>
      <c r="J434" s="232" t="s">
        <v>616</v>
      </c>
      <c r="K434" s="233" t="s">
        <v>617</v>
      </c>
      <c r="L434" s="232" t="s">
        <v>617</v>
      </c>
      <c r="N434" s="497"/>
      <c r="R434" s="23"/>
    </row>
    <row r="435" spans="1:18">
      <c r="A435" s="23" t="s">
        <v>620</v>
      </c>
      <c r="B435" s="23">
        <v>0.52</v>
      </c>
      <c r="C435" s="618" t="s">
        <v>872</v>
      </c>
      <c r="F435" s="175">
        <v>80000</v>
      </c>
      <c r="G435" s="1">
        <v>86000</v>
      </c>
      <c r="H435" s="175">
        <v>90000</v>
      </c>
      <c r="I435" s="175">
        <v>33000</v>
      </c>
      <c r="L435" s="481"/>
      <c r="N435" s="537"/>
      <c r="R435" s="23"/>
    </row>
    <row r="436" spans="1:18">
      <c r="A436" s="480" t="s">
        <v>625</v>
      </c>
      <c r="B436" s="480"/>
      <c r="C436" s="181"/>
      <c r="F436" s="175"/>
      <c r="H436" s="175"/>
      <c r="I436" s="175">
        <f>I435*$B$335</f>
        <v>17160</v>
      </c>
      <c r="L436" s="481"/>
      <c r="N436" s="537"/>
      <c r="R436" s="23"/>
    </row>
    <row r="437" spans="1:18">
      <c r="A437" s="23" t="s">
        <v>13</v>
      </c>
      <c r="B437" s="23">
        <v>0.4</v>
      </c>
      <c r="C437" s="181"/>
      <c r="F437" s="482">
        <f>SUM(F435:F436)</f>
        <v>80000</v>
      </c>
      <c r="G437" s="616">
        <f>SUM(G435:G436)</f>
        <v>86000</v>
      </c>
      <c r="H437" s="482">
        <f>SUM(H435:H436)</f>
        <v>90000</v>
      </c>
      <c r="I437" s="482">
        <f>SUM(I435:I436)</f>
        <v>50160</v>
      </c>
      <c r="L437" s="481"/>
      <c r="N437" s="537"/>
      <c r="R437" s="23"/>
    </row>
    <row r="438" spans="1:18">
      <c r="A438" s="23" t="s">
        <v>208</v>
      </c>
      <c r="B438" s="23">
        <v>0.2</v>
      </c>
      <c r="C438" s="181"/>
      <c r="F438" s="175">
        <f>F437*$B$337</f>
        <v>32000</v>
      </c>
      <c r="G438" s="1">
        <f>G437*$B$337</f>
        <v>34400</v>
      </c>
      <c r="H438" s="175">
        <f>H437*$B$337</f>
        <v>36000</v>
      </c>
      <c r="I438" s="175">
        <f>I437*$B$337</f>
        <v>20064</v>
      </c>
      <c r="L438" s="481"/>
      <c r="N438" s="537"/>
      <c r="R438" s="23"/>
    </row>
    <row r="439" spans="1:18">
      <c r="A439" s="259" t="s">
        <v>15</v>
      </c>
      <c r="B439" s="259"/>
      <c r="C439" s="181"/>
      <c r="F439" s="175">
        <f>F437*$B$338</f>
        <v>16000</v>
      </c>
      <c r="G439" s="1">
        <f>G437*$B$338</f>
        <v>17200</v>
      </c>
      <c r="H439" s="175">
        <f>H437*$B$338</f>
        <v>18000</v>
      </c>
      <c r="I439" s="175">
        <f>I437*$B$338</f>
        <v>10032</v>
      </c>
      <c r="L439" s="481"/>
      <c r="N439" s="537"/>
      <c r="R439" s="23"/>
    </row>
    <row r="440" spans="1:18">
      <c r="A440" s="23" t="s">
        <v>215</v>
      </c>
      <c r="B440" s="23">
        <v>1.2</v>
      </c>
      <c r="C440" s="181"/>
      <c r="F440" s="613">
        <f>SUM(F437:F439)</f>
        <v>128000</v>
      </c>
      <c r="G440" s="617">
        <f>SUM(G437:G439)</f>
        <v>137600</v>
      </c>
      <c r="H440" s="613">
        <f>SUM(H437:H439)</f>
        <v>144000</v>
      </c>
      <c r="I440" s="613">
        <f>SUM(I437:I439)</f>
        <v>80256</v>
      </c>
      <c r="L440" s="481"/>
      <c r="N440" s="537"/>
      <c r="R440" s="23"/>
    </row>
    <row r="441" spans="1:18" ht="15" thickBot="1">
      <c r="C441" s="183"/>
      <c r="D441" s="170"/>
      <c r="E441" s="170"/>
      <c r="F441" s="527">
        <f>ROUNDUP((F440*$B$249),-3)</f>
        <v>154000</v>
      </c>
      <c r="G441" s="615">
        <f>ROUNDUP((G440*$B$249),-3)</f>
        <v>166000</v>
      </c>
      <c r="H441" s="527">
        <f>ROUNDUP((H440*$B$249),-3)</f>
        <v>173000</v>
      </c>
      <c r="I441" s="527">
        <f>ROUNDUP((I440*$B$249),-3)</f>
        <v>97000</v>
      </c>
      <c r="J441" s="170"/>
      <c r="K441" s="170"/>
      <c r="L441" s="410"/>
      <c r="N441" s="537"/>
      <c r="R441" s="23"/>
    </row>
    <row r="442" spans="1:18" ht="15" customHeight="1" thickBot="1">
      <c r="N442" s="537"/>
      <c r="R442" s="23"/>
    </row>
    <row r="443" spans="1:18" ht="15" customHeight="1">
      <c r="C443" s="16" t="s">
        <v>603</v>
      </c>
      <c r="D443" s="20" t="s">
        <v>604</v>
      </c>
      <c r="E443" s="17" t="s">
        <v>605</v>
      </c>
      <c r="F443" s="16" t="s">
        <v>606</v>
      </c>
      <c r="G443" s="20" t="s">
        <v>607</v>
      </c>
      <c r="H443" s="17" t="s">
        <v>608</v>
      </c>
      <c r="I443" s="227" t="s">
        <v>609</v>
      </c>
      <c r="J443" s="226" t="s">
        <v>610</v>
      </c>
      <c r="K443" s="227" t="s">
        <v>610</v>
      </c>
      <c r="L443" s="226" t="s">
        <v>611</v>
      </c>
      <c r="N443" s="537"/>
      <c r="R443" s="23"/>
    </row>
    <row r="444" spans="1:18" ht="15.75" customHeight="1" thickBot="1">
      <c r="C444" s="36"/>
      <c r="D444" s="40"/>
      <c r="E444" s="37"/>
      <c r="F444" s="36"/>
      <c r="G444" s="40"/>
      <c r="H444" s="37"/>
      <c r="I444" s="233" t="s">
        <v>615</v>
      </c>
      <c r="J444" s="232" t="s">
        <v>616</v>
      </c>
      <c r="K444" s="233" t="s">
        <v>617</v>
      </c>
      <c r="L444" s="232" t="s">
        <v>617</v>
      </c>
      <c r="N444" s="537"/>
      <c r="R444" s="23"/>
    </row>
    <row r="445" spans="1:18" ht="15.75" customHeight="1">
      <c r="A445" s="23" t="s">
        <v>620</v>
      </c>
      <c r="B445" s="23">
        <v>0.52</v>
      </c>
      <c r="C445" s="618" t="s">
        <v>873</v>
      </c>
      <c r="G445" s="175">
        <v>136000</v>
      </c>
      <c r="I445" s="175">
        <v>172500</v>
      </c>
      <c r="L445" s="481"/>
      <c r="N445" s="23"/>
    </row>
    <row r="446" spans="1:18" ht="15.75" customHeight="1">
      <c r="A446" s="480" t="s">
        <v>625</v>
      </c>
      <c r="B446" s="480"/>
      <c r="C446" s="181"/>
      <c r="G446" s="175"/>
      <c r="I446" s="175"/>
      <c r="L446" s="481"/>
      <c r="N446" s="23"/>
    </row>
    <row r="447" spans="1:18" ht="15.75" customHeight="1">
      <c r="A447" s="23" t="s">
        <v>13</v>
      </c>
      <c r="B447" s="23">
        <v>0.4</v>
      </c>
      <c r="C447" s="181"/>
      <c r="G447" s="482">
        <f>SUM(G445:G446)</f>
        <v>136000</v>
      </c>
      <c r="I447" s="482">
        <f>SUM(I445:I446)</f>
        <v>172500</v>
      </c>
      <c r="L447" s="481"/>
      <c r="N447" s="23"/>
    </row>
    <row r="448" spans="1:18" ht="15.75" customHeight="1">
      <c r="A448" s="23" t="s">
        <v>208</v>
      </c>
      <c r="B448" s="23">
        <v>0.2</v>
      </c>
      <c r="C448" s="181"/>
      <c r="G448" s="175">
        <f>G447*$B$337</f>
        <v>54400</v>
      </c>
      <c r="I448" s="175">
        <f>I447*$B$337</f>
        <v>69000</v>
      </c>
      <c r="L448" s="481"/>
      <c r="N448" s="23"/>
    </row>
    <row r="449" spans="1:14" ht="15.75" customHeight="1">
      <c r="A449" s="259" t="s">
        <v>15</v>
      </c>
      <c r="B449" s="259"/>
      <c r="C449" s="181"/>
      <c r="G449" s="175">
        <f>G447*$B$338</f>
        <v>27200</v>
      </c>
      <c r="I449" s="175">
        <f>I447*$B$338</f>
        <v>34500</v>
      </c>
      <c r="L449" s="481"/>
      <c r="N449" s="23"/>
    </row>
    <row r="450" spans="1:14" ht="15.75" customHeight="1">
      <c r="A450" s="23" t="s">
        <v>215</v>
      </c>
      <c r="B450" s="23">
        <v>1.2</v>
      </c>
      <c r="C450" s="181"/>
      <c r="G450" s="613">
        <f>SUM(G447:G449)</f>
        <v>217600</v>
      </c>
      <c r="I450" s="613">
        <f>SUM(I447:I449)</f>
        <v>276000</v>
      </c>
      <c r="L450" s="481"/>
      <c r="N450" s="23"/>
    </row>
    <row r="451" spans="1:14" ht="15.75" customHeight="1" thickBot="1">
      <c r="C451" s="183"/>
      <c r="D451" s="170"/>
      <c r="E451" s="170"/>
      <c r="F451" s="170"/>
      <c r="G451" s="527">
        <f>ROUNDUP((G450*$B$249),-3)</f>
        <v>262000</v>
      </c>
      <c r="H451" s="170"/>
      <c r="I451" s="527">
        <f>ROUNDUP((I450*$B$249),-3)</f>
        <v>332000</v>
      </c>
      <c r="J451" s="170"/>
      <c r="K451" s="170"/>
      <c r="L451" s="410"/>
      <c r="N451" s="23"/>
    </row>
    <row r="452" spans="1:14" ht="15.75" customHeight="1" thickBot="1">
      <c r="N452" s="23"/>
    </row>
    <row r="453" spans="1:14" ht="15.75" customHeight="1">
      <c r="C453" s="16" t="s">
        <v>603</v>
      </c>
      <c r="D453" s="20" t="s">
        <v>604</v>
      </c>
      <c r="E453" s="17" t="s">
        <v>605</v>
      </c>
      <c r="F453" s="16" t="s">
        <v>606</v>
      </c>
      <c r="G453" s="20" t="s">
        <v>607</v>
      </c>
      <c r="H453" s="17" t="s">
        <v>608</v>
      </c>
      <c r="I453" s="227" t="s">
        <v>609</v>
      </c>
      <c r="J453" s="226" t="s">
        <v>610</v>
      </c>
      <c r="K453" s="227" t="s">
        <v>610</v>
      </c>
      <c r="L453" s="226" t="s">
        <v>611</v>
      </c>
      <c r="N453" s="23"/>
    </row>
    <row r="454" spans="1:14" ht="15.75" customHeight="1" thickBot="1">
      <c r="C454" s="36"/>
      <c r="D454" s="40"/>
      <c r="E454" s="37"/>
      <c r="F454" s="36"/>
      <c r="G454" s="40"/>
      <c r="H454" s="37"/>
      <c r="I454" s="233" t="s">
        <v>615</v>
      </c>
      <c r="J454" s="232" t="s">
        <v>616</v>
      </c>
      <c r="K454" s="233" t="s">
        <v>617</v>
      </c>
      <c r="L454" s="232" t="s">
        <v>617</v>
      </c>
      <c r="N454" s="23"/>
    </row>
    <row r="455" spans="1:14" ht="15.75" customHeight="1">
      <c r="A455" s="23" t="s">
        <v>620</v>
      </c>
      <c r="B455" s="23">
        <v>0.52</v>
      </c>
      <c r="C455" s="618" t="s">
        <v>874</v>
      </c>
      <c r="G455" s="175">
        <v>204500</v>
      </c>
      <c r="I455" s="175">
        <v>249500</v>
      </c>
      <c r="L455" s="481"/>
      <c r="N455" s="537"/>
    </row>
    <row r="456" spans="1:14" ht="15.75" customHeight="1">
      <c r="A456" s="480" t="s">
        <v>625</v>
      </c>
      <c r="B456" s="480"/>
      <c r="C456" s="181"/>
      <c r="G456" s="175"/>
      <c r="I456" s="175"/>
      <c r="L456" s="481"/>
      <c r="N456" s="537"/>
    </row>
    <row r="457" spans="1:14" ht="15.75" customHeight="1">
      <c r="A457" s="23" t="s">
        <v>13</v>
      </c>
      <c r="B457" s="23">
        <v>0.4</v>
      </c>
      <c r="C457" s="181"/>
      <c r="G457" s="482">
        <f>SUM(G455:G456)</f>
        <v>204500</v>
      </c>
      <c r="I457" s="482">
        <f>SUM(I455:I456)</f>
        <v>249500</v>
      </c>
      <c r="L457" s="481"/>
      <c r="N457" s="537"/>
    </row>
    <row r="458" spans="1:14" ht="15.75" customHeight="1">
      <c r="A458" s="23" t="s">
        <v>208</v>
      </c>
      <c r="B458" s="23">
        <v>0.2</v>
      </c>
      <c r="C458" s="181"/>
      <c r="G458" s="175">
        <f>G457*$B$337</f>
        <v>81800</v>
      </c>
      <c r="I458" s="175">
        <f>I457*$B$337</f>
        <v>99800</v>
      </c>
      <c r="L458" s="481"/>
      <c r="N458" s="537"/>
    </row>
    <row r="459" spans="1:14" ht="15.75" customHeight="1">
      <c r="A459" s="259" t="s">
        <v>15</v>
      </c>
      <c r="B459" s="259"/>
      <c r="C459" s="181"/>
      <c r="G459" s="175">
        <f>G457*$B$338</f>
        <v>40900</v>
      </c>
      <c r="I459" s="175">
        <f>I457*$B$338</f>
        <v>49900</v>
      </c>
      <c r="L459" s="481"/>
      <c r="N459" s="537"/>
    </row>
    <row r="460" spans="1:14" ht="15.75" customHeight="1">
      <c r="A460" s="23" t="s">
        <v>215</v>
      </c>
      <c r="B460" s="23">
        <v>1.2</v>
      </c>
      <c r="C460" s="181"/>
      <c r="G460" s="613">
        <f>SUM(G457:G459)</f>
        <v>327200</v>
      </c>
      <c r="I460" s="613">
        <f>SUM(I457:I459)</f>
        <v>399200</v>
      </c>
      <c r="L460" s="481"/>
      <c r="N460" s="537"/>
    </row>
    <row r="461" spans="1:14" ht="15.75" customHeight="1" thickBot="1">
      <c r="C461" s="183"/>
      <c r="D461" s="170"/>
      <c r="E461" s="170"/>
      <c r="F461" s="170"/>
      <c r="G461" s="527">
        <f>ROUNDUP((G460*$B$249),-3)</f>
        <v>393000</v>
      </c>
      <c r="H461" s="170"/>
      <c r="I461" s="527">
        <f>ROUNDUP((I460*$B$249),-3)</f>
        <v>480000</v>
      </c>
      <c r="J461" s="170"/>
      <c r="K461" s="170"/>
      <c r="L461" s="410"/>
      <c r="N461" s="537"/>
    </row>
    <row r="462" spans="1:14" ht="15.75" customHeight="1" thickBot="1">
      <c r="N462" s="537"/>
    </row>
    <row r="463" spans="1:14" ht="15.75" customHeight="1">
      <c r="C463" s="16" t="s">
        <v>603</v>
      </c>
      <c r="D463" s="20" t="s">
        <v>604</v>
      </c>
      <c r="E463" s="17" t="s">
        <v>605</v>
      </c>
      <c r="F463" s="16" t="s">
        <v>606</v>
      </c>
      <c r="G463" s="20" t="s">
        <v>607</v>
      </c>
      <c r="H463" s="17" t="s">
        <v>608</v>
      </c>
      <c r="I463" s="227" t="s">
        <v>609</v>
      </c>
      <c r="J463" s="226" t="s">
        <v>610</v>
      </c>
      <c r="K463" s="227" t="s">
        <v>610</v>
      </c>
      <c r="L463" s="226" t="s">
        <v>611</v>
      </c>
      <c r="N463" s="537"/>
    </row>
    <row r="464" spans="1:14" ht="15.75" customHeight="1" thickBot="1">
      <c r="C464" s="36"/>
      <c r="D464" s="40"/>
      <c r="E464" s="37"/>
      <c r="F464" s="36"/>
      <c r="G464" s="40"/>
      <c r="H464" s="37"/>
      <c r="I464" s="233" t="s">
        <v>615</v>
      </c>
      <c r="J464" s="232" t="s">
        <v>616</v>
      </c>
      <c r="K464" s="233" t="s">
        <v>617</v>
      </c>
      <c r="L464" s="232" t="s">
        <v>617</v>
      </c>
      <c r="N464" s="537"/>
    </row>
    <row r="465" spans="1:12" ht="15.75" customHeight="1">
      <c r="A465" s="23" t="s">
        <v>620</v>
      </c>
      <c r="B465" s="23">
        <v>0.52</v>
      </c>
      <c r="C465" s="618" t="s">
        <v>875</v>
      </c>
      <c r="G465" s="175">
        <v>265500</v>
      </c>
      <c r="I465" s="175">
        <v>326000</v>
      </c>
      <c r="L465" s="481"/>
    </row>
    <row r="466" spans="1:12" ht="15.75" customHeight="1">
      <c r="A466" s="480" t="s">
        <v>625</v>
      </c>
      <c r="B466" s="480"/>
      <c r="C466" s="181"/>
      <c r="G466" s="175"/>
      <c r="I466" s="175"/>
      <c r="L466" s="481"/>
    </row>
    <row r="467" spans="1:12" ht="15.75" customHeight="1">
      <c r="A467" s="23" t="s">
        <v>13</v>
      </c>
      <c r="B467" s="23">
        <v>0.4</v>
      </c>
      <c r="C467" s="181"/>
      <c r="G467" s="482">
        <f>SUM(G465:G466)</f>
        <v>265500</v>
      </c>
      <c r="I467" s="482">
        <f>SUM(I465:I466)</f>
        <v>326000</v>
      </c>
      <c r="L467" s="481"/>
    </row>
    <row r="468" spans="1:12" ht="15.75" customHeight="1">
      <c r="A468" s="23" t="s">
        <v>208</v>
      </c>
      <c r="B468" s="23">
        <v>0.2</v>
      </c>
      <c r="C468" s="181"/>
      <c r="G468" s="175">
        <f>G467*$B$337</f>
        <v>106200</v>
      </c>
      <c r="I468" s="175">
        <f>I467*$B$337</f>
        <v>130400</v>
      </c>
      <c r="L468" s="481"/>
    </row>
    <row r="469" spans="1:12" ht="15.75" customHeight="1">
      <c r="A469" s="259" t="s">
        <v>15</v>
      </c>
      <c r="B469" s="259"/>
      <c r="C469" s="181"/>
      <c r="G469" s="175">
        <f>G467*$B$338</f>
        <v>53100</v>
      </c>
      <c r="I469" s="175">
        <f>I467*$B$338</f>
        <v>65200</v>
      </c>
      <c r="L469" s="481"/>
    </row>
    <row r="470" spans="1:12" ht="15.75" customHeight="1">
      <c r="A470" s="23" t="s">
        <v>215</v>
      </c>
      <c r="B470" s="23">
        <v>1.2</v>
      </c>
      <c r="C470" s="181"/>
      <c r="G470" s="613">
        <f>SUM(G467:G469)</f>
        <v>424800</v>
      </c>
      <c r="I470" s="613">
        <f>SUM(I467:I469)</f>
        <v>521600</v>
      </c>
      <c r="L470" s="481"/>
    </row>
    <row r="471" spans="1:12" ht="15.75" customHeight="1" thickBot="1">
      <c r="C471" s="183"/>
      <c r="D471" s="170"/>
      <c r="E471" s="170"/>
      <c r="F471" s="170"/>
      <c r="G471" s="527">
        <f>ROUNDUP((G470*$B$249),-3)</f>
        <v>510000</v>
      </c>
      <c r="H471" s="170"/>
      <c r="I471" s="527">
        <f>ROUNDUP((I470*$B$249),-3)</f>
        <v>626000</v>
      </c>
      <c r="J471" s="170"/>
      <c r="K471" s="170"/>
      <c r="L471" s="410"/>
    </row>
    <row r="472" spans="1:12" ht="15.75" customHeight="1" thickBot="1"/>
    <row r="473" spans="1:12" ht="15.75" customHeight="1">
      <c r="C473" s="16" t="s">
        <v>603</v>
      </c>
      <c r="D473" s="20" t="s">
        <v>604</v>
      </c>
      <c r="E473" s="17" t="s">
        <v>605</v>
      </c>
      <c r="F473" s="16" t="s">
        <v>606</v>
      </c>
      <c r="G473" s="20" t="s">
        <v>607</v>
      </c>
      <c r="H473" s="17" t="s">
        <v>608</v>
      </c>
      <c r="I473" s="227" t="s">
        <v>609</v>
      </c>
      <c r="J473" s="226" t="s">
        <v>610</v>
      </c>
      <c r="K473" s="227" t="s">
        <v>610</v>
      </c>
      <c r="L473" s="226" t="s">
        <v>611</v>
      </c>
    </row>
    <row r="474" spans="1:12" ht="15.75" customHeight="1" thickBot="1">
      <c r="C474" s="36"/>
      <c r="D474" s="40"/>
      <c r="E474" s="37"/>
      <c r="F474" s="36"/>
      <c r="G474" s="40"/>
      <c r="H474" s="37"/>
      <c r="I474" s="233" t="s">
        <v>615</v>
      </c>
      <c r="J474" s="232" t="s">
        <v>616</v>
      </c>
      <c r="K474" s="233" t="s">
        <v>617</v>
      </c>
      <c r="L474" s="232" t="s">
        <v>617</v>
      </c>
    </row>
    <row r="475" spans="1:12" ht="15.75" customHeight="1">
      <c r="A475" s="23" t="s">
        <v>620</v>
      </c>
      <c r="B475" s="23">
        <v>0.52</v>
      </c>
      <c r="C475" s="618" t="s">
        <v>876</v>
      </c>
      <c r="G475" s="175">
        <v>366000</v>
      </c>
      <c r="I475" s="175">
        <v>426000</v>
      </c>
      <c r="L475" s="481"/>
    </row>
    <row r="476" spans="1:12" ht="15.75" customHeight="1">
      <c r="A476" s="480" t="s">
        <v>625</v>
      </c>
      <c r="B476" s="480"/>
      <c r="C476" s="181"/>
      <c r="G476" s="175"/>
      <c r="I476" s="175"/>
      <c r="L476" s="481"/>
    </row>
    <row r="477" spans="1:12" ht="15.75" customHeight="1">
      <c r="A477" s="23" t="s">
        <v>13</v>
      </c>
      <c r="B477" s="23">
        <v>0.4</v>
      </c>
      <c r="C477" s="181"/>
      <c r="G477" s="482">
        <f>SUM(G475:G476)</f>
        <v>366000</v>
      </c>
      <c r="I477" s="482">
        <f>SUM(I475:I476)</f>
        <v>426000</v>
      </c>
      <c r="L477" s="481"/>
    </row>
    <row r="478" spans="1:12" ht="15.75" customHeight="1">
      <c r="A478" s="23" t="s">
        <v>208</v>
      </c>
      <c r="B478" s="23">
        <v>0.2</v>
      </c>
      <c r="C478" s="181"/>
      <c r="G478" s="175">
        <f>G477*$B$337</f>
        <v>146400</v>
      </c>
      <c r="I478" s="175">
        <f>I477*$B$337</f>
        <v>170400</v>
      </c>
      <c r="L478" s="481"/>
    </row>
    <row r="479" spans="1:12" ht="15.75" customHeight="1">
      <c r="A479" s="259" t="s">
        <v>15</v>
      </c>
      <c r="B479" s="259"/>
      <c r="C479" s="181"/>
      <c r="G479" s="175">
        <f>G477*$B$338</f>
        <v>73200</v>
      </c>
      <c r="I479" s="175">
        <f>I477*$B$338</f>
        <v>85200</v>
      </c>
      <c r="L479" s="481"/>
    </row>
    <row r="480" spans="1:12" ht="15.75" customHeight="1">
      <c r="A480" s="23" t="s">
        <v>215</v>
      </c>
      <c r="B480" s="23">
        <v>1.2</v>
      </c>
      <c r="C480" s="181"/>
      <c r="G480" s="613">
        <f>SUM(G477:G479)</f>
        <v>585600</v>
      </c>
      <c r="I480" s="613">
        <f>SUM(I477:I479)</f>
        <v>681600</v>
      </c>
      <c r="L480" s="481"/>
    </row>
    <row r="481" spans="1:12" ht="15.75" customHeight="1" thickBot="1">
      <c r="C481" s="183"/>
      <c r="D481" s="170"/>
      <c r="E481" s="170"/>
      <c r="F481" s="170"/>
      <c r="G481" s="527">
        <f>ROUNDUP((G480*$B$249),-3)</f>
        <v>703000</v>
      </c>
      <c r="H481" s="170"/>
      <c r="I481" s="527">
        <f>ROUNDUP((I480*$B$249),-3)</f>
        <v>818000</v>
      </c>
      <c r="J481" s="170"/>
      <c r="K481" s="170"/>
      <c r="L481" s="410"/>
    </row>
    <row r="482" spans="1:12" ht="15.75" customHeight="1" thickBot="1"/>
    <row r="483" spans="1:12" ht="15.75" customHeight="1">
      <c r="C483" s="16" t="s">
        <v>603</v>
      </c>
      <c r="D483" s="20" t="s">
        <v>604</v>
      </c>
      <c r="E483" s="17" t="s">
        <v>605</v>
      </c>
      <c r="F483" s="16" t="s">
        <v>606</v>
      </c>
      <c r="G483" s="20" t="s">
        <v>607</v>
      </c>
      <c r="H483" s="17" t="s">
        <v>608</v>
      </c>
      <c r="I483" s="227" t="s">
        <v>609</v>
      </c>
      <c r="J483" s="226" t="s">
        <v>610</v>
      </c>
      <c r="K483" s="227" t="s">
        <v>610</v>
      </c>
      <c r="L483" s="226" t="s">
        <v>611</v>
      </c>
    </row>
    <row r="484" spans="1:12" ht="15.75" customHeight="1" thickBot="1">
      <c r="C484" s="36"/>
      <c r="D484" s="40"/>
      <c r="E484" s="37"/>
      <c r="F484" s="36"/>
      <c r="G484" s="40"/>
      <c r="H484" s="37"/>
      <c r="I484" s="233" t="s">
        <v>615</v>
      </c>
      <c r="J484" s="232" t="s">
        <v>616</v>
      </c>
      <c r="K484" s="233" t="s">
        <v>617</v>
      </c>
      <c r="L484" s="232" t="s">
        <v>617</v>
      </c>
    </row>
    <row r="485" spans="1:12" ht="15.75" customHeight="1">
      <c r="A485" s="23" t="s">
        <v>620</v>
      </c>
      <c r="B485" s="23">
        <v>0.52</v>
      </c>
      <c r="C485" s="618" t="s">
        <v>877</v>
      </c>
      <c r="G485" s="175">
        <v>517500</v>
      </c>
      <c r="I485" s="175">
        <v>591500</v>
      </c>
      <c r="L485" s="481"/>
    </row>
    <row r="486" spans="1:12" ht="15.75" customHeight="1">
      <c r="A486" s="480" t="s">
        <v>625</v>
      </c>
      <c r="B486" s="480"/>
      <c r="C486" s="181"/>
      <c r="G486" s="175"/>
      <c r="I486" s="175"/>
      <c r="L486" s="481"/>
    </row>
    <row r="487" spans="1:12" ht="15.75" customHeight="1">
      <c r="A487" s="23" t="s">
        <v>13</v>
      </c>
      <c r="B487" s="23">
        <v>0.4</v>
      </c>
      <c r="C487" s="181"/>
      <c r="G487" s="482">
        <f>SUM(G485:G486)</f>
        <v>517500</v>
      </c>
      <c r="I487" s="482">
        <f>SUM(I485:I486)</f>
        <v>591500</v>
      </c>
      <c r="L487" s="481"/>
    </row>
    <row r="488" spans="1:12" ht="15.75" customHeight="1">
      <c r="A488" s="23" t="s">
        <v>208</v>
      </c>
      <c r="B488" s="23">
        <v>0.2</v>
      </c>
      <c r="C488" s="181"/>
      <c r="G488" s="175">
        <f>G487*$B$337</f>
        <v>207000</v>
      </c>
      <c r="I488" s="175">
        <f>I487*$B$337</f>
        <v>236600</v>
      </c>
      <c r="L488" s="481"/>
    </row>
    <row r="489" spans="1:12" ht="15.75" customHeight="1">
      <c r="A489" s="259" t="s">
        <v>15</v>
      </c>
      <c r="B489" s="259"/>
      <c r="C489" s="181"/>
      <c r="G489" s="175">
        <f>G487*$B$338</f>
        <v>103500</v>
      </c>
      <c r="I489" s="175">
        <f>I487*$B$338</f>
        <v>118300</v>
      </c>
      <c r="L489" s="481"/>
    </row>
    <row r="490" spans="1:12" ht="15.75" customHeight="1">
      <c r="A490" s="23" t="s">
        <v>215</v>
      </c>
      <c r="B490" s="23">
        <v>1.2</v>
      </c>
      <c r="C490" s="181"/>
      <c r="G490" s="613">
        <f>SUM(G487:G489)</f>
        <v>828000</v>
      </c>
      <c r="I490" s="613">
        <f>SUM(I487:I489)</f>
        <v>946400</v>
      </c>
      <c r="L490" s="481"/>
    </row>
    <row r="491" spans="1:12" ht="15.75" customHeight="1" thickBot="1">
      <c r="C491" s="183"/>
      <c r="D491" s="170"/>
      <c r="E491" s="170"/>
      <c r="F491" s="170"/>
      <c r="G491" s="527">
        <f>ROUNDUP((G490*$B$249),-3)</f>
        <v>994000</v>
      </c>
      <c r="H491" s="170"/>
      <c r="I491" s="527">
        <f>ROUNDUP((I490*$B$249),-3)</f>
        <v>1136000</v>
      </c>
      <c r="J491" s="170"/>
      <c r="K491" s="170"/>
      <c r="L491" s="410"/>
    </row>
    <row r="492" spans="1:12" ht="15" customHeight="1" thickBot="1"/>
    <row r="493" spans="1:12" ht="15" customHeight="1">
      <c r="C493" s="16" t="s">
        <v>603</v>
      </c>
      <c r="D493" s="20" t="s">
        <v>604</v>
      </c>
      <c r="E493" s="17" t="s">
        <v>605</v>
      </c>
      <c r="F493" s="16" t="s">
        <v>606</v>
      </c>
      <c r="G493" s="20" t="s">
        <v>607</v>
      </c>
      <c r="H493" s="17" t="s">
        <v>608</v>
      </c>
      <c r="I493" s="227" t="s">
        <v>609</v>
      </c>
      <c r="J493" s="226" t="s">
        <v>610</v>
      </c>
      <c r="K493" s="227" t="s">
        <v>610</v>
      </c>
      <c r="L493" s="226" t="s">
        <v>611</v>
      </c>
    </row>
    <row r="494" spans="1:12" ht="15" thickBot="1">
      <c r="C494" s="36"/>
      <c r="D494" s="40"/>
      <c r="E494" s="37"/>
      <c r="F494" s="36"/>
      <c r="G494" s="40"/>
      <c r="H494" s="37"/>
      <c r="I494" s="233" t="s">
        <v>615</v>
      </c>
      <c r="J494" s="232" t="s">
        <v>616</v>
      </c>
      <c r="K494" s="233" t="s">
        <v>617</v>
      </c>
      <c r="L494" s="232" t="s">
        <v>617</v>
      </c>
    </row>
    <row r="495" spans="1:12">
      <c r="A495" s="23" t="s">
        <v>620</v>
      </c>
      <c r="B495" s="23">
        <v>0.52</v>
      </c>
      <c r="C495" s="618" t="s">
        <v>878</v>
      </c>
      <c r="G495" s="175">
        <v>709500</v>
      </c>
      <c r="I495" s="175">
        <v>802500</v>
      </c>
      <c r="L495" s="481"/>
    </row>
    <row r="496" spans="1:12">
      <c r="A496" s="480" t="s">
        <v>625</v>
      </c>
      <c r="B496" s="480"/>
      <c r="C496" s="181"/>
      <c r="G496" s="175"/>
      <c r="I496" s="175"/>
      <c r="L496" s="481"/>
    </row>
    <row r="497" spans="1:12">
      <c r="A497" s="23" t="s">
        <v>13</v>
      </c>
      <c r="B497" s="23">
        <v>0.4</v>
      </c>
      <c r="C497" s="181"/>
      <c r="G497" s="482">
        <f>SUM(G495:G496)</f>
        <v>709500</v>
      </c>
      <c r="I497" s="482">
        <f>SUM(I495:I496)</f>
        <v>802500</v>
      </c>
      <c r="L497" s="481"/>
    </row>
    <row r="498" spans="1:12">
      <c r="A498" s="23" t="s">
        <v>208</v>
      </c>
      <c r="B498" s="23">
        <v>0.2</v>
      </c>
      <c r="C498" s="181"/>
      <c r="G498" s="175">
        <f>G497*$B$337</f>
        <v>283800</v>
      </c>
      <c r="I498" s="175">
        <f>I497*$B$337</f>
        <v>321000</v>
      </c>
      <c r="L498" s="481"/>
    </row>
    <row r="499" spans="1:12">
      <c r="A499" s="259" t="s">
        <v>15</v>
      </c>
      <c r="B499" s="259"/>
      <c r="C499" s="181"/>
      <c r="G499" s="175">
        <f>G497*$B$338</f>
        <v>141900</v>
      </c>
      <c r="I499" s="175">
        <f>I497*$B$338</f>
        <v>160500</v>
      </c>
      <c r="L499" s="481"/>
    </row>
    <row r="500" spans="1:12">
      <c r="A500" s="23" t="s">
        <v>215</v>
      </c>
      <c r="B500" s="23">
        <v>1.2</v>
      </c>
      <c r="C500" s="181"/>
      <c r="G500" s="613">
        <f>SUM(G497:G499)</f>
        <v>1135200</v>
      </c>
      <c r="I500" s="613">
        <f>SUM(I497:I499)</f>
        <v>1284000</v>
      </c>
      <c r="L500" s="481"/>
    </row>
    <row r="501" spans="1:12" ht="15" thickBot="1">
      <c r="C501" s="183"/>
      <c r="D501" s="170"/>
      <c r="E501" s="170"/>
      <c r="F501" s="170"/>
      <c r="G501" s="527">
        <f>ROUNDUP((G500*$B$249),-3)</f>
        <v>1363000</v>
      </c>
      <c r="H501" s="170"/>
      <c r="I501" s="527">
        <f>ROUNDUP((I500*$B$249),-3)</f>
        <v>1541000</v>
      </c>
      <c r="J501" s="170"/>
      <c r="K501" s="170"/>
      <c r="L501" s="410"/>
    </row>
    <row r="502" spans="1:12" ht="15" thickBot="1"/>
    <row r="503" spans="1:12">
      <c r="C503" s="16" t="s">
        <v>603</v>
      </c>
      <c r="D503" s="20" t="s">
        <v>604</v>
      </c>
      <c r="E503" s="17" t="s">
        <v>605</v>
      </c>
      <c r="F503" s="16" t="s">
        <v>606</v>
      </c>
      <c r="G503" s="20" t="s">
        <v>607</v>
      </c>
      <c r="H503" s="17" t="s">
        <v>608</v>
      </c>
      <c r="I503" s="227" t="s">
        <v>609</v>
      </c>
      <c r="J503" s="226" t="s">
        <v>610</v>
      </c>
      <c r="K503" s="227" t="s">
        <v>610</v>
      </c>
      <c r="L503" s="226" t="s">
        <v>611</v>
      </c>
    </row>
    <row r="504" spans="1:12" ht="15" thickBot="1">
      <c r="C504" s="36"/>
      <c r="D504" s="40"/>
      <c r="E504" s="37"/>
      <c r="F504" s="36"/>
      <c r="G504" s="40"/>
      <c r="H504" s="37"/>
      <c r="I504" s="233" t="s">
        <v>615</v>
      </c>
      <c r="J504" s="232" t="s">
        <v>616</v>
      </c>
      <c r="K504" s="233" t="s">
        <v>617</v>
      </c>
      <c r="L504" s="232" t="s">
        <v>617</v>
      </c>
    </row>
    <row r="505" spans="1:12">
      <c r="A505" s="23" t="s">
        <v>620</v>
      </c>
      <c r="B505" s="23">
        <v>0.52</v>
      </c>
      <c r="C505" s="618" t="s">
        <v>879</v>
      </c>
      <c r="G505" s="175">
        <v>884000</v>
      </c>
      <c r="I505" s="175">
        <v>985500</v>
      </c>
      <c r="L505" s="481"/>
    </row>
    <row r="506" spans="1:12">
      <c r="A506" s="480" t="s">
        <v>625</v>
      </c>
      <c r="B506" s="480"/>
      <c r="C506" s="181"/>
      <c r="G506" s="175"/>
      <c r="I506" s="175"/>
      <c r="L506" s="481"/>
    </row>
    <row r="507" spans="1:12">
      <c r="A507" s="23" t="s">
        <v>13</v>
      </c>
      <c r="B507" s="23">
        <v>0.4</v>
      </c>
      <c r="C507" s="181"/>
      <c r="G507" s="482">
        <f>SUM(G505:G506)</f>
        <v>884000</v>
      </c>
      <c r="I507" s="482">
        <f>SUM(I505:I506)</f>
        <v>985500</v>
      </c>
      <c r="L507" s="481"/>
    </row>
    <row r="508" spans="1:12">
      <c r="A508" s="23" t="s">
        <v>208</v>
      </c>
      <c r="B508" s="23">
        <v>0.2</v>
      </c>
      <c r="C508" s="181"/>
      <c r="G508" s="175">
        <f>G507*$B$337</f>
        <v>353600</v>
      </c>
      <c r="I508" s="175">
        <f>I507*$B$337</f>
        <v>394200</v>
      </c>
      <c r="L508" s="481"/>
    </row>
    <row r="509" spans="1:12">
      <c r="A509" s="259" t="s">
        <v>15</v>
      </c>
      <c r="B509" s="259"/>
      <c r="C509" s="181"/>
      <c r="G509" s="175">
        <f>G507*$B$338</f>
        <v>176800</v>
      </c>
      <c r="I509" s="175">
        <f>I507*$B$338</f>
        <v>197100</v>
      </c>
      <c r="L509" s="481"/>
    </row>
    <row r="510" spans="1:12">
      <c r="A510" s="23" t="s">
        <v>215</v>
      </c>
      <c r="B510" s="23">
        <v>1.2</v>
      </c>
      <c r="C510" s="181"/>
      <c r="G510" s="613">
        <f>SUM(G507:G509)</f>
        <v>1414400</v>
      </c>
      <c r="I510" s="613">
        <f>SUM(I507:I509)</f>
        <v>1576800</v>
      </c>
      <c r="L510" s="481"/>
    </row>
    <row r="511" spans="1:12" ht="15" thickBot="1">
      <c r="A511" s="23"/>
      <c r="B511" s="23"/>
      <c r="C511" s="183"/>
      <c r="D511" s="170"/>
      <c r="E511" s="170"/>
      <c r="F511" s="170"/>
      <c r="G511" s="527">
        <f>ROUNDUP((G510*$B$249),-3)</f>
        <v>1698000</v>
      </c>
      <c r="H511" s="170"/>
      <c r="I511" s="527">
        <f>ROUNDUP((I510*$B$249),-3)</f>
        <v>1893000</v>
      </c>
      <c r="J511" s="170"/>
      <c r="K511" s="170"/>
      <c r="L511" s="410"/>
    </row>
    <row r="512" spans="1:12" ht="15" thickBot="1">
      <c r="A512" s="23"/>
      <c r="B512" s="23"/>
      <c r="G512" s="5"/>
      <c r="I512" s="5"/>
    </row>
    <row r="513" spans="1:12">
      <c r="C513" s="16" t="s">
        <v>603</v>
      </c>
      <c r="D513" s="20" t="s">
        <v>604</v>
      </c>
      <c r="E513" s="17" t="s">
        <v>605</v>
      </c>
      <c r="F513" s="20" t="s">
        <v>606</v>
      </c>
      <c r="G513" s="17" t="s">
        <v>607</v>
      </c>
      <c r="H513" s="20" t="s">
        <v>608</v>
      </c>
      <c r="I513" s="227" t="s">
        <v>609</v>
      </c>
      <c r="J513" s="226" t="s">
        <v>610</v>
      </c>
      <c r="K513" s="227" t="s">
        <v>610</v>
      </c>
      <c r="L513" s="226" t="s">
        <v>611</v>
      </c>
    </row>
    <row r="514" spans="1:12" ht="15" thickBot="1">
      <c r="C514" s="36"/>
      <c r="D514" s="40"/>
      <c r="E514" s="37"/>
      <c r="F514" s="40"/>
      <c r="G514" s="37"/>
      <c r="H514" s="40"/>
      <c r="I514" s="233" t="s">
        <v>615</v>
      </c>
      <c r="J514" s="232" t="s">
        <v>616</v>
      </c>
      <c r="K514" s="233" t="s">
        <v>617</v>
      </c>
      <c r="L514" s="232" t="s">
        <v>617</v>
      </c>
    </row>
    <row r="515" spans="1:12">
      <c r="A515" s="23" t="s">
        <v>620</v>
      </c>
      <c r="B515" s="23">
        <v>0.52</v>
      </c>
      <c r="C515" s="618" t="s">
        <v>880</v>
      </c>
      <c r="F515" s="175">
        <v>21500</v>
      </c>
      <c r="G515" s="1">
        <v>25000</v>
      </c>
      <c r="H515" s="175">
        <v>23600</v>
      </c>
      <c r="I515" s="175">
        <v>14000</v>
      </c>
      <c r="L515" s="481"/>
    </row>
    <row r="516" spans="1:12">
      <c r="A516" s="480" t="s">
        <v>625</v>
      </c>
      <c r="B516" s="480"/>
      <c r="C516" s="181"/>
      <c r="F516" s="175"/>
      <c r="H516" s="175"/>
      <c r="I516" s="175"/>
      <c r="L516" s="481"/>
    </row>
    <row r="517" spans="1:12">
      <c r="A517" s="23" t="s">
        <v>13</v>
      </c>
      <c r="B517" s="23">
        <v>0.4</v>
      </c>
      <c r="C517" s="181"/>
      <c r="F517" s="482">
        <f>SUM(F515:F516)</f>
        <v>21500</v>
      </c>
      <c r="G517" s="616">
        <f>SUM(G515:G516)</f>
        <v>25000</v>
      </c>
      <c r="H517" s="482">
        <f>SUM(H515:H516)</f>
        <v>23600</v>
      </c>
      <c r="I517" s="482">
        <f>SUM(I515:I516)</f>
        <v>14000</v>
      </c>
      <c r="L517" s="481"/>
    </row>
    <row r="518" spans="1:12">
      <c r="A518" s="23" t="s">
        <v>208</v>
      </c>
      <c r="B518" s="23">
        <v>0.2</v>
      </c>
      <c r="C518" s="181"/>
      <c r="F518" s="175">
        <f>F517*$B$337</f>
        <v>8600</v>
      </c>
      <c r="G518" s="1">
        <f>G517*$B$337</f>
        <v>10000</v>
      </c>
      <c r="H518" s="175">
        <f>H517*$B$337</f>
        <v>9440</v>
      </c>
      <c r="I518" s="175">
        <f>I517*$B$337</f>
        <v>5600</v>
      </c>
      <c r="L518" s="481"/>
    </row>
    <row r="519" spans="1:12">
      <c r="A519" s="259" t="s">
        <v>15</v>
      </c>
      <c r="B519" s="259"/>
      <c r="C519" s="181"/>
      <c r="F519" s="175">
        <f>F517*$B$338</f>
        <v>4300</v>
      </c>
      <c r="G519" s="1">
        <f>G517*$B$338</f>
        <v>5000</v>
      </c>
      <c r="H519" s="175">
        <f>H517*$B$338</f>
        <v>4720</v>
      </c>
      <c r="I519" s="175">
        <f>I517*$B$338</f>
        <v>2800</v>
      </c>
      <c r="L519" s="481"/>
    </row>
    <row r="520" spans="1:12">
      <c r="A520" s="23" t="s">
        <v>215</v>
      </c>
      <c r="B520" s="23">
        <v>1.2</v>
      </c>
      <c r="C520" s="181"/>
      <c r="F520" s="613">
        <f>SUM(F517:F519)</f>
        <v>34400</v>
      </c>
      <c r="G520" s="617">
        <f>SUM(G517:G519)</f>
        <v>40000</v>
      </c>
      <c r="H520" s="613">
        <f>SUM(H517:H519)</f>
        <v>37760</v>
      </c>
      <c r="I520" s="613">
        <f>SUM(I517:I519)</f>
        <v>22400</v>
      </c>
      <c r="L520" s="481"/>
    </row>
    <row r="521" spans="1:12" ht="15" thickBot="1">
      <c r="C521" s="183"/>
      <c r="D521" s="170"/>
      <c r="E521" s="170"/>
      <c r="F521" s="527">
        <f>ROUNDUP((F520*$B$249),-3)</f>
        <v>42000</v>
      </c>
      <c r="G521" s="615">
        <f>ROUNDUP((G520*$B$249),-3)</f>
        <v>48000</v>
      </c>
      <c r="H521" s="527">
        <f>ROUNDUP((H520*$B$249),-3)</f>
        <v>46000</v>
      </c>
      <c r="I521" s="527">
        <f>ROUNDUP((I520*$B$249),-3)</f>
        <v>27000</v>
      </c>
      <c r="J521" s="170"/>
      <c r="K521" s="170"/>
      <c r="L521" s="410"/>
    </row>
    <row r="522" spans="1:12" ht="15" thickBot="1"/>
    <row r="523" spans="1:12">
      <c r="C523" s="16" t="s">
        <v>603</v>
      </c>
      <c r="D523" s="20" t="s">
        <v>604</v>
      </c>
      <c r="E523" s="17" t="s">
        <v>605</v>
      </c>
      <c r="F523" s="20" t="s">
        <v>606</v>
      </c>
      <c r="G523" s="17" t="s">
        <v>607</v>
      </c>
      <c r="H523" s="20" t="s">
        <v>608</v>
      </c>
      <c r="I523" s="227" t="s">
        <v>609</v>
      </c>
      <c r="J523" s="226" t="s">
        <v>610</v>
      </c>
      <c r="K523" s="227" t="s">
        <v>610</v>
      </c>
      <c r="L523" s="226" t="s">
        <v>611</v>
      </c>
    </row>
    <row r="524" spans="1:12" ht="15" thickBot="1">
      <c r="C524" s="36"/>
      <c r="D524" s="40"/>
      <c r="E524" s="37"/>
      <c r="F524" s="40"/>
      <c r="G524" s="37"/>
      <c r="H524" s="40"/>
      <c r="I524" s="233" t="s">
        <v>615</v>
      </c>
      <c r="J524" s="232" t="s">
        <v>616</v>
      </c>
      <c r="K524" s="233" t="s">
        <v>617</v>
      </c>
      <c r="L524" s="232" t="s">
        <v>617</v>
      </c>
    </row>
    <row r="525" spans="1:12">
      <c r="A525" s="23" t="s">
        <v>620</v>
      </c>
      <c r="B525" s="23">
        <v>0.52</v>
      </c>
      <c r="C525" s="618" t="s">
        <v>881</v>
      </c>
      <c r="F525" s="175">
        <v>31000</v>
      </c>
      <c r="G525" s="1">
        <v>35800</v>
      </c>
      <c r="H525" s="175">
        <v>33800</v>
      </c>
      <c r="I525" s="175">
        <v>17000</v>
      </c>
      <c r="L525" s="481"/>
    </row>
    <row r="526" spans="1:12">
      <c r="A526" s="480" t="s">
        <v>625</v>
      </c>
      <c r="B526" s="480"/>
      <c r="C526" s="181"/>
      <c r="F526" s="175"/>
      <c r="H526" s="175"/>
      <c r="I526" s="175">
        <f>I525*$B$335</f>
        <v>8840</v>
      </c>
      <c r="L526" s="481"/>
    </row>
    <row r="527" spans="1:12">
      <c r="A527" s="23" t="s">
        <v>13</v>
      </c>
      <c r="B527" s="23">
        <v>0.4</v>
      </c>
      <c r="C527" s="181"/>
      <c r="F527" s="482">
        <f>SUM(F525:F526)</f>
        <v>31000</v>
      </c>
      <c r="G527" s="616">
        <f>SUM(G525:G526)</f>
        <v>35800</v>
      </c>
      <c r="H527" s="482">
        <f>SUM(H525:H526)</f>
        <v>33800</v>
      </c>
      <c r="I527" s="482">
        <f>SUM(I525:I526)</f>
        <v>25840</v>
      </c>
      <c r="L527" s="481"/>
    </row>
    <row r="528" spans="1:12">
      <c r="A528" s="23" t="s">
        <v>208</v>
      </c>
      <c r="B528" s="23">
        <v>0.2</v>
      </c>
      <c r="C528" s="181"/>
      <c r="F528" s="175">
        <f>F527*$B$337</f>
        <v>12400</v>
      </c>
      <c r="G528" s="1">
        <f>G527*$B$337</f>
        <v>14320</v>
      </c>
      <c r="H528" s="175">
        <f>H527*$B$337</f>
        <v>13520</v>
      </c>
      <c r="I528" s="175">
        <f>I527*$B$337</f>
        <v>10336</v>
      </c>
      <c r="L528" s="481"/>
    </row>
    <row r="529" spans="1:12">
      <c r="A529" s="259" t="s">
        <v>15</v>
      </c>
      <c r="B529" s="259"/>
      <c r="C529" s="181"/>
      <c r="F529" s="175">
        <f>F527*$B$338</f>
        <v>6200</v>
      </c>
      <c r="G529" s="1">
        <f>G527*$B$338</f>
        <v>7160</v>
      </c>
      <c r="H529" s="175">
        <f>H527*$B$338</f>
        <v>6760</v>
      </c>
      <c r="I529" s="175">
        <f>I527*$B$338</f>
        <v>5168</v>
      </c>
      <c r="L529" s="481"/>
    </row>
    <row r="530" spans="1:12">
      <c r="A530" s="23" t="s">
        <v>215</v>
      </c>
      <c r="B530" s="23">
        <v>1.2</v>
      </c>
      <c r="C530" s="181"/>
      <c r="F530" s="613">
        <f>SUM(F527:F529)</f>
        <v>49600</v>
      </c>
      <c r="G530" s="617">
        <f>SUM(G527:G529)</f>
        <v>57280</v>
      </c>
      <c r="H530" s="613">
        <f>SUM(H527:H529)</f>
        <v>54080</v>
      </c>
      <c r="I530" s="613">
        <f>SUM(I527:I529)</f>
        <v>41344</v>
      </c>
      <c r="L530" s="481"/>
    </row>
    <row r="531" spans="1:12" ht="15" thickBot="1">
      <c r="C531" s="183"/>
      <c r="D531" s="170"/>
      <c r="E531" s="170"/>
      <c r="F531" s="527">
        <f>ROUNDUP((F530*$B$249),-3)</f>
        <v>60000</v>
      </c>
      <c r="G531" s="615">
        <f>ROUNDUP((G530*$B$249),-3)</f>
        <v>69000</v>
      </c>
      <c r="H531" s="527">
        <f>ROUNDUP((H530*$B$249),-3)</f>
        <v>65000</v>
      </c>
      <c r="I531" s="527">
        <f>ROUNDUP((I530*$B$249),-3)</f>
        <v>50000</v>
      </c>
      <c r="J531" s="170"/>
      <c r="K531" s="170"/>
      <c r="L531" s="410"/>
    </row>
    <row r="532" spans="1:12" ht="15" thickBot="1"/>
    <row r="533" spans="1:12">
      <c r="C533" s="16" t="s">
        <v>603</v>
      </c>
      <c r="D533" s="20" t="s">
        <v>604</v>
      </c>
      <c r="E533" s="17" t="s">
        <v>605</v>
      </c>
      <c r="F533" s="20" t="s">
        <v>606</v>
      </c>
      <c r="G533" s="17" t="s">
        <v>607</v>
      </c>
      <c r="H533" s="20" t="s">
        <v>608</v>
      </c>
      <c r="I533" s="227" t="s">
        <v>609</v>
      </c>
      <c r="J533" s="226" t="s">
        <v>610</v>
      </c>
      <c r="K533" s="227" t="s">
        <v>610</v>
      </c>
      <c r="L533" s="226" t="s">
        <v>611</v>
      </c>
    </row>
    <row r="534" spans="1:12" ht="15" thickBot="1">
      <c r="C534" s="36"/>
      <c r="D534" s="40"/>
      <c r="E534" s="37"/>
      <c r="F534" s="40"/>
      <c r="G534" s="37"/>
      <c r="H534" s="40"/>
      <c r="I534" s="233" t="s">
        <v>615</v>
      </c>
      <c r="J534" s="232" t="s">
        <v>616</v>
      </c>
      <c r="K534" s="233" t="s">
        <v>617</v>
      </c>
      <c r="L534" s="232" t="s">
        <v>617</v>
      </c>
    </row>
    <row r="535" spans="1:12">
      <c r="A535" s="23" t="s">
        <v>620</v>
      </c>
      <c r="B535" s="23">
        <v>0.52</v>
      </c>
      <c r="C535" s="618" t="s">
        <v>882</v>
      </c>
      <c r="F535" s="175">
        <v>47800</v>
      </c>
      <c r="G535" s="1">
        <v>55000</v>
      </c>
      <c r="H535" s="175">
        <v>54100</v>
      </c>
      <c r="I535" s="175">
        <v>24500</v>
      </c>
      <c r="L535" s="481"/>
    </row>
    <row r="536" spans="1:12">
      <c r="A536" s="480" t="s">
        <v>625</v>
      </c>
      <c r="B536" s="480"/>
      <c r="C536" s="181"/>
      <c r="F536" s="175"/>
      <c r="H536" s="175"/>
      <c r="I536" s="175">
        <f>I535*$B$335</f>
        <v>12740</v>
      </c>
      <c r="L536" s="481"/>
    </row>
    <row r="537" spans="1:12">
      <c r="A537" s="23" t="s">
        <v>13</v>
      </c>
      <c r="B537" s="23">
        <v>0.4</v>
      </c>
      <c r="C537" s="181"/>
      <c r="F537" s="482">
        <f>SUM(F535:F536)</f>
        <v>47800</v>
      </c>
      <c r="G537" s="616">
        <f>SUM(G535:G536)</f>
        <v>55000</v>
      </c>
      <c r="H537" s="482">
        <f>SUM(H535:H536)</f>
        <v>54100</v>
      </c>
      <c r="I537" s="482">
        <f>SUM(I535:I536)</f>
        <v>37240</v>
      </c>
      <c r="L537" s="481"/>
    </row>
    <row r="538" spans="1:12">
      <c r="A538" s="23" t="s">
        <v>208</v>
      </c>
      <c r="B538" s="23">
        <v>0.2</v>
      </c>
      <c r="C538" s="181"/>
      <c r="F538" s="175">
        <f>F537*$B$337</f>
        <v>19120</v>
      </c>
      <c r="G538" s="1">
        <f>G537*$B$337</f>
        <v>22000</v>
      </c>
      <c r="H538" s="175">
        <f>H537*$B$337</f>
        <v>21640</v>
      </c>
      <c r="I538" s="175">
        <f>I537*$B$337</f>
        <v>14896</v>
      </c>
      <c r="L538" s="481"/>
    </row>
    <row r="539" spans="1:12">
      <c r="A539" s="259" t="s">
        <v>15</v>
      </c>
      <c r="B539" s="259"/>
      <c r="C539" s="181"/>
      <c r="F539" s="175">
        <f>F537*$B$338</f>
        <v>9560</v>
      </c>
      <c r="G539" s="1">
        <f>G537*$B$338</f>
        <v>11000</v>
      </c>
      <c r="H539" s="175">
        <f>H537*$B$338</f>
        <v>10820</v>
      </c>
      <c r="I539" s="175">
        <f>I537*$B$338</f>
        <v>7448</v>
      </c>
      <c r="L539" s="481"/>
    </row>
    <row r="540" spans="1:12">
      <c r="A540" s="23" t="s">
        <v>215</v>
      </c>
      <c r="B540" s="23">
        <v>1.2</v>
      </c>
      <c r="C540" s="181"/>
      <c r="F540" s="613">
        <f>SUM(F537:F539)</f>
        <v>76480</v>
      </c>
      <c r="G540" s="617">
        <f>SUM(G537:G539)</f>
        <v>88000</v>
      </c>
      <c r="H540" s="613">
        <f>SUM(H537:H539)</f>
        <v>86560</v>
      </c>
      <c r="I540" s="613">
        <f>SUM(I537:I539)</f>
        <v>59584</v>
      </c>
      <c r="L540" s="481"/>
    </row>
    <row r="541" spans="1:12" ht="15" thickBot="1">
      <c r="C541" s="183"/>
      <c r="D541" s="170"/>
      <c r="E541" s="170"/>
      <c r="F541" s="527">
        <f>ROUNDUP((F540*$B$249),-3)</f>
        <v>92000</v>
      </c>
      <c r="G541" s="615">
        <f>ROUNDUP((G540*$B$249),-3)</f>
        <v>106000</v>
      </c>
      <c r="H541" s="527">
        <f>ROUNDUP((H540*$B$249),-3)</f>
        <v>104000</v>
      </c>
      <c r="I541" s="527">
        <f>ROUNDUP((I540*$B$249),-3)</f>
        <v>72000</v>
      </c>
      <c r="J541" s="170"/>
      <c r="K541" s="170"/>
      <c r="L541" s="410"/>
    </row>
    <row r="542" spans="1:12" ht="15" thickBot="1"/>
    <row r="543" spans="1:12">
      <c r="C543" s="16" t="s">
        <v>603</v>
      </c>
      <c r="D543" s="20" t="s">
        <v>604</v>
      </c>
      <c r="E543" s="17" t="s">
        <v>605</v>
      </c>
      <c r="F543" s="20" t="s">
        <v>606</v>
      </c>
      <c r="G543" s="17" t="s">
        <v>607</v>
      </c>
      <c r="H543" s="20" t="s">
        <v>608</v>
      </c>
      <c r="I543" s="227" t="s">
        <v>609</v>
      </c>
      <c r="J543" s="226" t="s">
        <v>610</v>
      </c>
      <c r="K543" s="227" t="s">
        <v>610</v>
      </c>
      <c r="L543" s="226" t="s">
        <v>611</v>
      </c>
    </row>
    <row r="544" spans="1:12" ht="15" thickBot="1">
      <c r="C544" s="36"/>
      <c r="D544" s="40"/>
      <c r="E544" s="37"/>
      <c r="F544" s="40"/>
      <c r="G544" s="37"/>
      <c r="H544" s="40"/>
      <c r="I544" s="233" t="s">
        <v>615</v>
      </c>
      <c r="J544" s="232" t="s">
        <v>616</v>
      </c>
      <c r="K544" s="233" t="s">
        <v>617</v>
      </c>
      <c r="L544" s="232" t="s">
        <v>617</v>
      </c>
    </row>
    <row r="545" spans="1:12">
      <c r="A545" s="23" t="s">
        <v>620</v>
      </c>
      <c r="B545" s="23">
        <v>0.52</v>
      </c>
      <c r="C545" s="618" t="s">
        <v>883</v>
      </c>
      <c r="F545" s="175">
        <v>69300</v>
      </c>
      <c r="G545" s="1">
        <v>76500</v>
      </c>
      <c r="H545" s="175">
        <v>76600</v>
      </c>
      <c r="I545" s="175">
        <v>30000</v>
      </c>
      <c r="L545" s="481"/>
    </row>
    <row r="546" spans="1:12">
      <c r="A546" s="480" t="s">
        <v>625</v>
      </c>
      <c r="B546" s="480"/>
      <c r="C546" s="181"/>
      <c r="F546" s="175"/>
      <c r="H546" s="175"/>
      <c r="I546" s="175">
        <f>I545*$B$335</f>
        <v>15600</v>
      </c>
      <c r="L546" s="481"/>
    </row>
    <row r="547" spans="1:12">
      <c r="A547" s="23" t="s">
        <v>13</v>
      </c>
      <c r="B547" s="23">
        <v>0.4</v>
      </c>
      <c r="C547" s="181"/>
      <c r="F547" s="482">
        <f>SUM(F545:F546)</f>
        <v>69300</v>
      </c>
      <c r="G547" s="616">
        <f>SUM(G545:G546)</f>
        <v>76500</v>
      </c>
      <c r="H547" s="482">
        <f>SUM(H545:H546)</f>
        <v>76600</v>
      </c>
      <c r="I547" s="482">
        <f>SUM(I545:I546)</f>
        <v>45600</v>
      </c>
      <c r="L547" s="481"/>
    </row>
    <row r="548" spans="1:12">
      <c r="A548" s="23" t="s">
        <v>208</v>
      </c>
      <c r="B548" s="23">
        <v>0.2</v>
      </c>
      <c r="C548" s="181"/>
      <c r="F548" s="175">
        <f>F547*$B$337</f>
        <v>27720</v>
      </c>
      <c r="G548" s="1">
        <f>G547*$B$337</f>
        <v>30600</v>
      </c>
      <c r="H548" s="175">
        <f>H547*$B$337</f>
        <v>30640</v>
      </c>
      <c r="I548" s="175">
        <f>I547*$B$337</f>
        <v>18240</v>
      </c>
      <c r="L548" s="481"/>
    </row>
    <row r="549" spans="1:12">
      <c r="A549" s="259" t="s">
        <v>15</v>
      </c>
      <c r="B549" s="259"/>
      <c r="C549" s="181"/>
      <c r="F549" s="175">
        <f>F547*$B$338</f>
        <v>13860</v>
      </c>
      <c r="G549" s="1">
        <f>G547*$B$338</f>
        <v>15300</v>
      </c>
      <c r="H549" s="175">
        <f>H547*$B$338</f>
        <v>15320</v>
      </c>
      <c r="I549" s="175">
        <f>I547*$B$338</f>
        <v>9120</v>
      </c>
      <c r="L549" s="481"/>
    </row>
    <row r="550" spans="1:12">
      <c r="A550" s="23" t="s">
        <v>215</v>
      </c>
      <c r="B550" s="23">
        <v>1.2</v>
      </c>
      <c r="C550" s="181"/>
      <c r="F550" s="613">
        <f>SUM(F547:F549)</f>
        <v>110880</v>
      </c>
      <c r="G550" s="617">
        <f>SUM(G547:G549)</f>
        <v>122400</v>
      </c>
      <c r="H550" s="613">
        <f>SUM(H547:H549)</f>
        <v>122560</v>
      </c>
      <c r="I550" s="613">
        <f>SUM(I547:I549)</f>
        <v>72960</v>
      </c>
      <c r="L550" s="481"/>
    </row>
    <row r="551" spans="1:12" ht="15" thickBot="1">
      <c r="C551" s="183"/>
      <c r="D551" s="170"/>
      <c r="E551" s="170"/>
      <c r="F551" s="527">
        <f>ROUNDUP((F550*$B$249),-3)</f>
        <v>134000</v>
      </c>
      <c r="G551" s="615">
        <f>ROUNDUP((G550*$B$249),-3)</f>
        <v>147000</v>
      </c>
      <c r="H551" s="527">
        <f>ROUNDUP((H550*$B$249),-3)</f>
        <v>148000</v>
      </c>
      <c r="I551" s="527">
        <f>ROUNDUP((I550*$B$249),-3)</f>
        <v>88000</v>
      </c>
      <c r="J551" s="170"/>
      <c r="K551" s="170"/>
      <c r="L551" s="410"/>
    </row>
    <row r="552" spans="1:12" ht="15" thickBot="1"/>
    <row r="553" spans="1:12">
      <c r="C553" s="16" t="s">
        <v>603</v>
      </c>
      <c r="D553" s="20" t="s">
        <v>604</v>
      </c>
      <c r="E553" s="17" t="s">
        <v>605</v>
      </c>
      <c r="F553" s="20" t="s">
        <v>606</v>
      </c>
      <c r="G553" s="17" t="s">
        <v>607</v>
      </c>
      <c r="H553" s="20" t="s">
        <v>608</v>
      </c>
      <c r="I553" s="227" t="s">
        <v>609</v>
      </c>
      <c r="J553" s="226" t="s">
        <v>610</v>
      </c>
      <c r="K553" s="227" t="s">
        <v>610</v>
      </c>
      <c r="L553" s="226" t="s">
        <v>611</v>
      </c>
    </row>
    <row r="554" spans="1:12" ht="15" thickBot="1">
      <c r="C554" s="36"/>
      <c r="D554" s="40"/>
      <c r="E554" s="37"/>
      <c r="F554" s="40"/>
      <c r="G554" s="37"/>
      <c r="H554" s="40"/>
      <c r="I554" s="233" t="s">
        <v>615</v>
      </c>
      <c r="J554" s="232" t="s">
        <v>616</v>
      </c>
      <c r="K554" s="233" t="s">
        <v>617</v>
      </c>
      <c r="L554" s="232" t="s">
        <v>617</v>
      </c>
    </row>
    <row r="555" spans="1:12">
      <c r="A555" s="23" t="s">
        <v>620</v>
      </c>
      <c r="B555" s="23">
        <v>0.52</v>
      </c>
      <c r="C555" s="618" t="s">
        <v>884</v>
      </c>
      <c r="F555" s="175">
        <v>114600</v>
      </c>
      <c r="G555" s="1">
        <v>124200</v>
      </c>
      <c r="H555" s="175">
        <v>128500</v>
      </c>
      <c r="I555" s="175">
        <v>40000</v>
      </c>
      <c r="L555" s="481"/>
    </row>
    <row r="556" spans="1:12">
      <c r="A556" s="480" t="s">
        <v>625</v>
      </c>
      <c r="B556" s="480"/>
      <c r="C556" s="181"/>
      <c r="F556" s="175"/>
      <c r="H556" s="175"/>
      <c r="I556" s="175">
        <f>I555*$B$335</f>
        <v>20800</v>
      </c>
      <c r="L556" s="481"/>
    </row>
    <row r="557" spans="1:12">
      <c r="A557" s="23" t="s">
        <v>13</v>
      </c>
      <c r="B557" s="23">
        <v>0.4</v>
      </c>
      <c r="C557" s="181"/>
      <c r="F557" s="482">
        <f>SUM(F555:F556)</f>
        <v>114600</v>
      </c>
      <c r="G557" s="616">
        <f>SUM(G555:G556)</f>
        <v>124200</v>
      </c>
      <c r="H557" s="482">
        <f>SUM(H555:H556)</f>
        <v>128500</v>
      </c>
      <c r="I557" s="482">
        <f>SUM(I555:I556)</f>
        <v>60800</v>
      </c>
      <c r="L557" s="481"/>
    </row>
    <row r="558" spans="1:12">
      <c r="A558" s="23" t="s">
        <v>208</v>
      </c>
      <c r="B558" s="23">
        <v>0.2</v>
      </c>
      <c r="C558" s="181"/>
      <c r="F558" s="175">
        <f>F557*$B$337</f>
        <v>45840</v>
      </c>
      <c r="G558" s="1">
        <f>G557*$B$337</f>
        <v>49680</v>
      </c>
      <c r="H558" s="175">
        <f>H557*$B$337</f>
        <v>51400</v>
      </c>
      <c r="I558" s="175">
        <f>I557*$B$337</f>
        <v>24320</v>
      </c>
      <c r="L558" s="481"/>
    </row>
    <row r="559" spans="1:12">
      <c r="A559" s="259" t="s">
        <v>15</v>
      </c>
      <c r="B559" s="259"/>
      <c r="C559" s="181"/>
      <c r="F559" s="175">
        <f>F557*$B$338</f>
        <v>22920</v>
      </c>
      <c r="G559" s="1">
        <f>G557*$B$338</f>
        <v>24840</v>
      </c>
      <c r="H559" s="175">
        <f>H557*$B$338</f>
        <v>25700</v>
      </c>
      <c r="I559" s="175">
        <f>I557*$B$338</f>
        <v>12160</v>
      </c>
      <c r="L559" s="481"/>
    </row>
    <row r="560" spans="1:12">
      <c r="A560" s="23" t="s">
        <v>215</v>
      </c>
      <c r="B560" s="23">
        <v>1.2</v>
      </c>
      <c r="C560" s="181"/>
      <c r="F560" s="613">
        <f>SUM(F557:F559)</f>
        <v>183360</v>
      </c>
      <c r="G560" s="617">
        <f>SUM(G557:G559)</f>
        <v>198720</v>
      </c>
      <c r="H560" s="613">
        <f>SUM(H557:H559)</f>
        <v>205600</v>
      </c>
      <c r="I560" s="613">
        <f>SUM(I557:I559)</f>
        <v>97280</v>
      </c>
      <c r="L560" s="481"/>
    </row>
    <row r="561" spans="1:12" ht="15" thickBot="1">
      <c r="C561" s="183"/>
      <c r="D561" s="170"/>
      <c r="E561" s="170"/>
      <c r="F561" s="527">
        <f>ROUNDUP((F560*$B$249),-3)</f>
        <v>221000</v>
      </c>
      <c r="G561" s="615">
        <f>ROUNDUP((G560*$B$249),-3)</f>
        <v>239000</v>
      </c>
      <c r="H561" s="527">
        <f>ROUNDUP((H560*$B$249),-3)</f>
        <v>247000</v>
      </c>
      <c r="I561" s="527">
        <f>ROUNDUP((I560*$B$249),-3)</f>
        <v>117000</v>
      </c>
      <c r="J561" s="170"/>
      <c r="K561" s="170"/>
      <c r="L561" s="410"/>
    </row>
    <row r="562" spans="1:12" ht="15" thickBot="1"/>
    <row r="563" spans="1:12">
      <c r="C563" s="16" t="s">
        <v>603</v>
      </c>
      <c r="D563" s="20" t="s">
        <v>604</v>
      </c>
      <c r="E563" s="17" t="s">
        <v>605</v>
      </c>
      <c r="F563" s="16" t="s">
        <v>606</v>
      </c>
      <c r="G563" s="20" t="s">
        <v>607</v>
      </c>
      <c r="H563" s="17" t="s">
        <v>608</v>
      </c>
      <c r="I563" s="227" t="s">
        <v>609</v>
      </c>
      <c r="J563" s="226" t="s">
        <v>610</v>
      </c>
      <c r="K563" s="227" t="s">
        <v>610</v>
      </c>
      <c r="L563" s="226" t="s">
        <v>611</v>
      </c>
    </row>
    <row r="564" spans="1:12" ht="15" thickBot="1">
      <c r="C564" s="36"/>
      <c r="D564" s="40"/>
      <c r="E564" s="37"/>
      <c r="F564" s="36"/>
      <c r="G564" s="40"/>
      <c r="H564" s="37"/>
      <c r="I564" s="233" t="s">
        <v>615</v>
      </c>
      <c r="J564" s="232" t="s">
        <v>616</v>
      </c>
      <c r="K564" s="233" t="s">
        <v>617</v>
      </c>
      <c r="L564" s="232" t="s">
        <v>617</v>
      </c>
    </row>
    <row r="565" spans="1:12">
      <c r="A565" s="23" t="s">
        <v>620</v>
      </c>
      <c r="B565" s="23">
        <v>0.52</v>
      </c>
      <c r="C565" s="618" t="s">
        <v>885</v>
      </c>
      <c r="G565" s="175">
        <v>190000</v>
      </c>
      <c r="I565" s="175">
        <v>228500</v>
      </c>
      <c r="L565" s="481"/>
    </row>
    <row r="566" spans="1:12">
      <c r="A566" s="480" t="s">
        <v>625</v>
      </c>
      <c r="B566" s="480"/>
      <c r="C566" s="181"/>
      <c r="G566" s="175"/>
      <c r="I566" s="175">
        <f>I565*$B$335</f>
        <v>118820</v>
      </c>
      <c r="L566" s="481"/>
    </row>
    <row r="567" spans="1:12">
      <c r="A567" s="23" t="s">
        <v>13</v>
      </c>
      <c r="B567" s="23">
        <v>0.4</v>
      </c>
      <c r="C567" s="181"/>
      <c r="G567" s="482">
        <f>SUM(G565:G566)</f>
        <v>190000</v>
      </c>
      <c r="I567" s="482">
        <f>SUM(I565:I566)</f>
        <v>347320</v>
      </c>
      <c r="L567" s="481"/>
    </row>
    <row r="568" spans="1:12">
      <c r="A568" s="23" t="s">
        <v>208</v>
      </c>
      <c r="B568" s="23">
        <v>0.2</v>
      </c>
      <c r="C568" s="181"/>
      <c r="G568" s="175">
        <f>G567*$B$337</f>
        <v>76000</v>
      </c>
      <c r="I568" s="175">
        <f>I567*$B$337</f>
        <v>138928</v>
      </c>
      <c r="L568" s="481"/>
    </row>
    <row r="569" spans="1:12">
      <c r="A569" s="259" t="s">
        <v>15</v>
      </c>
      <c r="B569" s="259"/>
      <c r="C569" s="181"/>
      <c r="G569" s="175">
        <f>G567*$B$338</f>
        <v>38000</v>
      </c>
      <c r="I569" s="175">
        <f>I567*$B$338</f>
        <v>69464</v>
      </c>
      <c r="L569" s="481"/>
    </row>
    <row r="570" spans="1:12">
      <c r="A570" s="23" t="s">
        <v>215</v>
      </c>
      <c r="B570" s="23">
        <v>1.2</v>
      </c>
      <c r="C570" s="181"/>
      <c r="G570" s="613">
        <f>SUM(G567:G569)</f>
        <v>304000</v>
      </c>
      <c r="I570" s="613">
        <f>SUM(I567:I569)</f>
        <v>555712</v>
      </c>
      <c r="L570" s="481"/>
    </row>
    <row r="571" spans="1:12" ht="15" thickBot="1">
      <c r="C571" s="183"/>
      <c r="D571" s="170"/>
      <c r="E571" s="170"/>
      <c r="F571" s="170"/>
      <c r="G571" s="527">
        <f>ROUNDUP((G570*$B$249),-3)</f>
        <v>365000</v>
      </c>
      <c r="H571" s="170"/>
      <c r="I571" s="527">
        <f>ROUNDUP((I570*$B$249),-3)</f>
        <v>667000</v>
      </c>
      <c r="J571" s="170"/>
      <c r="K571" s="170"/>
      <c r="L571" s="410"/>
    </row>
    <row r="572" spans="1:12" ht="15" thickBot="1"/>
    <row r="573" spans="1:12">
      <c r="C573" s="16" t="s">
        <v>603</v>
      </c>
      <c r="D573" s="20" t="s">
        <v>604</v>
      </c>
      <c r="E573" s="17" t="s">
        <v>605</v>
      </c>
      <c r="F573" s="16" t="s">
        <v>606</v>
      </c>
      <c r="G573" s="20" t="s">
        <v>607</v>
      </c>
      <c r="H573" s="17" t="s">
        <v>608</v>
      </c>
      <c r="I573" s="227" t="s">
        <v>609</v>
      </c>
      <c r="J573" s="619" t="s">
        <v>610</v>
      </c>
      <c r="K573" s="227" t="s">
        <v>610</v>
      </c>
      <c r="L573" s="226" t="s">
        <v>611</v>
      </c>
    </row>
    <row r="574" spans="1:12" ht="15" thickBot="1">
      <c r="C574" s="36"/>
      <c r="D574" s="40"/>
      <c r="E574" s="37"/>
      <c r="F574" s="36"/>
      <c r="G574" s="40"/>
      <c r="H574" s="37"/>
      <c r="I574" s="233" t="s">
        <v>615</v>
      </c>
      <c r="J574" s="49" t="s">
        <v>616</v>
      </c>
      <c r="K574" s="233" t="s">
        <v>617</v>
      </c>
      <c r="L574" s="232" t="s">
        <v>617</v>
      </c>
    </row>
    <row r="575" spans="1:12">
      <c r="A575" s="23" t="s">
        <v>620</v>
      </c>
      <c r="B575" s="23">
        <v>0.52</v>
      </c>
      <c r="C575" s="618" t="s">
        <v>886</v>
      </c>
      <c r="G575" s="175">
        <v>291500</v>
      </c>
      <c r="I575" s="175">
        <v>340000</v>
      </c>
      <c r="K575" s="175">
        <v>311000</v>
      </c>
      <c r="L575" s="481">
        <v>350000</v>
      </c>
    </row>
    <row r="576" spans="1:12">
      <c r="A576" s="480" t="s">
        <v>625</v>
      </c>
      <c r="B576" s="480"/>
      <c r="C576" s="181"/>
      <c r="G576" s="175">
        <f>G575*$B$335</f>
        <v>151580</v>
      </c>
      <c r="I576" s="175">
        <f>I575*$B$335</f>
        <v>176800</v>
      </c>
      <c r="K576" s="175">
        <f>K575*$B$335</f>
        <v>161720</v>
      </c>
      <c r="L576" s="481">
        <f>L575*$B$335</f>
        <v>182000</v>
      </c>
    </row>
    <row r="577" spans="1:12">
      <c r="A577" s="23" t="s">
        <v>13</v>
      </c>
      <c r="B577" s="23">
        <v>0.4</v>
      </c>
      <c r="C577" s="181"/>
      <c r="G577" s="482">
        <f>SUM(G575:G576)</f>
        <v>443080</v>
      </c>
      <c r="I577" s="482">
        <f>SUM(I575:I576)</f>
        <v>516800</v>
      </c>
      <c r="K577" s="482">
        <f>SUM(K575:K576)</f>
        <v>472720</v>
      </c>
      <c r="L577" s="620">
        <f>SUM(L575:L576)</f>
        <v>532000</v>
      </c>
    </row>
    <row r="578" spans="1:12">
      <c r="A578" s="23" t="s">
        <v>208</v>
      </c>
      <c r="B578" s="23">
        <v>0.2</v>
      </c>
      <c r="C578" s="181"/>
      <c r="G578" s="175">
        <f>G577*$B$337</f>
        <v>177232</v>
      </c>
      <c r="I578" s="175">
        <f>I577*$B$337</f>
        <v>206720</v>
      </c>
      <c r="K578" s="175">
        <f>K577*$B$337</f>
        <v>189088</v>
      </c>
      <c r="L578" s="481">
        <f>L577*$B$337</f>
        <v>212800</v>
      </c>
    </row>
    <row r="579" spans="1:12">
      <c r="A579" s="259" t="s">
        <v>15</v>
      </c>
      <c r="B579" s="259"/>
      <c r="C579" s="181"/>
      <c r="G579" s="175">
        <f>G577*$B$338</f>
        <v>88616</v>
      </c>
      <c r="I579" s="175">
        <f>I577*$B$338</f>
        <v>103360</v>
      </c>
      <c r="K579" s="175">
        <f>K577*$B$338</f>
        <v>94544</v>
      </c>
      <c r="L579" s="481">
        <f>L577*$B$338</f>
        <v>106400</v>
      </c>
    </row>
    <row r="580" spans="1:12">
      <c r="A580" s="23" t="s">
        <v>215</v>
      </c>
      <c r="B580" s="23">
        <v>1.2</v>
      </c>
      <c r="C580" s="181"/>
      <c r="G580" s="613">
        <f>SUM(G577:G579)</f>
        <v>708928</v>
      </c>
      <c r="I580" s="613">
        <f>SUM(I577:I579)</f>
        <v>826880</v>
      </c>
      <c r="K580" s="613">
        <f>SUM(K577:K579)</f>
        <v>756352</v>
      </c>
      <c r="L580" s="621">
        <f>SUM(L577:L579)</f>
        <v>851200</v>
      </c>
    </row>
    <row r="581" spans="1:12" ht="15" thickBot="1">
      <c r="C581" s="183"/>
      <c r="D581" s="170"/>
      <c r="E581" s="170"/>
      <c r="F581" s="170"/>
      <c r="G581" s="527">
        <f>ROUNDUP((G580*$B$249),-3)</f>
        <v>851000</v>
      </c>
      <c r="H581" s="170"/>
      <c r="I581" s="527">
        <f>ROUNDUP((I580*$B$249),-3)</f>
        <v>993000</v>
      </c>
      <c r="J581" s="170"/>
      <c r="K581" s="527">
        <f>ROUNDUP((K580*$B$249),-3)</f>
        <v>908000</v>
      </c>
      <c r="L581" s="622">
        <f>ROUNDUP((L580*$B$249),-3)</f>
        <v>1022000</v>
      </c>
    </row>
    <row r="582" spans="1:12" ht="15" thickBot="1">
      <c r="I582" s="109"/>
    </row>
    <row r="583" spans="1:12">
      <c r="C583" s="16" t="s">
        <v>603</v>
      </c>
      <c r="D583" s="20" t="s">
        <v>604</v>
      </c>
      <c r="E583" s="17" t="s">
        <v>605</v>
      </c>
      <c r="F583" s="16" t="s">
        <v>606</v>
      </c>
      <c r="G583" s="20" t="s">
        <v>607</v>
      </c>
      <c r="H583" s="17" t="s">
        <v>608</v>
      </c>
      <c r="I583" s="227" t="s">
        <v>609</v>
      </c>
      <c r="J583" s="619" t="s">
        <v>610</v>
      </c>
      <c r="K583" s="227" t="s">
        <v>610</v>
      </c>
      <c r="L583" s="226" t="s">
        <v>611</v>
      </c>
    </row>
    <row r="584" spans="1:12" ht="15" thickBot="1">
      <c r="C584" s="36"/>
      <c r="D584" s="40"/>
      <c r="E584" s="37"/>
      <c r="F584" s="36"/>
      <c r="G584" s="40"/>
      <c r="H584" s="37"/>
      <c r="I584" s="233" t="s">
        <v>615</v>
      </c>
      <c r="J584" s="49" t="s">
        <v>616</v>
      </c>
      <c r="K584" s="233" t="s">
        <v>617</v>
      </c>
      <c r="L584" s="232" t="s">
        <v>617</v>
      </c>
    </row>
    <row r="585" spans="1:12">
      <c r="A585" s="23" t="s">
        <v>620</v>
      </c>
      <c r="B585" s="23">
        <v>0.52</v>
      </c>
      <c r="C585" s="618" t="s">
        <v>887</v>
      </c>
      <c r="G585" s="175">
        <v>392500</v>
      </c>
      <c r="I585" s="175">
        <v>452000</v>
      </c>
      <c r="K585" s="175">
        <v>343000</v>
      </c>
      <c r="L585" s="481">
        <v>380000</v>
      </c>
    </row>
    <row r="586" spans="1:12">
      <c r="A586" s="480" t="s">
        <v>625</v>
      </c>
      <c r="B586" s="480"/>
      <c r="C586" s="181"/>
      <c r="G586" s="175"/>
      <c r="I586" s="175"/>
      <c r="K586" s="175">
        <f>K585*$B$335</f>
        <v>178360</v>
      </c>
      <c r="L586" s="481">
        <f>L585*$B$335</f>
        <v>197600</v>
      </c>
    </row>
    <row r="587" spans="1:12">
      <c r="A587" s="23" t="s">
        <v>13</v>
      </c>
      <c r="B587" s="23">
        <v>0.4</v>
      </c>
      <c r="C587" s="181"/>
      <c r="G587" s="482">
        <f>SUM(G585:G586)</f>
        <v>392500</v>
      </c>
      <c r="I587" s="482">
        <f>SUM(I585:I586)</f>
        <v>452000</v>
      </c>
      <c r="K587" s="482">
        <f>SUM(K585:K586)</f>
        <v>521360</v>
      </c>
      <c r="L587" s="620">
        <f>SUM(L585:L586)</f>
        <v>577600</v>
      </c>
    </row>
    <row r="588" spans="1:12">
      <c r="A588" s="23" t="s">
        <v>208</v>
      </c>
      <c r="B588" s="23">
        <v>0.2</v>
      </c>
      <c r="C588" s="181"/>
      <c r="G588" s="175">
        <f>G587*$B$337</f>
        <v>157000</v>
      </c>
      <c r="I588" s="175">
        <f>I587*$B$337</f>
        <v>180800</v>
      </c>
      <c r="K588" s="175">
        <f>K587*$B$337</f>
        <v>208544</v>
      </c>
      <c r="L588" s="481">
        <f>L587*$B$337</f>
        <v>231040</v>
      </c>
    </row>
    <row r="589" spans="1:12">
      <c r="A589" s="259" t="s">
        <v>15</v>
      </c>
      <c r="B589" s="259"/>
      <c r="C589" s="181"/>
      <c r="G589" s="175">
        <f>G587*$B$338</f>
        <v>78500</v>
      </c>
      <c r="I589" s="175">
        <f>I587*$B$338</f>
        <v>90400</v>
      </c>
      <c r="K589" s="175">
        <f>K587*$B$338</f>
        <v>104272</v>
      </c>
      <c r="L589" s="481">
        <f>L587*$B$338</f>
        <v>115520</v>
      </c>
    </row>
    <row r="590" spans="1:12">
      <c r="A590" s="23" t="s">
        <v>215</v>
      </c>
      <c r="B590" s="23">
        <v>1.2</v>
      </c>
      <c r="C590" s="181"/>
      <c r="G590" s="613">
        <f>SUM(G587:G589)</f>
        <v>628000</v>
      </c>
      <c r="I590" s="613">
        <f>SUM(I587:I589)</f>
        <v>723200</v>
      </c>
      <c r="K590" s="613">
        <f>SUM(K587:K589)</f>
        <v>834176</v>
      </c>
      <c r="L590" s="621">
        <f>SUM(L587:L589)</f>
        <v>924160</v>
      </c>
    </row>
    <row r="591" spans="1:12" ht="15" thickBot="1">
      <c r="A591" s="23"/>
      <c r="B591" s="23"/>
      <c r="C591" s="183"/>
      <c r="D591" s="170"/>
      <c r="E591" s="170"/>
      <c r="F591" s="170"/>
      <c r="G591" s="527">
        <f>ROUNDUP((G590*$B$249),-3)</f>
        <v>754000</v>
      </c>
      <c r="H591" s="170"/>
      <c r="I591" s="527">
        <f>ROUNDUP((I590*$B$249),-3)</f>
        <v>868000</v>
      </c>
      <c r="J591" s="170"/>
      <c r="K591" s="527">
        <f>ROUNDUP((K590*$B$249),-3)</f>
        <v>1002000</v>
      </c>
      <c r="L591" s="622">
        <f>ROUNDUP((L590*$B$249),-3)</f>
        <v>1109000</v>
      </c>
    </row>
    <row r="592" spans="1:12" ht="15" thickBot="1">
      <c r="A592" s="23"/>
      <c r="B592" s="23"/>
      <c r="G592" s="5"/>
      <c r="I592" s="5"/>
      <c r="K592" s="5"/>
      <c r="L592" s="5"/>
    </row>
    <row r="593" spans="1:12">
      <c r="C593" s="16" t="s">
        <v>603</v>
      </c>
      <c r="D593" s="20" t="s">
        <v>604</v>
      </c>
      <c r="E593" s="17" t="s">
        <v>605</v>
      </c>
      <c r="F593" s="16" t="s">
        <v>606</v>
      </c>
      <c r="G593" s="20" t="s">
        <v>607</v>
      </c>
      <c r="H593" s="17" t="s">
        <v>608</v>
      </c>
      <c r="I593" s="227" t="s">
        <v>609</v>
      </c>
      <c r="J593" s="619" t="s">
        <v>610</v>
      </c>
      <c r="K593" s="227" t="s">
        <v>610</v>
      </c>
      <c r="L593" s="226" t="s">
        <v>611</v>
      </c>
    </row>
    <row r="594" spans="1:12" ht="15" thickBot="1">
      <c r="C594" s="36"/>
      <c r="D594" s="40"/>
      <c r="E594" s="37"/>
      <c r="F594" s="36"/>
      <c r="G594" s="40"/>
      <c r="H594" s="37"/>
      <c r="I594" s="233" t="s">
        <v>615</v>
      </c>
      <c r="J594" s="49" t="s">
        <v>616</v>
      </c>
      <c r="K594" s="233" t="s">
        <v>617</v>
      </c>
      <c r="L594" s="232" t="s">
        <v>617</v>
      </c>
    </row>
    <row r="595" spans="1:12">
      <c r="A595" s="23" t="s">
        <v>620</v>
      </c>
      <c r="B595" s="23">
        <v>0.52</v>
      </c>
      <c r="C595" s="618" t="s">
        <v>888</v>
      </c>
      <c r="G595" s="175">
        <v>509500</v>
      </c>
      <c r="I595" s="175">
        <v>573500</v>
      </c>
      <c r="K595" s="175">
        <v>400000</v>
      </c>
      <c r="L595" s="481">
        <v>450000</v>
      </c>
    </row>
    <row r="596" spans="1:12">
      <c r="A596" s="480" t="s">
        <v>625</v>
      </c>
      <c r="B596" s="480"/>
      <c r="C596" s="181"/>
      <c r="G596" s="175"/>
      <c r="I596" s="175"/>
      <c r="K596" s="175">
        <f>K595*$B$335</f>
        <v>208000</v>
      </c>
      <c r="L596" s="481">
        <f>L595*$B$335</f>
        <v>234000</v>
      </c>
    </row>
    <row r="597" spans="1:12">
      <c r="A597" s="23" t="s">
        <v>13</v>
      </c>
      <c r="B597" s="23">
        <v>0.4</v>
      </c>
      <c r="C597" s="181"/>
      <c r="G597" s="482">
        <f>SUM(G595:G596)</f>
        <v>509500</v>
      </c>
      <c r="I597" s="482">
        <f>SUM(I595:I596)</f>
        <v>573500</v>
      </c>
      <c r="K597" s="482">
        <f>SUM(K595:K596)</f>
        <v>608000</v>
      </c>
      <c r="L597" s="620">
        <f>SUM(L595:L596)</f>
        <v>684000</v>
      </c>
    </row>
    <row r="598" spans="1:12">
      <c r="A598" s="23" t="s">
        <v>208</v>
      </c>
      <c r="B598" s="23">
        <v>0.2</v>
      </c>
      <c r="C598" s="181"/>
      <c r="G598" s="175">
        <f>G597*$B$337</f>
        <v>203800</v>
      </c>
      <c r="I598" s="175">
        <f>I597*$B$337</f>
        <v>229400</v>
      </c>
      <c r="K598" s="175">
        <f>K597*$B$337</f>
        <v>243200</v>
      </c>
      <c r="L598" s="481">
        <f>L597*$B$337</f>
        <v>273600</v>
      </c>
    </row>
    <row r="599" spans="1:12">
      <c r="A599" s="259" t="s">
        <v>15</v>
      </c>
      <c r="B599" s="259"/>
      <c r="C599" s="181"/>
      <c r="G599" s="175">
        <f>G597*$B$338</f>
        <v>101900</v>
      </c>
      <c r="I599" s="175">
        <f>I597*$B$338</f>
        <v>114700</v>
      </c>
      <c r="K599" s="175">
        <f>K597*$B$338</f>
        <v>121600</v>
      </c>
      <c r="L599" s="481">
        <f>L597*$B$338</f>
        <v>136800</v>
      </c>
    </row>
    <row r="600" spans="1:12">
      <c r="A600" s="23" t="s">
        <v>215</v>
      </c>
      <c r="B600" s="23">
        <v>1.2</v>
      </c>
      <c r="C600" s="181"/>
      <c r="G600" s="613">
        <f>SUM(G597:G599)</f>
        <v>815200</v>
      </c>
      <c r="I600" s="613">
        <f>SUM(I597:I599)</f>
        <v>917600</v>
      </c>
      <c r="K600" s="613">
        <f>SUM(K597:K599)</f>
        <v>972800</v>
      </c>
      <c r="L600" s="621">
        <f>SUM(L597:L599)</f>
        <v>1094400</v>
      </c>
    </row>
    <row r="601" spans="1:12" ht="15" thickBot="1">
      <c r="C601" s="183"/>
      <c r="D601" s="170"/>
      <c r="E601" s="170"/>
      <c r="F601" s="170"/>
      <c r="G601" s="527">
        <f>ROUNDUP((G600*$B$249),-3)</f>
        <v>979000</v>
      </c>
      <c r="H601" s="170"/>
      <c r="I601" s="527">
        <f>ROUNDUP((I600*$B$249),-3)</f>
        <v>1102000</v>
      </c>
      <c r="J601" s="170"/>
      <c r="K601" s="527">
        <f>ROUNDUP((K600*$B$249),-3)</f>
        <v>1168000</v>
      </c>
      <c r="L601" s="622">
        <f>ROUNDUP((L600*$B$249),-3)</f>
        <v>1314000</v>
      </c>
    </row>
    <row r="602" spans="1:12" ht="15" thickBot="1"/>
    <row r="603" spans="1:12">
      <c r="C603" s="16" t="s">
        <v>603</v>
      </c>
      <c r="D603" s="20" t="s">
        <v>604</v>
      </c>
      <c r="E603" s="17" t="s">
        <v>605</v>
      </c>
      <c r="F603" s="16" t="s">
        <v>606</v>
      </c>
      <c r="G603" s="20" t="s">
        <v>607</v>
      </c>
      <c r="H603" s="17" t="s">
        <v>608</v>
      </c>
      <c r="I603" s="227" t="s">
        <v>609</v>
      </c>
      <c r="J603" s="619" t="s">
        <v>610</v>
      </c>
      <c r="K603" s="227" t="s">
        <v>610</v>
      </c>
      <c r="L603" s="226" t="s">
        <v>611</v>
      </c>
    </row>
    <row r="604" spans="1:12" ht="15" thickBot="1">
      <c r="C604" s="36"/>
      <c r="D604" s="40"/>
      <c r="E604" s="37"/>
      <c r="F604" s="36"/>
      <c r="G604" s="40"/>
      <c r="H604" s="37"/>
      <c r="I604" s="233" t="s">
        <v>615</v>
      </c>
      <c r="J604" s="49" t="s">
        <v>616</v>
      </c>
      <c r="K604" s="233" t="s">
        <v>617</v>
      </c>
      <c r="L604" s="232" t="s">
        <v>617</v>
      </c>
    </row>
    <row r="605" spans="1:12">
      <c r="A605" s="390" t="s">
        <v>889</v>
      </c>
      <c r="B605" s="23">
        <v>0.52</v>
      </c>
      <c r="C605" s="618" t="s">
        <v>890</v>
      </c>
      <c r="G605" s="175">
        <v>731500</v>
      </c>
      <c r="I605" s="175">
        <v>799000</v>
      </c>
      <c r="K605" s="175">
        <v>493000</v>
      </c>
      <c r="L605" s="481">
        <v>550000</v>
      </c>
    </row>
    <row r="606" spans="1:12">
      <c r="A606" s="480" t="s">
        <v>625</v>
      </c>
      <c r="B606" s="480"/>
      <c r="C606" s="181"/>
      <c r="G606" s="175"/>
      <c r="I606" s="175"/>
      <c r="K606" s="175">
        <f>K605*$B$335</f>
        <v>256360</v>
      </c>
      <c r="L606" s="481">
        <f>L605*$B$335</f>
        <v>286000</v>
      </c>
    </row>
    <row r="607" spans="1:12">
      <c r="A607" s="23" t="s">
        <v>13</v>
      </c>
      <c r="B607" s="23">
        <v>0.4</v>
      </c>
      <c r="C607" s="181"/>
      <c r="G607" s="482">
        <f>SUM(G605:G606)</f>
        <v>731500</v>
      </c>
      <c r="I607" s="482">
        <f>SUM(I605:I606)</f>
        <v>799000</v>
      </c>
      <c r="K607" s="482">
        <f>SUM(K605:K606)</f>
        <v>749360</v>
      </c>
      <c r="L607" s="620">
        <f>SUM(L605:L606)</f>
        <v>836000</v>
      </c>
    </row>
    <row r="608" spans="1:12">
      <c r="A608" s="23" t="s">
        <v>208</v>
      </c>
      <c r="B608" s="23">
        <v>0.2</v>
      </c>
      <c r="C608" s="181"/>
      <c r="G608" s="175">
        <f>G607*$B$337</f>
        <v>292600</v>
      </c>
      <c r="I608" s="175">
        <f>I607*$B$337</f>
        <v>319600</v>
      </c>
      <c r="K608" s="175">
        <f>K607*$B$337</f>
        <v>299744</v>
      </c>
      <c r="L608" s="481">
        <f>L607*$B$337</f>
        <v>334400</v>
      </c>
    </row>
    <row r="609" spans="1:12">
      <c r="A609" s="259" t="s">
        <v>15</v>
      </c>
      <c r="B609" s="259"/>
      <c r="C609" s="181"/>
      <c r="G609" s="175">
        <f>G607*$B$338</f>
        <v>146300</v>
      </c>
      <c r="I609" s="175">
        <f>I607*$B$338</f>
        <v>159800</v>
      </c>
      <c r="K609" s="175">
        <f>K607*$B$338</f>
        <v>149872</v>
      </c>
      <c r="L609" s="481">
        <f>L607*$B$338</f>
        <v>167200</v>
      </c>
    </row>
    <row r="610" spans="1:12">
      <c r="A610" s="23" t="s">
        <v>215</v>
      </c>
      <c r="B610" s="23">
        <v>1.2</v>
      </c>
      <c r="C610" s="181"/>
      <c r="G610" s="613">
        <f>SUM(G607:G609)</f>
        <v>1170400</v>
      </c>
      <c r="I610" s="613">
        <f>SUM(I607:I609)</f>
        <v>1278400</v>
      </c>
      <c r="K610" s="613">
        <f>SUM(K607:K609)</f>
        <v>1198976</v>
      </c>
      <c r="L610" s="621">
        <f>SUM(L607:L609)</f>
        <v>1337600</v>
      </c>
    </row>
    <row r="611" spans="1:12" ht="15" thickBot="1">
      <c r="A611" s="23"/>
      <c r="B611" s="23"/>
      <c r="C611" s="183"/>
      <c r="D611" s="170"/>
      <c r="E611" s="170"/>
      <c r="F611" s="170"/>
      <c r="G611" s="527">
        <f>ROUNDUP((G610*$B$249),-3)</f>
        <v>1405000</v>
      </c>
      <c r="H611" s="170"/>
      <c r="I611" s="527">
        <f>ROUNDUP((I610*$B$249),-3)</f>
        <v>1535000</v>
      </c>
      <c r="J611" s="170"/>
      <c r="K611" s="527">
        <f>ROUNDUP((K610*$B$249),-3)</f>
        <v>1439000</v>
      </c>
      <c r="L611" s="622">
        <f>ROUNDUP((L610*$B$249),-3)</f>
        <v>1606000</v>
      </c>
    </row>
    <row r="612" spans="1:12" ht="15" thickBot="1">
      <c r="A612" s="23"/>
      <c r="B612" s="23"/>
      <c r="G612" s="5"/>
      <c r="I612" s="5"/>
      <c r="K612" s="5"/>
      <c r="L612" s="5"/>
    </row>
    <row r="613" spans="1:12">
      <c r="C613" s="16" t="s">
        <v>603</v>
      </c>
      <c r="D613" s="20" t="s">
        <v>604</v>
      </c>
      <c r="E613" s="17" t="s">
        <v>605</v>
      </c>
      <c r="F613" s="16" t="s">
        <v>606</v>
      </c>
      <c r="G613" s="20" t="s">
        <v>607</v>
      </c>
      <c r="H613" s="17" t="s">
        <v>608</v>
      </c>
      <c r="I613" s="227" t="s">
        <v>609</v>
      </c>
      <c r="J613" s="619" t="s">
        <v>610</v>
      </c>
      <c r="K613" s="227" t="s">
        <v>610</v>
      </c>
      <c r="L613" s="226" t="s">
        <v>611</v>
      </c>
    </row>
    <row r="614" spans="1:12" ht="15" thickBot="1">
      <c r="C614" s="36"/>
      <c r="D614" s="40"/>
      <c r="E614" s="37"/>
      <c r="F614" s="36"/>
      <c r="G614" s="40"/>
      <c r="H614" s="37"/>
      <c r="I614" s="233" t="s">
        <v>615</v>
      </c>
      <c r="J614" s="49" t="s">
        <v>616</v>
      </c>
      <c r="K614" s="233" t="s">
        <v>617</v>
      </c>
      <c r="L614" s="232" t="s">
        <v>617</v>
      </c>
    </row>
    <row r="615" spans="1:12">
      <c r="A615" s="23" t="s">
        <v>620</v>
      </c>
      <c r="B615" s="23">
        <v>0.52</v>
      </c>
      <c r="C615" s="618" t="s">
        <v>891</v>
      </c>
      <c r="G615" s="175">
        <v>1005000</v>
      </c>
      <c r="I615" s="175">
        <v>1090000</v>
      </c>
      <c r="K615" s="175">
        <v>612000</v>
      </c>
      <c r="L615" s="481">
        <v>680000</v>
      </c>
    </row>
    <row r="616" spans="1:12">
      <c r="A616" s="480" t="s">
        <v>625</v>
      </c>
      <c r="B616" s="480"/>
      <c r="C616" s="181"/>
      <c r="G616" s="175"/>
      <c r="I616" s="175"/>
      <c r="K616" s="175">
        <f>K615*$B$335</f>
        <v>318240</v>
      </c>
      <c r="L616" s="481">
        <f>L615*$B$335</f>
        <v>353600</v>
      </c>
    </row>
    <row r="617" spans="1:12">
      <c r="A617" s="23" t="s">
        <v>13</v>
      </c>
      <c r="B617" s="23">
        <v>0.4</v>
      </c>
      <c r="C617" s="181"/>
      <c r="G617" s="482">
        <f>SUM(G615:G616)</f>
        <v>1005000</v>
      </c>
      <c r="I617" s="482">
        <f>SUM(I615:I616)</f>
        <v>1090000</v>
      </c>
      <c r="K617" s="482">
        <f>SUM(K615:K616)</f>
        <v>930240</v>
      </c>
      <c r="L617" s="620">
        <f>SUM(L615:L616)</f>
        <v>1033600</v>
      </c>
    </row>
    <row r="618" spans="1:12">
      <c r="A618" s="23" t="s">
        <v>208</v>
      </c>
      <c r="B618" s="23">
        <v>0.2</v>
      </c>
      <c r="C618" s="181"/>
      <c r="G618" s="175">
        <f>G617*$B$337</f>
        <v>402000</v>
      </c>
      <c r="I618" s="175">
        <f>I617*$B$337</f>
        <v>436000</v>
      </c>
      <c r="K618" s="175">
        <f>K617*$B$337</f>
        <v>372096</v>
      </c>
      <c r="L618" s="481">
        <f>L617*$B$337</f>
        <v>413440</v>
      </c>
    </row>
    <row r="619" spans="1:12">
      <c r="A619" s="259" t="s">
        <v>15</v>
      </c>
      <c r="B619" s="259"/>
      <c r="C619" s="181"/>
      <c r="G619" s="175">
        <f>G617*$B$338</f>
        <v>201000</v>
      </c>
      <c r="I619" s="175">
        <f>I617*$B$338</f>
        <v>218000</v>
      </c>
      <c r="K619" s="175">
        <f>K617*$B$338</f>
        <v>186048</v>
      </c>
      <c r="L619" s="481">
        <f>L617*$B$338</f>
        <v>206720</v>
      </c>
    </row>
    <row r="620" spans="1:12">
      <c r="A620" s="23" t="s">
        <v>215</v>
      </c>
      <c r="B620" s="23">
        <v>1.2</v>
      </c>
      <c r="C620" s="181"/>
      <c r="G620" s="613">
        <f>SUM(G617:G619)</f>
        <v>1608000</v>
      </c>
      <c r="I620" s="613">
        <f>SUM(I617:I619)</f>
        <v>1744000</v>
      </c>
      <c r="K620" s="613">
        <f>SUM(K617:K619)</f>
        <v>1488384</v>
      </c>
      <c r="L620" s="621">
        <f>SUM(L617:L619)</f>
        <v>1653760</v>
      </c>
    </row>
    <row r="621" spans="1:12" ht="15" thickBot="1">
      <c r="A621" s="23"/>
      <c r="B621" s="23"/>
      <c r="C621" s="183"/>
      <c r="D621" s="170"/>
      <c r="E621" s="170"/>
      <c r="F621" s="170"/>
      <c r="G621" s="527">
        <f>ROUNDUP((G620*$B$249),-3)</f>
        <v>1930000</v>
      </c>
      <c r="H621" s="170"/>
      <c r="I621" s="527">
        <f>ROUNDUP((I620*$B$249),-3)</f>
        <v>2093000</v>
      </c>
      <c r="J621" s="170"/>
      <c r="K621" s="527">
        <f>ROUNDUP((K620*$B$249),-3)</f>
        <v>1787000</v>
      </c>
      <c r="L621" s="622">
        <f>ROUNDUP((L620*$B$249),-3)</f>
        <v>1985000</v>
      </c>
    </row>
    <row r="622" spans="1:12" ht="15" thickBot="1">
      <c r="A622" s="23"/>
      <c r="B622" s="23"/>
      <c r="G622" s="5"/>
      <c r="I622" s="5"/>
      <c r="K622" s="5"/>
      <c r="L622" s="5"/>
    </row>
    <row r="623" spans="1:12">
      <c r="C623" s="16" t="s">
        <v>603</v>
      </c>
      <c r="D623" s="20" t="s">
        <v>604</v>
      </c>
      <c r="E623" s="17" t="s">
        <v>605</v>
      </c>
      <c r="F623" s="16" t="s">
        <v>606</v>
      </c>
      <c r="G623" s="20" t="s">
        <v>607</v>
      </c>
      <c r="H623" s="17" t="s">
        <v>608</v>
      </c>
      <c r="I623" s="227" t="s">
        <v>609</v>
      </c>
      <c r="J623" s="619" t="s">
        <v>610</v>
      </c>
      <c r="K623" s="227" t="s">
        <v>610</v>
      </c>
      <c r="L623" s="226" t="s">
        <v>611</v>
      </c>
    </row>
    <row r="624" spans="1:12" ht="15" thickBot="1">
      <c r="C624" s="36"/>
      <c r="D624" s="40"/>
      <c r="E624" s="37"/>
      <c r="F624" s="36"/>
      <c r="G624" s="40"/>
      <c r="H624" s="37"/>
      <c r="I624" s="233" t="s">
        <v>615</v>
      </c>
      <c r="J624" s="49" t="s">
        <v>616</v>
      </c>
      <c r="K624" s="233" t="s">
        <v>617</v>
      </c>
      <c r="L624" s="232" t="s">
        <v>617</v>
      </c>
    </row>
    <row r="625" spans="1:12">
      <c r="A625" s="23" t="s">
        <v>620</v>
      </c>
      <c r="B625" s="23">
        <v>0.52</v>
      </c>
      <c r="C625" s="618" t="s">
        <v>892</v>
      </c>
      <c r="G625" s="175">
        <v>1257000</v>
      </c>
      <c r="I625" s="175">
        <v>1358000</v>
      </c>
      <c r="K625" s="175">
        <v>728000</v>
      </c>
      <c r="L625" s="481">
        <v>815000</v>
      </c>
    </row>
    <row r="626" spans="1:12">
      <c r="A626" s="480" t="s">
        <v>625</v>
      </c>
      <c r="B626" s="480"/>
      <c r="C626" s="181"/>
      <c r="G626" s="175"/>
      <c r="I626" s="175"/>
      <c r="K626" s="175">
        <f>K625*$B$335</f>
        <v>378560</v>
      </c>
      <c r="L626" s="481">
        <f>L625*$B$335</f>
        <v>423800</v>
      </c>
    </row>
    <row r="627" spans="1:12">
      <c r="A627" s="23" t="s">
        <v>13</v>
      </c>
      <c r="B627" s="23">
        <v>0.4</v>
      </c>
      <c r="C627" s="181"/>
      <c r="G627" s="482">
        <f>SUM(G625:G626)</f>
        <v>1257000</v>
      </c>
      <c r="I627" s="482">
        <f>SUM(I625:I626)</f>
        <v>1358000</v>
      </c>
      <c r="K627" s="482">
        <f>SUM(K625:K626)</f>
        <v>1106560</v>
      </c>
      <c r="L627" s="620">
        <f>SUM(L625:L626)</f>
        <v>1238800</v>
      </c>
    </row>
    <row r="628" spans="1:12">
      <c r="A628" s="23" t="s">
        <v>208</v>
      </c>
      <c r="B628" s="23">
        <v>0.2</v>
      </c>
      <c r="C628" s="181"/>
      <c r="G628" s="175">
        <f>G627*$B$337</f>
        <v>502800</v>
      </c>
      <c r="I628" s="175">
        <f>I627*$B$337</f>
        <v>543200</v>
      </c>
      <c r="K628" s="175">
        <f>K627*$B$337</f>
        <v>442624</v>
      </c>
      <c r="L628" s="481">
        <f>L627*$B$337</f>
        <v>495520</v>
      </c>
    </row>
    <row r="629" spans="1:12">
      <c r="A629" s="259" t="s">
        <v>15</v>
      </c>
      <c r="B629" s="259"/>
      <c r="C629" s="181"/>
      <c r="G629" s="175">
        <f>G627*$B$338</f>
        <v>251400</v>
      </c>
      <c r="I629" s="175">
        <f>I627*$B$338</f>
        <v>271600</v>
      </c>
      <c r="K629" s="175">
        <f>K627*$B$338</f>
        <v>221312</v>
      </c>
      <c r="L629" s="481">
        <f>L627*$B$338</f>
        <v>247760</v>
      </c>
    </row>
    <row r="630" spans="1:12">
      <c r="A630" s="23" t="s">
        <v>215</v>
      </c>
      <c r="B630" s="23">
        <v>1.2</v>
      </c>
      <c r="C630" s="181"/>
      <c r="G630" s="613">
        <f>SUM(G627:G629)</f>
        <v>2011200</v>
      </c>
      <c r="I630" s="613">
        <f>SUM(I627:I629)</f>
        <v>2172800</v>
      </c>
      <c r="K630" s="613">
        <f>SUM(K627:K629)</f>
        <v>1770496</v>
      </c>
      <c r="L630" s="621">
        <f>SUM(L627:L629)</f>
        <v>1982080</v>
      </c>
    </row>
    <row r="631" spans="1:12" ht="15" thickBot="1">
      <c r="A631" s="23"/>
      <c r="B631" s="23"/>
      <c r="C631" s="183"/>
      <c r="D631" s="170"/>
      <c r="E631" s="170"/>
      <c r="F631" s="170"/>
      <c r="G631" s="527">
        <f>ROUNDUP((G630*$B$249),-3)</f>
        <v>2414000</v>
      </c>
      <c r="H631" s="170"/>
      <c r="I631" s="527">
        <f>ROUNDUP((I630*$B$249),-3)</f>
        <v>2608000</v>
      </c>
      <c r="J631" s="170"/>
      <c r="K631" s="527">
        <f>ROUNDUP((K630*$B$249),-3)</f>
        <v>2125000</v>
      </c>
      <c r="L631" s="622">
        <f>ROUNDUP((L630*$B$249),-3)</f>
        <v>2379000</v>
      </c>
    </row>
    <row r="632" spans="1:12" ht="15" thickBot="1">
      <c r="A632" s="23"/>
      <c r="B632" s="23"/>
      <c r="G632" s="5"/>
      <c r="I632" s="5"/>
      <c r="K632" s="5"/>
      <c r="L632" s="5"/>
    </row>
    <row r="633" spans="1:12">
      <c r="C633" s="16" t="s">
        <v>603</v>
      </c>
      <c r="D633" s="20" t="s">
        <v>604</v>
      </c>
      <c r="E633" s="17" t="s">
        <v>605</v>
      </c>
      <c r="F633" s="16" t="s">
        <v>606</v>
      </c>
      <c r="G633" s="20" t="s">
        <v>607</v>
      </c>
      <c r="H633" s="17" t="s">
        <v>608</v>
      </c>
      <c r="I633" s="227" t="s">
        <v>609</v>
      </c>
      <c r="J633" s="619" t="s">
        <v>610</v>
      </c>
      <c r="K633" s="227" t="s">
        <v>610</v>
      </c>
      <c r="L633" s="226" t="s">
        <v>611</v>
      </c>
    </row>
    <row r="634" spans="1:12" ht="15" thickBot="1">
      <c r="C634" s="36"/>
      <c r="D634" s="40"/>
      <c r="E634" s="37"/>
      <c r="F634" s="36"/>
      <c r="G634" s="40"/>
      <c r="H634" s="37"/>
      <c r="I634" s="233" t="s">
        <v>615</v>
      </c>
      <c r="J634" s="49" t="s">
        <v>616</v>
      </c>
      <c r="K634" s="233" t="s">
        <v>617</v>
      </c>
      <c r="L634" s="232" t="s">
        <v>617</v>
      </c>
    </row>
    <row r="635" spans="1:12">
      <c r="A635" s="23" t="s">
        <v>620</v>
      </c>
      <c r="B635" s="23">
        <v>0.52</v>
      </c>
      <c r="C635" s="618" t="s">
        <v>893</v>
      </c>
      <c r="G635" s="175">
        <v>1557000</v>
      </c>
      <c r="I635" s="175">
        <v>1661500</v>
      </c>
      <c r="K635" s="175">
        <v>839000</v>
      </c>
      <c r="L635" s="481">
        <v>939000</v>
      </c>
    </row>
    <row r="636" spans="1:12">
      <c r="A636" s="480" t="s">
        <v>625</v>
      </c>
      <c r="B636" s="480"/>
      <c r="C636" s="181"/>
      <c r="G636" s="175"/>
      <c r="I636" s="175"/>
      <c r="K636" s="175">
        <f>K635*$B$335</f>
        <v>436280</v>
      </c>
      <c r="L636" s="481">
        <f>L635*$B$335</f>
        <v>488280</v>
      </c>
    </row>
    <row r="637" spans="1:12">
      <c r="A637" s="23" t="s">
        <v>13</v>
      </c>
      <c r="B637" s="23">
        <v>0.4</v>
      </c>
      <c r="C637" s="181"/>
      <c r="G637" s="482">
        <f>SUM(G635:G636)</f>
        <v>1557000</v>
      </c>
      <c r="I637" s="482">
        <f>SUM(I635:I636)</f>
        <v>1661500</v>
      </c>
      <c r="K637" s="482">
        <f>SUM(K635:K636)</f>
        <v>1275280</v>
      </c>
      <c r="L637" s="620">
        <f>SUM(L635:L636)</f>
        <v>1427280</v>
      </c>
    </row>
    <row r="638" spans="1:12">
      <c r="A638" s="23" t="s">
        <v>208</v>
      </c>
      <c r="B638" s="23">
        <v>0.2</v>
      </c>
      <c r="C638" s="181"/>
      <c r="G638" s="175">
        <f>G637*$B$337</f>
        <v>622800</v>
      </c>
      <c r="I638" s="175">
        <f>I637*$B$337</f>
        <v>664600</v>
      </c>
      <c r="K638" s="175">
        <f>K637*$B$337</f>
        <v>510112</v>
      </c>
      <c r="L638" s="481">
        <f>L637*$B$337</f>
        <v>570912</v>
      </c>
    </row>
    <row r="639" spans="1:12">
      <c r="A639" s="259" t="s">
        <v>15</v>
      </c>
      <c r="B639" s="259"/>
      <c r="C639" s="181"/>
      <c r="G639" s="175">
        <f>G637*$B$338</f>
        <v>311400</v>
      </c>
      <c r="I639" s="175">
        <f>I637*$B$338</f>
        <v>332300</v>
      </c>
      <c r="K639" s="175">
        <f>K637*$B$338</f>
        <v>255056</v>
      </c>
      <c r="L639" s="481">
        <f>L637*$B$338</f>
        <v>285456</v>
      </c>
    </row>
    <row r="640" spans="1:12">
      <c r="A640" s="23" t="s">
        <v>215</v>
      </c>
      <c r="B640" s="23">
        <v>1.2</v>
      </c>
      <c r="C640" s="181"/>
      <c r="G640" s="613">
        <f>SUM(G637:G639)</f>
        <v>2491200</v>
      </c>
      <c r="I640" s="613">
        <f>SUM(I637:I639)</f>
        <v>2658400</v>
      </c>
      <c r="K640" s="613">
        <f>SUM(K637:K639)</f>
        <v>2040448</v>
      </c>
      <c r="L640" s="621">
        <f>SUM(L637:L639)</f>
        <v>2283648</v>
      </c>
    </row>
    <row r="641" spans="1:12" ht="15" thickBot="1">
      <c r="A641" s="23"/>
      <c r="B641" s="23"/>
      <c r="C641" s="183"/>
      <c r="D641" s="170"/>
      <c r="E641" s="170"/>
      <c r="F641" s="170"/>
      <c r="G641" s="527">
        <f>ROUNDUP((G640*$B$249),-3)</f>
        <v>2990000</v>
      </c>
      <c r="H641" s="170"/>
      <c r="I641" s="527">
        <f>ROUNDUP((I640*$B$249),-3)</f>
        <v>3191000</v>
      </c>
      <c r="J641" s="170"/>
      <c r="K641" s="527">
        <f>ROUNDUP((K640*$B$249),-3)</f>
        <v>2449000</v>
      </c>
      <c r="L641" s="622">
        <f>ROUNDUP((L640*$B$249),-3)</f>
        <v>2741000</v>
      </c>
    </row>
    <row r="642" spans="1:12" ht="15" thickBot="1">
      <c r="A642" s="23"/>
      <c r="B642" s="23"/>
      <c r="G642" s="5"/>
      <c r="I642" s="5"/>
      <c r="K642" s="5"/>
      <c r="L642" s="5"/>
    </row>
    <row r="643" spans="1:12">
      <c r="C643" s="16" t="s">
        <v>603</v>
      </c>
      <c r="D643" s="20" t="s">
        <v>604</v>
      </c>
      <c r="E643" s="17" t="s">
        <v>605</v>
      </c>
      <c r="F643" s="16" t="s">
        <v>606</v>
      </c>
      <c r="G643" s="20" t="s">
        <v>607</v>
      </c>
      <c r="H643" s="17" t="s">
        <v>608</v>
      </c>
      <c r="I643" s="227" t="s">
        <v>609</v>
      </c>
      <c r="J643" s="619" t="s">
        <v>610</v>
      </c>
      <c r="K643" s="227" t="s">
        <v>610</v>
      </c>
      <c r="L643" s="226" t="s">
        <v>611</v>
      </c>
    </row>
    <row r="644" spans="1:12" ht="15" thickBot="1">
      <c r="C644" s="36"/>
      <c r="D644" s="40"/>
      <c r="E644" s="37"/>
      <c r="F644" s="36"/>
      <c r="G644" s="40"/>
      <c r="H644" s="37"/>
      <c r="I644" s="233" t="s">
        <v>615</v>
      </c>
      <c r="J644" s="49" t="s">
        <v>616</v>
      </c>
      <c r="K644" s="233" t="s">
        <v>617</v>
      </c>
      <c r="L644" s="232" t="s">
        <v>617</v>
      </c>
    </row>
    <row r="645" spans="1:12">
      <c r="A645" s="23" t="s">
        <v>620</v>
      </c>
      <c r="B645" s="23">
        <v>0.52</v>
      </c>
      <c r="C645" s="618" t="s">
        <v>894</v>
      </c>
      <c r="G645" s="175">
        <v>1937000</v>
      </c>
      <c r="I645" s="175">
        <v>2055500</v>
      </c>
      <c r="K645" s="175">
        <v>997000</v>
      </c>
      <c r="L645" s="481">
        <v>1100000</v>
      </c>
    </row>
    <row r="646" spans="1:12">
      <c r="A646" s="480" t="s">
        <v>625</v>
      </c>
      <c r="B646" s="480"/>
      <c r="C646" s="181"/>
      <c r="G646" s="175"/>
      <c r="I646" s="175"/>
      <c r="K646" s="175">
        <f>K645*$B$335</f>
        <v>518440</v>
      </c>
      <c r="L646" s="481">
        <f>L645*$B$335</f>
        <v>572000</v>
      </c>
    </row>
    <row r="647" spans="1:12">
      <c r="A647" s="23" t="s">
        <v>13</v>
      </c>
      <c r="B647" s="23">
        <v>0.4</v>
      </c>
      <c r="C647" s="181"/>
      <c r="G647" s="482">
        <f>SUM(G645:G646)</f>
        <v>1937000</v>
      </c>
      <c r="I647" s="482">
        <f>SUM(I645:I646)</f>
        <v>2055500</v>
      </c>
      <c r="K647" s="482">
        <f>SUM(K645:K646)</f>
        <v>1515440</v>
      </c>
      <c r="L647" s="620">
        <f>SUM(L645:L646)</f>
        <v>1672000</v>
      </c>
    </row>
    <row r="648" spans="1:12">
      <c r="A648" s="23" t="s">
        <v>208</v>
      </c>
      <c r="B648" s="23">
        <v>0.2</v>
      </c>
      <c r="C648" s="181"/>
      <c r="G648" s="175">
        <f>G647*$B$337</f>
        <v>774800</v>
      </c>
      <c r="I648" s="175">
        <f>I647*$B$337</f>
        <v>822200</v>
      </c>
      <c r="K648" s="175">
        <f>K647*$B$337</f>
        <v>606176</v>
      </c>
      <c r="L648" s="481">
        <f>L647*$B$337</f>
        <v>668800</v>
      </c>
    </row>
    <row r="649" spans="1:12">
      <c r="A649" s="259" t="s">
        <v>15</v>
      </c>
      <c r="B649" s="259"/>
      <c r="C649" s="181"/>
      <c r="G649" s="175">
        <f>G647*$B$338</f>
        <v>387400</v>
      </c>
      <c r="I649" s="175">
        <f>I647*$B$338</f>
        <v>411100</v>
      </c>
      <c r="K649" s="175">
        <f>K647*$B$338</f>
        <v>303088</v>
      </c>
      <c r="L649" s="481">
        <f>L647*$B$338</f>
        <v>334400</v>
      </c>
    </row>
    <row r="650" spans="1:12">
      <c r="A650" s="23" t="s">
        <v>215</v>
      </c>
      <c r="B650" s="23">
        <v>1.2</v>
      </c>
      <c r="C650" s="181"/>
      <c r="G650" s="613">
        <f>SUM(G647:G649)</f>
        <v>3099200</v>
      </c>
      <c r="I650" s="613">
        <f>SUM(I647:I649)</f>
        <v>3288800</v>
      </c>
      <c r="K650" s="613">
        <f>SUM(K647:K649)</f>
        <v>2424704</v>
      </c>
      <c r="L650" s="621">
        <f>SUM(L647:L649)</f>
        <v>2675200</v>
      </c>
    </row>
    <row r="651" spans="1:12" ht="15" thickBot="1">
      <c r="A651" s="23"/>
      <c r="B651" s="23"/>
      <c r="C651" s="183"/>
      <c r="D651" s="170"/>
      <c r="E651" s="170"/>
      <c r="F651" s="170"/>
      <c r="G651" s="527">
        <f>ROUNDUP((G650*$B$249),-3)</f>
        <v>3720000</v>
      </c>
      <c r="H651" s="170"/>
      <c r="I651" s="527">
        <f>ROUNDUP((I650*$B$249),-3)</f>
        <v>3947000</v>
      </c>
      <c r="J651" s="170"/>
      <c r="K651" s="527">
        <f>ROUNDUP((K650*$B$249),-3)</f>
        <v>2910000</v>
      </c>
      <c r="L651" s="622">
        <f>ROUNDUP((L650*$B$249),-3)</f>
        <v>3211000</v>
      </c>
    </row>
    <row r="652" spans="1:12" ht="15" thickBot="1">
      <c r="A652" s="23"/>
      <c r="B652" s="23"/>
      <c r="G652" s="5"/>
      <c r="I652" s="5"/>
      <c r="K652" s="5"/>
      <c r="L652" s="5"/>
    </row>
    <row r="653" spans="1:12">
      <c r="C653" s="16" t="s">
        <v>603</v>
      </c>
      <c r="D653" s="20" t="s">
        <v>604</v>
      </c>
      <c r="E653" s="17" t="s">
        <v>605</v>
      </c>
      <c r="F653" s="16" t="s">
        <v>606</v>
      </c>
      <c r="G653" s="20" t="s">
        <v>607</v>
      </c>
      <c r="H653" s="17" t="s">
        <v>608</v>
      </c>
      <c r="I653" s="227" t="s">
        <v>609</v>
      </c>
      <c r="J653" s="619" t="s">
        <v>610</v>
      </c>
      <c r="K653" s="227" t="s">
        <v>610</v>
      </c>
      <c r="L653" s="226" t="s">
        <v>611</v>
      </c>
    </row>
    <row r="654" spans="1:12" ht="15" thickBot="1">
      <c r="C654" s="36"/>
      <c r="D654" s="40"/>
      <c r="E654" s="37"/>
      <c r="F654" s="36"/>
      <c r="G654" s="40"/>
      <c r="H654" s="37"/>
      <c r="I654" s="233" t="s">
        <v>615</v>
      </c>
      <c r="J654" s="49" t="s">
        <v>616</v>
      </c>
      <c r="K654" s="233" t="s">
        <v>617</v>
      </c>
      <c r="L654" s="232" t="s">
        <v>617</v>
      </c>
    </row>
    <row r="655" spans="1:12">
      <c r="A655" s="23" t="s">
        <v>620</v>
      </c>
      <c r="B655" s="23">
        <v>0.52</v>
      </c>
      <c r="C655" s="618" t="s">
        <v>895</v>
      </c>
      <c r="G655" s="175">
        <v>2538500</v>
      </c>
      <c r="I655" s="175">
        <v>2700000</v>
      </c>
      <c r="K655" s="175">
        <v>1268000</v>
      </c>
      <c r="L655" s="481">
        <v>1367000</v>
      </c>
    </row>
    <row r="656" spans="1:12">
      <c r="A656" s="480" t="s">
        <v>625</v>
      </c>
      <c r="B656" s="480"/>
      <c r="C656" s="181"/>
      <c r="G656" s="175"/>
      <c r="I656" s="175"/>
      <c r="K656" s="175">
        <f>K655*$B$335</f>
        <v>659360</v>
      </c>
      <c r="L656" s="481">
        <f>L655*$B$335</f>
        <v>710840</v>
      </c>
    </row>
    <row r="657" spans="1:12">
      <c r="A657" s="23" t="s">
        <v>13</v>
      </c>
      <c r="B657" s="23">
        <v>0.4</v>
      </c>
      <c r="C657" s="181"/>
      <c r="G657" s="482">
        <f>SUM(G655:G656)</f>
        <v>2538500</v>
      </c>
      <c r="I657" s="482">
        <f>SUM(I655:I656)</f>
        <v>2700000</v>
      </c>
      <c r="K657" s="482">
        <f>SUM(K655:K656)</f>
        <v>1927360</v>
      </c>
      <c r="L657" s="620">
        <f>SUM(L655:L656)</f>
        <v>2077840</v>
      </c>
    </row>
    <row r="658" spans="1:12">
      <c r="A658" s="23" t="s">
        <v>208</v>
      </c>
      <c r="B658" s="23">
        <v>0.2</v>
      </c>
      <c r="C658" s="181"/>
      <c r="G658" s="175">
        <f>G657*$B$337</f>
        <v>1015400</v>
      </c>
      <c r="I658" s="175">
        <f>I657*$B$337</f>
        <v>1080000</v>
      </c>
      <c r="K658" s="175">
        <f>K657*$B$337</f>
        <v>770944</v>
      </c>
      <c r="L658" s="481">
        <f>L657*$B$337</f>
        <v>831136</v>
      </c>
    </row>
    <row r="659" spans="1:12">
      <c r="A659" s="259" t="s">
        <v>15</v>
      </c>
      <c r="B659" s="259"/>
      <c r="C659" s="181"/>
      <c r="G659" s="175">
        <f>G657*$B$338</f>
        <v>507700</v>
      </c>
      <c r="I659" s="175">
        <f>I657*$B$338</f>
        <v>540000</v>
      </c>
      <c r="K659" s="175">
        <f>K657*$B$338</f>
        <v>385472</v>
      </c>
      <c r="L659" s="481">
        <f>L657*$B$338</f>
        <v>415568</v>
      </c>
    </row>
    <row r="660" spans="1:12">
      <c r="A660" s="23" t="s">
        <v>215</v>
      </c>
      <c r="B660" s="23">
        <v>1.2</v>
      </c>
      <c r="C660" s="181"/>
      <c r="G660" s="613">
        <f>SUM(G657:G659)</f>
        <v>4061600</v>
      </c>
      <c r="I660" s="613">
        <f>SUM(I657:I659)</f>
        <v>4320000</v>
      </c>
      <c r="K660" s="613">
        <f>SUM(K657:K659)</f>
        <v>3083776</v>
      </c>
      <c r="L660" s="621">
        <f>SUM(L657:L659)</f>
        <v>3324544</v>
      </c>
    </row>
    <row r="661" spans="1:12" ht="15" thickBot="1">
      <c r="A661" s="23"/>
      <c r="B661" s="23"/>
      <c r="C661" s="183"/>
      <c r="D661" s="170"/>
      <c r="E661" s="170"/>
      <c r="F661" s="170"/>
      <c r="G661" s="527">
        <f>ROUNDUP((G660*$B$249),-3)</f>
        <v>4874000</v>
      </c>
      <c r="H661" s="170"/>
      <c r="I661" s="527">
        <f>ROUNDUP((I660*$B$249),-3)</f>
        <v>5184000</v>
      </c>
      <c r="J661" s="170"/>
      <c r="K661" s="527">
        <f>ROUNDUP((K660*$B$249),-3)</f>
        <v>3701000</v>
      </c>
      <c r="L661" s="622">
        <f>ROUNDUP((L660*$B$249),-3)</f>
        <v>3990000</v>
      </c>
    </row>
    <row r="662" spans="1:12" ht="15" thickBot="1">
      <c r="A662" s="23"/>
      <c r="B662" s="23"/>
      <c r="G662" s="5"/>
      <c r="I662" s="5"/>
      <c r="K662" s="5"/>
      <c r="L662" s="5"/>
    </row>
    <row r="663" spans="1:12">
      <c r="C663" s="16" t="s">
        <v>603</v>
      </c>
      <c r="D663" s="20" t="s">
        <v>604</v>
      </c>
      <c r="E663" s="17" t="s">
        <v>605</v>
      </c>
      <c r="F663" s="16" t="s">
        <v>606</v>
      </c>
      <c r="G663" s="20" t="s">
        <v>607</v>
      </c>
      <c r="H663" s="17" t="s">
        <v>608</v>
      </c>
      <c r="I663" s="227" t="s">
        <v>609</v>
      </c>
      <c r="J663" s="619" t="s">
        <v>610</v>
      </c>
      <c r="K663" s="227" t="s">
        <v>610</v>
      </c>
      <c r="L663" s="226" t="s">
        <v>611</v>
      </c>
    </row>
    <row r="664" spans="1:12" ht="15" thickBot="1">
      <c r="C664" s="36"/>
      <c r="D664" s="40"/>
      <c r="E664" s="37"/>
      <c r="F664" s="36"/>
      <c r="G664" s="40"/>
      <c r="H664" s="37"/>
      <c r="I664" s="233" t="s">
        <v>615</v>
      </c>
      <c r="J664" s="49" t="s">
        <v>616</v>
      </c>
      <c r="K664" s="233" t="s">
        <v>617</v>
      </c>
      <c r="L664" s="232" t="s">
        <v>617</v>
      </c>
    </row>
    <row r="665" spans="1:12">
      <c r="A665" s="23" t="s">
        <v>620</v>
      </c>
      <c r="B665" s="23">
        <v>0.52</v>
      </c>
      <c r="C665" s="618" t="s">
        <v>896</v>
      </c>
      <c r="G665" s="175">
        <v>3202500</v>
      </c>
      <c r="I665" s="175">
        <v>3355000</v>
      </c>
      <c r="K665" s="175">
        <v>1520000</v>
      </c>
      <c r="L665" s="481">
        <v>1640000</v>
      </c>
    </row>
    <row r="666" spans="1:12">
      <c r="A666" s="480" t="s">
        <v>625</v>
      </c>
      <c r="B666" s="480"/>
      <c r="C666" s="181"/>
      <c r="G666" s="175"/>
      <c r="I666" s="175"/>
      <c r="K666" s="175">
        <f>K665*$B$335</f>
        <v>790400</v>
      </c>
      <c r="L666" s="481">
        <f>L665*$B$335</f>
        <v>852800</v>
      </c>
    </row>
    <row r="667" spans="1:12">
      <c r="A667" s="23" t="s">
        <v>13</v>
      </c>
      <c r="B667" s="23">
        <v>0.4</v>
      </c>
      <c r="C667" s="181"/>
      <c r="G667" s="482">
        <f>SUM(G665:G666)</f>
        <v>3202500</v>
      </c>
      <c r="I667" s="482">
        <f>SUM(I665:I666)</f>
        <v>3355000</v>
      </c>
      <c r="K667" s="482">
        <f>SUM(K665:K666)</f>
        <v>2310400</v>
      </c>
      <c r="L667" s="620">
        <f>SUM(L665:L666)</f>
        <v>2492800</v>
      </c>
    </row>
    <row r="668" spans="1:12">
      <c r="A668" s="23" t="s">
        <v>208</v>
      </c>
      <c r="B668" s="23">
        <v>0.2</v>
      </c>
      <c r="C668" s="181"/>
      <c r="G668" s="175">
        <f>G667*$B$337</f>
        <v>1281000</v>
      </c>
      <c r="I668" s="175">
        <f>I667*$B$337</f>
        <v>1342000</v>
      </c>
      <c r="K668" s="175">
        <f>K667*$B$337</f>
        <v>924160</v>
      </c>
      <c r="L668" s="481">
        <f>L667*$B$337</f>
        <v>997120</v>
      </c>
    </row>
    <row r="669" spans="1:12">
      <c r="A669" s="259" t="s">
        <v>15</v>
      </c>
      <c r="B669" s="259"/>
      <c r="C669" s="181"/>
      <c r="G669" s="175">
        <f>G667*$B$338</f>
        <v>640500</v>
      </c>
      <c r="I669" s="175">
        <f>I667*$B$338</f>
        <v>671000</v>
      </c>
      <c r="K669" s="175">
        <f>K667*$B$338</f>
        <v>462080</v>
      </c>
      <c r="L669" s="481">
        <f>L667*$B$338</f>
        <v>498560</v>
      </c>
    </row>
    <row r="670" spans="1:12">
      <c r="A670" s="23" t="s">
        <v>215</v>
      </c>
      <c r="B670" s="23">
        <v>1.2</v>
      </c>
      <c r="C670" s="181"/>
      <c r="G670" s="613">
        <f>SUM(G667:G669)</f>
        <v>5124000</v>
      </c>
      <c r="I670" s="613">
        <f>SUM(I667:I669)</f>
        <v>5368000</v>
      </c>
      <c r="K670" s="613">
        <f>SUM(K667:K669)</f>
        <v>3696640</v>
      </c>
      <c r="L670" s="621">
        <f>SUM(L667:L669)</f>
        <v>3988480</v>
      </c>
    </row>
    <row r="671" spans="1:12" ht="15" thickBot="1">
      <c r="C671" s="183"/>
      <c r="D671" s="170"/>
      <c r="E671" s="170"/>
      <c r="F671" s="170"/>
      <c r="G671" s="527">
        <f>ROUNDUP((G670*$B$249),-3)</f>
        <v>6149000</v>
      </c>
      <c r="H671" s="170"/>
      <c r="I671" s="527">
        <f>ROUNDUP((I670*$B$249),-3)</f>
        <v>6442000</v>
      </c>
      <c r="J671" s="170"/>
      <c r="K671" s="527">
        <f>ROUNDUP((K670*$B$249),-3)</f>
        <v>4436000</v>
      </c>
      <c r="L671" s="622">
        <f>ROUNDUP((L670*$B$249),-3)</f>
        <v>4787000</v>
      </c>
    </row>
    <row r="672" spans="1:12" ht="15" thickBot="1"/>
    <row r="673" spans="1:12">
      <c r="C673" s="16" t="s">
        <v>603</v>
      </c>
      <c r="D673" s="20" t="s">
        <v>604</v>
      </c>
      <c r="E673" s="17" t="s">
        <v>605</v>
      </c>
      <c r="F673" s="16" t="s">
        <v>606</v>
      </c>
      <c r="G673" s="20" t="s">
        <v>607</v>
      </c>
      <c r="H673" s="17" t="s">
        <v>608</v>
      </c>
      <c r="I673" s="227" t="s">
        <v>609</v>
      </c>
      <c r="J673" s="619" t="s">
        <v>610</v>
      </c>
      <c r="K673" s="227" t="s">
        <v>610</v>
      </c>
      <c r="L673" s="226" t="s">
        <v>611</v>
      </c>
    </row>
    <row r="674" spans="1:12" ht="15" thickBot="1">
      <c r="C674" s="36"/>
      <c r="D674" s="40"/>
      <c r="E674" s="37"/>
      <c r="F674" s="36"/>
      <c r="G674" s="40"/>
      <c r="H674" s="37"/>
      <c r="I674" s="233" t="s">
        <v>615</v>
      </c>
      <c r="J674" s="49" t="s">
        <v>616</v>
      </c>
      <c r="K674" s="233" t="s">
        <v>617</v>
      </c>
      <c r="L674" s="232" t="s">
        <v>617</v>
      </c>
    </row>
    <row r="675" spans="1:12">
      <c r="A675" s="23" t="s">
        <v>620</v>
      </c>
      <c r="B675" s="23">
        <v>0.52</v>
      </c>
      <c r="C675" s="618" t="s">
        <v>897</v>
      </c>
      <c r="K675" s="175">
        <v>1861000</v>
      </c>
      <c r="L675" s="481">
        <v>2000000</v>
      </c>
    </row>
    <row r="676" spans="1:12">
      <c r="A676" s="480" t="s">
        <v>625</v>
      </c>
      <c r="B676" s="480"/>
      <c r="C676" s="181"/>
      <c r="K676" s="175">
        <f>K675*$B$335</f>
        <v>967720</v>
      </c>
      <c r="L676" s="481">
        <f>L675*$B$335</f>
        <v>1040000</v>
      </c>
    </row>
    <row r="677" spans="1:12">
      <c r="A677" s="23" t="s">
        <v>13</v>
      </c>
      <c r="B677" s="23">
        <v>0.4</v>
      </c>
      <c r="C677" s="181"/>
      <c r="K677" s="482">
        <f>SUM(K675:K676)</f>
        <v>2828720</v>
      </c>
      <c r="L677" s="620">
        <f>SUM(L675:L676)</f>
        <v>3040000</v>
      </c>
    </row>
    <row r="678" spans="1:12">
      <c r="A678" s="23" t="s">
        <v>208</v>
      </c>
      <c r="B678" s="23">
        <v>0.2</v>
      </c>
      <c r="C678" s="181"/>
      <c r="K678" s="175">
        <f>K677*$B$337</f>
        <v>1131488</v>
      </c>
      <c r="L678" s="481">
        <f>L677*$B$337</f>
        <v>1216000</v>
      </c>
    </row>
    <row r="679" spans="1:12">
      <c r="A679" s="259" t="s">
        <v>15</v>
      </c>
      <c r="B679" s="259"/>
      <c r="C679" s="181"/>
      <c r="K679" s="175">
        <f>K677*$B$338</f>
        <v>565744</v>
      </c>
      <c r="L679" s="481">
        <f>L677*$B$338</f>
        <v>608000</v>
      </c>
    </row>
    <row r="680" spans="1:12">
      <c r="A680" s="23" t="s">
        <v>215</v>
      </c>
      <c r="B680" s="23">
        <v>1.2</v>
      </c>
      <c r="C680" s="181"/>
      <c r="K680" s="613">
        <f>SUM(K677:K679)</f>
        <v>4525952</v>
      </c>
      <c r="L680" s="621">
        <f>SUM(L677:L679)</f>
        <v>4864000</v>
      </c>
    </row>
    <row r="681" spans="1:12" ht="15" thickBot="1">
      <c r="A681" s="23"/>
      <c r="B681" s="23"/>
      <c r="C681" s="183"/>
      <c r="D681" s="170"/>
      <c r="E681" s="170"/>
      <c r="F681" s="170"/>
      <c r="G681" s="170"/>
      <c r="H681" s="170"/>
      <c r="I681" s="170"/>
      <c r="J681" s="170"/>
      <c r="K681" s="527">
        <f>ROUNDUP((K680*$B$249),-3)</f>
        <v>5432000</v>
      </c>
      <c r="L681" s="622">
        <f>ROUNDUP((L680*$B$249),-3)</f>
        <v>5837000</v>
      </c>
    </row>
    <row r="682" spans="1:12" ht="15" thickBot="1">
      <c r="A682" s="23"/>
      <c r="B682" s="23"/>
      <c r="K682" s="5"/>
      <c r="L682" s="5"/>
    </row>
    <row r="683" spans="1:12">
      <c r="C683" s="16" t="s">
        <v>603</v>
      </c>
      <c r="D683" s="20" t="s">
        <v>604</v>
      </c>
      <c r="E683" s="17" t="s">
        <v>605</v>
      </c>
      <c r="F683" s="16" t="s">
        <v>606</v>
      </c>
      <c r="G683" s="16" t="s">
        <v>607</v>
      </c>
      <c r="H683" s="20" t="s">
        <v>608</v>
      </c>
      <c r="I683" s="226" t="s">
        <v>609</v>
      </c>
      <c r="J683" s="619" t="s">
        <v>610</v>
      </c>
      <c r="K683" s="227" t="s">
        <v>610</v>
      </c>
      <c r="L683" s="226" t="s">
        <v>611</v>
      </c>
    </row>
    <row r="684" spans="1:12" ht="15" thickBot="1">
      <c r="C684" s="36"/>
      <c r="D684" s="40"/>
      <c r="E684" s="37"/>
      <c r="F684" s="36"/>
      <c r="G684" s="36"/>
      <c r="H684" s="40"/>
      <c r="I684" s="232" t="s">
        <v>615</v>
      </c>
      <c r="J684" s="49" t="s">
        <v>616</v>
      </c>
      <c r="K684" s="233" t="s">
        <v>617</v>
      </c>
      <c r="L684" s="232" t="s">
        <v>617</v>
      </c>
    </row>
    <row r="685" spans="1:12">
      <c r="A685" s="23" t="s">
        <v>620</v>
      </c>
      <c r="B685" s="23">
        <v>0.52</v>
      </c>
      <c r="C685" s="618" t="s">
        <v>898</v>
      </c>
      <c r="H685" s="175">
        <v>24800</v>
      </c>
      <c r="K685" s="175">
        <v>1861000</v>
      </c>
      <c r="L685" s="481">
        <v>2000000</v>
      </c>
    </row>
    <row r="686" spans="1:12">
      <c r="A686" s="480" t="s">
        <v>625</v>
      </c>
      <c r="B686" s="480"/>
      <c r="C686" s="181"/>
      <c r="H686" s="175"/>
      <c r="K686" s="175">
        <f>K685*$B$335</f>
        <v>967720</v>
      </c>
      <c r="L686" s="481">
        <f>L685*$B$335</f>
        <v>1040000</v>
      </c>
    </row>
    <row r="687" spans="1:12">
      <c r="A687" s="23" t="s">
        <v>13</v>
      </c>
      <c r="B687" s="23">
        <v>0.4</v>
      </c>
      <c r="C687" s="181"/>
      <c r="H687" s="482">
        <f>SUM(H685:H686)</f>
        <v>24800</v>
      </c>
      <c r="K687" s="482">
        <f>SUM(K685:K686)</f>
        <v>2828720</v>
      </c>
      <c r="L687" s="620">
        <f>SUM(L685:L686)</f>
        <v>3040000</v>
      </c>
    </row>
    <row r="688" spans="1:12">
      <c r="A688" s="23" t="s">
        <v>208</v>
      </c>
      <c r="B688" s="23">
        <v>0.2</v>
      </c>
      <c r="C688" s="181"/>
      <c r="H688" s="175">
        <f>H687*$B$337</f>
        <v>9920</v>
      </c>
      <c r="K688" s="175">
        <f>K687*$B$337</f>
        <v>1131488</v>
      </c>
      <c r="L688" s="481">
        <f>L687*$B$337</f>
        <v>1216000</v>
      </c>
    </row>
    <row r="689" spans="1:12">
      <c r="A689" s="259" t="s">
        <v>15</v>
      </c>
      <c r="B689" s="259"/>
      <c r="C689" s="181"/>
      <c r="H689" s="175">
        <f>H687*$B$338</f>
        <v>4960</v>
      </c>
      <c r="K689" s="175">
        <f>K687*$B$338</f>
        <v>565744</v>
      </c>
      <c r="L689" s="481">
        <f>L687*$B$338</f>
        <v>608000</v>
      </c>
    </row>
    <row r="690" spans="1:12">
      <c r="A690" s="23" t="s">
        <v>215</v>
      </c>
      <c r="B690" s="23">
        <v>1.2</v>
      </c>
      <c r="C690" s="181"/>
      <c r="H690" s="613">
        <f>SUM(H687:H689)</f>
        <v>39680</v>
      </c>
      <c r="K690" s="613">
        <f>SUM(K687:K689)</f>
        <v>4525952</v>
      </c>
      <c r="L690" s="621">
        <f>SUM(L687:L689)</f>
        <v>4864000</v>
      </c>
    </row>
    <row r="691" spans="1:12" ht="15" thickBot="1">
      <c r="A691" s="23"/>
      <c r="B691" s="23"/>
      <c r="C691" s="183"/>
      <c r="D691" s="170"/>
      <c r="E691" s="170"/>
      <c r="F691" s="170"/>
      <c r="G691" s="170"/>
      <c r="H691" s="527">
        <f>ROUNDUP((H690*$B$249),-3)</f>
        <v>48000</v>
      </c>
      <c r="I691" s="170"/>
      <c r="J691" s="170"/>
      <c r="K691" s="527">
        <f>ROUNDUP((K690*$B$249),-3)</f>
        <v>5432000</v>
      </c>
      <c r="L691" s="622">
        <f>ROUNDUP((L690*$B$249),-3)</f>
        <v>5837000</v>
      </c>
    </row>
    <row r="692" spans="1:12" ht="15" thickBot="1">
      <c r="A692" s="23"/>
      <c r="B692" s="23"/>
      <c r="H692" s="5"/>
      <c r="K692" s="5"/>
      <c r="L692" s="5"/>
    </row>
    <row r="693" spans="1:12">
      <c r="C693" s="16" t="s">
        <v>603</v>
      </c>
      <c r="D693" s="20" t="s">
        <v>604</v>
      </c>
      <c r="E693" s="17" t="s">
        <v>605</v>
      </c>
      <c r="F693" s="20" t="s">
        <v>606</v>
      </c>
      <c r="G693" s="17" t="s">
        <v>607</v>
      </c>
      <c r="H693" s="20" t="s">
        <v>608</v>
      </c>
      <c r="I693" s="227" t="s">
        <v>609</v>
      </c>
      <c r="J693" s="619" t="s">
        <v>610</v>
      </c>
      <c r="K693" s="227" t="s">
        <v>610</v>
      </c>
      <c r="L693" s="226" t="s">
        <v>611</v>
      </c>
    </row>
    <row r="694" spans="1:12" ht="15" thickBot="1">
      <c r="C694" s="36"/>
      <c r="D694" s="40"/>
      <c r="E694" s="37"/>
      <c r="F694" s="40"/>
      <c r="G694" s="37"/>
      <c r="H694" s="40"/>
      <c r="I694" s="233" t="s">
        <v>615</v>
      </c>
      <c r="J694" s="49" t="s">
        <v>616</v>
      </c>
      <c r="K694" s="233" t="s">
        <v>617</v>
      </c>
      <c r="L694" s="232" t="s">
        <v>617</v>
      </c>
    </row>
    <row r="695" spans="1:12">
      <c r="A695" s="23" t="s">
        <v>620</v>
      </c>
      <c r="B695" s="23">
        <v>0.52</v>
      </c>
      <c r="C695" s="618" t="s">
        <v>899</v>
      </c>
      <c r="F695" s="175">
        <v>26300</v>
      </c>
      <c r="G695" s="371">
        <v>31000</v>
      </c>
      <c r="H695" s="175">
        <v>30300</v>
      </c>
      <c r="I695" s="175">
        <v>16000</v>
      </c>
      <c r="L695" s="481"/>
    </row>
    <row r="696" spans="1:12">
      <c r="A696" s="480" t="s">
        <v>625</v>
      </c>
      <c r="B696" s="480"/>
      <c r="C696" s="181"/>
      <c r="F696" s="175"/>
      <c r="H696" s="175"/>
      <c r="I696" s="175">
        <f>I695*$B$335</f>
        <v>8320</v>
      </c>
      <c r="L696" s="481"/>
    </row>
    <row r="697" spans="1:12">
      <c r="A697" s="23" t="s">
        <v>13</v>
      </c>
      <c r="B697" s="23">
        <v>0.4</v>
      </c>
      <c r="C697" s="181"/>
      <c r="F697" s="482">
        <f>SUM(F695:F696)</f>
        <v>26300</v>
      </c>
      <c r="G697" s="616">
        <f>SUM(G695:G696)</f>
        <v>31000</v>
      </c>
      <c r="H697" s="482">
        <f>SUM(H695:H696)</f>
        <v>30300</v>
      </c>
      <c r="I697" s="482">
        <f>SUM(I695:I696)</f>
        <v>24320</v>
      </c>
      <c r="L697" s="481"/>
    </row>
    <row r="698" spans="1:12">
      <c r="A698" s="23" t="s">
        <v>208</v>
      </c>
      <c r="B698" s="23">
        <v>0.2</v>
      </c>
      <c r="C698" s="181"/>
      <c r="F698" s="175">
        <f>F697*$B$337</f>
        <v>10520</v>
      </c>
      <c r="G698" s="1">
        <f>G697*$B$337</f>
        <v>12400</v>
      </c>
      <c r="H698" s="175">
        <f>H697*$B$337</f>
        <v>12120</v>
      </c>
      <c r="I698" s="175">
        <f>I697*$B$337</f>
        <v>9728</v>
      </c>
      <c r="L698" s="481"/>
    </row>
    <row r="699" spans="1:12">
      <c r="A699" s="259" t="s">
        <v>15</v>
      </c>
      <c r="B699" s="259"/>
      <c r="C699" s="181"/>
      <c r="F699" s="175">
        <f>F697*$B$338</f>
        <v>5260</v>
      </c>
      <c r="G699" s="1">
        <f>G697*$B$338</f>
        <v>6200</v>
      </c>
      <c r="H699" s="175">
        <f>H697*$B$338</f>
        <v>6060</v>
      </c>
      <c r="I699" s="175">
        <f>I697*$B$338</f>
        <v>4864</v>
      </c>
      <c r="L699" s="481"/>
    </row>
    <row r="700" spans="1:12">
      <c r="A700" s="23" t="s">
        <v>215</v>
      </c>
      <c r="B700" s="23">
        <v>1.2</v>
      </c>
      <c r="C700" s="181"/>
      <c r="F700" s="613">
        <f>SUM(F697:F699)</f>
        <v>42080</v>
      </c>
      <c r="G700" s="617">
        <f>SUM(G697:G699)</f>
        <v>49600</v>
      </c>
      <c r="H700" s="613">
        <f>SUM(H697:H699)</f>
        <v>48480</v>
      </c>
      <c r="I700" s="613">
        <f>SUM(I697:I699)</f>
        <v>38912</v>
      </c>
      <c r="L700" s="481"/>
    </row>
    <row r="701" spans="1:12" ht="15" thickBot="1">
      <c r="A701" s="23"/>
      <c r="B701" s="23"/>
      <c r="C701" s="183"/>
      <c r="D701" s="170"/>
      <c r="E701" s="170"/>
      <c r="F701" s="527">
        <f>ROUNDUP((F700*$B$249),-3)</f>
        <v>51000</v>
      </c>
      <c r="G701" s="615">
        <f>ROUNDUP((G700*$B$249),-3)</f>
        <v>60000</v>
      </c>
      <c r="H701" s="527">
        <f>ROUNDUP((H700*$B$249),-3)</f>
        <v>59000</v>
      </c>
      <c r="I701" s="527">
        <f>ROUNDUP((I700*$B$249),-3)</f>
        <v>47000</v>
      </c>
      <c r="J701" s="170"/>
      <c r="K701" s="170"/>
      <c r="L701" s="410"/>
    </row>
    <row r="702" spans="1:12" ht="15" thickBot="1">
      <c r="A702" s="23"/>
      <c r="B702" s="23"/>
      <c r="F702" s="5"/>
      <c r="G702" s="5"/>
      <c r="H702" s="5"/>
      <c r="I702" s="5"/>
    </row>
    <row r="703" spans="1:12">
      <c r="C703" s="16" t="s">
        <v>603</v>
      </c>
      <c r="D703" s="20" t="s">
        <v>604</v>
      </c>
      <c r="E703" s="17" t="s">
        <v>605</v>
      </c>
      <c r="F703" s="20" t="s">
        <v>606</v>
      </c>
      <c r="G703" s="17" t="s">
        <v>607</v>
      </c>
      <c r="H703" s="20" t="s">
        <v>608</v>
      </c>
      <c r="I703" s="227" t="s">
        <v>609</v>
      </c>
      <c r="J703" s="619" t="s">
        <v>610</v>
      </c>
      <c r="K703" s="227" t="s">
        <v>610</v>
      </c>
      <c r="L703" s="226" t="s">
        <v>611</v>
      </c>
    </row>
    <row r="704" spans="1:12" ht="15" thickBot="1">
      <c r="C704" s="36"/>
      <c r="D704" s="40"/>
      <c r="E704" s="37"/>
      <c r="F704" s="40"/>
      <c r="G704" s="37"/>
      <c r="H704" s="40"/>
      <c r="I704" s="233" t="s">
        <v>615</v>
      </c>
      <c r="J704" s="49" t="s">
        <v>616</v>
      </c>
      <c r="K704" s="233" t="s">
        <v>617</v>
      </c>
      <c r="L704" s="232" t="s">
        <v>617</v>
      </c>
    </row>
    <row r="705" spans="1:12">
      <c r="A705" s="23" t="s">
        <v>620</v>
      </c>
      <c r="B705" s="23">
        <v>0.52</v>
      </c>
      <c r="C705" s="618" t="s">
        <v>900</v>
      </c>
      <c r="F705" s="175">
        <v>40600</v>
      </c>
      <c r="G705" s="1">
        <v>47700</v>
      </c>
      <c r="H705" s="175">
        <v>47300</v>
      </c>
      <c r="I705" s="175">
        <v>20000</v>
      </c>
      <c r="L705" s="481"/>
    </row>
    <row r="706" spans="1:12">
      <c r="A706" s="480" t="s">
        <v>625</v>
      </c>
      <c r="B706" s="480"/>
      <c r="C706" s="181"/>
      <c r="F706" s="175"/>
      <c r="H706" s="175"/>
      <c r="I706" s="175">
        <f>I705*$B$335</f>
        <v>10400</v>
      </c>
      <c r="L706" s="481"/>
    </row>
    <row r="707" spans="1:12">
      <c r="A707" s="23" t="s">
        <v>13</v>
      </c>
      <c r="B707" s="23">
        <v>0.4</v>
      </c>
      <c r="C707" s="181"/>
      <c r="F707" s="482">
        <f>SUM(F705:F706)</f>
        <v>40600</v>
      </c>
      <c r="G707" s="616">
        <f>SUM(G705:G706)</f>
        <v>47700</v>
      </c>
      <c r="H707" s="482">
        <f>SUM(H705:H706)</f>
        <v>47300</v>
      </c>
      <c r="I707" s="482">
        <f>SUM(I705:I706)</f>
        <v>30400</v>
      </c>
      <c r="L707" s="481"/>
    </row>
    <row r="708" spans="1:12">
      <c r="A708" s="23" t="s">
        <v>208</v>
      </c>
      <c r="B708" s="23">
        <v>0.2</v>
      </c>
      <c r="C708" s="181"/>
      <c r="F708" s="175">
        <f>F707*$B$337</f>
        <v>16240</v>
      </c>
      <c r="G708" s="1">
        <f>G707*$B$337</f>
        <v>19080</v>
      </c>
      <c r="H708" s="175">
        <f>H707*$B$337</f>
        <v>18920</v>
      </c>
      <c r="I708" s="175">
        <f>I707*$B$337</f>
        <v>12160</v>
      </c>
      <c r="L708" s="481"/>
    </row>
    <row r="709" spans="1:12">
      <c r="A709" s="259" t="s">
        <v>15</v>
      </c>
      <c r="B709" s="259"/>
      <c r="C709" s="181"/>
      <c r="F709" s="175">
        <f>F707*$B$338</f>
        <v>8120</v>
      </c>
      <c r="G709" s="1">
        <f>G707*$B$338</f>
        <v>9540</v>
      </c>
      <c r="H709" s="175">
        <f>H707*$B$338</f>
        <v>9460</v>
      </c>
      <c r="I709" s="175">
        <f>I707*$B$338</f>
        <v>6080</v>
      </c>
      <c r="L709" s="481"/>
    </row>
    <row r="710" spans="1:12">
      <c r="A710" s="23" t="s">
        <v>215</v>
      </c>
      <c r="B710" s="23">
        <v>1.2</v>
      </c>
      <c r="C710" s="181"/>
      <c r="F710" s="613">
        <f>SUM(F707:F709)</f>
        <v>64960</v>
      </c>
      <c r="G710" s="617">
        <f>SUM(G707:G709)</f>
        <v>76320</v>
      </c>
      <c r="H710" s="613">
        <f>SUM(H707:H709)</f>
        <v>75680</v>
      </c>
      <c r="I710" s="613">
        <f>SUM(I707:I709)</f>
        <v>48640</v>
      </c>
      <c r="L710" s="481"/>
    </row>
    <row r="711" spans="1:12" ht="15" thickBot="1">
      <c r="A711" s="23"/>
      <c r="B711" s="23"/>
      <c r="C711" s="183"/>
      <c r="D711" s="170"/>
      <c r="E711" s="170"/>
      <c r="F711" s="527">
        <f>ROUNDUP((F710*$B$249),-3)</f>
        <v>78000</v>
      </c>
      <c r="G711" s="615">
        <f>ROUNDUP((G710*$B$249),-3)</f>
        <v>92000</v>
      </c>
      <c r="H711" s="527">
        <f>ROUNDUP((H710*$B$249),-3)</f>
        <v>91000</v>
      </c>
      <c r="I711" s="527">
        <f>ROUNDUP((I710*$B$249),-3)</f>
        <v>59000</v>
      </c>
      <c r="J711" s="170"/>
      <c r="K711" s="170"/>
      <c r="L711" s="410"/>
    </row>
    <row r="712" spans="1:12" ht="15" thickBot="1">
      <c r="A712" s="23"/>
      <c r="B712" s="23"/>
      <c r="F712" s="5"/>
      <c r="G712" s="5"/>
      <c r="H712" s="5"/>
      <c r="I712" s="5"/>
    </row>
    <row r="713" spans="1:12">
      <c r="C713" s="16" t="s">
        <v>603</v>
      </c>
      <c r="D713" s="20" t="s">
        <v>604</v>
      </c>
      <c r="E713" s="17" t="s">
        <v>605</v>
      </c>
      <c r="F713" s="20" t="s">
        <v>606</v>
      </c>
      <c r="G713" s="17" t="s">
        <v>607</v>
      </c>
      <c r="H713" s="20" t="s">
        <v>608</v>
      </c>
      <c r="I713" s="227" t="s">
        <v>609</v>
      </c>
      <c r="J713" s="619" t="s">
        <v>610</v>
      </c>
      <c r="K713" s="227" t="s">
        <v>610</v>
      </c>
      <c r="L713" s="226" t="s">
        <v>611</v>
      </c>
    </row>
    <row r="714" spans="1:12" ht="15" thickBot="1">
      <c r="C714" s="36"/>
      <c r="D714" s="40"/>
      <c r="E714" s="37"/>
      <c r="F714" s="40"/>
      <c r="G714" s="37"/>
      <c r="H714" s="40"/>
      <c r="I714" s="233" t="s">
        <v>615</v>
      </c>
      <c r="J714" s="49" t="s">
        <v>616</v>
      </c>
      <c r="K714" s="233" t="s">
        <v>617</v>
      </c>
      <c r="L714" s="232" t="s">
        <v>617</v>
      </c>
    </row>
    <row r="715" spans="1:12">
      <c r="A715" s="23" t="s">
        <v>620</v>
      </c>
      <c r="B715" s="23">
        <v>0.52</v>
      </c>
      <c r="C715" s="618" t="s">
        <v>901</v>
      </c>
      <c r="F715" s="175">
        <v>64500</v>
      </c>
      <c r="G715" s="623">
        <v>71600</v>
      </c>
      <c r="H715" s="175">
        <v>67800</v>
      </c>
      <c r="I715" s="175">
        <v>29000</v>
      </c>
      <c r="L715" s="481"/>
    </row>
    <row r="716" spans="1:12">
      <c r="A716" s="480" t="s">
        <v>625</v>
      </c>
      <c r="B716" s="480"/>
      <c r="C716" s="181"/>
      <c r="F716" s="175"/>
      <c r="H716" s="175"/>
      <c r="I716" s="175">
        <f>I715*$B$335</f>
        <v>15080</v>
      </c>
      <c r="L716" s="481"/>
    </row>
    <row r="717" spans="1:12">
      <c r="A717" s="23" t="s">
        <v>13</v>
      </c>
      <c r="B717" s="23">
        <v>0.4</v>
      </c>
      <c r="C717" s="181"/>
      <c r="F717" s="482">
        <f>SUM(F715:F716)</f>
        <v>64500</v>
      </c>
      <c r="G717" s="616">
        <f>SUM(G715:G716)</f>
        <v>71600</v>
      </c>
      <c r="H717" s="482">
        <f>SUM(H715:H716)</f>
        <v>67800</v>
      </c>
      <c r="I717" s="482">
        <f>SUM(I715:I716)</f>
        <v>44080</v>
      </c>
      <c r="L717" s="481"/>
    </row>
    <row r="718" spans="1:12">
      <c r="A718" s="23" t="s">
        <v>208</v>
      </c>
      <c r="B718" s="23">
        <v>0.2</v>
      </c>
      <c r="C718" s="181"/>
      <c r="F718" s="175">
        <f>F717*$B$337</f>
        <v>25800</v>
      </c>
      <c r="G718" s="1">
        <f>G717*$B$337</f>
        <v>28640</v>
      </c>
      <c r="H718" s="175">
        <f>H717*$B$337</f>
        <v>27120</v>
      </c>
      <c r="I718" s="175">
        <f>I717*$B$337</f>
        <v>17632</v>
      </c>
      <c r="L718" s="481"/>
    </row>
    <row r="719" spans="1:12">
      <c r="A719" s="259" t="s">
        <v>15</v>
      </c>
      <c r="B719" s="259"/>
      <c r="C719" s="181"/>
      <c r="F719" s="175">
        <f>F717*$B$338</f>
        <v>12900</v>
      </c>
      <c r="G719" s="1">
        <f>G717*$B$338</f>
        <v>14320</v>
      </c>
      <c r="H719" s="175">
        <f>H717*$B$338</f>
        <v>13560</v>
      </c>
      <c r="I719" s="175">
        <f>I717*$B$338</f>
        <v>8816</v>
      </c>
      <c r="L719" s="481"/>
    </row>
    <row r="720" spans="1:12">
      <c r="A720" s="23" t="s">
        <v>215</v>
      </c>
      <c r="B720" s="23">
        <v>1.2</v>
      </c>
      <c r="C720" s="181"/>
      <c r="F720" s="613">
        <f>SUM(F717:F719)</f>
        <v>103200</v>
      </c>
      <c r="G720" s="617">
        <f>SUM(G717:G719)</f>
        <v>114560</v>
      </c>
      <c r="H720" s="613">
        <f>SUM(H717:H719)</f>
        <v>108480</v>
      </c>
      <c r="I720" s="613">
        <f>SUM(I717:I719)</f>
        <v>70528</v>
      </c>
      <c r="L720" s="481"/>
    </row>
    <row r="721" spans="1:12" ht="15" thickBot="1">
      <c r="A721" s="23"/>
      <c r="B721" s="23"/>
      <c r="C721" s="183"/>
      <c r="D721" s="170"/>
      <c r="E721" s="170"/>
      <c r="F721" s="527">
        <f>ROUNDUP((F720*$B$249),-3)</f>
        <v>124000</v>
      </c>
      <c r="G721" s="615">
        <f>ROUNDUP((G720*$B$249),-3)</f>
        <v>138000</v>
      </c>
      <c r="H721" s="527">
        <f>ROUNDUP((H720*$B$249),-3)</f>
        <v>131000</v>
      </c>
      <c r="I721" s="527">
        <f>ROUNDUP((I720*$B$249),-3)</f>
        <v>85000</v>
      </c>
      <c r="J721" s="170"/>
      <c r="K721" s="170"/>
      <c r="L721" s="410"/>
    </row>
    <row r="722" spans="1:12" ht="15" thickBot="1">
      <c r="A722" s="23"/>
      <c r="B722" s="23"/>
      <c r="F722" s="5"/>
      <c r="G722" s="5"/>
      <c r="H722" s="5"/>
      <c r="I722" s="5"/>
    </row>
    <row r="723" spans="1:12">
      <c r="C723" s="16" t="s">
        <v>603</v>
      </c>
      <c r="D723" s="20" t="s">
        <v>604</v>
      </c>
      <c r="E723" s="17" t="s">
        <v>605</v>
      </c>
      <c r="F723" s="20" t="s">
        <v>606</v>
      </c>
      <c r="G723" s="17" t="s">
        <v>607</v>
      </c>
      <c r="H723" s="20" t="s">
        <v>608</v>
      </c>
      <c r="I723" s="227" t="s">
        <v>609</v>
      </c>
      <c r="J723" s="619" t="s">
        <v>610</v>
      </c>
      <c r="K723" s="227" t="s">
        <v>610</v>
      </c>
      <c r="L723" s="226" t="s">
        <v>611</v>
      </c>
    </row>
    <row r="724" spans="1:12" ht="15" thickBot="1">
      <c r="C724" s="36"/>
      <c r="D724" s="40"/>
      <c r="E724" s="37"/>
      <c r="F724" s="40"/>
      <c r="G724" s="37"/>
      <c r="H724" s="40"/>
      <c r="I724" s="233" t="s">
        <v>615</v>
      </c>
      <c r="J724" s="49" t="s">
        <v>616</v>
      </c>
      <c r="K724" s="233" t="s">
        <v>617</v>
      </c>
      <c r="L724" s="232" t="s">
        <v>617</v>
      </c>
    </row>
    <row r="725" spans="1:12">
      <c r="A725" s="23" t="s">
        <v>620</v>
      </c>
      <c r="B725" s="23">
        <v>0.52</v>
      </c>
      <c r="C725" s="618" t="s">
        <v>902</v>
      </c>
      <c r="D725" s="5"/>
      <c r="F725" s="175">
        <v>90800</v>
      </c>
      <c r="G725" s="371">
        <v>100300</v>
      </c>
      <c r="H725" s="175">
        <v>99200</v>
      </c>
      <c r="I725" s="175">
        <v>36000</v>
      </c>
      <c r="L725" s="481"/>
    </row>
    <row r="726" spans="1:12">
      <c r="A726" s="480" t="s">
        <v>625</v>
      </c>
      <c r="B726" s="480"/>
      <c r="C726" s="181"/>
      <c r="D726" s="5"/>
      <c r="F726" s="175"/>
      <c r="H726" s="175"/>
      <c r="I726" s="175">
        <f>I725*$B$335</f>
        <v>18720</v>
      </c>
      <c r="L726" s="481"/>
    </row>
    <row r="727" spans="1:12">
      <c r="A727" s="23" t="s">
        <v>13</v>
      </c>
      <c r="B727" s="23">
        <v>0.4</v>
      </c>
      <c r="C727" s="181"/>
      <c r="D727" s="5"/>
      <c r="F727" s="482">
        <f>SUM(F725:F726)</f>
        <v>90800</v>
      </c>
      <c r="G727" s="616">
        <f>SUM(G725:G726)</f>
        <v>100300</v>
      </c>
      <c r="H727" s="482">
        <f>SUM(H725:H726)</f>
        <v>99200</v>
      </c>
      <c r="I727" s="482">
        <f>SUM(I725:I726)</f>
        <v>54720</v>
      </c>
      <c r="L727" s="481"/>
    </row>
    <row r="728" spans="1:12">
      <c r="A728" s="23" t="s">
        <v>208</v>
      </c>
      <c r="B728" s="23">
        <v>0.2</v>
      </c>
      <c r="C728" s="181"/>
      <c r="D728" s="5"/>
      <c r="F728" s="175">
        <f>F727*$B$337</f>
        <v>36320</v>
      </c>
      <c r="G728" s="1">
        <f>G727*B727</f>
        <v>40120</v>
      </c>
      <c r="H728" s="175">
        <f>H727*$B$337</f>
        <v>39680</v>
      </c>
      <c r="I728" s="175">
        <f>I727*$B$337</f>
        <v>21888</v>
      </c>
      <c r="L728" s="481"/>
    </row>
    <row r="729" spans="1:12">
      <c r="A729" s="259" t="s">
        <v>15</v>
      </c>
      <c r="B729" s="259"/>
      <c r="C729" s="181"/>
      <c r="D729" s="5"/>
      <c r="F729" s="175">
        <f>F727*$B$338</f>
        <v>18160</v>
      </c>
      <c r="G729" s="1">
        <f>G727*B728</f>
        <v>20060</v>
      </c>
      <c r="H729" s="175">
        <f>H727*$B$338</f>
        <v>19840</v>
      </c>
      <c r="I729" s="175">
        <f>I727*$B$338</f>
        <v>10944</v>
      </c>
      <c r="L729" s="481"/>
    </row>
    <row r="730" spans="1:12">
      <c r="A730" s="23" t="s">
        <v>215</v>
      </c>
      <c r="B730" s="23">
        <v>1.5</v>
      </c>
      <c r="C730" s="181"/>
      <c r="D730" s="5"/>
      <c r="F730" s="613">
        <f>SUM(F727:F729)</f>
        <v>145280</v>
      </c>
      <c r="G730" s="617">
        <f>SUM(G727:G729)</f>
        <v>160480</v>
      </c>
      <c r="H730" s="613">
        <f>SUM(H727:H729)</f>
        <v>158720</v>
      </c>
      <c r="I730" s="613">
        <f>SUM(I727:I729)</f>
        <v>87552</v>
      </c>
      <c r="L730" s="481"/>
    </row>
    <row r="731" spans="1:12" ht="15" thickBot="1">
      <c r="A731" s="23"/>
      <c r="B731" s="23"/>
      <c r="C731" s="183"/>
      <c r="D731" s="615"/>
      <c r="E731" s="170"/>
      <c r="F731" s="527">
        <f>ROUNDUP((F730*$B$249),-3)</f>
        <v>175000</v>
      </c>
      <c r="G731" s="615">
        <f>ROUNDUP((G730*B730),-3)</f>
        <v>241000</v>
      </c>
      <c r="H731" s="527">
        <f>ROUNDUP((H730*$B$249),-3)</f>
        <v>191000</v>
      </c>
      <c r="I731" s="527">
        <f>ROUNDUP((I730*$B$249),-3)</f>
        <v>106000</v>
      </c>
      <c r="J731" s="170"/>
      <c r="K731" s="170"/>
      <c r="L731" s="410"/>
    </row>
    <row r="732" spans="1:12" ht="15" thickBot="1">
      <c r="A732" s="23"/>
      <c r="B732" s="23"/>
      <c r="D732" s="5"/>
      <c r="F732" s="5"/>
      <c r="G732" s="5"/>
      <c r="H732" s="5"/>
      <c r="I732" s="5"/>
    </row>
    <row r="733" spans="1:12">
      <c r="C733" s="16" t="s">
        <v>603</v>
      </c>
      <c r="D733" s="20" t="s">
        <v>604</v>
      </c>
      <c r="E733" s="17" t="s">
        <v>605</v>
      </c>
      <c r="F733" s="20" t="s">
        <v>606</v>
      </c>
      <c r="G733" s="17" t="s">
        <v>607</v>
      </c>
      <c r="H733" s="20" t="s">
        <v>608</v>
      </c>
      <c r="I733" s="227" t="s">
        <v>609</v>
      </c>
      <c r="J733" s="619" t="s">
        <v>610</v>
      </c>
      <c r="K733" s="227" t="s">
        <v>610</v>
      </c>
      <c r="L733" s="226" t="s">
        <v>611</v>
      </c>
    </row>
    <row r="734" spans="1:12" ht="15" thickBot="1">
      <c r="C734" s="36"/>
      <c r="D734" s="40"/>
      <c r="E734" s="37"/>
      <c r="F734" s="40"/>
      <c r="G734" s="37"/>
      <c r="H734" s="40"/>
      <c r="I734" s="233" t="s">
        <v>615</v>
      </c>
      <c r="J734" s="49" t="s">
        <v>616</v>
      </c>
      <c r="K734" s="233" t="s">
        <v>617</v>
      </c>
      <c r="L734" s="232" t="s">
        <v>617</v>
      </c>
    </row>
    <row r="735" spans="1:12">
      <c r="A735" s="23" t="s">
        <v>620</v>
      </c>
      <c r="B735" s="23">
        <v>0.52</v>
      </c>
      <c r="C735" s="618" t="s">
        <v>903</v>
      </c>
      <c r="F735" s="175">
        <v>150500</v>
      </c>
      <c r="G735" s="1">
        <v>160000</v>
      </c>
      <c r="H735" s="175">
        <v>168000</v>
      </c>
      <c r="I735" s="175">
        <v>49000</v>
      </c>
      <c r="L735" s="481"/>
    </row>
    <row r="736" spans="1:12">
      <c r="A736" s="480" t="s">
        <v>625</v>
      </c>
      <c r="B736" s="480"/>
      <c r="C736" s="181"/>
      <c r="F736" s="175"/>
      <c r="H736" s="175"/>
      <c r="I736" s="175">
        <f>I735*$B$335</f>
        <v>25480</v>
      </c>
      <c r="L736" s="481"/>
    </row>
    <row r="737" spans="1:12">
      <c r="A737" s="23" t="s">
        <v>13</v>
      </c>
      <c r="B737" s="23">
        <v>0.4</v>
      </c>
      <c r="C737" s="181"/>
      <c r="F737" s="482">
        <f>SUM(F735:F736)</f>
        <v>150500</v>
      </c>
      <c r="G737" s="616">
        <f>SUM(G735:G736)</f>
        <v>160000</v>
      </c>
      <c r="H737" s="482">
        <f>SUM(H735:H736)</f>
        <v>168000</v>
      </c>
      <c r="I737" s="482">
        <f>SUM(I735:I736)</f>
        <v>74480</v>
      </c>
      <c r="L737" s="481"/>
    </row>
    <row r="738" spans="1:12">
      <c r="A738" s="23" t="s">
        <v>208</v>
      </c>
      <c r="B738" s="23">
        <v>0.2</v>
      </c>
      <c r="C738" s="181"/>
      <c r="F738" s="175">
        <f>F737*$B$337</f>
        <v>60200</v>
      </c>
      <c r="G738" s="1">
        <f>G737*$B$337</f>
        <v>64000</v>
      </c>
      <c r="H738" s="175">
        <f>H737*$B$337</f>
        <v>67200</v>
      </c>
      <c r="I738" s="175">
        <f>I737*$B$337</f>
        <v>29792</v>
      </c>
      <c r="L738" s="481"/>
    </row>
    <row r="739" spans="1:12">
      <c r="A739" s="259" t="s">
        <v>15</v>
      </c>
      <c r="B739" s="259"/>
      <c r="C739" s="181"/>
      <c r="F739" s="175">
        <f>F737*$B$338</f>
        <v>30100</v>
      </c>
      <c r="G739" s="1">
        <f>G737*$B$338</f>
        <v>32000</v>
      </c>
      <c r="H739" s="175">
        <f>H737*$B$338</f>
        <v>33600</v>
      </c>
      <c r="I739" s="175">
        <f>I737*$B$338</f>
        <v>14896</v>
      </c>
      <c r="L739" s="481"/>
    </row>
    <row r="740" spans="1:12">
      <c r="A740" s="23" t="s">
        <v>215</v>
      </c>
      <c r="B740" s="23">
        <v>1.2</v>
      </c>
      <c r="C740" s="181"/>
      <c r="F740" s="613">
        <f>SUM(F737:F739)</f>
        <v>240800</v>
      </c>
      <c r="G740" s="617">
        <f>SUM(G737:G739)</f>
        <v>256000</v>
      </c>
      <c r="H740" s="613">
        <f>SUM(H737:H739)</f>
        <v>268800</v>
      </c>
      <c r="I740" s="613">
        <f>SUM(I737:I739)</f>
        <v>119168</v>
      </c>
      <c r="L740" s="481"/>
    </row>
    <row r="741" spans="1:12" ht="15" thickBot="1">
      <c r="A741" s="23"/>
      <c r="B741" s="23"/>
      <c r="C741" s="183"/>
      <c r="D741" s="170"/>
      <c r="E741" s="170"/>
      <c r="F741" s="527">
        <f>ROUNDUP((F740*$B$249),-3)</f>
        <v>289000</v>
      </c>
      <c r="G741" s="615">
        <f>ROUNDUP((G740*$B$249),-3)</f>
        <v>308000</v>
      </c>
      <c r="H741" s="527">
        <f>ROUNDUP((H740*$B$249),-3)</f>
        <v>323000</v>
      </c>
      <c r="I741" s="527">
        <f>ROUNDUP((I740*$B$249),-3)</f>
        <v>144000</v>
      </c>
      <c r="J741" s="170"/>
      <c r="K741" s="170"/>
      <c r="L741" s="410"/>
    </row>
    <row r="742" spans="1:12" ht="15" thickBot="1">
      <c r="A742" s="23"/>
      <c r="B742" s="23"/>
      <c r="F742" s="5"/>
      <c r="G742" s="5"/>
      <c r="H742" s="5"/>
      <c r="I742" s="5"/>
    </row>
    <row r="743" spans="1:12">
      <c r="C743" s="16" t="s">
        <v>603</v>
      </c>
      <c r="D743" s="20" t="s">
        <v>604</v>
      </c>
      <c r="E743" s="17" t="s">
        <v>605</v>
      </c>
      <c r="F743" s="16" t="s">
        <v>606</v>
      </c>
      <c r="G743" s="20" t="s">
        <v>607</v>
      </c>
      <c r="H743" s="17" t="s">
        <v>608</v>
      </c>
      <c r="I743" s="227" t="s">
        <v>609</v>
      </c>
      <c r="J743" s="619" t="s">
        <v>610</v>
      </c>
      <c r="K743" s="227" t="s">
        <v>610</v>
      </c>
      <c r="L743" s="226" t="s">
        <v>611</v>
      </c>
    </row>
    <row r="744" spans="1:12" ht="15" thickBot="1">
      <c r="C744" s="36"/>
      <c r="D744" s="40"/>
      <c r="E744" s="37"/>
      <c r="F744" s="36"/>
      <c r="G744" s="40"/>
      <c r="H744" s="37"/>
      <c r="I744" s="233" t="s">
        <v>615</v>
      </c>
      <c r="J744" s="49" t="s">
        <v>616</v>
      </c>
      <c r="K744" s="233" t="s">
        <v>617</v>
      </c>
      <c r="L744" s="232" t="s">
        <v>617</v>
      </c>
    </row>
    <row r="745" spans="1:12">
      <c r="A745" s="23" t="s">
        <v>620</v>
      </c>
      <c r="B745" s="23">
        <v>0.52</v>
      </c>
      <c r="C745" s="618" t="s">
        <v>904</v>
      </c>
      <c r="G745" s="624">
        <v>247000</v>
      </c>
      <c r="I745" s="175">
        <v>292000</v>
      </c>
      <c r="L745" s="481"/>
    </row>
    <row r="746" spans="1:12">
      <c r="A746" s="480" t="s">
        <v>625</v>
      </c>
      <c r="B746" s="480"/>
      <c r="C746" s="181"/>
      <c r="G746" s="175"/>
      <c r="I746" s="175"/>
      <c r="L746" s="481"/>
    </row>
    <row r="747" spans="1:12">
      <c r="A747" s="23" t="s">
        <v>13</v>
      </c>
      <c r="B747" s="23">
        <v>0.4</v>
      </c>
      <c r="C747" s="181"/>
      <c r="G747" s="482">
        <f>SUM(G745:G746)</f>
        <v>247000</v>
      </c>
      <c r="I747" s="482">
        <f>SUM(I745:I746)</f>
        <v>292000</v>
      </c>
      <c r="L747" s="481"/>
    </row>
    <row r="748" spans="1:12">
      <c r="A748" s="23" t="s">
        <v>208</v>
      </c>
      <c r="B748" s="23">
        <v>0.2</v>
      </c>
      <c r="C748" s="181"/>
      <c r="G748" s="175">
        <f>G747*$B$337</f>
        <v>98800</v>
      </c>
      <c r="I748" s="175">
        <f>I747*$B$337</f>
        <v>116800</v>
      </c>
      <c r="L748" s="481"/>
    </row>
    <row r="749" spans="1:12">
      <c r="A749" s="259" t="s">
        <v>15</v>
      </c>
      <c r="B749" s="259"/>
      <c r="C749" s="181"/>
      <c r="G749" s="175">
        <f>G747*$B$338</f>
        <v>49400</v>
      </c>
      <c r="I749" s="175">
        <f>I747*$B$338</f>
        <v>58400</v>
      </c>
      <c r="L749" s="481"/>
    </row>
    <row r="750" spans="1:12">
      <c r="A750" s="23" t="s">
        <v>215</v>
      </c>
      <c r="B750" s="23">
        <v>1.2</v>
      </c>
      <c r="C750" s="181"/>
      <c r="G750" s="613">
        <f>SUM(G747:G749)</f>
        <v>395200</v>
      </c>
      <c r="I750" s="613">
        <f>SUM(I747:I749)</f>
        <v>467200</v>
      </c>
      <c r="L750" s="481"/>
    </row>
    <row r="751" spans="1:12" ht="15" thickBot="1">
      <c r="A751" s="23"/>
      <c r="B751" s="23"/>
      <c r="C751" s="183"/>
      <c r="D751" s="170"/>
      <c r="E751" s="170"/>
      <c r="F751" s="170"/>
      <c r="G751" s="527">
        <f>ROUNDUP((G750*$B$249),-3)</f>
        <v>475000</v>
      </c>
      <c r="H751" s="170"/>
      <c r="I751" s="527">
        <f>ROUNDUP((I750*$B$249),-3)</f>
        <v>561000</v>
      </c>
      <c r="J751" s="170"/>
      <c r="K751" s="170"/>
      <c r="L751" s="410"/>
    </row>
    <row r="752" spans="1:12" ht="15" thickBot="1">
      <c r="A752" s="23"/>
      <c r="B752" s="23"/>
      <c r="G752" s="5"/>
      <c r="I752" s="5"/>
    </row>
    <row r="753" spans="1:12">
      <c r="C753" s="16" t="s">
        <v>603</v>
      </c>
      <c r="D753" s="20" t="s">
        <v>604</v>
      </c>
      <c r="E753" s="17" t="s">
        <v>605</v>
      </c>
      <c r="F753" s="16" t="s">
        <v>606</v>
      </c>
      <c r="G753" s="20" t="s">
        <v>607</v>
      </c>
      <c r="H753" s="17" t="s">
        <v>608</v>
      </c>
      <c r="I753" s="227" t="s">
        <v>609</v>
      </c>
      <c r="J753" s="619" t="s">
        <v>610</v>
      </c>
      <c r="K753" s="227" t="s">
        <v>610</v>
      </c>
      <c r="L753" s="226" t="s">
        <v>611</v>
      </c>
    </row>
    <row r="754" spans="1:12" ht="15" thickBot="1">
      <c r="C754" s="36"/>
      <c r="D754" s="40"/>
      <c r="E754" s="37"/>
      <c r="F754" s="36"/>
      <c r="G754" s="40"/>
      <c r="H754" s="37"/>
      <c r="I754" s="233" t="s">
        <v>615</v>
      </c>
      <c r="J754" s="49" t="s">
        <v>616</v>
      </c>
      <c r="K754" s="233" t="s">
        <v>617</v>
      </c>
      <c r="L754" s="232" t="s">
        <v>617</v>
      </c>
    </row>
    <row r="755" spans="1:12">
      <c r="A755" s="23" t="s">
        <v>620</v>
      </c>
      <c r="B755" s="23">
        <v>0.52</v>
      </c>
      <c r="C755" s="618" t="s">
        <v>905</v>
      </c>
      <c r="G755" s="175">
        <v>380000</v>
      </c>
      <c r="I755" s="175">
        <v>453000</v>
      </c>
      <c r="L755" s="481"/>
    </row>
    <row r="756" spans="1:12">
      <c r="A756" s="480" t="s">
        <v>625</v>
      </c>
      <c r="B756" s="480"/>
      <c r="C756" s="181"/>
      <c r="G756" s="175"/>
      <c r="I756" s="175"/>
      <c r="L756" s="481"/>
    </row>
    <row r="757" spans="1:12">
      <c r="A757" s="23" t="s">
        <v>13</v>
      </c>
      <c r="B757" s="23">
        <v>0.4</v>
      </c>
      <c r="C757" s="181"/>
      <c r="G757" s="482">
        <f>SUM(G755:G756)</f>
        <v>380000</v>
      </c>
      <c r="I757" s="482">
        <f>SUM(I755:I756)</f>
        <v>453000</v>
      </c>
      <c r="L757" s="481"/>
    </row>
    <row r="758" spans="1:12">
      <c r="A758" s="23" t="s">
        <v>208</v>
      </c>
      <c r="B758" s="23">
        <v>0.2</v>
      </c>
      <c r="C758" s="181"/>
      <c r="G758" s="175">
        <f>G757*$B$337</f>
        <v>152000</v>
      </c>
      <c r="I758" s="175">
        <f>I757*$B$337</f>
        <v>181200</v>
      </c>
      <c r="L758" s="481"/>
    </row>
    <row r="759" spans="1:12">
      <c r="A759" s="259" t="s">
        <v>15</v>
      </c>
      <c r="B759" s="259"/>
      <c r="C759" s="181"/>
      <c r="G759" s="175">
        <f>G757*$B$338</f>
        <v>76000</v>
      </c>
      <c r="I759" s="175">
        <f>I757*$B$338</f>
        <v>90600</v>
      </c>
      <c r="L759" s="481"/>
    </row>
    <row r="760" spans="1:12">
      <c r="A760" s="23" t="s">
        <v>215</v>
      </c>
      <c r="B760" s="23">
        <v>1.2</v>
      </c>
      <c r="C760" s="181"/>
      <c r="G760" s="613">
        <f>SUM(G757:G759)</f>
        <v>608000</v>
      </c>
      <c r="I760" s="613">
        <f>SUM(I757:I759)</f>
        <v>724800</v>
      </c>
      <c r="L760" s="481"/>
    </row>
    <row r="761" spans="1:12" ht="15" thickBot="1">
      <c r="A761" s="23"/>
      <c r="B761" s="23"/>
      <c r="C761" s="183"/>
      <c r="D761" s="170"/>
      <c r="E761" s="170"/>
      <c r="F761" s="170"/>
      <c r="G761" s="527">
        <f>ROUNDUP((G760*$B$249),-3)</f>
        <v>730000</v>
      </c>
      <c r="H761" s="170"/>
      <c r="I761" s="527">
        <f>ROUNDUP((I760*$B$249),-3)</f>
        <v>870000</v>
      </c>
      <c r="J761" s="170"/>
      <c r="K761" s="170"/>
      <c r="L761" s="410"/>
    </row>
    <row r="762" spans="1:12" ht="15" thickBot="1">
      <c r="A762" s="23"/>
      <c r="B762" s="23"/>
      <c r="G762" s="5"/>
      <c r="I762" s="5"/>
    </row>
    <row r="763" spans="1:12">
      <c r="C763" s="16" t="s">
        <v>603</v>
      </c>
      <c r="D763" s="20" t="s">
        <v>604</v>
      </c>
      <c r="E763" s="17" t="s">
        <v>605</v>
      </c>
      <c r="F763" s="16" t="s">
        <v>606</v>
      </c>
      <c r="G763" s="20" t="s">
        <v>607</v>
      </c>
      <c r="H763" s="17" t="s">
        <v>608</v>
      </c>
      <c r="I763" s="227" t="s">
        <v>609</v>
      </c>
      <c r="J763" s="619" t="s">
        <v>610</v>
      </c>
      <c r="K763" s="227" t="s">
        <v>610</v>
      </c>
      <c r="L763" s="226" t="s">
        <v>611</v>
      </c>
    </row>
    <row r="764" spans="1:12" ht="15" thickBot="1">
      <c r="C764" s="36"/>
      <c r="D764" s="40"/>
      <c r="E764" s="37"/>
      <c r="F764" s="36"/>
      <c r="G764" s="40"/>
      <c r="H764" s="37"/>
      <c r="I764" s="233" t="s">
        <v>615</v>
      </c>
      <c r="J764" s="49" t="s">
        <v>616</v>
      </c>
      <c r="K764" s="233" t="s">
        <v>617</v>
      </c>
      <c r="L764" s="232" t="s">
        <v>617</v>
      </c>
    </row>
    <row r="765" spans="1:12">
      <c r="A765" s="23" t="s">
        <v>620</v>
      </c>
      <c r="B765" s="23">
        <v>0.52</v>
      </c>
      <c r="C765" s="618" t="s">
        <v>906</v>
      </c>
      <c r="G765" s="175">
        <v>517500</v>
      </c>
      <c r="I765" s="175">
        <v>577000</v>
      </c>
      <c r="L765" s="481"/>
    </row>
    <row r="766" spans="1:12">
      <c r="A766" s="480" t="s">
        <v>625</v>
      </c>
      <c r="B766" s="480"/>
      <c r="C766" s="181"/>
      <c r="G766" s="175"/>
      <c r="I766" s="175"/>
      <c r="L766" s="481"/>
    </row>
    <row r="767" spans="1:12">
      <c r="A767" s="23" t="s">
        <v>13</v>
      </c>
      <c r="B767" s="23">
        <v>0.4</v>
      </c>
      <c r="C767" s="181"/>
      <c r="G767" s="482">
        <f>SUM(G765:G766)</f>
        <v>517500</v>
      </c>
      <c r="I767" s="482">
        <f>SUM(I765:I766)</f>
        <v>577000</v>
      </c>
      <c r="L767" s="481"/>
    </row>
    <row r="768" spans="1:12">
      <c r="A768" s="23" t="s">
        <v>208</v>
      </c>
      <c r="B768" s="23">
        <v>0.2</v>
      </c>
      <c r="C768" s="181"/>
      <c r="G768" s="175">
        <f>G767*$B$337</f>
        <v>207000</v>
      </c>
      <c r="I768" s="175">
        <f>I767*$B$337</f>
        <v>230800</v>
      </c>
      <c r="L768" s="481"/>
    </row>
    <row r="769" spans="1:12">
      <c r="A769" s="259" t="s">
        <v>15</v>
      </c>
      <c r="B769" s="259"/>
      <c r="C769" s="181"/>
      <c r="G769" s="175">
        <f>G767*$B$338</f>
        <v>103500</v>
      </c>
      <c r="I769" s="175">
        <f>I767*$B$338</f>
        <v>115400</v>
      </c>
      <c r="L769" s="481"/>
    </row>
    <row r="770" spans="1:12">
      <c r="A770" s="23" t="s">
        <v>215</v>
      </c>
      <c r="B770" s="23">
        <v>1.2</v>
      </c>
      <c r="C770" s="181"/>
      <c r="G770" s="613">
        <f>SUM(G767:G769)</f>
        <v>828000</v>
      </c>
      <c r="I770" s="613">
        <f>SUM(I767:I769)</f>
        <v>923200</v>
      </c>
      <c r="L770" s="481"/>
    </row>
    <row r="771" spans="1:12" ht="15" thickBot="1">
      <c r="A771" s="23"/>
      <c r="B771" s="23"/>
      <c r="C771" s="183"/>
      <c r="D771" s="170"/>
      <c r="E771" s="170"/>
      <c r="F771" s="170"/>
      <c r="G771" s="527">
        <f>ROUNDUP((G770*$B$249),-3)</f>
        <v>994000</v>
      </c>
      <c r="H771" s="170"/>
      <c r="I771" s="527">
        <f>ROUNDUP((I770*$B$249),-3)</f>
        <v>1108000</v>
      </c>
      <c r="J771" s="170"/>
      <c r="K771" s="170"/>
      <c r="L771" s="410"/>
    </row>
    <row r="772" spans="1:12" ht="15" thickBot="1">
      <c r="A772" s="23"/>
      <c r="B772" s="23"/>
      <c r="G772" s="5"/>
      <c r="I772" s="5"/>
    </row>
    <row r="773" spans="1:12">
      <c r="C773" s="16" t="s">
        <v>603</v>
      </c>
      <c r="D773" s="20" t="s">
        <v>604</v>
      </c>
      <c r="E773" s="17" t="s">
        <v>605</v>
      </c>
      <c r="F773" s="16" t="s">
        <v>606</v>
      </c>
      <c r="G773" s="20" t="s">
        <v>607</v>
      </c>
      <c r="H773" s="17" t="s">
        <v>608</v>
      </c>
      <c r="I773" s="227" t="s">
        <v>609</v>
      </c>
      <c r="J773" s="619" t="s">
        <v>610</v>
      </c>
      <c r="K773" s="227" t="s">
        <v>610</v>
      </c>
      <c r="L773" s="226" t="s">
        <v>611</v>
      </c>
    </row>
    <row r="774" spans="1:12" ht="15" thickBot="1">
      <c r="C774" s="36"/>
      <c r="D774" s="40"/>
      <c r="E774" s="37"/>
      <c r="F774" s="36"/>
      <c r="G774" s="40"/>
      <c r="H774" s="37"/>
      <c r="I774" s="233" t="s">
        <v>615</v>
      </c>
      <c r="J774" s="49" t="s">
        <v>616</v>
      </c>
      <c r="K774" s="233" t="s">
        <v>617</v>
      </c>
      <c r="L774" s="232" t="s">
        <v>617</v>
      </c>
    </row>
    <row r="775" spans="1:12">
      <c r="A775" s="23" t="s">
        <v>620</v>
      </c>
      <c r="B775" s="23">
        <v>0.52</v>
      </c>
      <c r="C775" s="618" t="s">
        <v>907</v>
      </c>
      <c r="G775" s="175">
        <v>687000</v>
      </c>
      <c r="I775" s="175">
        <v>754500</v>
      </c>
      <c r="L775" s="481"/>
    </row>
    <row r="776" spans="1:12">
      <c r="A776" s="480" t="s">
        <v>625</v>
      </c>
      <c r="B776" s="480"/>
      <c r="C776" s="181"/>
      <c r="G776" s="175"/>
      <c r="I776" s="175"/>
      <c r="L776" s="481"/>
    </row>
    <row r="777" spans="1:12">
      <c r="A777" s="23" t="s">
        <v>13</v>
      </c>
      <c r="B777" s="23">
        <v>0.4</v>
      </c>
      <c r="C777" s="181"/>
      <c r="G777" s="482">
        <f>SUM(G775:G776)</f>
        <v>687000</v>
      </c>
      <c r="I777" s="482">
        <f>SUM(I775:I776)</f>
        <v>754500</v>
      </c>
      <c r="L777" s="481"/>
    </row>
    <row r="778" spans="1:12">
      <c r="A778" s="23" t="s">
        <v>208</v>
      </c>
      <c r="B778" s="23">
        <v>0.2</v>
      </c>
      <c r="C778" s="181"/>
      <c r="G778" s="175">
        <f>G777*$B$337</f>
        <v>274800</v>
      </c>
      <c r="I778" s="175">
        <f>I777*$B$337</f>
        <v>301800</v>
      </c>
      <c r="L778" s="481"/>
    </row>
    <row r="779" spans="1:12">
      <c r="A779" s="259" t="s">
        <v>15</v>
      </c>
      <c r="B779" s="259"/>
      <c r="C779" s="181"/>
      <c r="G779" s="175">
        <f>G777*$B$338</f>
        <v>137400</v>
      </c>
      <c r="I779" s="175">
        <f>I777*$B$338</f>
        <v>150900</v>
      </c>
      <c r="L779" s="481"/>
    </row>
    <row r="780" spans="1:12">
      <c r="A780" s="23" t="s">
        <v>215</v>
      </c>
      <c r="B780" s="23">
        <v>1.2</v>
      </c>
      <c r="C780" s="181"/>
      <c r="G780" s="613">
        <f>SUM(G777:G779)</f>
        <v>1099200</v>
      </c>
      <c r="I780" s="613">
        <f>SUM(I777:I779)</f>
        <v>1207200</v>
      </c>
      <c r="L780" s="481"/>
    </row>
    <row r="781" spans="1:12" ht="15" thickBot="1">
      <c r="A781" s="23"/>
      <c r="B781" s="23"/>
      <c r="C781" s="183"/>
      <c r="D781" s="170"/>
      <c r="E781" s="170"/>
      <c r="F781" s="170"/>
      <c r="G781" s="527">
        <f>ROUNDUP((G780*$B$249),-3)</f>
        <v>1320000</v>
      </c>
      <c r="H781" s="170"/>
      <c r="I781" s="527">
        <f>ROUNDUP((I780*$B$249),-3)</f>
        <v>1449000</v>
      </c>
      <c r="J781" s="170"/>
      <c r="K781" s="170"/>
      <c r="L781" s="410"/>
    </row>
    <row r="782" spans="1:12" ht="15" thickBot="1">
      <c r="A782" s="23"/>
      <c r="B782" s="23"/>
      <c r="G782" s="5"/>
      <c r="I782" s="5"/>
    </row>
    <row r="783" spans="1:12">
      <c r="C783" s="16" t="s">
        <v>603</v>
      </c>
      <c r="D783" s="20" t="s">
        <v>604</v>
      </c>
      <c r="E783" s="17" t="s">
        <v>605</v>
      </c>
      <c r="F783" s="16" t="s">
        <v>606</v>
      </c>
      <c r="G783" s="20" t="s">
        <v>607</v>
      </c>
      <c r="H783" s="17" t="s">
        <v>608</v>
      </c>
      <c r="I783" s="227" t="s">
        <v>609</v>
      </c>
      <c r="J783" s="619" t="s">
        <v>610</v>
      </c>
      <c r="K783" s="227" t="s">
        <v>610</v>
      </c>
      <c r="L783" s="226" t="s">
        <v>611</v>
      </c>
    </row>
    <row r="784" spans="1:12" ht="15" thickBot="1">
      <c r="C784" s="36"/>
      <c r="D784" s="40"/>
      <c r="E784" s="37"/>
      <c r="F784" s="36"/>
      <c r="G784" s="40"/>
      <c r="H784" s="37"/>
      <c r="I784" s="233" t="s">
        <v>615</v>
      </c>
      <c r="J784" s="49" t="s">
        <v>616</v>
      </c>
      <c r="K784" s="233" t="s">
        <v>617</v>
      </c>
      <c r="L784" s="232" t="s">
        <v>617</v>
      </c>
    </row>
    <row r="785" spans="1:12">
      <c r="A785" s="23" t="s">
        <v>620</v>
      </c>
      <c r="B785" s="23">
        <v>0.52</v>
      </c>
      <c r="C785" s="618" t="s">
        <v>908</v>
      </c>
      <c r="G785" s="175">
        <v>974500</v>
      </c>
      <c r="I785" s="175">
        <v>1054500</v>
      </c>
      <c r="L785" s="481"/>
    </row>
    <row r="786" spans="1:12">
      <c r="A786" s="480" t="s">
        <v>625</v>
      </c>
      <c r="B786" s="480"/>
      <c r="C786" s="181"/>
      <c r="G786" s="175"/>
      <c r="I786" s="175"/>
      <c r="L786" s="481"/>
    </row>
    <row r="787" spans="1:12">
      <c r="A787" s="23" t="s">
        <v>13</v>
      </c>
      <c r="B787" s="23">
        <v>0.4</v>
      </c>
      <c r="C787" s="181"/>
      <c r="G787" s="482">
        <f>SUM(G785:G786)</f>
        <v>974500</v>
      </c>
      <c r="I787" s="482">
        <f>SUM(I785:I786)</f>
        <v>1054500</v>
      </c>
      <c r="L787" s="481"/>
    </row>
    <row r="788" spans="1:12">
      <c r="A788" s="23" t="s">
        <v>208</v>
      </c>
      <c r="B788" s="23">
        <v>0.2</v>
      </c>
      <c r="C788" s="181"/>
      <c r="G788" s="175">
        <f>G787*$B$337</f>
        <v>389800</v>
      </c>
      <c r="I788" s="175">
        <f>I787*$B$337</f>
        <v>421800</v>
      </c>
      <c r="L788" s="481"/>
    </row>
    <row r="789" spans="1:12">
      <c r="A789" s="259" t="s">
        <v>15</v>
      </c>
      <c r="B789" s="259"/>
      <c r="C789" s="181"/>
      <c r="G789" s="175">
        <f>G787*$B$338</f>
        <v>194900</v>
      </c>
      <c r="I789" s="175">
        <f>I787*$B$338</f>
        <v>210900</v>
      </c>
      <c r="L789" s="481"/>
    </row>
    <row r="790" spans="1:12">
      <c r="A790" s="23" t="s">
        <v>215</v>
      </c>
      <c r="B790" s="23">
        <v>1.2</v>
      </c>
      <c r="C790" s="181"/>
      <c r="G790" s="613">
        <f>SUM(G787:G789)</f>
        <v>1559200</v>
      </c>
      <c r="I790" s="613">
        <f>SUM(I787:I789)</f>
        <v>1687200</v>
      </c>
      <c r="L790" s="481"/>
    </row>
    <row r="791" spans="1:12" ht="15" thickBot="1">
      <c r="A791" s="23"/>
      <c r="B791" s="23"/>
      <c r="C791" s="183"/>
      <c r="D791" s="170"/>
      <c r="E791" s="170"/>
      <c r="F791" s="170"/>
      <c r="G791" s="527">
        <f>ROUNDUP((G790*$B$249),-3)</f>
        <v>1872000</v>
      </c>
      <c r="H791" s="170"/>
      <c r="I791" s="527">
        <f>ROUNDUP((I790*$B$249),-3)</f>
        <v>2025000</v>
      </c>
      <c r="J791" s="170"/>
      <c r="K791" s="170"/>
      <c r="L791" s="410"/>
    </row>
    <row r="792" spans="1:12" ht="15" thickBot="1">
      <c r="A792" s="23"/>
      <c r="B792" s="23"/>
      <c r="G792" s="5"/>
      <c r="I792" s="5"/>
    </row>
    <row r="793" spans="1:12">
      <c r="C793" s="16" t="s">
        <v>603</v>
      </c>
      <c r="D793" s="20" t="s">
        <v>604</v>
      </c>
      <c r="E793" s="17" t="s">
        <v>605</v>
      </c>
      <c r="F793" s="16" t="s">
        <v>606</v>
      </c>
      <c r="G793" s="20" t="s">
        <v>607</v>
      </c>
      <c r="H793" s="17" t="s">
        <v>608</v>
      </c>
      <c r="I793" s="227" t="s">
        <v>609</v>
      </c>
      <c r="J793" s="619" t="s">
        <v>610</v>
      </c>
      <c r="K793" s="227" t="s">
        <v>610</v>
      </c>
      <c r="L793" s="226" t="s">
        <v>611</v>
      </c>
    </row>
    <row r="794" spans="1:12" ht="15" thickBot="1">
      <c r="C794" s="36"/>
      <c r="D794" s="40"/>
      <c r="E794" s="37"/>
      <c r="F794" s="36"/>
      <c r="G794" s="40"/>
      <c r="H794" s="37"/>
      <c r="I794" s="233" t="s">
        <v>615</v>
      </c>
      <c r="J794" s="49" t="s">
        <v>616</v>
      </c>
      <c r="K794" s="233" t="s">
        <v>617</v>
      </c>
      <c r="L794" s="232" t="s">
        <v>617</v>
      </c>
    </row>
    <row r="795" spans="1:12">
      <c r="A795" s="23" t="s">
        <v>620</v>
      </c>
      <c r="B795" s="23">
        <v>0.52</v>
      </c>
      <c r="C795" s="618" t="s">
        <v>909</v>
      </c>
      <c r="G795" s="175">
        <v>1342000</v>
      </c>
      <c r="I795" s="175">
        <v>1440000</v>
      </c>
      <c r="L795" s="481"/>
    </row>
    <row r="796" spans="1:12">
      <c r="A796" s="480" t="s">
        <v>625</v>
      </c>
      <c r="B796" s="480"/>
      <c r="C796" s="181"/>
      <c r="G796" s="175"/>
      <c r="I796" s="175"/>
      <c r="L796" s="481"/>
    </row>
    <row r="797" spans="1:12">
      <c r="A797" s="23" t="s">
        <v>13</v>
      </c>
      <c r="B797" s="23">
        <v>0.4</v>
      </c>
      <c r="C797" s="181"/>
      <c r="G797" s="482">
        <f>SUM(G795:G796)</f>
        <v>1342000</v>
      </c>
      <c r="I797" s="482">
        <f>SUM(I795:I796)</f>
        <v>1440000</v>
      </c>
      <c r="L797" s="481"/>
    </row>
    <row r="798" spans="1:12">
      <c r="A798" s="23" t="s">
        <v>208</v>
      </c>
      <c r="B798" s="23">
        <v>0.2</v>
      </c>
      <c r="C798" s="181"/>
      <c r="G798" s="175">
        <f>G797*$B$337</f>
        <v>536800</v>
      </c>
      <c r="I798" s="175">
        <f>I797*$B$337</f>
        <v>576000</v>
      </c>
      <c r="L798" s="481"/>
    </row>
    <row r="799" spans="1:12">
      <c r="A799" s="259" t="s">
        <v>15</v>
      </c>
      <c r="B799" s="259"/>
      <c r="C799" s="181"/>
      <c r="G799" s="175">
        <f>G797*$B$338</f>
        <v>268400</v>
      </c>
      <c r="I799" s="175">
        <f>I797*$B$338</f>
        <v>288000</v>
      </c>
      <c r="L799" s="481"/>
    </row>
    <row r="800" spans="1:12">
      <c r="A800" s="23" t="s">
        <v>215</v>
      </c>
      <c r="B800" s="23">
        <v>1.2</v>
      </c>
      <c r="C800" s="181"/>
      <c r="G800" s="613">
        <f>SUM(G797:G799)</f>
        <v>2147200</v>
      </c>
      <c r="I800" s="613">
        <f>SUM(I797:I799)</f>
        <v>2304000</v>
      </c>
      <c r="L800" s="481"/>
    </row>
    <row r="801" spans="1:12" ht="15" thickBot="1">
      <c r="C801" s="183"/>
      <c r="D801" s="170"/>
      <c r="E801" s="170"/>
      <c r="F801" s="170"/>
      <c r="G801" s="527">
        <f>ROUNDUP((G800*$B$249),-3)</f>
        <v>2577000</v>
      </c>
      <c r="H801" s="170"/>
      <c r="I801" s="527">
        <f>ROUNDUP((I800*$B$249),-3)</f>
        <v>2765000</v>
      </c>
      <c r="J801" s="170"/>
      <c r="K801" s="170"/>
      <c r="L801" s="410"/>
    </row>
    <row r="802" spans="1:12" ht="15" thickBot="1"/>
    <row r="803" spans="1:12">
      <c r="C803" s="16" t="s">
        <v>603</v>
      </c>
      <c r="D803" s="20" t="s">
        <v>604</v>
      </c>
      <c r="E803" s="17" t="s">
        <v>605</v>
      </c>
      <c r="F803" s="16" t="s">
        <v>606</v>
      </c>
      <c r="G803" s="20" t="s">
        <v>607</v>
      </c>
      <c r="H803" s="17" t="s">
        <v>608</v>
      </c>
      <c r="I803" s="227" t="s">
        <v>609</v>
      </c>
      <c r="J803" s="619" t="s">
        <v>610</v>
      </c>
      <c r="K803" s="227" t="s">
        <v>610</v>
      </c>
      <c r="L803" s="226" t="s">
        <v>611</v>
      </c>
    </row>
    <row r="804" spans="1:12" ht="15" thickBot="1">
      <c r="C804" s="36"/>
      <c r="D804" s="40"/>
      <c r="E804" s="37"/>
      <c r="F804" s="36"/>
      <c r="G804" s="40"/>
      <c r="H804" s="37"/>
      <c r="I804" s="233" t="s">
        <v>615</v>
      </c>
      <c r="J804" s="49" t="s">
        <v>616</v>
      </c>
      <c r="K804" s="233" t="s">
        <v>617</v>
      </c>
      <c r="L804" s="232" t="s">
        <v>617</v>
      </c>
    </row>
    <row r="805" spans="1:12">
      <c r="A805" s="23" t="s">
        <v>620</v>
      </c>
      <c r="B805" s="23">
        <v>0.52</v>
      </c>
      <c r="C805" s="618" t="s">
        <v>910</v>
      </c>
      <c r="G805" s="175">
        <v>1686500</v>
      </c>
      <c r="I805" s="175">
        <v>1802000</v>
      </c>
      <c r="L805" s="481"/>
    </row>
    <row r="806" spans="1:12">
      <c r="A806" s="480" t="s">
        <v>625</v>
      </c>
      <c r="B806" s="480"/>
      <c r="C806" s="181"/>
      <c r="G806" s="175"/>
      <c r="I806" s="175"/>
      <c r="L806" s="481"/>
    </row>
    <row r="807" spans="1:12">
      <c r="A807" s="23" t="s">
        <v>13</v>
      </c>
      <c r="B807" s="23">
        <v>0.4</v>
      </c>
      <c r="C807" s="181"/>
      <c r="G807" s="482">
        <f>SUM(G805:G806)</f>
        <v>1686500</v>
      </c>
      <c r="I807" s="482">
        <f>SUM(I805:I806)</f>
        <v>1802000</v>
      </c>
      <c r="L807" s="481"/>
    </row>
    <row r="808" spans="1:12">
      <c r="A808" s="23" t="s">
        <v>208</v>
      </c>
      <c r="B808" s="23">
        <v>0.2</v>
      </c>
      <c r="C808" s="181"/>
      <c r="G808" s="175">
        <f>G807*$B$337</f>
        <v>674600</v>
      </c>
      <c r="I808" s="175">
        <f>I807*$B$337</f>
        <v>720800</v>
      </c>
      <c r="L808" s="481"/>
    </row>
    <row r="809" spans="1:12">
      <c r="A809" s="259" t="s">
        <v>15</v>
      </c>
      <c r="B809" s="259"/>
      <c r="C809" s="181"/>
      <c r="G809" s="175">
        <f>G807*$B$338</f>
        <v>337300</v>
      </c>
      <c r="I809" s="175">
        <f>I807*$B$338</f>
        <v>360400</v>
      </c>
      <c r="L809" s="481"/>
    </row>
    <row r="810" spans="1:12">
      <c r="A810" s="23" t="s">
        <v>215</v>
      </c>
      <c r="B810" s="23">
        <v>1.2</v>
      </c>
      <c r="C810" s="181"/>
      <c r="G810" s="613">
        <f>SUM(G807:G809)</f>
        <v>2698400</v>
      </c>
      <c r="I810" s="613">
        <f>SUM(I807:I809)</f>
        <v>2883200</v>
      </c>
      <c r="L810" s="481"/>
    </row>
    <row r="811" spans="1:12" ht="15" thickBot="1">
      <c r="C811" s="183"/>
      <c r="D811" s="170"/>
      <c r="E811" s="170"/>
      <c r="F811" s="170"/>
      <c r="G811" s="527">
        <f>ROUNDUP((G810*$B$249),-3)</f>
        <v>3239000</v>
      </c>
      <c r="H811" s="170"/>
      <c r="I811" s="527">
        <f>ROUNDUP((I810*$B$249),-3)</f>
        <v>3460000</v>
      </c>
      <c r="J811" s="170"/>
      <c r="K811" s="170"/>
      <c r="L811" s="410"/>
    </row>
    <row r="812" spans="1:12" ht="15" thickBot="1"/>
    <row r="813" spans="1:12">
      <c r="C813" s="16" t="s">
        <v>603</v>
      </c>
      <c r="D813" s="20" t="s">
        <v>604</v>
      </c>
      <c r="E813" s="17" t="s">
        <v>605</v>
      </c>
      <c r="F813" s="16" t="s">
        <v>606</v>
      </c>
      <c r="G813" s="20" t="s">
        <v>607</v>
      </c>
      <c r="H813" s="17" t="s">
        <v>608</v>
      </c>
      <c r="I813" s="227" t="s">
        <v>609</v>
      </c>
      <c r="J813" s="619" t="s">
        <v>610</v>
      </c>
      <c r="K813" s="227" t="s">
        <v>610</v>
      </c>
      <c r="L813" s="226" t="s">
        <v>611</v>
      </c>
    </row>
    <row r="814" spans="1:12" ht="15" thickBot="1">
      <c r="C814" s="36"/>
      <c r="D814" s="40"/>
      <c r="E814" s="37"/>
      <c r="F814" s="36"/>
      <c r="G814" s="40"/>
      <c r="H814" s="37"/>
      <c r="I814" s="233" t="s">
        <v>615</v>
      </c>
      <c r="J814" s="49" t="s">
        <v>616</v>
      </c>
      <c r="K814" s="233" t="s">
        <v>617</v>
      </c>
      <c r="L814" s="232" t="s">
        <v>617</v>
      </c>
    </row>
    <row r="815" spans="1:12">
      <c r="A815" s="23" t="s">
        <v>620</v>
      </c>
      <c r="B815" s="23">
        <v>0.52</v>
      </c>
      <c r="C815" s="618" t="s">
        <v>911</v>
      </c>
      <c r="G815" s="175">
        <v>2075000</v>
      </c>
      <c r="I815" s="175">
        <v>2207500</v>
      </c>
      <c r="L815" s="481"/>
    </row>
    <row r="816" spans="1:12">
      <c r="A816" s="480" t="s">
        <v>625</v>
      </c>
      <c r="B816" s="480"/>
      <c r="C816" s="181"/>
      <c r="G816" s="175"/>
      <c r="I816" s="175"/>
      <c r="L816" s="481"/>
    </row>
    <row r="817" spans="1:12">
      <c r="A817" s="23" t="s">
        <v>13</v>
      </c>
      <c r="B817" s="23">
        <v>0.4</v>
      </c>
      <c r="C817" s="181"/>
      <c r="G817" s="482">
        <f>SUM(G815:G816)</f>
        <v>2075000</v>
      </c>
      <c r="I817" s="482">
        <f>SUM(I815:I816)</f>
        <v>2207500</v>
      </c>
      <c r="L817" s="481"/>
    </row>
    <row r="818" spans="1:12">
      <c r="A818" s="23" t="s">
        <v>208</v>
      </c>
      <c r="B818" s="23">
        <v>0.2</v>
      </c>
      <c r="C818" s="181"/>
      <c r="G818" s="175">
        <f>G817*$B$337</f>
        <v>830000</v>
      </c>
      <c r="I818" s="175">
        <f>I817*$B$337</f>
        <v>883000</v>
      </c>
      <c r="L818" s="481"/>
    </row>
    <row r="819" spans="1:12">
      <c r="A819" s="259" t="s">
        <v>15</v>
      </c>
      <c r="B819" s="259"/>
      <c r="C819" s="181"/>
      <c r="G819" s="175">
        <f>G817*$B$338</f>
        <v>415000</v>
      </c>
      <c r="I819" s="175">
        <f>I817*$B$338</f>
        <v>441500</v>
      </c>
      <c r="L819" s="481"/>
    </row>
    <row r="820" spans="1:12">
      <c r="A820" s="23" t="s">
        <v>215</v>
      </c>
      <c r="B820" s="23">
        <v>1.2</v>
      </c>
      <c r="C820" s="181"/>
      <c r="G820" s="613">
        <f>SUM(G817:G819)</f>
        <v>3320000</v>
      </c>
      <c r="I820" s="613">
        <f>SUM(I817:I819)</f>
        <v>3532000</v>
      </c>
      <c r="L820" s="481"/>
    </row>
    <row r="821" spans="1:12" ht="15" thickBot="1">
      <c r="C821" s="183"/>
      <c r="D821" s="170"/>
      <c r="E821" s="170"/>
      <c r="F821" s="170"/>
      <c r="G821" s="527">
        <f>ROUNDUP((G820*$B$249),-3)</f>
        <v>3984000</v>
      </c>
      <c r="H821" s="170"/>
      <c r="I821" s="527">
        <f>ROUNDUP((I820*$B$249),-3)</f>
        <v>4239000</v>
      </c>
      <c r="J821" s="170"/>
      <c r="K821" s="170"/>
      <c r="L821" s="410"/>
    </row>
    <row r="822" spans="1:12" ht="15" thickBot="1"/>
    <row r="823" spans="1:12">
      <c r="C823" s="16" t="s">
        <v>603</v>
      </c>
      <c r="D823" s="20" t="s">
        <v>604</v>
      </c>
      <c r="E823" s="17" t="s">
        <v>605</v>
      </c>
      <c r="F823" s="16" t="s">
        <v>606</v>
      </c>
      <c r="G823" s="20" t="s">
        <v>607</v>
      </c>
      <c r="H823" s="17" t="s">
        <v>608</v>
      </c>
      <c r="I823" s="227" t="s">
        <v>609</v>
      </c>
      <c r="J823" s="619" t="s">
        <v>610</v>
      </c>
      <c r="K823" s="227" t="s">
        <v>610</v>
      </c>
      <c r="L823" s="226" t="s">
        <v>611</v>
      </c>
    </row>
    <row r="824" spans="1:12" ht="15" thickBot="1">
      <c r="C824" s="36"/>
      <c r="D824" s="40"/>
      <c r="E824" s="37"/>
      <c r="F824" s="36"/>
      <c r="G824" s="40"/>
      <c r="H824" s="37"/>
      <c r="I824" s="233" t="s">
        <v>615</v>
      </c>
      <c r="J824" s="49" t="s">
        <v>616</v>
      </c>
      <c r="K824" s="233" t="s">
        <v>617</v>
      </c>
      <c r="L824" s="232" t="s">
        <v>617</v>
      </c>
    </row>
    <row r="825" spans="1:12">
      <c r="A825" s="23" t="s">
        <v>620</v>
      </c>
      <c r="B825" s="23">
        <v>0.52</v>
      </c>
      <c r="C825" s="618" t="s">
        <v>912</v>
      </c>
      <c r="G825" s="175">
        <v>2588000</v>
      </c>
      <c r="I825" s="175">
        <v>2733500</v>
      </c>
      <c r="L825" s="481"/>
    </row>
    <row r="826" spans="1:12">
      <c r="A826" s="480" t="s">
        <v>625</v>
      </c>
      <c r="B826" s="480"/>
      <c r="C826" s="181"/>
      <c r="G826" s="175"/>
      <c r="I826" s="175"/>
      <c r="L826" s="481"/>
    </row>
    <row r="827" spans="1:12">
      <c r="A827" s="23" t="s">
        <v>13</v>
      </c>
      <c r="B827" s="23">
        <v>0.4</v>
      </c>
      <c r="C827" s="181"/>
      <c r="G827" s="482">
        <f>SUM(G825:G826)</f>
        <v>2588000</v>
      </c>
      <c r="I827" s="482">
        <f>SUM(I825:I826)</f>
        <v>2733500</v>
      </c>
      <c r="L827" s="481"/>
    </row>
    <row r="828" spans="1:12">
      <c r="A828" s="23" t="s">
        <v>208</v>
      </c>
      <c r="B828" s="23">
        <v>0.2</v>
      </c>
      <c r="C828" s="181"/>
      <c r="G828" s="175">
        <f>G827*$B$337</f>
        <v>1035200</v>
      </c>
      <c r="I828" s="175">
        <f>I827*$B$337</f>
        <v>1093400</v>
      </c>
      <c r="L828" s="481"/>
    </row>
    <row r="829" spans="1:12">
      <c r="A829" s="259" t="s">
        <v>15</v>
      </c>
      <c r="B829" s="259"/>
      <c r="C829" s="181"/>
      <c r="G829" s="175">
        <f>G827*$B$338</f>
        <v>517600</v>
      </c>
      <c r="I829" s="175">
        <f>I827*$B$338</f>
        <v>546700</v>
      </c>
      <c r="L829" s="481"/>
    </row>
    <row r="830" spans="1:12">
      <c r="A830" s="23" t="s">
        <v>215</v>
      </c>
      <c r="B830" s="23">
        <v>1.2</v>
      </c>
      <c r="C830" s="181"/>
      <c r="G830" s="613">
        <f>SUM(G827:G829)</f>
        <v>4140800</v>
      </c>
      <c r="I830" s="613">
        <f>SUM(I827:I829)</f>
        <v>4373600</v>
      </c>
      <c r="L830" s="481"/>
    </row>
    <row r="831" spans="1:12" ht="15" thickBot="1">
      <c r="A831" s="23"/>
      <c r="B831" s="23"/>
      <c r="C831" s="183"/>
      <c r="D831" s="170"/>
      <c r="E831" s="170"/>
      <c r="F831" s="170"/>
      <c r="G831" s="527">
        <f>ROUNDUP((G830*$B$249),-3)</f>
        <v>4969000</v>
      </c>
      <c r="H831" s="170"/>
      <c r="I831" s="527">
        <f>ROUNDUP((I830*$B$249),-3)</f>
        <v>5249000</v>
      </c>
      <c r="J831" s="170"/>
      <c r="K831" s="170"/>
      <c r="L831" s="410"/>
    </row>
    <row r="832" spans="1:12" ht="15" thickBot="1">
      <c r="A832" s="23"/>
      <c r="B832" s="23"/>
      <c r="G832" s="5"/>
      <c r="I832" s="5"/>
    </row>
    <row r="833" spans="1:12">
      <c r="C833" s="16" t="s">
        <v>603</v>
      </c>
      <c r="D833" s="20" t="s">
        <v>604</v>
      </c>
      <c r="E833" s="17" t="s">
        <v>605</v>
      </c>
      <c r="F833" s="16" t="s">
        <v>606</v>
      </c>
      <c r="G833" s="20" t="s">
        <v>607</v>
      </c>
      <c r="H833" s="17" t="s">
        <v>608</v>
      </c>
      <c r="I833" s="227" t="s">
        <v>609</v>
      </c>
      <c r="J833" s="619" t="s">
        <v>610</v>
      </c>
      <c r="K833" s="227" t="s">
        <v>610</v>
      </c>
      <c r="L833" s="226" t="s">
        <v>611</v>
      </c>
    </row>
    <row r="834" spans="1:12" ht="15" thickBot="1">
      <c r="C834" s="36"/>
      <c r="D834" s="40"/>
      <c r="E834" s="37"/>
      <c r="F834" s="36"/>
      <c r="G834" s="40"/>
      <c r="H834" s="37"/>
      <c r="I834" s="233" t="s">
        <v>615</v>
      </c>
      <c r="J834" s="49" t="s">
        <v>616</v>
      </c>
      <c r="K834" s="233" t="s">
        <v>617</v>
      </c>
      <c r="L834" s="232" t="s">
        <v>617</v>
      </c>
    </row>
    <row r="835" spans="1:12">
      <c r="A835" s="23" t="s">
        <v>620</v>
      </c>
      <c r="B835" s="23">
        <v>0.52</v>
      </c>
      <c r="C835" s="618" t="s">
        <v>913</v>
      </c>
      <c r="G835" s="175">
        <v>3408000</v>
      </c>
      <c r="I835" s="175">
        <v>3571500</v>
      </c>
      <c r="L835" s="481"/>
    </row>
    <row r="836" spans="1:12">
      <c r="A836" s="480" t="s">
        <v>625</v>
      </c>
      <c r="B836" s="480"/>
      <c r="C836" s="181"/>
      <c r="G836" s="175"/>
      <c r="I836" s="175"/>
      <c r="L836" s="481"/>
    </row>
    <row r="837" spans="1:12">
      <c r="A837" s="23" t="s">
        <v>13</v>
      </c>
      <c r="B837" s="23">
        <v>0.4</v>
      </c>
      <c r="C837" s="181"/>
      <c r="G837" s="482">
        <f>SUM(G835:G836)</f>
        <v>3408000</v>
      </c>
      <c r="I837" s="482">
        <f>SUM(I835:I836)</f>
        <v>3571500</v>
      </c>
      <c r="L837" s="481"/>
    </row>
    <row r="838" spans="1:12">
      <c r="A838" s="23" t="s">
        <v>208</v>
      </c>
      <c r="B838" s="23">
        <v>0.2</v>
      </c>
      <c r="C838" s="181"/>
      <c r="G838" s="175">
        <f>G837*$B$337</f>
        <v>1363200</v>
      </c>
      <c r="I838" s="175">
        <f>I837*$B$337</f>
        <v>1428600</v>
      </c>
      <c r="L838" s="481"/>
    </row>
    <row r="839" spans="1:12">
      <c r="A839" s="259" t="s">
        <v>15</v>
      </c>
      <c r="B839" s="259"/>
      <c r="C839" s="181"/>
      <c r="G839" s="175">
        <f>G837*$B$338</f>
        <v>681600</v>
      </c>
      <c r="I839" s="175">
        <f>I837*$B$338</f>
        <v>714300</v>
      </c>
      <c r="L839" s="481"/>
    </row>
    <row r="840" spans="1:12">
      <c r="A840" s="23" t="s">
        <v>215</v>
      </c>
      <c r="B840" s="23">
        <v>1.2</v>
      </c>
      <c r="C840" s="181"/>
      <c r="G840" s="613">
        <f>SUM(G837:G839)</f>
        <v>5452800</v>
      </c>
      <c r="I840" s="613">
        <f>SUM(I837:I839)</f>
        <v>5714400</v>
      </c>
      <c r="L840" s="481"/>
    </row>
    <row r="841" spans="1:12" ht="15" thickBot="1">
      <c r="A841" s="23"/>
      <c r="B841" s="23"/>
      <c r="C841" s="183"/>
      <c r="D841" s="170"/>
      <c r="E841" s="170"/>
      <c r="F841" s="170"/>
      <c r="G841" s="527">
        <f>ROUNDUP((G840*$B$249),-3)</f>
        <v>6544000</v>
      </c>
      <c r="H841" s="170"/>
      <c r="I841" s="527">
        <f>ROUNDUP((I840*$B$249),-3)</f>
        <v>6858000</v>
      </c>
      <c r="J841" s="170"/>
      <c r="K841" s="170"/>
      <c r="L841" s="410"/>
    </row>
    <row r="842" spans="1:12" ht="15" thickBot="1">
      <c r="A842" s="23"/>
      <c r="B842" s="23"/>
      <c r="G842" s="5"/>
      <c r="I842" s="5"/>
    </row>
    <row r="843" spans="1:12">
      <c r="C843" s="16" t="s">
        <v>603</v>
      </c>
      <c r="D843" s="20" t="s">
        <v>604</v>
      </c>
      <c r="E843" s="17" t="s">
        <v>605</v>
      </c>
      <c r="F843" s="16" t="s">
        <v>606</v>
      </c>
      <c r="G843" s="20" t="s">
        <v>607</v>
      </c>
      <c r="H843" s="17" t="s">
        <v>608</v>
      </c>
      <c r="I843" s="227" t="s">
        <v>609</v>
      </c>
      <c r="J843" s="619" t="s">
        <v>610</v>
      </c>
      <c r="K843" s="227" t="s">
        <v>610</v>
      </c>
      <c r="L843" s="226" t="s">
        <v>611</v>
      </c>
    </row>
    <row r="844" spans="1:12" ht="15" thickBot="1">
      <c r="C844" s="36"/>
      <c r="D844" s="40"/>
      <c r="E844" s="37"/>
      <c r="F844" s="36"/>
      <c r="G844" s="40"/>
      <c r="H844" s="37"/>
      <c r="I844" s="233" t="s">
        <v>615</v>
      </c>
      <c r="J844" s="49" t="s">
        <v>616</v>
      </c>
      <c r="K844" s="233" t="s">
        <v>617</v>
      </c>
      <c r="L844" s="232" t="s">
        <v>617</v>
      </c>
    </row>
    <row r="845" spans="1:12">
      <c r="A845" s="23" t="s">
        <v>620</v>
      </c>
      <c r="B845" s="23">
        <v>0.52</v>
      </c>
      <c r="C845" s="618" t="s">
        <v>914</v>
      </c>
      <c r="G845" s="175">
        <v>4251500</v>
      </c>
      <c r="I845" s="175">
        <v>4446500</v>
      </c>
      <c r="L845" s="481"/>
    </row>
    <row r="846" spans="1:12">
      <c r="A846" s="480" t="s">
        <v>625</v>
      </c>
      <c r="B846" s="480"/>
      <c r="C846" s="181"/>
      <c r="G846" s="175"/>
      <c r="I846" s="175"/>
      <c r="L846" s="481"/>
    </row>
    <row r="847" spans="1:12">
      <c r="A847" s="23" t="s">
        <v>13</v>
      </c>
      <c r="B847" s="23">
        <v>0.4</v>
      </c>
      <c r="C847" s="181"/>
      <c r="G847" s="482">
        <f>SUM(G845:G846)</f>
        <v>4251500</v>
      </c>
      <c r="I847" s="482">
        <f>SUM(I845:I846)</f>
        <v>4446500</v>
      </c>
      <c r="L847" s="481"/>
    </row>
    <row r="848" spans="1:12">
      <c r="A848" s="23" t="s">
        <v>208</v>
      </c>
      <c r="B848" s="23">
        <v>0.2</v>
      </c>
      <c r="C848" s="181"/>
      <c r="G848" s="175">
        <f>G847*$B$337</f>
        <v>1700600</v>
      </c>
      <c r="I848" s="175">
        <f>I847*$B$337</f>
        <v>1778600</v>
      </c>
      <c r="L848" s="481"/>
    </row>
    <row r="849" spans="1:12">
      <c r="A849" s="259" t="s">
        <v>15</v>
      </c>
      <c r="B849" s="259"/>
      <c r="C849" s="181"/>
      <c r="G849" s="175">
        <f>G847*$B$338</f>
        <v>850300</v>
      </c>
      <c r="I849" s="175">
        <f>I847*$B$338</f>
        <v>889300</v>
      </c>
      <c r="L849" s="481"/>
    </row>
    <row r="850" spans="1:12">
      <c r="A850" s="23" t="s">
        <v>215</v>
      </c>
      <c r="B850" s="23">
        <v>1.2</v>
      </c>
      <c r="C850" s="181"/>
      <c r="G850" s="613">
        <f>SUM(G847:G849)</f>
        <v>6802400</v>
      </c>
      <c r="I850" s="613">
        <f>SUM(I847:I849)</f>
        <v>7114400</v>
      </c>
      <c r="L850" s="481"/>
    </row>
    <row r="851" spans="1:12" ht="15" thickBot="1">
      <c r="A851" s="23"/>
      <c r="B851" s="23"/>
      <c r="C851" s="183"/>
      <c r="D851" s="170"/>
      <c r="E851" s="170"/>
      <c r="F851" s="170"/>
      <c r="G851" s="527">
        <f>ROUNDUP((G850*$B$249),-3)</f>
        <v>8163000</v>
      </c>
      <c r="H851" s="170"/>
      <c r="I851" s="527">
        <f>ROUNDUP((I850*$B$249),-3)</f>
        <v>8538000</v>
      </c>
      <c r="J851" s="170"/>
      <c r="K851" s="170"/>
      <c r="L851" s="410"/>
    </row>
    <row r="852" spans="1:12" ht="15" thickBot="1">
      <c r="A852" s="23"/>
      <c r="B852" s="23"/>
      <c r="G852" s="5"/>
      <c r="I852" s="5"/>
    </row>
    <row r="853" spans="1:12">
      <c r="C853" s="16" t="s">
        <v>603</v>
      </c>
      <c r="D853" s="20" t="s">
        <v>604</v>
      </c>
      <c r="E853" s="17" t="s">
        <v>605</v>
      </c>
      <c r="F853" s="16" t="s">
        <v>606</v>
      </c>
      <c r="G853" s="20" t="s">
        <v>607</v>
      </c>
      <c r="H853" s="17" t="s">
        <v>608</v>
      </c>
      <c r="I853" s="227" t="s">
        <v>609</v>
      </c>
      <c r="J853" s="619" t="s">
        <v>610</v>
      </c>
      <c r="K853" s="227" t="s">
        <v>610</v>
      </c>
      <c r="L853" s="226" t="s">
        <v>611</v>
      </c>
    </row>
    <row r="854" spans="1:12" ht="15" thickBot="1">
      <c r="C854" s="36"/>
      <c r="D854" s="40"/>
      <c r="E854" s="37"/>
      <c r="F854" s="36"/>
      <c r="G854" s="40"/>
      <c r="H854" s="37"/>
      <c r="I854" s="233" t="s">
        <v>615</v>
      </c>
      <c r="J854" s="49" t="s">
        <v>616</v>
      </c>
      <c r="K854" s="233" t="s">
        <v>617</v>
      </c>
      <c r="L854" s="232" t="s">
        <v>617</v>
      </c>
    </row>
    <row r="855" spans="1:12">
      <c r="A855" s="23" t="s">
        <v>620</v>
      </c>
      <c r="B855" s="23">
        <v>0.52</v>
      </c>
      <c r="C855" s="618" t="s">
        <v>915</v>
      </c>
      <c r="G855" s="109">
        <v>12000</v>
      </c>
      <c r="L855" s="481"/>
    </row>
    <row r="856" spans="1:12">
      <c r="A856" s="480" t="s">
        <v>625</v>
      </c>
      <c r="B856" s="480"/>
      <c r="C856" s="181"/>
      <c r="G856" s="175">
        <f>G855*$B$335</f>
        <v>6240</v>
      </c>
      <c r="L856" s="481"/>
    </row>
    <row r="857" spans="1:12">
      <c r="A857" s="23" t="s">
        <v>13</v>
      </c>
      <c r="B857" s="23">
        <v>0.4</v>
      </c>
      <c r="C857" s="181"/>
      <c r="G857" s="482">
        <f>SUM(G855:G856)</f>
        <v>18240</v>
      </c>
      <c r="L857" s="481"/>
    </row>
    <row r="858" spans="1:12">
      <c r="A858" s="23" t="s">
        <v>208</v>
      </c>
      <c r="B858" s="23">
        <v>0.2</v>
      </c>
      <c r="C858" s="181"/>
      <c r="G858" s="175">
        <f>G857*$B$337</f>
        <v>7296</v>
      </c>
      <c r="L858" s="481"/>
    </row>
    <row r="859" spans="1:12">
      <c r="A859" s="259" t="s">
        <v>15</v>
      </c>
      <c r="B859" s="259"/>
      <c r="C859" s="181"/>
      <c r="G859" s="175">
        <f>G857*$B$338</f>
        <v>3648</v>
      </c>
      <c r="L859" s="481"/>
    </row>
    <row r="860" spans="1:12">
      <c r="A860" s="23" t="s">
        <v>215</v>
      </c>
      <c r="B860" s="23">
        <v>1.2</v>
      </c>
      <c r="C860" s="181"/>
      <c r="G860" s="613">
        <f>SUM(G857:G859)</f>
        <v>29184</v>
      </c>
      <c r="L860" s="481"/>
    </row>
    <row r="861" spans="1:12" ht="15" thickBot="1">
      <c r="A861" s="23"/>
      <c r="B861" s="23"/>
      <c r="C861" s="183"/>
      <c r="D861" s="170"/>
      <c r="E861" s="170"/>
      <c r="F861" s="170"/>
      <c r="G861" s="527">
        <f>ROUNDUP((G860*$B$249),-3)</f>
        <v>36000</v>
      </c>
      <c r="H861" s="170"/>
      <c r="I861" s="170"/>
      <c r="J861" s="170"/>
      <c r="K861" s="170"/>
      <c r="L861" s="410"/>
    </row>
    <row r="862" spans="1:12" ht="15" thickBot="1">
      <c r="A862" s="23"/>
      <c r="B862" s="23"/>
      <c r="G862" s="5"/>
    </row>
    <row r="863" spans="1:12">
      <c r="C863" s="16" t="s">
        <v>603</v>
      </c>
      <c r="D863" s="20" t="s">
        <v>604</v>
      </c>
      <c r="E863" s="17" t="s">
        <v>605</v>
      </c>
      <c r="F863" s="16" t="s">
        <v>606</v>
      </c>
      <c r="G863" s="20" t="s">
        <v>607</v>
      </c>
      <c r="H863" s="17" t="s">
        <v>608</v>
      </c>
      <c r="I863" s="227" t="s">
        <v>609</v>
      </c>
      <c r="J863" s="619" t="s">
        <v>610</v>
      </c>
      <c r="K863" s="227" t="s">
        <v>610</v>
      </c>
      <c r="L863" s="226" t="s">
        <v>611</v>
      </c>
    </row>
    <row r="864" spans="1:12" ht="15" thickBot="1">
      <c r="C864" s="36"/>
      <c r="D864" s="40"/>
      <c r="E864" s="37"/>
      <c r="F864" s="36"/>
      <c r="G864" s="40"/>
      <c r="H864" s="37"/>
      <c r="I864" s="233" t="s">
        <v>615</v>
      </c>
      <c r="J864" s="49" t="s">
        <v>616</v>
      </c>
      <c r="K864" s="233" t="s">
        <v>617</v>
      </c>
      <c r="L864" s="232" t="s">
        <v>617</v>
      </c>
    </row>
    <row r="865" spans="1:12">
      <c r="A865" s="23" t="s">
        <v>620</v>
      </c>
      <c r="B865" s="23">
        <v>0.52</v>
      </c>
      <c r="C865" s="618" t="s">
        <v>916</v>
      </c>
      <c r="G865" s="175">
        <v>15000</v>
      </c>
      <c r="L865" s="481"/>
    </row>
    <row r="866" spans="1:12">
      <c r="A866" s="480" t="s">
        <v>625</v>
      </c>
      <c r="B866" s="480"/>
      <c r="C866" s="181"/>
      <c r="G866" s="175">
        <f>G865*$B$335</f>
        <v>7800</v>
      </c>
      <c r="L866" s="481"/>
    </row>
    <row r="867" spans="1:12">
      <c r="A867" s="23" t="s">
        <v>13</v>
      </c>
      <c r="B867" s="23">
        <v>0.4</v>
      </c>
      <c r="C867" s="181"/>
      <c r="G867" s="482">
        <f>SUM(G865:G866)</f>
        <v>22800</v>
      </c>
      <c r="L867" s="481"/>
    </row>
    <row r="868" spans="1:12">
      <c r="A868" s="23" t="s">
        <v>208</v>
      </c>
      <c r="B868" s="23">
        <v>0.2</v>
      </c>
      <c r="C868" s="181"/>
      <c r="G868" s="175">
        <f>G867*$B$337</f>
        <v>9120</v>
      </c>
      <c r="L868" s="481"/>
    </row>
    <row r="869" spans="1:12">
      <c r="A869" s="259" t="s">
        <v>15</v>
      </c>
      <c r="B869" s="259"/>
      <c r="C869" s="181"/>
      <c r="G869" s="175">
        <f>G867*$B$338</f>
        <v>4560</v>
      </c>
      <c r="L869" s="481"/>
    </row>
    <row r="870" spans="1:12">
      <c r="A870" s="23" t="s">
        <v>215</v>
      </c>
      <c r="B870" s="23">
        <v>1.2</v>
      </c>
      <c r="C870" s="181"/>
      <c r="G870" s="613">
        <f>SUM(G867:G869)</f>
        <v>36480</v>
      </c>
      <c r="L870" s="481"/>
    </row>
    <row r="871" spans="1:12" ht="15" thickBot="1">
      <c r="A871" s="23"/>
      <c r="B871" s="23"/>
      <c r="C871" s="183"/>
      <c r="D871" s="170"/>
      <c r="E871" s="170"/>
      <c r="F871" s="170"/>
      <c r="G871" s="527">
        <f>ROUNDUP((G870*$B$249),-3)</f>
        <v>44000</v>
      </c>
      <c r="H871" s="170"/>
      <c r="I871" s="170"/>
      <c r="J871" s="170"/>
      <c r="K871" s="170"/>
      <c r="L871" s="410"/>
    </row>
    <row r="872" spans="1:12" ht="15" thickBot="1">
      <c r="A872" s="23"/>
      <c r="B872" s="23"/>
      <c r="G872" s="5"/>
    </row>
    <row r="873" spans="1:12">
      <c r="C873" s="16" t="s">
        <v>603</v>
      </c>
      <c r="D873" s="20" t="s">
        <v>604</v>
      </c>
      <c r="E873" s="17" t="s">
        <v>605</v>
      </c>
      <c r="F873" s="16" t="s">
        <v>606</v>
      </c>
      <c r="G873" s="20" t="s">
        <v>607</v>
      </c>
      <c r="H873" s="17" t="s">
        <v>608</v>
      </c>
      <c r="I873" s="227" t="s">
        <v>609</v>
      </c>
      <c r="J873" s="619" t="s">
        <v>610</v>
      </c>
      <c r="K873" s="227" t="s">
        <v>610</v>
      </c>
      <c r="L873" s="226" t="s">
        <v>611</v>
      </c>
    </row>
    <row r="874" spans="1:12" ht="15" thickBot="1">
      <c r="C874" s="36"/>
      <c r="D874" s="40"/>
      <c r="E874" s="37"/>
      <c r="F874" s="36"/>
      <c r="G874" s="40"/>
      <c r="H874" s="37"/>
      <c r="I874" s="233" t="s">
        <v>615</v>
      </c>
      <c r="J874" s="49" t="s">
        <v>616</v>
      </c>
      <c r="K874" s="233" t="s">
        <v>617</v>
      </c>
      <c r="L874" s="232" t="s">
        <v>617</v>
      </c>
    </row>
    <row r="875" spans="1:12">
      <c r="A875" s="23" t="s">
        <v>620</v>
      </c>
      <c r="B875" s="23">
        <v>0.52</v>
      </c>
      <c r="C875" s="618" t="s">
        <v>917</v>
      </c>
      <c r="G875" s="175">
        <v>20000</v>
      </c>
      <c r="L875" s="481"/>
    </row>
    <row r="876" spans="1:12">
      <c r="A876" s="480" t="s">
        <v>625</v>
      </c>
      <c r="B876" s="480"/>
      <c r="C876" s="181"/>
      <c r="G876" s="175">
        <f>G875*B875</f>
        <v>10400</v>
      </c>
      <c r="L876" s="481"/>
    </row>
    <row r="877" spans="1:12">
      <c r="A877" s="23" t="s">
        <v>13</v>
      </c>
      <c r="B877" s="23">
        <v>0.4</v>
      </c>
      <c r="C877" s="181"/>
      <c r="G877" s="482">
        <f>SUM(G875:G876)</f>
        <v>30400</v>
      </c>
      <c r="L877" s="481"/>
    </row>
    <row r="878" spans="1:12">
      <c r="A878" s="23" t="s">
        <v>208</v>
      </c>
      <c r="B878" s="23">
        <v>0.2</v>
      </c>
      <c r="C878" s="181"/>
      <c r="G878" s="175">
        <f>G877*B877</f>
        <v>12160</v>
      </c>
      <c r="L878" s="481"/>
    </row>
    <row r="879" spans="1:12">
      <c r="A879" s="259" t="s">
        <v>15</v>
      </c>
      <c r="B879" s="259"/>
      <c r="C879" s="181"/>
      <c r="G879" s="175">
        <f>G877*B878</f>
        <v>6080</v>
      </c>
      <c r="L879" s="481"/>
    </row>
    <row r="880" spans="1:12">
      <c r="A880" s="23" t="s">
        <v>215</v>
      </c>
      <c r="B880" s="23">
        <v>1.5</v>
      </c>
      <c r="C880" s="181"/>
      <c r="G880" s="613">
        <f>SUM(G877:G879)</f>
        <v>48640</v>
      </c>
      <c r="L880" s="481"/>
    </row>
    <row r="881" spans="1:12" ht="15" thickBot="1">
      <c r="A881" s="23"/>
      <c r="B881" s="23"/>
      <c r="C881" s="183"/>
      <c r="D881" s="170"/>
      <c r="E881" s="170"/>
      <c r="F881" s="170"/>
      <c r="G881" s="527">
        <f>ROUNDUP((G880*B880),-3)</f>
        <v>73000</v>
      </c>
      <c r="H881" s="170"/>
      <c r="I881" s="170"/>
      <c r="J881" s="170"/>
      <c r="K881" s="170"/>
      <c r="L881" s="410"/>
    </row>
    <row r="882" spans="1:12" ht="15" thickBot="1">
      <c r="A882" s="23"/>
      <c r="B882" s="23"/>
      <c r="G882" s="5"/>
    </row>
    <row r="883" spans="1:12">
      <c r="C883" s="16" t="s">
        <v>603</v>
      </c>
      <c r="D883" s="20" t="s">
        <v>604</v>
      </c>
      <c r="E883" s="17" t="s">
        <v>605</v>
      </c>
      <c r="F883" s="16" t="s">
        <v>606</v>
      </c>
      <c r="G883" s="20" t="s">
        <v>607</v>
      </c>
      <c r="H883" s="17" t="s">
        <v>608</v>
      </c>
      <c r="I883" s="227" t="s">
        <v>609</v>
      </c>
      <c r="J883" s="619" t="s">
        <v>610</v>
      </c>
      <c r="K883" s="227" t="s">
        <v>610</v>
      </c>
      <c r="L883" s="226" t="s">
        <v>611</v>
      </c>
    </row>
    <row r="884" spans="1:12" ht="15" thickBot="1">
      <c r="C884" s="36"/>
      <c r="D884" s="40"/>
      <c r="E884" s="37"/>
      <c r="F884" s="36"/>
      <c r="G884" s="40"/>
      <c r="H884" s="37"/>
      <c r="I884" s="233" t="s">
        <v>615</v>
      </c>
      <c r="J884" s="49" t="s">
        <v>616</v>
      </c>
      <c r="K884" s="233" t="s">
        <v>617</v>
      </c>
      <c r="L884" s="232" t="s">
        <v>617</v>
      </c>
    </row>
    <row r="885" spans="1:12">
      <c r="A885" s="23" t="s">
        <v>620</v>
      </c>
      <c r="B885" s="23">
        <v>0.52</v>
      </c>
      <c r="C885" s="618" t="s">
        <v>918</v>
      </c>
      <c r="G885" s="175">
        <v>23000</v>
      </c>
      <c r="L885" s="481"/>
    </row>
    <row r="886" spans="1:12">
      <c r="A886" s="480" t="s">
        <v>625</v>
      </c>
      <c r="B886" s="480"/>
      <c r="C886" s="181"/>
      <c r="G886" s="175">
        <f>G885*$B$335</f>
        <v>11960</v>
      </c>
      <c r="L886" s="481"/>
    </row>
    <row r="887" spans="1:12">
      <c r="A887" s="23" t="s">
        <v>13</v>
      </c>
      <c r="B887" s="23">
        <v>0.4</v>
      </c>
      <c r="C887" s="181"/>
      <c r="G887" s="482">
        <f>SUM(G885:G886)</f>
        <v>34960</v>
      </c>
      <c r="L887" s="481"/>
    </row>
    <row r="888" spans="1:12">
      <c r="A888" s="23" t="s">
        <v>208</v>
      </c>
      <c r="B888" s="23">
        <v>0.2</v>
      </c>
      <c r="C888" s="181"/>
      <c r="G888" s="175">
        <f>G887*$B$337</f>
        <v>13984</v>
      </c>
      <c r="L888" s="481"/>
    </row>
    <row r="889" spans="1:12">
      <c r="A889" s="259" t="s">
        <v>15</v>
      </c>
      <c r="B889" s="259"/>
      <c r="C889" s="181"/>
      <c r="G889" s="175">
        <f>G887*$B$338</f>
        <v>6992</v>
      </c>
      <c r="L889" s="481"/>
    </row>
    <row r="890" spans="1:12">
      <c r="A890" s="23" t="s">
        <v>215</v>
      </c>
      <c r="B890" s="23">
        <v>1.2</v>
      </c>
      <c r="C890" s="181"/>
      <c r="G890" s="613">
        <f>SUM(G887:G889)</f>
        <v>55936</v>
      </c>
      <c r="L890" s="481"/>
    </row>
    <row r="891" spans="1:12" ht="15" thickBot="1">
      <c r="A891" s="23"/>
      <c r="B891" s="23"/>
      <c r="C891" s="183"/>
      <c r="D891" s="170"/>
      <c r="E891" s="170"/>
      <c r="F891" s="170"/>
      <c r="G891" s="527">
        <f>ROUNDUP((G890*$B$249),-3)</f>
        <v>68000</v>
      </c>
      <c r="H891" s="170"/>
      <c r="I891" s="170"/>
      <c r="J891" s="170"/>
      <c r="K891" s="170"/>
      <c r="L891" s="410"/>
    </row>
    <row r="892" spans="1:12" ht="15" thickBot="1">
      <c r="A892" s="23"/>
      <c r="B892" s="23"/>
      <c r="G892" s="5"/>
    </row>
    <row r="893" spans="1:12">
      <c r="C893" s="16" t="s">
        <v>603</v>
      </c>
      <c r="D893" s="20" t="s">
        <v>604</v>
      </c>
      <c r="E893" s="17" t="s">
        <v>605</v>
      </c>
      <c r="F893" s="16" t="s">
        <v>606</v>
      </c>
      <c r="G893" s="20" t="s">
        <v>607</v>
      </c>
      <c r="H893" s="17" t="s">
        <v>608</v>
      </c>
      <c r="I893" s="227" t="s">
        <v>609</v>
      </c>
      <c r="J893" s="619" t="s">
        <v>610</v>
      </c>
      <c r="K893" s="227" t="s">
        <v>610</v>
      </c>
      <c r="L893" s="226" t="s">
        <v>611</v>
      </c>
    </row>
    <row r="894" spans="1:12" ht="15" thickBot="1">
      <c r="C894" s="36"/>
      <c r="D894" s="40"/>
      <c r="E894" s="37"/>
      <c r="F894" s="36"/>
      <c r="G894" s="40"/>
      <c r="H894" s="37"/>
      <c r="I894" s="233" t="s">
        <v>615</v>
      </c>
      <c r="J894" s="49" t="s">
        <v>616</v>
      </c>
      <c r="K894" s="233" t="s">
        <v>617</v>
      </c>
      <c r="L894" s="232" t="s">
        <v>617</v>
      </c>
    </row>
    <row r="895" spans="1:12">
      <c r="A895" s="23" t="s">
        <v>620</v>
      </c>
      <c r="B895" s="23">
        <v>0.52</v>
      </c>
      <c r="C895" s="618" t="s">
        <v>919</v>
      </c>
      <c r="G895" s="175">
        <v>33000</v>
      </c>
      <c r="L895" s="481"/>
    </row>
    <row r="896" spans="1:12">
      <c r="A896" s="480" t="s">
        <v>625</v>
      </c>
      <c r="B896" s="480"/>
      <c r="C896" s="181"/>
      <c r="G896" s="175">
        <f>G895*$B$335</f>
        <v>17160</v>
      </c>
      <c r="L896" s="481"/>
    </row>
    <row r="897" spans="1:12">
      <c r="A897" s="23" t="s">
        <v>13</v>
      </c>
      <c r="B897" s="23">
        <v>0.4</v>
      </c>
      <c r="C897" s="181"/>
      <c r="G897" s="482">
        <f>SUM(G895:G896)</f>
        <v>50160</v>
      </c>
      <c r="L897" s="481"/>
    </row>
    <row r="898" spans="1:12">
      <c r="A898" s="23" t="s">
        <v>208</v>
      </c>
      <c r="B898" s="23">
        <v>0.2</v>
      </c>
      <c r="C898" s="181"/>
      <c r="G898" s="175">
        <f>G897*$B$337</f>
        <v>20064</v>
      </c>
      <c r="L898" s="481"/>
    </row>
    <row r="899" spans="1:12">
      <c r="A899" s="259" t="s">
        <v>15</v>
      </c>
      <c r="B899" s="259"/>
      <c r="C899" s="181"/>
      <c r="G899" s="175">
        <f>G897*$B$338</f>
        <v>10032</v>
      </c>
      <c r="L899" s="481"/>
    </row>
    <row r="900" spans="1:12">
      <c r="A900" s="23" t="s">
        <v>215</v>
      </c>
      <c r="B900" s="23">
        <v>1.2</v>
      </c>
      <c r="C900" s="181"/>
      <c r="G900" s="613">
        <f>SUM(G897:G899)</f>
        <v>80256</v>
      </c>
      <c r="L900" s="481"/>
    </row>
    <row r="901" spans="1:12" ht="15" thickBot="1">
      <c r="A901" s="23"/>
      <c r="B901" s="23"/>
      <c r="C901" s="183"/>
      <c r="D901" s="170"/>
      <c r="E901" s="170"/>
      <c r="F901" s="170"/>
      <c r="G901" s="527">
        <f>ROUNDUP((G900*$B$249),-3)</f>
        <v>97000</v>
      </c>
      <c r="H901" s="170"/>
      <c r="I901" s="170"/>
      <c r="J901" s="170"/>
      <c r="K901" s="170"/>
      <c r="L901" s="410"/>
    </row>
    <row r="902" spans="1:12" ht="15" thickBot="1">
      <c r="A902" s="23"/>
      <c r="B902" s="23"/>
      <c r="G902" s="5"/>
    </row>
    <row r="903" spans="1:12">
      <c r="C903" s="16" t="s">
        <v>603</v>
      </c>
      <c r="D903" s="20" t="s">
        <v>604</v>
      </c>
      <c r="E903" s="17" t="s">
        <v>605</v>
      </c>
      <c r="F903" s="16" t="s">
        <v>606</v>
      </c>
      <c r="G903" s="20" t="s">
        <v>607</v>
      </c>
      <c r="H903" s="17" t="s">
        <v>608</v>
      </c>
      <c r="I903" s="227" t="s">
        <v>609</v>
      </c>
      <c r="J903" s="619" t="s">
        <v>610</v>
      </c>
      <c r="K903" s="227" t="s">
        <v>610</v>
      </c>
      <c r="L903" s="226" t="s">
        <v>611</v>
      </c>
    </row>
    <row r="904" spans="1:12" ht="15" thickBot="1">
      <c r="C904" s="36"/>
      <c r="D904" s="40"/>
      <c r="E904" s="37"/>
      <c r="F904" s="36"/>
      <c r="G904" s="40"/>
      <c r="H904" s="37"/>
      <c r="I904" s="233" t="s">
        <v>615</v>
      </c>
      <c r="J904" s="49" t="s">
        <v>616</v>
      </c>
      <c r="K904" s="233" t="s">
        <v>617</v>
      </c>
      <c r="L904" s="232" t="s">
        <v>617</v>
      </c>
    </row>
    <row r="905" spans="1:12">
      <c r="A905" s="23" t="s">
        <v>620</v>
      </c>
      <c r="B905" s="23">
        <v>0.52</v>
      </c>
      <c r="C905" s="618" t="s">
        <v>920</v>
      </c>
      <c r="G905" s="109">
        <v>42000</v>
      </c>
      <c r="L905" s="481"/>
    </row>
    <row r="906" spans="1:12">
      <c r="A906" s="480" t="s">
        <v>625</v>
      </c>
      <c r="B906" s="480"/>
      <c r="C906" s="181"/>
      <c r="G906" s="175">
        <f>G905*$B$335</f>
        <v>21840</v>
      </c>
      <c r="L906" s="481"/>
    </row>
    <row r="907" spans="1:12">
      <c r="A907" s="23" t="s">
        <v>13</v>
      </c>
      <c r="B907" s="23">
        <v>0.4</v>
      </c>
      <c r="C907" s="181"/>
      <c r="G907" s="482">
        <f>SUM(G905:G906)</f>
        <v>63840</v>
      </c>
      <c r="L907" s="481"/>
    </row>
    <row r="908" spans="1:12">
      <c r="A908" s="23" t="s">
        <v>208</v>
      </c>
      <c r="B908" s="23">
        <v>0.2</v>
      </c>
      <c r="C908" s="181"/>
      <c r="G908" s="175">
        <f>G907*$B$337</f>
        <v>25536</v>
      </c>
      <c r="L908" s="481"/>
    </row>
    <row r="909" spans="1:12">
      <c r="A909" s="259" t="s">
        <v>15</v>
      </c>
      <c r="B909" s="259"/>
      <c r="C909" s="181"/>
      <c r="G909" s="175">
        <f>G907*$B$338</f>
        <v>12768</v>
      </c>
      <c r="L909" s="481"/>
    </row>
    <row r="910" spans="1:12">
      <c r="A910" s="23" t="s">
        <v>215</v>
      </c>
      <c r="B910" s="23">
        <v>1.2</v>
      </c>
      <c r="C910" s="181"/>
      <c r="G910" s="613">
        <f>SUM(G907:G909)</f>
        <v>102144</v>
      </c>
      <c r="L910" s="481"/>
    </row>
    <row r="911" spans="1:12" ht="15" thickBot="1">
      <c r="A911" s="23"/>
      <c r="B911" s="23"/>
      <c r="C911" s="183"/>
      <c r="D911" s="170"/>
      <c r="E911" s="170"/>
      <c r="F911" s="170"/>
      <c r="G911" s="527">
        <f>ROUNDUP((G910*$B$249),-3)</f>
        <v>123000</v>
      </c>
      <c r="H911" s="170"/>
      <c r="I911" s="170"/>
      <c r="J911" s="170"/>
      <c r="K911" s="170"/>
      <c r="L911" s="410"/>
    </row>
    <row r="912" spans="1:12" ht="15" thickBot="1">
      <c r="A912" s="23"/>
      <c r="B912" s="23"/>
      <c r="G912" s="5"/>
    </row>
    <row r="913" spans="1:12">
      <c r="C913" s="16" t="s">
        <v>603</v>
      </c>
      <c r="D913" s="20" t="s">
        <v>604</v>
      </c>
      <c r="E913" s="17" t="s">
        <v>605</v>
      </c>
      <c r="F913" s="16" t="s">
        <v>606</v>
      </c>
      <c r="G913" s="20" t="s">
        <v>607</v>
      </c>
      <c r="H913" s="17" t="s">
        <v>608</v>
      </c>
      <c r="I913" s="227" t="s">
        <v>609</v>
      </c>
      <c r="J913" s="619" t="s">
        <v>610</v>
      </c>
      <c r="K913" s="227" t="s">
        <v>610</v>
      </c>
      <c r="L913" s="226" t="s">
        <v>611</v>
      </c>
    </row>
    <row r="914" spans="1:12" ht="15" thickBot="1">
      <c r="C914" s="36"/>
      <c r="D914" s="40"/>
      <c r="E914" s="37"/>
      <c r="F914" s="36"/>
      <c r="G914" s="40"/>
      <c r="H914" s="37"/>
      <c r="I914" s="233" t="s">
        <v>615</v>
      </c>
      <c r="J914" s="49" t="s">
        <v>616</v>
      </c>
      <c r="K914" s="233" t="s">
        <v>617</v>
      </c>
      <c r="L914" s="232" t="s">
        <v>617</v>
      </c>
    </row>
    <row r="915" spans="1:12">
      <c r="A915" s="23" t="s">
        <v>620</v>
      </c>
      <c r="B915" s="23">
        <v>0.52</v>
      </c>
      <c r="C915" s="618" t="s">
        <v>921</v>
      </c>
      <c r="G915" s="175">
        <v>50000</v>
      </c>
      <c r="L915" s="481"/>
    </row>
    <row r="916" spans="1:12">
      <c r="A916" s="480" t="s">
        <v>625</v>
      </c>
      <c r="B916" s="480"/>
      <c r="C916" s="181"/>
      <c r="G916" s="175">
        <f>G915*$B$335</f>
        <v>26000</v>
      </c>
      <c r="L916" s="481"/>
    </row>
    <row r="917" spans="1:12">
      <c r="A917" s="23" t="s">
        <v>13</v>
      </c>
      <c r="B917" s="23">
        <v>0.4</v>
      </c>
      <c r="C917" s="181"/>
      <c r="G917" s="482">
        <f>SUM(G915:G916)</f>
        <v>76000</v>
      </c>
      <c r="L917" s="481"/>
    </row>
    <row r="918" spans="1:12">
      <c r="A918" s="23" t="s">
        <v>208</v>
      </c>
      <c r="B918" s="23">
        <v>0.2</v>
      </c>
      <c r="C918" s="181"/>
      <c r="G918" s="175">
        <f>G917*$B$337</f>
        <v>30400</v>
      </c>
      <c r="L918" s="481"/>
    </row>
    <row r="919" spans="1:12">
      <c r="A919" s="259" t="s">
        <v>15</v>
      </c>
      <c r="B919" s="259"/>
      <c r="C919" s="181"/>
      <c r="G919" s="175">
        <f>G917*$B$338</f>
        <v>15200</v>
      </c>
      <c r="L919" s="481"/>
    </row>
    <row r="920" spans="1:12">
      <c r="A920" s="23" t="s">
        <v>215</v>
      </c>
      <c r="B920" s="23">
        <v>1.2</v>
      </c>
      <c r="C920" s="181"/>
      <c r="G920" s="613">
        <f>SUM(G917:G919)</f>
        <v>121600</v>
      </c>
      <c r="L920" s="481"/>
    </row>
    <row r="921" spans="1:12" ht="15" thickBot="1">
      <c r="A921" s="23"/>
      <c r="B921" s="23"/>
      <c r="C921" s="183"/>
      <c r="D921" s="170"/>
      <c r="E921" s="170"/>
      <c r="F921" s="170"/>
      <c r="G921" s="527">
        <f>ROUNDUP((G920*$B$249),-3)</f>
        <v>146000</v>
      </c>
      <c r="H921" s="170"/>
      <c r="I921" s="170"/>
      <c r="J921" s="170"/>
      <c r="K921" s="170"/>
      <c r="L921" s="410"/>
    </row>
    <row r="922" spans="1:12" ht="15" thickBot="1">
      <c r="A922" s="23"/>
      <c r="B922" s="23"/>
      <c r="G922" s="5"/>
    </row>
    <row r="923" spans="1:12">
      <c r="C923" s="16" t="s">
        <v>603</v>
      </c>
      <c r="D923" s="20" t="s">
        <v>604</v>
      </c>
      <c r="E923" s="17" t="s">
        <v>605</v>
      </c>
      <c r="F923" s="16" t="s">
        <v>606</v>
      </c>
      <c r="G923" s="20" t="s">
        <v>607</v>
      </c>
      <c r="H923" s="17" t="s">
        <v>608</v>
      </c>
      <c r="I923" s="227" t="s">
        <v>609</v>
      </c>
      <c r="J923" s="619" t="s">
        <v>610</v>
      </c>
      <c r="K923" s="227" t="s">
        <v>610</v>
      </c>
      <c r="L923" s="226" t="s">
        <v>611</v>
      </c>
    </row>
    <row r="924" spans="1:12" ht="15" thickBot="1">
      <c r="C924" s="36"/>
      <c r="D924" s="40"/>
      <c r="E924" s="37"/>
      <c r="F924" s="36"/>
      <c r="G924" s="40"/>
      <c r="H924" s="37"/>
      <c r="I924" s="233" t="s">
        <v>615</v>
      </c>
      <c r="J924" s="49" t="s">
        <v>616</v>
      </c>
      <c r="K924" s="233" t="s">
        <v>617</v>
      </c>
      <c r="L924" s="232" t="s">
        <v>617</v>
      </c>
    </row>
    <row r="925" spans="1:12">
      <c r="A925" s="23" t="s">
        <v>620</v>
      </c>
      <c r="B925" s="23">
        <v>0.52</v>
      </c>
      <c r="C925" s="618" t="s">
        <v>922</v>
      </c>
      <c r="G925" s="175">
        <v>17000</v>
      </c>
      <c r="L925" s="481"/>
    </row>
    <row r="926" spans="1:12">
      <c r="A926" s="480" t="s">
        <v>625</v>
      </c>
      <c r="B926" s="480"/>
      <c r="C926" s="181"/>
      <c r="G926" s="175">
        <f>G925*$B$335</f>
        <v>8840</v>
      </c>
      <c r="L926" s="481"/>
    </row>
    <row r="927" spans="1:12">
      <c r="A927" s="23" t="s">
        <v>13</v>
      </c>
      <c r="B927" s="23">
        <v>0.4</v>
      </c>
      <c r="C927" s="181"/>
      <c r="G927" s="482">
        <f>SUM(G925:G926)</f>
        <v>25840</v>
      </c>
      <c r="L927" s="481"/>
    </row>
    <row r="928" spans="1:12">
      <c r="A928" s="23" t="s">
        <v>208</v>
      </c>
      <c r="B928" s="23">
        <v>0.2</v>
      </c>
      <c r="C928" s="181"/>
      <c r="G928" s="175">
        <f>G927*$B$337</f>
        <v>10336</v>
      </c>
      <c r="L928" s="481"/>
    </row>
    <row r="929" spans="1:12">
      <c r="A929" s="259" t="s">
        <v>15</v>
      </c>
      <c r="B929" s="259"/>
      <c r="C929" s="181"/>
      <c r="G929" s="175">
        <f>G927*$B$338</f>
        <v>5168</v>
      </c>
      <c r="L929" s="481"/>
    </row>
    <row r="930" spans="1:12">
      <c r="A930" s="23" t="s">
        <v>215</v>
      </c>
      <c r="B930" s="23">
        <v>1.2</v>
      </c>
      <c r="C930" s="181"/>
      <c r="G930" s="613">
        <f>SUM(G927:G929)</f>
        <v>41344</v>
      </c>
      <c r="L930" s="481"/>
    </row>
    <row r="931" spans="1:12" ht="15" thickBot="1">
      <c r="A931" s="23"/>
      <c r="B931" s="23"/>
      <c r="C931" s="183"/>
      <c r="D931" s="170"/>
      <c r="E931" s="170"/>
      <c r="F931" s="170"/>
      <c r="G931" s="527">
        <f>ROUNDUP((G930*$B$249),-3)</f>
        <v>50000</v>
      </c>
      <c r="H931" s="170"/>
      <c r="I931" s="170"/>
      <c r="J931" s="170"/>
      <c r="K931" s="170"/>
      <c r="L931" s="410"/>
    </row>
    <row r="932" spans="1:12" ht="15" thickBot="1">
      <c r="A932" s="23"/>
      <c r="B932" s="23"/>
      <c r="G932" s="5"/>
    </row>
    <row r="933" spans="1:12">
      <c r="C933" s="16" t="s">
        <v>603</v>
      </c>
      <c r="D933" s="20" t="s">
        <v>604</v>
      </c>
      <c r="E933" s="17" t="s">
        <v>605</v>
      </c>
      <c r="F933" s="16" t="s">
        <v>606</v>
      </c>
      <c r="G933" s="20" t="s">
        <v>607</v>
      </c>
      <c r="H933" s="17" t="s">
        <v>608</v>
      </c>
      <c r="I933" s="227" t="s">
        <v>609</v>
      </c>
      <c r="J933" s="619" t="s">
        <v>610</v>
      </c>
      <c r="K933" s="227" t="s">
        <v>610</v>
      </c>
      <c r="L933" s="226" t="s">
        <v>611</v>
      </c>
    </row>
    <row r="934" spans="1:12" ht="15" thickBot="1">
      <c r="C934" s="36"/>
      <c r="D934" s="40"/>
      <c r="E934" s="37"/>
      <c r="F934" s="36"/>
      <c r="G934" s="40"/>
      <c r="H934" s="37"/>
      <c r="I934" s="233" t="s">
        <v>615</v>
      </c>
      <c r="J934" s="49" t="s">
        <v>616</v>
      </c>
      <c r="K934" s="233" t="s">
        <v>617</v>
      </c>
      <c r="L934" s="232" t="s">
        <v>617</v>
      </c>
    </row>
    <row r="935" spans="1:12">
      <c r="A935" s="23" t="s">
        <v>620</v>
      </c>
      <c r="B935" s="23">
        <v>0.52</v>
      </c>
      <c r="C935" s="618" t="s">
        <v>923</v>
      </c>
      <c r="G935" s="175">
        <v>22000</v>
      </c>
      <c r="L935" s="481"/>
    </row>
    <row r="936" spans="1:12">
      <c r="A936" s="480" t="s">
        <v>625</v>
      </c>
      <c r="B936" s="480"/>
      <c r="C936" s="181"/>
      <c r="G936" s="175">
        <f>G935*$B$335</f>
        <v>11440</v>
      </c>
      <c r="L936" s="481"/>
    </row>
    <row r="937" spans="1:12">
      <c r="A937" s="23" t="s">
        <v>13</v>
      </c>
      <c r="B937" s="23">
        <v>0.4</v>
      </c>
      <c r="C937" s="181"/>
      <c r="G937" s="482">
        <f>SUM(G935:G936)</f>
        <v>33440</v>
      </c>
      <c r="L937" s="481"/>
    </row>
    <row r="938" spans="1:12">
      <c r="A938" s="23" t="s">
        <v>208</v>
      </c>
      <c r="B938" s="23">
        <v>0.2</v>
      </c>
      <c r="C938" s="181"/>
      <c r="G938" s="175">
        <f>G937*$B$337</f>
        <v>13376</v>
      </c>
      <c r="L938" s="481"/>
    </row>
    <row r="939" spans="1:12">
      <c r="A939" s="259" t="s">
        <v>15</v>
      </c>
      <c r="B939" s="259"/>
      <c r="C939" s="181"/>
      <c r="G939" s="175">
        <f>G937*$B$338</f>
        <v>6688</v>
      </c>
      <c r="L939" s="481"/>
    </row>
    <row r="940" spans="1:12">
      <c r="A940" s="23" t="s">
        <v>215</v>
      </c>
      <c r="B940" s="23">
        <v>1.2</v>
      </c>
      <c r="C940" s="181"/>
      <c r="G940" s="613">
        <f>SUM(G937:G939)</f>
        <v>53504</v>
      </c>
      <c r="L940" s="481"/>
    </row>
    <row r="941" spans="1:12" ht="15" thickBot="1">
      <c r="C941" s="183"/>
      <c r="D941" s="170"/>
      <c r="E941" s="170"/>
      <c r="F941" s="170"/>
      <c r="G941" s="527">
        <f>ROUNDUP((G940*$B$249),-3)</f>
        <v>65000</v>
      </c>
      <c r="H941" s="170"/>
      <c r="I941" s="170"/>
      <c r="J941" s="170"/>
      <c r="K941" s="170"/>
      <c r="L941" s="410"/>
    </row>
    <row r="942" spans="1:12" ht="15" thickBot="1"/>
    <row r="943" spans="1:12">
      <c r="C943" s="16" t="s">
        <v>603</v>
      </c>
      <c r="D943" s="20" t="s">
        <v>604</v>
      </c>
      <c r="E943" s="17" t="s">
        <v>605</v>
      </c>
      <c r="F943" s="16" t="s">
        <v>606</v>
      </c>
      <c r="G943" s="20" t="s">
        <v>607</v>
      </c>
      <c r="H943" s="17" t="s">
        <v>608</v>
      </c>
      <c r="I943" s="227" t="s">
        <v>609</v>
      </c>
      <c r="J943" s="619" t="s">
        <v>610</v>
      </c>
      <c r="K943" s="227" t="s">
        <v>610</v>
      </c>
      <c r="L943" s="226" t="s">
        <v>611</v>
      </c>
    </row>
    <row r="944" spans="1:12" ht="15" thickBot="1">
      <c r="C944" s="36"/>
      <c r="D944" s="40"/>
      <c r="E944" s="37"/>
      <c r="F944" s="36"/>
      <c r="G944" s="40"/>
      <c r="H944" s="37"/>
      <c r="I944" s="233" t="s">
        <v>615</v>
      </c>
      <c r="J944" s="49" t="s">
        <v>616</v>
      </c>
      <c r="K944" s="233" t="s">
        <v>617</v>
      </c>
      <c r="L944" s="232" t="s">
        <v>617</v>
      </c>
    </row>
    <row r="945" spans="1:12">
      <c r="A945" s="23" t="s">
        <v>620</v>
      </c>
      <c r="B945" s="23">
        <v>0.52</v>
      </c>
      <c r="C945" s="618" t="s">
        <v>924</v>
      </c>
      <c r="G945" s="175">
        <v>30000</v>
      </c>
      <c r="L945" s="481"/>
    </row>
    <row r="946" spans="1:12">
      <c r="A946" s="480" t="s">
        <v>625</v>
      </c>
      <c r="B946" s="480"/>
      <c r="C946" s="181"/>
      <c r="G946" s="175">
        <f>G945*$B$335</f>
        <v>15600</v>
      </c>
      <c r="L946" s="481"/>
    </row>
    <row r="947" spans="1:12">
      <c r="A947" s="23" t="s">
        <v>13</v>
      </c>
      <c r="B947" s="23">
        <v>0.4</v>
      </c>
      <c r="C947" s="181"/>
      <c r="G947" s="482">
        <f>SUM(G945:G946)</f>
        <v>45600</v>
      </c>
      <c r="L947" s="481"/>
    </row>
    <row r="948" spans="1:12">
      <c r="A948" s="23" t="s">
        <v>208</v>
      </c>
      <c r="B948" s="23">
        <v>0.2</v>
      </c>
      <c r="C948" s="181"/>
      <c r="G948" s="175">
        <f>G947*$B$337</f>
        <v>18240</v>
      </c>
      <c r="L948" s="481"/>
    </row>
    <row r="949" spans="1:12">
      <c r="A949" s="259" t="s">
        <v>15</v>
      </c>
      <c r="B949" s="259"/>
      <c r="C949" s="181"/>
      <c r="G949" s="175">
        <f>G947*$B$338</f>
        <v>9120</v>
      </c>
      <c r="L949" s="481"/>
    </row>
    <row r="950" spans="1:12">
      <c r="A950" s="23" t="s">
        <v>215</v>
      </c>
      <c r="B950" s="23">
        <v>1.2</v>
      </c>
      <c r="C950" s="181"/>
      <c r="G950" s="613">
        <f>SUM(G947:G949)</f>
        <v>72960</v>
      </c>
      <c r="L950" s="481"/>
    </row>
    <row r="951" spans="1:12" ht="15" thickBot="1">
      <c r="C951" s="183"/>
      <c r="D951" s="170"/>
      <c r="E951" s="170"/>
      <c r="F951" s="170"/>
      <c r="G951" s="527">
        <f>ROUNDUP((G950*$B$249),-3)</f>
        <v>88000</v>
      </c>
      <c r="H951" s="170"/>
      <c r="I951" s="170"/>
      <c r="J951" s="170"/>
      <c r="K951" s="170"/>
      <c r="L951" s="410"/>
    </row>
    <row r="952" spans="1:12" ht="15" thickBot="1"/>
    <row r="953" spans="1:12">
      <c r="C953" s="16" t="s">
        <v>603</v>
      </c>
      <c r="D953" s="20" t="s">
        <v>604</v>
      </c>
      <c r="E953" s="17" t="s">
        <v>605</v>
      </c>
      <c r="F953" s="16" t="s">
        <v>606</v>
      </c>
      <c r="G953" s="20" t="s">
        <v>607</v>
      </c>
      <c r="H953" s="17" t="s">
        <v>608</v>
      </c>
      <c r="I953" s="227" t="s">
        <v>609</v>
      </c>
      <c r="J953" s="619" t="s">
        <v>610</v>
      </c>
      <c r="K953" s="227" t="s">
        <v>610</v>
      </c>
      <c r="L953" s="226" t="s">
        <v>611</v>
      </c>
    </row>
    <row r="954" spans="1:12" ht="15" thickBot="1">
      <c r="C954" s="36"/>
      <c r="D954" s="40"/>
      <c r="E954" s="37"/>
      <c r="F954" s="36"/>
      <c r="G954" s="40"/>
      <c r="H954" s="37"/>
      <c r="I954" s="233" t="s">
        <v>615</v>
      </c>
      <c r="J954" s="49" t="s">
        <v>616</v>
      </c>
      <c r="K954" s="233" t="s">
        <v>617</v>
      </c>
      <c r="L954" s="232" t="s">
        <v>617</v>
      </c>
    </row>
    <row r="955" spans="1:12">
      <c r="A955" s="23" t="s">
        <v>620</v>
      </c>
      <c r="B955" s="23">
        <v>0.52</v>
      </c>
      <c r="C955" s="618" t="s">
        <v>925</v>
      </c>
      <c r="G955" s="175">
        <v>34000</v>
      </c>
      <c r="L955" s="481"/>
    </row>
    <row r="956" spans="1:12">
      <c r="A956" s="480" t="s">
        <v>625</v>
      </c>
      <c r="B956" s="480"/>
      <c r="C956" s="181"/>
      <c r="G956" s="175">
        <f>G955*$B$335</f>
        <v>17680</v>
      </c>
      <c r="L956" s="481"/>
    </row>
    <row r="957" spans="1:12">
      <c r="A957" s="23" t="s">
        <v>13</v>
      </c>
      <c r="B957" s="23">
        <v>0.4</v>
      </c>
      <c r="C957" s="181"/>
      <c r="G957" s="482">
        <f>SUM(G955:G956)</f>
        <v>51680</v>
      </c>
      <c r="L957" s="481"/>
    </row>
    <row r="958" spans="1:12">
      <c r="A958" s="23" t="s">
        <v>208</v>
      </c>
      <c r="B958" s="23">
        <v>0.2</v>
      </c>
      <c r="C958" s="181"/>
      <c r="G958" s="175">
        <f>G957*$B$337</f>
        <v>20672</v>
      </c>
      <c r="L958" s="481"/>
    </row>
    <row r="959" spans="1:12">
      <c r="A959" s="259" t="s">
        <v>15</v>
      </c>
      <c r="B959" s="259"/>
      <c r="C959" s="181"/>
      <c r="G959" s="175">
        <f>G957*$B$338</f>
        <v>10336</v>
      </c>
      <c r="L959" s="481"/>
    </row>
    <row r="960" spans="1:12">
      <c r="A960" s="23" t="s">
        <v>215</v>
      </c>
      <c r="B960" s="23">
        <v>1.2</v>
      </c>
      <c r="C960" s="181"/>
      <c r="G960" s="613">
        <f>SUM(G957:G959)</f>
        <v>82688</v>
      </c>
      <c r="L960" s="481"/>
    </row>
    <row r="961" spans="1:12" ht="15" thickBot="1">
      <c r="C961" s="183"/>
      <c r="D961" s="170"/>
      <c r="E961" s="170"/>
      <c r="F961" s="170"/>
      <c r="G961" s="527">
        <f>ROUNDUP((G960*$B$249),-3)</f>
        <v>100000</v>
      </c>
      <c r="H961" s="170"/>
      <c r="I961" s="170"/>
      <c r="J961" s="170"/>
      <c r="K961" s="170"/>
      <c r="L961" s="410"/>
    </row>
    <row r="962" spans="1:12" ht="15" thickBot="1"/>
    <row r="963" spans="1:12">
      <c r="C963" s="16" t="s">
        <v>603</v>
      </c>
      <c r="D963" s="20" t="s">
        <v>604</v>
      </c>
      <c r="E963" s="17" t="s">
        <v>605</v>
      </c>
      <c r="F963" s="16" t="s">
        <v>606</v>
      </c>
      <c r="G963" s="20" t="s">
        <v>607</v>
      </c>
      <c r="H963" s="17" t="s">
        <v>608</v>
      </c>
      <c r="I963" s="227" t="s">
        <v>609</v>
      </c>
      <c r="J963" s="619" t="s">
        <v>610</v>
      </c>
      <c r="K963" s="227" t="s">
        <v>610</v>
      </c>
      <c r="L963" s="226" t="s">
        <v>611</v>
      </c>
    </row>
    <row r="964" spans="1:12" ht="15" thickBot="1">
      <c r="C964" s="36"/>
      <c r="D964" s="40"/>
      <c r="E964" s="37"/>
      <c r="F964" s="36"/>
      <c r="G964" s="40"/>
      <c r="H964" s="37"/>
      <c r="I964" s="233" t="s">
        <v>615</v>
      </c>
      <c r="J964" s="49" t="s">
        <v>616</v>
      </c>
      <c r="K964" s="233" t="s">
        <v>617</v>
      </c>
      <c r="L964" s="232" t="s">
        <v>617</v>
      </c>
    </row>
    <row r="965" spans="1:12">
      <c r="A965" s="23" t="s">
        <v>620</v>
      </c>
      <c r="B965" s="23">
        <v>0.52</v>
      </c>
      <c r="C965" s="618" t="s">
        <v>926</v>
      </c>
      <c r="G965" s="175">
        <v>50000</v>
      </c>
      <c r="L965" s="481"/>
    </row>
    <row r="966" spans="1:12">
      <c r="A966" s="480" t="s">
        <v>625</v>
      </c>
      <c r="B966" s="480"/>
      <c r="C966" s="181"/>
      <c r="G966" s="175">
        <f>G965*$B$335</f>
        <v>26000</v>
      </c>
      <c r="L966" s="481"/>
    </row>
    <row r="967" spans="1:12">
      <c r="A967" s="23" t="s">
        <v>13</v>
      </c>
      <c r="B967" s="23">
        <v>0.4</v>
      </c>
      <c r="C967" s="181"/>
      <c r="G967" s="482">
        <f>SUM(G965:G966)</f>
        <v>76000</v>
      </c>
      <c r="L967" s="481"/>
    </row>
    <row r="968" spans="1:12">
      <c r="A968" s="23" t="s">
        <v>208</v>
      </c>
      <c r="B968" s="23">
        <v>0.2</v>
      </c>
      <c r="C968" s="181"/>
      <c r="G968" s="175">
        <f>G967*$B$337</f>
        <v>30400</v>
      </c>
      <c r="L968" s="481"/>
    </row>
    <row r="969" spans="1:12">
      <c r="A969" s="259" t="s">
        <v>15</v>
      </c>
      <c r="B969" s="259"/>
      <c r="C969" s="181"/>
      <c r="G969" s="175">
        <f>G967*$B$338</f>
        <v>15200</v>
      </c>
      <c r="L969" s="481"/>
    </row>
    <row r="970" spans="1:12">
      <c r="A970" s="23" t="s">
        <v>215</v>
      </c>
      <c r="B970" s="23">
        <v>1.2</v>
      </c>
      <c r="C970" s="181"/>
      <c r="G970" s="613">
        <f>SUM(G967:G969)</f>
        <v>121600</v>
      </c>
      <c r="L970" s="481"/>
    </row>
    <row r="971" spans="1:12" ht="15" thickBot="1">
      <c r="A971" s="23"/>
      <c r="B971" s="23"/>
      <c r="C971" s="183"/>
      <c r="D971" s="170"/>
      <c r="E971" s="170"/>
      <c r="F971" s="170"/>
      <c r="G971" s="527">
        <f>ROUNDUP((G970*$B$249),-3)</f>
        <v>146000</v>
      </c>
      <c r="H971" s="170"/>
      <c r="I971" s="170"/>
      <c r="J971" s="170"/>
      <c r="K971" s="170"/>
      <c r="L971" s="410"/>
    </row>
    <row r="972" spans="1:12" ht="15" thickBot="1">
      <c r="A972" s="23"/>
      <c r="B972" s="23"/>
      <c r="G972" s="5"/>
    </row>
    <row r="973" spans="1:12">
      <c r="C973" s="16" t="s">
        <v>603</v>
      </c>
      <c r="D973" s="20" t="s">
        <v>604</v>
      </c>
      <c r="E973" s="17" t="s">
        <v>605</v>
      </c>
      <c r="F973" s="16" t="s">
        <v>606</v>
      </c>
      <c r="G973" s="20" t="s">
        <v>607</v>
      </c>
      <c r="H973" s="17" t="s">
        <v>608</v>
      </c>
      <c r="I973" s="227" t="s">
        <v>609</v>
      </c>
      <c r="J973" s="619" t="s">
        <v>610</v>
      </c>
      <c r="K973" s="227" t="s">
        <v>610</v>
      </c>
      <c r="L973" s="226" t="s">
        <v>611</v>
      </c>
    </row>
    <row r="974" spans="1:12" ht="15" thickBot="1">
      <c r="C974" s="36"/>
      <c r="D974" s="40"/>
      <c r="E974" s="37"/>
      <c r="F974" s="36"/>
      <c r="G974" s="40"/>
      <c r="H974" s="37"/>
      <c r="I974" s="233" t="s">
        <v>615</v>
      </c>
      <c r="J974" s="49" t="s">
        <v>616</v>
      </c>
      <c r="K974" s="233" t="s">
        <v>617</v>
      </c>
      <c r="L974" s="232" t="s">
        <v>617</v>
      </c>
    </row>
    <row r="975" spans="1:12">
      <c r="A975" s="23" t="s">
        <v>620</v>
      </c>
      <c r="B975" s="23">
        <v>0.52</v>
      </c>
      <c r="C975" s="618" t="s">
        <v>927</v>
      </c>
      <c r="G975" s="175">
        <v>63000</v>
      </c>
      <c r="L975" s="481"/>
    </row>
    <row r="976" spans="1:12">
      <c r="A976" s="480" t="s">
        <v>625</v>
      </c>
      <c r="B976" s="480"/>
      <c r="C976" s="181"/>
      <c r="G976" s="175">
        <f>G975*$B$335</f>
        <v>32760</v>
      </c>
      <c r="L976" s="481"/>
    </row>
    <row r="977" spans="1:12">
      <c r="A977" s="23" t="s">
        <v>13</v>
      </c>
      <c r="B977" s="23">
        <v>0.4</v>
      </c>
      <c r="C977" s="181"/>
      <c r="G977" s="482">
        <f>SUM(G975:G976)</f>
        <v>95760</v>
      </c>
      <c r="L977" s="481"/>
    </row>
    <row r="978" spans="1:12">
      <c r="A978" s="23" t="s">
        <v>208</v>
      </c>
      <c r="B978" s="23">
        <v>0.2</v>
      </c>
      <c r="C978" s="181"/>
      <c r="G978" s="175">
        <f>G977*$B$337</f>
        <v>38304</v>
      </c>
      <c r="L978" s="481"/>
    </row>
    <row r="979" spans="1:12">
      <c r="A979" s="259" t="s">
        <v>15</v>
      </c>
      <c r="B979" s="259"/>
      <c r="C979" s="181"/>
      <c r="G979" s="175">
        <f>G977*$B$338</f>
        <v>19152</v>
      </c>
      <c r="L979" s="481"/>
    </row>
    <row r="980" spans="1:12">
      <c r="A980" s="23" t="s">
        <v>215</v>
      </c>
      <c r="B980" s="23">
        <v>1.2</v>
      </c>
      <c r="C980" s="181"/>
      <c r="G980" s="613">
        <f>SUM(G977:G979)</f>
        <v>153216</v>
      </c>
      <c r="L980" s="481"/>
    </row>
    <row r="981" spans="1:12" ht="15" thickBot="1">
      <c r="A981" s="23"/>
      <c r="B981" s="23"/>
      <c r="C981" s="183"/>
      <c r="D981" s="170"/>
      <c r="E981" s="170"/>
      <c r="F981" s="170"/>
      <c r="G981" s="527">
        <f>ROUNDUP((G980*$B$249),-3)</f>
        <v>184000</v>
      </c>
      <c r="H981" s="170"/>
      <c r="I981" s="170"/>
      <c r="J981" s="170"/>
      <c r="K981" s="170"/>
      <c r="L981" s="410"/>
    </row>
    <row r="982" spans="1:12" ht="15" thickBot="1">
      <c r="A982" s="23"/>
      <c r="B982" s="23"/>
      <c r="G982" s="5"/>
    </row>
    <row r="983" spans="1:12">
      <c r="C983" s="16" t="s">
        <v>603</v>
      </c>
      <c r="D983" s="20" t="s">
        <v>604</v>
      </c>
      <c r="E983" s="17" t="s">
        <v>605</v>
      </c>
      <c r="F983" s="16" t="s">
        <v>606</v>
      </c>
      <c r="G983" s="20" t="s">
        <v>607</v>
      </c>
      <c r="H983" s="17" t="s">
        <v>608</v>
      </c>
      <c r="I983" s="227" t="s">
        <v>609</v>
      </c>
      <c r="J983" s="619" t="s">
        <v>610</v>
      </c>
      <c r="K983" s="227" t="s">
        <v>610</v>
      </c>
      <c r="L983" s="226" t="s">
        <v>611</v>
      </c>
    </row>
    <row r="984" spans="1:12" ht="15" thickBot="1">
      <c r="C984" s="36"/>
      <c r="D984" s="40"/>
      <c r="E984" s="37"/>
      <c r="F984" s="36"/>
      <c r="G984" s="40"/>
      <c r="H984" s="37"/>
      <c r="I984" s="233" t="s">
        <v>615</v>
      </c>
      <c r="J984" s="49" t="s">
        <v>616</v>
      </c>
      <c r="K984" s="233" t="s">
        <v>617</v>
      </c>
      <c r="L984" s="232" t="s">
        <v>617</v>
      </c>
    </row>
    <row r="985" spans="1:12">
      <c r="A985" s="23" t="s">
        <v>620</v>
      </c>
      <c r="B985" s="23">
        <v>0.52</v>
      </c>
      <c r="C985" s="618" t="s">
        <v>928</v>
      </c>
      <c r="G985" s="175">
        <v>77000</v>
      </c>
      <c r="L985" s="481"/>
    </row>
    <row r="986" spans="1:12">
      <c r="A986" s="480" t="s">
        <v>625</v>
      </c>
      <c r="B986" s="480"/>
      <c r="C986" s="181"/>
      <c r="G986" s="175">
        <f>G985*$B$335</f>
        <v>40040</v>
      </c>
      <c r="L986" s="481"/>
    </row>
    <row r="987" spans="1:12">
      <c r="A987" s="23" t="s">
        <v>13</v>
      </c>
      <c r="B987" s="23">
        <v>0.4</v>
      </c>
      <c r="C987" s="181"/>
      <c r="G987" s="482">
        <f>SUM(G985:G986)</f>
        <v>117040</v>
      </c>
      <c r="L987" s="481"/>
    </row>
    <row r="988" spans="1:12">
      <c r="A988" s="23" t="s">
        <v>208</v>
      </c>
      <c r="B988" s="23">
        <v>0.2</v>
      </c>
      <c r="C988" s="181"/>
      <c r="G988" s="175">
        <f>G987*$B$337</f>
        <v>46816</v>
      </c>
      <c r="L988" s="481"/>
    </row>
    <row r="989" spans="1:12">
      <c r="A989" s="259" t="s">
        <v>15</v>
      </c>
      <c r="B989" s="259"/>
      <c r="C989" s="181"/>
      <c r="G989" s="175">
        <f>G987*$B$338</f>
        <v>23408</v>
      </c>
      <c r="L989" s="481"/>
    </row>
    <row r="990" spans="1:12">
      <c r="A990" s="23" t="s">
        <v>215</v>
      </c>
      <c r="B990" s="23">
        <v>1.2</v>
      </c>
      <c r="C990" s="181"/>
      <c r="G990" s="613">
        <f>SUM(G987:G989)</f>
        <v>187264</v>
      </c>
      <c r="L990" s="481"/>
    </row>
    <row r="991" spans="1:12" ht="15" thickBot="1">
      <c r="C991" s="183"/>
      <c r="D991" s="170"/>
      <c r="E991" s="170"/>
      <c r="F991" s="170"/>
      <c r="G991" s="527">
        <f>ROUNDUP((G990*$B$249),-3)</f>
        <v>225000</v>
      </c>
      <c r="H991" s="170"/>
      <c r="I991" s="170"/>
      <c r="J991" s="170"/>
      <c r="K991" s="170"/>
      <c r="L991" s="410"/>
    </row>
    <row r="996" spans="1:24" ht="17.399999999999999">
      <c r="A996" s="288" t="s">
        <v>929</v>
      </c>
      <c r="B996" s="288"/>
    </row>
    <row r="997" spans="1:24" ht="17.399999999999999">
      <c r="A997" s="288"/>
      <c r="B997" s="288"/>
      <c r="C997" s="288"/>
      <c r="D997" s="288"/>
      <c r="E997" s="288"/>
      <c r="F997" s="288"/>
      <c r="G997" s="288"/>
      <c r="H997" s="288"/>
      <c r="I997" s="288"/>
      <c r="J997" s="6"/>
      <c r="K997" s="6"/>
      <c r="L997" s="6"/>
    </row>
    <row r="998" spans="1:24" ht="17.399999999999999">
      <c r="A998" s="625" t="s">
        <v>930</v>
      </c>
      <c r="B998" s="626" t="s">
        <v>931</v>
      </c>
      <c r="C998" s="288"/>
      <c r="D998" s="288"/>
      <c r="E998" s="627" t="s">
        <v>932</v>
      </c>
      <c r="F998" s="628" t="s">
        <v>933</v>
      </c>
      <c r="G998" s="288"/>
      <c r="H998" s="288"/>
      <c r="I998" s="288"/>
      <c r="J998" s="6"/>
      <c r="K998" s="6"/>
      <c r="L998" s="6"/>
    </row>
    <row r="999" spans="1:24" ht="18" thickBot="1">
      <c r="A999" s="628"/>
      <c r="B999" s="628"/>
      <c r="C999" s="628"/>
      <c r="D999" s="628"/>
      <c r="E999" s="627"/>
      <c r="F999" s="628"/>
      <c r="G999" s="628"/>
      <c r="H999" s="628"/>
      <c r="I999" s="628"/>
      <c r="J999" s="628"/>
      <c r="K999" s="628"/>
      <c r="L999" s="628"/>
      <c r="M999" s="628"/>
      <c r="N999" s="628"/>
      <c r="O999" s="628"/>
      <c r="P999" s="628"/>
      <c r="Q999" s="628"/>
      <c r="R999" s="628"/>
      <c r="S999" s="628"/>
      <c r="T999" s="628"/>
      <c r="U999" s="628"/>
      <c r="V999" s="628"/>
      <c r="W999" s="628"/>
      <c r="X999" s="628"/>
    </row>
    <row r="1000" spans="1:24" ht="18" thickBot="1">
      <c r="A1000" s="57" t="s">
        <v>41</v>
      </c>
      <c r="B1000" s="58" t="s">
        <v>934</v>
      </c>
      <c r="C1000" s="57" t="s">
        <v>935</v>
      </c>
      <c r="D1000" s="58" t="s">
        <v>936</v>
      </c>
      <c r="E1000" s="57" t="s">
        <v>937</v>
      </c>
      <c r="F1000" s="58" t="s">
        <v>938</v>
      </c>
      <c r="G1000" s="57" t="s">
        <v>939</v>
      </c>
      <c r="H1000" s="57" t="s">
        <v>940</v>
      </c>
      <c r="I1000" s="59" t="s">
        <v>941</v>
      </c>
      <c r="J1000" s="628"/>
      <c r="K1000" s="628"/>
      <c r="L1000" s="628"/>
      <c r="M1000" s="628"/>
      <c r="N1000" s="628"/>
      <c r="O1000" s="628"/>
      <c r="P1000" s="628"/>
      <c r="Q1000" s="628"/>
      <c r="R1000" s="628"/>
      <c r="S1000" s="628"/>
      <c r="T1000" s="628"/>
      <c r="U1000" s="628"/>
      <c r="V1000" s="628"/>
      <c r="W1000" s="628"/>
      <c r="X1000" s="628"/>
    </row>
    <row r="1001" spans="1:24" ht="17.399999999999999">
      <c r="A1001" s="629">
        <v>1</v>
      </c>
      <c r="B1001" s="630">
        <v>100</v>
      </c>
      <c r="C1001" s="628">
        <v>504000</v>
      </c>
      <c r="D1001" s="631">
        <v>163000</v>
      </c>
      <c r="E1001" s="628">
        <v>216000</v>
      </c>
      <c r="F1001" s="631">
        <v>273000</v>
      </c>
      <c r="G1001" s="628">
        <v>163000</v>
      </c>
      <c r="H1001" s="632" t="s">
        <v>476</v>
      </c>
      <c r="I1001" s="633">
        <v>297000</v>
      </c>
      <c r="J1001" s="628"/>
      <c r="K1001" s="628"/>
      <c r="L1001" s="628"/>
      <c r="M1001" s="628"/>
      <c r="N1001" s="628"/>
      <c r="O1001" s="628"/>
      <c r="P1001" s="628"/>
      <c r="Q1001" s="628"/>
      <c r="R1001" s="628"/>
      <c r="S1001" s="628"/>
      <c r="T1001" s="628"/>
      <c r="U1001" s="628"/>
      <c r="V1001" s="628"/>
      <c r="W1001" s="628"/>
      <c r="X1001" s="628"/>
    </row>
    <row r="1002" spans="1:24" ht="17.399999999999999">
      <c r="A1002" s="629">
        <f>A1001+1</f>
        <v>2</v>
      </c>
      <c r="B1002" s="629">
        <f>B1001+50</f>
        <v>150</v>
      </c>
      <c r="C1002" s="628">
        <v>525000</v>
      </c>
      <c r="D1002" s="634">
        <v>182000</v>
      </c>
      <c r="E1002" s="628">
        <v>226000</v>
      </c>
      <c r="F1002" s="634">
        <v>283000</v>
      </c>
      <c r="G1002" s="628">
        <v>172000</v>
      </c>
      <c r="H1002" s="629">
        <v>172000</v>
      </c>
      <c r="I1002" s="633">
        <v>330000</v>
      </c>
      <c r="J1002" s="628"/>
      <c r="K1002" s="628"/>
      <c r="L1002" s="628"/>
      <c r="M1002" s="628"/>
      <c r="N1002" s="628"/>
      <c r="O1002" s="628"/>
      <c r="P1002" s="628"/>
      <c r="Q1002" s="628"/>
      <c r="R1002" s="628"/>
      <c r="S1002" s="628"/>
      <c r="T1002" s="628"/>
      <c r="U1002" s="628"/>
      <c r="V1002" s="628"/>
      <c r="W1002" s="628"/>
      <c r="X1002" s="628"/>
    </row>
    <row r="1003" spans="1:24" ht="17.399999999999999">
      <c r="A1003" s="629">
        <f t="shared" ref="A1003:A1011" si="245">A1002+1</f>
        <v>3</v>
      </c>
      <c r="B1003" s="629">
        <v>200</v>
      </c>
      <c r="C1003" s="628">
        <v>573000</v>
      </c>
      <c r="D1003" s="634">
        <v>202000</v>
      </c>
      <c r="E1003" s="628">
        <v>250000</v>
      </c>
      <c r="F1003" s="634">
        <v>312000</v>
      </c>
      <c r="G1003" s="628">
        <v>182000</v>
      </c>
      <c r="H1003" s="634">
        <v>182000</v>
      </c>
      <c r="I1003" s="633">
        <v>393000</v>
      </c>
      <c r="J1003" s="628"/>
      <c r="K1003" s="628"/>
      <c r="L1003" s="628"/>
      <c r="M1003" s="628"/>
      <c r="N1003" s="628"/>
      <c r="O1003" s="628"/>
      <c r="P1003" s="628"/>
      <c r="Q1003" s="628"/>
      <c r="R1003" s="628"/>
      <c r="S1003" s="628"/>
      <c r="T1003" s="628"/>
      <c r="U1003" s="628"/>
      <c r="V1003" s="628"/>
      <c r="W1003" s="628"/>
      <c r="X1003" s="628"/>
    </row>
    <row r="1004" spans="1:24" ht="17.399999999999999">
      <c r="A1004" s="629">
        <f t="shared" si="245"/>
        <v>4</v>
      </c>
      <c r="B1004" s="629">
        <v>300</v>
      </c>
      <c r="C1004" s="628">
        <v>606000</v>
      </c>
      <c r="D1004" s="634">
        <v>235000</v>
      </c>
      <c r="E1004" s="628">
        <v>278000</v>
      </c>
      <c r="F1004" s="634">
        <v>348000</v>
      </c>
      <c r="G1004" s="628">
        <v>199000</v>
      </c>
      <c r="H1004" s="634">
        <v>199000</v>
      </c>
      <c r="I1004" s="633">
        <v>558000</v>
      </c>
      <c r="J1004" s="628"/>
      <c r="K1004" s="628"/>
      <c r="L1004" s="628"/>
      <c r="M1004" s="628"/>
      <c r="N1004" s="628"/>
      <c r="O1004" s="628"/>
      <c r="P1004" s="628"/>
      <c r="Q1004" s="628"/>
      <c r="R1004" s="628"/>
      <c r="S1004" s="628"/>
      <c r="T1004" s="628"/>
      <c r="U1004" s="628"/>
      <c r="V1004" s="628"/>
      <c r="W1004" s="628"/>
      <c r="X1004" s="628"/>
    </row>
    <row r="1005" spans="1:24" ht="17.399999999999999">
      <c r="A1005" s="629">
        <f t="shared" si="245"/>
        <v>5</v>
      </c>
      <c r="B1005" s="629">
        <v>400</v>
      </c>
      <c r="C1005" s="628">
        <v>642000</v>
      </c>
      <c r="D1005" s="634">
        <v>265000</v>
      </c>
      <c r="E1005" s="628">
        <v>304000</v>
      </c>
      <c r="F1005" s="634">
        <v>382000</v>
      </c>
      <c r="G1005" s="628">
        <v>228000</v>
      </c>
      <c r="H1005" s="634">
        <v>228000</v>
      </c>
      <c r="I1005" s="633">
        <v>720000</v>
      </c>
      <c r="J1005" s="628"/>
      <c r="K1005" s="628"/>
      <c r="L1005" s="628"/>
      <c r="M1005" s="628"/>
      <c r="N1005" s="628"/>
      <c r="O1005" s="628"/>
      <c r="P1005" s="628"/>
      <c r="Q1005" s="628"/>
      <c r="R1005" s="628"/>
      <c r="S1005" s="628"/>
      <c r="T1005" s="628"/>
      <c r="U1005" s="628"/>
      <c r="V1005" s="628"/>
      <c r="W1005" s="628"/>
      <c r="X1005" s="628"/>
    </row>
    <row r="1006" spans="1:24" ht="17.399999999999999">
      <c r="A1006" s="629">
        <f t="shared" si="245"/>
        <v>6</v>
      </c>
      <c r="B1006" s="629">
        <v>500</v>
      </c>
      <c r="C1006" s="628">
        <v>744000</v>
      </c>
      <c r="D1006" s="634">
        <v>306000</v>
      </c>
      <c r="E1006" s="628">
        <v>401000</v>
      </c>
      <c r="F1006" s="634">
        <v>436000</v>
      </c>
      <c r="G1006" s="628">
        <v>267000</v>
      </c>
      <c r="H1006" s="634">
        <v>267000</v>
      </c>
      <c r="I1006" s="633">
        <v>885000</v>
      </c>
      <c r="J1006" s="628"/>
      <c r="K1006" s="628"/>
      <c r="L1006" s="628"/>
      <c r="M1006" s="628"/>
      <c r="N1006" s="628"/>
      <c r="O1006" s="628"/>
      <c r="P1006" s="628"/>
      <c r="Q1006" s="628"/>
      <c r="R1006" s="628"/>
      <c r="S1006" s="628"/>
      <c r="T1006" s="628"/>
      <c r="U1006" s="628"/>
      <c r="V1006" s="628"/>
      <c r="W1006" s="628"/>
      <c r="X1006" s="628"/>
    </row>
    <row r="1007" spans="1:24" ht="17.399999999999999">
      <c r="A1007" s="629">
        <f t="shared" si="245"/>
        <v>7</v>
      </c>
      <c r="B1007" s="629">
        <v>600</v>
      </c>
      <c r="C1007" s="628">
        <v>762000</v>
      </c>
      <c r="D1007" s="634">
        <v>347000</v>
      </c>
      <c r="E1007" s="628">
        <v>444000</v>
      </c>
      <c r="F1007" s="634">
        <v>483000</v>
      </c>
      <c r="G1007" s="628">
        <v>301000</v>
      </c>
      <c r="H1007" s="634">
        <v>301000</v>
      </c>
      <c r="I1007" s="633">
        <v>1047000</v>
      </c>
      <c r="J1007" s="628"/>
      <c r="K1007" s="628"/>
      <c r="L1007" s="628"/>
      <c r="M1007" s="628"/>
      <c r="N1007" s="628"/>
      <c r="O1007" s="628"/>
      <c r="P1007" s="628"/>
      <c r="Q1007" s="628"/>
      <c r="R1007" s="628"/>
      <c r="S1007" s="628"/>
      <c r="T1007" s="628"/>
      <c r="U1007" s="628"/>
      <c r="V1007" s="628"/>
      <c r="W1007" s="628"/>
      <c r="X1007" s="628"/>
    </row>
    <row r="1008" spans="1:24" ht="17.399999999999999">
      <c r="A1008" s="629">
        <f t="shared" si="245"/>
        <v>8</v>
      </c>
      <c r="B1008" s="629">
        <v>700</v>
      </c>
      <c r="C1008" s="628">
        <v>852000</v>
      </c>
      <c r="D1008" s="634">
        <v>389000</v>
      </c>
      <c r="E1008" s="628">
        <v>509000</v>
      </c>
      <c r="F1008" s="634">
        <v>531000</v>
      </c>
      <c r="G1008" s="628">
        <v>324000</v>
      </c>
      <c r="H1008" s="634">
        <v>324000</v>
      </c>
      <c r="I1008" s="633">
        <v>1212000</v>
      </c>
      <c r="J1008" s="628"/>
      <c r="K1008" s="628"/>
      <c r="L1008" s="628"/>
      <c r="M1008" s="628"/>
      <c r="N1008" s="628"/>
      <c r="O1008" s="628"/>
      <c r="P1008" s="628"/>
      <c r="Q1008" s="628"/>
      <c r="R1008" s="628"/>
      <c r="S1008" s="628"/>
      <c r="T1008" s="628"/>
      <c r="U1008" s="628"/>
      <c r="V1008" s="628"/>
      <c r="W1008" s="628"/>
      <c r="X1008" s="628"/>
    </row>
    <row r="1009" spans="1:24" ht="17.399999999999999">
      <c r="A1009" s="629">
        <f t="shared" si="245"/>
        <v>9</v>
      </c>
      <c r="B1009" s="629">
        <v>800</v>
      </c>
      <c r="C1009" s="628">
        <v>915000</v>
      </c>
      <c r="D1009" s="634">
        <v>429000</v>
      </c>
      <c r="E1009" s="628">
        <v>553000</v>
      </c>
      <c r="F1009" s="634">
        <v>635000</v>
      </c>
      <c r="G1009" s="628">
        <v>353000</v>
      </c>
      <c r="H1009" s="634">
        <v>353000</v>
      </c>
      <c r="I1009" s="633">
        <v>1374000</v>
      </c>
      <c r="J1009" s="628"/>
      <c r="K1009" s="628"/>
      <c r="L1009" s="628"/>
      <c r="M1009" s="628"/>
      <c r="N1009" s="628"/>
      <c r="O1009" s="628"/>
      <c r="P1009" s="628"/>
      <c r="Q1009" s="628"/>
      <c r="R1009" s="628"/>
      <c r="S1009" s="628"/>
      <c r="T1009" s="628"/>
      <c r="U1009" s="628"/>
      <c r="V1009" s="628"/>
      <c r="W1009" s="628"/>
      <c r="X1009" s="628"/>
    </row>
    <row r="1010" spans="1:24" ht="17.399999999999999">
      <c r="A1010" s="629">
        <f t="shared" si="245"/>
        <v>10</v>
      </c>
      <c r="B1010" s="629">
        <v>900</v>
      </c>
      <c r="C1010" s="628">
        <v>999000</v>
      </c>
      <c r="D1010" s="634">
        <v>470000</v>
      </c>
      <c r="E1010" s="628">
        <v>596000</v>
      </c>
      <c r="F1010" s="634">
        <v>717000</v>
      </c>
      <c r="G1010" s="628">
        <v>379000</v>
      </c>
      <c r="H1010" s="634">
        <v>379000</v>
      </c>
      <c r="I1010" s="633">
        <v>1473000</v>
      </c>
      <c r="J1010" s="628"/>
      <c r="K1010" s="628"/>
      <c r="L1010" s="628"/>
      <c r="M1010" s="628"/>
      <c r="N1010" s="628"/>
      <c r="O1010" s="628"/>
      <c r="P1010" s="628"/>
      <c r="Q1010" s="628"/>
      <c r="R1010" s="628"/>
      <c r="S1010" s="628"/>
      <c r="T1010" s="628"/>
      <c r="U1010" s="628"/>
      <c r="V1010" s="628"/>
      <c r="W1010" s="628"/>
      <c r="X1010" s="628"/>
    </row>
    <row r="1011" spans="1:24" ht="18" thickBot="1">
      <c r="A1011" s="635">
        <f t="shared" si="245"/>
        <v>11</v>
      </c>
      <c r="B1011" s="635">
        <v>1000</v>
      </c>
      <c r="C1011" s="636">
        <v>1056000</v>
      </c>
      <c r="D1011" s="637">
        <v>500000</v>
      </c>
      <c r="E1011" s="636">
        <v>636000</v>
      </c>
      <c r="F1011" s="637">
        <v>806000</v>
      </c>
      <c r="G1011" s="636">
        <v>409000</v>
      </c>
      <c r="H1011" s="637">
        <v>409000</v>
      </c>
      <c r="I1011" s="638">
        <v>1701000</v>
      </c>
      <c r="J1011" s="628"/>
      <c r="K1011" s="628"/>
      <c r="L1011" s="628"/>
      <c r="M1011" s="628"/>
      <c r="N1011" s="628"/>
      <c r="O1011" s="628"/>
      <c r="P1011" s="628"/>
      <c r="Q1011" s="628"/>
      <c r="R1011" s="628"/>
      <c r="S1011" s="628"/>
      <c r="T1011" s="628"/>
      <c r="U1011" s="628"/>
      <c r="V1011" s="628"/>
      <c r="W1011" s="628"/>
      <c r="X1011" s="628"/>
    </row>
    <row r="1012" spans="1:24" ht="17.399999999999999">
      <c r="A1012" s="52"/>
      <c r="B1012" s="52"/>
      <c r="J1012" s="628"/>
      <c r="K1012" s="628"/>
      <c r="L1012" s="628"/>
      <c r="M1012" s="628"/>
      <c r="N1012" s="628"/>
      <c r="O1012" s="628"/>
      <c r="P1012" s="628"/>
      <c r="Q1012" s="628"/>
      <c r="R1012" s="628"/>
      <c r="S1012" s="628"/>
      <c r="T1012" s="628"/>
      <c r="U1012" s="628"/>
      <c r="V1012" s="628"/>
      <c r="W1012" s="628"/>
      <c r="X1012" s="628"/>
    </row>
    <row r="1013" spans="1:24">
      <c r="A1013" s="52"/>
      <c r="B1013" s="52"/>
    </row>
    <row r="1014" spans="1:24" ht="17.399999999999999">
      <c r="A1014" s="625" t="s">
        <v>942</v>
      </c>
      <c r="B1014" s="626" t="s">
        <v>931</v>
      </c>
      <c r="C1014" s="628"/>
      <c r="D1014" s="628"/>
      <c r="E1014" s="627" t="s">
        <v>943</v>
      </c>
      <c r="F1014" s="628" t="s">
        <v>933</v>
      </c>
      <c r="G1014" s="628"/>
      <c r="H1014" s="628"/>
      <c r="I1014" s="628"/>
    </row>
    <row r="1015" spans="1:24" ht="18" thickBot="1">
      <c r="A1015" s="628"/>
      <c r="B1015" s="628"/>
      <c r="C1015" s="628"/>
      <c r="D1015" s="628"/>
      <c r="E1015" s="628"/>
      <c r="F1015" s="628"/>
      <c r="G1015" s="628"/>
      <c r="H1015" s="628"/>
      <c r="I1015" s="628"/>
    </row>
    <row r="1016" spans="1:24" ht="18" thickBot="1">
      <c r="A1016" s="57" t="s">
        <v>41</v>
      </c>
      <c r="B1016" s="58" t="s">
        <v>934</v>
      </c>
      <c r="C1016" s="57" t="s">
        <v>935</v>
      </c>
      <c r="D1016" s="58" t="s">
        <v>936</v>
      </c>
      <c r="E1016" s="57" t="s">
        <v>937</v>
      </c>
      <c r="F1016" s="58" t="s">
        <v>938</v>
      </c>
      <c r="G1016" s="57" t="s">
        <v>939</v>
      </c>
      <c r="H1016" s="58" t="s">
        <v>940</v>
      </c>
      <c r="I1016" s="57" t="s">
        <v>941</v>
      </c>
    </row>
    <row r="1017" spans="1:24" ht="17.399999999999999">
      <c r="A1017" s="629">
        <v>1</v>
      </c>
      <c r="B1017" s="630">
        <v>100</v>
      </c>
      <c r="C1017" s="628">
        <v>480000</v>
      </c>
      <c r="D1017" s="631">
        <v>155000</v>
      </c>
      <c r="E1017" s="628">
        <v>206000</v>
      </c>
      <c r="F1017" s="631">
        <v>260000</v>
      </c>
      <c r="G1017" s="628">
        <v>155000</v>
      </c>
      <c r="H1017" s="632" t="s">
        <v>476</v>
      </c>
      <c r="I1017" s="633">
        <v>297000</v>
      </c>
    </row>
    <row r="1018" spans="1:24" ht="17.399999999999999">
      <c r="A1018" s="629">
        <f>A1017+1</f>
        <v>2</v>
      </c>
      <c r="B1018" s="629">
        <f>B1017+50</f>
        <v>150</v>
      </c>
      <c r="C1018" s="628">
        <v>498000</v>
      </c>
      <c r="D1018" s="634">
        <v>173000</v>
      </c>
      <c r="E1018" s="628">
        <v>215000</v>
      </c>
      <c r="F1018" s="634">
        <v>269000</v>
      </c>
      <c r="G1018" s="628">
        <v>164000</v>
      </c>
      <c r="H1018" s="629">
        <v>164000</v>
      </c>
      <c r="I1018" s="633">
        <v>330000</v>
      </c>
    </row>
    <row r="1019" spans="1:24" ht="17.399999999999999">
      <c r="A1019" s="629">
        <f t="shared" ref="A1019:A1027" si="246">A1018+1</f>
        <v>3</v>
      </c>
      <c r="B1019" s="629">
        <v>200</v>
      </c>
      <c r="C1019" s="628">
        <v>513000</v>
      </c>
      <c r="D1019" s="634">
        <v>192000</v>
      </c>
      <c r="E1019" s="628">
        <v>238000</v>
      </c>
      <c r="F1019" s="634">
        <v>297000</v>
      </c>
      <c r="G1019" s="628">
        <v>173000</v>
      </c>
      <c r="H1019" s="634">
        <v>173000</v>
      </c>
      <c r="I1019" s="633">
        <v>393000</v>
      </c>
    </row>
    <row r="1020" spans="1:24" ht="17.399999999999999">
      <c r="A1020" s="629">
        <f t="shared" si="246"/>
        <v>4</v>
      </c>
      <c r="B1020" s="629">
        <v>300</v>
      </c>
      <c r="C1020" s="628">
        <v>567000</v>
      </c>
      <c r="D1020" s="634">
        <v>224000</v>
      </c>
      <c r="E1020" s="628">
        <v>265000</v>
      </c>
      <c r="F1020" s="634">
        <v>331000</v>
      </c>
      <c r="G1020" s="628">
        <v>190000</v>
      </c>
      <c r="H1020" s="634">
        <v>190000</v>
      </c>
      <c r="I1020" s="633">
        <v>558000</v>
      </c>
    </row>
    <row r="1021" spans="1:24" ht="17.399999999999999">
      <c r="A1021" s="629">
        <f t="shared" si="246"/>
        <v>5</v>
      </c>
      <c r="B1021" s="629">
        <v>400</v>
      </c>
      <c r="C1021" s="628">
        <v>600000</v>
      </c>
      <c r="D1021" s="634">
        <v>252000</v>
      </c>
      <c r="E1021" s="628">
        <v>289000</v>
      </c>
      <c r="F1021" s="634">
        <v>362000</v>
      </c>
      <c r="G1021" s="628">
        <v>217000</v>
      </c>
      <c r="H1021" s="634">
        <v>217000</v>
      </c>
      <c r="I1021" s="633">
        <v>720000</v>
      </c>
    </row>
    <row r="1022" spans="1:24" ht="17.399999999999999">
      <c r="A1022" s="629">
        <f t="shared" si="246"/>
        <v>6</v>
      </c>
      <c r="B1022" s="629">
        <v>500</v>
      </c>
      <c r="C1022" s="628">
        <v>693000</v>
      </c>
      <c r="D1022" s="634">
        <v>291000</v>
      </c>
      <c r="E1022" s="628">
        <v>381000</v>
      </c>
      <c r="F1022" s="634">
        <v>415000</v>
      </c>
      <c r="G1022" s="628">
        <v>254000</v>
      </c>
      <c r="H1022" s="634">
        <v>254000</v>
      </c>
      <c r="I1022" s="633">
        <v>885000</v>
      </c>
    </row>
    <row r="1023" spans="1:24" ht="17.399999999999999">
      <c r="A1023" s="629">
        <f t="shared" si="246"/>
        <v>7</v>
      </c>
      <c r="B1023" s="629">
        <v>600</v>
      </c>
      <c r="C1023" s="628">
        <v>708000</v>
      </c>
      <c r="D1023" s="634">
        <v>330000</v>
      </c>
      <c r="E1023" s="628">
        <v>422000</v>
      </c>
      <c r="F1023" s="634">
        <v>459000</v>
      </c>
      <c r="G1023" s="628">
        <v>286000</v>
      </c>
      <c r="H1023" s="634">
        <v>286000</v>
      </c>
      <c r="I1023" s="633">
        <v>1047000</v>
      </c>
    </row>
    <row r="1024" spans="1:24" ht="17.399999999999999">
      <c r="A1024" s="629">
        <f t="shared" si="246"/>
        <v>8</v>
      </c>
      <c r="B1024" s="629">
        <v>700</v>
      </c>
      <c r="C1024" s="628">
        <v>792000</v>
      </c>
      <c r="D1024" s="634">
        <v>370000</v>
      </c>
      <c r="E1024" s="628">
        <v>484000</v>
      </c>
      <c r="F1024" s="634">
        <v>505000</v>
      </c>
      <c r="G1024" s="628">
        <v>308000</v>
      </c>
      <c r="H1024" s="634">
        <v>308000</v>
      </c>
      <c r="I1024" s="633">
        <v>1212000</v>
      </c>
    </row>
    <row r="1025" spans="1:9" ht="17.399999999999999">
      <c r="A1025" s="629">
        <f t="shared" si="246"/>
        <v>9</v>
      </c>
      <c r="B1025" s="629">
        <v>800</v>
      </c>
      <c r="C1025" s="628">
        <v>852000</v>
      </c>
      <c r="D1025" s="634">
        <v>408000</v>
      </c>
      <c r="E1025" s="628">
        <v>526000</v>
      </c>
      <c r="F1025" s="634">
        <v>604000</v>
      </c>
      <c r="G1025" s="628">
        <v>336000</v>
      </c>
      <c r="H1025" s="634">
        <v>336000</v>
      </c>
      <c r="I1025" s="633">
        <v>1374000</v>
      </c>
    </row>
    <row r="1026" spans="1:9" ht="17.399999999999999">
      <c r="A1026" s="629">
        <f t="shared" si="246"/>
        <v>10</v>
      </c>
      <c r="B1026" s="629">
        <v>900</v>
      </c>
      <c r="C1026" s="628">
        <v>927000</v>
      </c>
      <c r="D1026" s="634">
        <v>447000</v>
      </c>
      <c r="E1026" s="628">
        <v>567000</v>
      </c>
      <c r="F1026" s="634">
        <v>682000</v>
      </c>
      <c r="G1026" s="628">
        <v>361000</v>
      </c>
      <c r="H1026" s="634">
        <v>361000</v>
      </c>
      <c r="I1026" s="633">
        <v>1473000</v>
      </c>
    </row>
    <row r="1027" spans="1:9" ht="18" thickBot="1">
      <c r="A1027" s="635">
        <f t="shared" si="246"/>
        <v>11</v>
      </c>
      <c r="B1027" s="635">
        <v>1000</v>
      </c>
      <c r="C1027" s="636">
        <v>981000</v>
      </c>
      <c r="D1027" s="637">
        <v>475000</v>
      </c>
      <c r="E1027" s="636">
        <v>605000</v>
      </c>
      <c r="F1027" s="637">
        <v>766000</v>
      </c>
      <c r="G1027" s="636">
        <v>389000</v>
      </c>
      <c r="H1027" s="637">
        <v>389000</v>
      </c>
      <c r="I1027" s="638">
        <v>1701000</v>
      </c>
    </row>
    <row r="1030" spans="1:9" ht="17.399999999999999">
      <c r="A1030" s="625" t="s">
        <v>944</v>
      </c>
      <c r="B1030" s="626" t="s">
        <v>945</v>
      </c>
      <c r="C1030" s="628"/>
      <c r="D1030" s="628"/>
      <c r="E1030" s="627" t="s">
        <v>946</v>
      </c>
      <c r="F1030" s="628" t="s">
        <v>933</v>
      </c>
      <c r="G1030" s="628"/>
      <c r="H1030" s="628"/>
      <c r="I1030" s="628"/>
    </row>
    <row r="1031" spans="1:9" ht="18" thickBot="1">
      <c r="A1031" s="628"/>
      <c r="B1031" s="628"/>
      <c r="C1031" s="628"/>
      <c r="D1031" s="628"/>
      <c r="E1031" s="628"/>
      <c r="F1031" s="628"/>
      <c r="G1031" s="628"/>
      <c r="H1031" s="628"/>
      <c r="I1031" s="628"/>
    </row>
    <row r="1032" spans="1:9" ht="18" thickBot="1">
      <c r="A1032" s="57" t="s">
        <v>41</v>
      </c>
      <c r="B1032" s="58" t="s">
        <v>934</v>
      </c>
      <c r="C1032" s="57" t="s">
        <v>935</v>
      </c>
      <c r="D1032" s="58" t="s">
        <v>936</v>
      </c>
      <c r="E1032" s="57" t="s">
        <v>937</v>
      </c>
      <c r="F1032" s="58" t="s">
        <v>938</v>
      </c>
      <c r="G1032" s="57" t="s">
        <v>939</v>
      </c>
      <c r="H1032" s="58" t="s">
        <v>940</v>
      </c>
      <c r="I1032" s="57" t="s">
        <v>941</v>
      </c>
    </row>
    <row r="1033" spans="1:9" ht="17.399999999999999">
      <c r="A1033" s="629">
        <v>1</v>
      </c>
      <c r="B1033" s="630">
        <v>100</v>
      </c>
      <c r="C1033" s="628">
        <v>597000</v>
      </c>
      <c r="D1033" s="631">
        <v>192000</v>
      </c>
      <c r="E1033" s="628">
        <v>250000</v>
      </c>
      <c r="F1033" s="631">
        <v>295000</v>
      </c>
      <c r="G1033" s="628">
        <v>182000</v>
      </c>
      <c r="H1033" s="632" t="s">
        <v>476</v>
      </c>
      <c r="I1033" s="633">
        <v>297000</v>
      </c>
    </row>
    <row r="1034" spans="1:9" ht="17.399999999999999">
      <c r="A1034" s="629">
        <f>A1033+1</f>
        <v>2</v>
      </c>
      <c r="B1034" s="629">
        <f>B1033+50</f>
        <v>150</v>
      </c>
      <c r="C1034" s="628">
        <v>615000</v>
      </c>
      <c r="D1034" s="634">
        <v>202000</v>
      </c>
      <c r="E1034" s="628">
        <v>260000</v>
      </c>
      <c r="F1034" s="634">
        <v>305000</v>
      </c>
      <c r="G1034" s="628">
        <v>192000</v>
      </c>
      <c r="H1034" s="629">
        <v>192000</v>
      </c>
      <c r="I1034" s="633">
        <v>330000</v>
      </c>
    </row>
    <row r="1035" spans="1:9" ht="17.399999999999999">
      <c r="A1035" s="629">
        <f t="shared" ref="A1035:A1043" si="247">A1034+1</f>
        <v>3</v>
      </c>
      <c r="B1035" s="629">
        <v>200</v>
      </c>
      <c r="C1035" s="628">
        <v>633000</v>
      </c>
      <c r="D1035" s="634">
        <v>225000</v>
      </c>
      <c r="E1035" s="628">
        <v>274000</v>
      </c>
      <c r="F1035" s="634">
        <v>352000</v>
      </c>
      <c r="G1035" s="628">
        <v>201000</v>
      </c>
      <c r="H1035" s="634">
        <v>201000</v>
      </c>
      <c r="I1035" s="633">
        <v>393000</v>
      </c>
    </row>
    <row r="1036" spans="1:9" ht="17.399999999999999">
      <c r="A1036" s="629">
        <f t="shared" si="247"/>
        <v>4</v>
      </c>
      <c r="B1036" s="629">
        <v>300</v>
      </c>
      <c r="C1036" s="628">
        <v>669000</v>
      </c>
      <c r="D1036" s="634">
        <v>258000</v>
      </c>
      <c r="E1036" s="628">
        <v>303000</v>
      </c>
      <c r="F1036" s="634">
        <v>389000</v>
      </c>
      <c r="G1036" s="628">
        <v>218000</v>
      </c>
      <c r="H1036" s="634">
        <v>218000</v>
      </c>
      <c r="I1036" s="633">
        <v>558000</v>
      </c>
    </row>
    <row r="1037" spans="1:9" ht="17.399999999999999">
      <c r="A1037" s="629">
        <f t="shared" si="247"/>
        <v>5</v>
      </c>
      <c r="B1037" s="629">
        <v>400</v>
      </c>
      <c r="C1037" s="628">
        <v>702000</v>
      </c>
      <c r="D1037" s="634">
        <v>304000</v>
      </c>
      <c r="E1037" s="628">
        <v>330000</v>
      </c>
      <c r="F1037" s="634">
        <v>426000</v>
      </c>
      <c r="G1037" s="628">
        <v>238000</v>
      </c>
      <c r="H1037" s="634">
        <v>238000</v>
      </c>
      <c r="I1037" s="633">
        <v>720000</v>
      </c>
    </row>
    <row r="1038" spans="1:9" ht="17.399999999999999">
      <c r="A1038" s="629">
        <f t="shared" si="247"/>
        <v>6</v>
      </c>
      <c r="B1038" s="629">
        <v>500</v>
      </c>
      <c r="C1038" s="628">
        <v>843000</v>
      </c>
      <c r="D1038" s="634">
        <v>339000</v>
      </c>
      <c r="E1038" s="628">
        <v>425000</v>
      </c>
      <c r="F1038" s="634">
        <v>475000</v>
      </c>
      <c r="G1038" s="628">
        <v>286000</v>
      </c>
      <c r="H1038" s="634">
        <v>286000</v>
      </c>
      <c r="I1038" s="633">
        <v>885000</v>
      </c>
    </row>
    <row r="1039" spans="1:9" ht="17.399999999999999">
      <c r="A1039" s="629">
        <f t="shared" si="247"/>
        <v>7</v>
      </c>
      <c r="B1039" s="629">
        <v>600</v>
      </c>
      <c r="C1039" s="628">
        <v>864000</v>
      </c>
      <c r="D1039" s="634">
        <v>384000</v>
      </c>
      <c r="E1039" s="628">
        <v>497000</v>
      </c>
      <c r="F1039" s="634">
        <v>551000</v>
      </c>
      <c r="G1039" s="628">
        <v>314000</v>
      </c>
      <c r="H1039" s="634">
        <v>314000</v>
      </c>
      <c r="I1039" s="633">
        <v>1047000</v>
      </c>
    </row>
    <row r="1040" spans="1:9" ht="17.399999999999999">
      <c r="A1040" s="629">
        <f t="shared" si="247"/>
        <v>8</v>
      </c>
      <c r="B1040" s="629">
        <v>700</v>
      </c>
      <c r="C1040" s="628">
        <v>918000</v>
      </c>
      <c r="D1040" s="634">
        <v>429000</v>
      </c>
      <c r="E1040" s="628">
        <v>533000</v>
      </c>
      <c r="F1040" s="634">
        <v>573000</v>
      </c>
      <c r="G1040" s="628">
        <v>343000</v>
      </c>
      <c r="H1040" s="634">
        <v>343000</v>
      </c>
      <c r="I1040" s="633">
        <v>1212000</v>
      </c>
    </row>
    <row r="1041" spans="1:49" ht="17.399999999999999">
      <c r="A1041" s="629">
        <f t="shared" si="247"/>
        <v>9</v>
      </c>
      <c r="B1041" s="629">
        <v>800</v>
      </c>
      <c r="C1041" s="628">
        <v>1014000</v>
      </c>
      <c r="D1041" s="634">
        <v>476000</v>
      </c>
      <c r="E1041" s="628">
        <v>579000</v>
      </c>
      <c r="F1041" s="634">
        <v>655000</v>
      </c>
      <c r="G1041" s="628">
        <v>371000</v>
      </c>
      <c r="H1041" s="634">
        <v>371000</v>
      </c>
      <c r="I1041" s="633">
        <v>1374000</v>
      </c>
    </row>
    <row r="1042" spans="1:49" ht="17.399999999999999">
      <c r="A1042" s="629">
        <f t="shared" si="247"/>
        <v>10</v>
      </c>
      <c r="B1042" s="629">
        <v>900</v>
      </c>
      <c r="C1042" s="628">
        <v>1068000</v>
      </c>
      <c r="D1042" s="634">
        <v>529000</v>
      </c>
      <c r="E1042" s="628">
        <v>623000</v>
      </c>
      <c r="F1042" s="634">
        <v>813000</v>
      </c>
      <c r="G1042" s="628">
        <v>399000</v>
      </c>
      <c r="H1042" s="634">
        <v>399000</v>
      </c>
      <c r="I1042" s="633">
        <v>1473000</v>
      </c>
    </row>
    <row r="1043" spans="1:49" ht="18" thickBot="1">
      <c r="A1043" s="635">
        <f t="shared" si="247"/>
        <v>11</v>
      </c>
      <c r="B1043" s="635">
        <v>1000</v>
      </c>
      <c r="C1043" s="636">
        <v>1125000</v>
      </c>
      <c r="D1043" s="637">
        <v>574000</v>
      </c>
      <c r="E1043" s="636">
        <v>668000</v>
      </c>
      <c r="F1043" s="637">
        <v>872000</v>
      </c>
      <c r="G1043" s="636">
        <v>427000</v>
      </c>
      <c r="H1043" s="637">
        <v>417000</v>
      </c>
      <c r="I1043" s="638">
        <v>1701000</v>
      </c>
    </row>
    <row r="1046" spans="1:49" ht="17.399999999999999">
      <c r="A1046" s="60" t="s">
        <v>947</v>
      </c>
      <c r="B1046" s="626" t="s">
        <v>948</v>
      </c>
      <c r="C1046" s="628"/>
      <c r="D1046" s="628"/>
      <c r="E1046" s="627" t="s">
        <v>946</v>
      </c>
      <c r="F1046" s="628" t="s">
        <v>933</v>
      </c>
      <c r="G1046" s="628"/>
      <c r="H1046" s="628"/>
      <c r="I1046" s="628"/>
    </row>
    <row r="1047" spans="1:49" ht="18" thickBot="1">
      <c r="A1047" s="628"/>
      <c r="B1047" s="628"/>
      <c r="C1047" s="628"/>
      <c r="D1047" s="628"/>
      <c r="E1047" s="628"/>
      <c r="F1047" s="628"/>
      <c r="G1047" s="628"/>
      <c r="H1047" s="628"/>
      <c r="I1047" s="628"/>
    </row>
    <row r="1048" spans="1:49" ht="18" thickBot="1">
      <c r="A1048" s="57" t="s">
        <v>41</v>
      </c>
      <c r="B1048" s="58" t="s">
        <v>934</v>
      </c>
      <c r="C1048" s="57" t="s">
        <v>935</v>
      </c>
      <c r="D1048" s="58" t="s">
        <v>936</v>
      </c>
      <c r="E1048" s="57" t="s">
        <v>937</v>
      </c>
      <c r="F1048" s="58" t="s">
        <v>938</v>
      </c>
      <c r="G1048" s="57" t="s">
        <v>939</v>
      </c>
      <c r="H1048" s="58" t="s">
        <v>940</v>
      </c>
      <c r="I1048" s="57" t="s">
        <v>941</v>
      </c>
      <c r="Y1048" s="628"/>
    </row>
    <row r="1049" spans="1:49" ht="17.399999999999999">
      <c r="A1049" s="629">
        <v>1</v>
      </c>
      <c r="B1049" s="630">
        <v>100</v>
      </c>
      <c r="C1049" s="628">
        <v>588000</v>
      </c>
      <c r="D1049" s="631">
        <v>250000</v>
      </c>
      <c r="E1049" s="628">
        <v>305000</v>
      </c>
      <c r="F1049" s="631">
        <v>350000</v>
      </c>
      <c r="G1049" s="628">
        <v>160000</v>
      </c>
      <c r="H1049" s="632" t="s">
        <v>476</v>
      </c>
      <c r="I1049" s="633">
        <v>297000</v>
      </c>
      <c r="Y1049" s="628"/>
    </row>
    <row r="1050" spans="1:49" ht="17.399999999999999">
      <c r="A1050" s="629">
        <f>A1049+1</f>
        <v>2</v>
      </c>
      <c r="B1050" s="629">
        <f>B1049+50</f>
        <v>150</v>
      </c>
      <c r="C1050" s="628">
        <v>654000</v>
      </c>
      <c r="D1050" s="634">
        <v>279000</v>
      </c>
      <c r="E1050" s="628">
        <v>349000</v>
      </c>
      <c r="F1050" s="634">
        <v>402000</v>
      </c>
      <c r="G1050" s="628">
        <v>190000</v>
      </c>
      <c r="H1050" s="629">
        <v>170000</v>
      </c>
      <c r="I1050" s="633">
        <v>330000</v>
      </c>
      <c r="Y1050" s="628"/>
    </row>
    <row r="1051" spans="1:49" ht="17.399999999999999">
      <c r="A1051" s="629">
        <f t="shared" ref="A1051:A1059" si="248">A1050+1</f>
        <v>3</v>
      </c>
      <c r="B1051" s="629">
        <v>200</v>
      </c>
      <c r="C1051" s="628">
        <v>720000</v>
      </c>
      <c r="D1051" s="634">
        <v>348000</v>
      </c>
      <c r="E1051" s="628">
        <v>398000</v>
      </c>
      <c r="F1051" s="634">
        <v>463000</v>
      </c>
      <c r="G1051" s="628">
        <v>241000</v>
      </c>
      <c r="H1051" s="634">
        <v>207000</v>
      </c>
      <c r="I1051" s="633">
        <v>393000</v>
      </c>
      <c r="Y1051" s="628"/>
    </row>
    <row r="1052" spans="1:49" ht="17.399999999999999">
      <c r="A1052" s="629">
        <f t="shared" si="248"/>
        <v>4</v>
      </c>
      <c r="B1052" s="629">
        <v>300</v>
      </c>
      <c r="C1052" s="628">
        <v>885000</v>
      </c>
      <c r="D1052" s="634">
        <v>413000</v>
      </c>
      <c r="E1052" s="628">
        <v>463000</v>
      </c>
      <c r="F1052" s="634">
        <v>511000</v>
      </c>
      <c r="G1052" s="628">
        <v>296000</v>
      </c>
      <c r="H1052" s="634">
        <v>262000</v>
      </c>
      <c r="I1052" s="633">
        <v>558000</v>
      </c>
      <c r="Y1052" s="628"/>
    </row>
    <row r="1053" spans="1:49" ht="17.399999999999999">
      <c r="A1053" s="629">
        <f t="shared" si="248"/>
        <v>5</v>
      </c>
      <c r="B1053" s="629">
        <v>400</v>
      </c>
      <c r="C1053" s="628">
        <v>1047000</v>
      </c>
      <c r="D1053" s="634">
        <v>446000</v>
      </c>
      <c r="E1053" s="628">
        <v>486000</v>
      </c>
      <c r="F1053" s="634">
        <v>646000</v>
      </c>
      <c r="G1053" s="628">
        <v>348000</v>
      </c>
      <c r="H1053" s="634">
        <v>314000</v>
      </c>
      <c r="I1053" s="633">
        <v>720000</v>
      </c>
      <c r="Y1053" s="628"/>
    </row>
    <row r="1054" spans="1:49" ht="17.399999999999999">
      <c r="A1054" s="629">
        <f t="shared" si="248"/>
        <v>6</v>
      </c>
      <c r="B1054" s="629">
        <v>500</v>
      </c>
      <c r="C1054" s="628">
        <v>1212000</v>
      </c>
      <c r="D1054" s="634">
        <v>470000</v>
      </c>
      <c r="E1054" s="628">
        <v>556000</v>
      </c>
      <c r="F1054" s="634">
        <v>741000</v>
      </c>
      <c r="G1054" s="628">
        <v>401000</v>
      </c>
      <c r="H1054" s="634">
        <v>367000</v>
      </c>
      <c r="I1054" s="633">
        <v>885000</v>
      </c>
      <c r="Y1054" s="628"/>
    </row>
    <row r="1055" spans="1:49" ht="17.399999999999999">
      <c r="A1055" s="629">
        <f t="shared" si="248"/>
        <v>7</v>
      </c>
      <c r="B1055" s="629">
        <v>600</v>
      </c>
      <c r="C1055" s="628">
        <v>1374000</v>
      </c>
      <c r="D1055" s="634">
        <v>556000</v>
      </c>
      <c r="E1055" s="628">
        <v>629000</v>
      </c>
      <c r="F1055" s="634">
        <v>825000</v>
      </c>
      <c r="G1055" s="628">
        <v>449000</v>
      </c>
      <c r="H1055" s="634">
        <v>415000</v>
      </c>
      <c r="I1055" s="633">
        <v>1047000</v>
      </c>
      <c r="Y1055" s="628"/>
      <c r="AN1055" s="628"/>
      <c r="AO1055" s="628"/>
      <c r="AP1055" s="628"/>
      <c r="AQ1055" s="628"/>
      <c r="AR1055" s="628"/>
      <c r="AS1055" s="628"/>
      <c r="AT1055" s="628"/>
      <c r="AU1055" s="628"/>
      <c r="AV1055" s="628"/>
      <c r="AW1055" s="628"/>
    </row>
    <row r="1056" spans="1:49" ht="17.399999999999999">
      <c r="A1056" s="629">
        <f t="shared" si="248"/>
        <v>8</v>
      </c>
      <c r="B1056" s="629">
        <v>700</v>
      </c>
      <c r="C1056" s="628">
        <v>1962000</v>
      </c>
      <c r="D1056" s="634">
        <v>695000</v>
      </c>
      <c r="E1056" s="628">
        <v>755000</v>
      </c>
      <c r="F1056" s="634">
        <v>928000</v>
      </c>
      <c r="G1056" s="628">
        <v>500000</v>
      </c>
      <c r="H1056" s="634">
        <v>466000</v>
      </c>
      <c r="I1056" s="633">
        <v>1212000</v>
      </c>
      <c r="Y1056" s="628"/>
      <c r="AN1056" s="628"/>
      <c r="AO1056" s="628"/>
      <c r="AP1056" s="628"/>
      <c r="AQ1056" s="628"/>
      <c r="AR1056" s="628"/>
      <c r="AS1056" s="628"/>
      <c r="AT1056" s="628"/>
      <c r="AU1056" s="628"/>
      <c r="AV1056" s="628"/>
      <c r="AW1056" s="628"/>
    </row>
    <row r="1057" spans="1:123" ht="17.399999999999999">
      <c r="A1057" s="629">
        <f t="shared" si="248"/>
        <v>9</v>
      </c>
      <c r="B1057" s="629">
        <v>800</v>
      </c>
      <c r="C1057" s="628">
        <v>2094000</v>
      </c>
      <c r="D1057" s="634">
        <v>764000</v>
      </c>
      <c r="E1057" s="628">
        <v>832000</v>
      </c>
      <c r="F1057" s="634">
        <v>996000</v>
      </c>
      <c r="G1057" s="628">
        <v>550000</v>
      </c>
      <c r="H1057" s="634">
        <v>516000</v>
      </c>
      <c r="I1057" s="633">
        <v>1374000</v>
      </c>
      <c r="Y1057" s="628"/>
      <c r="AN1057" s="628"/>
      <c r="AO1057" s="628"/>
      <c r="AP1057" s="628"/>
      <c r="AQ1057" s="628"/>
      <c r="AR1057" s="628"/>
      <c r="AS1057" s="628"/>
      <c r="AT1057" s="628"/>
      <c r="AU1057" s="628"/>
      <c r="AV1057" s="628"/>
      <c r="AW1057" s="628"/>
    </row>
    <row r="1058" spans="1:123" ht="17.399999999999999">
      <c r="A1058" s="629">
        <f t="shared" si="248"/>
        <v>10</v>
      </c>
      <c r="B1058" s="629">
        <v>900</v>
      </c>
      <c r="C1058" s="628">
        <v>2256000</v>
      </c>
      <c r="D1058" s="634">
        <v>806000</v>
      </c>
      <c r="E1058" s="628">
        <v>882000</v>
      </c>
      <c r="F1058" s="634">
        <v>1055000</v>
      </c>
      <c r="G1058" s="628">
        <v>590000</v>
      </c>
      <c r="H1058" s="634">
        <v>555000</v>
      </c>
      <c r="I1058" s="633">
        <v>1473000</v>
      </c>
      <c r="Y1058" s="628"/>
      <c r="AA1058" s="628"/>
      <c r="AB1058" s="628"/>
      <c r="AC1058" s="628"/>
      <c r="AD1058" s="628"/>
      <c r="AE1058" s="628"/>
      <c r="AF1058" s="628"/>
      <c r="AG1058" s="628"/>
      <c r="AH1058" s="628"/>
      <c r="AI1058" s="628"/>
      <c r="AJ1058" s="628"/>
      <c r="AN1058" s="628"/>
      <c r="AO1058" s="628"/>
      <c r="AP1058" s="628"/>
      <c r="AQ1058" s="628"/>
      <c r="AR1058" s="628"/>
      <c r="AS1058" s="628"/>
      <c r="AT1058" s="628"/>
      <c r="AU1058" s="628"/>
      <c r="AV1058" s="628"/>
      <c r="AW1058" s="628"/>
      <c r="CG1058" s="628"/>
    </row>
    <row r="1059" spans="1:123" ht="18" thickBot="1">
      <c r="A1059" s="635">
        <f t="shared" si="248"/>
        <v>11</v>
      </c>
      <c r="B1059" s="635">
        <v>1000</v>
      </c>
      <c r="C1059" s="636">
        <v>2418000</v>
      </c>
      <c r="D1059" s="637">
        <v>900000</v>
      </c>
      <c r="E1059" s="636">
        <v>965000</v>
      </c>
      <c r="F1059" s="637">
        <v>1126000</v>
      </c>
      <c r="G1059" s="636">
        <v>695000</v>
      </c>
      <c r="H1059" s="637">
        <v>661000</v>
      </c>
      <c r="I1059" s="638">
        <v>1701000</v>
      </c>
      <c r="Y1059" s="628"/>
      <c r="AA1059" s="628"/>
      <c r="AB1059" s="628"/>
      <c r="AC1059" s="628"/>
      <c r="AD1059" s="628"/>
      <c r="AE1059" s="628"/>
      <c r="AF1059" s="628"/>
      <c r="AG1059" s="628"/>
      <c r="AH1059" s="628"/>
      <c r="AI1059" s="628"/>
      <c r="AJ1059" s="628"/>
      <c r="AN1059" s="628"/>
      <c r="AO1059" s="628"/>
      <c r="AP1059" s="628"/>
      <c r="AQ1059" s="628"/>
      <c r="AR1059" s="628"/>
      <c r="AS1059" s="628"/>
      <c r="AT1059" s="628"/>
      <c r="AU1059" s="628"/>
      <c r="AV1059" s="628"/>
      <c r="AW1059" s="628"/>
      <c r="BD1059" s="628"/>
      <c r="BE1059" s="628"/>
      <c r="BF1059" s="628"/>
      <c r="BK1059" s="628"/>
      <c r="BL1059" s="628"/>
      <c r="BM1059" s="628"/>
      <c r="CG1059" s="628"/>
    </row>
    <row r="1060" spans="1:123" ht="17.399999999999999">
      <c r="Y1060" s="628"/>
      <c r="AA1060" s="628"/>
      <c r="AB1060" s="628"/>
      <c r="AC1060" s="628"/>
      <c r="AD1060" s="628"/>
      <c r="AE1060" s="628"/>
      <c r="AF1060" s="628"/>
      <c r="AG1060" s="628"/>
      <c r="AH1060" s="628"/>
      <c r="AI1060" s="628"/>
      <c r="AJ1060" s="628"/>
      <c r="AN1060" s="628"/>
      <c r="AO1060" s="628"/>
      <c r="AP1060" s="628"/>
      <c r="AQ1060" s="628"/>
      <c r="AR1060" s="628"/>
      <c r="AS1060" s="628"/>
      <c r="AT1060" s="628"/>
      <c r="AU1060" s="628"/>
      <c r="AV1060" s="628"/>
      <c r="AW1060" s="628"/>
      <c r="BD1060" s="628"/>
      <c r="BE1060" s="628"/>
      <c r="BF1060" s="628"/>
      <c r="BK1060" s="628"/>
      <c r="BL1060" s="628"/>
      <c r="BM1060" s="628"/>
      <c r="CG1060" s="628"/>
    </row>
    <row r="1061" spans="1:123" ht="17.399999999999999">
      <c r="A1061" s="60" t="s">
        <v>949</v>
      </c>
      <c r="B1061" s="626" t="s">
        <v>948</v>
      </c>
      <c r="C1061" s="628"/>
      <c r="D1061" s="628"/>
      <c r="E1061" s="627" t="s">
        <v>950</v>
      </c>
      <c r="F1061" s="628" t="s">
        <v>933</v>
      </c>
      <c r="G1061" s="628"/>
      <c r="H1061" s="628"/>
      <c r="I1061" s="628"/>
      <c r="Y1061" s="628"/>
      <c r="AA1061" s="628"/>
      <c r="AB1061" s="628"/>
      <c r="AC1061" s="628"/>
      <c r="AD1061" s="628"/>
      <c r="AE1061" s="628"/>
      <c r="AF1061" s="628"/>
      <c r="AG1061" s="628"/>
      <c r="AH1061" s="628"/>
      <c r="AI1061" s="628"/>
      <c r="AJ1061" s="628"/>
      <c r="AN1061" s="628"/>
      <c r="AO1061" s="628"/>
      <c r="AP1061" s="628"/>
      <c r="AQ1061" s="628"/>
      <c r="AR1061" s="628"/>
      <c r="AS1061" s="628"/>
      <c r="AT1061" s="628"/>
      <c r="AU1061" s="628"/>
      <c r="AV1061" s="628"/>
      <c r="AW1061" s="628"/>
      <c r="BD1061" s="628"/>
      <c r="BE1061" s="628"/>
      <c r="BF1061" s="628"/>
      <c r="BK1061" s="628"/>
      <c r="BL1061" s="628"/>
      <c r="BM1061" s="628"/>
      <c r="CG1061" s="628"/>
    </row>
    <row r="1062" spans="1:123" ht="18" thickBot="1">
      <c r="A1062" s="628"/>
      <c r="B1062" s="628"/>
      <c r="C1062" s="628"/>
      <c r="D1062" s="628"/>
      <c r="E1062" s="628"/>
      <c r="F1062" s="628"/>
      <c r="G1062" s="628"/>
      <c r="H1062" s="628"/>
      <c r="I1062" s="628"/>
      <c r="AA1062" s="628"/>
      <c r="AB1062" s="628"/>
      <c r="AC1062" s="628"/>
      <c r="AD1062" s="628"/>
      <c r="AE1062" s="628"/>
      <c r="AF1062" s="628"/>
      <c r="AG1062" s="628"/>
      <c r="AH1062" s="628"/>
      <c r="AI1062" s="628"/>
      <c r="AJ1062" s="628"/>
      <c r="AN1062" s="628"/>
      <c r="AO1062" s="628"/>
      <c r="AP1062" s="628"/>
      <c r="AQ1062" s="628"/>
      <c r="AR1062" s="628"/>
      <c r="AS1062" s="628"/>
      <c r="AT1062" s="628"/>
      <c r="AU1062" s="628"/>
      <c r="AV1062" s="628"/>
      <c r="AW1062" s="628"/>
      <c r="BD1062" s="628"/>
      <c r="BE1062" s="628"/>
      <c r="BF1062" s="628"/>
      <c r="BK1062" s="628"/>
      <c r="BL1062" s="628"/>
      <c r="BM1062" s="628"/>
      <c r="CG1062" s="628"/>
    </row>
    <row r="1063" spans="1:123" ht="18" thickBot="1">
      <c r="A1063" s="57" t="s">
        <v>41</v>
      </c>
      <c r="B1063" s="58" t="s">
        <v>934</v>
      </c>
      <c r="C1063" s="57" t="s">
        <v>935</v>
      </c>
      <c r="D1063" s="58" t="s">
        <v>936</v>
      </c>
      <c r="E1063" s="57" t="s">
        <v>937</v>
      </c>
      <c r="F1063" s="58" t="s">
        <v>938</v>
      </c>
      <c r="G1063" s="57" t="s">
        <v>939</v>
      </c>
      <c r="H1063" s="58" t="s">
        <v>940</v>
      </c>
      <c r="I1063" s="57" t="s">
        <v>941</v>
      </c>
      <c r="AA1063" s="628"/>
      <c r="AB1063" s="628"/>
      <c r="AC1063" s="628"/>
      <c r="AD1063" s="628"/>
      <c r="AE1063" s="628"/>
      <c r="AF1063" s="628"/>
      <c r="AG1063" s="628"/>
      <c r="AH1063" s="628"/>
      <c r="AI1063" s="628"/>
      <c r="AJ1063" s="628"/>
      <c r="AN1063" s="628"/>
      <c r="AO1063" s="628"/>
      <c r="AP1063" s="628"/>
      <c r="AQ1063" s="628"/>
      <c r="AR1063" s="628"/>
      <c r="AS1063" s="628"/>
      <c r="AT1063" s="628"/>
      <c r="AU1063" s="628"/>
      <c r="AV1063" s="628"/>
      <c r="AW1063" s="628"/>
      <c r="BD1063" s="628"/>
      <c r="BE1063" s="628"/>
      <c r="BF1063" s="628"/>
      <c r="BK1063" s="628"/>
      <c r="BL1063" s="628"/>
      <c r="BM1063" s="628"/>
      <c r="CG1063" s="628"/>
    </row>
    <row r="1064" spans="1:123" ht="17.399999999999999">
      <c r="A1064" s="629">
        <v>1</v>
      </c>
      <c r="B1064" s="630">
        <v>100</v>
      </c>
      <c r="C1064" s="628">
        <v>393000</v>
      </c>
      <c r="D1064" s="631">
        <v>180000</v>
      </c>
      <c r="E1064" s="628">
        <v>232000</v>
      </c>
      <c r="F1064" s="631">
        <v>302000</v>
      </c>
      <c r="G1064" s="628">
        <v>150000</v>
      </c>
      <c r="H1064" s="632" t="s">
        <v>476</v>
      </c>
      <c r="I1064" s="633">
        <v>297000</v>
      </c>
      <c r="AA1064" s="628"/>
      <c r="AB1064" s="628"/>
      <c r="AC1064" s="628"/>
      <c r="AD1064" s="628"/>
      <c r="AE1064" s="628"/>
      <c r="AF1064" s="628"/>
      <c r="AG1064" s="628"/>
      <c r="AH1064" s="628"/>
      <c r="AI1064" s="628"/>
      <c r="AJ1064" s="628"/>
      <c r="AN1064" s="628"/>
      <c r="AO1064" s="628"/>
      <c r="AP1064" s="628"/>
      <c r="AQ1064" s="628"/>
      <c r="AR1064" s="628"/>
      <c r="AS1064" s="628"/>
      <c r="AT1064" s="628"/>
      <c r="AU1064" s="628"/>
      <c r="AV1064" s="628"/>
      <c r="AW1064" s="628"/>
      <c r="BD1064" s="628"/>
      <c r="BE1064" s="628"/>
      <c r="BF1064" s="628"/>
      <c r="BK1064" s="628"/>
      <c r="BL1064" s="628"/>
      <c r="BM1064" s="628"/>
      <c r="CG1064" s="628"/>
      <c r="CH1064" s="628"/>
      <c r="CI1064" s="628"/>
      <c r="CJ1064" s="628"/>
      <c r="CK1064" s="628"/>
      <c r="CL1064" s="628"/>
    </row>
    <row r="1065" spans="1:123" ht="17.399999999999999">
      <c r="A1065" s="629">
        <f>A1064+1</f>
        <v>2</v>
      </c>
      <c r="B1065" s="629">
        <f>B1064+50</f>
        <v>150</v>
      </c>
      <c r="C1065" s="628">
        <v>492000</v>
      </c>
      <c r="D1065" s="634">
        <v>219000</v>
      </c>
      <c r="E1065" s="628">
        <v>257000</v>
      </c>
      <c r="F1065" s="634">
        <v>333000</v>
      </c>
      <c r="G1065" s="628">
        <v>175000</v>
      </c>
      <c r="H1065" s="629">
        <v>150000</v>
      </c>
      <c r="I1065" s="633">
        <v>330000</v>
      </c>
      <c r="Z1065" s="628"/>
      <c r="AA1065" s="628"/>
      <c r="AB1065" s="628"/>
      <c r="AC1065" s="628"/>
      <c r="AD1065" s="628"/>
      <c r="AE1065" s="628"/>
      <c r="AF1065" s="628"/>
      <c r="AG1065" s="628"/>
      <c r="AH1065" s="628"/>
      <c r="AI1065" s="628"/>
      <c r="AJ1065" s="628"/>
      <c r="AN1065" s="628"/>
      <c r="AO1065" s="628"/>
      <c r="AP1065" s="628"/>
      <c r="AQ1065" s="628"/>
      <c r="AR1065" s="628"/>
      <c r="AS1065" s="628"/>
      <c r="AT1065" s="628"/>
      <c r="AU1065" s="628"/>
      <c r="AV1065" s="628"/>
      <c r="AW1065" s="628"/>
      <c r="BD1065" s="628"/>
      <c r="BE1065" s="628"/>
      <c r="BF1065" s="628"/>
      <c r="BK1065" s="628"/>
      <c r="BL1065" s="628"/>
      <c r="BM1065" s="628"/>
      <c r="CG1065" s="628"/>
      <c r="CH1065" s="628"/>
      <c r="CI1065" s="628"/>
      <c r="CJ1065" s="628"/>
      <c r="CK1065" s="628"/>
      <c r="CL1065" s="628"/>
    </row>
    <row r="1066" spans="1:123" ht="17.399999999999999">
      <c r="A1066" s="629">
        <f t="shared" ref="A1066:A1074" si="249">A1065+1</f>
        <v>3</v>
      </c>
      <c r="B1066" s="629">
        <v>200</v>
      </c>
      <c r="C1066" s="628">
        <v>582000</v>
      </c>
      <c r="D1066" s="634">
        <v>275000</v>
      </c>
      <c r="E1066" s="628">
        <v>326000</v>
      </c>
      <c r="F1066" s="634">
        <v>456000</v>
      </c>
      <c r="G1066" s="628">
        <v>210000</v>
      </c>
      <c r="H1066" s="634">
        <v>183000</v>
      </c>
      <c r="I1066" s="633">
        <v>393000</v>
      </c>
      <c r="Z1066" s="628"/>
      <c r="AA1066" s="628"/>
      <c r="AB1066" s="628"/>
      <c r="AC1066" s="628"/>
      <c r="AD1066" s="628"/>
      <c r="AE1066" s="628"/>
      <c r="AF1066" s="628"/>
      <c r="AG1066" s="628"/>
      <c r="AH1066" s="628"/>
      <c r="AI1066" s="628"/>
      <c r="AJ1066" s="628"/>
      <c r="AN1066" s="628"/>
      <c r="AO1066" s="628"/>
      <c r="AP1066" s="628"/>
      <c r="AQ1066" s="628"/>
      <c r="AR1066" s="628"/>
      <c r="AS1066" s="628"/>
      <c r="AT1066" s="628"/>
      <c r="AU1066" s="628"/>
      <c r="AV1066" s="628"/>
      <c r="AW1066" s="628"/>
      <c r="BD1066" s="628"/>
      <c r="BE1066" s="628"/>
      <c r="BF1066" s="628"/>
      <c r="BK1066" s="628"/>
      <c r="BL1066" s="628"/>
      <c r="BM1066" s="628"/>
      <c r="CG1066" s="628"/>
      <c r="CH1066" s="628"/>
      <c r="CI1066" s="628"/>
      <c r="CJ1066" s="628"/>
      <c r="CK1066" s="628"/>
      <c r="CL1066" s="628"/>
    </row>
    <row r="1067" spans="1:123" ht="17.399999999999999">
      <c r="A1067" s="629">
        <f t="shared" si="249"/>
        <v>4</v>
      </c>
      <c r="B1067" s="629">
        <v>300</v>
      </c>
      <c r="C1067" s="628">
        <v>720000</v>
      </c>
      <c r="D1067" s="634">
        <v>347000</v>
      </c>
      <c r="E1067" s="628">
        <v>398000</v>
      </c>
      <c r="F1067" s="634">
        <v>477000</v>
      </c>
      <c r="G1067" s="628">
        <v>263000</v>
      </c>
      <c r="H1067" s="634">
        <v>236000</v>
      </c>
      <c r="I1067" s="633">
        <v>558000</v>
      </c>
      <c r="Z1067" s="628"/>
      <c r="AA1067" s="628"/>
      <c r="AB1067" s="628"/>
      <c r="AC1067" s="628"/>
      <c r="AD1067" s="628"/>
      <c r="AE1067" s="628"/>
      <c r="AF1067" s="628"/>
      <c r="AG1067" s="628"/>
      <c r="AH1067" s="628"/>
      <c r="AI1067" s="628"/>
      <c r="AJ1067" s="628"/>
      <c r="AN1067" s="628"/>
      <c r="AO1067" s="628"/>
      <c r="AP1067" s="628"/>
      <c r="AQ1067" s="628"/>
      <c r="AR1067" s="628"/>
      <c r="AS1067" s="628"/>
      <c r="AT1067" s="628"/>
      <c r="AU1067" s="628"/>
      <c r="AV1067" s="628"/>
      <c r="AW1067" s="628"/>
      <c r="BD1067" s="628"/>
      <c r="BE1067" s="628"/>
      <c r="BF1067" s="628"/>
      <c r="BK1067" s="628"/>
      <c r="BL1067" s="628"/>
      <c r="BM1067" s="628"/>
      <c r="CG1067" s="628"/>
      <c r="CH1067" s="628"/>
      <c r="CI1067" s="628"/>
      <c r="CJ1067" s="628"/>
      <c r="CK1067" s="628"/>
      <c r="CL1067" s="628"/>
      <c r="CM1067" s="628"/>
    </row>
    <row r="1068" spans="1:123" s="628" customFormat="1" ht="24.9" customHeight="1">
      <c r="A1068" s="629">
        <f t="shared" si="249"/>
        <v>5</v>
      </c>
      <c r="B1068" s="629">
        <v>400</v>
      </c>
      <c r="C1068" s="628">
        <v>885000</v>
      </c>
      <c r="D1068" s="634">
        <v>413000</v>
      </c>
      <c r="E1068" s="628">
        <v>441000</v>
      </c>
      <c r="F1068" s="634">
        <v>573000</v>
      </c>
      <c r="G1068" s="628">
        <v>312000</v>
      </c>
      <c r="H1068" s="634">
        <v>281000</v>
      </c>
      <c r="I1068" s="633">
        <v>720000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Z1068" s="1"/>
      <c r="DA1068" s="1"/>
      <c r="DB1068" s="1"/>
      <c r="DC1068" s="1"/>
      <c r="DD1068" s="1"/>
      <c r="DE1068" s="1"/>
      <c r="DF1068" s="1"/>
      <c r="DG1068" s="1"/>
      <c r="DH1068" s="1"/>
      <c r="DK1068" s="1"/>
      <c r="DL1068" s="1"/>
      <c r="DM1068" s="1"/>
      <c r="DN1068" s="1"/>
      <c r="DO1068" s="1"/>
      <c r="DP1068" s="1"/>
      <c r="DQ1068" s="1"/>
      <c r="DR1068" s="1"/>
      <c r="DS1068" s="1"/>
    </row>
    <row r="1069" spans="1:123" s="628" customFormat="1" ht="24.9" customHeight="1">
      <c r="A1069" s="629">
        <f t="shared" si="249"/>
        <v>6</v>
      </c>
      <c r="B1069" s="629">
        <v>500</v>
      </c>
      <c r="C1069" s="628">
        <v>1047000</v>
      </c>
      <c r="D1069" s="634">
        <v>470000</v>
      </c>
      <c r="E1069" s="628">
        <v>484000</v>
      </c>
      <c r="F1069" s="634">
        <v>629000</v>
      </c>
      <c r="G1069" s="628">
        <v>365000</v>
      </c>
      <c r="H1069" s="634">
        <v>331000</v>
      </c>
      <c r="I1069" s="633">
        <v>885000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Z1069" s="1"/>
      <c r="DA1069" s="1"/>
      <c r="DB1069" s="1"/>
      <c r="DC1069" s="1"/>
      <c r="DD1069" s="1"/>
      <c r="DE1069" s="1"/>
      <c r="DF1069" s="1"/>
      <c r="DG1069" s="1"/>
      <c r="DH1069" s="1"/>
      <c r="DK1069" s="1"/>
      <c r="DL1069" s="1"/>
      <c r="DM1069" s="1"/>
      <c r="DN1069" s="1"/>
      <c r="DO1069" s="1"/>
      <c r="DP1069" s="1"/>
      <c r="DQ1069" s="1"/>
      <c r="DR1069" s="1"/>
      <c r="DS1069" s="1"/>
    </row>
    <row r="1070" spans="1:123" s="628" customFormat="1" ht="24.9" customHeight="1">
      <c r="A1070" s="629">
        <f t="shared" si="249"/>
        <v>7</v>
      </c>
      <c r="B1070" s="629">
        <v>600</v>
      </c>
      <c r="C1070" s="628">
        <v>1212000</v>
      </c>
      <c r="D1070" s="634">
        <v>522000</v>
      </c>
      <c r="E1070" s="628">
        <v>567000</v>
      </c>
      <c r="F1070" s="634">
        <v>753000</v>
      </c>
      <c r="G1070" s="628">
        <v>412000</v>
      </c>
      <c r="H1070" s="634">
        <v>378000</v>
      </c>
      <c r="I1070" s="633">
        <v>1047000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Z1070" s="1"/>
      <c r="DA1070" s="1"/>
      <c r="DB1070" s="1"/>
      <c r="DC1070" s="1"/>
      <c r="DD1070" s="1"/>
      <c r="DE1070" s="1"/>
      <c r="DF1070" s="1"/>
      <c r="DG1070" s="1"/>
      <c r="DH1070" s="1"/>
      <c r="DK1070" s="1"/>
      <c r="DL1070" s="1"/>
      <c r="DM1070" s="1"/>
      <c r="DN1070" s="1"/>
      <c r="DO1070" s="1"/>
      <c r="DP1070" s="1"/>
      <c r="DQ1070" s="1"/>
      <c r="DR1070" s="1"/>
      <c r="DS1070" s="1"/>
    </row>
    <row r="1071" spans="1:123" s="628" customFormat="1" ht="24.9" customHeight="1">
      <c r="A1071" s="629">
        <f t="shared" si="249"/>
        <v>8</v>
      </c>
      <c r="B1071" s="629">
        <v>700</v>
      </c>
      <c r="C1071" s="628">
        <v>1602000</v>
      </c>
      <c r="D1071" s="634">
        <v>651000</v>
      </c>
      <c r="E1071" s="628">
        <v>668000</v>
      </c>
      <c r="F1071" s="634">
        <v>868000</v>
      </c>
      <c r="G1071" s="628">
        <v>454000</v>
      </c>
      <c r="H1071" s="634">
        <v>426000</v>
      </c>
      <c r="I1071" s="633">
        <v>1212000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Z1071" s="1"/>
      <c r="DA1071" s="1"/>
      <c r="DB1071" s="1"/>
      <c r="DC1071" s="1"/>
      <c r="DD1071" s="1"/>
      <c r="DE1071" s="1"/>
      <c r="DF1071" s="1"/>
      <c r="DG1071" s="1"/>
      <c r="DH1071" s="1"/>
      <c r="DK1071" s="1"/>
      <c r="DL1071" s="1"/>
      <c r="DM1071" s="1"/>
      <c r="DN1071" s="1"/>
      <c r="DO1071" s="1"/>
      <c r="DP1071" s="1"/>
      <c r="DQ1071" s="1"/>
      <c r="DR1071" s="1"/>
      <c r="DS1071" s="1"/>
    </row>
    <row r="1072" spans="1:123" s="628" customFormat="1" ht="24.9" customHeight="1">
      <c r="A1072" s="629">
        <f t="shared" si="249"/>
        <v>9</v>
      </c>
      <c r="B1072" s="629">
        <v>800</v>
      </c>
      <c r="C1072" s="628">
        <v>1761000</v>
      </c>
      <c r="D1072" s="634">
        <v>714000</v>
      </c>
      <c r="E1072" s="628">
        <v>735000</v>
      </c>
      <c r="F1072" s="634">
        <v>955000</v>
      </c>
      <c r="G1072" s="628">
        <v>519000</v>
      </c>
      <c r="H1072" s="634">
        <v>478000</v>
      </c>
      <c r="I1072" s="633">
        <v>1374000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G1072" s="1"/>
      <c r="CZ1072" s="1"/>
      <c r="DA1072" s="1"/>
      <c r="DB1072" s="1"/>
      <c r="DC1072" s="1"/>
      <c r="DD1072" s="1"/>
      <c r="DE1072" s="1"/>
      <c r="DF1072" s="1"/>
      <c r="DG1072" s="1"/>
      <c r="DH1072" s="1"/>
    </row>
    <row r="1073" spans="1:123" s="628" customFormat="1" ht="24.9" customHeight="1">
      <c r="A1073" s="629">
        <f t="shared" si="249"/>
        <v>10</v>
      </c>
      <c r="B1073" s="629">
        <v>900</v>
      </c>
      <c r="C1073" s="628">
        <v>1629000</v>
      </c>
      <c r="D1073" s="634">
        <v>772000</v>
      </c>
      <c r="E1073" s="628">
        <v>798000</v>
      </c>
      <c r="F1073" s="634">
        <v>997000</v>
      </c>
      <c r="G1073" s="628">
        <v>556000</v>
      </c>
      <c r="H1073" s="634">
        <v>519000</v>
      </c>
      <c r="I1073" s="633">
        <v>1473000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BD1073" s="1"/>
      <c r="BE1073" s="1"/>
      <c r="BF1073" s="1"/>
      <c r="BK1073" s="1"/>
      <c r="BL1073" s="1"/>
      <c r="BM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G1073" s="1"/>
    </row>
    <row r="1074" spans="1:123" s="628" customFormat="1" ht="24.9" customHeight="1" thickBot="1">
      <c r="A1074" s="635">
        <f t="shared" si="249"/>
        <v>11</v>
      </c>
      <c r="B1074" s="635">
        <v>1000</v>
      </c>
      <c r="C1074" s="636">
        <v>2094000</v>
      </c>
      <c r="D1074" s="637">
        <v>850000</v>
      </c>
      <c r="E1074" s="636">
        <v>870000</v>
      </c>
      <c r="F1074" s="637">
        <v>1044000</v>
      </c>
      <c r="G1074" s="636">
        <v>661000</v>
      </c>
      <c r="H1074" s="637">
        <v>610000</v>
      </c>
      <c r="I1074" s="638">
        <v>1701000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BD1074" s="1"/>
      <c r="BE1074" s="1"/>
      <c r="BF1074" s="1"/>
      <c r="BK1074" s="1"/>
      <c r="BL1074" s="1"/>
      <c r="BM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G1074" s="1"/>
    </row>
    <row r="1075" spans="1:123" s="628" customFormat="1" ht="24.9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BD1075" s="1"/>
      <c r="BE1075" s="1"/>
      <c r="BF1075" s="1"/>
      <c r="BK1075" s="1"/>
      <c r="BL1075" s="1"/>
      <c r="BM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G1075" s="1"/>
    </row>
    <row r="1076" spans="1:123" s="628" customFormat="1" ht="24.9" customHeight="1">
      <c r="A1076" s="60" t="s">
        <v>951</v>
      </c>
      <c r="B1076" s="626" t="s">
        <v>952</v>
      </c>
      <c r="E1076" s="627" t="s">
        <v>953</v>
      </c>
      <c r="F1076" s="628" t="s">
        <v>933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BD1076" s="1"/>
      <c r="BE1076" s="1"/>
      <c r="BF1076" s="1"/>
      <c r="BK1076" s="1"/>
      <c r="BL1076" s="1"/>
      <c r="BM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G1076" s="1"/>
    </row>
    <row r="1077" spans="1:123" s="628" customFormat="1" ht="24.9" customHeight="1" thickBot="1"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BD1077" s="1"/>
      <c r="BE1077" s="1"/>
      <c r="BF1077" s="1"/>
      <c r="BK1077" s="1"/>
      <c r="BL1077" s="1"/>
      <c r="BM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G1077" s="1"/>
    </row>
    <row r="1078" spans="1:123" s="628" customFormat="1" ht="24.9" customHeight="1" thickBot="1">
      <c r="A1078" s="57" t="s">
        <v>41</v>
      </c>
      <c r="B1078" s="58" t="s">
        <v>934</v>
      </c>
      <c r="C1078" s="57" t="s">
        <v>935</v>
      </c>
      <c r="D1078" s="58" t="s">
        <v>936</v>
      </c>
      <c r="E1078" s="57" t="s">
        <v>937</v>
      </c>
      <c r="F1078" s="58" t="s">
        <v>938</v>
      </c>
      <c r="G1078" s="57" t="s">
        <v>939</v>
      </c>
      <c r="H1078" s="58" t="s">
        <v>940</v>
      </c>
      <c r="I1078" s="57" t="s">
        <v>941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BD1078" s="1"/>
      <c r="BE1078" s="1"/>
      <c r="BF1078" s="1"/>
      <c r="BK1078" s="1"/>
      <c r="BL1078" s="1"/>
      <c r="BM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G1078" s="1"/>
      <c r="CH1078" s="1"/>
      <c r="CI1078" s="1"/>
      <c r="CJ1078" s="1"/>
      <c r="CK1078" s="1"/>
      <c r="CL1078" s="1"/>
    </row>
    <row r="1079" spans="1:123" s="628" customFormat="1" ht="24.9" customHeight="1">
      <c r="A1079" s="629">
        <v>1</v>
      </c>
      <c r="B1079" s="630">
        <v>100</v>
      </c>
      <c r="C1079" s="628">
        <v>492000</v>
      </c>
      <c r="D1079" s="631">
        <v>210000</v>
      </c>
      <c r="E1079" s="628">
        <v>285000</v>
      </c>
      <c r="F1079" s="631">
        <v>345000</v>
      </c>
      <c r="G1079" s="628">
        <v>155000</v>
      </c>
      <c r="H1079" s="632">
        <v>135000</v>
      </c>
      <c r="I1079" s="633">
        <v>297000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BD1079" s="1"/>
      <c r="BE1079" s="1"/>
      <c r="BF1079" s="1"/>
      <c r="BK1079" s="1"/>
      <c r="BL1079" s="1"/>
      <c r="BM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G1079" s="1"/>
      <c r="CH1079" s="1"/>
      <c r="CI1079" s="1"/>
      <c r="CJ1079" s="1"/>
      <c r="CK1079" s="1"/>
      <c r="CL1079" s="1"/>
    </row>
    <row r="1080" spans="1:123" s="628" customFormat="1" ht="24.9" customHeight="1">
      <c r="A1080" s="629">
        <f>A1079+1</f>
        <v>2</v>
      </c>
      <c r="B1080" s="629">
        <f>B1079+50</f>
        <v>150</v>
      </c>
      <c r="C1080" s="628">
        <v>573000</v>
      </c>
      <c r="D1080" s="634">
        <v>243000</v>
      </c>
      <c r="E1080" s="628">
        <v>332000</v>
      </c>
      <c r="F1080" s="634">
        <v>385000</v>
      </c>
      <c r="G1080" s="628">
        <v>172000</v>
      </c>
      <c r="H1080" s="629">
        <v>147000</v>
      </c>
      <c r="I1080" s="633">
        <v>330000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BD1080" s="1"/>
      <c r="BE1080" s="1"/>
      <c r="BF1080" s="1"/>
      <c r="BK1080" s="1"/>
      <c r="BL1080" s="1"/>
      <c r="BM1080" s="1"/>
      <c r="CG1080" s="1"/>
      <c r="CH1080" s="1"/>
      <c r="CI1080" s="1"/>
      <c r="CJ1080" s="1"/>
      <c r="CK1080" s="1"/>
      <c r="CL1080" s="1"/>
    </row>
    <row r="1081" spans="1:123" s="628" customFormat="1" ht="24.9" customHeight="1">
      <c r="A1081" s="629">
        <f t="shared" ref="A1081:A1089" si="250">A1080+1</f>
        <v>3</v>
      </c>
      <c r="B1081" s="629">
        <v>200</v>
      </c>
      <c r="C1081" s="628">
        <v>654000</v>
      </c>
      <c r="D1081" s="634">
        <v>329000</v>
      </c>
      <c r="E1081" s="628">
        <v>374000</v>
      </c>
      <c r="F1081" s="634">
        <v>446000</v>
      </c>
      <c r="G1081" s="628">
        <v>234000</v>
      </c>
      <c r="H1081" s="634">
        <v>196000</v>
      </c>
      <c r="I1081" s="633">
        <v>393000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BD1081" s="1"/>
      <c r="BE1081" s="1"/>
      <c r="BF1081" s="1"/>
      <c r="BK1081" s="1"/>
      <c r="BL1081" s="1"/>
      <c r="BM1081" s="1"/>
      <c r="CG1081" s="1"/>
      <c r="CH1081" s="1"/>
      <c r="CI1081" s="1"/>
      <c r="CJ1081" s="1"/>
      <c r="CK1081" s="1"/>
      <c r="CL1081" s="1"/>
      <c r="CM1081" s="1"/>
    </row>
    <row r="1082" spans="1:123" ht="20.100000000000001" customHeight="1">
      <c r="A1082" s="629">
        <f t="shared" si="250"/>
        <v>4</v>
      </c>
      <c r="B1082" s="629">
        <v>300</v>
      </c>
      <c r="C1082" s="628">
        <v>819000</v>
      </c>
      <c r="D1082" s="634">
        <v>396000</v>
      </c>
      <c r="E1082" s="628">
        <v>429000</v>
      </c>
      <c r="F1082" s="634">
        <v>493000</v>
      </c>
      <c r="G1082" s="628">
        <v>282000</v>
      </c>
      <c r="H1082" s="634">
        <v>241000</v>
      </c>
      <c r="I1082" s="633">
        <v>558000</v>
      </c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</row>
    <row r="1083" spans="1:123" ht="20.100000000000001" customHeight="1">
      <c r="A1083" s="629">
        <f t="shared" si="250"/>
        <v>5</v>
      </c>
      <c r="B1083" s="629">
        <v>400</v>
      </c>
      <c r="C1083" s="628">
        <v>981000</v>
      </c>
      <c r="D1083" s="634">
        <v>430000</v>
      </c>
      <c r="E1083" s="628">
        <v>471000</v>
      </c>
      <c r="F1083" s="634">
        <v>626000</v>
      </c>
      <c r="G1083" s="628">
        <v>330000</v>
      </c>
      <c r="H1083" s="634">
        <v>293000</v>
      </c>
      <c r="I1083" s="633">
        <v>720000</v>
      </c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</row>
    <row r="1084" spans="1:123" ht="20.100000000000001" customHeight="1">
      <c r="A1084" s="629">
        <f t="shared" si="250"/>
        <v>6</v>
      </c>
      <c r="B1084" s="629">
        <v>500</v>
      </c>
      <c r="C1084" s="628">
        <v>1146000</v>
      </c>
      <c r="D1084" s="634">
        <v>450000</v>
      </c>
      <c r="E1084" s="628">
        <v>536000</v>
      </c>
      <c r="F1084" s="634">
        <v>721000</v>
      </c>
      <c r="G1084" s="628">
        <v>377000</v>
      </c>
      <c r="H1084" s="634">
        <v>346000</v>
      </c>
      <c r="I1084" s="633">
        <v>885000</v>
      </c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</row>
    <row r="1085" spans="1:123" ht="20.100000000000001" customHeight="1">
      <c r="A1085" s="629">
        <f t="shared" si="250"/>
        <v>7</v>
      </c>
      <c r="B1085" s="629">
        <v>600</v>
      </c>
      <c r="C1085" s="628">
        <v>1308000</v>
      </c>
      <c r="D1085" s="634">
        <v>540000</v>
      </c>
      <c r="E1085" s="628">
        <v>613000</v>
      </c>
      <c r="F1085" s="634">
        <v>792000</v>
      </c>
      <c r="G1085" s="628">
        <v>419000</v>
      </c>
      <c r="H1085" s="634">
        <v>395000</v>
      </c>
      <c r="I1085" s="633">
        <v>1047000</v>
      </c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</row>
    <row r="1086" spans="1:123" ht="20.100000000000001" customHeight="1">
      <c r="A1086" s="629">
        <f t="shared" si="250"/>
        <v>8</v>
      </c>
      <c r="B1086" s="629">
        <v>700</v>
      </c>
      <c r="C1086" s="628">
        <v>1800000</v>
      </c>
      <c r="D1086" s="634">
        <v>678000</v>
      </c>
      <c r="E1086" s="628">
        <v>734000</v>
      </c>
      <c r="F1086" s="634">
        <v>878000</v>
      </c>
      <c r="G1086" s="628">
        <v>466000</v>
      </c>
      <c r="H1086" s="634">
        <v>442000</v>
      </c>
      <c r="I1086" s="633">
        <v>1212000</v>
      </c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</row>
    <row r="1087" spans="1:123" ht="20.100000000000001" customHeight="1">
      <c r="A1087" s="629">
        <f t="shared" si="250"/>
        <v>9</v>
      </c>
      <c r="B1087" s="629">
        <v>800</v>
      </c>
      <c r="C1087" s="628">
        <v>1962000</v>
      </c>
      <c r="D1087" s="634">
        <v>751000</v>
      </c>
      <c r="E1087" s="628">
        <v>810000</v>
      </c>
      <c r="F1087" s="634">
        <v>942000</v>
      </c>
      <c r="G1087" s="628">
        <v>516000</v>
      </c>
      <c r="H1087" s="634">
        <v>490000</v>
      </c>
      <c r="I1087" s="633">
        <v>1374000</v>
      </c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</row>
    <row r="1088" spans="1:123" ht="20.100000000000001" customHeight="1">
      <c r="A1088" s="629">
        <f t="shared" si="250"/>
        <v>10</v>
      </c>
      <c r="B1088" s="629">
        <v>900</v>
      </c>
      <c r="C1088" s="628">
        <v>2124000</v>
      </c>
      <c r="D1088" s="634">
        <v>786000</v>
      </c>
      <c r="E1088" s="628">
        <v>844000</v>
      </c>
      <c r="F1088" s="634">
        <v>987000</v>
      </c>
      <c r="G1088" s="628">
        <v>557000</v>
      </c>
      <c r="H1088" s="634">
        <v>520000</v>
      </c>
      <c r="I1088" s="633">
        <v>1473000</v>
      </c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</row>
    <row r="1089" spans="1:79" ht="20.100000000000001" customHeight="1" thickBot="1">
      <c r="A1089" s="635">
        <f t="shared" si="250"/>
        <v>11</v>
      </c>
      <c r="B1089" s="635">
        <v>1000</v>
      </c>
      <c r="C1089" s="636">
        <v>2289000</v>
      </c>
      <c r="D1089" s="637">
        <v>829000</v>
      </c>
      <c r="E1089" s="636">
        <v>912000</v>
      </c>
      <c r="F1089" s="637">
        <v>1055000</v>
      </c>
      <c r="G1089" s="636">
        <v>646000</v>
      </c>
      <c r="H1089" s="637">
        <v>622000</v>
      </c>
      <c r="I1089" s="638">
        <v>1701000</v>
      </c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</row>
    <row r="1090" spans="1:79" ht="17.399999999999999"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</row>
    <row r="1091" spans="1:79" ht="17.399999999999999">
      <c r="A1091" s="60" t="s">
        <v>954</v>
      </c>
      <c r="B1091" s="626" t="s">
        <v>952</v>
      </c>
      <c r="C1091" s="628"/>
      <c r="D1091" s="628"/>
      <c r="E1091" s="627" t="s">
        <v>950</v>
      </c>
      <c r="F1091" s="628" t="s">
        <v>933</v>
      </c>
      <c r="G1091" s="628"/>
      <c r="H1091" s="628"/>
      <c r="I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</row>
    <row r="1092" spans="1:79" ht="18" thickBot="1">
      <c r="A1092" s="628"/>
      <c r="B1092" s="628"/>
      <c r="C1092" s="628"/>
      <c r="D1092" s="628"/>
      <c r="E1092" s="628"/>
      <c r="F1092" s="628"/>
      <c r="G1092" s="628"/>
      <c r="H1092" s="628"/>
      <c r="I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</row>
    <row r="1093" spans="1:79" ht="18" thickBot="1">
      <c r="A1093" s="57" t="s">
        <v>41</v>
      </c>
      <c r="B1093" s="58" t="s">
        <v>934</v>
      </c>
      <c r="C1093" s="57" t="s">
        <v>935</v>
      </c>
      <c r="D1093" s="58" t="s">
        <v>936</v>
      </c>
      <c r="E1093" s="57" t="s">
        <v>937</v>
      </c>
      <c r="F1093" s="58" t="s">
        <v>938</v>
      </c>
      <c r="G1093" s="57" t="s">
        <v>939</v>
      </c>
      <c r="H1093" s="58" t="s">
        <v>940</v>
      </c>
      <c r="I1093" s="57" t="s">
        <v>941</v>
      </c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</row>
    <row r="1094" spans="1:79" ht="17.399999999999999">
      <c r="A1094" s="629">
        <v>1</v>
      </c>
      <c r="B1094" s="630">
        <v>100</v>
      </c>
      <c r="C1094" s="628">
        <v>351000</v>
      </c>
      <c r="D1094" s="631">
        <v>165000</v>
      </c>
      <c r="E1094" s="628">
        <v>222000</v>
      </c>
      <c r="F1094" s="631">
        <v>280000</v>
      </c>
      <c r="G1094" s="628">
        <v>120000</v>
      </c>
      <c r="H1094" s="632" t="s">
        <v>476</v>
      </c>
      <c r="I1094" s="633">
        <v>297000</v>
      </c>
    </row>
    <row r="1095" spans="1:79" ht="17.399999999999999">
      <c r="A1095" s="629">
        <f>A1094+1</f>
        <v>2</v>
      </c>
      <c r="B1095" s="629">
        <f>B1094+50</f>
        <v>150</v>
      </c>
      <c r="C1095" s="628">
        <v>411000</v>
      </c>
      <c r="D1095" s="634">
        <v>202000</v>
      </c>
      <c r="E1095" s="628">
        <v>246000</v>
      </c>
      <c r="F1095" s="634">
        <v>316000</v>
      </c>
      <c r="G1095" s="628">
        <v>140000</v>
      </c>
      <c r="H1095" s="629">
        <v>129000</v>
      </c>
      <c r="I1095" s="633">
        <v>330000</v>
      </c>
    </row>
    <row r="1096" spans="1:79" ht="17.399999999999999">
      <c r="A1096" s="629">
        <f t="shared" ref="A1096:A1104" si="251">A1095+1</f>
        <v>3</v>
      </c>
      <c r="B1096" s="629">
        <v>200</v>
      </c>
      <c r="C1096" s="628">
        <v>492000</v>
      </c>
      <c r="D1096" s="634">
        <v>262000</v>
      </c>
      <c r="E1096" s="628">
        <v>309000</v>
      </c>
      <c r="F1096" s="634">
        <v>440000</v>
      </c>
      <c r="G1096" s="628">
        <v>201000</v>
      </c>
      <c r="H1096" s="634">
        <v>178000</v>
      </c>
      <c r="I1096" s="633">
        <v>393000</v>
      </c>
    </row>
    <row r="1097" spans="1:79" ht="17.399999999999999">
      <c r="A1097" s="629">
        <f t="shared" si="251"/>
        <v>4</v>
      </c>
      <c r="B1097" s="629">
        <v>300</v>
      </c>
      <c r="C1097" s="628">
        <v>654000</v>
      </c>
      <c r="D1097" s="634">
        <v>327000</v>
      </c>
      <c r="E1097" s="628">
        <v>377000</v>
      </c>
      <c r="F1097" s="634">
        <v>460000</v>
      </c>
      <c r="G1097" s="628">
        <v>239000</v>
      </c>
      <c r="H1097" s="634">
        <v>217000</v>
      </c>
      <c r="I1097" s="633">
        <v>558000</v>
      </c>
    </row>
    <row r="1098" spans="1:79" ht="17.399999999999999">
      <c r="A1098" s="629">
        <f t="shared" si="251"/>
        <v>5</v>
      </c>
      <c r="B1098" s="629">
        <v>400</v>
      </c>
      <c r="C1098" s="628">
        <v>819000</v>
      </c>
      <c r="D1098" s="634">
        <v>396000</v>
      </c>
      <c r="E1098" s="628">
        <v>415000</v>
      </c>
      <c r="F1098" s="634">
        <v>552000</v>
      </c>
      <c r="G1098" s="628">
        <v>285000</v>
      </c>
      <c r="H1098" s="634">
        <v>268000</v>
      </c>
      <c r="I1098" s="633">
        <v>720000</v>
      </c>
    </row>
    <row r="1099" spans="1:79" ht="17.399999999999999">
      <c r="A1099" s="629">
        <f t="shared" si="251"/>
        <v>6</v>
      </c>
      <c r="B1099" s="629">
        <v>500</v>
      </c>
      <c r="C1099" s="628">
        <v>981000</v>
      </c>
      <c r="D1099" s="634">
        <v>412000</v>
      </c>
      <c r="E1099" s="628">
        <v>460000</v>
      </c>
      <c r="F1099" s="634">
        <v>605000</v>
      </c>
      <c r="G1099" s="628">
        <v>341000</v>
      </c>
      <c r="H1099" s="634">
        <v>321000</v>
      </c>
      <c r="I1099" s="633">
        <v>885000</v>
      </c>
    </row>
    <row r="1100" spans="1:79" ht="17.399999999999999">
      <c r="A1100" s="629">
        <f t="shared" si="251"/>
        <v>7</v>
      </c>
      <c r="B1100" s="629">
        <v>600</v>
      </c>
      <c r="C1100" s="628">
        <v>1146000</v>
      </c>
      <c r="D1100" s="634">
        <v>488000</v>
      </c>
      <c r="E1100" s="628">
        <v>543000</v>
      </c>
      <c r="F1100" s="634">
        <v>713000</v>
      </c>
      <c r="G1100" s="628">
        <v>394000</v>
      </c>
      <c r="H1100" s="634">
        <v>374000</v>
      </c>
      <c r="I1100" s="633">
        <v>1047000</v>
      </c>
    </row>
    <row r="1101" spans="1:79" ht="17.399999999999999">
      <c r="A1101" s="629">
        <f t="shared" si="251"/>
        <v>8</v>
      </c>
      <c r="B1101" s="629">
        <v>700</v>
      </c>
      <c r="C1101" s="628">
        <v>1473000</v>
      </c>
      <c r="D1101" s="634">
        <v>616000</v>
      </c>
      <c r="E1101" s="628">
        <v>623000</v>
      </c>
      <c r="F1101" s="634">
        <v>843000</v>
      </c>
      <c r="G1101" s="628">
        <v>436000</v>
      </c>
      <c r="H1101" s="634">
        <v>412000</v>
      </c>
      <c r="I1101" s="633">
        <v>1212000</v>
      </c>
    </row>
    <row r="1102" spans="1:79" ht="17.399999999999999">
      <c r="A1102" s="629">
        <f t="shared" si="251"/>
        <v>9</v>
      </c>
      <c r="B1102" s="629">
        <v>800</v>
      </c>
      <c r="C1102" s="628">
        <v>1635000</v>
      </c>
      <c r="D1102" s="634">
        <v>673000</v>
      </c>
      <c r="E1102" s="628">
        <v>691000</v>
      </c>
      <c r="F1102" s="634">
        <v>911000</v>
      </c>
      <c r="G1102" s="628">
        <v>495000</v>
      </c>
      <c r="H1102" s="634">
        <v>453000</v>
      </c>
      <c r="I1102" s="633">
        <v>1374000</v>
      </c>
    </row>
    <row r="1103" spans="1:79" ht="17.399999999999999">
      <c r="A1103" s="629">
        <f t="shared" si="251"/>
        <v>10</v>
      </c>
      <c r="B1103" s="629">
        <v>900</v>
      </c>
      <c r="C1103" s="628">
        <v>1800000</v>
      </c>
      <c r="D1103" s="634">
        <v>720000</v>
      </c>
      <c r="E1103" s="628">
        <v>743000</v>
      </c>
      <c r="F1103" s="634">
        <v>925000</v>
      </c>
      <c r="G1103" s="628">
        <v>539000</v>
      </c>
      <c r="H1103" s="634">
        <v>509000</v>
      </c>
      <c r="I1103" s="633">
        <v>1473000</v>
      </c>
    </row>
    <row r="1104" spans="1:79" ht="18" thickBot="1">
      <c r="A1104" s="635">
        <f t="shared" si="251"/>
        <v>11</v>
      </c>
      <c r="B1104" s="635">
        <v>1000</v>
      </c>
      <c r="C1104" s="636">
        <v>1962000</v>
      </c>
      <c r="D1104" s="637">
        <v>756000</v>
      </c>
      <c r="E1104" s="636">
        <v>843000</v>
      </c>
      <c r="F1104" s="637">
        <v>1011000</v>
      </c>
      <c r="G1104" s="636">
        <v>610000</v>
      </c>
      <c r="H1104" s="637">
        <v>565000</v>
      </c>
      <c r="I1104" s="638">
        <v>1701000</v>
      </c>
    </row>
    <row r="1106" spans="1:9" ht="17.399999999999999">
      <c r="A1106" s="60" t="s">
        <v>955</v>
      </c>
      <c r="B1106" s="626" t="s">
        <v>956</v>
      </c>
      <c r="C1106" s="628"/>
      <c r="D1106" s="628"/>
      <c r="E1106" s="627"/>
      <c r="F1106" s="628"/>
      <c r="G1106" s="628"/>
      <c r="H1106" s="628"/>
      <c r="I1106" s="628"/>
    </row>
    <row r="1107" spans="1:9" ht="18" thickBot="1">
      <c r="A1107" s="628"/>
      <c r="B1107" s="628"/>
      <c r="C1107" s="628"/>
      <c r="D1107" s="628"/>
      <c r="E1107" s="628"/>
      <c r="F1107" s="628"/>
      <c r="G1107" s="628"/>
      <c r="H1107" s="628"/>
      <c r="I1107" s="628"/>
    </row>
    <row r="1108" spans="1:9" ht="18" thickBot="1">
      <c r="A1108" s="57" t="s">
        <v>41</v>
      </c>
      <c r="B1108" s="58" t="s">
        <v>934</v>
      </c>
      <c r="C1108" s="57" t="s">
        <v>936</v>
      </c>
      <c r="D1108" s="57" t="s">
        <v>937</v>
      </c>
      <c r="E1108" s="58" t="s">
        <v>938</v>
      </c>
      <c r="F1108" s="57" t="s">
        <v>939</v>
      </c>
      <c r="G1108" s="58" t="s">
        <v>940</v>
      </c>
      <c r="H1108" s="57" t="s">
        <v>941</v>
      </c>
    </row>
    <row r="1109" spans="1:9" ht="17.399999999999999">
      <c r="A1109" s="629">
        <v>1</v>
      </c>
      <c r="B1109" s="630">
        <v>100</v>
      </c>
      <c r="C1109" s="631">
        <v>165000</v>
      </c>
      <c r="D1109" s="628">
        <v>222000</v>
      </c>
      <c r="E1109" s="631">
        <v>280000</v>
      </c>
      <c r="F1109" s="628">
        <v>120000</v>
      </c>
      <c r="G1109" s="632" t="s">
        <v>476</v>
      </c>
      <c r="H1109" s="633">
        <v>297000</v>
      </c>
    </row>
    <row r="1110" spans="1:9" ht="17.399999999999999">
      <c r="A1110" s="629">
        <f>A1109+1</f>
        <v>2</v>
      </c>
      <c r="B1110" s="629">
        <f>B1109+50</f>
        <v>150</v>
      </c>
      <c r="C1110" s="634">
        <v>202000</v>
      </c>
      <c r="D1110" s="628">
        <v>246000</v>
      </c>
      <c r="E1110" s="634">
        <v>316000</v>
      </c>
      <c r="F1110" s="628">
        <v>140000</v>
      </c>
      <c r="G1110" s="629">
        <v>129000</v>
      </c>
      <c r="H1110" s="633">
        <v>330000</v>
      </c>
    </row>
    <row r="1111" spans="1:9" ht="17.399999999999999">
      <c r="A1111" s="629">
        <f t="shared" ref="A1111:A1119" si="252">A1110+1</f>
        <v>3</v>
      </c>
      <c r="B1111" s="629">
        <v>200</v>
      </c>
      <c r="C1111" s="634">
        <v>262000</v>
      </c>
      <c r="D1111" s="628">
        <v>309000</v>
      </c>
      <c r="E1111" s="634">
        <v>440000</v>
      </c>
      <c r="F1111" s="628">
        <v>201000</v>
      </c>
      <c r="G1111" s="634">
        <v>178000</v>
      </c>
      <c r="H1111" s="633">
        <v>393000</v>
      </c>
    </row>
    <row r="1112" spans="1:9" ht="17.399999999999999">
      <c r="A1112" s="629">
        <f t="shared" si="252"/>
        <v>4</v>
      </c>
      <c r="B1112" s="629">
        <v>300</v>
      </c>
      <c r="C1112" s="634">
        <v>327000</v>
      </c>
      <c r="D1112" s="628">
        <v>377000</v>
      </c>
      <c r="E1112" s="634">
        <v>460000</v>
      </c>
      <c r="F1112" s="628">
        <v>239000</v>
      </c>
      <c r="G1112" s="634">
        <v>217000</v>
      </c>
      <c r="H1112" s="633">
        <v>558000</v>
      </c>
    </row>
    <row r="1113" spans="1:9" ht="17.399999999999999">
      <c r="A1113" s="629">
        <f t="shared" si="252"/>
        <v>5</v>
      </c>
      <c r="B1113" s="629">
        <v>400</v>
      </c>
      <c r="C1113" s="634">
        <v>396000</v>
      </c>
      <c r="D1113" s="628">
        <v>415000</v>
      </c>
      <c r="E1113" s="634">
        <v>552000</v>
      </c>
      <c r="F1113" s="628">
        <v>285000</v>
      </c>
      <c r="G1113" s="634">
        <v>268000</v>
      </c>
      <c r="H1113" s="633">
        <v>720000</v>
      </c>
    </row>
    <row r="1114" spans="1:9" ht="17.399999999999999">
      <c r="A1114" s="629">
        <f t="shared" si="252"/>
        <v>6</v>
      </c>
      <c r="B1114" s="629">
        <v>500</v>
      </c>
      <c r="C1114" s="634">
        <v>412000</v>
      </c>
      <c r="D1114" s="628">
        <v>460000</v>
      </c>
      <c r="E1114" s="634">
        <v>605000</v>
      </c>
      <c r="F1114" s="628">
        <v>341000</v>
      </c>
      <c r="G1114" s="634">
        <v>321000</v>
      </c>
      <c r="H1114" s="633">
        <v>885000</v>
      </c>
    </row>
    <row r="1115" spans="1:9" ht="17.399999999999999">
      <c r="A1115" s="629">
        <f t="shared" si="252"/>
        <v>7</v>
      </c>
      <c r="B1115" s="629">
        <v>600</v>
      </c>
      <c r="C1115" s="634">
        <v>488000</v>
      </c>
      <c r="D1115" s="628">
        <v>543000</v>
      </c>
      <c r="E1115" s="634">
        <v>713000</v>
      </c>
      <c r="F1115" s="628">
        <v>394000</v>
      </c>
      <c r="G1115" s="634">
        <v>374000</v>
      </c>
      <c r="H1115" s="633">
        <v>1047000</v>
      </c>
    </row>
    <row r="1116" spans="1:9" ht="17.399999999999999">
      <c r="A1116" s="629">
        <f t="shared" si="252"/>
        <v>8</v>
      </c>
      <c r="B1116" s="629">
        <v>700</v>
      </c>
      <c r="C1116" s="634">
        <v>616000</v>
      </c>
      <c r="D1116" s="628">
        <v>623000</v>
      </c>
      <c r="E1116" s="634">
        <v>843000</v>
      </c>
      <c r="F1116" s="628">
        <v>436000</v>
      </c>
      <c r="G1116" s="634">
        <v>412000</v>
      </c>
      <c r="H1116" s="633">
        <v>1212000</v>
      </c>
    </row>
    <row r="1117" spans="1:9" ht="17.399999999999999">
      <c r="A1117" s="629">
        <f t="shared" si="252"/>
        <v>9</v>
      </c>
      <c r="B1117" s="629">
        <v>800</v>
      </c>
      <c r="C1117" s="634">
        <v>673000</v>
      </c>
      <c r="D1117" s="628">
        <v>691000</v>
      </c>
      <c r="E1117" s="634">
        <v>911000</v>
      </c>
      <c r="F1117" s="628">
        <v>495000</v>
      </c>
      <c r="G1117" s="634">
        <v>453000</v>
      </c>
      <c r="H1117" s="633">
        <v>1374000</v>
      </c>
    </row>
    <row r="1118" spans="1:9" ht="17.399999999999999">
      <c r="A1118" s="629">
        <f t="shared" si="252"/>
        <v>10</v>
      </c>
      <c r="B1118" s="629">
        <v>900</v>
      </c>
      <c r="C1118" s="634">
        <v>720000</v>
      </c>
      <c r="D1118" s="628">
        <v>743000</v>
      </c>
      <c r="E1118" s="634">
        <v>925000</v>
      </c>
      <c r="F1118" s="628">
        <v>539000</v>
      </c>
      <c r="G1118" s="634">
        <v>509000</v>
      </c>
      <c r="H1118" s="633">
        <v>1473000</v>
      </c>
    </row>
    <row r="1119" spans="1:9" ht="18" thickBot="1">
      <c r="A1119" s="635">
        <f t="shared" si="252"/>
        <v>11</v>
      </c>
      <c r="B1119" s="635">
        <v>1000</v>
      </c>
      <c r="C1119" s="637">
        <v>756000</v>
      </c>
      <c r="D1119" s="636">
        <v>843000</v>
      </c>
      <c r="E1119" s="637">
        <v>1011000</v>
      </c>
      <c r="F1119" s="636">
        <v>610000</v>
      </c>
      <c r="G1119" s="637">
        <v>565000</v>
      </c>
      <c r="H1119" s="638">
        <v>1701000</v>
      </c>
    </row>
    <row r="1121" spans="1:8" ht="17.399999999999999">
      <c r="A1121" s="60" t="s">
        <v>957</v>
      </c>
      <c r="B1121" s="626" t="s">
        <v>958</v>
      </c>
      <c r="C1121" s="628"/>
      <c r="D1121" s="628"/>
      <c r="E1121" s="627"/>
      <c r="F1121" s="628"/>
      <c r="G1121" s="628"/>
      <c r="H1121" s="628"/>
    </row>
    <row r="1122" spans="1:8" ht="18" thickBot="1">
      <c r="A1122" s="628"/>
      <c r="B1122" s="628"/>
      <c r="C1122" s="628"/>
      <c r="D1122" s="628"/>
      <c r="E1122" s="628"/>
      <c r="F1122" s="628"/>
      <c r="G1122" s="628"/>
      <c r="H1122" s="628"/>
    </row>
    <row r="1123" spans="1:8" ht="17.399999999999999">
      <c r="A1123" s="639" t="s">
        <v>959</v>
      </c>
      <c r="B1123" s="640" t="s">
        <v>934</v>
      </c>
      <c r="C1123" s="639" t="s">
        <v>935</v>
      </c>
      <c r="D1123" s="641" t="s">
        <v>935</v>
      </c>
      <c r="E1123" s="60"/>
      <c r="F1123" s="60"/>
      <c r="G1123" s="60"/>
      <c r="H1123" s="60"/>
    </row>
    <row r="1124" spans="1:8" ht="18" thickBot="1">
      <c r="A1124" s="635"/>
      <c r="B1124" s="642"/>
      <c r="C1124" s="635" t="s">
        <v>953</v>
      </c>
      <c r="D1124" s="643" t="s">
        <v>950</v>
      </c>
      <c r="E1124" s="628"/>
      <c r="F1124" s="628"/>
      <c r="G1124" s="644"/>
      <c r="H1124" s="628"/>
    </row>
    <row r="1125" spans="1:8" ht="17.399999999999999">
      <c r="A1125" s="629">
        <f>A1124+1</f>
        <v>1</v>
      </c>
      <c r="B1125" s="625">
        <v>100</v>
      </c>
      <c r="C1125" s="634">
        <v>276000</v>
      </c>
      <c r="D1125" s="633">
        <v>210000</v>
      </c>
      <c r="E1125" s="628"/>
      <c r="F1125" s="628"/>
      <c r="G1125" s="625"/>
      <c r="H1125" s="628"/>
    </row>
    <row r="1126" spans="1:8" ht="17.399999999999999">
      <c r="A1126" s="629">
        <f t="shared" ref="A1126:A1131" si="253">A1125+1</f>
        <v>2</v>
      </c>
      <c r="B1126" s="625">
        <v>150</v>
      </c>
      <c r="C1126" s="634">
        <v>300000</v>
      </c>
      <c r="D1126" s="633">
        <v>242000</v>
      </c>
      <c r="E1126" s="628"/>
      <c r="F1126" s="628"/>
      <c r="G1126" s="628"/>
      <c r="H1126" s="628"/>
    </row>
    <row r="1127" spans="1:8" ht="17.399999999999999">
      <c r="A1127" s="629">
        <f t="shared" si="253"/>
        <v>3</v>
      </c>
      <c r="B1127" s="625">
        <v>200</v>
      </c>
      <c r="C1127" s="634">
        <v>347000</v>
      </c>
      <c r="D1127" s="633">
        <v>276000</v>
      </c>
      <c r="E1127" s="628"/>
      <c r="F1127" s="628"/>
      <c r="G1127" s="628"/>
      <c r="H1127" s="628"/>
    </row>
    <row r="1128" spans="1:8" ht="17.399999999999999">
      <c r="A1128" s="629">
        <f t="shared" si="253"/>
        <v>4</v>
      </c>
      <c r="B1128" s="625">
        <v>300</v>
      </c>
      <c r="C1128" s="634">
        <v>416000</v>
      </c>
      <c r="D1128" s="633">
        <v>347000</v>
      </c>
      <c r="E1128" s="628"/>
      <c r="F1128" s="628"/>
      <c r="G1128" s="628"/>
      <c r="H1128" s="628"/>
    </row>
    <row r="1129" spans="1:8" ht="17.399999999999999">
      <c r="A1129" s="629">
        <f t="shared" si="253"/>
        <v>5</v>
      </c>
      <c r="B1129" s="625">
        <v>400</v>
      </c>
      <c r="C1129" s="634">
        <v>473000</v>
      </c>
      <c r="D1129" s="633">
        <v>416000</v>
      </c>
      <c r="E1129" s="628"/>
      <c r="F1129" s="628"/>
      <c r="G1129" s="628"/>
      <c r="H1129" s="628"/>
    </row>
    <row r="1130" spans="1:8" ht="17.399999999999999">
      <c r="A1130" s="629">
        <f t="shared" si="253"/>
        <v>6</v>
      </c>
      <c r="B1130" s="625">
        <v>500</v>
      </c>
      <c r="C1130" s="634">
        <v>672000</v>
      </c>
      <c r="D1130" s="633">
        <v>473000</v>
      </c>
      <c r="E1130" s="628"/>
      <c r="F1130" s="628"/>
      <c r="G1130" s="628"/>
      <c r="H1130" s="628"/>
    </row>
    <row r="1131" spans="1:8" ht="18" thickBot="1">
      <c r="A1131" s="635">
        <f t="shared" si="253"/>
        <v>7</v>
      </c>
      <c r="B1131" s="642">
        <v>600</v>
      </c>
      <c r="C1131" s="637">
        <v>731000</v>
      </c>
      <c r="D1131" s="638">
        <v>672000</v>
      </c>
      <c r="E1131" s="628"/>
      <c r="F1131" s="628"/>
      <c r="G1131" s="628"/>
      <c r="H1131" s="628"/>
    </row>
    <row r="1133" spans="1:8" ht="17.399999999999999">
      <c r="A1133" s="60"/>
      <c r="B1133" s="60"/>
      <c r="C1133" s="60"/>
      <c r="D1133" s="60"/>
    </row>
    <row r="1134" spans="1:8" ht="17.399999999999999">
      <c r="A1134" s="645" t="s">
        <v>960</v>
      </c>
      <c r="B1134" s="625"/>
      <c r="C1134" s="625"/>
      <c r="D1134" s="628">
        <v>10000</v>
      </c>
      <c r="E1134" s="628" t="s">
        <v>961</v>
      </c>
    </row>
    <row r="1135" spans="1:8" ht="17.399999999999999">
      <c r="A1135" s="645" t="s">
        <v>962</v>
      </c>
      <c r="B1135" s="625"/>
      <c r="C1135" s="628"/>
      <c r="D1135" s="628">
        <v>5500</v>
      </c>
      <c r="E1135" s="628" t="s">
        <v>963</v>
      </c>
    </row>
    <row r="1136" spans="1:8" ht="17.399999999999999">
      <c r="A1136" s="625"/>
      <c r="B1136" s="625"/>
      <c r="C1136" s="628"/>
      <c r="D1136" s="628"/>
    </row>
    <row r="1137" spans="1:6" ht="17.399999999999999">
      <c r="A1137" s="60" t="s">
        <v>964</v>
      </c>
      <c r="B1137" s="626" t="s">
        <v>965</v>
      </c>
      <c r="C1137" s="628"/>
      <c r="D1137" s="628"/>
    </row>
    <row r="1138" spans="1:6" ht="18" thickBot="1">
      <c r="A1138" s="625"/>
      <c r="B1138" s="625"/>
      <c r="C1138" s="628"/>
      <c r="D1138" s="628"/>
    </row>
    <row r="1139" spans="1:6" ht="18" thickBot="1">
      <c r="A1139" s="56" t="s">
        <v>41</v>
      </c>
      <c r="B1139" s="56" t="s">
        <v>43</v>
      </c>
      <c r="C1139" s="59"/>
      <c r="D1139" s="57" t="s">
        <v>966</v>
      </c>
      <c r="E1139" s="58" t="s">
        <v>22</v>
      </c>
      <c r="F1139" s="57" t="s">
        <v>967</v>
      </c>
    </row>
    <row r="1140" spans="1:6" ht="17.399999999999999">
      <c r="A1140" s="646">
        <v>1</v>
      </c>
      <c r="B1140" s="647" t="s">
        <v>968</v>
      </c>
      <c r="C1140" s="633"/>
      <c r="D1140" s="648" t="s">
        <v>969</v>
      </c>
      <c r="E1140" s="628">
        <v>24000</v>
      </c>
      <c r="F1140" s="649" t="s">
        <v>970</v>
      </c>
    </row>
    <row r="1141" spans="1:6" ht="17.399999999999999">
      <c r="A1141" s="646">
        <f>A1140+1</f>
        <v>2</v>
      </c>
      <c r="B1141" s="647" t="s">
        <v>968</v>
      </c>
      <c r="C1141" s="633"/>
      <c r="D1141" s="648" t="s">
        <v>971</v>
      </c>
      <c r="E1141" s="628">
        <v>20000</v>
      </c>
      <c r="F1141" s="649" t="s">
        <v>970</v>
      </c>
    </row>
    <row r="1142" spans="1:6" ht="17.399999999999999">
      <c r="A1142" s="646">
        <f t="shared" ref="A1142:A1174" si="254">A1141+1</f>
        <v>3</v>
      </c>
      <c r="B1142" s="647" t="s">
        <v>972</v>
      </c>
      <c r="C1142" s="481"/>
      <c r="D1142" s="648" t="s">
        <v>969</v>
      </c>
      <c r="E1142" s="628">
        <v>30000</v>
      </c>
      <c r="F1142" s="649" t="s">
        <v>970</v>
      </c>
    </row>
    <row r="1143" spans="1:6" ht="17.399999999999999">
      <c r="A1143" s="646">
        <f t="shared" si="254"/>
        <v>4</v>
      </c>
      <c r="B1143" s="647" t="s">
        <v>973</v>
      </c>
      <c r="C1143" s="481"/>
      <c r="D1143" s="648"/>
      <c r="E1143" s="628">
        <v>38000</v>
      </c>
      <c r="F1143" s="649" t="s">
        <v>974</v>
      </c>
    </row>
    <row r="1144" spans="1:6" ht="17.399999999999999">
      <c r="A1144" s="646">
        <f t="shared" si="254"/>
        <v>5</v>
      </c>
      <c r="B1144" s="647" t="s">
        <v>975</v>
      </c>
      <c r="C1144" s="481"/>
      <c r="D1144" s="648"/>
      <c r="E1144" s="628">
        <v>38000</v>
      </c>
      <c r="F1144" s="649" t="s">
        <v>974</v>
      </c>
    </row>
    <row r="1145" spans="1:6" ht="17.399999999999999">
      <c r="A1145" s="646">
        <f t="shared" si="254"/>
        <v>6</v>
      </c>
      <c r="B1145" s="647" t="s">
        <v>976</v>
      </c>
      <c r="C1145" s="481"/>
      <c r="D1145" s="648" t="s">
        <v>977</v>
      </c>
      <c r="E1145" s="628">
        <v>23000</v>
      </c>
      <c r="F1145" s="649" t="s">
        <v>974</v>
      </c>
    </row>
    <row r="1146" spans="1:6" ht="17.399999999999999">
      <c r="A1146" s="646">
        <f t="shared" si="254"/>
        <v>7</v>
      </c>
      <c r="B1146" s="647" t="s">
        <v>976</v>
      </c>
      <c r="C1146" s="481"/>
      <c r="D1146" s="648" t="s">
        <v>978</v>
      </c>
      <c r="E1146" s="628">
        <v>27000</v>
      </c>
      <c r="F1146" s="649" t="s">
        <v>974</v>
      </c>
    </row>
    <row r="1147" spans="1:6" ht="17.399999999999999">
      <c r="A1147" s="646">
        <f t="shared" si="254"/>
        <v>8</v>
      </c>
      <c r="B1147" s="647" t="s">
        <v>976</v>
      </c>
      <c r="C1147" s="481"/>
      <c r="D1147" s="648" t="s">
        <v>979</v>
      </c>
      <c r="E1147" s="628">
        <v>32000</v>
      </c>
      <c r="F1147" s="649" t="s">
        <v>974</v>
      </c>
    </row>
    <row r="1148" spans="1:6" ht="17.399999999999999">
      <c r="A1148" s="646">
        <f t="shared" si="254"/>
        <v>9</v>
      </c>
      <c r="B1148" s="647" t="s">
        <v>976</v>
      </c>
      <c r="C1148" s="481"/>
      <c r="D1148" s="648" t="s">
        <v>980</v>
      </c>
      <c r="E1148" s="628">
        <v>37000</v>
      </c>
      <c r="F1148" s="649" t="s">
        <v>974</v>
      </c>
    </row>
    <row r="1149" spans="1:6" ht="17.399999999999999">
      <c r="A1149" s="646">
        <f t="shared" si="254"/>
        <v>10</v>
      </c>
      <c r="B1149" s="647" t="s">
        <v>976</v>
      </c>
      <c r="C1149" s="481"/>
      <c r="D1149" s="648" t="s">
        <v>981</v>
      </c>
      <c r="E1149" s="628">
        <v>47000</v>
      </c>
      <c r="F1149" s="649" t="s">
        <v>974</v>
      </c>
    </row>
    <row r="1150" spans="1:6" ht="17.399999999999999">
      <c r="A1150" s="646">
        <f t="shared" si="254"/>
        <v>11</v>
      </c>
      <c r="B1150" s="647" t="s">
        <v>976</v>
      </c>
      <c r="C1150" s="481"/>
      <c r="D1150" s="648" t="s">
        <v>982</v>
      </c>
      <c r="E1150" s="628">
        <v>58000</v>
      </c>
      <c r="F1150" s="649" t="s">
        <v>974</v>
      </c>
    </row>
    <row r="1151" spans="1:6" ht="17.399999999999999">
      <c r="A1151" s="646">
        <f t="shared" si="254"/>
        <v>12</v>
      </c>
      <c r="B1151" s="647" t="s">
        <v>976</v>
      </c>
      <c r="C1151" s="481"/>
      <c r="D1151" s="648" t="s">
        <v>983</v>
      </c>
      <c r="E1151" s="628">
        <v>71000</v>
      </c>
      <c r="F1151" s="649" t="s">
        <v>974</v>
      </c>
    </row>
    <row r="1152" spans="1:6" ht="17.399999999999999">
      <c r="A1152" s="646">
        <f t="shared" si="254"/>
        <v>13</v>
      </c>
      <c r="B1152" s="647" t="s">
        <v>976</v>
      </c>
      <c r="C1152" s="481"/>
      <c r="D1152" s="648" t="s">
        <v>984</v>
      </c>
      <c r="E1152" s="628">
        <v>87000</v>
      </c>
      <c r="F1152" s="649" t="s">
        <v>974</v>
      </c>
    </row>
    <row r="1153" spans="1:6" ht="17.399999999999999">
      <c r="A1153" s="646">
        <f t="shared" si="254"/>
        <v>14</v>
      </c>
      <c r="B1153" s="647" t="s">
        <v>976</v>
      </c>
      <c r="C1153" s="481"/>
      <c r="D1153" s="648" t="s">
        <v>985</v>
      </c>
      <c r="E1153" s="628">
        <v>117000</v>
      </c>
      <c r="F1153" s="649" t="s">
        <v>974</v>
      </c>
    </row>
    <row r="1154" spans="1:6" ht="17.399999999999999">
      <c r="A1154" s="646">
        <f t="shared" si="254"/>
        <v>15</v>
      </c>
      <c r="B1154" s="647" t="s">
        <v>976</v>
      </c>
      <c r="C1154" s="481"/>
      <c r="D1154" s="648" t="s">
        <v>986</v>
      </c>
      <c r="E1154" s="628">
        <v>129000</v>
      </c>
      <c r="F1154" s="649" t="s">
        <v>974</v>
      </c>
    </row>
    <row r="1155" spans="1:6" ht="17.399999999999999">
      <c r="A1155" s="646">
        <f t="shared" si="254"/>
        <v>16</v>
      </c>
      <c r="B1155" s="647" t="s">
        <v>976</v>
      </c>
      <c r="C1155" s="481"/>
      <c r="D1155" s="648" t="s">
        <v>987</v>
      </c>
      <c r="E1155" s="628">
        <v>136000</v>
      </c>
      <c r="F1155" s="649" t="s">
        <v>974</v>
      </c>
    </row>
    <row r="1156" spans="1:6" ht="17.399999999999999">
      <c r="A1156" s="646">
        <f t="shared" si="254"/>
        <v>17</v>
      </c>
      <c r="B1156" s="647" t="s">
        <v>976</v>
      </c>
      <c r="C1156" s="481"/>
      <c r="D1156" s="648" t="s">
        <v>988</v>
      </c>
      <c r="E1156" s="628">
        <v>150000</v>
      </c>
      <c r="F1156" s="649" t="s">
        <v>974</v>
      </c>
    </row>
    <row r="1157" spans="1:6" ht="17.399999999999999">
      <c r="A1157" s="646">
        <f t="shared" si="254"/>
        <v>18</v>
      </c>
      <c r="B1157" s="647" t="s">
        <v>976</v>
      </c>
      <c r="C1157" s="481"/>
      <c r="D1157" s="648" t="s">
        <v>989</v>
      </c>
      <c r="E1157" s="628">
        <v>161000</v>
      </c>
      <c r="F1157" s="649" t="s">
        <v>974</v>
      </c>
    </row>
    <row r="1158" spans="1:6" ht="17.399999999999999">
      <c r="A1158" s="646">
        <f t="shared" si="254"/>
        <v>19</v>
      </c>
      <c r="B1158" s="647" t="s">
        <v>990</v>
      </c>
      <c r="C1158" s="481"/>
      <c r="D1158" s="648" t="s">
        <v>978</v>
      </c>
      <c r="E1158" s="628">
        <v>23000</v>
      </c>
      <c r="F1158" s="649" t="s">
        <v>974</v>
      </c>
    </row>
    <row r="1159" spans="1:6" ht="17.399999999999999">
      <c r="A1159" s="646">
        <f t="shared" si="254"/>
        <v>20</v>
      </c>
      <c r="B1159" s="647" t="s">
        <v>990</v>
      </c>
      <c r="C1159" s="481"/>
      <c r="D1159" s="648" t="s">
        <v>979</v>
      </c>
      <c r="E1159" s="628">
        <v>26000</v>
      </c>
      <c r="F1159" s="649" t="s">
        <v>974</v>
      </c>
    </row>
    <row r="1160" spans="1:6" ht="17.399999999999999">
      <c r="A1160" s="646">
        <f t="shared" si="254"/>
        <v>21</v>
      </c>
      <c r="B1160" s="647" t="s">
        <v>990</v>
      </c>
      <c r="C1160" s="481"/>
      <c r="D1160" s="648" t="s">
        <v>980</v>
      </c>
      <c r="E1160" s="628">
        <v>28000</v>
      </c>
      <c r="F1160" s="649" t="s">
        <v>974</v>
      </c>
    </row>
    <row r="1161" spans="1:6" ht="17.399999999999999">
      <c r="A1161" s="646">
        <f t="shared" si="254"/>
        <v>22</v>
      </c>
      <c r="B1161" s="647" t="s">
        <v>990</v>
      </c>
      <c r="C1161" s="481"/>
      <c r="D1161" s="648" t="s">
        <v>982</v>
      </c>
      <c r="E1161" s="628">
        <v>36000</v>
      </c>
      <c r="F1161" s="649" t="s">
        <v>974</v>
      </c>
    </row>
    <row r="1162" spans="1:6" ht="17.399999999999999">
      <c r="A1162" s="646">
        <f t="shared" si="254"/>
        <v>23</v>
      </c>
      <c r="B1162" s="647" t="s">
        <v>990</v>
      </c>
      <c r="C1162" s="481"/>
      <c r="D1162" s="648" t="s">
        <v>983</v>
      </c>
      <c r="E1162" s="628">
        <v>44000</v>
      </c>
      <c r="F1162" s="649" t="s">
        <v>974</v>
      </c>
    </row>
    <row r="1163" spans="1:6" ht="17.399999999999999">
      <c r="A1163" s="646">
        <f t="shared" si="254"/>
        <v>24</v>
      </c>
      <c r="B1163" s="647" t="s">
        <v>990</v>
      </c>
      <c r="C1163" s="481"/>
      <c r="D1163" s="648" t="s">
        <v>984</v>
      </c>
      <c r="E1163" s="628">
        <v>58000</v>
      </c>
      <c r="F1163" s="649" t="s">
        <v>974</v>
      </c>
    </row>
    <row r="1164" spans="1:6" ht="17.399999999999999">
      <c r="A1164" s="646">
        <f t="shared" si="254"/>
        <v>25</v>
      </c>
      <c r="B1164" s="647" t="s">
        <v>990</v>
      </c>
      <c r="C1164" s="481"/>
      <c r="D1164" s="648" t="s">
        <v>985</v>
      </c>
      <c r="E1164" s="628">
        <v>69000</v>
      </c>
      <c r="F1164" s="649" t="s">
        <v>974</v>
      </c>
    </row>
    <row r="1165" spans="1:6" ht="17.399999999999999">
      <c r="A1165" s="646">
        <f t="shared" si="254"/>
        <v>26</v>
      </c>
      <c r="B1165" s="647" t="s">
        <v>990</v>
      </c>
      <c r="C1165" s="481"/>
      <c r="D1165" s="648" t="s">
        <v>986</v>
      </c>
      <c r="E1165" s="628">
        <v>80000</v>
      </c>
      <c r="F1165" s="649" t="s">
        <v>974</v>
      </c>
    </row>
    <row r="1166" spans="1:6" ht="17.399999999999999">
      <c r="A1166" s="646">
        <f t="shared" si="254"/>
        <v>27</v>
      </c>
      <c r="B1166" s="647" t="s">
        <v>990</v>
      </c>
      <c r="C1166" s="481"/>
      <c r="D1166" s="648" t="s">
        <v>987</v>
      </c>
      <c r="E1166" s="628">
        <v>87000</v>
      </c>
      <c r="F1166" s="649" t="s">
        <v>974</v>
      </c>
    </row>
    <row r="1167" spans="1:6" ht="17.399999999999999">
      <c r="A1167" s="646">
        <f t="shared" si="254"/>
        <v>28</v>
      </c>
      <c r="B1167" s="647" t="s">
        <v>990</v>
      </c>
      <c r="C1167" s="481"/>
      <c r="D1167" s="648" t="s">
        <v>988</v>
      </c>
      <c r="E1167" s="628">
        <v>92000</v>
      </c>
      <c r="F1167" s="649" t="s">
        <v>974</v>
      </c>
    </row>
    <row r="1168" spans="1:6" ht="17.399999999999999">
      <c r="A1168" s="646">
        <f t="shared" si="254"/>
        <v>29</v>
      </c>
      <c r="B1168" s="647" t="s">
        <v>990</v>
      </c>
      <c r="C1168" s="481"/>
      <c r="D1168" s="648" t="s">
        <v>989</v>
      </c>
      <c r="E1168" s="628">
        <v>99000</v>
      </c>
      <c r="F1168" s="649" t="s">
        <v>974</v>
      </c>
    </row>
    <row r="1169" spans="1:6" ht="17.399999999999999">
      <c r="A1169" s="646">
        <f t="shared" si="254"/>
        <v>30</v>
      </c>
      <c r="B1169" s="647" t="s">
        <v>991</v>
      </c>
      <c r="C1169" s="481"/>
      <c r="D1169" s="648" t="s">
        <v>992</v>
      </c>
      <c r="E1169" s="628">
        <v>23000</v>
      </c>
      <c r="F1169" s="649" t="s">
        <v>974</v>
      </c>
    </row>
    <row r="1170" spans="1:6" ht="17.399999999999999">
      <c r="A1170" s="646">
        <f t="shared" si="254"/>
        <v>31</v>
      </c>
      <c r="B1170" s="647" t="s">
        <v>991</v>
      </c>
      <c r="C1170" s="481"/>
      <c r="D1170" s="648" t="s">
        <v>993</v>
      </c>
      <c r="E1170" s="628">
        <v>36000</v>
      </c>
      <c r="F1170" s="649" t="s">
        <v>974</v>
      </c>
    </row>
    <row r="1171" spans="1:6" ht="17.399999999999999">
      <c r="A1171" s="646">
        <f t="shared" si="254"/>
        <v>32</v>
      </c>
      <c r="B1171" s="647" t="s">
        <v>994</v>
      </c>
      <c r="C1171" s="481"/>
      <c r="D1171" s="648" t="s">
        <v>995</v>
      </c>
      <c r="E1171" s="628">
        <v>119000</v>
      </c>
      <c r="F1171" s="649" t="s">
        <v>974</v>
      </c>
    </row>
    <row r="1172" spans="1:6" ht="17.399999999999999">
      <c r="A1172" s="646">
        <f t="shared" si="254"/>
        <v>33</v>
      </c>
      <c r="B1172" s="647" t="s">
        <v>994</v>
      </c>
      <c r="C1172" s="481"/>
      <c r="D1172" s="648" t="s">
        <v>996</v>
      </c>
      <c r="E1172" s="628">
        <v>173000</v>
      </c>
      <c r="F1172" s="649" t="s">
        <v>974</v>
      </c>
    </row>
    <row r="1173" spans="1:6" ht="17.399999999999999">
      <c r="A1173" s="646">
        <f t="shared" si="254"/>
        <v>34</v>
      </c>
      <c r="B1173" s="647" t="s">
        <v>997</v>
      </c>
      <c r="C1173" s="481"/>
      <c r="D1173" s="648"/>
      <c r="E1173" s="628">
        <v>18000</v>
      </c>
      <c r="F1173" s="649" t="s">
        <v>974</v>
      </c>
    </row>
    <row r="1174" spans="1:6" ht="18" thickBot="1">
      <c r="A1174" s="650">
        <f t="shared" si="254"/>
        <v>35</v>
      </c>
      <c r="B1174" s="651" t="s">
        <v>998</v>
      </c>
      <c r="C1174" s="410"/>
      <c r="D1174" s="652"/>
      <c r="E1174" s="636">
        <v>6000</v>
      </c>
      <c r="F1174" s="653" t="s">
        <v>974</v>
      </c>
    </row>
    <row r="1176" spans="1:6" ht="17.399999999999999">
      <c r="A1176" s="60" t="s">
        <v>999</v>
      </c>
      <c r="B1176" s="626" t="s">
        <v>965</v>
      </c>
      <c r="C1176" s="628"/>
      <c r="D1176" s="628"/>
    </row>
    <row r="1177" spans="1:6" ht="18" thickBot="1">
      <c r="A1177" s="625"/>
      <c r="B1177" s="625"/>
      <c r="C1177" s="628"/>
      <c r="D1177" s="628"/>
    </row>
    <row r="1178" spans="1:6" ht="18" thickBot="1">
      <c r="A1178" s="56" t="s">
        <v>41</v>
      </c>
      <c r="B1178" s="56" t="s">
        <v>43</v>
      </c>
      <c r="C1178" s="59"/>
      <c r="D1178" s="58" t="s">
        <v>966</v>
      </c>
      <c r="E1178" s="57" t="s">
        <v>22</v>
      </c>
      <c r="F1178" s="59" t="s">
        <v>967</v>
      </c>
    </row>
    <row r="1179" spans="1:6" ht="17.399999999999999">
      <c r="A1179" s="646">
        <v>1</v>
      </c>
      <c r="B1179" s="647" t="s">
        <v>1000</v>
      </c>
      <c r="C1179" s="633"/>
      <c r="D1179" s="645" t="s">
        <v>1001</v>
      </c>
      <c r="E1179" s="634">
        <v>24000</v>
      </c>
      <c r="F1179" s="654" t="s">
        <v>974</v>
      </c>
    </row>
    <row r="1180" spans="1:6" ht="17.399999999999999">
      <c r="A1180" s="646">
        <f>A1179+1</f>
        <v>2</v>
      </c>
      <c r="B1180" s="647" t="s">
        <v>1000</v>
      </c>
      <c r="C1180" s="633"/>
      <c r="D1180" s="645" t="s">
        <v>1002</v>
      </c>
      <c r="E1180" s="634">
        <v>23000</v>
      </c>
      <c r="F1180" s="654" t="s">
        <v>974</v>
      </c>
    </row>
    <row r="1181" spans="1:6" ht="17.399999999999999">
      <c r="A1181" s="646">
        <f t="shared" ref="A1181:A1200" si="255">A1180+1</f>
        <v>3</v>
      </c>
      <c r="B1181" s="647" t="s">
        <v>1000</v>
      </c>
      <c r="C1181" s="633"/>
      <c r="D1181" s="645" t="s">
        <v>1003</v>
      </c>
      <c r="E1181" s="634">
        <v>28000</v>
      </c>
      <c r="F1181" s="654" t="s">
        <v>974</v>
      </c>
    </row>
    <row r="1182" spans="1:6" ht="17.399999999999999">
      <c r="A1182" s="646">
        <f t="shared" si="255"/>
        <v>4</v>
      </c>
      <c r="B1182" s="647" t="s">
        <v>1000</v>
      </c>
      <c r="C1182" s="633"/>
      <c r="D1182" s="645" t="s">
        <v>1004</v>
      </c>
      <c r="E1182" s="634">
        <v>32000</v>
      </c>
      <c r="F1182" s="654" t="s">
        <v>974</v>
      </c>
    </row>
    <row r="1183" spans="1:6" ht="17.399999999999999">
      <c r="A1183" s="646">
        <f t="shared" si="255"/>
        <v>5</v>
      </c>
      <c r="B1183" s="647" t="s">
        <v>1000</v>
      </c>
      <c r="C1183" s="633"/>
      <c r="D1183" s="645" t="s">
        <v>1005</v>
      </c>
      <c r="E1183" s="634">
        <v>39000</v>
      </c>
      <c r="F1183" s="654" t="s">
        <v>974</v>
      </c>
    </row>
    <row r="1184" spans="1:6" ht="17.399999999999999">
      <c r="A1184" s="646">
        <f t="shared" si="255"/>
        <v>6</v>
      </c>
      <c r="B1184" s="647" t="s">
        <v>1000</v>
      </c>
      <c r="C1184" s="633"/>
      <c r="D1184" s="645" t="s">
        <v>1006</v>
      </c>
      <c r="E1184" s="634">
        <v>42000</v>
      </c>
      <c r="F1184" s="654" t="s">
        <v>974</v>
      </c>
    </row>
    <row r="1185" spans="1:6" ht="17.399999999999999">
      <c r="A1185" s="646">
        <f t="shared" si="255"/>
        <v>7</v>
      </c>
      <c r="B1185" s="647" t="s">
        <v>1000</v>
      </c>
      <c r="C1185" s="633"/>
      <c r="D1185" s="645" t="s">
        <v>1007</v>
      </c>
      <c r="E1185" s="634">
        <v>60000</v>
      </c>
      <c r="F1185" s="654" t="s">
        <v>974</v>
      </c>
    </row>
    <row r="1186" spans="1:6" ht="17.399999999999999">
      <c r="A1186" s="646">
        <f t="shared" si="255"/>
        <v>8</v>
      </c>
      <c r="B1186" s="647" t="s">
        <v>1000</v>
      </c>
      <c r="C1186" s="633"/>
      <c r="D1186" s="645" t="s">
        <v>1008</v>
      </c>
      <c r="E1186" s="634">
        <v>63000</v>
      </c>
      <c r="F1186" s="654" t="s">
        <v>974</v>
      </c>
    </row>
    <row r="1187" spans="1:6" ht="17.399999999999999">
      <c r="A1187" s="646">
        <f t="shared" si="255"/>
        <v>9</v>
      </c>
      <c r="B1187" s="647" t="s">
        <v>1000</v>
      </c>
      <c r="C1187" s="633"/>
      <c r="D1187" s="645" t="s">
        <v>1009</v>
      </c>
      <c r="E1187" s="634">
        <v>67000</v>
      </c>
      <c r="F1187" s="654" t="s">
        <v>974</v>
      </c>
    </row>
    <row r="1188" spans="1:6" ht="17.399999999999999">
      <c r="A1188" s="646">
        <f t="shared" si="255"/>
        <v>10</v>
      </c>
      <c r="B1188" s="647" t="s">
        <v>1000</v>
      </c>
      <c r="C1188" s="633"/>
      <c r="D1188" s="645" t="s">
        <v>1010</v>
      </c>
      <c r="E1188" s="634">
        <v>72000</v>
      </c>
      <c r="F1188" s="654" t="s">
        <v>974</v>
      </c>
    </row>
    <row r="1189" spans="1:6" ht="17.399999999999999">
      <c r="A1189" s="646">
        <f t="shared" si="255"/>
        <v>11</v>
      </c>
      <c r="B1189" s="647" t="s">
        <v>1000</v>
      </c>
      <c r="C1189" s="633"/>
      <c r="D1189" s="645" t="s">
        <v>1011</v>
      </c>
      <c r="E1189" s="634">
        <v>78000</v>
      </c>
      <c r="F1189" s="654" t="s">
        <v>974</v>
      </c>
    </row>
    <row r="1190" spans="1:6" ht="17.399999999999999">
      <c r="A1190" s="646">
        <f t="shared" si="255"/>
        <v>12</v>
      </c>
      <c r="B1190" s="647" t="s">
        <v>1012</v>
      </c>
      <c r="C1190" s="633"/>
      <c r="D1190" s="645" t="s">
        <v>1001</v>
      </c>
      <c r="E1190" s="634">
        <v>23000</v>
      </c>
      <c r="F1190" s="654" t="s">
        <v>974</v>
      </c>
    </row>
    <row r="1191" spans="1:6" ht="17.399999999999999">
      <c r="A1191" s="646">
        <f t="shared" si="255"/>
        <v>13</v>
      </c>
      <c r="B1191" s="647" t="s">
        <v>1012</v>
      </c>
      <c r="C1191" s="633"/>
      <c r="D1191" s="645" t="s">
        <v>1002</v>
      </c>
      <c r="E1191" s="634">
        <v>25000</v>
      </c>
      <c r="F1191" s="654" t="s">
        <v>974</v>
      </c>
    </row>
    <row r="1192" spans="1:6" ht="17.399999999999999">
      <c r="A1192" s="646">
        <f t="shared" si="255"/>
        <v>14</v>
      </c>
      <c r="B1192" s="647" t="s">
        <v>1012</v>
      </c>
      <c r="C1192" s="633"/>
      <c r="D1192" s="645" t="s">
        <v>1003</v>
      </c>
      <c r="E1192" s="634">
        <v>27000</v>
      </c>
      <c r="F1192" s="654" t="s">
        <v>974</v>
      </c>
    </row>
    <row r="1193" spans="1:6" ht="17.399999999999999">
      <c r="A1193" s="646">
        <f t="shared" si="255"/>
        <v>15</v>
      </c>
      <c r="B1193" s="647" t="s">
        <v>1012</v>
      </c>
      <c r="C1193" s="633"/>
      <c r="D1193" s="645" t="s">
        <v>1004</v>
      </c>
      <c r="E1193" s="634">
        <v>33000</v>
      </c>
      <c r="F1193" s="654" t="s">
        <v>974</v>
      </c>
    </row>
    <row r="1194" spans="1:6" ht="17.399999999999999">
      <c r="A1194" s="646">
        <f t="shared" si="255"/>
        <v>16</v>
      </c>
      <c r="B1194" s="647" t="s">
        <v>1012</v>
      </c>
      <c r="C1194" s="633"/>
      <c r="D1194" s="645" t="s">
        <v>1005</v>
      </c>
      <c r="E1194" s="634">
        <v>38000</v>
      </c>
      <c r="F1194" s="654" t="s">
        <v>974</v>
      </c>
    </row>
    <row r="1195" spans="1:6" ht="17.399999999999999">
      <c r="A1195" s="646">
        <f t="shared" si="255"/>
        <v>17</v>
      </c>
      <c r="B1195" s="647" t="s">
        <v>1012</v>
      </c>
      <c r="C1195" s="633"/>
      <c r="D1195" s="645" t="s">
        <v>1006</v>
      </c>
      <c r="E1195" s="634">
        <v>44000</v>
      </c>
      <c r="F1195" s="654" t="s">
        <v>974</v>
      </c>
    </row>
    <row r="1196" spans="1:6" ht="17.399999999999999">
      <c r="A1196" s="646">
        <f t="shared" si="255"/>
        <v>18</v>
      </c>
      <c r="B1196" s="647" t="s">
        <v>1012</v>
      </c>
      <c r="C1196" s="633"/>
      <c r="D1196" s="645" t="s">
        <v>1007</v>
      </c>
      <c r="E1196" s="634">
        <v>52000</v>
      </c>
      <c r="F1196" s="654" t="s">
        <v>974</v>
      </c>
    </row>
    <row r="1197" spans="1:6" ht="17.399999999999999">
      <c r="A1197" s="646">
        <f t="shared" si="255"/>
        <v>19</v>
      </c>
      <c r="B1197" s="647" t="s">
        <v>1012</v>
      </c>
      <c r="C1197" s="633"/>
      <c r="D1197" s="645" t="s">
        <v>1008</v>
      </c>
      <c r="E1197" s="634">
        <v>55000</v>
      </c>
      <c r="F1197" s="654" t="s">
        <v>974</v>
      </c>
    </row>
    <row r="1198" spans="1:6" ht="17.399999999999999">
      <c r="A1198" s="646">
        <f t="shared" si="255"/>
        <v>20</v>
      </c>
      <c r="B1198" s="647" t="s">
        <v>1012</v>
      </c>
      <c r="C1198" s="633"/>
      <c r="D1198" s="645" t="s">
        <v>1009</v>
      </c>
      <c r="E1198" s="634">
        <v>62000</v>
      </c>
      <c r="F1198" s="654" t="s">
        <v>974</v>
      </c>
    </row>
    <row r="1199" spans="1:6" ht="17.399999999999999">
      <c r="A1199" s="646">
        <f t="shared" si="255"/>
        <v>21</v>
      </c>
      <c r="B1199" s="647" t="s">
        <v>1012</v>
      </c>
      <c r="C1199" s="633"/>
      <c r="D1199" s="645" t="s">
        <v>1010</v>
      </c>
      <c r="E1199" s="634">
        <v>66000</v>
      </c>
      <c r="F1199" s="654" t="s">
        <v>974</v>
      </c>
    </row>
    <row r="1200" spans="1:6" ht="18" thickBot="1">
      <c r="A1200" s="650">
        <f t="shared" si="255"/>
        <v>22</v>
      </c>
      <c r="B1200" s="651" t="s">
        <v>1012</v>
      </c>
      <c r="C1200" s="638"/>
      <c r="D1200" s="655" t="s">
        <v>1011</v>
      </c>
      <c r="E1200" s="637">
        <v>70000</v>
      </c>
      <c r="F1200" s="656" t="s">
        <v>974</v>
      </c>
    </row>
    <row r="1202" spans="1:6" ht="17.399999999999999">
      <c r="A1202" s="60" t="s">
        <v>930</v>
      </c>
      <c r="B1202" s="626" t="s">
        <v>1013</v>
      </c>
      <c r="C1202" s="628"/>
      <c r="D1202" s="628"/>
    </row>
    <row r="1203" spans="1:6" ht="18" thickBot="1">
      <c r="A1203" s="625"/>
      <c r="B1203" s="625"/>
      <c r="C1203" s="628"/>
      <c r="D1203" s="628"/>
    </row>
    <row r="1204" spans="1:6" ht="24.9" customHeight="1" thickBot="1">
      <c r="A1204" s="57" t="s">
        <v>41</v>
      </c>
      <c r="B1204" s="56" t="s">
        <v>43</v>
      </c>
      <c r="C1204" s="59"/>
      <c r="D1204" s="57" t="s">
        <v>966</v>
      </c>
      <c r="E1204" s="58" t="s">
        <v>22</v>
      </c>
      <c r="F1204" s="57" t="s">
        <v>967</v>
      </c>
    </row>
    <row r="1205" spans="1:6" ht="24.9" customHeight="1">
      <c r="A1205" s="629">
        <v>1</v>
      </c>
      <c r="B1205" s="647" t="s">
        <v>1014</v>
      </c>
      <c r="C1205" s="633"/>
      <c r="D1205" s="648" t="s">
        <v>1015</v>
      </c>
      <c r="E1205" s="628">
        <v>261000</v>
      </c>
      <c r="F1205" s="649" t="s">
        <v>1016</v>
      </c>
    </row>
    <row r="1206" spans="1:6" ht="24.9" customHeight="1">
      <c r="A1206" s="175"/>
      <c r="B1206" s="181"/>
      <c r="C1206" s="481"/>
      <c r="D1206" s="648" t="s">
        <v>1017</v>
      </c>
      <c r="E1206" s="628">
        <v>321000</v>
      </c>
      <c r="F1206" s="649" t="s">
        <v>1016</v>
      </c>
    </row>
    <row r="1207" spans="1:6" ht="24.9" customHeight="1">
      <c r="A1207" s="175"/>
      <c r="B1207" s="181"/>
      <c r="C1207" s="481"/>
      <c r="D1207" s="648" t="s">
        <v>1018</v>
      </c>
      <c r="E1207" s="628">
        <v>345000</v>
      </c>
      <c r="F1207" s="649" t="s">
        <v>1016</v>
      </c>
    </row>
    <row r="1208" spans="1:6" ht="24.9" customHeight="1">
      <c r="A1208" s="175"/>
      <c r="B1208" s="181"/>
      <c r="C1208" s="481"/>
      <c r="D1208" s="648" t="s">
        <v>1019</v>
      </c>
      <c r="E1208" s="628">
        <v>345000</v>
      </c>
      <c r="F1208" s="649" t="s">
        <v>1016</v>
      </c>
    </row>
    <row r="1209" spans="1:6" ht="24.9" customHeight="1">
      <c r="A1209" s="175"/>
      <c r="B1209" s="181"/>
      <c r="C1209" s="481"/>
      <c r="D1209" s="648" t="s">
        <v>1020</v>
      </c>
      <c r="E1209" s="628">
        <v>367000</v>
      </c>
      <c r="F1209" s="649" t="s">
        <v>1016</v>
      </c>
    </row>
    <row r="1210" spans="1:6" ht="24.9" customHeight="1">
      <c r="A1210" s="175"/>
      <c r="B1210" s="181"/>
      <c r="C1210" s="481"/>
      <c r="D1210" s="648" t="s">
        <v>1021</v>
      </c>
      <c r="E1210" s="628">
        <v>357000</v>
      </c>
      <c r="F1210" s="649" t="s">
        <v>1016</v>
      </c>
    </row>
    <row r="1211" spans="1:6" ht="24.9" customHeight="1">
      <c r="A1211" s="175"/>
      <c r="B1211" s="181"/>
      <c r="C1211" s="481"/>
      <c r="D1211" s="648" t="s">
        <v>1022</v>
      </c>
      <c r="E1211" s="628">
        <v>381000</v>
      </c>
      <c r="F1211" s="649" t="s">
        <v>1016</v>
      </c>
    </row>
    <row r="1212" spans="1:6" ht="24.9" customHeight="1">
      <c r="A1212" s="629">
        <v>2</v>
      </c>
      <c r="B1212" s="647" t="s">
        <v>1023</v>
      </c>
      <c r="C1212" s="633"/>
      <c r="D1212" s="648" t="s">
        <v>1024</v>
      </c>
      <c r="E1212" s="628">
        <v>350000</v>
      </c>
      <c r="F1212" s="649" t="s">
        <v>974</v>
      </c>
    </row>
    <row r="1213" spans="1:6" ht="24.9" customHeight="1">
      <c r="A1213" s="629">
        <v>3</v>
      </c>
      <c r="B1213" s="647" t="s">
        <v>1025</v>
      </c>
      <c r="C1213" s="633"/>
      <c r="D1213" s="648" t="s">
        <v>1024</v>
      </c>
      <c r="E1213" s="628">
        <v>60000</v>
      </c>
      <c r="F1213" s="649" t="s">
        <v>974</v>
      </c>
    </row>
    <row r="1214" spans="1:6" ht="24.9" customHeight="1">
      <c r="A1214" s="629">
        <v>4</v>
      </c>
      <c r="B1214" s="647" t="s">
        <v>1026</v>
      </c>
      <c r="C1214" s="633"/>
      <c r="D1214" s="648" t="s">
        <v>1027</v>
      </c>
      <c r="E1214" s="628">
        <v>495000</v>
      </c>
      <c r="F1214" s="649" t="s">
        <v>974</v>
      </c>
    </row>
    <row r="1215" spans="1:6" ht="24.9" customHeight="1">
      <c r="A1215" s="175"/>
      <c r="B1215" s="181"/>
      <c r="C1215" s="481"/>
      <c r="D1215" s="648" t="s">
        <v>1028</v>
      </c>
      <c r="E1215" s="628">
        <v>767000</v>
      </c>
      <c r="F1215" s="649" t="s">
        <v>974</v>
      </c>
    </row>
    <row r="1216" spans="1:6" ht="24.9" customHeight="1">
      <c r="A1216" s="175"/>
      <c r="B1216" s="181"/>
      <c r="C1216" s="481"/>
      <c r="D1216" s="648" t="s">
        <v>1029</v>
      </c>
      <c r="E1216" s="628">
        <v>832000</v>
      </c>
      <c r="F1216" s="649" t="s">
        <v>974</v>
      </c>
    </row>
    <row r="1217" spans="1:6" ht="24.9" customHeight="1">
      <c r="A1217" s="175"/>
      <c r="B1217" s="181"/>
      <c r="C1217" s="481"/>
      <c r="D1217" s="648" t="s">
        <v>1030</v>
      </c>
      <c r="E1217" s="628">
        <v>963000</v>
      </c>
      <c r="F1217" s="649" t="s">
        <v>974</v>
      </c>
    </row>
    <row r="1218" spans="1:6" ht="24.9" customHeight="1">
      <c r="A1218" s="175"/>
      <c r="B1218" s="181"/>
      <c r="C1218" s="481"/>
      <c r="D1218" s="648" t="s">
        <v>1031</v>
      </c>
      <c r="E1218" s="628">
        <v>1050500</v>
      </c>
      <c r="F1218" s="649" t="s">
        <v>974</v>
      </c>
    </row>
    <row r="1219" spans="1:6" ht="24.9" customHeight="1">
      <c r="A1219" s="175"/>
      <c r="B1219" s="181"/>
      <c r="C1219" s="481"/>
      <c r="D1219" s="648" t="s">
        <v>1032</v>
      </c>
      <c r="E1219" s="628">
        <v>688000</v>
      </c>
      <c r="F1219" s="649" t="s">
        <v>974</v>
      </c>
    </row>
    <row r="1220" spans="1:6" ht="24.9" customHeight="1">
      <c r="A1220" s="175"/>
      <c r="B1220" s="181"/>
      <c r="C1220" s="481"/>
      <c r="D1220" s="648" t="s">
        <v>1033</v>
      </c>
      <c r="E1220" s="628">
        <v>750000</v>
      </c>
      <c r="F1220" s="649" t="s">
        <v>974</v>
      </c>
    </row>
    <row r="1221" spans="1:6" ht="24.9" customHeight="1">
      <c r="A1221" s="175"/>
      <c r="B1221" s="181"/>
      <c r="C1221" s="481"/>
      <c r="D1221" s="648" t="s">
        <v>1034</v>
      </c>
      <c r="E1221" s="628">
        <v>563000</v>
      </c>
      <c r="F1221" s="649" t="s">
        <v>974</v>
      </c>
    </row>
    <row r="1222" spans="1:6" ht="24.9" customHeight="1">
      <c r="A1222" s="175"/>
      <c r="B1222" s="181"/>
      <c r="C1222" s="481"/>
      <c r="D1222" s="648" t="s">
        <v>1035</v>
      </c>
      <c r="E1222" s="628">
        <v>625000</v>
      </c>
      <c r="F1222" s="649" t="s">
        <v>974</v>
      </c>
    </row>
    <row r="1223" spans="1:6" ht="24.9" customHeight="1">
      <c r="A1223" s="629">
        <v>5</v>
      </c>
      <c r="B1223" s="647" t="s">
        <v>1036</v>
      </c>
      <c r="C1223" s="633"/>
      <c r="D1223" s="648" t="s">
        <v>1037</v>
      </c>
      <c r="E1223" s="628">
        <v>42000</v>
      </c>
      <c r="F1223" s="649" t="s">
        <v>974</v>
      </c>
    </row>
    <row r="1224" spans="1:6" ht="24.9" customHeight="1">
      <c r="A1224" s="175"/>
      <c r="B1224" s="181"/>
      <c r="C1224" s="481"/>
      <c r="D1224" s="648" t="s">
        <v>1038</v>
      </c>
      <c r="E1224" s="628">
        <v>60000</v>
      </c>
      <c r="F1224" s="649" t="s">
        <v>974</v>
      </c>
    </row>
    <row r="1225" spans="1:6" ht="24.9" customHeight="1">
      <c r="A1225" s="175"/>
      <c r="B1225" s="181"/>
      <c r="C1225" s="481"/>
      <c r="D1225" s="648" t="s">
        <v>1039</v>
      </c>
      <c r="E1225" s="628">
        <v>230000</v>
      </c>
      <c r="F1225" s="649" t="s">
        <v>974</v>
      </c>
    </row>
    <row r="1226" spans="1:6" ht="24.9" customHeight="1">
      <c r="A1226" s="629">
        <v>6</v>
      </c>
      <c r="B1226" s="647" t="s">
        <v>1040</v>
      </c>
      <c r="C1226" s="633"/>
      <c r="D1226" s="648" t="s">
        <v>1041</v>
      </c>
      <c r="E1226" s="628">
        <v>525000</v>
      </c>
      <c r="F1226" s="649" t="s">
        <v>974</v>
      </c>
    </row>
    <row r="1227" spans="1:6" ht="24.9" customHeight="1" thickBot="1">
      <c r="A1227" s="148"/>
      <c r="B1227" s="183"/>
      <c r="C1227" s="410"/>
      <c r="D1227" s="652" t="s">
        <v>1042</v>
      </c>
      <c r="E1227" s="636">
        <v>613000</v>
      </c>
      <c r="F1227" s="653" t="s">
        <v>974</v>
      </c>
    </row>
    <row r="1228" spans="1:6" ht="24.9" customHeight="1"/>
    <row r="1229" spans="1:6" ht="24.9" customHeight="1">
      <c r="A1229" s="60" t="s">
        <v>942</v>
      </c>
      <c r="B1229" s="626" t="s">
        <v>1043</v>
      </c>
      <c r="C1229" s="628"/>
      <c r="D1229" s="628"/>
    </row>
    <row r="1230" spans="1:6" ht="24.9" customHeight="1" thickBot="1">
      <c r="A1230" s="625"/>
      <c r="B1230" s="625"/>
      <c r="C1230" s="628"/>
      <c r="D1230" s="628"/>
    </row>
    <row r="1231" spans="1:6" ht="24.9" customHeight="1" thickBot="1">
      <c r="A1231" s="56" t="s">
        <v>41</v>
      </c>
      <c r="B1231" s="56" t="s">
        <v>43</v>
      </c>
      <c r="C1231" s="59"/>
      <c r="D1231" s="58" t="s">
        <v>966</v>
      </c>
      <c r="E1231" s="57" t="s">
        <v>22</v>
      </c>
      <c r="F1231" s="59" t="s">
        <v>967</v>
      </c>
    </row>
    <row r="1232" spans="1:6" ht="24.9" customHeight="1">
      <c r="A1232" s="657">
        <v>1</v>
      </c>
      <c r="B1232" s="658" t="s">
        <v>1044</v>
      </c>
      <c r="C1232" s="659"/>
      <c r="D1232" s="660" t="s">
        <v>1045</v>
      </c>
      <c r="E1232" s="631">
        <v>86000</v>
      </c>
      <c r="F1232" s="661" t="s">
        <v>1016</v>
      </c>
    </row>
    <row r="1233" spans="1:6" ht="24.9" customHeight="1" thickBot="1">
      <c r="A1233" s="183"/>
      <c r="B1233" s="183"/>
      <c r="C1233" s="410"/>
      <c r="D1233" s="655" t="s">
        <v>1046</v>
      </c>
      <c r="E1233" s="637">
        <v>112000</v>
      </c>
      <c r="F1233" s="656" t="s">
        <v>1016</v>
      </c>
    </row>
    <row r="1234" spans="1:6" ht="24.9" customHeight="1">
      <c r="A1234" s="646">
        <v>2</v>
      </c>
      <c r="B1234" s="647" t="s">
        <v>1047</v>
      </c>
      <c r="C1234" s="633"/>
      <c r="D1234" s="645" t="s">
        <v>1048</v>
      </c>
      <c r="E1234" s="634">
        <v>36000</v>
      </c>
      <c r="F1234" s="654" t="s">
        <v>1016</v>
      </c>
    </row>
    <row r="1235" spans="1:6" ht="24.9" customHeight="1" thickBot="1">
      <c r="A1235" s="183"/>
      <c r="B1235" s="183"/>
      <c r="C1235" s="410"/>
      <c r="D1235" s="655" t="s">
        <v>1049</v>
      </c>
      <c r="E1235" s="637">
        <v>48000</v>
      </c>
      <c r="F1235" s="656" t="s">
        <v>1016</v>
      </c>
    </row>
    <row r="1236" spans="1:6" ht="24.9" customHeight="1"/>
    <row r="1237" spans="1:6" ht="24.9" customHeight="1"/>
    <row r="1238" spans="1:6" ht="24.9" customHeight="1"/>
    <row r="1239" spans="1:6" ht="24.9" customHeight="1"/>
    <row r="1240" spans="1:6" ht="24.9" customHeight="1"/>
    <row r="1241" spans="1:6" ht="24.9" customHeight="1"/>
    <row r="1242" spans="1:6" ht="24.9" customHeight="1"/>
    <row r="1243" spans="1:6" ht="24.9" customHeight="1"/>
    <row r="1244" spans="1:6" ht="24.9" customHeight="1"/>
    <row r="1245" spans="1:6" ht="24.9" customHeight="1"/>
    <row r="1246" spans="1:6" ht="24.9" customHeight="1"/>
    <row r="1247" spans="1:6" ht="24.9" customHeight="1"/>
    <row r="1248" spans="1:6" ht="24.9" customHeight="1"/>
    <row r="1249" ht="24.9" customHeight="1"/>
    <row r="1250" ht="24.9" customHeight="1"/>
    <row r="1251" ht="24.9" customHeight="1"/>
    <row r="1252" ht="24.9" customHeight="1"/>
    <row r="1253" ht="24.9" customHeight="1"/>
    <row r="1254" ht="24.9" customHeight="1"/>
    <row r="1255" ht="24.9" customHeight="1"/>
    <row r="1256" ht="24.9" customHeight="1"/>
    <row r="1257" ht="24.9" customHeight="1"/>
    <row r="1258" ht="24.9" customHeight="1"/>
    <row r="1259" ht="24.9" customHeight="1"/>
    <row r="1260" ht="24.9" customHeight="1"/>
    <row r="1261" ht="24.9" customHeight="1"/>
    <row r="1262" ht="24.9" customHeight="1"/>
    <row r="1263" ht="24.9" customHeight="1"/>
    <row r="1264" ht="24.9" customHeight="1"/>
    <row r="1265" ht="24.9" customHeight="1"/>
    <row r="1266" ht="24.9" customHeight="1"/>
    <row r="1267" ht="24.9" customHeight="1"/>
    <row r="1268" ht="24.9" customHeight="1"/>
    <row r="1269" ht="24.9" customHeight="1"/>
    <row r="1270" ht="24.9" customHeight="1"/>
    <row r="1271" ht="24.9" customHeight="1"/>
    <row r="1272" ht="24.9" customHeight="1"/>
    <row r="1273" ht="24.9" customHeight="1"/>
    <row r="1274" ht="24.9" customHeight="1"/>
    <row r="1275" ht="24.9" customHeight="1"/>
    <row r="1276" ht="24.9" customHeight="1"/>
    <row r="1277" ht="24.9" customHeight="1"/>
    <row r="1278" ht="24.9" customHeight="1"/>
    <row r="1279" ht="24.9" customHeight="1"/>
    <row r="1280" ht="24.9" customHeight="1"/>
    <row r="1281" ht="24.9" customHeight="1"/>
    <row r="1282" ht="24.9" customHeight="1"/>
    <row r="1283" ht="24.9" customHeight="1"/>
    <row r="1284" ht="24.9" customHeight="1"/>
    <row r="1285" ht="24.9" customHeight="1"/>
    <row r="1286" ht="24.9" customHeight="1"/>
    <row r="1287" ht="24.9" customHeight="1"/>
    <row r="1288" ht="24.9" customHeight="1"/>
    <row r="1289" ht="24.9" customHeight="1"/>
    <row r="1290" ht="24.9" customHeight="1"/>
    <row r="1291" ht="24.9" customHeight="1"/>
    <row r="1292" ht="24.9" customHeight="1"/>
    <row r="1293" ht="24.9" customHeight="1"/>
    <row r="1294" ht="24.9" customHeight="1"/>
    <row r="1295" ht="24.9" customHeight="1"/>
    <row r="1296" ht="24.9" customHeight="1"/>
    <row r="1297" ht="24.9" customHeight="1"/>
    <row r="1298" ht="24.9" customHeight="1"/>
    <row r="1299" ht="24.9" customHeight="1"/>
    <row r="1300" ht="24.9" customHeight="1"/>
    <row r="1301" ht="24.9" customHeight="1"/>
    <row r="1302" ht="24.9" customHeight="1"/>
    <row r="1303" ht="24.9" customHeight="1"/>
  </sheetData>
  <mergeCells count="852">
    <mergeCell ref="C983:C984"/>
    <mergeCell ref="D983:D984"/>
    <mergeCell ref="E983:E984"/>
    <mergeCell ref="F983:F984"/>
    <mergeCell ref="G983:G984"/>
    <mergeCell ref="H983:H984"/>
    <mergeCell ref="C973:C974"/>
    <mergeCell ref="D973:D974"/>
    <mergeCell ref="E973:E974"/>
    <mergeCell ref="F973:F974"/>
    <mergeCell ref="G973:G974"/>
    <mergeCell ref="H973:H974"/>
    <mergeCell ref="C963:C964"/>
    <mergeCell ref="D963:D964"/>
    <mergeCell ref="E963:E964"/>
    <mergeCell ref="F963:F964"/>
    <mergeCell ref="G963:G964"/>
    <mergeCell ref="H963:H964"/>
    <mergeCell ref="C953:C954"/>
    <mergeCell ref="D953:D954"/>
    <mergeCell ref="E953:E954"/>
    <mergeCell ref="F953:F954"/>
    <mergeCell ref="G953:G954"/>
    <mergeCell ref="H953:H954"/>
    <mergeCell ref="C943:C944"/>
    <mergeCell ref="D943:D944"/>
    <mergeCell ref="E943:E944"/>
    <mergeCell ref="F943:F944"/>
    <mergeCell ref="G943:G944"/>
    <mergeCell ref="H943:H944"/>
    <mergeCell ref="C933:C934"/>
    <mergeCell ref="D933:D934"/>
    <mergeCell ref="E933:E934"/>
    <mergeCell ref="F933:F934"/>
    <mergeCell ref="G933:G934"/>
    <mergeCell ref="H933:H934"/>
    <mergeCell ref="C923:C924"/>
    <mergeCell ref="D923:D924"/>
    <mergeCell ref="E923:E924"/>
    <mergeCell ref="F923:F924"/>
    <mergeCell ref="G923:G924"/>
    <mergeCell ref="H923:H924"/>
    <mergeCell ref="C913:C914"/>
    <mergeCell ref="D913:D914"/>
    <mergeCell ref="E913:E914"/>
    <mergeCell ref="F913:F914"/>
    <mergeCell ref="G913:G914"/>
    <mergeCell ref="H913:H914"/>
    <mergeCell ref="C903:C904"/>
    <mergeCell ref="D903:D904"/>
    <mergeCell ref="E903:E904"/>
    <mergeCell ref="F903:F904"/>
    <mergeCell ref="G903:G904"/>
    <mergeCell ref="H903:H904"/>
    <mergeCell ref="C893:C894"/>
    <mergeCell ref="D893:D894"/>
    <mergeCell ref="E893:E894"/>
    <mergeCell ref="F893:F894"/>
    <mergeCell ref="G893:G894"/>
    <mergeCell ref="H893:H894"/>
    <mergeCell ref="C883:C884"/>
    <mergeCell ref="D883:D884"/>
    <mergeCell ref="E883:E884"/>
    <mergeCell ref="F883:F884"/>
    <mergeCell ref="G883:G884"/>
    <mergeCell ref="H883:H884"/>
    <mergeCell ref="C873:C874"/>
    <mergeCell ref="D873:D874"/>
    <mergeCell ref="E873:E874"/>
    <mergeCell ref="F873:F874"/>
    <mergeCell ref="G873:G874"/>
    <mergeCell ref="H873:H874"/>
    <mergeCell ref="C863:C864"/>
    <mergeCell ref="D863:D864"/>
    <mergeCell ref="E863:E864"/>
    <mergeCell ref="F863:F864"/>
    <mergeCell ref="G863:G864"/>
    <mergeCell ref="H863:H864"/>
    <mergeCell ref="C853:C854"/>
    <mergeCell ref="D853:D854"/>
    <mergeCell ref="E853:E854"/>
    <mergeCell ref="F853:F854"/>
    <mergeCell ref="G853:G854"/>
    <mergeCell ref="H853:H854"/>
    <mergeCell ref="C843:C844"/>
    <mergeCell ref="D843:D844"/>
    <mergeCell ref="E843:E844"/>
    <mergeCell ref="F843:F844"/>
    <mergeCell ref="G843:G844"/>
    <mergeCell ref="H843:H844"/>
    <mergeCell ref="C833:C834"/>
    <mergeCell ref="D833:D834"/>
    <mergeCell ref="E833:E834"/>
    <mergeCell ref="F833:F834"/>
    <mergeCell ref="G833:G834"/>
    <mergeCell ref="H833:H834"/>
    <mergeCell ref="C823:C824"/>
    <mergeCell ref="D823:D824"/>
    <mergeCell ref="E823:E824"/>
    <mergeCell ref="F823:F824"/>
    <mergeCell ref="G823:G824"/>
    <mergeCell ref="H823:H824"/>
    <mergeCell ref="C813:C814"/>
    <mergeCell ref="D813:D814"/>
    <mergeCell ref="E813:E814"/>
    <mergeCell ref="F813:F814"/>
    <mergeCell ref="G813:G814"/>
    <mergeCell ref="H813:H814"/>
    <mergeCell ref="C803:C804"/>
    <mergeCell ref="D803:D804"/>
    <mergeCell ref="E803:E804"/>
    <mergeCell ref="F803:F804"/>
    <mergeCell ref="G803:G804"/>
    <mergeCell ref="H803:H804"/>
    <mergeCell ref="C793:C794"/>
    <mergeCell ref="D793:D794"/>
    <mergeCell ref="E793:E794"/>
    <mergeCell ref="F793:F794"/>
    <mergeCell ref="G793:G794"/>
    <mergeCell ref="H793:H794"/>
    <mergeCell ref="C783:C784"/>
    <mergeCell ref="D783:D784"/>
    <mergeCell ref="E783:E784"/>
    <mergeCell ref="F783:F784"/>
    <mergeCell ref="G783:G784"/>
    <mergeCell ref="H783:H784"/>
    <mergeCell ref="C773:C774"/>
    <mergeCell ref="D773:D774"/>
    <mergeCell ref="E773:E774"/>
    <mergeCell ref="F773:F774"/>
    <mergeCell ref="G773:G774"/>
    <mergeCell ref="H773:H774"/>
    <mergeCell ref="C763:C764"/>
    <mergeCell ref="D763:D764"/>
    <mergeCell ref="E763:E764"/>
    <mergeCell ref="F763:F764"/>
    <mergeCell ref="G763:G764"/>
    <mergeCell ref="H763:H764"/>
    <mergeCell ref="C753:C754"/>
    <mergeCell ref="D753:D754"/>
    <mergeCell ref="E753:E754"/>
    <mergeCell ref="F753:F754"/>
    <mergeCell ref="G753:G754"/>
    <mergeCell ref="H753:H754"/>
    <mergeCell ref="C743:C744"/>
    <mergeCell ref="D743:D744"/>
    <mergeCell ref="E743:E744"/>
    <mergeCell ref="F743:F744"/>
    <mergeCell ref="G743:G744"/>
    <mergeCell ref="H743:H744"/>
    <mergeCell ref="C733:C734"/>
    <mergeCell ref="D733:D734"/>
    <mergeCell ref="E733:E734"/>
    <mergeCell ref="F733:F734"/>
    <mergeCell ref="G733:G734"/>
    <mergeCell ref="H733:H734"/>
    <mergeCell ref="C723:C724"/>
    <mergeCell ref="D723:D724"/>
    <mergeCell ref="E723:E724"/>
    <mergeCell ref="F723:F724"/>
    <mergeCell ref="G723:G724"/>
    <mergeCell ref="H723:H724"/>
    <mergeCell ref="C713:C714"/>
    <mergeCell ref="D713:D714"/>
    <mergeCell ref="E713:E714"/>
    <mergeCell ref="F713:F714"/>
    <mergeCell ref="G713:G714"/>
    <mergeCell ref="H713:H714"/>
    <mergeCell ref="C703:C704"/>
    <mergeCell ref="D703:D704"/>
    <mergeCell ref="E703:E704"/>
    <mergeCell ref="F703:F704"/>
    <mergeCell ref="G703:G704"/>
    <mergeCell ref="H703:H704"/>
    <mergeCell ref="C693:C694"/>
    <mergeCell ref="D693:D694"/>
    <mergeCell ref="E693:E694"/>
    <mergeCell ref="F693:F694"/>
    <mergeCell ref="G693:G694"/>
    <mergeCell ref="H693:H694"/>
    <mergeCell ref="C683:C684"/>
    <mergeCell ref="D683:D684"/>
    <mergeCell ref="E683:E684"/>
    <mergeCell ref="F683:F684"/>
    <mergeCell ref="G683:G684"/>
    <mergeCell ref="H683:H684"/>
    <mergeCell ref="C673:C674"/>
    <mergeCell ref="D673:D674"/>
    <mergeCell ref="E673:E674"/>
    <mergeCell ref="F673:F674"/>
    <mergeCell ref="G673:G674"/>
    <mergeCell ref="H673:H674"/>
    <mergeCell ref="C663:C664"/>
    <mergeCell ref="D663:D664"/>
    <mergeCell ref="E663:E664"/>
    <mergeCell ref="F663:F664"/>
    <mergeCell ref="G663:G664"/>
    <mergeCell ref="H663:H664"/>
    <mergeCell ref="C653:C654"/>
    <mergeCell ref="D653:D654"/>
    <mergeCell ref="E653:E654"/>
    <mergeCell ref="F653:F654"/>
    <mergeCell ref="G653:G654"/>
    <mergeCell ref="H653:H654"/>
    <mergeCell ref="C643:C644"/>
    <mergeCell ref="D643:D644"/>
    <mergeCell ref="E643:E644"/>
    <mergeCell ref="F643:F644"/>
    <mergeCell ref="G643:G644"/>
    <mergeCell ref="H643:H644"/>
    <mergeCell ref="C633:C634"/>
    <mergeCell ref="D633:D634"/>
    <mergeCell ref="E633:E634"/>
    <mergeCell ref="F633:F634"/>
    <mergeCell ref="G633:G634"/>
    <mergeCell ref="H633:H634"/>
    <mergeCell ref="C623:C624"/>
    <mergeCell ref="D623:D624"/>
    <mergeCell ref="E623:E624"/>
    <mergeCell ref="F623:F624"/>
    <mergeCell ref="G623:G624"/>
    <mergeCell ref="H623:H624"/>
    <mergeCell ref="C613:C614"/>
    <mergeCell ref="D613:D614"/>
    <mergeCell ref="E613:E614"/>
    <mergeCell ref="F613:F614"/>
    <mergeCell ref="G613:G614"/>
    <mergeCell ref="H613:H614"/>
    <mergeCell ref="C603:C604"/>
    <mergeCell ref="D603:D604"/>
    <mergeCell ref="E603:E604"/>
    <mergeCell ref="F603:F604"/>
    <mergeCell ref="G603:G604"/>
    <mergeCell ref="H603:H604"/>
    <mergeCell ref="C593:C594"/>
    <mergeCell ref="D593:D594"/>
    <mergeCell ref="E593:E594"/>
    <mergeCell ref="F593:F594"/>
    <mergeCell ref="G593:G594"/>
    <mergeCell ref="H593:H594"/>
    <mergeCell ref="C583:C584"/>
    <mergeCell ref="D583:D584"/>
    <mergeCell ref="E583:E584"/>
    <mergeCell ref="F583:F584"/>
    <mergeCell ref="G583:G584"/>
    <mergeCell ref="H583:H584"/>
    <mergeCell ref="C573:C574"/>
    <mergeCell ref="D573:D574"/>
    <mergeCell ref="E573:E574"/>
    <mergeCell ref="F573:F574"/>
    <mergeCell ref="G573:G574"/>
    <mergeCell ref="H573:H574"/>
    <mergeCell ref="C563:C564"/>
    <mergeCell ref="D563:D564"/>
    <mergeCell ref="E563:E564"/>
    <mergeCell ref="F563:F564"/>
    <mergeCell ref="G563:G564"/>
    <mergeCell ref="H563:H564"/>
    <mergeCell ref="C553:C554"/>
    <mergeCell ref="D553:D554"/>
    <mergeCell ref="E553:E554"/>
    <mergeCell ref="F553:F554"/>
    <mergeCell ref="G553:G554"/>
    <mergeCell ref="H553:H554"/>
    <mergeCell ref="C543:C544"/>
    <mergeCell ref="D543:D544"/>
    <mergeCell ref="E543:E544"/>
    <mergeCell ref="F543:F544"/>
    <mergeCell ref="G543:G544"/>
    <mergeCell ref="H543:H544"/>
    <mergeCell ref="C533:C534"/>
    <mergeCell ref="D533:D534"/>
    <mergeCell ref="E533:E534"/>
    <mergeCell ref="F533:F534"/>
    <mergeCell ref="G533:G534"/>
    <mergeCell ref="H533:H534"/>
    <mergeCell ref="C523:C524"/>
    <mergeCell ref="D523:D524"/>
    <mergeCell ref="E523:E524"/>
    <mergeCell ref="F523:F524"/>
    <mergeCell ref="G523:G524"/>
    <mergeCell ref="H523:H524"/>
    <mergeCell ref="C513:C514"/>
    <mergeCell ref="D513:D514"/>
    <mergeCell ref="E513:E514"/>
    <mergeCell ref="F513:F514"/>
    <mergeCell ref="G513:G514"/>
    <mergeCell ref="H513:H514"/>
    <mergeCell ref="C503:C504"/>
    <mergeCell ref="D503:D504"/>
    <mergeCell ref="E503:E504"/>
    <mergeCell ref="F503:F504"/>
    <mergeCell ref="G503:G504"/>
    <mergeCell ref="H503:H504"/>
    <mergeCell ref="C493:C494"/>
    <mergeCell ref="D493:D494"/>
    <mergeCell ref="E493:E494"/>
    <mergeCell ref="F493:F494"/>
    <mergeCell ref="G493:G494"/>
    <mergeCell ref="H493:H494"/>
    <mergeCell ref="C483:C484"/>
    <mergeCell ref="D483:D484"/>
    <mergeCell ref="E483:E484"/>
    <mergeCell ref="F483:F484"/>
    <mergeCell ref="G483:G484"/>
    <mergeCell ref="H483:H484"/>
    <mergeCell ref="C473:C474"/>
    <mergeCell ref="D473:D474"/>
    <mergeCell ref="E473:E474"/>
    <mergeCell ref="F473:F474"/>
    <mergeCell ref="G473:G474"/>
    <mergeCell ref="H473:H474"/>
    <mergeCell ref="C463:C464"/>
    <mergeCell ref="D463:D464"/>
    <mergeCell ref="E463:E464"/>
    <mergeCell ref="F463:F464"/>
    <mergeCell ref="G463:G464"/>
    <mergeCell ref="H463:H464"/>
    <mergeCell ref="C453:C454"/>
    <mergeCell ref="D453:D454"/>
    <mergeCell ref="E453:E454"/>
    <mergeCell ref="F453:F454"/>
    <mergeCell ref="G453:G454"/>
    <mergeCell ref="H453:H454"/>
    <mergeCell ref="C443:C444"/>
    <mergeCell ref="D443:D444"/>
    <mergeCell ref="E443:E444"/>
    <mergeCell ref="F443:F444"/>
    <mergeCell ref="G443:G444"/>
    <mergeCell ref="H443:H444"/>
    <mergeCell ref="C433:C434"/>
    <mergeCell ref="D433:D434"/>
    <mergeCell ref="E433:E434"/>
    <mergeCell ref="F433:F434"/>
    <mergeCell ref="G433:G434"/>
    <mergeCell ref="H433:H434"/>
    <mergeCell ref="C423:C424"/>
    <mergeCell ref="D423:D424"/>
    <mergeCell ref="E423:E424"/>
    <mergeCell ref="F423:F424"/>
    <mergeCell ref="G423:G424"/>
    <mergeCell ref="H423:H424"/>
    <mergeCell ref="C413:C414"/>
    <mergeCell ref="D413:D414"/>
    <mergeCell ref="E413:E414"/>
    <mergeCell ref="F413:F414"/>
    <mergeCell ref="G413:G414"/>
    <mergeCell ref="H413:H414"/>
    <mergeCell ref="C403:C404"/>
    <mergeCell ref="D403:D404"/>
    <mergeCell ref="E403:E404"/>
    <mergeCell ref="F403:F404"/>
    <mergeCell ref="G403:G404"/>
    <mergeCell ref="H403:H404"/>
    <mergeCell ref="C393:C394"/>
    <mergeCell ref="D393:D394"/>
    <mergeCell ref="E393:E394"/>
    <mergeCell ref="F393:F394"/>
    <mergeCell ref="G393:G394"/>
    <mergeCell ref="H393:H394"/>
    <mergeCell ref="C383:C384"/>
    <mergeCell ref="D383:D384"/>
    <mergeCell ref="E383:E384"/>
    <mergeCell ref="F383:F384"/>
    <mergeCell ref="G383:G384"/>
    <mergeCell ref="H383:H384"/>
    <mergeCell ref="C373:C374"/>
    <mergeCell ref="D373:D374"/>
    <mergeCell ref="E373:E374"/>
    <mergeCell ref="F373:F374"/>
    <mergeCell ref="G373:G374"/>
    <mergeCell ref="H373:H374"/>
    <mergeCell ref="C363:C364"/>
    <mergeCell ref="D363:D364"/>
    <mergeCell ref="E363:E364"/>
    <mergeCell ref="F363:F364"/>
    <mergeCell ref="G363:G364"/>
    <mergeCell ref="H363:H364"/>
    <mergeCell ref="C353:C354"/>
    <mergeCell ref="D353:D354"/>
    <mergeCell ref="E353:E354"/>
    <mergeCell ref="F353:F354"/>
    <mergeCell ref="G353:G354"/>
    <mergeCell ref="H353:H354"/>
    <mergeCell ref="C343:C344"/>
    <mergeCell ref="D343:D344"/>
    <mergeCell ref="E343:E344"/>
    <mergeCell ref="F343:F344"/>
    <mergeCell ref="G343:G344"/>
    <mergeCell ref="H343:H344"/>
    <mergeCell ref="C333:C334"/>
    <mergeCell ref="D333:D334"/>
    <mergeCell ref="E333:E334"/>
    <mergeCell ref="F333:F334"/>
    <mergeCell ref="G333:G334"/>
    <mergeCell ref="H333:H334"/>
    <mergeCell ref="C323:C324"/>
    <mergeCell ref="D323:D324"/>
    <mergeCell ref="E323:E324"/>
    <mergeCell ref="F323:F324"/>
    <mergeCell ref="G323:G324"/>
    <mergeCell ref="H323:H324"/>
    <mergeCell ref="C312:C313"/>
    <mergeCell ref="D312:D313"/>
    <mergeCell ref="E312:E313"/>
    <mergeCell ref="F312:F313"/>
    <mergeCell ref="G312:G313"/>
    <mergeCell ref="H312:H313"/>
    <mergeCell ref="H292:H293"/>
    <mergeCell ref="C302:C303"/>
    <mergeCell ref="D302:D303"/>
    <mergeCell ref="E302:E303"/>
    <mergeCell ref="F302:F303"/>
    <mergeCell ref="G302:G303"/>
    <mergeCell ref="H302:H303"/>
    <mergeCell ref="AA288:AA289"/>
    <mergeCell ref="AB288:AD289"/>
    <mergeCell ref="AF288:AF289"/>
    <mergeCell ref="AG288:AG289"/>
    <mergeCell ref="AI288:AI289"/>
    <mergeCell ref="C292:C293"/>
    <mergeCell ref="D292:D293"/>
    <mergeCell ref="E292:E293"/>
    <mergeCell ref="F292:F293"/>
    <mergeCell ref="G292:G293"/>
    <mergeCell ref="C282:C283"/>
    <mergeCell ref="D282:D283"/>
    <mergeCell ref="E282:E283"/>
    <mergeCell ref="F282:F283"/>
    <mergeCell ref="G282:G283"/>
    <mergeCell ref="H282:H283"/>
    <mergeCell ref="C272:C273"/>
    <mergeCell ref="D272:D273"/>
    <mergeCell ref="E272:E273"/>
    <mergeCell ref="F272:F273"/>
    <mergeCell ref="G272:G273"/>
    <mergeCell ref="H272:H273"/>
    <mergeCell ref="C262:C263"/>
    <mergeCell ref="D262:D263"/>
    <mergeCell ref="E262:E263"/>
    <mergeCell ref="F262:F263"/>
    <mergeCell ref="G262:G263"/>
    <mergeCell ref="H262:H263"/>
    <mergeCell ref="H242:H243"/>
    <mergeCell ref="CI248:CL248"/>
    <mergeCell ref="C252:C253"/>
    <mergeCell ref="D252:D253"/>
    <mergeCell ref="E252:E253"/>
    <mergeCell ref="F252:F253"/>
    <mergeCell ref="G252:G253"/>
    <mergeCell ref="H252:H253"/>
    <mergeCell ref="AA235:AA236"/>
    <mergeCell ref="AB235:AD236"/>
    <mergeCell ref="AF235:AF236"/>
    <mergeCell ref="AG235:AG236"/>
    <mergeCell ref="AI235:AI236"/>
    <mergeCell ref="C242:C243"/>
    <mergeCell ref="D242:D243"/>
    <mergeCell ref="E242:E243"/>
    <mergeCell ref="F242:F243"/>
    <mergeCell ref="G242:G243"/>
    <mergeCell ref="CI228:CL228"/>
    <mergeCell ref="C232:C233"/>
    <mergeCell ref="D232:D233"/>
    <mergeCell ref="E232:E233"/>
    <mergeCell ref="F232:F233"/>
    <mergeCell ref="G232:G233"/>
    <mergeCell ref="H232:H233"/>
    <mergeCell ref="H222:H223"/>
    <mergeCell ref="AA227:AA228"/>
    <mergeCell ref="AB227:AD228"/>
    <mergeCell ref="AF227:AF228"/>
    <mergeCell ref="AG227:AG228"/>
    <mergeCell ref="AI227:AI228"/>
    <mergeCell ref="AA219:AA220"/>
    <mergeCell ref="AB219:AD220"/>
    <mergeCell ref="AF219:AF220"/>
    <mergeCell ref="AG219:AG220"/>
    <mergeCell ref="AI219:AI220"/>
    <mergeCell ref="C222:C223"/>
    <mergeCell ref="D222:D223"/>
    <mergeCell ref="E222:E223"/>
    <mergeCell ref="F222:F223"/>
    <mergeCell ref="G222:G223"/>
    <mergeCell ref="CI208:CL208"/>
    <mergeCell ref="C212:C213"/>
    <mergeCell ref="D212:D213"/>
    <mergeCell ref="E212:E213"/>
    <mergeCell ref="F212:F213"/>
    <mergeCell ref="G212:G213"/>
    <mergeCell ref="H212:H213"/>
    <mergeCell ref="C202:C203"/>
    <mergeCell ref="D202:D203"/>
    <mergeCell ref="E202:E203"/>
    <mergeCell ref="F202:F203"/>
    <mergeCell ref="G202:G203"/>
    <mergeCell ref="H202:H203"/>
    <mergeCell ref="CI189:CL189"/>
    <mergeCell ref="C192:C193"/>
    <mergeCell ref="D192:D193"/>
    <mergeCell ref="E192:E193"/>
    <mergeCell ref="F192:F193"/>
    <mergeCell ref="G192:G193"/>
    <mergeCell ref="H192:H193"/>
    <mergeCell ref="C182:C183"/>
    <mergeCell ref="D182:D183"/>
    <mergeCell ref="E182:E183"/>
    <mergeCell ref="F182:F183"/>
    <mergeCell ref="G182:G183"/>
    <mergeCell ref="H182:H183"/>
    <mergeCell ref="AA175:AA176"/>
    <mergeCell ref="AB175:AD176"/>
    <mergeCell ref="AF175:AF176"/>
    <mergeCell ref="AG175:AG176"/>
    <mergeCell ref="AI175:AI176"/>
    <mergeCell ref="CI179:CL179"/>
    <mergeCell ref="C172:C173"/>
    <mergeCell ref="D172:D173"/>
    <mergeCell ref="E172:E173"/>
    <mergeCell ref="F172:F173"/>
    <mergeCell ref="G172:G173"/>
    <mergeCell ref="H172:H173"/>
    <mergeCell ref="C162:C163"/>
    <mergeCell ref="D162:D163"/>
    <mergeCell ref="E162:E163"/>
    <mergeCell ref="F162:F163"/>
    <mergeCell ref="G162:G163"/>
    <mergeCell ref="H162:H163"/>
    <mergeCell ref="DK156:DP156"/>
    <mergeCell ref="DK157:DK158"/>
    <mergeCell ref="DL157:DL158"/>
    <mergeCell ref="DM157:DP157"/>
    <mergeCell ref="AA160:AA161"/>
    <mergeCell ref="AB160:AD161"/>
    <mergeCell ref="AF160:AF161"/>
    <mergeCell ref="AG160:AG161"/>
    <mergeCell ref="AI160:AI161"/>
    <mergeCell ref="BU148:BW148"/>
    <mergeCell ref="C152:C153"/>
    <mergeCell ref="D152:D153"/>
    <mergeCell ref="E152:E153"/>
    <mergeCell ref="F152:F153"/>
    <mergeCell ref="G152:G153"/>
    <mergeCell ref="H152:H153"/>
    <mergeCell ref="DS144:DX144"/>
    <mergeCell ref="DK145:DK146"/>
    <mergeCell ref="DL145:DL146"/>
    <mergeCell ref="DM145:DP145"/>
    <mergeCell ref="DS145:DS146"/>
    <mergeCell ref="DT145:DT146"/>
    <mergeCell ref="DU145:DX145"/>
    <mergeCell ref="AA144:AA145"/>
    <mergeCell ref="AB144:AD145"/>
    <mergeCell ref="AF144:AF145"/>
    <mergeCell ref="AG144:AG145"/>
    <mergeCell ref="AI144:AI145"/>
    <mergeCell ref="DK144:DP144"/>
    <mergeCell ref="C142:C143"/>
    <mergeCell ref="D142:D143"/>
    <mergeCell ref="E142:E143"/>
    <mergeCell ref="F142:F143"/>
    <mergeCell ref="G142:G143"/>
    <mergeCell ref="H142:H143"/>
    <mergeCell ref="BT129:BZ129"/>
    <mergeCell ref="AA133:AA134"/>
    <mergeCell ref="AB133:AD134"/>
    <mergeCell ref="AF133:AF134"/>
    <mergeCell ref="AG133:AG134"/>
    <mergeCell ref="AI133:AI134"/>
    <mergeCell ref="C124:L126"/>
    <mergeCell ref="BD126:BH126"/>
    <mergeCell ref="C127:C128"/>
    <mergeCell ref="D127:D128"/>
    <mergeCell ref="E127:E128"/>
    <mergeCell ref="F127:F128"/>
    <mergeCell ref="G127:G128"/>
    <mergeCell ref="H127:H128"/>
    <mergeCell ref="BR115:BS115"/>
    <mergeCell ref="BR116:BR120"/>
    <mergeCell ref="ED119:EG119"/>
    <mergeCell ref="DL120:DY120"/>
    <mergeCell ref="BR121:BR125"/>
    <mergeCell ref="DL121:DQ121"/>
    <mergeCell ref="DS121:DX121"/>
    <mergeCell ref="BR101:BS101"/>
    <mergeCell ref="BR102:BR106"/>
    <mergeCell ref="ED104:EG104"/>
    <mergeCell ref="BJ107:BN107"/>
    <mergeCell ref="BR107:BR111"/>
    <mergeCell ref="BT114:BZ114"/>
    <mergeCell ref="BT100:BZ100"/>
    <mergeCell ref="DK100:DL100"/>
    <mergeCell ref="DM100:DM101"/>
    <mergeCell ref="DN100:DO101"/>
    <mergeCell ref="DP100:DQ101"/>
    <mergeCell ref="DR100:DS101"/>
    <mergeCell ref="CZ94:DD94"/>
    <mergeCell ref="CZ95:DA95"/>
    <mergeCell ref="DB95:DB96"/>
    <mergeCell ref="DC95:DD96"/>
    <mergeCell ref="DE95:DF96"/>
    <mergeCell ref="DG95:DH96"/>
    <mergeCell ref="BR85:BS85"/>
    <mergeCell ref="BR86:BR90"/>
    <mergeCell ref="ED89:EG89"/>
    <mergeCell ref="BR91:BR95"/>
    <mergeCell ref="AA93:AA94"/>
    <mergeCell ref="AB93:AD94"/>
    <mergeCell ref="AF93:AF94"/>
    <mergeCell ref="AG93:AG94"/>
    <mergeCell ref="AI93:AI94"/>
    <mergeCell ref="BJ94:BN94"/>
    <mergeCell ref="DK83:DL83"/>
    <mergeCell ref="DM83:DM84"/>
    <mergeCell ref="DN83:DO84"/>
    <mergeCell ref="DP83:DQ84"/>
    <mergeCell ref="DR83:DS84"/>
    <mergeCell ref="BT84:BZ84"/>
    <mergeCell ref="AN77:AN78"/>
    <mergeCell ref="AO77:AQ78"/>
    <mergeCell ref="AS77:AS78"/>
    <mergeCell ref="AT77:AT78"/>
    <mergeCell ref="AV77:AV78"/>
    <mergeCell ref="BR78:BR82"/>
    <mergeCell ref="BC82:BG82"/>
    <mergeCell ref="BJ82:BN82"/>
    <mergeCell ref="BR72:BS72"/>
    <mergeCell ref="BR73:BR77"/>
    <mergeCell ref="CG75:CL75"/>
    <mergeCell ref="DX75:EA75"/>
    <mergeCell ref="ED75:EG75"/>
    <mergeCell ref="CG76:CL76"/>
    <mergeCell ref="DR64:DS65"/>
    <mergeCell ref="ED65:EG65"/>
    <mergeCell ref="E68:I68"/>
    <mergeCell ref="DX68:EA68"/>
    <mergeCell ref="BJ71:BN71"/>
    <mergeCell ref="BT71:BZ71"/>
    <mergeCell ref="DR53:DS54"/>
    <mergeCell ref="BJ57:BN57"/>
    <mergeCell ref="EI57:EL57"/>
    <mergeCell ref="G58:M58"/>
    <mergeCell ref="DK63:DL63"/>
    <mergeCell ref="BB64:BF64"/>
    <mergeCell ref="DK64:DL64"/>
    <mergeCell ref="DM64:DM65"/>
    <mergeCell ref="DN64:DO65"/>
    <mergeCell ref="DP64:DQ65"/>
    <mergeCell ref="DE53:DF54"/>
    <mergeCell ref="DG53:DH54"/>
    <mergeCell ref="DK53:DL53"/>
    <mergeCell ref="DM53:DM54"/>
    <mergeCell ref="DN53:DO54"/>
    <mergeCell ref="DP53:DQ54"/>
    <mergeCell ref="I52:K52"/>
    <mergeCell ref="CZ52:DD52"/>
    <mergeCell ref="I53:K53"/>
    <mergeCell ref="CZ53:DA53"/>
    <mergeCell ref="DB53:DB54"/>
    <mergeCell ref="DC53:DD54"/>
    <mergeCell ref="BQ48:BT48"/>
    <mergeCell ref="I49:K49"/>
    <mergeCell ref="I50:K50"/>
    <mergeCell ref="ED50:EG50"/>
    <mergeCell ref="EI50:EL50"/>
    <mergeCell ref="I51:K51"/>
    <mergeCell ref="BQ41:BT41"/>
    <mergeCell ref="I44:K44"/>
    <mergeCell ref="BJ44:BM44"/>
    <mergeCell ref="I45:K45"/>
    <mergeCell ref="I46:K46"/>
    <mergeCell ref="I47:K47"/>
    <mergeCell ref="BB47:BE47"/>
    <mergeCell ref="DX35:DY35"/>
    <mergeCell ref="DZ35:EA35"/>
    <mergeCell ref="ED36:EG36"/>
    <mergeCell ref="EI36:EL36"/>
    <mergeCell ref="CG39:CM39"/>
    <mergeCell ref="BQ40:BT40"/>
    <mergeCell ref="DO30:DP30"/>
    <mergeCell ref="DQ30:DR30"/>
    <mergeCell ref="BB31:BE31"/>
    <mergeCell ref="BF31:BI31"/>
    <mergeCell ref="DX33:EB33"/>
    <mergeCell ref="DX34:EA34"/>
    <mergeCell ref="DC30:DD30"/>
    <mergeCell ref="DE30:DF30"/>
    <mergeCell ref="DG30:DH30"/>
    <mergeCell ref="DI30:DJ30"/>
    <mergeCell ref="DK30:DL30"/>
    <mergeCell ref="DM30:DN30"/>
    <mergeCell ref="DS28:DV28"/>
    <mergeCell ref="BB29:BG29"/>
    <mergeCell ref="CZ29:DA29"/>
    <mergeCell ref="DB29:DB30"/>
    <mergeCell ref="DC29:DF29"/>
    <mergeCell ref="DG29:DJ29"/>
    <mergeCell ref="DK29:DN29"/>
    <mergeCell ref="DO29:DR29"/>
    <mergeCell ref="DS29:DT29"/>
    <mergeCell ref="DU29:DV29"/>
    <mergeCell ref="DQ20:DR20"/>
    <mergeCell ref="BA21:BB21"/>
    <mergeCell ref="BQ23:BU23"/>
    <mergeCell ref="BQ24:BU24"/>
    <mergeCell ref="BJ26:BN26"/>
    <mergeCell ref="CY28:DA28"/>
    <mergeCell ref="DX19:DY19"/>
    <mergeCell ref="DZ19:EB19"/>
    <mergeCell ref="ED19:EE19"/>
    <mergeCell ref="EF19:EH19"/>
    <mergeCell ref="BA20:BB20"/>
    <mergeCell ref="DC20:DD20"/>
    <mergeCell ref="DE20:DF20"/>
    <mergeCell ref="DK20:DL20"/>
    <mergeCell ref="DM20:DN20"/>
    <mergeCell ref="DO20:DP20"/>
    <mergeCell ref="DO18:DP18"/>
    <mergeCell ref="DQ18:DR18"/>
    <mergeCell ref="DX18:EB18"/>
    <mergeCell ref="ED18:EH18"/>
    <mergeCell ref="DC19:DD19"/>
    <mergeCell ref="DE19:DF19"/>
    <mergeCell ref="DK19:DL19"/>
    <mergeCell ref="DM19:DN19"/>
    <mergeCell ref="DO19:DP19"/>
    <mergeCell ref="DQ19:DR19"/>
    <mergeCell ref="BA18:BB19"/>
    <mergeCell ref="BC18:BE18"/>
    <mergeCell ref="DC18:DD18"/>
    <mergeCell ref="DE18:DF18"/>
    <mergeCell ref="DK18:DL18"/>
    <mergeCell ref="DM18:DN18"/>
    <mergeCell ref="DQ16:DR16"/>
    <mergeCell ref="DC17:DD17"/>
    <mergeCell ref="DE17:DF17"/>
    <mergeCell ref="DK17:DL17"/>
    <mergeCell ref="DM17:DN17"/>
    <mergeCell ref="DO17:DP17"/>
    <mergeCell ref="DQ17:DR17"/>
    <mergeCell ref="BJ16:BN16"/>
    <mergeCell ref="DC16:DD16"/>
    <mergeCell ref="DE16:DF16"/>
    <mergeCell ref="DK16:DL16"/>
    <mergeCell ref="DM16:DN16"/>
    <mergeCell ref="DO16:DP16"/>
    <mergeCell ref="DC15:DD15"/>
    <mergeCell ref="DE15:DF15"/>
    <mergeCell ref="DK15:DL15"/>
    <mergeCell ref="DM15:DN15"/>
    <mergeCell ref="DO15:DP15"/>
    <mergeCell ref="DQ15:DR15"/>
    <mergeCell ref="DO13:DP13"/>
    <mergeCell ref="DQ13:DR13"/>
    <mergeCell ref="BQ14:BU14"/>
    <mergeCell ref="BX14:CD14"/>
    <mergeCell ref="DC14:DD14"/>
    <mergeCell ref="DE14:DF14"/>
    <mergeCell ref="DK14:DL14"/>
    <mergeCell ref="DM14:DN14"/>
    <mergeCell ref="DO14:DP14"/>
    <mergeCell ref="DQ14:DR14"/>
    <mergeCell ref="BQ13:BU13"/>
    <mergeCell ref="BX13:CD13"/>
    <mergeCell ref="DC13:DD13"/>
    <mergeCell ref="DE13:DF13"/>
    <mergeCell ref="DK13:DL13"/>
    <mergeCell ref="DM13:DN13"/>
    <mergeCell ref="DC12:DD12"/>
    <mergeCell ref="DE12:DF12"/>
    <mergeCell ref="DK12:DL12"/>
    <mergeCell ref="DM12:DN12"/>
    <mergeCell ref="DO12:DP12"/>
    <mergeCell ref="DQ12:DR12"/>
    <mergeCell ref="DC11:DD11"/>
    <mergeCell ref="DE11:DF11"/>
    <mergeCell ref="DK11:DL11"/>
    <mergeCell ref="DM11:DN11"/>
    <mergeCell ref="DO11:DP11"/>
    <mergeCell ref="DQ11:DR11"/>
    <mergeCell ref="DC10:DD10"/>
    <mergeCell ref="DE10:DF10"/>
    <mergeCell ref="DK10:DL10"/>
    <mergeCell ref="DM10:DN10"/>
    <mergeCell ref="DO10:DP10"/>
    <mergeCell ref="DQ10:DR10"/>
    <mergeCell ref="DC9:DD9"/>
    <mergeCell ref="DE9:DF9"/>
    <mergeCell ref="DK9:DL9"/>
    <mergeCell ref="DM9:DN9"/>
    <mergeCell ref="DO9:DP9"/>
    <mergeCell ref="DQ9:DR9"/>
    <mergeCell ref="DC8:DD8"/>
    <mergeCell ref="DE8:DF8"/>
    <mergeCell ref="DK8:DL8"/>
    <mergeCell ref="DM8:DN8"/>
    <mergeCell ref="DO8:DP8"/>
    <mergeCell ref="DQ8:DR8"/>
    <mergeCell ref="DO6:DP6"/>
    <mergeCell ref="DQ6:DR6"/>
    <mergeCell ref="DC7:DD7"/>
    <mergeCell ref="DE7:DF7"/>
    <mergeCell ref="DK7:DL7"/>
    <mergeCell ref="DM7:DN7"/>
    <mergeCell ref="DO7:DP7"/>
    <mergeCell ref="DQ7:DR7"/>
    <mergeCell ref="DC6:DD6"/>
    <mergeCell ref="DE6:DF6"/>
    <mergeCell ref="DG6:DH6"/>
    <mergeCell ref="DI6:DJ6"/>
    <mergeCell ref="DK6:DL6"/>
    <mergeCell ref="DM6:DN6"/>
    <mergeCell ref="DS5:DT5"/>
    <mergeCell ref="DU5:DV5"/>
    <mergeCell ref="DX5:DY5"/>
    <mergeCell ref="DZ5:EB5"/>
    <mergeCell ref="EC5:EE5"/>
    <mergeCell ref="EF5:EH5"/>
    <mergeCell ref="CG3:CL3"/>
    <mergeCell ref="CP3:CU3"/>
    <mergeCell ref="DS4:DV4"/>
    <mergeCell ref="DX4:EH4"/>
    <mergeCell ref="CZ5:DA5"/>
    <mergeCell ref="DB5:DB6"/>
    <mergeCell ref="DC5:DF5"/>
    <mergeCell ref="DG5:DJ5"/>
    <mergeCell ref="DK5:DN5"/>
    <mergeCell ref="DO5:DR5"/>
    <mergeCell ref="AO3:AQ4"/>
    <mergeCell ref="AS3:AS4"/>
    <mergeCell ref="AT3:AT4"/>
    <mergeCell ref="AV3:AV4"/>
    <mergeCell ref="BC3:BE3"/>
    <mergeCell ref="BF3:BI3"/>
    <mergeCell ref="CG2:CL2"/>
    <mergeCell ref="CP2:CV2"/>
    <mergeCell ref="DE2:DJ3"/>
    <mergeCell ref="Z3:Z4"/>
    <mergeCell ref="AA3:AA4"/>
    <mergeCell ref="AB3:AD4"/>
    <mergeCell ref="AF3:AF4"/>
    <mergeCell ref="AG3:AG4"/>
    <mergeCell ref="AI3:AI4"/>
    <mergeCell ref="AN3:AN4"/>
    <mergeCell ref="BA1:BI1"/>
    <mergeCell ref="BA2:BB3"/>
    <mergeCell ref="BC2:BI2"/>
    <mergeCell ref="BJ2:BN2"/>
    <mergeCell ref="BQ2:BU2"/>
    <mergeCell ref="BX2:CD2"/>
    <mergeCell ref="BQ3:BU3"/>
    <mergeCell ref="BX3:CD3"/>
  </mergeCells>
  <hyperlinks>
    <hyperlink ref="CI117" r:id="rId1" display="WFS-100@-H" xr:uid="{B07D2C8A-8562-45F6-A856-872B66D16B3B}"/>
    <hyperlink ref="CI143" r:id="rId2" display="WFS-100@-H" xr:uid="{93381F8B-7390-4544-B90F-B82EA12CEEE6}"/>
    <hyperlink ref="CI174" r:id="rId3" display="WFS-100@-H" xr:uid="{E89BEDB0-77D5-42B9-9021-AB9821B1ECD3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2026-06-25T07:06:27Z</dcterms:created>
  <dcterms:modified xsi:type="dcterms:W3CDTF">2026-06-25T07:08:06Z</dcterms:modified>
</cp:coreProperties>
</file>
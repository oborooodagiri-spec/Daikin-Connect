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lsrv-my.sharepoint.com/personal/dede_yusuf_daikinapplied_co_id/Documents/EPL-CONNECT/Form/Price List/"/>
    </mc:Choice>
  </mc:AlternateContent>
  <xr:revisionPtr revIDLastSave="0" documentId="8_{0EAEB15C-4B3A-4AFE-9B0B-2C2729F45B97}" xr6:coauthVersionLast="47" xr6:coauthVersionMax="47" xr10:uidLastSave="{00000000-0000-0000-0000-000000000000}"/>
  <bookViews>
    <workbookView xWindow="-108" yWindow="-108" windowWidth="23256" windowHeight="13896" xr2:uid="{DF21309F-108B-485A-9D2C-996EE982EB43}"/>
  </bookViews>
  <sheets>
    <sheet name="BOQ (Non Cbl Chiler Exis) (1)" sheetId="1" r:id="rId1"/>
  </sheets>
  <externalReferences>
    <externalReference r:id="rId2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E1">#REF!</definedName>
    <definedName name="\F">#REF!</definedName>
    <definedName name="\G">#REF!</definedName>
    <definedName name="\H">#REF!</definedName>
    <definedName name="\J">#REF!</definedName>
    <definedName name="\L">#REF!</definedName>
    <definedName name="\N">#REF!</definedName>
    <definedName name="\Q">#REF!</definedName>
    <definedName name="\R">#REF!</definedName>
    <definedName name="\S">#REF!</definedName>
    <definedName name="\V">#REF!</definedName>
    <definedName name="\X">#REF!</definedName>
    <definedName name="_\0">#REF!</definedName>
    <definedName name="_\A">#REF!</definedName>
    <definedName name="_\I">#REF!</definedName>
    <definedName name="_\K">#REF!</definedName>
    <definedName name="_\L">#REF!</definedName>
    <definedName name="_\O">#REF!</definedName>
    <definedName name="_\p">#REF!</definedName>
    <definedName name="_\Q">#REF!</definedName>
    <definedName name="_\S">#REF!</definedName>
    <definedName name="_\T">#REF!</definedName>
    <definedName name="_\U">#REF!</definedName>
    <definedName name="_\Y">#REF!</definedName>
    <definedName name="_\Z">#REF!</definedName>
    <definedName name="____\B">#REF!</definedName>
    <definedName name="____\C">#REF!</definedName>
    <definedName name="____\D">#REF!</definedName>
    <definedName name="____\E">#REF!</definedName>
    <definedName name="____\E1">#REF!</definedName>
    <definedName name="____\F">#REF!</definedName>
    <definedName name="____\G">#REF!</definedName>
    <definedName name="____\H">#REF!</definedName>
    <definedName name="____\J">#REF!</definedName>
    <definedName name="____\M">#REF!</definedName>
    <definedName name="____\N">#REF!</definedName>
    <definedName name="____\R">#REF!</definedName>
    <definedName name="____\V">#REF!</definedName>
    <definedName name="____\W">#REF!</definedName>
    <definedName name="____\WQ">#REF!</definedName>
    <definedName name="____\x">#REF!</definedName>
    <definedName name="____________________________________________________________________________________________A16500">#REF!</definedName>
    <definedName name="__________________________________________________________________________________________A16500">#REF!</definedName>
    <definedName name="________________________________________________________________________________________A16500">#REF!</definedName>
    <definedName name="______________________________________________________________________________________A16500">#REF!</definedName>
    <definedName name="____________________________________________________________________________________A16500">#REF!</definedName>
    <definedName name="__________________________________________________________________________________A16500">#REF!</definedName>
    <definedName name="________________________________________________________________________________A16500">#REF!</definedName>
    <definedName name="______________________________________________________________________________A16500">#REF!</definedName>
    <definedName name="____________________________________________________________________________A16500">#REF!</definedName>
    <definedName name="__________________________________________________________________________A16500">#REF!</definedName>
    <definedName name="___________________________________________________________________A16500">#REF!</definedName>
    <definedName name="____________________________________________________________A16500">#REF!</definedName>
    <definedName name="________________________________________________________A16500">#REF!</definedName>
    <definedName name="_____________________________________________________A16500">#REF!</definedName>
    <definedName name="_________________________________________________A16500">#REF!</definedName>
    <definedName name="___________________________________________A16500">#REF!</definedName>
    <definedName name="______________________________________A16500">#REF!</definedName>
    <definedName name="____________________________________A16500">#REF!</definedName>
    <definedName name="_______________________gk2" hidden="1">#REF!</definedName>
    <definedName name="______________________gk2" hidden="1">#REF!</definedName>
    <definedName name="_____________________gk2" hidden="1">#REF!</definedName>
    <definedName name="____________________abs100">#REF!</definedName>
    <definedName name="____________________ahu100">#REF!</definedName>
    <definedName name="____________________ahu150">#REF!</definedName>
    <definedName name="____________________ako100">#REF!</definedName>
    <definedName name="____________________ako150">#REF!</definedName>
    <definedName name="____________________ako50">#REF!</definedName>
    <definedName name="____________________ako80">#REF!</definedName>
    <definedName name="____________________aku100">#REF!</definedName>
    <definedName name="____________________aku150">#REF!</definedName>
    <definedName name="____________________bcv100">#REF!</definedName>
    <definedName name="____________________bcv150">#REF!</definedName>
    <definedName name="____________________cas80">#REF!</definedName>
    <definedName name="____________________cvd100">#REF!</definedName>
    <definedName name="____________________cvd15">#REF!</definedName>
    <definedName name="____________________cvd50">#REF!</definedName>
    <definedName name="____________________DAF10">#REF!</definedName>
    <definedName name="____________________dia6">#REF!</definedName>
    <definedName name="____________________fjd100">#REF!</definedName>
    <definedName name="____________________fjd50">#REF!</definedName>
    <definedName name="____________________fmd150">#REF!</definedName>
    <definedName name="____________________gk2" hidden="1">#REF!</definedName>
    <definedName name="____________________grc1">#REF!</definedName>
    <definedName name="____________________gvd100">#REF!</definedName>
    <definedName name="____________________gvd15">#REF!</definedName>
    <definedName name="____________________gvd25">#REF!</definedName>
    <definedName name="____________________gvd50">#REF!</definedName>
    <definedName name="____________________pab100">#REF!</definedName>
    <definedName name="____________________pab125">#REF!</definedName>
    <definedName name="____________________pab15">#REF!</definedName>
    <definedName name="____________________pab150">#REF!</definedName>
    <definedName name="____________________pab2">#REF!</definedName>
    <definedName name="____________________pab20">#REF!</definedName>
    <definedName name="____________________pab25">#REF!</definedName>
    <definedName name="____________________pab32">#REF!</definedName>
    <definedName name="____________________pab4">#REF!</definedName>
    <definedName name="____________________pab40">#REF!</definedName>
    <definedName name="____________________pab50">#REF!</definedName>
    <definedName name="____________________pab6">#REF!</definedName>
    <definedName name="____________________pab65">#REF!</definedName>
    <definedName name="____________________pab80">#REF!</definedName>
    <definedName name="____________________pah150">#REF!</definedName>
    <definedName name="____________________pak100">#REF!</definedName>
    <definedName name="____________________pak150">#REF!</definedName>
    <definedName name="____________________pak50">#REF!</definedName>
    <definedName name="____________________pak80">#REF!</definedName>
    <definedName name="____________________pbs100">#REF!</definedName>
    <definedName name="____________________pbs15">#REF!</definedName>
    <definedName name="____________________pbs50">#REF!</definedName>
    <definedName name="____________________pbs80">#REF!</definedName>
    <definedName name="____________________pc50">#REF!</definedName>
    <definedName name="____________________pc80">#REF!</definedName>
    <definedName name="____________________pcf80">#REF!</definedName>
    <definedName name="____________________ph100">#REF!</definedName>
    <definedName name="____________________ph150">#REF!</definedName>
    <definedName name="____________________phf100">#REF!</definedName>
    <definedName name="____________________phf150">#REF!</definedName>
    <definedName name="____________________pv100">#REF!</definedName>
    <definedName name="____________________pv40">#REF!</definedName>
    <definedName name="____________________pv50">#REF!</definedName>
    <definedName name="____________________pv80">#REF!</definedName>
    <definedName name="____________________pvf100">#REF!</definedName>
    <definedName name="____________________pvf80">#REF!</definedName>
    <definedName name="____________________rkl1000">#REF!</definedName>
    <definedName name="____________________rkl200">#REF!</definedName>
    <definedName name="____________________rkl300">#REF!</definedName>
    <definedName name="____________________rkl400">#REF!</definedName>
    <definedName name="____________________rkl500">#REF!</definedName>
    <definedName name="____________________rkl600">#REF!</definedName>
    <definedName name="____________________rkl700">#REF!</definedName>
    <definedName name="____________________rkl800">#REF!</definedName>
    <definedName name="____________________std100">#REF!</definedName>
    <definedName name="____________________std50">#REF!</definedName>
    <definedName name="____________________tlc20">#REF!</definedName>
    <definedName name="____________________tsv25">#REF!</definedName>
    <definedName name="____________________vnt100">#REF!</definedName>
    <definedName name="____________________vnt40">#REF!</definedName>
    <definedName name="____________________vnt50">#REF!</definedName>
    <definedName name="____________________vnt80">#REF!</definedName>
    <definedName name="___________________A16500">#REF!</definedName>
    <definedName name="___________________cod50">#REF!</definedName>
    <definedName name="___________________fdd100">#REF!</definedName>
    <definedName name="___________________fvd100">#REF!</definedName>
    <definedName name="___________________gk2" hidden="1">#REF!</definedName>
    <definedName name="___________________gvd20">#REF!</definedName>
    <definedName name="___________________gvd32">#REF!</definedName>
    <definedName name="___________________gvd40">#REF!</definedName>
    <definedName name="___________________gvd80">#REF!</definedName>
    <definedName name="___________________kr15">#REF!</definedName>
    <definedName name="___________________PL1">#REF!</definedName>
    <definedName name="___________________pvc100">#REF!</definedName>
    <definedName name="___________________pvc150">#REF!</definedName>
    <definedName name="___________________pvc20">#REF!</definedName>
    <definedName name="___________________pvc200">#REF!</definedName>
    <definedName name="___________________pvc25">#REF!</definedName>
    <definedName name="___________________pvc32">#REF!</definedName>
    <definedName name="___________________pvc40">#REF!</definedName>
    <definedName name="___________________pvc50">#REF!</definedName>
    <definedName name="___________________pvc65">#REF!</definedName>
    <definedName name="___________________pvc80">#REF!</definedName>
    <definedName name="___________________qmd15">#REF!</definedName>
    <definedName name="___________________qmd20">#REF!</definedName>
    <definedName name="___________________rdd100">#REF!</definedName>
    <definedName name="___________________rdd150">#REF!</definedName>
    <definedName name="__________________A16500">#REF!</definedName>
    <definedName name="__________________abs100">#REF!</definedName>
    <definedName name="__________________ahu100">#REF!</definedName>
    <definedName name="__________________ahu150">#REF!</definedName>
    <definedName name="__________________ako100">#REF!</definedName>
    <definedName name="__________________ako150">#REF!</definedName>
    <definedName name="__________________ako50">#REF!</definedName>
    <definedName name="__________________ako80">#REF!</definedName>
    <definedName name="__________________aku100">#REF!</definedName>
    <definedName name="__________________aku150">#REF!</definedName>
    <definedName name="__________________alt1">#REF!</definedName>
    <definedName name="__________________APP3">#REF!</definedName>
    <definedName name="__________________bcv100">#REF!</definedName>
    <definedName name="__________________bcv125">#REF!</definedName>
    <definedName name="__________________bcv150">#REF!</definedName>
    <definedName name="__________________cas80">#REF!</definedName>
    <definedName name="__________________cvd100">#REF!</definedName>
    <definedName name="__________________cvd15">#REF!</definedName>
    <definedName name="__________________cvd150">#REF!</definedName>
    <definedName name="__________________cvd50">#REF!</definedName>
    <definedName name="__________________cvd65">#REF!</definedName>
    <definedName name="__________________daf1">#REF!</definedName>
    <definedName name="__________________DAF10">#REF!</definedName>
    <definedName name="__________________daf2">#REF!</definedName>
    <definedName name="__________________daf31">#REF!</definedName>
    <definedName name="__________________daf32">#REF!</definedName>
    <definedName name="__________________daf33">#REF!</definedName>
    <definedName name="__________________dia6">#REF!</definedName>
    <definedName name="__________________fjd100">#REF!</definedName>
    <definedName name="__________________fjd150">#REF!</definedName>
    <definedName name="__________________fjd50">#REF!</definedName>
    <definedName name="__________________fjd65">#REF!</definedName>
    <definedName name="__________________fmd150">#REF!</definedName>
    <definedName name="__________________gk2" hidden="1">#REF!</definedName>
    <definedName name="__________________grc1">#REF!</definedName>
    <definedName name="__________________gti50">#REF!</definedName>
    <definedName name="__________________gti60">#REF!</definedName>
    <definedName name="__________________gvd100">#REF!</definedName>
    <definedName name="__________________gvd15">#REF!</definedName>
    <definedName name="__________________gvd150">#REF!</definedName>
    <definedName name="__________________gvd25">#REF!</definedName>
    <definedName name="__________________gvd50">#REF!</definedName>
    <definedName name="__________________gvd65">#REF!</definedName>
    <definedName name="__________________hdw1">#REF!</definedName>
    <definedName name="__________________pab100">#REF!</definedName>
    <definedName name="__________________pab125">#REF!</definedName>
    <definedName name="__________________pab15">#REF!</definedName>
    <definedName name="__________________pab150">#REF!</definedName>
    <definedName name="__________________pab2">#REF!</definedName>
    <definedName name="__________________pab20">#REF!</definedName>
    <definedName name="__________________pab25">#REF!</definedName>
    <definedName name="__________________pab32">#REF!</definedName>
    <definedName name="__________________pab4">#REF!</definedName>
    <definedName name="__________________pab40">#REF!</definedName>
    <definedName name="__________________pab50">#REF!</definedName>
    <definedName name="__________________pab6">#REF!</definedName>
    <definedName name="__________________pab65">#REF!</definedName>
    <definedName name="__________________pab80">#REF!</definedName>
    <definedName name="__________________pah150">#REF!</definedName>
    <definedName name="__________________pak100">#REF!</definedName>
    <definedName name="__________________pak150">#REF!</definedName>
    <definedName name="__________________pak50">#REF!</definedName>
    <definedName name="__________________pak80">#REF!</definedName>
    <definedName name="__________________pbs100">#REF!</definedName>
    <definedName name="__________________pbs15">#REF!</definedName>
    <definedName name="__________________pbs150">#REF!</definedName>
    <definedName name="__________________pbs40">#REF!</definedName>
    <definedName name="__________________pbs50">#REF!</definedName>
    <definedName name="__________________pbs65">#REF!</definedName>
    <definedName name="__________________pbs80">#REF!</definedName>
    <definedName name="__________________pc50">#REF!</definedName>
    <definedName name="__________________pc80">#REF!</definedName>
    <definedName name="__________________pcf80">#REF!</definedName>
    <definedName name="__________________ph100">#REF!</definedName>
    <definedName name="__________________ph150">#REF!</definedName>
    <definedName name="__________________phf100">#REF!</definedName>
    <definedName name="__________________phf150">#REF!</definedName>
    <definedName name="__________________PL1">#REF!</definedName>
    <definedName name="__________________PL2">#REF!</definedName>
    <definedName name="__________________PL3">#REF!</definedName>
    <definedName name="__________________pv100">#REF!</definedName>
    <definedName name="__________________pv40">#REF!</definedName>
    <definedName name="__________________pv50">#REF!</definedName>
    <definedName name="__________________pv80">#REF!</definedName>
    <definedName name="__________________pvf100">#REF!</definedName>
    <definedName name="__________________pvf80">#REF!</definedName>
    <definedName name="__________________rk100">#REF!</definedName>
    <definedName name="__________________rk200">#REF!</definedName>
    <definedName name="__________________rk300">#REF!</definedName>
    <definedName name="__________________rk600">#REF!</definedName>
    <definedName name="__________________rkl1000">#REF!</definedName>
    <definedName name="__________________rkl1200">#REF!</definedName>
    <definedName name="__________________rkl200">#REF!</definedName>
    <definedName name="__________________rkl300">#REF!</definedName>
    <definedName name="__________________rkl400">#REF!</definedName>
    <definedName name="__________________rkl500">#REF!</definedName>
    <definedName name="__________________rkl600">#REF!</definedName>
    <definedName name="__________________rkl700">#REF!</definedName>
    <definedName name="__________________rkl800">#REF!</definedName>
    <definedName name="__________________sfv150">#REF!</definedName>
    <definedName name="__________________std100">#REF!</definedName>
    <definedName name="__________________std150">#REF!</definedName>
    <definedName name="__________________std50">#REF!</definedName>
    <definedName name="__________________std65">#REF!</definedName>
    <definedName name="__________________tlc20">#REF!</definedName>
    <definedName name="__________________tsI3">#REF!</definedName>
    <definedName name="__________________tsv25">#REF!</definedName>
    <definedName name="__________________vnt100">#REF!</definedName>
    <definedName name="__________________vnt40">#REF!</definedName>
    <definedName name="__________________vnt50">#REF!</definedName>
    <definedName name="__________________vnt80">#REF!</definedName>
    <definedName name="_________________abs100">#REF!</definedName>
    <definedName name="_________________ahu100">#REF!</definedName>
    <definedName name="_________________ahu150">#REF!</definedName>
    <definedName name="_________________ako100">#REF!</definedName>
    <definedName name="_________________ako150">#REF!</definedName>
    <definedName name="_________________ako50">#REF!</definedName>
    <definedName name="_________________ako80">#REF!</definedName>
    <definedName name="_________________aku100">#REF!</definedName>
    <definedName name="_________________aku150">#REF!</definedName>
    <definedName name="_________________bcv100">#REF!</definedName>
    <definedName name="_________________bcv125">#REF!</definedName>
    <definedName name="_________________bcv150">#REF!</definedName>
    <definedName name="_________________cas80">#REF!</definedName>
    <definedName name="_________________cod50">#REF!</definedName>
    <definedName name="_________________cvd100">#REF!</definedName>
    <definedName name="_________________cvd15">#REF!</definedName>
    <definedName name="_________________cvd150">#REF!</definedName>
    <definedName name="_________________cvd50">#REF!</definedName>
    <definedName name="_________________cvd65">#REF!</definedName>
    <definedName name="_________________daf1">#REF!</definedName>
    <definedName name="_________________DAF10">#REF!</definedName>
    <definedName name="_________________daf2">#REF!</definedName>
    <definedName name="_________________daf31">#REF!</definedName>
    <definedName name="_________________daf32">#REF!</definedName>
    <definedName name="_________________daf33">#REF!</definedName>
    <definedName name="_________________dia6">#REF!</definedName>
    <definedName name="_________________fdd100">#REF!</definedName>
    <definedName name="_________________fjd100">#REF!</definedName>
    <definedName name="_________________fjd150">#REF!</definedName>
    <definedName name="_________________fjd50">#REF!</definedName>
    <definedName name="_________________fjd65">#REF!</definedName>
    <definedName name="_________________fmd150">#REF!</definedName>
    <definedName name="_________________fvd100">#REF!</definedName>
    <definedName name="_________________gk2" hidden="1">#REF!</definedName>
    <definedName name="_________________grc1">#REF!</definedName>
    <definedName name="_________________gti50">#REF!</definedName>
    <definedName name="_________________gti60">#REF!</definedName>
    <definedName name="_________________gvd100">#REF!</definedName>
    <definedName name="_________________gvd15">#REF!</definedName>
    <definedName name="_________________gvd150">#REF!</definedName>
    <definedName name="_________________gvd20">#REF!</definedName>
    <definedName name="_________________gvd25">#REF!</definedName>
    <definedName name="_________________gvd32">#REF!</definedName>
    <definedName name="_________________gvd40">#REF!</definedName>
    <definedName name="_________________gvd50">#REF!</definedName>
    <definedName name="_________________gvd65">#REF!</definedName>
    <definedName name="_________________gvd80">#REF!</definedName>
    <definedName name="_________________hdw1">#REF!</definedName>
    <definedName name="_________________jab1">#REF!</definedName>
    <definedName name="_________________kr15">#REF!</definedName>
    <definedName name="_________________MDE01">#REF!</definedName>
    <definedName name="_________________MDE02">#REF!</definedName>
    <definedName name="_________________MDE03">#REF!</definedName>
    <definedName name="_________________MDE04">#REF!</definedName>
    <definedName name="_________________MDE05">#REF!</definedName>
    <definedName name="_________________MDE06">#REF!</definedName>
    <definedName name="_________________MDE07">#REF!</definedName>
    <definedName name="_________________MDE08">#REF!</definedName>
    <definedName name="_________________MDE09">#REF!</definedName>
    <definedName name="_________________MDE10">#REF!</definedName>
    <definedName name="_________________MDE11">#REF!</definedName>
    <definedName name="_________________MDE12">#REF!</definedName>
    <definedName name="_________________MDE13">#REF!</definedName>
    <definedName name="_________________MDE14">#REF!</definedName>
    <definedName name="_________________MDE15">#REF!</definedName>
    <definedName name="_________________MDE16">#REF!</definedName>
    <definedName name="_________________MDE17">#REF!</definedName>
    <definedName name="_________________MDE18">#REF!</definedName>
    <definedName name="_________________MDE19">#REF!</definedName>
    <definedName name="_________________MDE20">#REF!</definedName>
    <definedName name="_________________MDE21">#REF!</definedName>
    <definedName name="_________________MDE22">#REF!</definedName>
    <definedName name="_________________MDE23">#REF!</definedName>
    <definedName name="_________________MDE24">#REF!</definedName>
    <definedName name="_________________MDE25">#REF!</definedName>
    <definedName name="_________________MDE26">#REF!</definedName>
    <definedName name="_________________MDE27">#REF!</definedName>
    <definedName name="_________________MDE28">#REF!</definedName>
    <definedName name="_________________MDE29">#REF!</definedName>
    <definedName name="_________________MDE30">#REF!</definedName>
    <definedName name="_________________MDE31">#REF!</definedName>
    <definedName name="_________________MDE32">#REF!</definedName>
    <definedName name="_________________MDE33">#REF!</definedName>
    <definedName name="_________________MDE34">#REF!</definedName>
    <definedName name="_________________ME01">#REF!</definedName>
    <definedName name="_________________ME02">#REF!</definedName>
    <definedName name="_________________ME03">#REF!</definedName>
    <definedName name="_________________ME04">#REF!</definedName>
    <definedName name="_________________ME05">#REF!</definedName>
    <definedName name="_________________ME06">#REF!</definedName>
    <definedName name="_________________ME07">#REF!</definedName>
    <definedName name="_________________ME08">#REF!</definedName>
    <definedName name="_________________ME09">#REF!</definedName>
    <definedName name="_________________ME10">#REF!</definedName>
    <definedName name="_________________ME11">#REF!</definedName>
    <definedName name="_________________ME12">#REF!</definedName>
    <definedName name="_________________ME13">#REF!</definedName>
    <definedName name="_________________ME14">#REF!</definedName>
    <definedName name="_________________ME15">#REF!</definedName>
    <definedName name="_________________ME16">#REF!</definedName>
    <definedName name="_________________ME17">#REF!</definedName>
    <definedName name="_________________ME18">#REF!</definedName>
    <definedName name="_________________ME19">#REF!</definedName>
    <definedName name="_________________ME20">#REF!</definedName>
    <definedName name="_________________ME21">#REF!</definedName>
    <definedName name="_________________ME22">#REF!</definedName>
    <definedName name="_________________ME23">#REF!</definedName>
    <definedName name="_________________ME24">#REF!</definedName>
    <definedName name="_________________ME25">#REF!</definedName>
    <definedName name="_________________ME26">#REF!</definedName>
    <definedName name="_________________ME27">#REF!</definedName>
    <definedName name="_________________ME28">#REF!</definedName>
    <definedName name="_________________ME29">#REF!</definedName>
    <definedName name="_________________ME30">#REF!</definedName>
    <definedName name="_________________ME31">#REF!</definedName>
    <definedName name="_________________ME32">#REF!</definedName>
    <definedName name="_________________ME33">#REF!</definedName>
    <definedName name="_________________ME34">#REF!</definedName>
    <definedName name="_________________pab100">#REF!</definedName>
    <definedName name="_________________pab125">#REF!</definedName>
    <definedName name="_________________pab15">#REF!</definedName>
    <definedName name="_________________pab150">#REF!</definedName>
    <definedName name="_________________pab2">#REF!</definedName>
    <definedName name="_________________pab20">#REF!</definedName>
    <definedName name="_________________pab25">#REF!</definedName>
    <definedName name="_________________pab32">#REF!</definedName>
    <definedName name="_________________pab4">#REF!</definedName>
    <definedName name="_________________pab40">#REF!</definedName>
    <definedName name="_________________pab50">#REF!</definedName>
    <definedName name="_________________pab6">#REF!</definedName>
    <definedName name="_________________pab65">#REF!</definedName>
    <definedName name="_________________pab80">#REF!</definedName>
    <definedName name="_________________pah150">#REF!</definedName>
    <definedName name="_________________pak100">#REF!</definedName>
    <definedName name="_________________pak150">#REF!</definedName>
    <definedName name="_________________pak50">#REF!</definedName>
    <definedName name="_________________pak80">#REF!</definedName>
    <definedName name="_________________pbs100">#REF!</definedName>
    <definedName name="_________________pbs15">#REF!</definedName>
    <definedName name="_________________pbs150">#REF!</definedName>
    <definedName name="_________________pbs40">#REF!</definedName>
    <definedName name="_________________pbs50">#REF!</definedName>
    <definedName name="_________________pbs65">#REF!</definedName>
    <definedName name="_________________pbs80">#REF!</definedName>
    <definedName name="_________________pc50">#REF!</definedName>
    <definedName name="_________________pc80">#REF!</definedName>
    <definedName name="_________________pcf80">#REF!</definedName>
    <definedName name="_________________ph100">#REF!</definedName>
    <definedName name="_________________ph150">#REF!</definedName>
    <definedName name="_________________phf100">#REF!</definedName>
    <definedName name="_________________phf150">#REF!</definedName>
    <definedName name="_________________PL1">#REF!</definedName>
    <definedName name="_________________PL2">#REF!</definedName>
    <definedName name="_________________PL3">#REF!</definedName>
    <definedName name="_________________pv100">#REF!</definedName>
    <definedName name="_________________pv40">#REF!</definedName>
    <definedName name="_________________pv50">#REF!</definedName>
    <definedName name="_________________pv80">#REF!</definedName>
    <definedName name="_________________pvc100">#REF!</definedName>
    <definedName name="_________________pvc150">#REF!</definedName>
    <definedName name="_________________pvc20">#REF!</definedName>
    <definedName name="_________________pvc200">#REF!</definedName>
    <definedName name="_________________pvc25">#REF!</definedName>
    <definedName name="_________________pvc32">#REF!</definedName>
    <definedName name="_________________pvc40">#REF!</definedName>
    <definedName name="_________________pvc50">#REF!</definedName>
    <definedName name="_________________pvc65">#REF!</definedName>
    <definedName name="_________________pvc80">#REF!</definedName>
    <definedName name="_________________pvf100">#REF!</definedName>
    <definedName name="_________________pvf80">#REF!</definedName>
    <definedName name="_________________qmd15">#REF!</definedName>
    <definedName name="_________________qmd20">#REF!</definedName>
    <definedName name="_________________rdd100">#REF!</definedName>
    <definedName name="_________________rdd150">#REF!</definedName>
    <definedName name="_________________rk100">#REF!</definedName>
    <definedName name="_________________rk200">#REF!</definedName>
    <definedName name="_________________rk300">#REF!</definedName>
    <definedName name="_________________rk600">#REF!</definedName>
    <definedName name="_________________rkl1000">#REF!</definedName>
    <definedName name="_________________rkl1200">#REF!</definedName>
    <definedName name="_________________rkl200">#REF!</definedName>
    <definedName name="_________________rkl300">#REF!</definedName>
    <definedName name="_________________rkl400">#REF!</definedName>
    <definedName name="_________________rkl500">#REF!</definedName>
    <definedName name="_________________rkl600">#REF!</definedName>
    <definedName name="_________________rkl700">#REF!</definedName>
    <definedName name="_________________rkl800">#REF!</definedName>
    <definedName name="_________________sfv150">#REF!</definedName>
    <definedName name="_________________std100">#REF!</definedName>
    <definedName name="_________________std150">#REF!</definedName>
    <definedName name="_________________std50">#REF!</definedName>
    <definedName name="_________________std65">#REF!</definedName>
    <definedName name="_________________tlc20">#REF!</definedName>
    <definedName name="_________________tsv25">#REF!</definedName>
    <definedName name="_________________vnt100">#REF!</definedName>
    <definedName name="_________________vnt40">#REF!</definedName>
    <definedName name="_________________vnt50">#REF!</definedName>
    <definedName name="_________________vnt80">#REF!</definedName>
    <definedName name="________________AAD3">HAJIME:OWARI</definedName>
    <definedName name="________________abs100">#REF!</definedName>
    <definedName name="________________ADD2">STOP:STOPE</definedName>
    <definedName name="________________ADD3">STOP:STOPE</definedName>
    <definedName name="________________ahu100">#REF!</definedName>
    <definedName name="________________ahu150">#REF!</definedName>
    <definedName name="________________ako100">#REF!</definedName>
    <definedName name="________________ako150">#REF!</definedName>
    <definedName name="________________ako50">#REF!</definedName>
    <definedName name="________________ako80">#REF!</definedName>
    <definedName name="________________aku100">#REF!</definedName>
    <definedName name="________________aku150">#REF!</definedName>
    <definedName name="________________alt1">#REF!</definedName>
    <definedName name="________________APP3">#REF!</definedName>
    <definedName name="________________bcv100">#REF!</definedName>
    <definedName name="________________bcv125">#REF!</definedName>
    <definedName name="________________bcv150">#REF!</definedName>
    <definedName name="________________cas80">#REF!</definedName>
    <definedName name="________________cvd100">#REF!</definedName>
    <definedName name="________________cvd15">#REF!</definedName>
    <definedName name="________________cvd150">#REF!</definedName>
    <definedName name="________________cvd50">#REF!</definedName>
    <definedName name="________________cvd65">#REF!</definedName>
    <definedName name="________________daf1">#REF!</definedName>
    <definedName name="________________DAF10">#REF!</definedName>
    <definedName name="________________daf2">#REF!</definedName>
    <definedName name="________________daf31">#REF!</definedName>
    <definedName name="________________daf32">#REF!</definedName>
    <definedName name="________________daf33">#REF!</definedName>
    <definedName name="________________dia6">#REF!</definedName>
    <definedName name="________________fjd100">#REF!</definedName>
    <definedName name="________________fjd150">#REF!</definedName>
    <definedName name="________________fjd50">#REF!</definedName>
    <definedName name="________________fjd65">#REF!</definedName>
    <definedName name="________________fmd150">#REF!</definedName>
    <definedName name="________________gk2" hidden="1">#REF!</definedName>
    <definedName name="________________grc1">#REF!</definedName>
    <definedName name="________________gti50">#REF!</definedName>
    <definedName name="________________gti60">#REF!</definedName>
    <definedName name="________________gvd100">#REF!</definedName>
    <definedName name="________________gvd15">#REF!</definedName>
    <definedName name="________________gvd150">#REF!</definedName>
    <definedName name="________________gvd25">#REF!</definedName>
    <definedName name="________________gvd50">#REF!</definedName>
    <definedName name="________________gvd65">#REF!</definedName>
    <definedName name="________________hdw1">#REF!</definedName>
    <definedName name="________________new5">HAJIME:OWARI</definedName>
    <definedName name="________________pab100">#REF!</definedName>
    <definedName name="________________pab125">#REF!</definedName>
    <definedName name="________________pab15">#REF!</definedName>
    <definedName name="________________pab150">#REF!</definedName>
    <definedName name="________________pab2">#REF!</definedName>
    <definedName name="________________pab20">#REF!</definedName>
    <definedName name="________________pab25">#REF!</definedName>
    <definedName name="________________pab32">#REF!</definedName>
    <definedName name="________________pab4">#REF!</definedName>
    <definedName name="________________pab40">#REF!</definedName>
    <definedName name="________________pab50">#REF!</definedName>
    <definedName name="________________pab6">#REF!</definedName>
    <definedName name="________________pab65">#REF!</definedName>
    <definedName name="________________pab80">#REF!</definedName>
    <definedName name="________________pah150">#REF!</definedName>
    <definedName name="________________pak100">#REF!</definedName>
    <definedName name="________________pak150">#REF!</definedName>
    <definedName name="________________pak50">#REF!</definedName>
    <definedName name="________________pak80">#REF!</definedName>
    <definedName name="________________pbs100">#REF!</definedName>
    <definedName name="________________pbs15">#REF!</definedName>
    <definedName name="________________pbs150">#REF!</definedName>
    <definedName name="________________pbs40">#REF!</definedName>
    <definedName name="________________pbs50">#REF!</definedName>
    <definedName name="________________pbs65">#REF!</definedName>
    <definedName name="________________pbs80">#REF!</definedName>
    <definedName name="________________pc50">#REF!</definedName>
    <definedName name="________________pc80">#REF!</definedName>
    <definedName name="________________pcf80">#REF!</definedName>
    <definedName name="________________ph100">#REF!</definedName>
    <definedName name="________________ph150">#REF!</definedName>
    <definedName name="________________phf100">#REF!</definedName>
    <definedName name="________________phf150">#REF!</definedName>
    <definedName name="________________PL1">#REF!</definedName>
    <definedName name="________________PL2">#REF!</definedName>
    <definedName name="________________PL3">#REF!</definedName>
    <definedName name="________________pv100">#REF!</definedName>
    <definedName name="________________pv40">#REF!</definedName>
    <definedName name="________________pv50">#REF!</definedName>
    <definedName name="________________pv80">#REF!</definedName>
    <definedName name="________________pvf100">#REF!</definedName>
    <definedName name="________________pvf80">#REF!</definedName>
    <definedName name="________________rk100">#REF!</definedName>
    <definedName name="________________rk200">#REF!</definedName>
    <definedName name="________________rk300">#REF!</definedName>
    <definedName name="________________rk600">#REF!</definedName>
    <definedName name="________________rkl1000">#REF!</definedName>
    <definedName name="________________rkl1200">#REF!</definedName>
    <definedName name="________________rkl200">#REF!</definedName>
    <definedName name="________________rkl300">#REF!</definedName>
    <definedName name="________________rkl400">#REF!</definedName>
    <definedName name="________________rkl500">#REF!</definedName>
    <definedName name="________________rkl600">#REF!</definedName>
    <definedName name="________________rkl700">#REF!</definedName>
    <definedName name="________________rkl800">#REF!</definedName>
    <definedName name="________________sfv150">#REF!</definedName>
    <definedName name="________________std100">#REF!</definedName>
    <definedName name="________________std150">#REF!</definedName>
    <definedName name="________________std50">#REF!</definedName>
    <definedName name="________________std65">#REF!</definedName>
    <definedName name="________________tlc20">#REF!</definedName>
    <definedName name="________________tsI3">#REF!</definedName>
    <definedName name="________________tsv25">#REF!</definedName>
    <definedName name="________________vnt100">#REF!</definedName>
    <definedName name="________________vnt40">#REF!</definedName>
    <definedName name="________________vnt50">#REF!</definedName>
    <definedName name="________________vnt80">#REF!</definedName>
    <definedName name="_______________abs100">#REF!</definedName>
    <definedName name="_______________ahu100">#REF!</definedName>
    <definedName name="_______________ahu150">#REF!</definedName>
    <definedName name="_______________ako100">#REF!</definedName>
    <definedName name="_______________ako150">#REF!</definedName>
    <definedName name="_______________ako50">#REF!</definedName>
    <definedName name="_______________ako80">#REF!</definedName>
    <definedName name="_______________aku100">#REF!</definedName>
    <definedName name="_______________aku150">#REF!</definedName>
    <definedName name="_______________bcv100">#REF!</definedName>
    <definedName name="_______________bcv125">#REF!</definedName>
    <definedName name="_______________bcv150">#REF!</definedName>
    <definedName name="_______________cas80">#REF!</definedName>
    <definedName name="_______________cod50">#REF!</definedName>
    <definedName name="_______________cvd100">#REF!</definedName>
    <definedName name="_______________cvd15">#REF!</definedName>
    <definedName name="_______________cvd150">#REF!</definedName>
    <definedName name="_______________cvd50">#REF!</definedName>
    <definedName name="_______________cvd65">#REF!</definedName>
    <definedName name="_______________daf1">#REF!</definedName>
    <definedName name="_______________DAF10">#REF!</definedName>
    <definedName name="_______________daf2">#REF!</definedName>
    <definedName name="_______________daf31">#REF!</definedName>
    <definedName name="_______________daf32">#REF!</definedName>
    <definedName name="_______________daf33">#REF!</definedName>
    <definedName name="_______________dia6">#REF!</definedName>
    <definedName name="_______________fdd100">#REF!</definedName>
    <definedName name="_______________fjd100">#REF!</definedName>
    <definedName name="_______________fjd150">#REF!</definedName>
    <definedName name="_______________fjd50">#REF!</definedName>
    <definedName name="_______________fjd65">#REF!</definedName>
    <definedName name="_______________fmd150">#REF!</definedName>
    <definedName name="_______________fvd100">#REF!</definedName>
    <definedName name="_______________gk2" hidden="1">#REF!</definedName>
    <definedName name="_______________grc1">#REF!</definedName>
    <definedName name="_______________gti50">#REF!</definedName>
    <definedName name="_______________gti60">#REF!</definedName>
    <definedName name="_______________gvd100">#REF!</definedName>
    <definedName name="_______________gvd15">#REF!</definedName>
    <definedName name="_______________gvd150">#REF!</definedName>
    <definedName name="_______________gvd20">#REF!</definedName>
    <definedName name="_______________gvd25">#REF!</definedName>
    <definedName name="_______________gvd32">#REF!</definedName>
    <definedName name="_______________gvd40">#REF!</definedName>
    <definedName name="_______________gvd50">#REF!</definedName>
    <definedName name="_______________gvd65">#REF!</definedName>
    <definedName name="_______________gvd80">#REF!</definedName>
    <definedName name="_______________hdw1">#REF!</definedName>
    <definedName name="_______________jab1">#REF!</definedName>
    <definedName name="_______________kr15">#REF!</definedName>
    <definedName name="_______________MDE01">#REF!</definedName>
    <definedName name="_______________MDE02">#REF!</definedName>
    <definedName name="_______________MDE03">#REF!</definedName>
    <definedName name="_______________MDE04">#REF!</definedName>
    <definedName name="_______________MDE05">#REF!</definedName>
    <definedName name="_______________MDE06">#REF!</definedName>
    <definedName name="_______________MDE07">#REF!</definedName>
    <definedName name="_______________MDE08">#REF!</definedName>
    <definedName name="_______________MDE09">#REF!</definedName>
    <definedName name="_______________MDE10">#REF!</definedName>
    <definedName name="_______________MDE11">#REF!</definedName>
    <definedName name="_______________MDE12">#REF!</definedName>
    <definedName name="_______________MDE13">#REF!</definedName>
    <definedName name="_______________MDE14">#REF!</definedName>
    <definedName name="_______________MDE15">#REF!</definedName>
    <definedName name="_______________MDE16">#REF!</definedName>
    <definedName name="_______________MDE17">#REF!</definedName>
    <definedName name="_______________MDE18">#REF!</definedName>
    <definedName name="_______________MDE19">#REF!</definedName>
    <definedName name="_______________MDE20">#REF!</definedName>
    <definedName name="_______________MDE21">#REF!</definedName>
    <definedName name="_______________MDE22">#REF!</definedName>
    <definedName name="_______________MDE23">#REF!</definedName>
    <definedName name="_______________MDE24">#REF!</definedName>
    <definedName name="_______________MDE25">#REF!</definedName>
    <definedName name="_______________MDE26">#REF!</definedName>
    <definedName name="_______________MDE27">#REF!</definedName>
    <definedName name="_______________MDE28">#REF!</definedName>
    <definedName name="_______________MDE29">#REF!</definedName>
    <definedName name="_______________MDE30">#REF!</definedName>
    <definedName name="_______________MDE31">#REF!</definedName>
    <definedName name="_______________MDE32">#REF!</definedName>
    <definedName name="_______________MDE33">#REF!</definedName>
    <definedName name="_______________MDE34">#REF!</definedName>
    <definedName name="_______________ME01">#REF!</definedName>
    <definedName name="_______________ME02">#REF!</definedName>
    <definedName name="_______________ME03">#REF!</definedName>
    <definedName name="_______________ME04">#REF!</definedName>
    <definedName name="_______________ME05">#REF!</definedName>
    <definedName name="_______________ME06">#REF!</definedName>
    <definedName name="_______________ME07">#REF!</definedName>
    <definedName name="_______________ME08">#REF!</definedName>
    <definedName name="_______________ME09">#REF!</definedName>
    <definedName name="_______________ME10">#REF!</definedName>
    <definedName name="_______________ME11">#REF!</definedName>
    <definedName name="_______________ME12">#REF!</definedName>
    <definedName name="_______________ME13">#REF!</definedName>
    <definedName name="_______________ME14">#REF!</definedName>
    <definedName name="_______________ME15">#REF!</definedName>
    <definedName name="_______________ME16">#REF!</definedName>
    <definedName name="_______________ME17">#REF!</definedName>
    <definedName name="_______________ME18">#REF!</definedName>
    <definedName name="_______________ME19">#REF!</definedName>
    <definedName name="_______________ME20">#REF!</definedName>
    <definedName name="_______________ME21">#REF!</definedName>
    <definedName name="_______________ME22">#REF!</definedName>
    <definedName name="_______________ME23">#REF!</definedName>
    <definedName name="_______________ME24">#REF!</definedName>
    <definedName name="_______________ME25">#REF!</definedName>
    <definedName name="_______________ME26">#REF!</definedName>
    <definedName name="_______________ME27">#REF!</definedName>
    <definedName name="_______________ME28">#REF!</definedName>
    <definedName name="_______________ME29">#REF!</definedName>
    <definedName name="_______________ME30">#REF!</definedName>
    <definedName name="_______________ME31">#REF!</definedName>
    <definedName name="_______________ME32">#REF!</definedName>
    <definedName name="_______________ME33">#REF!</definedName>
    <definedName name="_______________ME34">#REF!</definedName>
    <definedName name="_______________nm1">#REF!</definedName>
    <definedName name="_______________pab100">#REF!</definedName>
    <definedName name="_______________pab125">#REF!</definedName>
    <definedName name="_______________pab15">#REF!</definedName>
    <definedName name="_______________pab150">#REF!</definedName>
    <definedName name="_______________pab2">#REF!</definedName>
    <definedName name="_______________pab20">#REF!</definedName>
    <definedName name="_______________pab25">#REF!</definedName>
    <definedName name="_______________pab32">#REF!</definedName>
    <definedName name="_______________pab4">#REF!</definedName>
    <definedName name="_______________pab40">#REF!</definedName>
    <definedName name="_______________pab50">#REF!</definedName>
    <definedName name="_______________pab6">#REF!</definedName>
    <definedName name="_______________pab65">#REF!</definedName>
    <definedName name="_______________pab80">#REF!</definedName>
    <definedName name="_______________pah150">#REF!</definedName>
    <definedName name="_______________pak100">#REF!</definedName>
    <definedName name="_______________pak150">#REF!</definedName>
    <definedName name="_______________pak50">#REF!</definedName>
    <definedName name="_______________pak80">#REF!</definedName>
    <definedName name="_______________pbs100">#REF!</definedName>
    <definedName name="_______________pbs15">#REF!</definedName>
    <definedName name="_______________pbs150">#REF!</definedName>
    <definedName name="_______________pbs40">#REF!</definedName>
    <definedName name="_______________pbs50">#REF!</definedName>
    <definedName name="_______________pbs65">#REF!</definedName>
    <definedName name="_______________pbs80">#REF!</definedName>
    <definedName name="_______________pc50">#REF!</definedName>
    <definedName name="_______________pc80">#REF!</definedName>
    <definedName name="_______________pcf80">#REF!</definedName>
    <definedName name="_______________ph100">#REF!</definedName>
    <definedName name="_______________ph150">#REF!</definedName>
    <definedName name="_______________phf100">#REF!</definedName>
    <definedName name="_______________phf150">#REF!</definedName>
    <definedName name="_______________PL1">#REF!</definedName>
    <definedName name="_______________PL2">#REF!</definedName>
    <definedName name="_______________PL3">#REF!</definedName>
    <definedName name="_______________pv100">#REF!</definedName>
    <definedName name="_______________pv40">#REF!</definedName>
    <definedName name="_______________pv50">#REF!</definedName>
    <definedName name="_______________pv80">#REF!</definedName>
    <definedName name="_______________pvc100">#REF!</definedName>
    <definedName name="_______________pvc150">#REF!</definedName>
    <definedName name="_______________pvc20">#REF!</definedName>
    <definedName name="_______________pvc200">#REF!</definedName>
    <definedName name="_______________pvc25">#REF!</definedName>
    <definedName name="_______________pvc32">#REF!</definedName>
    <definedName name="_______________pvc40">#REF!</definedName>
    <definedName name="_______________pvc50">#REF!</definedName>
    <definedName name="_______________pvc65">#REF!</definedName>
    <definedName name="_______________pvc80">#REF!</definedName>
    <definedName name="_______________pvf100">#REF!</definedName>
    <definedName name="_______________pvf80">#REF!</definedName>
    <definedName name="_______________PW1">#REF!</definedName>
    <definedName name="_______________PW2">#REF!</definedName>
    <definedName name="_______________qmd15">#REF!</definedName>
    <definedName name="_______________qmd20">#REF!</definedName>
    <definedName name="_______________rdd100">#REF!</definedName>
    <definedName name="_______________rdd150">#REF!</definedName>
    <definedName name="_______________rk100">#REF!</definedName>
    <definedName name="_______________rk200">#REF!</definedName>
    <definedName name="_______________rk300">#REF!</definedName>
    <definedName name="_______________rk600">#REF!</definedName>
    <definedName name="_______________rkl1000">#REF!</definedName>
    <definedName name="_______________rkl1200">#REF!</definedName>
    <definedName name="_______________rkl200">#REF!</definedName>
    <definedName name="_______________rkl300">#REF!</definedName>
    <definedName name="_______________rkl400">#REF!</definedName>
    <definedName name="_______________rkl500">#REF!</definedName>
    <definedName name="_______________rkl600">#REF!</definedName>
    <definedName name="_______________rkl700">#REF!</definedName>
    <definedName name="_______________rkl800">#REF!</definedName>
    <definedName name="_______________sfv150">#REF!</definedName>
    <definedName name="_______________std100">#REF!</definedName>
    <definedName name="_______________std150">#REF!</definedName>
    <definedName name="_______________std50">#REF!</definedName>
    <definedName name="_______________std65">#REF!</definedName>
    <definedName name="_______________tgl1">#REF!</definedName>
    <definedName name="_______________tlc20">#REF!</definedName>
    <definedName name="_______________tsv25">#REF!</definedName>
    <definedName name="_______________vnt100">#REF!</definedName>
    <definedName name="_______________vnt40">#REF!</definedName>
    <definedName name="_______________vnt50">#REF!</definedName>
    <definedName name="_______________vnt80">#REF!</definedName>
    <definedName name="______________A16500">#REF!</definedName>
    <definedName name="______________AAD3">HAJIME:OWARI</definedName>
    <definedName name="______________abs100">#REF!</definedName>
    <definedName name="______________ADD2">STOP:STOPE</definedName>
    <definedName name="______________ADD3">STOP:STOPE</definedName>
    <definedName name="______________ahu100">#REF!</definedName>
    <definedName name="______________ahu150">#REF!</definedName>
    <definedName name="______________ako100">#REF!</definedName>
    <definedName name="______________ako150">#REF!</definedName>
    <definedName name="______________ako50">#REF!</definedName>
    <definedName name="______________ako80">#REF!</definedName>
    <definedName name="______________aku100">#REF!</definedName>
    <definedName name="______________aku150">#REF!</definedName>
    <definedName name="______________bcv100">#REF!</definedName>
    <definedName name="______________bcv125">#REF!</definedName>
    <definedName name="______________bcv150">#REF!</definedName>
    <definedName name="______________BSP3">#REF!</definedName>
    <definedName name="______________BSP4">#REF!</definedName>
    <definedName name="______________BSP5">#REF!</definedName>
    <definedName name="______________BSP6">#REF!</definedName>
    <definedName name="______________BSP8">#REF!</definedName>
    <definedName name="______________btg1">#REF!</definedName>
    <definedName name="______________btg2">#REF!</definedName>
    <definedName name="______________btg3">#REF!</definedName>
    <definedName name="______________cas80">#REF!</definedName>
    <definedName name="______________cvd100">#REF!</definedName>
    <definedName name="______________cvd15">#REF!</definedName>
    <definedName name="______________cvd150">#REF!</definedName>
    <definedName name="______________cvd50">#REF!</definedName>
    <definedName name="______________cvd65">#REF!</definedName>
    <definedName name="______________daf1">#REF!</definedName>
    <definedName name="______________DAF10">#REF!</definedName>
    <definedName name="______________daf2">#REF!</definedName>
    <definedName name="______________daf31">#REF!</definedName>
    <definedName name="______________daf32">#REF!</definedName>
    <definedName name="______________daf33">#REF!</definedName>
    <definedName name="______________dia6">#REF!</definedName>
    <definedName name="______________fcp1">#REF!</definedName>
    <definedName name="______________fjd100">#REF!</definedName>
    <definedName name="______________fjd150">#REF!</definedName>
    <definedName name="______________fjd50">#REF!</definedName>
    <definedName name="______________fjd65">#REF!</definedName>
    <definedName name="______________fmd150">#REF!</definedName>
    <definedName name="______________GIP1">#REF!</definedName>
    <definedName name="______________GIP2">#REF!</definedName>
    <definedName name="______________GIP3">#REF!</definedName>
    <definedName name="______________GIP4">#REF!</definedName>
    <definedName name="______________gk2" hidden="1">#REF!</definedName>
    <definedName name="______________grc1">#REF!</definedName>
    <definedName name="______________gti50">#REF!</definedName>
    <definedName name="______________gti60">#REF!</definedName>
    <definedName name="______________gvd100">#REF!</definedName>
    <definedName name="______________gvd15">#REF!</definedName>
    <definedName name="______________gvd150">#REF!</definedName>
    <definedName name="______________gvd25">#REF!</definedName>
    <definedName name="______________gvd50">#REF!</definedName>
    <definedName name="______________gvd65">#REF!</definedName>
    <definedName name="______________hdw1">#REF!</definedName>
    <definedName name="______________new5">HAJIME:OWARI</definedName>
    <definedName name="______________pab100">#REF!</definedName>
    <definedName name="______________pab125">#REF!</definedName>
    <definedName name="______________pab15">#REF!</definedName>
    <definedName name="______________pab150">#REF!</definedName>
    <definedName name="______________pab2">#REF!</definedName>
    <definedName name="______________pab20">#REF!</definedName>
    <definedName name="______________pab25">#REF!</definedName>
    <definedName name="______________pab32">#REF!</definedName>
    <definedName name="______________pab4">#REF!</definedName>
    <definedName name="______________pab40">#REF!</definedName>
    <definedName name="______________pab50">#REF!</definedName>
    <definedName name="______________pab6">#REF!</definedName>
    <definedName name="______________pab65">#REF!</definedName>
    <definedName name="______________pab80">#REF!</definedName>
    <definedName name="______________pah150">#REF!</definedName>
    <definedName name="______________pak100">#REF!</definedName>
    <definedName name="______________pak150">#REF!</definedName>
    <definedName name="______________pak50">#REF!</definedName>
    <definedName name="______________pak80">#REF!</definedName>
    <definedName name="______________pbs100">#REF!</definedName>
    <definedName name="______________pbs15">#REF!</definedName>
    <definedName name="______________pbs150">#REF!</definedName>
    <definedName name="______________pbs40">#REF!</definedName>
    <definedName name="______________pbs50">#REF!</definedName>
    <definedName name="______________pbs65">#REF!</definedName>
    <definedName name="______________pbs80">#REF!</definedName>
    <definedName name="______________pc50">#REF!</definedName>
    <definedName name="______________pc80">#REF!</definedName>
    <definedName name="______________pcf80">#REF!</definedName>
    <definedName name="______________ph100">#REF!</definedName>
    <definedName name="______________ph150">#REF!</definedName>
    <definedName name="______________phf100">#REF!</definedName>
    <definedName name="______________phf150">#REF!</definedName>
    <definedName name="______________PL1">#REF!</definedName>
    <definedName name="______________PL2">#REF!</definedName>
    <definedName name="______________PL3">#REF!</definedName>
    <definedName name="______________ptg1">#REF!</definedName>
    <definedName name="______________ptg2">#REF!</definedName>
    <definedName name="______________pv100">#REF!</definedName>
    <definedName name="______________pv40">#REF!</definedName>
    <definedName name="______________pv50">#REF!</definedName>
    <definedName name="______________pv80">#REF!</definedName>
    <definedName name="______________pvf100">#REF!</definedName>
    <definedName name="______________pvf80">#REF!</definedName>
    <definedName name="______________rk100">#REF!</definedName>
    <definedName name="______________rk200">#REF!</definedName>
    <definedName name="______________rk300">#REF!</definedName>
    <definedName name="______________rk600">#REF!</definedName>
    <definedName name="______________rkl1000">#REF!</definedName>
    <definedName name="______________rkl1200">#REF!</definedName>
    <definedName name="______________rkl200">#REF!</definedName>
    <definedName name="______________rkl300">#REF!</definedName>
    <definedName name="______________rkl400">#REF!</definedName>
    <definedName name="______________rkl500">#REF!</definedName>
    <definedName name="______________rkl600">#REF!</definedName>
    <definedName name="______________rkl700">#REF!</definedName>
    <definedName name="______________rkl800">#REF!</definedName>
    <definedName name="______________sfv150">#REF!</definedName>
    <definedName name="______________std100">#REF!</definedName>
    <definedName name="______________std150">#REF!</definedName>
    <definedName name="______________std50">#REF!</definedName>
    <definedName name="______________std65">#REF!</definedName>
    <definedName name="______________tlc20">#REF!</definedName>
    <definedName name="______________tp40">#REF!</definedName>
    <definedName name="______________tsv25">#REF!</definedName>
    <definedName name="______________vnt100">#REF!</definedName>
    <definedName name="______________vnt40">#REF!</definedName>
    <definedName name="______________vnt50">#REF!</definedName>
    <definedName name="______________vnt80">#REF!</definedName>
    <definedName name="_____________AAD3">HAJIME:OWARI</definedName>
    <definedName name="_____________abs100">#REF!</definedName>
    <definedName name="_____________ADD2">STOP:STOPE</definedName>
    <definedName name="_____________ADD3">STOP:STOPE</definedName>
    <definedName name="_____________ahu100">#REF!</definedName>
    <definedName name="_____________ahu150">#REF!</definedName>
    <definedName name="_____________ako100">#REF!</definedName>
    <definedName name="_____________ako150">#REF!</definedName>
    <definedName name="_____________ako50">#REF!</definedName>
    <definedName name="_____________ako80">#REF!</definedName>
    <definedName name="_____________aku100">#REF!</definedName>
    <definedName name="_____________aku150">#REF!</definedName>
    <definedName name="_____________bcv100">#REF!</definedName>
    <definedName name="_____________bcv125">#REF!</definedName>
    <definedName name="_____________bcv150">#REF!</definedName>
    <definedName name="_____________CAN15">#REF!</definedName>
    <definedName name="_____________cas80">#REF!</definedName>
    <definedName name="_____________CCF2">#REF!</definedName>
    <definedName name="_____________CLP2">#REF!</definedName>
    <definedName name="_____________cod50">#REF!</definedName>
    <definedName name="_____________cvd100">#REF!</definedName>
    <definedName name="_____________cvd15">#REF!</definedName>
    <definedName name="_____________cvd150">#REF!</definedName>
    <definedName name="_____________cvd50">#REF!</definedName>
    <definedName name="_____________cvd65">#REF!</definedName>
    <definedName name="_____________daf1">#REF!</definedName>
    <definedName name="_____________DAF10">#REF!</definedName>
    <definedName name="_____________daf2">#REF!</definedName>
    <definedName name="_____________daf31">#REF!</definedName>
    <definedName name="_____________daf32">#REF!</definedName>
    <definedName name="_____________daf33">#REF!</definedName>
    <definedName name="_____________dia6">#REF!</definedName>
    <definedName name="_____________fdd100">#REF!</definedName>
    <definedName name="_____________fjd100">#REF!</definedName>
    <definedName name="_____________fjd150">#REF!</definedName>
    <definedName name="_____________fjd50">#REF!</definedName>
    <definedName name="_____________fjd65">#REF!</definedName>
    <definedName name="_____________fmd150">#REF!</definedName>
    <definedName name="_____________fvd100">#REF!</definedName>
    <definedName name="_____________gk2" hidden="1">#REF!</definedName>
    <definedName name="_____________grc1">#REF!</definedName>
    <definedName name="_____________gti50">#REF!</definedName>
    <definedName name="_____________gti60">#REF!</definedName>
    <definedName name="_____________gvd100">#REF!</definedName>
    <definedName name="_____________gvd15">#REF!</definedName>
    <definedName name="_____________gvd150">#REF!</definedName>
    <definedName name="_____________gvd20">#REF!</definedName>
    <definedName name="_____________gvd25">#REF!</definedName>
    <definedName name="_____________gvd32">#REF!</definedName>
    <definedName name="_____________gvd40">#REF!</definedName>
    <definedName name="_____________gvd50">#REF!</definedName>
    <definedName name="_____________gvd65">#REF!</definedName>
    <definedName name="_____________gvd80">#REF!</definedName>
    <definedName name="_____________hdw1">#REF!</definedName>
    <definedName name="_____________jab1">#REF!</definedName>
    <definedName name="_____________k100123">#REF!</definedName>
    <definedName name="_____________kr15">#REF!</definedName>
    <definedName name="_____________MDE01">#REF!</definedName>
    <definedName name="_____________MDE02">#REF!</definedName>
    <definedName name="_____________MDE03">#REF!</definedName>
    <definedName name="_____________MDE04">#REF!</definedName>
    <definedName name="_____________MDE05">#REF!</definedName>
    <definedName name="_____________MDE06">#REF!</definedName>
    <definedName name="_____________MDE07">#REF!</definedName>
    <definedName name="_____________MDE08">#REF!</definedName>
    <definedName name="_____________MDE09">#REF!</definedName>
    <definedName name="_____________MDE10">#REF!</definedName>
    <definedName name="_____________MDE11">#REF!</definedName>
    <definedName name="_____________MDE12">#REF!</definedName>
    <definedName name="_____________MDE13">#REF!</definedName>
    <definedName name="_____________MDE14">#REF!</definedName>
    <definedName name="_____________MDE15">#REF!</definedName>
    <definedName name="_____________MDE16">#REF!</definedName>
    <definedName name="_____________MDE17">#REF!</definedName>
    <definedName name="_____________MDE18">#REF!</definedName>
    <definedName name="_____________MDE19">#REF!</definedName>
    <definedName name="_____________MDE20">#REF!</definedName>
    <definedName name="_____________MDE21">#REF!</definedName>
    <definedName name="_____________MDE22">#REF!</definedName>
    <definedName name="_____________MDE23">#REF!</definedName>
    <definedName name="_____________MDE24">#REF!</definedName>
    <definedName name="_____________MDE25">#REF!</definedName>
    <definedName name="_____________MDE26">#REF!</definedName>
    <definedName name="_____________MDE27">#REF!</definedName>
    <definedName name="_____________MDE28">#REF!</definedName>
    <definedName name="_____________MDE29">#REF!</definedName>
    <definedName name="_____________MDE30">#REF!</definedName>
    <definedName name="_____________MDE31">#REF!</definedName>
    <definedName name="_____________MDE32">#REF!</definedName>
    <definedName name="_____________MDE33">#REF!</definedName>
    <definedName name="_____________MDE34">#REF!</definedName>
    <definedName name="_____________ME01">#REF!</definedName>
    <definedName name="_____________ME02">#REF!</definedName>
    <definedName name="_____________ME03">#REF!</definedName>
    <definedName name="_____________ME04">#REF!</definedName>
    <definedName name="_____________ME05">#REF!</definedName>
    <definedName name="_____________ME06">#REF!</definedName>
    <definedName name="_____________ME07">#REF!</definedName>
    <definedName name="_____________ME08">#REF!</definedName>
    <definedName name="_____________ME09">#REF!</definedName>
    <definedName name="_____________ME10">#REF!</definedName>
    <definedName name="_____________ME11">#REF!</definedName>
    <definedName name="_____________ME12">#REF!</definedName>
    <definedName name="_____________ME13">#REF!</definedName>
    <definedName name="_____________ME14">#REF!</definedName>
    <definedName name="_____________ME15">#REF!</definedName>
    <definedName name="_____________ME16">#REF!</definedName>
    <definedName name="_____________ME17">#REF!</definedName>
    <definedName name="_____________ME18">#REF!</definedName>
    <definedName name="_____________ME19">#REF!</definedName>
    <definedName name="_____________ME20">#REF!</definedName>
    <definedName name="_____________ME21">#REF!</definedName>
    <definedName name="_____________ME22">#REF!</definedName>
    <definedName name="_____________ME23">#REF!</definedName>
    <definedName name="_____________ME24">#REF!</definedName>
    <definedName name="_____________ME25">#REF!</definedName>
    <definedName name="_____________ME26">#REF!</definedName>
    <definedName name="_____________ME27">#REF!</definedName>
    <definedName name="_____________ME28">#REF!</definedName>
    <definedName name="_____________ME29">#REF!</definedName>
    <definedName name="_____________ME30">#REF!</definedName>
    <definedName name="_____________ME31">#REF!</definedName>
    <definedName name="_____________ME32">#REF!</definedName>
    <definedName name="_____________ME33">#REF!</definedName>
    <definedName name="_____________ME34">#REF!</definedName>
    <definedName name="_____________MU380">#REF!</definedName>
    <definedName name="_____________nm1">#REF!</definedName>
    <definedName name="_____________pab100">#REF!</definedName>
    <definedName name="_____________pab125">#REF!</definedName>
    <definedName name="_____________pab15">#REF!</definedName>
    <definedName name="_____________pab150">#REF!</definedName>
    <definedName name="_____________pab2">#REF!</definedName>
    <definedName name="_____________pab20">#REF!</definedName>
    <definedName name="_____________pab25">#REF!</definedName>
    <definedName name="_____________pab32">#REF!</definedName>
    <definedName name="_____________pab4">#REF!</definedName>
    <definedName name="_____________pab40">#REF!</definedName>
    <definedName name="_____________pab50">#REF!</definedName>
    <definedName name="_____________pab6">#REF!</definedName>
    <definedName name="_____________pab65">#REF!</definedName>
    <definedName name="_____________pab80">#REF!</definedName>
    <definedName name="_____________PAC012">#REF!</definedName>
    <definedName name="_____________pah150">#REF!</definedName>
    <definedName name="_____________pak100">#REF!</definedName>
    <definedName name="_____________pak150">#REF!</definedName>
    <definedName name="_____________pak50">#REF!</definedName>
    <definedName name="_____________pak80">#REF!</definedName>
    <definedName name="_____________pbs100">#REF!</definedName>
    <definedName name="_____________pbs15">#REF!</definedName>
    <definedName name="_____________pbs150">#REF!</definedName>
    <definedName name="_____________pbs40">#REF!</definedName>
    <definedName name="_____________pbs50">#REF!</definedName>
    <definedName name="_____________pbs65">#REF!</definedName>
    <definedName name="_____________pbs80">#REF!</definedName>
    <definedName name="_____________pc50">#REF!</definedName>
    <definedName name="_____________pc80">#REF!</definedName>
    <definedName name="_____________pcf80">#REF!</definedName>
    <definedName name="_____________ph100">#REF!</definedName>
    <definedName name="_____________ph150">#REF!</definedName>
    <definedName name="_____________phf100">#REF!</definedName>
    <definedName name="_____________phf150">#REF!</definedName>
    <definedName name="_____________PL1">#REF!</definedName>
    <definedName name="_____________PL2">#REF!</definedName>
    <definedName name="_____________PL3">#REF!</definedName>
    <definedName name="_____________PSC052">#REF!</definedName>
    <definedName name="_____________pv100">#REF!</definedName>
    <definedName name="_____________pv40">#REF!</definedName>
    <definedName name="_____________pv50">#REF!</definedName>
    <definedName name="_____________pv80">#REF!</definedName>
    <definedName name="_____________pvc100">#REF!</definedName>
    <definedName name="_____________pvc150">#REF!</definedName>
    <definedName name="_____________pvc20">#REF!</definedName>
    <definedName name="_____________pvc200">#REF!</definedName>
    <definedName name="_____________pvc25">#REF!</definedName>
    <definedName name="_____________pvc32">#REF!</definedName>
    <definedName name="_____________pvc40">#REF!</definedName>
    <definedName name="_____________pvc50">#REF!</definedName>
    <definedName name="_____________PVC6">#REF!</definedName>
    <definedName name="_____________pvc65">#REF!</definedName>
    <definedName name="_____________pvc80">#REF!</definedName>
    <definedName name="_____________pvf100">#REF!</definedName>
    <definedName name="_____________pvf80">#REF!</definedName>
    <definedName name="_____________PW1">#REF!</definedName>
    <definedName name="_____________PW2">#REF!</definedName>
    <definedName name="_____________qmd15">#REF!</definedName>
    <definedName name="_____________qmd20">#REF!</definedName>
    <definedName name="_____________rdd100">#REF!</definedName>
    <definedName name="_____________rdd150">#REF!</definedName>
    <definedName name="_____________rk100">#REF!</definedName>
    <definedName name="_____________rk200">#REF!</definedName>
    <definedName name="_____________rk300">#REF!</definedName>
    <definedName name="_____________rk600">#REF!</definedName>
    <definedName name="_____________rkl1000">#REF!</definedName>
    <definedName name="_____________rkl1200">#REF!</definedName>
    <definedName name="_____________rkl200">#REF!</definedName>
    <definedName name="_____________rkl300">#REF!</definedName>
    <definedName name="_____________rkl400">#REF!</definedName>
    <definedName name="_____________rkl500">#REF!</definedName>
    <definedName name="_____________rkl600">#REF!</definedName>
    <definedName name="_____________rkl700">#REF!</definedName>
    <definedName name="_____________rkl800">#REF!</definedName>
    <definedName name="_____________sfv150">#REF!</definedName>
    <definedName name="_____________std100">#REF!</definedName>
    <definedName name="_____________std150">#REF!</definedName>
    <definedName name="_____________std50">#REF!</definedName>
    <definedName name="_____________std65">#REF!</definedName>
    <definedName name="_____________tgl1">#REF!</definedName>
    <definedName name="_____________tlc20">#REF!</definedName>
    <definedName name="_____________tsv25">#REF!</definedName>
    <definedName name="_____________vnt100">#REF!</definedName>
    <definedName name="_____________vnt40">#REF!</definedName>
    <definedName name="_____________vnt50">#REF!</definedName>
    <definedName name="_____________vnt80">#REF!</definedName>
    <definedName name="_____________WF32">#REF!</definedName>
    <definedName name="_____________WF42">#REF!</definedName>
    <definedName name="_____________WM4">#REF!</definedName>
    <definedName name="_____________WM5">#REF!</definedName>
    <definedName name="_____________WM6">#REF!</definedName>
    <definedName name="_____________WM7">#REF!</definedName>
    <definedName name="_____________WM8">#REF!</definedName>
    <definedName name="____________abs100">#REF!</definedName>
    <definedName name="____________ahu100">#REF!</definedName>
    <definedName name="____________ahu150">#REF!</definedName>
    <definedName name="____________ako100">#REF!</definedName>
    <definedName name="____________ako150">#REF!</definedName>
    <definedName name="____________ako50">#REF!</definedName>
    <definedName name="____________ako80">#REF!</definedName>
    <definedName name="____________aku100">#REF!</definedName>
    <definedName name="____________aku150">#REF!</definedName>
    <definedName name="____________bcv100">#REF!</definedName>
    <definedName name="____________bcv125">#REF!</definedName>
    <definedName name="____________bcv150">#REF!</definedName>
    <definedName name="____________BOX2">#REF!</definedName>
    <definedName name="____________BSP3">#REF!</definedName>
    <definedName name="____________BSP4">#REF!</definedName>
    <definedName name="____________BSP5">#REF!</definedName>
    <definedName name="____________BSP6">#REF!</definedName>
    <definedName name="____________BSP8">#REF!</definedName>
    <definedName name="____________btg1">#REF!</definedName>
    <definedName name="____________btg2">#REF!</definedName>
    <definedName name="____________btg3">#REF!</definedName>
    <definedName name="____________CAL1">#REF!</definedName>
    <definedName name="____________CAL10">#REF!</definedName>
    <definedName name="____________CAL11">#REF!</definedName>
    <definedName name="____________CAL12">#REF!</definedName>
    <definedName name="____________CAL13">#REF!</definedName>
    <definedName name="____________CAL14">#REF!</definedName>
    <definedName name="____________CAL15">#REF!</definedName>
    <definedName name="____________CAL16">#REF!</definedName>
    <definedName name="____________CAL17">#REF!</definedName>
    <definedName name="____________CAL18">#REF!</definedName>
    <definedName name="____________CAL19">#REF!</definedName>
    <definedName name="____________CAL2">#REF!</definedName>
    <definedName name="____________CAL20">#REF!</definedName>
    <definedName name="____________CAL21">#REF!</definedName>
    <definedName name="____________CAL3">#REF!</definedName>
    <definedName name="____________CAL4">#REF!</definedName>
    <definedName name="____________CAL5">#REF!</definedName>
    <definedName name="____________CAL6">#REF!</definedName>
    <definedName name="____________CAL7">#REF!</definedName>
    <definedName name="____________CAL8">#REF!</definedName>
    <definedName name="____________CAL9">#REF!</definedName>
    <definedName name="____________cas80">#REF!</definedName>
    <definedName name="____________cvd100">#REF!</definedName>
    <definedName name="____________cvd15">#REF!</definedName>
    <definedName name="____________cvd150">#REF!</definedName>
    <definedName name="____________cvd50">#REF!</definedName>
    <definedName name="____________cvd65">#REF!</definedName>
    <definedName name="____________daf1">#REF!</definedName>
    <definedName name="____________DAF10">#REF!</definedName>
    <definedName name="____________daf2">#REF!</definedName>
    <definedName name="____________daf31">#REF!</definedName>
    <definedName name="____________daf32">#REF!</definedName>
    <definedName name="____________daf33">#REF!</definedName>
    <definedName name="____________dia6">#REF!</definedName>
    <definedName name="____________EEE08">#REF!</definedName>
    <definedName name="____________EEE09">#REF!</definedName>
    <definedName name="____________EEE10">#REF!</definedName>
    <definedName name="____________EEE15">#REF!</definedName>
    <definedName name="____________fcp1">#REF!</definedName>
    <definedName name="____________fjd100">#REF!</definedName>
    <definedName name="____________fjd150">#REF!</definedName>
    <definedName name="____________fjd50">#REF!</definedName>
    <definedName name="____________fjd65">#REF!</definedName>
    <definedName name="____________fmd150">#REF!</definedName>
    <definedName name="____________GIP1">#REF!</definedName>
    <definedName name="____________GIP2">#REF!</definedName>
    <definedName name="____________GIP3">#REF!</definedName>
    <definedName name="____________GIP4">#REF!</definedName>
    <definedName name="____________gk2" hidden="1">#REF!</definedName>
    <definedName name="____________grc1">#REF!</definedName>
    <definedName name="____________gti50">#REF!</definedName>
    <definedName name="____________gti60">#REF!</definedName>
    <definedName name="____________gvd100">#REF!</definedName>
    <definedName name="____________gvd15">#REF!</definedName>
    <definedName name="____________gvd150">#REF!</definedName>
    <definedName name="____________gvd25">#REF!</definedName>
    <definedName name="____________gvd50">#REF!</definedName>
    <definedName name="____________gvd65">#REF!</definedName>
    <definedName name="____________hdw1">#REF!</definedName>
    <definedName name="____________k100123">#REF!</definedName>
    <definedName name="____________MU380">#REF!</definedName>
    <definedName name="____________new5">HAJIME:OWARI</definedName>
    <definedName name="____________pab100">#REF!</definedName>
    <definedName name="____________pab125">#REF!</definedName>
    <definedName name="____________pab15">#REF!</definedName>
    <definedName name="____________pab150">#REF!</definedName>
    <definedName name="____________pab2">#REF!</definedName>
    <definedName name="____________pab20">#REF!</definedName>
    <definedName name="____________pab25">#REF!</definedName>
    <definedName name="____________pab32">#REF!</definedName>
    <definedName name="____________pab4">#REF!</definedName>
    <definedName name="____________pab40">#REF!</definedName>
    <definedName name="____________pab50">#REF!</definedName>
    <definedName name="____________pab6">#REF!</definedName>
    <definedName name="____________pab65">#REF!</definedName>
    <definedName name="____________pab80">#REF!</definedName>
    <definedName name="____________pah150">#REF!</definedName>
    <definedName name="____________pak100">#REF!</definedName>
    <definedName name="____________pak150">#REF!</definedName>
    <definedName name="____________pak50">#REF!</definedName>
    <definedName name="____________pak80">#REF!</definedName>
    <definedName name="____________pbs100">#REF!</definedName>
    <definedName name="____________pbs15">#REF!</definedName>
    <definedName name="____________pbs150">#REF!</definedName>
    <definedName name="____________pbs40">#REF!</definedName>
    <definedName name="____________pbs50">#REF!</definedName>
    <definedName name="____________pbs65">#REF!</definedName>
    <definedName name="____________pbs80">#REF!</definedName>
    <definedName name="____________pc50">#REF!</definedName>
    <definedName name="____________pc80">#REF!</definedName>
    <definedName name="____________pcf80">#REF!</definedName>
    <definedName name="____________pf15">#REF!</definedName>
    <definedName name="____________ph100">#REF!</definedName>
    <definedName name="____________ph150">#REF!</definedName>
    <definedName name="____________phf100">#REF!</definedName>
    <definedName name="____________phf150">#REF!</definedName>
    <definedName name="____________PL1">#REF!</definedName>
    <definedName name="____________PL2">#REF!</definedName>
    <definedName name="____________PL3">#REF!</definedName>
    <definedName name="____________ptg1">#REF!</definedName>
    <definedName name="____________ptg2">#REF!</definedName>
    <definedName name="____________pv100">#REF!</definedName>
    <definedName name="____________pv40">#REF!</definedName>
    <definedName name="____________pv50">#REF!</definedName>
    <definedName name="____________pv80">#REF!</definedName>
    <definedName name="____________PVC6">#REF!</definedName>
    <definedName name="____________pvf100">#REF!</definedName>
    <definedName name="____________pvf80">#REF!</definedName>
    <definedName name="____________rk100">#REF!</definedName>
    <definedName name="____________rk200">#REF!</definedName>
    <definedName name="____________rk300">#REF!</definedName>
    <definedName name="____________rk600">#REF!</definedName>
    <definedName name="____________rkl1000">#REF!</definedName>
    <definedName name="____________rkl1200">#REF!</definedName>
    <definedName name="____________rkl200">#REF!</definedName>
    <definedName name="____________rkl300">#REF!</definedName>
    <definedName name="____________rkl400">#REF!</definedName>
    <definedName name="____________rkl500">#REF!</definedName>
    <definedName name="____________rkl600">#REF!</definedName>
    <definedName name="____________rkl700">#REF!</definedName>
    <definedName name="____________rkl800">#REF!</definedName>
    <definedName name="____________SFL1">#REF!</definedName>
    <definedName name="____________SFL2">#REF!</definedName>
    <definedName name="____________SFL3">#REF!</definedName>
    <definedName name="____________SFM1">#REF!</definedName>
    <definedName name="____________SFM2">#REF!</definedName>
    <definedName name="____________SFM3">#REF!</definedName>
    <definedName name="____________SFM4">#REF!</definedName>
    <definedName name="____________SFM5">#REF!</definedName>
    <definedName name="____________SFM6">#REF!</definedName>
    <definedName name="____________SFM7">#REF!</definedName>
    <definedName name="____________SFQ1">#REF!</definedName>
    <definedName name="____________SFQ2">#REF!</definedName>
    <definedName name="____________SFQ3">#REF!</definedName>
    <definedName name="____________SFQ4">#REF!</definedName>
    <definedName name="____________sfv150">#REF!</definedName>
    <definedName name="____________std100">#REF!</definedName>
    <definedName name="____________std150">#REF!</definedName>
    <definedName name="____________std50">#REF!</definedName>
    <definedName name="____________std65">#REF!</definedName>
    <definedName name="____________SUM1">#REF!</definedName>
    <definedName name="____________SUM2">#REF!</definedName>
    <definedName name="____________SUM3">#REF!</definedName>
    <definedName name="____________tlc20">#REF!</definedName>
    <definedName name="____________TOP2">#REF!</definedName>
    <definedName name="____________tp40">#REF!</definedName>
    <definedName name="____________tsv25">#REF!</definedName>
    <definedName name="____________vnt100">#REF!</definedName>
    <definedName name="____________vnt40">#REF!</definedName>
    <definedName name="____________vnt50">#REF!</definedName>
    <definedName name="____________vnt80">#REF!</definedName>
    <definedName name="___________AAD3">HAJIME:OWARI</definedName>
    <definedName name="___________abs100">#REF!</definedName>
    <definedName name="___________ADD2">STOP:STOPE</definedName>
    <definedName name="___________ADD3">STOP:STOPE</definedName>
    <definedName name="___________ahu100">#REF!</definedName>
    <definedName name="___________ahu150">#REF!</definedName>
    <definedName name="___________ako100">#REF!</definedName>
    <definedName name="___________ako150">#REF!</definedName>
    <definedName name="___________ako50">#REF!</definedName>
    <definedName name="___________ako80">#REF!</definedName>
    <definedName name="___________aku100">#REF!</definedName>
    <definedName name="___________aku150">#REF!</definedName>
    <definedName name="___________aru1">#REF!</definedName>
    <definedName name="___________bcv100">#REF!</definedName>
    <definedName name="___________bcv125">#REF!</definedName>
    <definedName name="___________bcv150">#REF!</definedName>
    <definedName name="___________BOX2">#REF!</definedName>
    <definedName name="___________BSP3">#REF!</definedName>
    <definedName name="___________BSP4">#REF!</definedName>
    <definedName name="___________BSP5">#REF!</definedName>
    <definedName name="___________BSP6">#REF!</definedName>
    <definedName name="___________BSP8">#REF!</definedName>
    <definedName name="___________btg1">#REF!</definedName>
    <definedName name="___________btg2">#REF!</definedName>
    <definedName name="___________btg3">#REF!</definedName>
    <definedName name="___________CAL1">#REF!</definedName>
    <definedName name="___________CAL10">#REF!</definedName>
    <definedName name="___________CAL11">#REF!</definedName>
    <definedName name="___________CAL12">#REF!</definedName>
    <definedName name="___________CAL13">#REF!</definedName>
    <definedName name="___________CAL14">#REF!</definedName>
    <definedName name="___________CAL15">#REF!</definedName>
    <definedName name="___________CAL16">#REF!</definedName>
    <definedName name="___________CAL17">#REF!</definedName>
    <definedName name="___________CAL18">#REF!</definedName>
    <definedName name="___________CAL19">#REF!</definedName>
    <definedName name="___________CAL2">#REF!</definedName>
    <definedName name="___________CAL20">#REF!</definedName>
    <definedName name="___________CAL21">#REF!</definedName>
    <definedName name="___________CAL3">#REF!</definedName>
    <definedName name="___________CAL4">#REF!</definedName>
    <definedName name="___________CAL5">#REF!</definedName>
    <definedName name="___________CAL6">#REF!</definedName>
    <definedName name="___________CAL7">#REF!</definedName>
    <definedName name="___________CAL8">#REF!</definedName>
    <definedName name="___________CAL9">#REF!</definedName>
    <definedName name="___________CAN15">#REF!</definedName>
    <definedName name="___________cas80">#REF!</definedName>
    <definedName name="___________cbr80">#REF!</definedName>
    <definedName name="___________CCF2">#REF!</definedName>
    <definedName name="___________CLP2">#REF!</definedName>
    <definedName name="___________cvd100">#REF!</definedName>
    <definedName name="___________cvd15">#REF!</definedName>
    <definedName name="___________cvd150">#REF!</definedName>
    <definedName name="___________cvd50">#REF!</definedName>
    <definedName name="___________cvd65">#REF!</definedName>
    <definedName name="___________daf1">#REF!</definedName>
    <definedName name="___________DAF10">#REF!</definedName>
    <definedName name="___________daf2">#REF!</definedName>
    <definedName name="___________daf31">#REF!</definedName>
    <definedName name="___________daf32">#REF!</definedName>
    <definedName name="___________daf33">#REF!</definedName>
    <definedName name="___________dia6">#REF!</definedName>
    <definedName name="___________EEE08">#REF!</definedName>
    <definedName name="___________EEE09">#REF!</definedName>
    <definedName name="___________EEE10">#REF!</definedName>
    <definedName name="___________EEE15">#REF!</definedName>
    <definedName name="___________fcp1">#REF!</definedName>
    <definedName name="___________fjd100">#REF!</definedName>
    <definedName name="___________fjd150">#REF!</definedName>
    <definedName name="___________fjd50">#REF!</definedName>
    <definedName name="___________fjd65">#REF!</definedName>
    <definedName name="___________fmd150">#REF!</definedName>
    <definedName name="___________GIP1">#REF!</definedName>
    <definedName name="___________GIP2">#REF!</definedName>
    <definedName name="___________GIP3">#REF!</definedName>
    <definedName name="___________GIP4">#REF!</definedName>
    <definedName name="___________gk2" hidden="1">#REF!</definedName>
    <definedName name="___________grc1">#REF!</definedName>
    <definedName name="___________gti50">#REF!</definedName>
    <definedName name="___________gti60">#REF!</definedName>
    <definedName name="___________gvd100">#REF!</definedName>
    <definedName name="___________gvd15">#REF!</definedName>
    <definedName name="___________gvd150">#REF!</definedName>
    <definedName name="___________gvd25">#REF!</definedName>
    <definedName name="___________gvd50">#REF!</definedName>
    <definedName name="___________gvd65">#REF!</definedName>
    <definedName name="___________hdw1">#REF!</definedName>
    <definedName name="___________HHH01">#REF!</definedName>
    <definedName name="___________jab1">#REF!</definedName>
    <definedName name="___________k100123">#REF!</definedName>
    <definedName name="___________kof1">#REF!</definedName>
    <definedName name="___________LLL01">#REF!</definedName>
    <definedName name="___________MDE01">#REF!</definedName>
    <definedName name="___________MDE02">#REF!</definedName>
    <definedName name="___________MDE03">#REF!</definedName>
    <definedName name="___________MDE04">#REF!</definedName>
    <definedName name="___________MDE05">#REF!</definedName>
    <definedName name="___________MDE06">#REF!</definedName>
    <definedName name="___________MDE07">#REF!</definedName>
    <definedName name="___________MDE08">#REF!</definedName>
    <definedName name="___________MDE09">#REF!</definedName>
    <definedName name="___________MDE10">#REF!</definedName>
    <definedName name="___________MDE11">#REF!</definedName>
    <definedName name="___________MDE12">#REF!</definedName>
    <definedName name="___________MDE13">#REF!</definedName>
    <definedName name="___________MDE14">#REF!</definedName>
    <definedName name="___________MDE15">#REF!</definedName>
    <definedName name="___________MDE16">#REF!</definedName>
    <definedName name="___________MDE17">#REF!</definedName>
    <definedName name="___________MDE18">#REF!</definedName>
    <definedName name="___________MDE19">#REF!</definedName>
    <definedName name="___________MDE20">#REF!</definedName>
    <definedName name="___________MDE21">#REF!</definedName>
    <definedName name="___________MDE22">#REF!</definedName>
    <definedName name="___________MDE23">#REF!</definedName>
    <definedName name="___________MDE24">#REF!</definedName>
    <definedName name="___________MDE25">#REF!</definedName>
    <definedName name="___________MDE26">#REF!</definedName>
    <definedName name="___________MDE27">#REF!</definedName>
    <definedName name="___________MDE28">#REF!</definedName>
    <definedName name="___________MDE29">#REF!</definedName>
    <definedName name="___________MDE30">#REF!</definedName>
    <definedName name="___________MDE31">#REF!</definedName>
    <definedName name="___________MDE32">#REF!</definedName>
    <definedName name="___________MDE33">#REF!</definedName>
    <definedName name="___________MDE34">#REF!</definedName>
    <definedName name="___________ME01">#REF!</definedName>
    <definedName name="___________ME02">#REF!</definedName>
    <definedName name="___________ME03">#REF!</definedName>
    <definedName name="___________ME04">#REF!</definedName>
    <definedName name="___________ME05">#REF!</definedName>
    <definedName name="___________ME06">#REF!</definedName>
    <definedName name="___________ME07">#REF!</definedName>
    <definedName name="___________ME08">#REF!</definedName>
    <definedName name="___________ME09">#REF!</definedName>
    <definedName name="___________ME10">#REF!</definedName>
    <definedName name="___________ME11">#REF!</definedName>
    <definedName name="___________ME12">#REF!</definedName>
    <definedName name="___________ME13">#REF!</definedName>
    <definedName name="___________ME14">#REF!</definedName>
    <definedName name="___________ME15">#REF!</definedName>
    <definedName name="___________ME16">#REF!</definedName>
    <definedName name="___________ME17">#REF!</definedName>
    <definedName name="___________ME18">#REF!</definedName>
    <definedName name="___________ME19">#REF!</definedName>
    <definedName name="___________ME20">#REF!</definedName>
    <definedName name="___________ME21">#REF!</definedName>
    <definedName name="___________ME22">#REF!</definedName>
    <definedName name="___________ME23">#REF!</definedName>
    <definedName name="___________ME24">#REF!</definedName>
    <definedName name="___________ME25">#REF!</definedName>
    <definedName name="___________ME26">#REF!</definedName>
    <definedName name="___________ME27">#REF!</definedName>
    <definedName name="___________ME28">#REF!</definedName>
    <definedName name="___________ME29">#REF!</definedName>
    <definedName name="___________ME30">#REF!</definedName>
    <definedName name="___________ME31">#REF!</definedName>
    <definedName name="___________ME32">#REF!</definedName>
    <definedName name="___________ME33">#REF!</definedName>
    <definedName name="___________ME34">#REF!</definedName>
    <definedName name="___________MU301">#REF!</definedName>
    <definedName name="___________MU400">#REF!</definedName>
    <definedName name="___________MU440">#REF!</definedName>
    <definedName name="___________MU450">#REF!</definedName>
    <definedName name="___________nm1">#REF!</definedName>
    <definedName name="___________pab100">#REF!</definedName>
    <definedName name="___________pab125">#REF!</definedName>
    <definedName name="___________pab15">#REF!</definedName>
    <definedName name="___________pab150">#REF!</definedName>
    <definedName name="___________pab2">#REF!</definedName>
    <definedName name="___________pab20">#REF!</definedName>
    <definedName name="___________pab25">#REF!</definedName>
    <definedName name="___________pab32">#REF!</definedName>
    <definedName name="___________pab4">#REF!</definedName>
    <definedName name="___________pab40">#REF!</definedName>
    <definedName name="___________pab50">#REF!</definedName>
    <definedName name="___________pab6">#REF!</definedName>
    <definedName name="___________pab65">#REF!</definedName>
    <definedName name="___________pab80">#REF!</definedName>
    <definedName name="___________PAC012">#REF!</definedName>
    <definedName name="___________pah150">#REF!</definedName>
    <definedName name="___________pak100">#REF!</definedName>
    <definedName name="___________pak150">#REF!</definedName>
    <definedName name="___________pak50">#REF!</definedName>
    <definedName name="___________pak80">#REF!</definedName>
    <definedName name="___________pbs100">#REF!</definedName>
    <definedName name="___________pbs15">#REF!</definedName>
    <definedName name="___________pbs150">#REF!</definedName>
    <definedName name="___________pbs40">#REF!</definedName>
    <definedName name="___________pbs50">#REF!</definedName>
    <definedName name="___________pbs65">#REF!</definedName>
    <definedName name="___________pbs80">#REF!</definedName>
    <definedName name="___________pc50">#REF!</definedName>
    <definedName name="___________pc80">#REF!</definedName>
    <definedName name="___________pcf80">#REF!</definedName>
    <definedName name="___________ph100">#REF!</definedName>
    <definedName name="___________ph150">#REF!</definedName>
    <definedName name="___________phf100">#REF!</definedName>
    <definedName name="___________phf150">#REF!</definedName>
    <definedName name="___________PL2">#REF!</definedName>
    <definedName name="___________PL3">#REF!</definedName>
    <definedName name="___________PSC052">#REF!</definedName>
    <definedName name="___________ptg1">#REF!</definedName>
    <definedName name="___________ptg2">#REF!</definedName>
    <definedName name="___________pv100">#REF!</definedName>
    <definedName name="___________pv40">#REF!</definedName>
    <definedName name="___________pv50">#REF!</definedName>
    <definedName name="___________pv80">#REF!</definedName>
    <definedName name="___________PVC3">#REF!</definedName>
    <definedName name="___________PVC4">#REF!</definedName>
    <definedName name="___________PVC6">#REF!</definedName>
    <definedName name="___________pvf100">#REF!</definedName>
    <definedName name="___________pvf80">#REF!</definedName>
    <definedName name="___________PW1">#REF!</definedName>
    <definedName name="___________PW2">#REF!</definedName>
    <definedName name="___________rk100">#REF!</definedName>
    <definedName name="___________rk200">#REF!</definedName>
    <definedName name="___________rk300">#REF!</definedName>
    <definedName name="___________rk600">#REF!</definedName>
    <definedName name="___________rkl1000">#REF!</definedName>
    <definedName name="___________rkl1200">#REF!</definedName>
    <definedName name="___________rkl200">#REF!</definedName>
    <definedName name="___________rkl300">#REF!</definedName>
    <definedName name="___________rkl400">#REF!</definedName>
    <definedName name="___________rkl500">#REF!</definedName>
    <definedName name="___________rkl600">#REF!</definedName>
    <definedName name="___________rkl700">#REF!</definedName>
    <definedName name="___________rkl800">#REF!</definedName>
    <definedName name="___________SFL1">#REF!</definedName>
    <definedName name="___________SFL2">#REF!</definedName>
    <definedName name="___________SFL3">#REF!</definedName>
    <definedName name="___________SFM1">#REF!</definedName>
    <definedName name="___________SFM2">#REF!</definedName>
    <definedName name="___________SFM3">#REF!</definedName>
    <definedName name="___________SFM4">#REF!</definedName>
    <definedName name="___________SFM5">#REF!</definedName>
    <definedName name="___________SFM6">#REF!</definedName>
    <definedName name="___________SFM7">#REF!</definedName>
    <definedName name="___________SFQ1">#REF!</definedName>
    <definedName name="___________SFQ2">#REF!</definedName>
    <definedName name="___________SFQ3">#REF!</definedName>
    <definedName name="___________SFQ4">#REF!</definedName>
    <definedName name="___________sfv150">#REF!</definedName>
    <definedName name="___________std100">#REF!</definedName>
    <definedName name="___________std150">#REF!</definedName>
    <definedName name="___________std50">#REF!</definedName>
    <definedName name="___________std65">#REF!</definedName>
    <definedName name="___________SUM1">#REF!</definedName>
    <definedName name="___________SUM2">#REF!</definedName>
    <definedName name="___________SUM3">#REF!</definedName>
    <definedName name="___________tgl1">#REF!</definedName>
    <definedName name="___________tlc20">#REF!</definedName>
    <definedName name="___________TOP2">#REF!</definedName>
    <definedName name="___________tp30">#REF!</definedName>
    <definedName name="___________tp40">#REF!</definedName>
    <definedName name="___________tsv25">#REF!</definedName>
    <definedName name="___________vnt100">#REF!</definedName>
    <definedName name="___________vnt40">#REF!</definedName>
    <definedName name="___________vnt50">#REF!</definedName>
    <definedName name="___________vnt80">#REF!</definedName>
    <definedName name="___________WF32">#REF!</definedName>
    <definedName name="___________WF42">#REF!</definedName>
    <definedName name="___________WM4">#REF!</definedName>
    <definedName name="___________WM5">#REF!</definedName>
    <definedName name="___________WM6">#REF!</definedName>
    <definedName name="___________WM7">#REF!</definedName>
    <definedName name="___________WM8">#REF!</definedName>
    <definedName name="__________AAD3">HAJIME:OWARI</definedName>
    <definedName name="__________ADD2">STOP:STOPE</definedName>
    <definedName name="__________ADD3">STOP:STOPE</definedName>
    <definedName name="__________alt1">#REF!</definedName>
    <definedName name="__________APP3">#REF!</definedName>
    <definedName name="__________aru1">#REF!</definedName>
    <definedName name="__________bcv125">#REF!</definedName>
    <definedName name="__________BOX2">#REF!</definedName>
    <definedName name="__________BSP3">#REF!</definedName>
    <definedName name="__________BSP4">#REF!</definedName>
    <definedName name="__________BSP5">#REF!</definedName>
    <definedName name="__________BSP6">#REF!</definedName>
    <definedName name="__________BSP8">#REF!</definedName>
    <definedName name="__________btg1">#REF!</definedName>
    <definedName name="__________btg2">#REF!</definedName>
    <definedName name="__________btg3">#REF!</definedName>
    <definedName name="__________CAL1">#REF!</definedName>
    <definedName name="__________CAL10">#REF!</definedName>
    <definedName name="__________CAL11">#REF!</definedName>
    <definedName name="__________CAL12">#REF!</definedName>
    <definedName name="__________CAL13">#REF!</definedName>
    <definedName name="__________CAL14">#REF!</definedName>
    <definedName name="__________CAL15">#REF!</definedName>
    <definedName name="__________CAL16">#REF!</definedName>
    <definedName name="__________CAL17">#REF!</definedName>
    <definedName name="__________CAL18">#REF!</definedName>
    <definedName name="__________CAL19">#REF!</definedName>
    <definedName name="__________CAL2">#REF!</definedName>
    <definedName name="__________CAL20">#REF!</definedName>
    <definedName name="__________CAL21">#REF!</definedName>
    <definedName name="__________CAL3">#REF!</definedName>
    <definedName name="__________CAL4">#REF!</definedName>
    <definedName name="__________CAL5">#REF!</definedName>
    <definedName name="__________CAL6">#REF!</definedName>
    <definedName name="__________CAL7">#REF!</definedName>
    <definedName name="__________CAL8">#REF!</definedName>
    <definedName name="__________CAL9">#REF!</definedName>
    <definedName name="__________cbr30">#REF!</definedName>
    <definedName name="__________cbr80">#REF!</definedName>
    <definedName name="__________cor175">#REF!</definedName>
    <definedName name="__________cor225">#REF!</definedName>
    <definedName name="__________cor300">#REF!</definedName>
    <definedName name="__________cvd150">#REF!</definedName>
    <definedName name="__________cvd65">#REF!</definedName>
    <definedName name="__________daf1">#REF!</definedName>
    <definedName name="__________daf2">#REF!</definedName>
    <definedName name="__________daf31">#REF!</definedName>
    <definedName name="__________daf32">#REF!</definedName>
    <definedName name="__________daf33">#REF!</definedName>
    <definedName name="__________EEE08">#REF!</definedName>
    <definedName name="__________EEE09">#REF!</definedName>
    <definedName name="__________EEE10">#REF!</definedName>
    <definedName name="__________EEE15">#REF!</definedName>
    <definedName name="__________EEE17">#REF!</definedName>
    <definedName name="__________fcp1">#REF!</definedName>
    <definedName name="__________fjd150">#REF!</definedName>
    <definedName name="__________fjd65">#REF!</definedName>
    <definedName name="__________GIP1">#REF!</definedName>
    <definedName name="__________GIP2">#REF!</definedName>
    <definedName name="__________GIP3">#REF!</definedName>
    <definedName name="__________GIP4">#REF!</definedName>
    <definedName name="__________gk2" hidden="1">#REF!</definedName>
    <definedName name="__________grc6">#REF!</definedName>
    <definedName name="__________grc8">#REF!</definedName>
    <definedName name="__________gti50">#REF!</definedName>
    <definedName name="__________gti60">#REF!</definedName>
    <definedName name="__________gvd150">#REF!</definedName>
    <definedName name="__________gvd65">#REF!</definedName>
    <definedName name="__________gyf9">#REF!</definedName>
    <definedName name="__________hdw1">#REF!</definedName>
    <definedName name="__________HHH01">#REF!</definedName>
    <definedName name="__________k100123">#REF!</definedName>
    <definedName name="__________kof1">#REF!</definedName>
    <definedName name="__________LLL01">#REF!</definedName>
    <definedName name="__________MU301">#REF!</definedName>
    <definedName name="__________MU380">#REF!</definedName>
    <definedName name="__________MU400">#REF!</definedName>
    <definedName name="__________MU440">#REF!</definedName>
    <definedName name="__________MU450">#REF!</definedName>
    <definedName name="__________new5">HAJIME:OWARI</definedName>
    <definedName name="__________pbs150">#REF!</definedName>
    <definedName name="__________pbs40">#REF!</definedName>
    <definedName name="__________pbs65">#REF!</definedName>
    <definedName name="__________pek2">#REF!</definedName>
    <definedName name="__________pf15">#REF!</definedName>
    <definedName name="__________PL1">#REF!</definedName>
    <definedName name="__________ptg1">#REF!</definedName>
    <definedName name="__________ptg2">#REF!</definedName>
    <definedName name="__________PVC2">#REF!</definedName>
    <definedName name="__________PVC3">#REF!</definedName>
    <definedName name="__________PVC4">#REF!</definedName>
    <definedName name="__________PVC6">#REF!</definedName>
    <definedName name="__________rk100">#REF!</definedName>
    <definedName name="__________rk200">#REF!</definedName>
    <definedName name="__________rk300">#REF!</definedName>
    <definedName name="__________rk600">#REF!</definedName>
    <definedName name="__________rkl1200">#REF!</definedName>
    <definedName name="__________SFL1">#REF!</definedName>
    <definedName name="__________SFL2">#REF!</definedName>
    <definedName name="__________SFL3">#REF!</definedName>
    <definedName name="__________SFM1">#REF!</definedName>
    <definedName name="__________SFM2">#REF!</definedName>
    <definedName name="__________SFM3">#REF!</definedName>
    <definedName name="__________SFM4">#REF!</definedName>
    <definedName name="__________SFM5">#REF!</definedName>
    <definedName name="__________SFM6">#REF!</definedName>
    <definedName name="__________SFM7">#REF!</definedName>
    <definedName name="__________SFQ1">#REF!</definedName>
    <definedName name="__________SFQ2">#REF!</definedName>
    <definedName name="__________SFQ3">#REF!</definedName>
    <definedName name="__________SFQ4">#REF!</definedName>
    <definedName name="__________sfv150">#REF!</definedName>
    <definedName name="__________std150">#REF!</definedName>
    <definedName name="__________std65">#REF!</definedName>
    <definedName name="__________SUM1">#REF!</definedName>
    <definedName name="__________SUM2">#REF!</definedName>
    <definedName name="__________SUM3">#REF!</definedName>
    <definedName name="__________TOP2">#REF!</definedName>
    <definedName name="__________tp40">#REF!</definedName>
    <definedName name="__________tsI3">#REF!</definedName>
    <definedName name="_________AAD3">HAJIME:OWARI</definedName>
    <definedName name="_________abs100">#REF!</definedName>
    <definedName name="_________ADD2">STOP:STOPE</definedName>
    <definedName name="_________ADD3">STOP:STOPE</definedName>
    <definedName name="_________ahu100">#REF!</definedName>
    <definedName name="_________ahu150">#REF!</definedName>
    <definedName name="_________ako100">#REF!</definedName>
    <definedName name="_________ako150">#REF!</definedName>
    <definedName name="_________ako50">#REF!</definedName>
    <definedName name="_________ako80">#REF!</definedName>
    <definedName name="_________aku100">#REF!</definedName>
    <definedName name="_________aku150">#REF!</definedName>
    <definedName name="_________ana1">#REF!</definedName>
    <definedName name="_________ana10">#REF!</definedName>
    <definedName name="_________ana100">#REF!</definedName>
    <definedName name="_________ana101">#REF!</definedName>
    <definedName name="_________ana102">#REF!</definedName>
    <definedName name="_________ana103">#REF!</definedName>
    <definedName name="_________ana104">#REF!</definedName>
    <definedName name="_________ana105">#REF!</definedName>
    <definedName name="_________ana106">#REF!</definedName>
    <definedName name="_________ana107">#REF!</definedName>
    <definedName name="_________ana108">#REF!</definedName>
    <definedName name="_________ana109">#REF!</definedName>
    <definedName name="_________ana11">#REF!</definedName>
    <definedName name="_________ana110">#REF!</definedName>
    <definedName name="_________ana111">#REF!</definedName>
    <definedName name="_________ana112">#REF!</definedName>
    <definedName name="_________ana113">#REF!</definedName>
    <definedName name="_________ana114">#REF!</definedName>
    <definedName name="_________ana115">#REF!</definedName>
    <definedName name="_________ana116">#REF!</definedName>
    <definedName name="_________ana117">#REF!</definedName>
    <definedName name="_________ana118">#REF!</definedName>
    <definedName name="_________ana119">#REF!</definedName>
    <definedName name="_________ana12">#REF!</definedName>
    <definedName name="_________ana120">#REF!</definedName>
    <definedName name="_________ana121">#REF!</definedName>
    <definedName name="_________ana122">#REF!</definedName>
    <definedName name="_________ana123">#REF!</definedName>
    <definedName name="_________ana124">#REF!</definedName>
    <definedName name="_________ana13">#REF!</definedName>
    <definedName name="_________ana14">#REF!</definedName>
    <definedName name="_________ana15">#REF!</definedName>
    <definedName name="_________ana16">#REF!</definedName>
    <definedName name="_________ana17">#REF!</definedName>
    <definedName name="_________ana18">#REF!</definedName>
    <definedName name="_________ana19">#REF!</definedName>
    <definedName name="_________ana2">#REF!</definedName>
    <definedName name="_________ana20">#REF!</definedName>
    <definedName name="_________ana21">#REF!</definedName>
    <definedName name="_________ana22">#REF!</definedName>
    <definedName name="_________ana23">#REF!</definedName>
    <definedName name="_________ana24">#REF!</definedName>
    <definedName name="_________ana25">#REF!</definedName>
    <definedName name="_________ana26">#REF!</definedName>
    <definedName name="_________ana27">#REF!</definedName>
    <definedName name="_________ana28">#REF!</definedName>
    <definedName name="_________ana29">#REF!</definedName>
    <definedName name="_________ana3">#REF!</definedName>
    <definedName name="_________ana30">#REF!</definedName>
    <definedName name="_________ana31">#REF!</definedName>
    <definedName name="_________ana32">#REF!</definedName>
    <definedName name="_________ana33">#REF!</definedName>
    <definedName name="_________ana34">#REF!</definedName>
    <definedName name="_________ana35">#REF!</definedName>
    <definedName name="_________ana36">#REF!</definedName>
    <definedName name="_________ana37">#REF!</definedName>
    <definedName name="_________ana38">#REF!</definedName>
    <definedName name="_________ana39">#REF!</definedName>
    <definedName name="_________ana4">#REF!</definedName>
    <definedName name="_________ana40">#REF!</definedName>
    <definedName name="_________ana41">#REF!</definedName>
    <definedName name="_________ana42">#REF!</definedName>
    <definedName name="_________ana43">#REF!</definedName>
    <definedName name="_________ana44">#REF!</definedName>
    <definedName name="_________ana45">#REF!</definedName>
    <definedName name="_________ana46">#REF!</definedName>
    <definedName name="_________ana47">#REF!</definedName>
    <definedName name="_________ana48">#REF!</definedName>
    <definedName name="_________ana49">#REF!</definedName>
    <definedName name="_________ana5">#REF!</definedName>
    <definedName name="_________ana50">#REF!</definedName>
    <definedName name="_________ana51">#REF!</definedName>
    <definedName name="_________ana52">#REF!</definedName>
    <definedName name="_________ana53">#REF!</definedName>
    <definedName name="_________ana54">#REF!</definedName>
    <definedName name="_________ana55">#REF!</definedName>
    <definedName name="_________ana56">#REF!</definedName>
    <definedName name="_________ana57">#REF!</definedName>
    <definedName name="_________ana58">#REF!</definedName>
    <definedName name="_________ana59">#REF!</definedName>
    <definedName name="_________ana6">#REF!</definedName>
    <definedName name="_________ana60">#REF!</definedName>
    <definedName name="_________ana61">#REF!</definedName>
    <definedName name="_________ana62">#REF!</definedName>
    <definedName name="_________ana63">#REF!</definedName>
    <definedName name="_________ana64">#REF!</definedName>
    <definedName name="_________ana65">#REF!</definedName>
    <definedName name="_________ana66">#REF!</definedName>
    <definedName name="_________ana67">#REF!</definedName>
    <definedName name="_________ana68">#REF!</definedName>
    <definedName name="_________ana69">#REF!</definedName>
    <definedName name="_________ana7">#REF!</definedName>
    <definedName name="_________ana70">#REF!</definedName>
    <definedName name="_________ana71">#REF!</definedName>
    <definedName name="_________ana72">#REF!</definedName>
    <definedName name="_________ana73">#REF!</definedName>
    <definedName name="_________ana74">#REF!</definedName>
    <definedName name="_________ana75">#REF!</definedName>
    <definedName name="_________ana76">#REF!</definedName>
    <definedName name="_________ana77">#REF!</definedName>
    <definedName name="_________ana78">#REF!</definedName>
    <definedName name="_________ana79">#REF!</definedName>
    <definedName name="_________ana80">#REF!</definedName>
    <definedName name="_________ana81">#REF!</definedName>
    <definedName name="_________ana82">#REF!</definedName>
    <definedName name="_________ana83">#REF!</definedName>
    <definedName name="_________ana84">#REF!</definedName>
    <definedName name="_________ana85">#REF!</definedName>
    <definedName name="_________ana86">#REF!</definedName>
    <definedName name="_________ana87">#REF!</definedName>
    <definedName name="_________ana88">#REF!</definedName>
    <definedName name="_________ana89">#REF!</definedName>
    <definedName name="_________ana9">#REF!</definedName>
    <definedName name="_________ana90">#REF!</definedName>
    <definedName name="_________ana91">#REF!</definedName>
    <definedName name="_________ana92">#REF!</definedName>
    <definedName name="_________ana93">#REF!</definedName>
    <definedName name="_________ana94">#REF!</definedName>
    <definedName name="_________ana95">#REF!</definedName>
    <definedName name="_________ana96">#REF!</definedName>
    <definedName name="_________ana97">#REF!</definedName>
    <definedName name="_________ana98">#REF!</definedName>
    <definedName name="_________ana99">#REF!</definedName>
    <definedName name="_________bcv100">#REF!</definedName>
    <definedName name="_________bcv125">#REF!</definedName>
    <definedName name="_________bcv150">#REF!</definedName>
    <definedName name="_________bes24">#REF!</definedName>
    <definedName name="_________bes39">#REF!</definedName>
    <definedName name="_________BOX2">#REF!</definedName>
    <definedName name="_________BSP3">#REF!</definedName>
    <definedName name="_________BSP4">#REF!</definedName>
    <definedName name="_________BSP5">#REF!</definedName>
    <definedName name="_________BSP6">#REF!</definedName>
    <definedName name="_________BSP8">#REF!</definedName>
    <definedName name="_________btg1">#REF!</definedName>
    <definedName name="_________btg2">#REF!</definedName>
    <definedName name="_________btg3">#REF!</definedName>
    <definedName name="_________C">#REF!</definedName>
    <definedName name="_________CAL1">#REF!</definedName>
    <definedName name="_________CAL10">#REF!</definedName>
    <definedName name="_________CAL11">#REF!</definedName>
    <definedName name="_________CAL12">#REF!</definedName>
    <definedName name="_________CAL13">#REF!</definedName>
    <definedName name="_________CAL14">#REF!</definedName>
    <definedName name="_________CAL15">#REF!</definedName>
    <definedName name="_________CAL16">#REF!</definedName>
    <definedName name="_________CAL17">#REF!</definedName>
    <definedName name="_________CAL18">#REF!</definedName>
    <definedName name="_________CAL19">#REF!</definedName>
    <definedName name="_________CAL2">#REF!</definedName>
    <definedName name="_________CAL20">#REF!</definedName>
    <definedName name="_________CAL21">#REF!</definedName>
    <definedName name="_________CAL3">#REF!</definedName>
    <definedName name="_________CAL4">#REF!</definedName>
    <definedName name="_________CAL5">#REF!</definedName>
    <definedName name="_________CAL6">#REF!</definedName>
    <definedName name="_________CAL7">#REF!</definedName>
    <definedName name="_________CAL8">#REF!</definedName>
    <definedName name="_________CAL9">#REF!</definedName>
    <definedName name="_________CAN15">#REF!</definedName>
    <definedName name="_________cas80">#REF!</definedName>
    <definedName name="_________cat1">#REF!</definedName>
    <definedName name="_________cat2">#REF!</definedName>
    <definedName name="_________cat3">#REF!</definedName>
    <definedName name="_________cbr30">#REF!</definedName>
    <definedName name="_________cbr80">#REF!</definedName>
    <definedName name="_________CCF2">#REF!</definedName>
    <definedName name="_________cle10">#REF!</definedName>
    <definedName name="_________cle65">#REF!</definedName>
    <definedName name="_________CLP2">#REF!</definedName>
    <definedName name="_________cor175">#REF!</definedName>
    <definedName name="_________cor225">#REF!</definedName>
    <definedName name="_________cor300">#REF!</definedName>
    <definedName name="_________cvd100">#REF!</definedName>
    <definedName name="_________cvd15">#REF!</definedName>
    <definedName name="_________cvd150">#REF!</definedName>
    <definedName name="_________cvd50">#REF!</definedName>
    <definedName name="_________cvd65">#REF!</definedName>
    <definedName name="_________daf1">#REF!</definedName>
    <definedName name="_________DAF10">#REF!</definedName>
    <definedName name="_________daf2">#REF!</definedName>
    <definedName name="_________daf31">#REF!</definedName>
    <definedName name="_________daf32">#REF!</definedName>
    <definedName name="_________daf33">#REF!</definedName>
    <definedName name="_________dia6">#REF!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faw10">#REF!</definedName>
    <definedName name="_________faw65">#REF!</definedName>
    <definedName name="_________fcp1">#REF!</definedName>
    <definedName name="_________fjd100">#REF!</definedName>
    <definedName name="_________fjd150">#REF!</definedName>
    <definedName name="_________fjd50">#REF!</definedName>
    <definedName name="_________fjd65">#REF!</definedName>
    <definedName name="_________flo40">#REF!</definedName>
    <definedName name="_________fmd150">#REF!</definedName>
    <definedName name="_________gat50">#REF!</definedName>
    <definedName name="_________GID1">#REF!</definedName>
    <definedName name="_________GIP1">#REF!</definedName>
    <definedName name="_________gip15">#REF!</definedName>
    <definedName name="_________GIP2">#REF!</definedName>
    <definedName name="_________gip20">#REF!</definedName>
    <definedName name="_________gip25">#REF!</definedName>
    <definedName name="_________GIP3">#REF!</definedName>
    <definedName name="_________gip32">#REF!</definedName>
    <definedName name="_________GIP4">#REF!</definedName>
    <definedName name="_________gip40">#REF!</definedName>
    <definedName name="_________gip50">#REF!</definedName>
    <definedName name="_________gk2" hidden="1">#REF!</definedName>
    <definedName name="_________grc1">#REF!</definedName>
    <definedName name="_________grc6">#REF!</definedName>
    <definedName name="_________grc8">#REF!</definedName>
    <definedName name="_________gti50">#REF!</definedName>
    <definedName name="_________gti60">#REF!</definedName>
    <definedName name="_________gvd100">#REF!</definedName>
    <definedName name="_________gvd15">#REF!</definedName>
    <definedName name="_________gvd150">#REF!</definedName>
    <definedName name="_________gvd25">#REF!</definedName>
    <definedName name="_________gvd50">#REF!</definedName>
    <definedName name="_________gvd65">#REF!</definedName>
    <definedName name="_________gyf9">#REF!</definedName>
    <definedName name="_________gyp9">#REF!</definedName>
    <definedName name="_________hdw1">#REF!</definedName>
    <definedName name="_________HHH01">#REF!</definedName>
    <definedName name="_________hpc2">#REF!</definedName>
    <definedName name="_________jab1">#REF!</definedName>
    <definedName name="_________k100123">#REF!</definedName>
    <definedName name="_________ker1020">#REF!</definedName>
    <definedName name="_________ker1030">#REF!</definedName>
    <definedName name="_________kof1">#REF!</definedName>
    <definedName name="_________LLL01">#REF!</definedName>
    <definedName name="_________LLL03">#REF!</definedName>
    <definedName name="_________MBW867">#REF!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DE35">#REF!</definedName>
    <definedName name="_________MDE36">#REF!</definedName>
    <definedName name="_________MDE37">#REF!</definedName>
    <definedName name="_________MDE38">#REF!</definedName>
    <definedName name="_________MDE39">#REF!</definedName>
    <definedName name="_________MDE40">#REF!</definedName>
    <definedName name="_________MDE41">#REF!</definedName>
    <definedName name="_________MDE42">#REF!</definedName>
    <definedName name="_________MDE43">#REF!</definedName>
    <definedName name="_________MDE44">#REF!</definedName>
    <definedName name="_________MDE45">#REF!</definedName>
    <definedName name="_________MDE46">#REF!</definedName>
    <definedName name="_________MDE47">#REF!</definedName>
    <definedName name="_________MDE48">#REF!</definedName>
    <definedName name="_________MDE49">#REF!</definedName>
    <definedName name="_________MDE50">#REF!</definedName>
    <definedName name="_________MDE51">#REF!</definedName>
    <definedName name="_________MDE52">#REF!</definedName>
    <definedName name="_________MDE53">#REF!</definedName>
    <definedName name="_________MDE54">#REF!</definedName>
    <definedName name="_________MDE55">#REF!</definedName>
    <definedName name="_________MDE56">#REF!</definedName>
    <definedName name="_________MDE57">#REF!</definedName>
    <definedName name="_________MDE58">#REF!</definedName>
    <definedName name="_________MDE59">#REF!</definedName>
    <definedName name="_________MDE60">#REF!</definedName>
    <definedName name="_________MDE61">#REF!</definedName>
    <definedName name="_________MDE62">#REF!</definedName>
    <definedName name="_________MDE63">#REF!</definedName>
    <definedName name="_________MDE64">#REF!</definedName>
    <definedName name="_________MDE65">#REF!</definedName>
    <definedName name="_________MDE66">#REF!</definedName>
    <definedName name="_________MDE67">#REF!</definedName>
    <definedName name="_________MDE68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ME35">#REF!</definedName>
    <definedName name="_________ME36">#REF!</definedName>
    <definedName name="_________ME37">#REF!</definedName>
    <definedName name="_________ME38">#REF!</definedName>
    <definedName name="_________ME39">#REF!</definedName>
    <definedName name="_________ME40">#REF!</definedName>
    <definedName name="_________ME41">#REF!</definedName>
    <definedName name="_________ME42">#REF!</definedName>
    <definedName name="_________ME43">#REF!</definedName>
    <definedName name="_________ME44">#REF!</definedName>
    <definedName name="_________ME45">#REF!</definedName>
    <definedName name="_________ME46">#REF!</definedName>
    <definedName name="_________ME47">#REF!</definedName>
    <definedName name="_________ME48">#REF!</definedName>
    <definedName name="_________ME49">#REF!</definedName>
    <definedName name="_________ME50">#REF!</definedName>
    <definedName name="_________ME51">#REF!</definedName>
    <definedName name="_________ME52">#REF!</definedName>
    <definedName name="_________ME53">#REF!</definedName>
    <definedName name="_________ME54">#REF!</definedName>
    <definedName name="_________ME55">#REF!</definedName>
    <definedName name="_________ME56">#REF!</definedName>
    <definedName name="_________ME57">#REF!</definedName>
    <definedName name="_________ME58">#REF!</definedName>
    <definedName name="_________ME59">#REF!</definedName>
    <definedName name="_________ME60">#REF!</definedName>
    <definedName name="_________ME61">#REF!</definedName>
    <definedName name="_________ME62">#REF!</definedName>
    <definedName name="_________ME63">#REF!</definedName>
    <definedName name="_________ME64">#REF!</definedName>
    <definedName name="_________ME65">#REF!</definedName>
    <definedName name="_________ME66">#REF!</definedName>
    <definedName name="_________ME67">#REF!</definedName>
    <definedName name="_________ME68">#REF!</definedName>
    <definedName name="_________MMM04">#REF!</definedName>
    <definedName name="_________MMM08">#REF!</definedName>
    <definedName name="_________MMM09">#REF!</definedName>
    <definedName name="_________MMM39">#REF!</definedName>
    <definedName name="_________mp1">#REF!</definedName>
    <definedName name="_________nm1">#REF!</definedName>
    <definedName name="_________pab100">#REF!</definedName>
    <definedName name="_________pab125">#REF!</definedName>
    <definedName name="_________pab15">#REF!</definedName>
    <definedName name="_________pab150">#REF!</definedName>
    <definedName name="_________pab2">#REF!</definedName>
    <definedName name="_________pab20">#REF!</definedName>
    <definedName name="_________pab25">#REF!</definedName>
    <definedName name="_________pab32">#REF!</definedName>
    <definedName name="_________pab4">#REF!</definedName>
    <definedName name="_________pab40">#REF!</definedName>
    <definedName name="_________pab50">#REF!</definedName>
    <definedName name="_________pab6">#REF!</definedName>
    <definedName name="_________pab65">#REF!</definedName>
    <definedName name="_________pab80">#REF!</definedName>
    <definedName name="_________PAC012">#REF!</definedName>
    <definedName name="_________pah150">#REF!</definedName>
    <definedName name="_________PAK1">#REF!</definedName>
    <definedName name="_________pak100">#REF!</definedName>
    <definedName name="_________pak150">#REF!</definedName>
    <definedName name="_________PAK2">#REF!</definedName>
    <definedName name="_________PAK3">#REF!</definedName>
    <definedName name="_________PAK4">#REF!</definedName>
    <definedName name="_________PAK5">#REF!</definedName>
    <definedName name="_________pak50">#REF!</definedName>
    <definedName name="_________PAK6">#REF!</definedName>
    <definedName name="_________pak80">#REF!</definedName>
    <definedName name="_________paw10">#REF!</definedName>
    <definedName name="_________paw25">#REF!</definedName>
    <definedName name="_________paw40">#REF!</definedName>
    <definedName name="_________paw50">#REF!</definedName>
    <definedName name="_________paw65">#REF!</definedName>
    <definedName name="_________pbs100">#REF!</definedName>
    <definedName name="_________pbs15">#REF!</definedName>
    <definedName name="_________pbs150">#REF!</definedName>
    <definedName name="_________pbs40">#REF!</definedName>
    <definedName name="_________pbs50">#REF!</definedName>
    <definedName name="_________pbs65">#REF!</definedName>
    <definedName name="_________pbs80">#REF!</definedName>
    <definedName name="_________pc50">#REF!</definedName>
    <definedName name="_________pc80">#REF!</definedName>
    <definedName name="_________pcf80">#REF!</definedName>
    <definedName name="_________pek1">#REF!</definedName>
    <definedName name="_________pek2">#REF!</definedName>
    <definedName name="_________pek3">#REF!</definedName>
    <definedName name="_________pf18">#REF!</definedName>
    <definedName name="_________ph100">#REF!</definedName>
    <definedName name="_________ph150">#REF!</definedName>
    <definedName name="_________phf100">#REF!</definedName>
    <definedName name="_________phf150">#REF!</definedName>
    <definedName name="_________PL1">#REF!</definedName>
    <definedName name="_________PL2">#REF!</definedName>
    <definedName name="_________PL3">#REF!</definedName>
    <definedName name="_________PSC052">#REF!</definedName>
    <definedName name="_________ptg1">#REF!</definedName>
    <definedName name="_________ptg2">#REF!</definedName>
    <definedName name="_________pv100">#REF!</definedName>
    <definedName name="_________pv40">#REF!</definedName>
    <definedName name="_________pv50">#REF!</definedName>
    <definedName name="_________pv80">#REF!</definedName>
    <definedName name="_________PVC2">#REF!</definedName>
    <definedName name="_________PVC3">#REF!</definedName>
    <definedName name="_________PVC4">#REF!</definedName>
    <definedName name="_________PVC6">#REF!</definedName>
    <definedName name="_________pvf100">#REF!</definedName>
    <definedName name="_________pvf80">#REF!</definedName>
    <definedName name="_________PW1">#REF!</definedName>
    <definedName name="_________PW2">#REF!</definedName>
    <definedName name="_________REK1">#REF!</definedName>
    <definedName name="_________REK2">#REF!</definedName>
    <definedName name="_________REK3">#REF!</definedName>
    <definedName name="_________REK4">#REF!</definedName>
    <definedName name="_________REK5">#REF!</definedName>
    <definedName name="_________REK6">#REF!</definedName>
    <definedName name="_________rk100">#REF!</definedName>
    <definedName name="_________rk200">#REF!</definedName>
    <definedName name="_________rk300">#REF!</definedName>
    <definedName name="_________rk600">#REF!</definedName>
    <definedName name="_________rkl1000">#REF!</definedName>
    <definedName name="_________rkl1200">#REF!</definedName>
    <definedName name="_________rkl200">#REF!</definedName>
    <definedName name="_________rkl300">#REF!</definedName>
    <definedName name="_________rkl400">#REF!</definedName>
    <definedName name="_________rkl500">#REF!</definedName>
    <definedName name="_________rkl600">#REF!</definedName>
    <definedName name="_________rkl700">#REF!</definedName>
    <definedName name="_________rkl800">#REF!</definedName>
    <definedName name="_________SFL1">#REF!</definedName>
    <definedName name="_________SFL2">#REF!</definedName>
    <definedName name="_________SFL3">#REF!</definedName>
    <definedName name="_________SFM1">#REF!</definedName>
    <definedName name="_________SFM2">#REF!</definedName>
    <definedName name="_________SFM3">#REF!</definedName>
    <definedName name="_________SFM4">#REF!</definedName>
    <definedName name="_________SFM5">#REF!</definedName>
    <definedName name="_________SFM6">#REF!</definedName>
    <definedName name="_________SFM7">#REF!</definedName>
    <definedName name="_________SFQ1">#REF!</definedName>
    <definedName name="_________SFQ2">#REF!</definedName>
    <definedName name="_________SFQ3">#REF!</definedName>
    <definedName name="_________SFQ4">#REF!</definedName>
    <definedName name="_________sfv150">#REF!</definedName>
    <definedName name="_________sn1020">#REF!</definedName>
    <definedName name="_________std100">#REF!</definedName>
    <definedName name="_________std150">#REF!</definedName>
    <definedName name="_________std50">#REF!</definedName>
    <definedName name="_________std65">#REF!</definedName>
    <definedName name="_________SUM1">#REF!</definedName>
    <definedName name="_________SUM2">#REF!</definedName>
    <definedName name="_________SUM3">#REF!</definedName>
    <definedName name="_________tgl1">#REF!</definedName>
    <definedName name="_________tlc20">#REF!</definedName>
    <definedName name="_________TOP2">#REF!</definedName>
    <definedName name="_________tp30">#REF!</definedName>
    <definedName name="_________tp40">#REF!</definedName>
    <definedName name="_________tsv25">#REF!</definedName>
    <definedName name="_________vnt100">#REF!</definedName>
    <definedName name="_________vnt40">#REF!</definedName>
    <definedName name="_________vnt50">#REF!</definedName>
    <definedName name="_________vnt80">#REF!</definedName>
    <definedName name="_________WF32">#REF!</definedName>
    <definedName name="_________WF42">#REF!</definedName>
    <definedName name="_________WM4">#REF!</definedName>
    <definedName name="_________WM5">#REF!</definedName>
    <definedName name="_________WM6">#REF!</definedName>
    <definedName name="_________WM7">#REF!</definedName>
    <definedName name="_________WM8">#REF!</definedName>
    <definedName name="________A16500">#REF!</definedName>
    <definedName name="________abs100">#REF!</definedName>
    <definedName name="________ahu100">#REF!</definedName>
    <definedName name="________ahu150">#REF!</definedName>
    <definedName name="________ako100">#REF!</definedName>
    <definedName name="________ako150">#REF!</definedName>
    <definedName name="________ako50">#REF!</definedName>
    <definedName name="________ako80">#REF!</definedName>
    <definedName name="________aku100">#REF!</definedName>
    <definedName name="________aku150">#REF!</definedName>
    <definedName name="________ana1">#REF!</definedName>
    <definedName name="________ana10">#REF!</definedName>
    <definedName name="________ana100">#REF!</definedName>
    <definedName name="________ana101">#REF!</definedName>
    <definedName name="________ana102">#REF!</definedName>
    <definedName name="________ana103">#REF!</definedName>
    <definedName name="________ana104">#REF!</definedName>
    <definedName name="________ana105">#REF!</definedName>
    <definedName name="________ana106">#REF!</definedName>
    <definedName name="________ana107">#REF!</definedName>
    <definedName name="________ana108">#REF!</definedName>
    <definedName name="________ana109">#REF!</definedName>
    <definedName name="________ana11">#REF!</definedName>
    <definedName name="________ana110">#REF!</definedName>
    <definedName name="________ana111">#REF!</definedName>
    <definedName name="________ana112">#REF!</definedName>
    <definedName name="________ana113">#REF!</definedName>
    <definedName name="________ana114">#REF!</definedName>
    <definedName name="________ana115">#REF!</definedName>
    <definedName name="________ana116">#REF!</definedName>
    <definedName name="________ana117">#REF!</definedName>
    <definedName name="________ana118">#REF!</definedName>
    <definedName name="________ana119">#REF!</definedName>
    <definedName name="________ana12">#REF!</definedName>
    <definedName name="________ana120">#REF!</definedName>
    <definedName name="________ana121">#REF!</definedName>
    <definedName name="________ana122">#REF!</definedName>
    <definedName name="________ana123">#REF!</definedName>
    <definedName name="________ana124">#REF!</definedName>
    <definedName name="________ana13">#REF!</definedName>
    <definedName name="________ana14">#REF!</definedName>
    <definedName name="________ana15">#REF!</definedName>
    <definedName name="________ana16">#REF!</definedName>
    <definedName name="________ana17">#REF!</definedName>
    <definedName name="________ana18">#REF!</definedName>
    <definedName name="________ana19">#REF!</definedName>
    <definedName name="________ana2">#REF!</definedName>
    <definedName name="________ana20">#REF!</definedName>
    <definedName name="________ana21">#REF!</definedName>
    <definedName name="________ana22">#REF!</definedName>
    <definedName name="________ana23">#REF!</definedName>
    <definedName name="________ana24">#REF!</definedName>
    <definedName name="________ana25">#REF!</definedName>
    <definedName name="________ana26">#REF!</definedName>
    <definedName name="________ana27">#REF!</definedName>
    <definedName name="________ana28">#REF!</definedName>
    <definedName name="________ana29">#REF!</definedName>
    <definedName name="________ana3">#REF!</definedName>
    <definedName name="________ana30">#REF!</definedName>
    <definedName name="________ana31">#REF!</definedName>
    <definedName name="________ana32">#REF!</definedName>
    <definedName name="________ana33">#REF!</definedName>
    <definedName name="________ana34">#REF!</definedName>
    <definedName name="________ana35">#REF!</definedName>
    <definedName name="________ana36">#REF!</definedName>
    <definedName name="________ana37">#REF!</definedName>
    <definedName name="________ana38">#REF!</definedName>
    <definedName name="________ana39">#REF!</definedName>
    <definedName name="________ana4">#REF!</definedName>
    <definedName name="________ana40">#REF!</definedName>
    <definedName name="________ana41">#REF!</definedName>
    <definedName name="________ana42">#REF!</definedName>
    <definedName name="________ana43">#REF!</definedName>
    <definedName name="________ana44">#REF!</definedName>
    <definedName name="________ana45">#REF!</definedName>
    <definedName name="________ana46">#REF!</definedName>
    <definedName name="________ana47">#REF!</definedName>
    <definedName name="________ana48">#REF!</definedName>
    <definedName name="________ana49">#REF!</definedName>
    <definedName name="________ana5">#REF!</definedName>
    <definedName name="________ana50">#REF!</definedName>
    <definedName name="________ana51">#REF!</definedName>
    <definedName name="________ana52">#REF!</definedName>
    <definedName name="________ana53">#REF!</definedName>
    <definedName name="________ana54">#REF!</definedName>
    <definedName name="________ana55">#REF!</definedName>
    <definedName name="________ana56">#REF!</definedName>
    <definedName name="________ana57">#REF!</definedName>
    <definedName name="________ana58">#REF!</definedName>
    <definedName name="________ana59">#REF!</definedName>
    <definedName name="________ana6">#REF!</definedName>
    <definedName name="________ana60">#REF!</definedName>
    <definedName name="________ana61">#REF!</definedName>
    <definedName name="________ana62">#REF!</definedName>
    <definedName name="________ana63">#REF!</definedName>
    <definedName name="________ana64">#REF!</definedName>
    <definedName name="________ana65">#REF!</definedName>
    <definedName name="________ana66">#REF!</definedName>
    <definedName name="________ana67">#REF!</definedName>
    <definedName name="________ana68">#REF!</definedName>
    <definedName name="________ana69">#REF!</definedName>
    <definedName name="________ana7">#REF!</definedName>
    <definedName name="________ana70">#REF!</definedName>
    <definedName name="________ana71">#REF!</definedName>
    <definedName name="________ana72">#REF!</definedName>
    <definedName name="________ana73">#REF!</definedName>
    <definedName name="________ana74">#REF!</definedName>
    <definedName name="________ana75">#REF!</definedName>
    <definedName name="________ana76">#REF!</definedName>
    <definedName name="________ana77">#REF!</definedName>
    <definedName name="________ana78">#REF!</definedName>
    <definedName name="________ana79">#REF!</definedName>
    <definedName name="________ana80">#REF!</definedName>
    <definedName name="________ana81">#REF!</definedName>
    <definedName name="________ana82">#REF!</definedName>
    <definedName name="________ana83">#REF!</definedName>
    <definedName name="________ana84">#REF!</definedName>
    <definedName name="________ana85">#REF!</definedName>
    <definedName name="________ana86">#REF!</definedName>
    <definedName name="________ana87">#REF!</definedName>
    <definedName name="________ana88">#REF!</definedName>
    <definedName name="________ana89">#REF!</definedName>
    <definedName name="________ana9">#REF!</definedName>
    <definedName name="________ana90">#REF!</definedName>
    <definedName name="________ana91">#REF!</definedName>
    <definedName name="________ana92">#REF!</definedName>
    <definedName name="________ana93">#REF!</definedName>
    <definedName name="________ana94">#REF!</definedName>
    <definedName name="________ana95">#REF!</definedName>
    <definedName name="________ana96">#REF!</definedName>
    <definedName name="________ana97">#REF!</definedName>
    <definedName name="________ana98">#REF!</definedName>
    <definedName name="________ana99">#REF!</definedName>
    <definedName name="________aru1">#REF!</definedName>
    <definedName name="________bcv100">#REF!</definedName>
    <definedName name="________bcv125">#REF!</definedName>
    <definedName name="________bcv150">#REF!</definedName>
    <definedName name="________bes24">#REF!</definedName>
    <definedName name="________bes39">#REF!</definedName>
    <definedName name="________bet350">#REF!</definedName>
    <definedName name="________bet400">#REF!</definedName>
    <definedName name="________BOX2">#REF!</definedName>
    <definedName name="________CAL1">#REF!</definedName>
    <definedName name="________CAL10">#REF!</definedName>
    <definedName name="________CAL11">#REF!</definedName>
    <definedName name="________CAL12">#REF!</definedName>
    <definedName name="________CAL13">#REF!</definedName>
    <definedName name="________CAL14">#REF!</definedName>
    <definedName name="________CAL15">#REF!</definedName>
    <definedName name="________CAL16">#REF!</definedName>
    <definedName name="________CAL17">#REF!</definedName>
    <definedName name="________CAL18">#REF!</definedName>
    <definedName name="________CAL19">#REF!</definedName>
    <definedName name="________CAL2">#REF!</definedName>
    <definedName name="________CAL20">#REF!</definedName>
    <definedName name="________CAL21">#REF!</definedName>
    <definedName name="________CAL3">#REF!</definedName>
    <definedName name="________CAL4">#REF!</definedName>
    <definedName name="________CAL5">#REF!</definedName>
    <definedName name="________CAL6">#REF!</definedName>
    <definedName name="________CAL7">#REF!</definedName>
    <definedName name="________CAL8">#REF!</definedName>
    <definedName name="________CAL9">#REF!</definedName>
    <definedName name="________cas80">#REF!</definedName>
    <definedName name="________cat1">#REF!</definedName>
    <definedName name="________cat2">#REF!</definedName>
    <definedName name="________cat3">#REF!</definedName>
    <definedName name="________cbr30">#REF!</definedName>
    <definedName name="________cbr80">#REF!</definedName>
    <definedName name="________cle10">#REF!</definedName>
    <definedName name="________cle65">#REF!</definedName>
    <definedName name="________cod50">#REF!</definedName>
    <definedName name="________cor175">#REF!</definedName>
    <definedName name="________cor225">#REF!</definedName>
    <definedName name="________cor300">#REF!</definedName>
    <definedName name="________cvd100">#REF!</definedName>
    <definedName name="________cvd15">#REF!</definedName>
    <definedName name="________cvd150">#REF!</definedName>
    <definedName name="________cvd50">#REF!</definedName>
    <definedName name="________cvd65">#REF!</definedName>
    <definedName name="________daf1">#REF!</definedName>
    <definedName name="________DAF10">#REF!</definedName>
    <definedName name="________daf2">#REF!</definedName>
    <definedName name="________daf31">#REF!</definedName>
    <definedName name="________daf32">#REF!</definedName>
    <definedName name="________daf33">#REF!</definedName>
    <definedName name="________dia6">#REF!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ee34">#REF!</definedName>
    <definedName name="________EEE35">#REF!</definedName>
    <definedName name="________EEE36">#REF!</definedName>
    <definedName name="________EEE37">#REF!</definedName>
    <definedName name="________EEE38">#REF!</definedName>
    <definedName name="________EEE39">#REF!</definedName>
    <definedName name="________faw10">#REF!</definedName>
    <definedName name="________faw65">#REF!</definedName>
    <definedName name="________fdd100">#REF!</definedName>
    <definedName name="________fjd100">#REF!</definedName>
    <definedName name="________fjd150">#REF!</definedName>
    <definedName name="________fjd50">#REF!</definedName>
    <definedName name="________fjd65">#REF!</definedName>
    <definedName name="________flo40">#REF!</definedName>
    <definedName name="________fmd150">#REF!</definedName>
    <definedName name="________fvd100">#REF!</definedName>
    <definedName name="________gat50">#REF!</definedName>
    <definedName name="________GID1">#REF!</definedName>
    <definedName name="________gip15">#REF!</definedName>
    <definedName name="________gip20">#REF!</definedName>
    <definedName name="________gip25">#REF!</definedName>
    <definedName name="________gip32">#REF!</definedName>
    <definedName name="________gip40">#REF!</definedName>
    <definedName name="________gip50">#REF!</definedName>
    <definedName name="________gk2" hidden="1">#REF!</definedName>
    <definedName name="________grc1">#REF!</definedName>
    <definedName name="________grc6">#REF!</definedName>
    <definedName name="________grc8">#REF!</definedName>
    <definedName name="________gti50">#REF!</definedName>
    <definedName name="________gti60">#REF!</definedName>
    <definedName name="________gvd100">#REF!</definedName>
    <definedName name="________gvd15">#REF!</definedName>
    <definedName name="________gvd150">#REF!</definedName>
    <definedName name="________gvd20">#REF!</definedName>
    <definedName name="________gvd25">#REF!</definedName>
    <definedName name="________gvd32">#REF!</definedName>
    <definedName name="________gvd40">#REF!</definedName>
    <definedName name="________gvd50">#REF!</definedName>
    <definedName name="________gvd65">#REF!</definedName>
    <definedName name="________gvd80">#REF!</definedName>
    <definedName name="________gyf9">#REF!</definedName>
    <definedName name="________gyp9">#REF!</definedName>
    <definedName name="________hdw1">#REF!</definedName>
    <definedName name="________HHH01">#REF!</definedName>
    <definedName name="________hpc2">#REF!</definedName>
    <definedName name="________jab1">#REF!</definedName>
    <definedName name="________ker1020">#REF!</definedName>
    <definedName name="________ker1030">#REF!</definedName>
    <definedName name="________kof1">#REF!</definedName>
    <definedName name="________kr15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06">#REF!</definedName>
    <definedName name="________LLL07">#REF!</definedName>
    <definedName name="________LLL08">#REF!</definedName>
    <definedName name="________LLL09">#REF!</definedName>
    <definedName name="________LLL10">#REF!</definedName>
    <definedName name="________MBW867">#REF!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#REF!</definedName>
    <definedName name="________MMM14">#REF!</definedName>
    <definedName name="________MMM15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4">#REF!</definedName>
    <definedName name="________MMM25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2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MMM57">#REF!</definedName>
    <definedName name="________MMM58">#REF!</definedName>
    <definedName name="________MMM59">#REF!</definedName>
    <definedName name="________MMM60">#REF!</definedName>
    <definedName name="________MMM61">#REF!</definedName>
    <definedName name="________MMM62">#REF!</definedName>
    <definedName name="________MMM63">#REF!</definedName>
    <definedName name="________MMM64">#REF!</definedName>
    <definedName name="________MMM65">#REF!</definedName>
    <definedName name="________MMM66">#REF!</definedName>
    <definedName name="________mp1">#REF!</definedName>
    <definedName name="________MU1">#REF!</definedName>
    <definedName name="________MU301">#REF!</definedName>
    <definedName name="________MU380">#REF!</definedName>
    <definedName name="________MU400">#REF!</definedName>
    <definedName name="________MU440">#REF!</definedName>
    <definedName name="________MU450">#REF!</definedName>
    <definedName name="________new5">HAJIME:OWARI</definedName>
    <definedName name="________pab100">#REF!</definedName>
    <definedName name="________pab125">#REF!</definedName>
    <definedName name="________pab15">#REF!</definedName>
    <definedName name="________pab150">#REF!</definedName>
    <definedName name="________pab2">#REF!</definedName>
    <definedName name="________pab20">#REF!</definedName>
    <definedName name="________pab25">#REF!</definedName>
    <definedName name="________pab32">#REF!</definedName>
    <definedName name="________pab4">#REF!</definedName>
    <definedName name="________pab40">#REF!</definedName>
    <definedName name="________pab50">#REF!</definedName>
    <definedName name="________pab6">#REF!</definedName>
    <definedName name="________pab65">#REF!</definedName>
    <definedName name="________pab80">#REF!</definedName>
    <definedName name="________pah150">#REF!</definedName>
    <definedName name="________pak100">#REF!</definedName>
    <definedName name="________pak150">#REF!</definedName>
    <definedName name="________pak50">#REF!</definedName>
    <definedName name="________pak80">#REF!</definedName>
    <definedName name="________paw10">#REF!</definedName>
    <definedName name="________paw25">#REF!</definedName>
    <definedName name="________paw40">#REF!</definedName>
    <definedName name="________paw50">#REF!</definedName>
    <definedName name="________paw65">#REF!</definedName>
    <definedName name="________pbs100">#REF!</definedName>
    <definedName name="________pbs15">#REF!</definedName>
    <definedName name="________pbs150">#REF!</definedName>
    <definedName name="________pbs40">#REF!</definedName>
    <definedName name="________pbs50">#REF!</definedName>
    <definedName name="________pbs65">#REF!</definedName>
    <definedName name="________pbs80">#REF!</definedName>
    <definedName name="________pc50">#REF!</definedName>
    <definedName name="________pc80">#REF!</definedName>
    <definedName name="________pcf80">#REF!</definedName>
    <definedName name="________pek1">#REF!</definedName>
    <definedName name="________pek2">#REF!</definedName>
    <definedName name="________pek3">#REF!</definedName>
    <definedName name="________pf15">#REF!</definedName>
    <definedName name="________pf18">#REF!</definedName>
    <definedName name="________ph100">#REF!</definedName>
    <definedName name="________ph150">#REF!</definedName>
    <definedName name="________phf100">#REF!</definedName>
    <definedName name="________phf150">#REF!</definedName>
    <definedName name="________PL1">#REF!</definedName>
    <definedName name="________PL2">#REF!</definedName>
    <definedName name="________PL3">#REF!</definedName>
    <definedName name="________pv100">#REF!</definedName>
    <definedName name="________pv40">#REF!</definedName>
    <definedName name="________pv50">#REF!</definedName>
    <definedName name="________pv80">#REF!</definedName>
    <definedName name="________pvc1">#REF!</definedName>
    <definedName name="________pvc100">#REF!</definedName>
    <definedName name="________pvc150">#REF!</definedName>
    <definedName name="________PVC2">#REF!</definedName>
    <definedName name="________pvc20">#REF!</definedName>
    <definedName name="________pvc200">#REF!</definedName>
    <definedName name="________pvc25">#REF!</definedName>
    <definedName name="________PVC3">#REF!</definedName>
    <definedName name="________pvc32">#REF!</definedName>
    <definedName name="________PVC4">#REF!</definedName>
    <definedName name="________pvc40">#REF!</definedName>
    <definedName name="________pvc50">#REF!</definedName>
    <definedName name="________PVC6">#REF!</definedName>
    <definedName name="________pvc65">#REF!</definedName>
    <definedName name="________PVC8">#REF!</definedName>
    <definedName name="________pvc80">#REF!</definedName>
    <definedName name="________pvf100">#REF!</definedName>
    <definedName name="________pvf80">#REF!</definedName>
    <definedName name="________qmd15">#REF!</definedName>
    <definedName name="________qmd20">#REF!</definedName>
    <definedName name="________rdd100">#REF!</definedName>
    <definedName name="________rdd150">#REF!</definedName>
    <definedName name="________rk100">#REF!</definedName>
    <definedName name="________rk200">#REF!</definedName>
    <definedName name="________rk300">#REF!</definedName>
    <definedName name="________rk600">#REF!</definedName>
    <definedName name="________rkl1000">#REF!</definedName>
    <definedName name="________rkl1200">#REF!</definedName>
    <definedName name="________rkl200">#REF!</definedName>
    <definedName name="________rkl300">#REF!</definedName>
    <definedName name="________rkl400">#REF!</definedName>
    <definedName name="________rkl500">#REF!</definedName>
    <definedName name="________rkl600">#REF!</definedName>
    <definedName name="________rkl700">#REF!</definedName>
    <definedName name="________rkl800">#REF!</definedName>
    <definedName name="________SFL1">#REF!</definedName>
    <definedName name="________SFL2">#REF!</definedName>
    <definedName name="________SFL3">#REF!</definedName>
    <definedName name="________SFM1">#REF!</definedName>
    <definedName name="________SFM2">#REF!</definedName>
    <definedName name="________SFM3">#REF!</definedName>
    <definedName name="________SFM4">#REF!</definedName>
    <definedName name="________SFM5">#REF!</definedName>
    <definedName name="________SFM6">#REF!</definedName>
    <definedName name="________SFM7">#REF!</definedName>
    <definedName name="________SFQ1">#REF!</definedName>
    <definedName name="________SFQ2">#REF!</definedName>
    <definedName name="________SFQ3">#REF!</definedName>
    <definedName name="________SFQ4">#REF!</definedName>
    <definedName name="________sfv150">#REF!</definedName>
    <definedName name="________sn1020">#REF!</definedName>
    <definedName name="________std100">#REF!</definedName>
    <definedName name="________std150">#REF!</definedName>
    <definedName name="________std50">#REF!</definedName>
    <definedName name="________std65">#REF!</definedName>
    <definedName name="________SUM1">#REF!</definedName>
    <definedName name="________SUM2">#REF!</definedName>
    <definedName name="________SUM3">#REF!</definedName>
    <definedName name="________tlc20">#REF!</definedName>
    <definedName name="________TOP2">#REF!</definedName>
    <definedName name="________tp30">#REF!</definedName>
    <definedName name="________tsv25">#REF!</definedName>
    <definedName name="________vnt100">#REF!</definedName>
    <definedName name="________vnt40">#REF!</definedName>
    <definedName name="________vnt50">#REF!</definedName>
    <definedName name="________vnt80">#REF!</definedName>
    <definedName name="_______AAD3">HAJIME:OWARI</definedName>
    <definedName name="_______abs100">#REF!</definedName>
    <definedName name="_______Act15">#REF!</definedName>
    <definedName name="_______ADD2">STOP:STOPE</definedName>
    <definedName name="_______ADD3">STOP:STOPE</definedName>
    <definedName name="_______ahu100">#REF!</definedName>
    <definedName name="_______ahu150">#REF!</definedName>
    <definedName name="_______ako100">#REF!</definedName>
    <definedName name="_______ako150">#REF!</definedName>
    <definedName name="_______ako50">#REF!</definedName>
    <definedName name="_______ako80">#REF!</definedName>
    <definedName name="_______aku100">#REF!</definedName>
    <definedName name="_______aku150">#REF!</definedName>
    <definedName name="_______ana1">#REF!</definedName>
    <definedName name="_______ana10">#REF!</definedName>
    <definedName name="_______ana100">#REF!</definedName>
    <definedName name="_______ana101">#REF!</definedName>
    <definedName name="_______ana102">#REF!</definedName>
    <definedName name="_______ana103">#REF!</definedName>
    <definedName name="_______ana104">#REF!</definedName>
    <definedName name="_______ana105">#REF!</definedName>
    <definedName name="_______ana106">#REF!</definedName>
    <definedName name="_______ana107">#REF!</definedName>
    <definedName name="_______ana108">#REF!</definedName>
    <definedName name="_______ana109">#REF!</definedName>
    <definedName name="_______ana11">#REF!</definedName>
    <definedName name="_______ana110">#REF!</definedName>
    <definedName name="_______ana111">#REF!</definedName>
    <definedName name="_______ana112">#REF!</definedName>
    <definedName name="_______ana113">#REF!</definedName>
    <definedName name="_______ana114">#REF!</definedName>
    <definedName name="_______ana115">#REF!</definedName>
    <definedName name="_______ana116">#REF!</definedName>
    <definedName name="_______ana117">#REF!</definedName>
    <definedName name="_______ana118">#REF!</definedName>
    <definedName name="_______ana119">#REF!</definedName>
    <definedName name="_______ana12">#REF!</definedName>
    <definedName name="_______ana120">#REF!</definedName>
    <definedName name="_______ana121">#REF!</definedName>
    <definedName name="_______ana122">#REF!</definedName>
    <definedName name="_______ana123">#REF!</definedName>
    <definedName name="_______ana124">#REF!</definedName>
    <definedName name="_______ana13">#REF!</definedName>
    <definedName name="_______ana14">#REF!</definedName>
    <definedName name="_______ana15">#REF!</definedName>
    <definedName name="_______ana16">#REF!</definedName>
    <definedName name="_______ana17">#REF!</definedName>
    <definedName name="_______ana18">#REF!</definedName>
    <definedName name="_______ana19">#REF!</definedName>
    <definedName name="_______ana2">#REF!</definedName>
    <definedName name="_______ana20">#REF!</definedName>
    <definedName name="_______ana21">#REF!</definedName>
    <definedName name="_______ana22">#REF!</definedName>
    <definedName name="_______ana23">#REF!</definedName>
    <definedName name="_______ana24">#REF!</definedName>
    <definedName name="_______ana25">#REF!</definedName>
    <definedName name="_______ana26">#REF!</definedName>
    <definedName name="_______ana27">#REF!</definedName>
    <definedName name="_______ana28">#REF!</definedName>
    <definedName name="_______ana29">#REF!</definedName>
    <definedName name="_______ana3">#REF!</definedName>
    <definedName name="_______ana30">#REF!</definedName>
    <definedName name="_______ana31">#REF!</definedName>
    <definedName name="_______ana32">#REF!</definedName>
    <definedName name="_______ana33">#REF!</definedName>
    <definedName name="_______ana34">#REF!</definedName>
    <definedName name="_______ana35">#REF!</definedName>
    <definedName name="_______ana36">#REF!</definedName>
    <definedName name="_______ana37">#REF!</definedName>
    <definedName name="_______ana38">#REF!</definedName>
    <definedName name="_______ana39">#REF!</definedName>
    <definedName name="_______ana4">#REF!</definedName>
    <definedName name="_______ana40">#REF!</definedName>
    <definedName name="_______ana41">#REF!</definedName>
    <definedName name="_______ana42">#REF!</definedName>
    <definedName name="_______ana43">#REF!</definedName>
    <definedName name="_______ana44">#REF!</definedName>
    <definedName name="_______ana45">#REF!</definedName>
    <definedName name="_______ana46">#REF!</definedName>
    <definedName name="_______ana47">#REF!</definedName>
    <definedName name="_______ana48">#REF!</definedName>
    <definedName name="_______ana49">#REF!</definedName>
    <definedName name="_______ana5">#REF!</definedName>
    <definedName name="_______ana50">#REF!</definedName>
    <definedName name="_______ana51">#REF!</definedName>
    <definedName name="_______ana52">#REF!</definedName>
    <definedName name="_______ana53">#REF!</definedName>
    <definedName name="_______ana54">#REF!</definedName>
    <definedName name="_______ana55">#REF!</definedName>
    <definedName name="_______ana56">#REF!</definedName>
    <definedName name="_______ana57">#REF!</definedName>
    <definedName name="_______ana58">#REF!</definedName>
    <definedName name="_______ana59">#REF!</definedName>
    <definedName name="_______ana6">#REF!</definedName>
    <definedName name="_______ana60">#REF!</definedName>
    <definedName name="_______ana61">#REF!</definedName>
    <definedName name="_______ana62">#REF!</definedName>
    <definedName name="_______ana63">#REF!</definedName>
    <definedName name="_______ana64">#REF!</definedName>
    <definedName name="_______ana65">#REF!</definedName>
    <definedName name="_______ana66">#REF!</definedName>
    <definedName name="_______ana67">#REF!</definedName>
    <definedName name="_______ana68">#REF!</definedName>
    <definedName name="_______ana69">#REF!</definedName>
    <definedName name="_______ana7">#REF!</definedName>
    <definedName name="_______ana70">#REF!</definedName>
    <definedName name="_______ana71">#REF!</definedName>
    <definedName name="_______ana72">#REF!</definedName>
    <definedName name="_______ana73">#REF!</definedName>
    <definedName name="_______ana74">#REF!</definedName>
    <definedName name="_______ana75">#REF!</definedName>
    <definedName name="_______ana76">#REF!</definedName>
    <definedName name="_______ana77">#REF!</definedName>
    <definedName name="_______ana78">#REF!</definedName>
    <definedName name="_______ana79">#REF!</definedName>
    <definedName name="_______ana80">#REF!</definedName>
    <definedName name="_______ana81">#REF!</definedName>
    <definedName name="_______ana82">#REF!</definedName>
    <definedName name="_______ana83">#REF!</definedName>
    <definedName name="_______ana84">#REF!</definedName>
    <definedName name="_______ana85">#REF!</definedName>
    <definedName name="_______ana86">#REF!</definedName>
    <definedName name="_______ana87">#REF!</definedName>
    <definedName name="_______ana88">#REF!</definedName>
    <definedName name="_______ana89">#REF!</definedName>
    <definedName name="_______ana9">#REF!</definedName>
    <definedName name="_______ana90">#REF!</definedName>
    <definedName name="_______ana91">#REF!</definedName>
    <definedName name="_______ana92">#REF!</definedName>
    <definedName name="_______ana93">#REF!</definedName>
    <definedName name="_______ana94">#REF!</definedName>
    <definedName name="_______ana95">#REF!</definedName>
    <definedName name="_______ana96">#REF!</definedName>
    <definedName name="_______ana97">#REF!</definedName>
    <definedName name="_______ana98">#REF!</definedName>
    <definedName name="_______ana99">#REF!</definedName>
    <definedName name="_______Bal20">#REF!</definedName>
    <definedName name="_______Bal40">#REF!</definedName>
    <definedName name="_______Bar30">#REF!</definedName>
    <definedName name="_______bcv100">#REF!</definedName>
    <definedName name="_______bcv125">#REF!</definedName>
    <definedName name="_______bcv150">#REF!</definedName>
    <definedName name="_______bes24">#REF!</definedName>
    <definedName name="_______bes39">#REF!</definedName>
    <definedName name="_______BFG66">#REF!</definedName>
    <definedName name="_______Bjl28">#REF!</definedName>
    <definedName name="_______Bjl30">#REF!</definedName>
    <definedName name="_______Bmb10">#REF!</definedName>
    <definedName name="_______Bmb57">#REF!</definedName>
    <definedName name="_______BOX2">#REF!</definedName>
    <definedName name="_______Bpl02">#REF!</definedName>
    <definedName name="_______Bpl06">#REF!</definedName>
    <definedName name="_______Bpl10">#REF!</definedName>
    <definedName name="_______BSP3">#REF!</definedName>
    <definedName name="_______BSP4">#REF!</definedName>
    <definedName name="_______BSP5">#REF!</definedName>
    <definedName name="_______BSP6">#REF!</definedName>
    <definedName name="_______BSP8">#REF!</definedName>
    <definedName name="_______Bsq24">#REF!</definedName>
    <definedName name="_______Bsq33">#REF!</definedName>
    <definedName name="_______Bsq44">#REF!</definedName>
    <definedName name="_______btg1">#REF!</definedName>
    <definedName name="_______btg2">#REF!</definedName>
    <definedName name="_______btg3">#REF!</definedName>
    <definedName name="_______BTr34">#REF!</definedName>
    <definedName name="_______Btr66">#REF!</definedName>
    <definedName name="_______Bub20">#REF!</definedName>
    <definedName name="_______Bub30">#REF!</definedName>
    <definedName name="_______Bub40">#REF!</definedName>
    <definedName name="_______Bub50">#REF!</definedName>
    <definedName name="_______Bub60">#REF!</definedName>
    <definedName name="_______Bub80">#REF!</definedName>
    <definedName name="_______CAL1">#REF!</definedName>
    <definedName name="_______CAL10">#REF!</definedName>
    <definedName name="_______CAL11">#REF!</definedName>
    <definedName name="_______CAL12">#REF!</definedName>
    <definedName name="_______CAL13">#REF!</definedName>
    <definedName name="_______CAL14">#REF!</definedName>
    <definedName name="_______CAL15">#REF!</definedName>
    <definedName name="_______CAL16">#REF!</definedName>
    <definedName name="_______CAL17">#REF!</definedName>
    <definedName name="_______CAL18">#REF!</definedName>
    <definedName name="_______CAL19">#REF!</definedName>
    <definedName name="_______CAL2">#REF!</definedName>
    <definedName name="_______CAL20">#REF!</definedName>
    <definedName name="_______CAL21">#REF!</definedName>
    <definedName name="_______CAL3">#REF!</definedName>
    <definedName name="_______CAL4">#REF!</definedName>
    <definedName name="_______CAL5">#REF!</definedName>
    <definedName name="_______CAL6">#REF!</definedName>
    <definedName name="_______CAL7">#REF!</definedName>
    <definedName name="_______CAL8">#REF!</definedName>
    <definedName name="_______CAL9">#REF!</definedName>
    <definedName name="_______CAN15">#REF!</definedName>
    <definedName name="_______cas80">#REF!</definedName>
    <definedName name="_______cat1">#REF!</definedName>
    <definedName name="_______cat2">#REF!</definedName>
    <definedName name="_______cat3">#REF!</definedName>
    <definedName name="_______cbr30">#REF!</definedName>
    <definedName name="_______cbr80">#REF!</definedName>
    <definedName name="_______CCF2">#REF!</definedName>
    <definedName name="_______CDs34">#REF!</definedName>
    <definedName name="_______cle10">#REF!</definedName>
    <definedName name="_______cle65">#REF!</definedName>
    <definedName name="_______CLP2">#REF!</definedName>
    <definedName name="_______cor175">#REF!</definedName>
    <definedName name="_______cor225">#REF!</definedName>
    <definedName name="_______cor300">#REF!</definedName>
    <definedName name="_______cvd100">#REF!</definedName>
    <definedName name="_______cvd15">#REF!</definedName>
    <definedName name="_______cvd150">#REF!</definedName>
    <definedName name="_______cvd50">#REF!</definedName>
    <definedName name="_______cvd65">#REF!</definedName>
    <definedName name="_______Cvv02">#REF!</definedName>
    <definedName name="_______daf1">#REF!</definedName>
    <definedName name="_______DAF10">#REF!</definedName>
    <definedName name="_______daf2">#REF!</definedName>
    <definedName name="_______daf31">#REF!</definedName>
    <definedName name="_______daf32">#REF!</definedName>
    <definedName name="_______daf33">#REF!</definedName>
    <definedName name="_______ddg10">#REF!</definedName>
    <definedName name="_______ddg20">#REF!</definedName>
    <definedName name="_______ddg30">#REF!</definedName>
    <definedName name="_______dia6">#REF!</definedName>
    <definedName name="_______Dlk10">#REF!</definedName>
    <definedName name="_______Dlk57">#REF!</definedName>
    <definedName name="_______DlS25">#REF!</definedName>
    <definedName name="_______Dnp02">#REF!</definedName>
    <definedName name="_______DTr35">#REF!</definedName>
    <definedName name="_______DTr50">#REF!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e34">#REF!</definedName>
    <definedName name="_______EEE35">#REF!</definedName>
    <definedName name="_______EEE36">#REF!</definedName>
    <definedName name="_______EEE37">#REF!</definedName>
    <definedName name="_______EEE38">#REF!</definedName>
    <definedName name="_______EEE39">#REF!</definedName>
    <definedName name="_______faw10">#REF!</definedName>
    <definedName name="_______faw65">#REF!</definedName>
    <definedName name="_______fcp1">#REF!</definedName>
    <definedName name="_______Fdr01">#REF!</definedName>
    <definedName name="_______Fdr02">#REF!</definedName>
    <definedName name="_______fjd100">#REF!</definedName>
    <definedName name="_______fjd150">#REF!</definedName>
    <definedName name="_______fjd50">#REF!</definedName>
    <definedName name="_______fjd65">#REF!</definedName>
    <definedName name="_______flo40">#REF!</definedName>
    <definedName name="_______fmd150">#REF!</definedName>
    <definedName name="_______gat50">#REF!</definedName>
    <definedName name="_______GBl22">#REF!</definedName>
    <definedName name="_______Gfu20">#REF!</definedName>
    <definedName name="_______Gfu30">#REF!</definedName>
    <definedName name="_______Gfu40">#REF!</definedName>
    <definedName name="_______GID1">#REF!</definedName>
    <definedName name="_______GiM02">#REF!</definedName>
    <definedName name="_______GiM03">#REF!</definedName>
    <definedName name="_______GiM04">#REF!</definedName>
    <definedName name="_______GiM05">#REF!</definedName>
    <definedName name="_______GiM06">#REF!</definedName>
    <definedName name="_______GiM08">#REF!</definedName>
    <definedName name="_______GiM10">#REF!</definedName>
    <definedName name="_______GiM12">#REF!</definedName>
    <definedName name="_______GiM16">#REF!</definedName>
    <definedName name="_______GIP1">#REF!</definedName>
    <definedName name="_______gip15">#REF!</definedName>
    <definedName name="_______GIP2">#REF!</definedName>
    <definedName name="_______gip20">#REF!</definedName>
    <definedName name="_______gip25">#REF!</definedName>
    <definedName name="_______GIP3">#REF!</definedName>
    <definedName name="_______gip32">#REF!</definedName>
    <definedName name="_______GIP4">#REF!</definedName>
    <definedName name="_______gip40">#REF!</definedName>
    <definedName name="_______gip50">#REF!</definedName>
    <definedName name="_______GiS02">#REF!</definedName>
    <definedName name="_______GiS03">#REF!</definedName>
    <definedName name="_______GiS04">#REF!</definedName>
    <definedName name="_______GiS05">#REF!</definedName>
    <definedName name="_______GiS06">#REF!</definedName>
    <definedName name="_______GiS07">#REF!</definedName>
    <definedName name="_______GiS08">#REF!</definedName>
    <definedName name="_______GiS10">#REF!</definedName>
    <definedName name="_______GiS12">#REF!</definedName>
    <definedName name="_______GiS16">#REF!</definedName>
    <definedName name="_______gk2" hidden="1">#REF!</definedName>
    <definedName name="_______GNB1">#REF!</definedName>
    <definedName name="_______GNB2">#REF!</definedName>
    <definedName name="_______grc1">#REF!</definedName>
    <definedName name="_______grc6">#REF!</definedName>
    <definedName name="_______grc8">#REF!</definedName>
    <definedName name="_______Grn46">#REF!</definedName>
    <definedName name="_______gti50">#REF!</definedName>
    <definedName name="_______gti60">#REF!</definedName>
    <definedName name="_______gvd100">#REF!</definedName>
    <definedName name="_______gvd15">#REF!</definedName>
    <definedName name="_______gvd150">#REF!</definedName>
    <definedName name="_______gvd25">#REF!</definedName>
    <definedName name="_______gvd50">#REF!</definedName>
    <definedName name="_______gvd65">#REF!</definedName>
    <definedName name="_______GVv02">#REF!</definedName>
    <definedName name="_______gyf9">#REF!</definedName>
    <definedName name="_______gyp9">#REF!</definedName>
    <definedName name="_______hdw1">#REF!</definedName>
    <definedName name="_______HHH01">#REF!</definedName>
    <definedName name="_______Hot10">#REF!</definedName>
    <definedName name="_______Hot15">#REF!</definedName>
    <definedName name="_______Hot20">#REF!</definedName>
    <definedName name="_______Hot25">#REF!</definedName>
    <definedName name="_______hpc2">#REF!</definedName>
    <definedName name="_______IMB01">#REF!</definedName>
    <definedName name="_______jab1">#REF!</definedName>
    <definedName name="_______k100123">#REF!</definedName>
    <definedName name="_______KAn13">#REF!</definedName>
    <definedName name="_______KAw13">#REF!</definedName>
    <definedName name="_______ker1020">#REF!</definedName>
    <definedName name="_______ker1030">#REF!</definedName>
    <definedName name="_______KLc88">#REF!</definedName>
    <definedName name="_______kof1">#REF!</definedName>
    <definedName name="_______Kpp12">#REF!</definedName>
    <definedName name="_______Kpp13">#REF!</definedName>
    <definedName name="_______KrB02">#REF!</definedName>
    <definedName name="_______KrB03">#REF!</definedName>
    <definedName name="_______KrK02">#REF!</definedName>
    <definedName name="_______Krk03">#REF!</definedName>
    <definedName name="_______Krk04">#REF!</definedName>
    <definedName name="_______Krp12">#REF!</definedName>
    <definedName name="_______Krp22">#REF!</definedName>
    <definedName name="_______Krp33">#REF!</definedName>
    <definedName name="_______KrS02">#REF!</definedName>
    <definedName name="_______KrS03">#REF!</definedName>
    <definedName name="_______Krw12">#REF!</definedName>
    <definedName name="_______Krw22">#REF!</definedName>
    <definedName name="_______Krw33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PG15">#REF!</definedName>
    <definedName name="_______Lpk01">#REF!</definedName>
    <definedName name="_______Lpk02">#REF!</definedName>
    <definedName name="_______Lpk04">#REF!</definedName>
    <definedName name="_______Lpk05">#REF!</definedName>
    <definedName name="_______Lpk10">#REF!</definedName>
    <definedName name="_______MBW867">#REF!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r80">#REF!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MMM57">#REF!</definedName>
    <definedName name="_______MMM58">#REF!</definedName>
    <definedName name="_______MMM59">#REF!</definedName>
    <definedName name="_______MMM60">#REF!</definedName>
    <definedName name="_______MMM61">#REF!</definedName>
    <definedName name="_______MMM62">#REF!</definedName>
    <definedName name="_______MMM63">#REF!</definedName>
    <definedName name="_______MMM64">#REF!</definedName>
    <definedName name="_______MMM65">#REF!</definedName>
    <definedName name="_______MMM66">#REF!</definedName>
    <definedName name="_______mp1">#REF!</definedName>
    <definedName name="_______Mpk12">#REF!</definedName>
    <definedName name="_______Mpk18">#REF!</definedName>
    <definedName name="_______Mpk9">#REF!</definedName>
    <definedName name="_______nm1">#REF!</definedName>
    <definedName name="_______NSF10">#REF!</definedName>
    <definedName name="_______NSF15">#REF!</definedName>
    <definedName name="_______NYA115">#REF!</definedName>
    <definedName name="_______NYA125">#REF!</definedName>
    <definedName name="_______NYM215">#REF!</definedName>
    <definedName name="_______NYM225">#REF!</definedName>
    <definedName name="_______NYM240">#REF!</definedName>
    <definedName name="_______NYM260">#REF!</definedName>
    <definedName name="_______NYM315">#REF!</definedName>
    <definedName name="_______NYM325">#REF!</definedName>
    <definedName name="_______NYM340">#REF!</definedName>
    <definedName name="_______NYM360">#REF!</definedName>
    <definedName name="_______NYM425">#REF!</definedName>
    <definedName name="_______NYM440">#REF!</definedName>
    <definedName name="_______NYM460">#REF!</definedName>
    <definedName name="_______NYY240">#REF!</definedName>
    <definedName name="_______NYY260">#REF!</definedName>
    <definedName name="_______NYY340">#REF!</definedName>
    <definedName name="_______NYY360">#REF!</definedName>
    <definedName name="_______NYY440">#REF!</definedName>
    <definedName name="_______NYY460">#REF!</definedName>
    <definedName name="_______Oks14">#REF!</definedName>
    <definedName name="_______pab100">#REF!</definedName>
    <definedName name="_______pab125">#REF!</definedName>
    <definedName name="_______pab15">#REF!</definedName>
    <definedName name="_______pab150">#REF!</definedName>
    <definedName name="_______pab2">#REF!</definedName>
    <definedName name="_______pab20">#REF!</definedName>
    <definedName name="_______pab25">#REF!</definedName>
    <definedName name="_______pab32">#REF!</definedName>
    <definedName name="_______pab4">#REF!</definedName>
    <definedName name="_______pab40">#REF!</definedName>
    <definedName name="_______pab50">#REF!</definedName>
    <definedName name="_______pab6">#REF!</definedName>
    <definedName name="_______pab65">#REF!</definedName>
    <definedName name="_______pab80">#REF!</definedName>
    <definedName name="_______PAC012">#REF!</definedName>
    <definedName name="_______pah150">#REF!</definedName>
    <definedName name="_______pak100">#REF!</definedName>
    <definedName name="_______pak150">#REF!</definedName>
    <definedName name="_______pak50">#REF!</definedName>
    <definedName name="_______pak80">#REF!</definedName>
    <definedName name="_______paw10">#REF!</definedName>
    <definedName name="_______PAw16">#REF!</definedName>
    <definedName name="_______paw25">#REF!</definedName>
    <definedName name="_______paw40">#REF!</definedName>
    <definedName name="_______paw50">#REF!</definedName>
    <definedName name="_______paw65">#REF!</definedName>
    <definedName name="_______pb1">#REF!</definedName>
    <definedName name="_______pbs100">#REF!</definedName>
    <definedName name="_______pbs15">#REF!</definedName>
    <definedName name="_______pbs150">#REF!</definedName>
    <definedName name="_______pbs40">#REF!</definedName>
    <definedName name="_______pbs50">#REF!</definedName>
    <definedName name="_______pbs65">#REF!</definedName>
    <definedName name="_______pbs80">#REF!</definedName>
    <definedName name="_______pc50">#REF!</definedName>
    <definedName name="_______pc80">#REF!</definedName>
    <definedName name="_______pcf80">#REF!</definedName>
    <definedName name="_______pek1">#REF!</definedName>
    <definedName name="_______pek2">#REF!</definedName>
    <definedName name="_______pek3">#REF!</definedName>
    <definedName name="_______pf18">#REF!</definedName>
    <definedName name="_______ph100">#REF!</definedName>
    <definedName name="_______ph150">#REF!</definedName>
    <definedName name="_______phf100">#REF!</definedName>
    <definedName name="_______phf150">#REF!</definedName>
    <definedName name="_______PL1">#REF!</definedName>
    <definedName name="_______PL2">#REF!</definedName>
    <definedName name="_______PL3">#REF!</definedName>
    <definedName name="_______Plt33">#REF!</definedName>
    <definedName name="_______Plt43">#REF!</definedName>
    <definedName name="_______Pnl36">#REF!</definedName>
    <definedName name="_______PRu02">#REF!</definedName>
    <definedName name="_______PRu03">#REF!</definedName>
    <definedName name="_______PRu04">#REF!</definedName>
    <definedName name="_______PRu05">#REF!</definedName>
    <definedName name="_______PRu06">#REF!</definedName>
    <definedName name="_______PRu08">#REF!</definedName>
    <definedName name="_______PRu10">#REF!</definedName>
    <definedName name="_______PRu12">#REF!</definedName>
    <definedName name="_______PRu16">#REF!</definedName>
    <definedName name="_______PSb02">#REF!</definedName>
    <definedName name="_______PSb03">#REF!</definedName>
    <definedName name="_______PSb04">#REF!</definedName>
    <definedName name="_______PSb05">#REF!</definedName>
    <definedName name="_______PSb06">#REF!</definedName>
    <definedName name="_______PSb07">#REF!</definedName>
    <definedName name="_______PSb08">#REF!</definedName>
    <definedName name="_______Psb10">#REF!</definedName>
    <definedName name="_______PSb12">#REF!</definedName>
    <definedName name="_______PSb16">#REF!</definedName>
    <definedName name="_______PSC052">#REF!</definedName>
    <definedName name="_______PsW1">#REF!</definedName>
    <definedName name="_______ptg1">#REF!</definedName>
    <definedName name="_______ptg2">#REF!</definedName>
    <definedName name="_______pv100">#REF!</definedName>
    <definedName name="_______pv40">#REF!</definedName>
    <definedName name="_______pv50">#REF!</definedName>
    <definedName name="_______pv80">#REF!</definedName>
    <definedName name="_______pvc1">#REF!</definedName>
    <definedName name="_______PVC2">#REF!</definedName>
    <definedName name="_______PVC3">#REF!</definedName>
    <definedName name="_______PVC4">#REF!</definedName>
    <definedName name="_______PVC6">#REF!</definedName>
    <definedName name="_______PVC8">#REF!</definedName>
    <definedName name="_______pvf100">#REF!</definedName>
    <definedName name="_______pvf80">#REF!</definedName>
    <definedName name="_______PW1">#REF!</definedName>
    <definedName name="_______PW2">#REF!</definedName>
    <definedName name="_______Pwd18">#REF!</definedName>
    <definedName name="_______ReB23">#REF!</definedName>
    <definedName name="_______Rek23">#REF!</definedName>
    <definedName name="_______Rek34">#REF!</definedName>
    <definedName name="_______RFj05">#REF!</definedName>
    <definedName name="_______RFj10">#REF!</definedName>
    <definedName name="_______rk100">#REF!</definedName>
    <definedName name="_______rk200">#REF!</definedName>
    <definedName name="_______rk300">#REF!</definedName>
    <definedName name="_______rk600">#REF!</definedName>
    <definedName name="_______rkl1000">#REF!</definedName>
    <definedName name="_______rkl12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m175">#REF!</definedName>
    <definedName name="_______Rm225">#REF!</definedName>
    <definedName name="_______Rm375">#REF!</definedName>
    <definedName name="_______Rol06">#REF!</definedName>
    <definedName name="_______Rol10">#REF!</definedName>
    <definedName name="_______SBr01">#REF!</definedName>
    <definedName name="_______SBr02">#REF!</definedName>
    <definedName name="_______SFL1">#REF!</definedName>
    <definedName name="_______SFL2">#REF!</definedName>
    <definedName name="_______SFL3">#REF!</definedName>
    <definedName name="_______SFM1">#REF!</definedName>
    <definedName name="_______SFM2">#REF!</definedName>
    <definedName name="_______SFM3">#REF!</definedName>
    <definedName name="_______SFM4">#REF!</definedName>
    <definedName name="_______SFM5">#REF!</definedName>
    <definedName name="_______SFM6">#REF!</definedName>
    <definedName name="_______SFM7">#REF!</definedName>
    <definedName name="_______SFQ1">#REF!</definedName>
    <definedName name="_______SFQ2">#REF!</definedName>
    <definedName name="_______SFQ3">#REF!</definedName>
    <definedName name="_______SFQ4">#REF!</definedName>
    <definedName name="_______sfv150">#REF!</definedName>
    <definedName name="_______SJd01">#REF!</definedName>
    <definedName name="_______SlP25">#REF!</definedName>
    <definedName name="_______sn1020">#REF!</definedName>
    <definedName name="_______Spl02">#REF!</definedName>
    <definedName name="_______Spl03">#REF!</definedName>
    <definedName name="_______Spl04">#REF!</definedName>
    <definedName name="_______Spl05">#REF!</definedName>
    <definedName name="_______Spl12">#REF!</definedName>
    <definedName name="_______Spl23">#REF!</definedName>
    <definedName name="_______Spl35">#REF!</definedName>
    <definedName name="_______Spl57">#REF!</definedName>
    <definedName name="_______Spt02">#REF!</definedName>
    <definedName name="_______Spt06">#REF!</definedName>
    <definedName name="_______Spt10">#REF!</definedName>
    <definedName name="_______std100">#REF!</definedName>
    <definedName name="_______std150">#REF!</definedName>
    <definedName name="_______std50">#REF!</definedName>
    <definedName name="_______std65">#REF!</definedName>
    <definedName name="_______StK03">#REF!</definedName>
    <definedName name="_______StK04">#REF!</definedName>
    <definedName name="_______StK06">#REF!</definedName>
    <definedName name="_______StK08">#REF!</definedName>
    <definedName name="_______StK10">#REF!</definedName>
    <definedName name="_______StK12">#REF!</definedName>
    <definedName name="_______SUM1">#REF!</definedName>
    <definedName name="_______SUM2">#REF!</definedName>
    <definedName name="_______SUM3">#REF!</definedName>
    <definedName name="_______Tfp22">#REF!</definedName>
    <definedName name="_______Tfw22">#REF!</definedName>
    <definedName name="_______Tgb33">#REF!</definedName>
    <definedName name="_______tgl1">#REF!</definedName>
    <definedName name="_______Tgp22">#REF!</definedName>
    <definedName name="_______Tgp33">#REF!</definedName>
    <definedName name="_______Tgw22">#REF!</definedName>
    <definedName name="_______Tgw33">#REF!</definedName>
    <definedName name="_______THP2">STOP:STOPE</definedName>
    <definedName name="_______tlc20">#REF!</definedName>
    <definedName name="_______Tlk04">#REF!</definedName>
    <definedName name="_______Tlk05">#REF!</definedName>
    <definedName name="_______Tlk06">#REF!</definedName>
    <definedName name="_______Tlk07">#REF!</definedName>
    <definedName name="_______TlP20">#REF!</definedName>
    <definedName name="_______Tlp40">#REF!</definedName>
    <definedName name="_______TOP2">#REF!</definedName>
    <definedName name="_______tp30">#REF!</definedName>
    <definedName name="_______tp40">#REF!</definedName>
    <definedName name="_______Tpk03">#REF!</definedName>
    <definedName name="_______Tpk04">#REF!</definedName>
    <definedName name="_______Tpk06">#REF!</definedName>
    <definedName name="_______Tpk09">#REF!</definedName>
    <definedName name="_______TPp12">#REF!</definedName>
    <definedName name="_______TPp13">#REF!</definedName>
    <definedName name="_______TPw12">#REF!</definedName>
    <definedName name="_______TPw13">#REF!</definedName>
    <definedName name="_______tsv25">#REF!</definedName>
    <definedName name="_______Twd03">#REF!</definedName>
    <definedName name="_______Twd04">#REF!</definedName>
    <definedName name="_______Twd09">#REF!</definedName>
    <definedName name="_______Vib01">#REF!</definedName>
    <definedName name="_______Vib07">#REF!</definedName>
    <definedName name="_______vnt100">#REF!</definedName>
    <definedName name="_______vnt40">#REF!</definedName>
    <definedName name="_______vnt50">#REF!</definedName>
    <definedName name="_______vnt80">#REF!</definedName>
    <definedName name="_______WF32">#REF!</definedName>
    <definedName name="_______WF42">#REF!</definedName>
    <definedName name="_______WM4">#REF!</definedName>
    <definedName name="_______WM5">#REF!</definedName>
    <definedName name="_______WM6">#REF!</definedName>
    <definedName name="_______WM7">#REF!</definedName>
    <definedName name="_______WM8">#REF!</definedName>
    <definedName name="_______Wmr02">#REF!</definedName>
    <definedName name="_______WPS10">#REF!</definedName>
    <definedName name="_______WPS15">#REF!</definedName>
    <definedName name="_______WPS25">#REF!</definedName>
    <definedName name="_______WPS45">#REF!</definedName>
    <definedName name="______AAD3">HAJIME:OWARI</definedName>
    <definedName name="______abs100">#REF!</definedName>
    <definedName name="______Act15">#REF!</definedName>
    <definedName name="______ADD2">STOP:STOPE</definedName>
    <definedName name="______ADD3">STOP:STOPE</definedName>
    <definedName name="______ahu100">#REF!</definedName>
    <definedName name="______ahu150">#REF!</definedName>
    <definedName name="______ako100">#REF!</definedName>
    <definedName name="______ako150">#REF!</definedName>
    <definedName name="______ako50">#REF!</definedName>
    <definedName name="______ako80">#REF!</definedName>
    <definedName name="______aku100">#REF!</definedName>
    <definedName name="______aku150">#REF!</definedName>
    <definedName name="______alt1">______alt1</definedName>
    <definedName name="______ana1">#REF!</definedName>
    <definedName name="______ana10">#REF!</definedName>
    <definedName name="______ana100">#REF!</definedName>
    <definedName name="______ana101">#REF!</definedName>
    <definedName name="______ana102">#REF!</definedName>
    <definedName name="______ana103">#REF!</definedName>
    <definedName name="______ana104">#REF!</definedName>
    <definedName name="______ana105">#REF!</definedName>
    <definedName name="______ana106">#REF!</definedName>
    <definedName name="______ana107">#REF!</definedName>
    <definedName name="______ana108">#REF!</definedName>
    <definedName name="______ana109">#REF!</definedName>
    <definedName name="______ana11">#REF!</definedName>
    <definedName name="______ana110">#REF!</definedName>
    <definedName name="______ana111">#REF!</definedName>
    <definedName name="______ana112">#REF!</definedName>
    <definedName name="______ana113">#REF!</definedName>
    <definedName name="______ana114">#REF!</definedName>
    <definedName name="______ana115">#REF!</definedName>
    <definedName name="______ana116">#REF!</definedName>
    <definedName name="______ana117">#REF!</definedName>
    <definedName name="______ana118">#REF!</definedName>
    <definedName name="______ana119">#REF!</definedName>
    <definedName name="______ana12">#REF!</definedName>
    <definedName name="______ana120">#REF!</definedName>
    <definedName name="______ana121">#REF!</definedName>
    <definedName name="______ana122">#REF!</definedName>
    <definedName name="______ana123">#REF!</definedName>
    <definedName name="______ana124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1">#REF!</definedName>
    <definedName name="______ana22">#REF!</definedName>
    <definedName name="______ana23">#REF!</definedName>
    <definedName name="______ana24">#REF!</definedName>
    <definedName name="______ana25">#REF!</definedName>
    <definedName name="______ana26">#REF!</definedName>
    <definedName name="______ana27">#REF!</definedName>
    <definedName name="______ana28">#REF!</definedName>
    <definedName name="______ana29">#REF!</definedName>
    <definedName name="______ana3">#REF!</definedName>
    <definedName name="______ana30">#REF!</definedName>
    <definedName name="______ana31">#REF!</definedName>
    <definedName name="______ana32">#REF!</definedName>
    <definedName name="______ana33">#REF!</definedName>
    <definedName name="______ana34">#REF!</definedName>
    <definedName name="______ana35">#REF!</definedName>
    <definedName name="______ana36">#REF!</definedName>
    <definedName name="______ana37">#REF!</definedName>
    <definedName name="______ana38">#REF!</definedName>
    <definedName name="______ana39">#REF!</definedName>
    <definedName name="______ana4">#REF!</definedName>
    <definedName name="______ana40">#REF!</definedName>
    <definedName name="______ana41">#REF!</definedName>
    <definedName name="______ana42">#REF!</definedName>
    <definedName name="______ana43">#REF!</definedName>
    <definedName name="______ana44">#REF!</definedName>
    <definedName name="______ana45">#REF!</definedName>
    <definedName name="______ana46">#REF!</definedName>
    <definedName name="______ana47">#REF!</definedName>
    <definedName name="______ana48">#REF!</definedName>
    <definedName name="______ana49">#REF!</definedName>
    <definedName name="______ana5">#REF!</definedName>
    <definedName name="______ana50">#REF!</definedName>
    <definedName name="______ana51">#REF!</definedName>
    <definedName name="______ana52">#REF!</definedName>
    <definedName name="______ana53">#REF!</definedName>
    <definedName name="______ana54">#REF!</definedName>
    <definedName name="______ana55">#REF!</definedName>
    <definedName name="______ana56">#REF!</definedName>
    <definedName name="______ana57">#REF!</definedName>
    <definedName name="______ana58">#REF!</definedName>
    <definedName name="______ana59">#REF!</definedName>
    <definedName name="______ana6">#REF!</definedName>
    <definedName name="______ana60">#REF!</definedName>
    <definedName name="______ana61">#REF!</definedName>
    <definedName name="______ana62">#REF!</definedName>
    <definedName name="______ana63">#REF!</definedName>
    <definedName name="______ana64">#REF!</definedName>
    <definedName name="______ana65">#REF!</definedName>
    <definedName name="______ana66">#REF!</definedName>
    <definedName name="______ana67">#REF!</definedName>
    <definedName name="______ana68">#REF!</definedName>
    <definedName name="______ana69">#REF!</definedName>
    <definedName name="______ana7">#REF!</definedName>
    <definedName name="______ana70">#REF!</definedName>
    <definedName name="______ana71">#REF!</definedName>
    <definedName name="______ana72">#REF!</definedName>
    <definedName name="______ana73">#REF!</definedName>
    <definedName name="______ana74">#REF!</definedName>
    <definedName name="______ana75">#REF!</definedName>
    <definedName name="______ana76">#REF!</definedName>
    <definedName name="______ana77">#REF!</definedName>
    <definedName name="______ana78">#REF!</definedName>
    <definedName name="______ana79">#REF!</definedName>
    <definedName name="______ana80">#REF!</definedName>
    <definedName name="______ana81">#REF!</definedName>
    <definedName name="______ana82">#REF!</definedName>
    <definedName name="______ana83">#REF!</definedName>
    <definedName name="______ana84">#REF!</definedName>
    <definedName name="______ana85">#REF!</definedName>
    <definedName name="______ana86">#REF!</definedName>
    <definedName name="______ana87">#REF!</definedName>
    <definedName name="______ana88">#REF!</definedName>
    <definedName name="______ana89">#REF!</definedName>
    <definedName name="______ana9">#REF!</definedName>
    <definedName name="______ana90">#REF!</definedName>
    <definedName name="______ana91">#REF!</definedName>
    <definedName name="______ana92">#REF!</definedName>
    <definedName name="______ana93">#REF!</definedName>
    <definedName name="______ana94">#REF!</definedName>
    <definedName name="______ana95">#REF!</definedName>
    <definedName name="______ana96">#REF!</definedName>
    <definedName name="______ana97">#REF!</definedName>
    <definedName name="______ana98">#REF!</definedName>
    <definedName name="______ana99">#REF!</definedName>
    <definedName name="______APP3">______APP3</definedName>
    <definedName name="______aru1">#REF!</definedName>
    <definedName name="______Bal20">#REF!</definedName>
    <definedName name="______Bal40">#REF!</definedName>
    <definedName name="______Bar30">#REF!</definedName>
    <definedName name="______bcv100">#REF!</definedName>
    <definedName name="______bcv125">#REF!</definedName>
    <definedName name="______bcv150">#REF!</definedName>
    <definedName name="______bes24">#REF!</definedName>
    <definedName name="______bes39">#REF!</definedName>
    <definedName name="______bet350">#REF!</definedName>
    <definedName name="______bet400">#REF!</definedName>
    <definedName name="______BFG66">#REF!</definedName>
    <definedName name="______Bjl28">#REF!</definedName>
    <definedName name="______Bjl30">#REF!</definedName>
    <definedName name="______Bmb10">#REF!</definedName>
    <definedName name="______Bmb57">#REF!</definedName>
    <definedName name="______BOX2">#REF!</definedName>
    <definedName name="______Bpl02">#REF!</definedName>
    <definedName name="______Bpl06">#REF!</definedName>
    <definedName name="______Bpl10">#REF!</definedName>
    <definedName name="______BSP3">#REF!</definedName>
    <definedName name="______BSP4">#REF!</definedName>
    <definedName name="______BSP5">#REF!</definedName>
    <definedName name="______BSP6">#REF!</definedName>
    <definedName name="______BSP8">#REF!</definedName>
    <definedName name="______Bsq24">#REF!</definedName>
    <definedName name="______Bsq33">#REF!</definedName>
    <definedName name="______Bsq44">#REF!</definedName>
    <definedName name="______BTr34">#REF!</definedName>
    <definedName name="______Btr66">#REF!</definedName>
    <definedName name="______Bub20">#REF!</definedName>
    <definedName name="______Bub30">#REF!</definedName>
    <definedName name="______Bub40">#REF!</definedName>
    <definedName name="______Bub50">#REF!</definedName>
    <definedName name="______Bub60">#REF!</definedName>
    <definedName name="______Bub80">#REF!</definedName>
    <definedName name="______C">#REF!</definedName>
    <definedName name="______CAL1">#REF!</definedName>
    <definedName name="______CAL10">#REF!</definedName>
    <definedName name="______CAL11">#REF!</definedName>
    <definedName name="______CAL12">#REF!</definedName>
    <definedName name="______CAL13">#REF!</definedName>
    <definedName name="______CAL14">#REF!</definedName>
    <definedName name="______CAL15">#REF!</definedName>
    <definedName name="______CAL16">#REF!</definedName>
    <definedName name="______CAL17">#REF!</definedName>
    <definedName name="______CAL18">#REF!</definedName>
    <definedName name="______CAL19">#REF!</definedName>
    <definedName name="______CAL2">#REF!</definedName>
    <definedName name="______CAL20">#REF!</definedName>
    <definedName name="______CAL21">#REF!</definedName>
    <definedName name="______CAL3">#REF!</definedName>
    <definedName name="______CAL4">#REF!</definedName>
    <definedName name="______CAL5">#REF!</definedName>
    <definedName name="______CAL6">#REF!</definedName>
    <definedName name="______CAL7">#REF!</definedName>
    <definedName name="______CAL8">#REF!</definedName>
    <definedName name="______CAL9">#REF!</definedName>
    <definedName name="______CAN15">#REF!</definedName>
    <definedName name="______cas80">#REF!</definedName>
    <definedName name="______cat1">#REF!</definedName>
    <definedName name="______cat2">#REF!</definedName>
    <definedName name="______cat3">#REF!</definedName>
    <definedName name="______cbr30">#REF!</definedName>
    <definedName name="______cbr80">#REF!</definedName>
    <definedName name="______CDs34">#REF!</definedName>
    <definedName name="______cle10">#REF!</definedName>
    <definedName name="______cle65">#REF!</definedName>
    <definedName name="______cod50">#REF!</definedName>
    <definedName name="______cor175">#REF!</definedName>
    <definedName name="______cor225">#REF!</definedName>
    <definedName name="______cor300">#REF!</definedName>
    <definedName name="______cvd100">#REF!</definedName>
    <definedName name="______cvd15">#REF!</definedName>
    <definedName name="______cvd150">#REF!</definedName>
    <definedName name="______cvd50">#REF!</definedName>
    <definedName name="______cvd65">#REF!</definedName>
    <definedName name="______Cvv02">#REF!</definedName>
    <definedName name="______daf1">#REF!</definedName>
    <definedName name="______DAF10">#REF!</definedName>
    <definedName name="______daf2">#REF!</definedName>
    <definedName name="______daf31">#REF!</definedName>
    <definedName name="______daf32">#REF!</definedName>
    <definedName name="______daf33">#REF!</definedName>
    <definedName name="______dia6">#REF!</definedName>
    <definedName name="______Dlk10">#REF!</definedName>
    <definedName name="______Dlk57">#REF!</definedName>
    <definedName name="______DlS25">#REF!</definedName>
    <definedName name="______Dnp02">#REF!</definedName>
    <definedName name="______DTr35">#REF!</definedName>
    <definedName name="______DTr50">#REF!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e34">#REF!</definedName>
    <definedName name="______EEE35">#REF!</definedName>
    <definedName name="______EEE36">#REF!</definedName>
    <definedName name="______EEE37">#REF!</definedName>
    <definedName name="______EEE38">#REF!</definedName>
    <definedName name="______EEE39">#REF!</definedName>
    <definedName name="______faw10">#REF!</definedName>
    <definedName name="______faw65">#REF!</definedName>
    <definedName name="______fcp1">#REF!</definedName>
    <definedName name="______fdd100">#REF!</definedName>
    <definedName name="______Fdr01">#REF!</definedName>
    <definedName name="______Fdr02">#REF!</definedName>
    <definedName name="______fjd100">#REF!</definedName>
    <definedName name="______fjd150">#REF!</definedName>
    <definedName name="______fjd50">#REF!</definedName>
    <definedName name="______fjd65">#REF!</definedName>
    <definedName name="______flo40">#REF!</definedName>
    <definedName name="______fmd150">#REF!</definedName>
    <definedName name="______fvd100">#REF!</definedName>
    <definedName name="______gat50">#REF!</definedName>
    <definedName name="______GBl22">#REF!</definedName>
    <definedName name="______Gfu20">#REF!</definedName>
    <definedName name="______Gfu30">#REF!</definedName>
    <definedName name="______Gfu40">#REF!</definedName>
    <definedName name="______GID1">#REF!</definedName>
    <definedName name="______GiM02">#REF!</definedName>
    <definedName name="______GiM03">#REF!</definedName>
    <definedName name="______GiM04">#REF!</definedName>
    <definedName name="______GiM05">#REF!</definedName>
    <definedName name="______GiM06">#REF!</definedName>
    <definedName name="______GiM08">#REF!</definedName>
    <definedName name="______GiM10">#REF!</definedName>
    <definedName name="______GiM12">#REF!</definedName>
    <definedName name="______GiM16">#REF!</definedName>
    <definedName name="______gip15">#REF!</definedName>
    <definedName name="______gip20">#REF!</definedName>
    <definedName name="______gip25">#REF!</definedName>
    <definedName name="______gip32">#REF!</definedName>
    <definedName name="______gip40">#REF!</definedName>
    <definedName name="______gip50">#REF!</definedName>
    <definedName name="______GiS02">#REF!</definedName>
    <definedName name="______GiS03">#REF!</definedName>
    <definedName name="______GiS04">#REF!</definedName>
    <definedName name="______GiS05">#REF!</definedName>
    <definedName name="______GiS06">#REF!</definedName>
    <definedName name="______GiS07">#REF!</definedName>
    <definedName name="______GiS08">#REF!</definedName>
    <definedName name="______GiS10">#REF!</definedName>
    <definedName name="______GiS12">#REF!</definedName>
    <definedName name="______GiS16">#REF!</definedName>
    <definedName name="______gk2" hidden="1">#REF!</definedName>
    <definedName name="______GNB1">#REF!</definedName>
    <definedName name="______GNB2">#REF!</definedName>
    <definedName name="______grc1">#REF!</definedName>
    <definedName name="______grc6">#REF!</definedName>
    <definedName name="______grc8">#REF!</definedName>
    <definedName name="______Grn46">#REF!</definedName>
    <definedName name="______gti50">#REF!</definedName>
    <definedName name="______gti60">#REF!</definedName>
    <definedName name="______gvd100">#REF!</definedName>
    <definedName name="______gvd15">#REF!</definedName>
    <definedName name="______gvd150">#REF!</definedName>
    <definedName name="______gvd20">#REF!</definedName>
    <definedName name="______gvd25">#REF!</definedName>
    <definedName name="______gvd32">#REF!</definedName>
    <definedName name="______gvd40">#REF!</definedName>
    <definedName name="______gvd50">#REF!</definedName>
    <definedName name="______gvd65">#REF!</definedName>
    <definedName name="______gvd80">#REF!</definedName>
    <definedName name="______GVv02">#REF!</definedName>
    <definedName name="______gyf9">#REF!</definedName>
    <definedName name="______gyp9">#REF!</definedName>
    <definedName name="______hdw1">#REF!</definedName>
    <definedName name="______HHH01">#REF!</definedName>
    <definedName name="______Hot10">#REF!</definedName>
    <definedName name="______Hot15">#REF!</definedName>
    <definedName name="______Hot20">#REF!</definedName>
    <definedName name="______Hot25">#REF!</definedName>
    <definedName name="______hpc2">#REF!</definedName>
    <definedName name="______IMB01">#REF!</definedName>
    <definedName name="______jab1">#REF!</definedName>
    <definedName name="______k100123">#REF!</definedName>
    <definedName name="______KAn13">#REF!</definedName>
    <definedName name="______KAw13">#REF!</definedName>
    <definedName name="______ker1020">#REF!</definedName>
    <definedName name="______ker1030">#REF!</definedName>
    <definedName name="______KLc88">#REF!</definedName>
    <definedName name="______kof1">#REF!</definedName>
    <definedName name="______Kpp12">#REF!</definedName>
    <definedName name="______Kpp13">#REF!</definedName>
    <definedName name="______kr15">#REF!</definedName>
    <definedName name="______KrB02">#REF!</definedName>
    <definedName name="______KrB03">#REF!</definedName>
    <definedName name="______KrK02">#REF!</definedName>
    <definedName name="______Krk03">#REF!</definedName>
    <definedName name="______Krk04">#REF!</definedName>
    <definedName name="______Krp12">#REF!</definedName>
    <definedName name="______Krp22">#REF!</definedName>
    <definedName name="______Krp33">#REF!</definedName>
    <definedName name="______KrS02">#REF!</definedName>
    <definedName name="______KrS03">#REF!</definedName>
    <definedName name="______Krw12">#REF!</definedName>
    <definedName name="______Krw22">#REF!</definedName>
    <definedName name="______Krw33">#REF!</definedName>
    <definedName name="______Lad1">#REF!</definedName>
    <definedName name="______Lad2">#REF!</definedName>
    <definedName name="______Lad3">#REF!</definedName>
    <definedName name="______LLL01">#REF!</definedName>
    <definedName name="______LLL02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PG15">#REF!</definedName>
    <definedName name="______Lpk01">#REF!</definedName>
    <definedName name="______Lpk02">#REF!</definedName>
    <definedName name="______Lpk04">#REF!</definedName>
    <definedName name="______Lpk05">#REF!</definedName>
    <definedName name="______Lpk10">#REF!</definedName>
    <definedName name="______MBW867">#REF!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r80">#REF!</definedName>
    <definedName name="______MMM01">#REF!</definedName>
    <definedName name="______MMM02">#REF!</definedName>
    <definedName name="______MMM03">#REF!</definedName>
    <definedName name="______MMM05">#REF!</definedName>
    <definedName name="______MMM06">#REF!</definedName>
    <definedName name="______MMM07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MMM57">#REF!</definedName>
    <definedName name="______MMM58">#REF!</definedName>
    <definedName name="______MMM59">#REF!</definedName>
    <definedName name="______MMM60">#REF!</definedName>
    <definedName name="______MMM61">#REF!</definedName>
    <definedName name="______MMM62">#REF!</definedName>
    <definedName name="______MMM63">#REF!</definedName>
    <definedName name="______MMM64">#REF!</definedName>
    <definedName name="______MMM65">#REF!</definedName>
    <definedName name="______MMM66">#REF!</definedName>
    <definedName name="______mp1">#REF!</definedName>
    <definedName name="______Mpk12">#REF!</definedName>
    <definedName name="______Mpk18">#REF!</definedName>
    <definedName name="______Mpk9">#REF!</definedName>
    <definedName name="______MU1">#REF!</definedName>
    <definedName name="______MU301">#REF!</definedName>
    <definedName name="______MU380">#REF!</definedName>
    <definedName name="______MU400">#REF!</definedName>
    <definedName name="______MU440">#REF!</definedName>
    <definedName name="______MU450">#REF!</definedName>
    <definedName name="______new5">HAJIME:OWARI</definedName>
    <definedName name="______nm1">#REF!</definedName>
    <definedName name="______NSF10">#REF!</definedName>
    <definedName name="______NSF15">#REF!</definedName>
    <definedName name="______NYA115">#REF!</definedName>
    <definedName name="______NYA125">#REF!</definedName>
    <definedName name="______NYM215">#REF!</definedName>
    <definedName name="______NYM225">#REF!</definedName>
    <definedName name="______NYM240">#REF!</definedName>
    <definedName name="______NYM260">#REF!</definedName>
    <definedName name="______NYM315">#REF!</definedName>
    <definedName name="______NYM325">#REF!</definedName>
    <definedName name="______NYM340">#REF!</definedName>
    <definedName name="______NYM360">#REF!</definedName>
    <definedName name="______NYM425">#REF!</definedName>
    <definedName name="______NYM440">#REF!</definedName>
    <definedName name="______NYM460">#REF!</definedName>
    <definedName name="______NYY240">#REF!</definedName>
    <definedName name="______NYY260">#REF!</definedName>
    <definedName name="______NYY340">#REF!</definedName>
    <definedName name="______NYY360">#REF!</definedName>
    <definedName name="______NYY440">#REF!</definedName>
    <definedName name="______NYY460">#REF!</definedName>
    <definedName name="______Oks14">#REF!</definedName>
    <definedName name="______Opa1">#REF!</definedName>
    <definedName name="______Opa2">#REF!</definedName>
    <definedName name="______pab100">#REF!</definedName>
    <definedName name="______pab125">#REF!</definedName>
    <definedName name="______pab15">#REF!</definedName>
    <definedName name="______pab150">#REF!</definedName>
    <definedName name="______pab2">#REF!</definedName>
    <definedName name="______pab20">#REF!</definedName>
    <definedName name="______pab25">#REF!</definedName>
    <definedName name="______pab32">#REF!</definedName>
    <definedName name="______pab4">#REF!</definedName>
    <definedName name="______pab40">#REF!</definedName>
    <definedName name="______pab50">#REF!</definedName>
    <definedName name="______pab6">#REF!</definedName>
    <definedName name="______pab65">#REF!</definedName>
    <definedName name="______pab80">#REF!</definedName>
    <definedName name="______pah150">#REF!</definedName>
    <definedName name="______pak100">#REF!</definedName>
    <definedName name="______pak150">#REF!</definedName>
    <definedName name="______pak50">#REF!</definedName>
    <definedName name="______pak80">#REF!</definedName>
    <definedName name="______paw10">#REF!</definedName>
    <definedName name="______PAw16">#REF!</definedName>
    <definedName name="______paw25">#REF!</definedName>
    <definedName name="______paw40">#REF!</definedName>
    <definedName name="______paw50">#REF!</definedName>
    <definedName name="______paw65">#REF!</definedName>
    <definedName name="______pbs100">#REF!</definedName>
    <definedName name="______pbs15">#REF!</definedName>
    <definedName name="______pbs150">#REF!</definedName>
    <definedName name="______pbs40">#REF!</definedName>
    <definedName name="______pbs50">#REF!</definedName>
    <definedName name="______pbs65">#REF!</definedName>
    <definedName name="______pbs80">#REF!</definedName>
    <definedName name="______pc50">#REF!</definedName>
    <definedName name="______pc80">#REF!</definedName>
    <definedName name="______pcf80">#REF!</definedName>
    <definedName name="______pek1">#REF!</definedName>
    <definedName name="______pek2">#REF!</definedName>
    <definedName name="______pek3">#REF!</definedName>
    <definedName name="______pf15">#REF!</definedName>
    <definedName name="______pf18">#REF!</definedName>
    <definedName name="______ph100">#REF!</definedName>
    <definedName name="______ph150">#REF!</definedName>
    <definedName name="______phf100">#REF!</definedName>
    <definedName name="______phf150">#REF!</definedName>
    <definedName name="______PL1">#REF!</definedName>
    <definedName name="______PL2">#REF!</definedName>
    <definedName name="______PL3">#REF!</definedName>
    <definedName name="______Plt33">#REF!</definedName>
    <definedName name="______Plt43">#REF!</definedName>
    <definedName name="______Pnl36">#REF!</definedName>
    <definedName name="______PRu02">#REF!</definedName>
    <definedName name="______PRu03">#REF!</definedName>
    <definedName name="______PRu04">#REF!</definedName>
    <definedName name="______PRu05">#REF!</definedName>
    <definedName name="______PRu06">#REF!</definedName>
    <definedName name="______PRu08">#REF!</definedName>
    <definedName name="______PRu10">#REF!</definedName>
    <definedName name="______PRu12">#REF!</definedName>
    <definedName name="______PRu16">#REF!</definedName>
    <definedName name="______PSb02">#REF!</definedName>
    <definedName name="______PSb03">#REF!</definedName>
    <definedName name="______PSb04">#REF!</definedName>
    <definedName name="______PSb05">#REF!</definedName>
    <definedName name="______PSb06">#REF!</definedName>
    <definedName name="______PSb07">#REF!</definedName>
    <definedName name="______PSb08">#REF!</definedName>
    <definedName name="______Psb10">#REF!</definedName>
    <definedName name="______PSb12">#REF!</definedName>
    <definedName name="______PSb16">#REF!</definedName>
    <definedName name="______PsW1">#REF!</definedName>
    <definedName name="______pv100">#REF!</definedName>
    <definedName name="______pv40">#REF!</definedName>
    <definedName name="______pv50">#REF!</definedName>
    <definedName name="______pv80">#REF!</definedName>
    <definedName name="______pvc1">#REF!</definedName>
    <definedName name="______pvc100">#REF!</definedName>
    <definedName name="______pvc150">#REF!</definedName>
    <definedName name="______PVC2">#REF!</definedName>
    <definedName name="______pvc20">#REF!</definedName>
    <definedName name="______pvc200">#REF!</definedName>
    <definedName name="______pvc25">#REF!</definedName>
    <definedName name="______PVC3">#REF!</definedName>
    <definedName name="______pvc32">#REF!</definedName>
    <definedName name="______PVC4">#REF!</definedName>
    <definedName name="______pvc40">#REF!</definedName>
    <definedName name="______pvc50">#REF!</definedName>
    <definedName name="______PVC6">#REF!</definedName>
    <definedName name="______pvc65">#REF!</definedName>
    <definedName name="______PVC8">#REF!</definedName>
    <definedName name="______pvc80">#REF!</definedName>
    <definedName name="______pvf100">#REF!</definedName>
    <definedName name="______pvf80">#REF!</definedName>
    <definedName name="______PW1">#REF!</definedName>
    <definedName name="______PW2">#REF!</definedName>
    <definedName name="______Pwd18">#REF!</definedName>
    <definedName name="______qmd15">#REF!</definedName>
    <definedName name="______qmd20">#REF!</definedName>
    <definedName name="______rdd100">#REF!</definedName>
    <definedName name="______rdd150">#REF!</definedName>
    <definedName name="______ReB23">#REF!</definedName>
    <definedName name="______Rek23">#REF!</definedName>
    <definedName name="______Rek34">#REF!</definedName>
    <definedName name="______RFj05">#REF!</definedName>
    <definedName name="______RFj10">#REF!</definedName>
    <definedName name="______rk100">#REF!</definedName>
    <definedName name="______rk200">#REF!</definedName>
    <definedName name="______rk300">#REF!</definedName>
    <definedName name="______rk600">#REF!</definedName>
    <definedName name="______rkl1000">#REF!</definedName>
    <definedName name="______rkl1200">#REF!</definedName>
    <definedName name="______rkl200">#REF!</definedName>
    <definedName name="______rkl300">#REF!</definedName>
    <definedName name="______rkl400">#REF!</definedName>
    <definedName name="______rkl500">#REF!</definedName>
    <definedName name="______rkl600">#REF!</definedName>
    <definedName name="______rkl700">#REF!</definedName>
    <definedName name="______rkl800">#REF!</definedName>
    <definedName name="______Rm175">#REF!</definedName>
    <definedName name="______Rm225">#REF!</definedName>
    <definedName name="______Rm375">#REF!</definedName>
    <definedName name="______Rol06">#REF!</definedName>
    <definedName name="______Rol10">#REF!</definedName>
    <definedName name="______SBr01">#REF!</definedName>
    <definedName name="______SBr02">#REF!</definedName>
    <definedName name="______SFL1">#REF!</definedName>
    <definedName name="______SFL2">#REF!</definedName>
    <definedName name="______SFL3">#REF!</definedName>
    <definedName name="______SFM1">#REF!</definedName>
    <definedName name="______SFM2">#REF!</definedName>
    <definedName name="______SFM3">#REF!</definedName>
    <definedName name="______SFM4">#REF!</definedName>
    <definedName name="______SFM5">#REF!</definedName>
    <definedName name="______SFM6">#REF!</definedName>
    <definedName name="______SFM7">#REF!</definedName>
    <definedName name="______SFQ1">#REF!</definedName>
    <definedName name="______SFQ2">#REF!</definedName>
    <definedName name="______SFQ3">#REF!</definedName>
    <definedName name="______SFQ4">#REF!</definedName>
    <definedName name="______sfv150">#REF!</definedName>
    <definedName name="______SJd01">#REF!</definedName>
    <definedName name="______SlP25">#REF!</definedName>
    <definedName name="______sn1020">#REF!</definedName>
    <definedName name="______Spl02">#REF!</definedName>
    <definedName name="______Spl03">#REF!</definedName>
    <definedName name="______Spl04">#REF!</definedName>
    <definedName name="______Spl05">#REF!</definedName>
    <definedName name="______Spl12">#REF!</definedName>
    <definedName name="______Spl23">#REF!</definedName>
    <definedName name="______Spl35">#REF!</definedName>
    <definedName name="______Spl57">#REF!</definedName>
    <definedName name="______Spt02">#REF!</definedName>
    <definedName name="______Spt06">#REF!</definedName>
    <definedName name="______Spt10">#REF!</definedName>
    <definedName name="______std100">#REF!</definedName>
    <definedName name="______std150">#REF!</definedName>
    <definedName name="______std50">#REF!</definedName>
    <definedName name="______std65">#REF!</definedName>
    <definedName name="______StK03">#REF!</definedName>
    <definedName name="______StK04">#REF!</definedName>
    <definedName name="______StK06">#REF!</definedName>
    <definedName name="______StK08">#REF!</definedName>
    <definedName name="______StK10">#REF!</definedName>
    <definedName name="______StK12">#REF!</definedName>
    <definedName name="______SUM1">#REF!</definedName>
    <definedName name="______SUM2">#REF!</definedName>
    <definedName name="______SUM3">#REF!</definedName>
    <definedName name="______Tbb1">#REF!</definedName>
    <definedName name="______Tbb2">#REF!</definedName>
    <definedName name="______Tbs1">#REF!</definedName>
    <definedName name="______Tbs2">#REF!</definedName>
    <definedName name="______Tbt1">#REF!</definedName>
    <definedName name="______Tbt2">#REF!</definedName>
    <definedName name="______TCa1">#REF!</definedName>
    <definedName name="______Tca2">#REF!</definedName>
    <definedName name="______Tfp22">#REF!</definedName>
    <definedName name="______Tfw22">#REF!</definedName>
    <definedName name="______Tgb33">#REF!</definedName>
    <definedName name="______tgl1">#REF!</definedName>
    <definedName name="______Tgp22">#REF!</definedName>
    <definedName name="______Tgp33">#REF!</definedName>
    <definedName name="______Tgw22">#REF!</definedName>
    <definedName name="______Tgw33">#REF!</definedName>
    <definedName name="______Tky1">#REF!</definedName>
    <definedName name="______Tky2">#REF!</definedName>
    <definedName name="______tlc20">#REF!</definedName>
    <definedName name="______Tlk04">#REF!</definedName>
    <definedName name="______Tlk05">#REF!</definedName>
    <definedName name="______Tlk06">#REF!</definedName>
    <definedName name="______Tlk07">#REF!</definedName>
    <definedName name="______TlP20">#REF!</definedName>
    <definedName name="______Tlp40">#REF!</definedName>
    <definedName name="______TOP2">#REF!</definedName>
    <definedName name="______Tpk03">#REF!</definedName>
    <definedName name="______Tpk04">#REF!</definedName>
    <definedName name="______Tpk06">#REF!</definedName>
    <definedName name="______Tpk09">#REF!</definedName>
    <definedName name="______TPp12">#REF!</definedName>
    <definedName name="______TPp13">#REF!</definedName>
    <definedName name="______TPw12">#REF!</definedName>
    <definedName name="______TPw13">#REF!</definedName>
    <definedName name="______tsI3">______tsI3</definedName>
    <definedName name="______tsv25">#REF!</definedName>
    <definedName name="______tv14">#REF!</definedName>
    <definedName name="______Twd03">#REF!</definedName>
    <definedName name="______Twd04">#REF!</definedName>
    <definedName name="______Twd09">#REF!</definedName>
    <definedName name="______Vib01">#REF!</definedName>
    <definedName name="______Vib07">#REF!</definedName>
    <definedName name="______vnt100">#REF!</definedName>
    <definedName name="______vnt40">#REF!</definedName>
    <definedName name="______vnt50">#REF!</definedName>
    <definedName name="______vnt80">#REF!</definedName>
    <definedName name="______WF32">#REF!</definedName>
    <definedName name="______WF42">#REF!</definedName>
    <definedName name="______Wmr02">#REF!</definedName>
    <definedName name="______WPS10">#REF!</definedName>
    <definedName name="______WPS15">#REF!</definedName>
    <definedName name="______WPS25">#REF!</definedName>
    <definedName name="______WPS45">#REF!</definedName>
    <definedName name="_____AAD3">HAJIME:OWARI</definedName>
    <definedName name="_____abb91">NA()</definedName>
    <definedName name="_____abs100">#REF!</definedName>
    <definedName name="_____Act15">#REF!</definedName>
    <definedName name="_____ADD2">STOP:STOPE</definedName>
    <definedName name="_____ADD3">STOP:STOPE</definedName>
    <definedName name="_____ahu100">#REF!</definedName>
    <definedName name="_____ahu150">#REF!</definedName>
    <definedName name="_____ako100">#REF!</definedName>
    <definedName name="_____ako150">#REF!</definedName>
    <definedName name="_____ako50">#REF!</definedName>
    <definedName name="_____ako80">#REF!</definedName>
    <definedName name="_____aku100">#REF!</definedName>
    <definedName name="_____aku150">#REF!</definedName>
    <definedName name="_____ana1">#REF!</definedName>
    <definedName name="_____ana10">#REF!</definedName>
    <definedName name="_____ana100">#REF!</definedName>
    <definedName name="_____ana101">#REF!</definedName>
    <definedName name="_____ana102">#REF!</definedName>
    <definedName name="_____ana103">#REF!</definedName>
    <definedName name="_____ana104">#REF!</definedName>
    <definedName name="_____ana105">#REF!</definedName>
    <definedName name="_____ana106">#REF!</definedName>
    <definedName name="_____ana107">#REF!</definedName>
    <definedName name="_____ana108">#REF!</definedName>
    <definedName name="_____ana109">#REF!</definedName>
    <definedName name="_____ana11">#REF!</definedName>
    <definedName name="_____ana110">#REF!</definedName>
    <definedName name="_____ana111">#REF!</definedName>
    <definedName name="_____ana112">#REF!</definedName>
    <definedName name="_____ana113">#REF!</definedName>
    <definedName name="_____ana114">#REF!</definedName>
    <definedName name="_____ana115">#REF!</definedName>
    <definedName name="_____ana116">#REF!</definedName>
    <definedName name="_____ana117">#REF!</definedName>
    <definedName name="_____ana118">#REF!</definedName>
    <definedName name="_____ana119">#REF!</definedName>
    <definedName name="_____ana12">#REF!</definedName>
    <definedName name="_____ana120">#REF!</definedName>
    <definedName name="_____ana121">#REF!</definedName>
    <definedName name="_____ana122">#REF!</definedName>
    <definedName name="_____ana123">#REF!</definedName>
    <definedName name="_____ana124">#REF!</definedName>
    <definedName name="_____ana13">#REF!</definedName>
    <definedName name="_____ana14">#REF!</definedName>
    <definedName name="_____ana15">#REF!</definedName>
    <definedName name="_____ana16">#REF!</definedName>
    <definedName name="_____ana17">#REF!</definedName>
    <definedName name="_____ana18">#REF!</definedName>
    <definedName name="_____ana19">#REF!</definedName>
    <definedName name="_____ana2">#REF!</definedName>
    <definedName name="_____ana20">#REF!</definedName>
    <definedName name="_____ana21">#REF!</definedName>
    <definedName name="_____ana22">#REF!</definedName>
    <definedName name="_____ana23">#REF!</definedName>
    <definedName name="_____ana24">#REF!</definedName>
    <definedName name="_____ana25">#REF!</definedName>
    <definedName name="_____ana26">#REF!</definedName>
    <definedName name="_____ana27">#REF!</definedName>
    <definedName name="_____ana28">#REF!</definedName>
    <definedName name="_____ana29">#REF!</definedName>
    <definedName name="_____ana3">#REF!</definedName>
    <definedName name="_____ana30">#REF!</definedName>
    <definedName name="_____ana31">#REF!</definedName>
    <definedName name="_____ana32">#REF!</definedName>
    <definedName name="_____ana33">#REF!</definedName>
    <definedName name="_____ana34">#REF!</definedName>
    <definedName name="_____ana35">#REF!</definedName>
    <definedName name="_____ana36">#REF!</definedName>
    <definedName name="_____ana37">#REF!</definedName>
    <definedName name="_____ana38">#REF!</definedName>
    <definedName name="_____ana39">#REF!</definedName>
    <definedName name="_____ana4">#REF!</definedName>
    <definedName name="_____ana40">#REF!</definedName>
    <definedName name="_____ana41">#REF!</definedName>
    <definedName name="_____ana42">#REF!</definedName>
    <definedName name="_____ana43">#REF!</definedName>
    <definedName name="_____ana44">#REF!</definedName>
    <definedName name="_____ana45">#REF!</definedName>
    <definedName name="_____ana46">#REF!</definedName>
    <definedName name="_____ana47">#REF!</definedName>
    <definedName name="_____ana48">#REF!</definedName>
    <definedName name="_____ana49">#REF!</definedName>
    <definedName name="_____ana5">#REF!</definedName>
    <definedName name="_____ana50">#REF!</definedName>
    <definedName name="_____ana51">#REF!</definedName>
    <definedName name="_____ana52">#REF!</definedName>
    <definedName name="_____ana53">#REF!</definedName>
    <definedName name="_____ana54">#REF!</definedName>
    <definedName name="_____ana55">#REF!</definedName>
    <definedName name="_____ana56">#REF!</definedName>
    <definedName name="_____ana57">#REF!</definedName>
    <definedName name="_____ana58">#REF!</definedName>
    <definedName name="_____ana59">#REF!</definedName>
    <definedName name="_____ana6">#REF!</definedName>
    <definedName name="_____ana60">#REF!</definedName>
    <definedName name="_____ana61">#REF!</definedName>
    <definedName name="_____ana62">#REF!</definedName>
    <definedName name="_____ana63">#REF!</definedName>
    <definedName name="_____ana64">#REF!</definedName>
    <definedName name="_____ana65">#REF!</definedName>
    <definedName name="_____ana66">#REF!</definedName>
    <definedName name="_____ana67">#REF!</definedName>
    <definedName name="_____ana68">#REF!</definedName>
    <definedName name="_____ana69">#REF!</definedName>
    <definedName name="_____ana7">#REF!</definedName>
    <definedName name="_____ana70">#REF!</definedName>
    <definedName name="_____ana71">#REF!</definedName>
    <definedName name="_____ana72">#REF!</definedName>
    <definedName name="_____ana73">#REF!</definedName>
    <definedName name="_____ana74">#REF!</definedName>
    <definedName name="_____ana75">#REF!</definedName>
    <definedName name="_____ana76">#REF!</definedName>
    <definedName name="_____ana77">#REF!</definedName>
    <definedName name="_____ana78">#REF!</definedName>
    <definedName name="_____ana79">#REF!</definedName>
    <definedName name="_____ana80">#REF!</definedName>
    <definedName name="_____ana81">#REF!</definedName>
    <definedName name="_____ana82">#REF!</definedName>
    <definedName name="_____ana83">#REF!</definedName>
    <definedName name="_____ana84">#REF!</definedName>
    <definedName name="_____ana85">#REF!</definedName>
    <definedName name="_____ana86">#REF!</definedName>
    <definedName name="_____ana87">#REF!</definedName>
    <definedName name="_____ana88">#REF!</definedName>
    <definedName name="_____ana89">#REF!</definedName>
    <definedName name="_____ana9">#REF!</definedName>
    <definedName name="_____ana90">#REF!</definedName>
    <definedName name="_____ana91">#REF!</definedName>
    <definedName name="_____ana92">#REF!</definedName>
    <definedName name="_____ana93">#REF!</definedName>
    <definedName name="_____ana94">#REF!</definedName>
    <definedName name="_____ana95">#REF!</definedName>
    <definedName name="_____ana96">#REF!</definedName>
    <definedName name="_____ana97">#REF!</definedName>
    <definedName name="_____ana98">#REF!</definedName>
    <definedName name="_____ana99">#REF!</definedName>
    <definedName name="_____Bal20">#REF!</definedName>
    <definedName name="_____Bal40">#REF!</definedName>
    <definedName name="_____Bar30">#REF!</definedName>
    <definedName name="_____bcv100">#REF!</definedName>
    <definedName name="_____bcv125">#REF!</definedName>
    <definedName name="_____bcv150">#REF!</definedName>
    <definedName name="_____bes24">#REF!</definedName>
    <definedName name="_____bes39">#REF!</definedName>
    <definedName name="_____BFG66">#REF!</definedName>
    <definedName name="_____Bjl28">#REF!</definedName>
    <definedName name="_____Bjl30">#REF!</definedName>
    <definedName name="_____Bmb10">#REF!</definedName>
    <definedName name="_____Bmb57">#REF!</definedName>
    <definedName name="_____BOX2">#REF!</definedName>
    <definedName name="_____Bpl02">#REF!</definedName>
    <definedName name="_____Bpl06">#REF!</definedName>
    <definedName name="_____Bpl10">#REF!</definedName>
    <definedName name="_____bpl32">#REF!</definedName>
    <definedName name="_____bpl9">#REF!</definedName>
    <definedName name="_____bsd1600">#REF!</definedName>
    <definedName name="_____bsd2500">#REF!</definedName>
    <definedName name="_____bsd4000">#REF!</definedName>
    <definedName name="_____BSP3">#REF!</definedName>
    <definedName name="_____BSP4">#REF!</definedName>
    <definedName name="_____BSP5">#REF!</definedName>
    <definedName name="_____BSP6">#REF!</definedName>
    <definedName name="_____BSP8">#REF!</definedName>
    <definedName name="_____Bsq24">#REF!</definedName>
    <definedName name="_____Bsq33">#REF!</definedName>
    <definedName name="_____Bsq44">#REF!</definedName>
    <definedName name="_____btg1">#REF!</definedName>
    <definedName name="_____btg2">#REF!</definedName>
    <definedName name="_____btg3">#REF!</definedName>
    <definedName name="_____BTr34">#REF!</definedName>
    <definedName name="_____Btr66">#REF!</definedName>
    <definedName name="_____Bub20">#REF!</definedName>
    <definedName name="_____Bub30">#REF!</definedName>
    <definedName name="_____Bub40">#REF!</definedName>
    <definedName name="_____Bub50">#REF!</definedName>
    <definedName name="_____Bub60">#REF!</definedName>
    <definedName name="_____Bub80">#REF!</definedName>
    <definedName name="_____bud3500">#REF!</definedName>
    <definedName name="_____C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17">#REF!</definedName>
    <definedName name="_____CAL18">#REF!</definedName>
    <definedName name="_____CAL19">#REF!</definedName>
    <definedName name="_____CAL2">#REF!</definedName>
    <definedName name="_____CAL20">#REF!</definedName>
    <definedName name="_____CAL21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cas80">#REF!</definedName>
    <definedName name="_____cat1">#REF!</definedName>
    <definedName name="_____cat2">#REF!</definedName>
    <definedName name="_____cat3">#REF!</definedName>
    <definedName name="_____cbr30">#REF!</definedName>
    <definedName name="_____cbr80">#REF!</definedName>
    <definedName name="_____CDs34">#REF!</definedName>
    <definedName name="_____cle10">#REF!</definedName>
    <definedName name="_____cle65">#REF!</definedName>
    <definedName name="_____cod50">#REF!</definedName>
    <definedName name="_____cor175">#REF!</definedName>
    <definedName name="_____cor225">#REF!</definedName>
    <definedName name="_____cor300">#REF!</definedName>
    <definedName name="_____CT250">NA()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Cvv02">#REF!</definedName>
    <definedName name="_____daf1">#REF!</definedName>
    <definedName name="_____DAF10">#REF!</definedName>
    <definedName name="_____daf2">#REF!</definedName>
    <definedName name="_____daf31">#REF!</definedName>
    <definedName name="_____daf32">#REF!</definedName>
    <definedName name="_____daf33">#REF!</definedName>
    <definedName name="_____ddg10">#REF!</definedName>
    <definedName name="_____ddg20">#REF!</definedName>
    <definedName name="_____ddg30">#REF!</definedName>
    <definedName name="_____ddn400">"$#REF!.$F$47"</definedName>
    <definedName name="_____ddn600">"$#REF!.$F$33"</definedName>
    <definedName name="_____dgt100">NA()</definedName>
    <definedName name="_____dia6">#REF!</definedName>
    <definedName name="_____dlh20">#REF!</definedName>
    <definedName name="_____dlh50">#REF!</definedName>
    <definedName name="_____Dlk10">#REF!</definedName>
    <definedName name="_____Dlk57">#REF!</definedName>
    <definedName name="_____DlS25">#REF!</definedName>
    <definedName name="_____Dnp02">#REF!</definedName>
    <definedName name="_____DTr35">#REF!</definedName>
    <definedName name="_____DTr50">#REF!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ee34">#REF!</definedName>
    <definedName name="_____EEE35">#REF!</definedName>
    <definedName name="_____EEE36">#REF!</definedName>
    <definedName name="_____EEE37">#REF!</definedName>
    <definedName name="_____EEE38">#REF!</definedName>
    <definedName name="_____EEE39">#REF!</definedName>
    <definedName name="_____Eqp1">#REF!</definedName>
    <definedName name="_____Eqp2">#REF!</definedName>
    <definedName name="_____faw10">#REF!</definedName>
    <definedName name="_____faw65">#REF!</definedName>
    <definedName name="_____fcp1">#REF!</definedName>
    <definedName name="_____fdd100">#REF!</definedName>
    <definedName name="_____Fdr01">#REF!</definedName>
    <definedName name="_____Fdr02">#REF!</definedName>
    <definedName name="_____fjd100">#REF!</definedName>
    <definedName name="_____fjd150">#REF!</definedName>
    <definedName name="_____fjd50">#REF!</definedName>
    <definedName name="_____fjd65">#REF!</definedName>
    <definedName name="_____flo40">#REF!</definedName>
    <definedName name="_____fmd150">#REF!</definedName>
    <definedName name="_____frc2495">#REF!</definedName>
    <definedName name="_____frc41010">#REF!</definedName>
    <definedName name="_____frc495">#REF!</definedName>
    <definedName name="_____fvd100">#REF!</definedName>
    <definedName name="_____gat50">#REF!</definedName>
    <definedName name="_____GBl22">#REF!</definedName>
    <definedName name="_____Gfu20">#REF!</definedName>
    <definedName name="_____Gfu30">#REF!</definedName>
    <definedName name="_____Gfu40">#REF!</definedName>
    <definedName name="_____GID1">"'file:///d:/project/energyhouse2/energyhouse2-mainkontraktor/energyhouse2-mainkontraktor-tender/energyhouse2-mainkontraktor-tender-boq/misc/congviec/tam.xls'#$'lkvl-ck-ht-gd1'.$a$4"</definedName>
    <definedName name="_____GiM02">#REF!</definedName>
    <definedName name="_____GiM03">#REF!</definedName>
    <definedName name="_____GiM04">#REF!</definedName>
    <definedName name="_____GiM05">#REF!</definedName>
    <definedName name="_____GiM06">#REF!</definedName>
    <definedName name="_____GiM08">#REF!</definedName>
    <definedName name="_____GiM10">#REF!</definedName>
    <definedName name="_____GiM12">#REF!</definedName>
    <definedName name="_____GiM16">#REF!</definedName>
    <definedName name="_____GIP1">#REF!</definedName>
    <definedName name="_____gip15">#REF!</definedName>
    <definedName name="_____GIP2">#REF!</definedName>
    <definedName name="_____gip20">#REF!</definedName>
    <definedName name="_____gip25">#REF!</definedName>
    <definedName name="_____GIP3">#REF!</definedName>
    <definedName name="_____gip32">#REF!</definedName>
    <definedName name="_____GIP4">#REF!</definedName>
    <definedName name="_____gip40">#REF!</definedName>
    <definedName name="_____gip50">#REF!</definedName>
    <definedName name="_____GiS02">#REF!</definedName>
    <definedName name="_____GiS03">#REF!</definedName>
    <definedName name="_____GiS04">#REF!</definedName>
    <definedName name="_____GiS05">#REF!</definedName>
    <definedName name="_____GiS06">#REF!</definedName>
    <definedName name="_____GiS07">#REF!</definedName>
    <definedName name="_____GiS08">#REF!</definedName>
    <definedName name="_____GiS10">#REF!</definedName>
    <definedName name="_____GiS12">#REF!</definedName>
    <definedName name="_____GiS16">#REF!</definedName>
    <definedName name="_____gk2" hidden="1">#REF!</definedName>
    <definedName name="_____GNB1">#REF!</definedName>
    <definedName name="_____GNB2">#REF!</definedName>
    <definedName name="_____grc1">#REF!</definedName>
    <definedName name="_____grc6">#REF!</definedName>
    <definedName name="_____grc8">#REF!</definedName>
    <definedName name="_____Grn46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0">#REF!</definedName>
    <definedName name="_____gvd25">#REF!</definedName>
    <definedName name="_____gvd32">#REF!</definedName>
    <definedName name="_____gvd40">#REF!</definedName>
    <definedName name="_____gvd50">#REF!</definedName>
    <definedName name="_____gvd65">#REF!</definedName>
    <definedName name="_____gvd80">#REF!</definedName>
    <definedName name="_____GVv02">#REF!</definedName>
    <definedName name="_____gyf9">#REF!</definedName>
    <definedName name="_____gyp9">#REF!</definedName>
    <definedName name="_____hdw1">#REF!</definedName>
    <definedName name="_____HHH01">#REF!</definedName>
    <definedName name="_____Hot10">#REF!</definedName>
    <definedName name="_____Hot15">#REF!</definedName>
    <definedName name="_____Hot20">#REF!</definedName>
    <definedName name="_____Hot25">#REF!</definedName>
    <definedName name="_____hpc2">#REF!</definedName>
    <definedName name="_____IMB01">#REF!</definedName>
    <definedName name="_____jab1">#REF!</definedName>
    <definedName name="_____JUM1">NA()</definedName>
    <definedName name="_____JUM10">"$#REF!.$N$2493"</definedName>
    <definedName name="_____JUM11">"$#REF!.$N$2502"</definedName>
    <definedName name="_____JUM2">NA()</definedName>
    <definedName name="_____JUM3">NA()</definedName>
    <definedName name="_____JUM6">"$#REF!.$N$2433"</definedName>
    <definedName name="_____JUM7">"$#REF!.$N$2463"</definedName>
    <definedName name="_____JUM8">"$#REF!.$N$2479"</definedName>
    <definedName name="_____JUM9">"$#REF!.$N$2484"</definedName>
    <definedName name="_____k100123">#REF!</definedName>
    <definedName name="_____KAn13">#REF!</definedName>
    <definedName name="_____KAw13">#REF!</definedName>
    <definedName name="_____kco7">#REF!</definedName>
    <definedName name="_____ker1020">#REF!</definedName>
    <definedName name="_____ker1030">#REF!</definedName>
    <definedName name="_____kht20">#REF!</definedName>
    <definedName name="_____kht40">#REF!</definedName>
    <definedName name="_____kht50">#REF!</definedName>
    <definedName name="_____kl2">#REF!</definedName>
    <definedName name="_____kl3">#REF!</definedName>
    <definedName name="_____KLc88">#REF!</definedName>
    <definedName name="_____kof1">#REF!</definedName>
    <definedName name="_____Kpp12">#REF!</definedName>
    <definedName name="_____Kpp13">#REF!</definedName>
    <definedName name="_____kr15">#REF!</definedName>
    <definedName name="_____KrB02">#REF!</definedName>
    <definedName name="_____KrB03">#REF!</definedName>
    <definedName name="_____KrK02">#REF!</definedName>
    <definedName name="_____Krk03">#REF!</definedName>
    <definedName name="_____Krk04">#REF!</definedName>
    <definedName name="_____Krp12">#REF!</definedName>
    <definedName name="_____Krp22">#REF!</definedName>
    <definedName name="_____Krp33">#REF!</definedName>
    <definedName name="_____KrS02">#REF!</definedName>
    <definedName name="_____KrS03">#REF!</definedName>
    <definedName name="_____Krw12">#REF!</definedName>
    <definedName name="_____Krw22">#REF!</definedName>
    <definedName name="_____Krw33">#REF!</definedName>
    <definedName name="_____Lad1">#REF!</definedName>
    <definedName name="_____Lad2">#REF!</definedName>
    <definedName name="_____Lad3">#REF!</definedName>
    <definedName name="_____ldp60">#REF!</definedName>
    <definedName name="_____lh50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lp100">#REF!</definedName>
    <definedName name="_____lp300">#REF!</definedName>
    <definedName name="_____lp36">#REF!</definedName>
    <definedName name="_____lp500">#REF!</definedName>
    <definedName name="_____lp60">#REF!</definedName>
    <definedName name="_____LPG15">#REF!</definedName>
    <definedName name="_____Lpk01">#REF!</definedName>
    <definedName name="_____Lpk02">#REF!</definedName>
    <definedName name="_____Lpk04">#REF!</definedName>
    <definedName name="_____Lpk05">#REF!</definedName>
    <definedName name="_____Lpk10">#REF!</definedName>
    <definedName name="_____lpl11">#REF!</definedName>
    <definedName name="_____MAC12">"$#REF!.$H$6"</definedName>
    <definedName name="_____MAC46">"$#REF!.$H$61"</definedName>
    <definedName name="_____MB867">#REF!</definedName>
    <definedName name="_____MBW867">#REF!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r80">#REF!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MM57">#REF!</definedName>
    <definedName name="_____MMM58">#REF!</definedName>
    <definedName name="_____MMM59">#REF!</definedName>
    <definedName name="_____MMM60">#REF!</definedName>
    <definedName name="_____MMM61">#REF!</definedName>
    <definedName name="_____MMM62">#REF!</definedName>
    <definedName name="_____MMM63">#REF!</definedName>
    <definedName name="_____MMM64">#REF!</definedName>
    <definedName name="_____MMM65">#REF!</definedName>
    <definedName name="_____MMM66">#REF!</definedName>
    <definedName name="_____mp1">#REF!</definedName>
    <definedName name="_____Mpk12">#REF!</definedName>
    <definedName name="_____Mpk18">#REF!</definedName>
    <definedName name="_____Mpk9">#REF!</definedName>
    <definedName name="_____MU380">#REF!</definedName>
    <definedName name="_____NCL100">"$#REF!.$#REF!$#REF!"</definedName>
    <definedName name="_____NCL200">"$#REF!.$#REF!$#REF!"</definedName>
    <definedName name="_____NCL250">"$#REF!.$#REF!$#REF!"</definedName>
    <definedName name="_____nin190">"$#REF!.$#REF!$#REF!"</definedName>
    <definedName name="_____nm1">#REF!</definedName>
    <definedName name="_____NSF10">#REF!</definedName>
    <definedName name="_____NSF15">#REF!</definedName>
    <definedName name="_____NYA115">#REF!</definedName>
    <definedName name="_____NYA125">#REF!</definedName>
    <definedName name="_____NYM215">#REF!</definedName>
    <definedName name="_____NYM225">#REF!</definedName>
    <definedName name="_____NYM240">#REF!</definedName>
    <definedName name="_____NYM260">#REF!</definedName>
    <definedName name="_____NYM315">#REF!</definedName>
    <definedName name="_____NYM325">#REF!</definedName>
    <definedName name="_____nym34">#REF!</definedName>
    <definedName name="_____NYM340">#REF!</definedName>
    <definedName name="_____NYM360">#REF!</definedName>
    <definedName name="_____NYM425">#REF!</definedName>
    <definedName name="_____NYM440">#REF!</definedName>
    <definedName name="_____nym46">#REF!</definedName>
    <definedName name="_____NYM460">#REF!</definedName>
    <definedName name="_____NYY240">#REF!</definedName>
    <definedName name="_____nyy2416">#REF!</definedName>
    <definedName name="_____nyy244">#REF!</definedName>
    <definedName name="_____nyy246">#REF!</definedName>
    <definedName name="_____NYY260">#REF!</definedName>
    <definedName name="_____nyy34">#REF!</definedName>
    <definedName name="_____NYY340">#REF!</definedName>
    <definedName name="_____NYY360">#REF!</definedName>
    <definedName name="_____nyy410">#REF!</definedName>
    <definedName name="_____nyy41010">#REF!</definedName>
    <definedName name="_____nyy412050">#REF!</definedName>
    <definedName name="_____nyy412070">#REF!</definedName>
    <definedName name="_____nyy415070">#REF!</definedName>
    <definedName name="_____nyy416">#REF!</definedName>
    <definedName name="_____nyy41616">#REF!</definedName>
    <definedName name="_____nyy42525">#REF!</definedName>
    <definedName name="_____nyy43535">#REF!</definedName>
    <definedName name="_____nyy44">#REF!</definedName>
    <definedName name="_____NYY440">#REF!</definedName>
    <definedName name="_____nyy444">#REF!</definedName>
    <definedName name="_____nyy45050">#REF!</definedName>
    <definedName name="_____nyy46">#REF!</definedName>
    <definedName name="_____NYY460">#REF!</definedName>
    <definedName name="_____nyy466">#REF!</definedName>
    <definedName name="_____nyy47050">#REF!</definedName>
    <definedName name="_____nyy47070">#REF!</definedName>
    <definedName name="_____nyy49570">#REF!</definedName>
    <definedName name="_____Oks14">#REF!</definedName>
    <definedName name="_____Opa1">#REF!</definedName>
    <definedName name="_____Opa2">#REF!</definedName>
    <definedName name="_____PA1">#REF!</definedName>
    <definedName name="_____PA2">#REF!</definedName>
    <definedName name="_____pab100">#REF!</definedName>
    <definedName name="_____pab125">#REF!</definedName>
    <definedName name="_____pab15">#REF!</definedName>
    <definedName name="_____pab150">#REF!</definedName>
    <definedName name="_____pab2">#REF!</definedName>
    <definedName name="_____pab20">#REF!</definedName>
    <definedName name="_____pab25">#REF!</definedName>
    <definedName name="_____pab32">#REF!</definedName>
    <definedName name="_____pab4">#REF!</definedName>
    <definedName name="_____pab40">#REF!</definedName>
    <definedName name="_____pab50">#REF!</definedName>
    <definedName name="_____pab6">#REF!</definedName>
    <definedName name="_____pab65">#REF!</definedName>
    <definedName name="_____pab80">#REF!</definedName>
    <definedName name="_____pah150">#REF!</definedName>
    <definedName name="_____pak100">#REF!</definedName>
    <definedName name="_____pak150">#REF!</definedName>
    <definedName name="_____pak50">#REF!</definedName>
    <definedName name="_____pak80">#REF!</definedName>
    <definedName name="_____paw10">#REF!</definedName>
    <definedName name="_____PAw16">#REF!</definedName>
    <definedName name="_____paw25">#REF!</definedName>
    <definedName name="_____paw40">#REF!</definedName>
    <definedName name="_____paw50">#REF!</definedName>
    <definedName name="_____paw65">#REF!</definedName>
    <definedName name="_____pb1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50">#REF!</definedName>
    <definedName name="_____pc80">#REF!</definedName>
    <definedName name="_____pcf80">#REF!</definedName>
    <definedName name="_____pek1">#REF!</definedName>
    <definedName name="_____pek2">#REF!</definedName>
    <definedName name="_____pek3">#REF!</definedName>
    <definedName name="_____pf18">#REF!</definedName>
    <definedName name="_____ph100">#REF!</definedName>
    <definedName name="_____ph150">#REF!</definedName>
    <definedName name="_____phf100">#REF!</definedName>
    <definedName name="_____phf150">#REF!</definedName>
    <definedName name="_____PJA1">#REF!</definedName>
    <definedName name="_____PJA2">#REF!</definedName>
    <definedName name="_____PJA3">#REF!</definedName>
    <definedName name="_____PJA4">#REF!</definedName>
    <definedName name="_____PJA6">#REF!</definedName>
    <definedName name="_____PL1">#REF!</definedName>
    <definedName name="_____PL2">#REF!</definedName>
    <definedName name="_____PL3">#REF!</definedName>
    <definedName name="_____Plt33">#REF!</definedName>
    <definedName name="_____Plt43">#REF!</definedName>
    <definedName name="_____Pnl36">#REF!</definedName>
    <definedName name="_____po1000">#REF!</definedName>
    <definedName name="_____PRC019">#REF!</definedName>
    <definedName name="_____PRu02">#REF!</definedName>
    <definedName name="_____PRu03">#REF!</definedName>
    <definedName name="_____PRu04">#REF!</definedName>
    <definedName name="_____PRu05">#REF!</definedName>
    <definedName name="_____PRu06">#REF!</definedName>
    <definedName name="_____PRu08">#REF!</definedName>
    <definedName name="_____PRu10">#REF!</definedName>
    <definedName name="_____PRu12">#REF!</definedName>
    <definedName name="_____PRu16">#REF!</definedName>
    <definedName name="_____PSb02">#REF!</definedName>
    <definedName name="_____PSb03">#REF!</definedName>
    <definedName name="_____PSb04">#REF!</definedName>
    <definedName name="_____PSb05">#REF!</definedName>
    <definedName name="_____PSb06">#REF!</definedName>
    <definedName name="_____PSb07">#REF!</definedName>
    <definedName name="_____PSb08">#REF!</definedName>
    <definedName name="_____Psb10">#REF!</definedName>
    <definedName name="_____PSb12">#REF!</definedName>
    <definedName name="_____PSb16">#REF!</definedName>
    <definedName name="_____PSC084">#REF!</definedName>
    <definedName name="_____PsW1">#REF!</definedName>
    <definedName name="_____ptg1">#REF!</definedName>
    <definedName name="_____ptg2">#REF!</definedName>
    <definedName name="_____pv100">#REF!</definedName>
    <definedName name="_____pv40">#REF!</definedName>
    <definedName name="_____pv50">#REF!</definedName>
    <definedName name="_____pv80">#REF!</definedName>
    <definedName name="_____pvc1">#REF!</definedName>
    <definedName name="_____pvc100">#REF!</definedName>
    <definedName name="_____pvc150">#REF!</definedName>
    <definedName name="_____PVC2">#REF!</definedName>
    <definedName name="_____pvc20">#REF!</definedName>
    <definedName name="_____pvc200">#REF!</definedName>
    <definedName name="_____pvc25">#REF!</definedName>
    <definedName name="_____PVC3">#REF!</definedName>
    <definedName name="_____pvc32">#REF!</definedName>
    <definedName name="_____PVC4">#REF!</definedName>
    <definedName name="_____pvc40">#REF!</definedName>
    <definedName name="_____pvc50">#REF!</definedName>
    <definedName name="_____PVC6">#REF!</definedName>
    <definedName name="_____pvc65">#REF!</definedName>
    <definedName name="_____PVC8">#REF!</definedName>
    <definedName name="_____pvc80">#REF!</definedName>
    <definedName name="_____pvf100">#REF!</definedName>
    <definedName name="_____pvf80">#REF!</definedName>
    <definedName name="_____PW1">#REF!</definedName>
    <definedName name="_____PW2">#REF!</definedName>
    <definedName name="_____Pwd18">#REF!</definedName>
    <definedName name="_____qmd15">#REF!</definedName>
    <definedName name="_____qmd20">#REF!</definedName>
    <definedName name="_____rdd100">#REF!</definedName>
    <definedName name="_____rdd150">#REF!</definedName>
    <definedName name="_____ReB23">#REF!</definedName>
    <definedName name="_____Rek23">#REF!</definedName>
    <definedName name="_____Rek34">#REF!</definedName>
    <definedName name="_____RFj05">#REF!</definedName>
    <definedName name="_____RFj10">#REF!</definedName>
    <definedName name="_____rk100">#REF!</definedName>
    <definedName name="_____rk150">#REF!</definedName>
    <definedName name="_____rk200">#REF!</definedName>
    <definedName name="_____rk300">#REF!</definedName>
    <definedName name="_____rk400">#REF!</definedName>
    <definedName name="_____rk5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m175">#REF!</definedName>
    <definedName name="_____Rm225">#REF!</definedName>
    <definedName name="_____Rm375">#REF!</definedName>
    <definedName name="_____Rol06">#REF!</definedName>
    <definedName name="_____Rol10">#REF!</definedName>
    <definedName name="_____SBr01">#REF!</definedName>
    <definedName name="_____SBr02">#REF!</definedName>
    <definedName name="_____sc1">"$#REF!.$H$6"</definedName>
    <definedName name="_____SC2">"$#REF!.$H$9"</definedName>
    <definedName name="_____sc3">"$#REF!.$H$56"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fv150">#REF!</definedName>
    <definedName name="_____SJd01">#REF!</definedName>
    <definedName name="_____SlP25">#REF!</definedName>
    <definedName name="_____sn1020">#REF!</definedName>
    <definedName name="_____SN3">"$#REF!.$#REF!$#REF!"</definedName>
    <definedName name="_____Spl02">#REF!</definedName>
    <definedName name="_____Spl03">#REF!</definedName>
    <definedName name="_____Spl04">#REF!</definedName>
    <definedName name="_____Spl05">#REF!</definedName>
    <definedName name="_____Spl12">#REF!</definedName>
    <definedName name="_____Spl23">#REF!</definedName>
    <definedName name="_____Spl35">#REF!</definedName>
    <definedName name="_____Spl57">#REF!</definedName>
    <definedName name="_____Spt02">#REF!</definedName>
    <definedName name="_____Spt06">#REF!</definedName>
    <definedName name="_____Spt10">#REF!</definedName>
    <definedName name="_____std100">#REF!</definedName>
    <definedName name="_____std150">#REF!</definedName>
    <definedName name="_____std50">#REF!</definedName>
    <definedName name="_____std65">#REF!</definedName>
    <definedName name="_____StK03">#REF!</definedName>
    <definedName name="_____StK04">#REF!</definedName>
    <definedName name="_____StK06">#REF!</definedName>
    <definedName name="_____StK08">#REF!</definedName>
    <definedName name="_____StK10">#REF!</definedName>
    <definedName name="_____StK12">#REF!</definedName>
    <definedName name="_____SUM1">#REF!</definedName>
    <definedName name="_____SUM2">#REF!</definedName>
    <definedName name="_____SUM3">#REF!</definedName>
    <definedName name="_____Tbb1">#REF!</definedName>
    <definedName name="_____Tbb2">#REF!</definedName>
    <definedName name="_____Tbs1">#REF!</definedName>
    <definedName name="_____Tbs2">#REF!</definedName>
    <definedName name="_____Tbt1">#REF!</definedName>
    <definedName name="_____Tbt2">#REF!</definedName>
    <definedName name="_____TCa1">#REF!</definedName>
    <definedName name="_____Tca2">#REF!</definedName>
    <definedName name="_____Tfp22">#REF!</definedName>
    <definedName name="_____Tfw22">#REF!</definedName>
    <definedName name="_____Tgb33">#REF!</definedName>
    <definedName name="_____tgl1">#REF!</definedName>
    <definedName name="_____Tgp22">#REF!</definedName>
    <definedName name="_____Tgp33">#REF!</definedName>
    <definedName name="_____Tgw22">#REF!</definedName>
    <definedName name="_____Tgw33">#REF!</definedName>
    <definedName name="_____th100">NA()</definedName>
    <definedName name="_____TH160">NA()</definedName>
    <definedName name="_____THP2">STOP:STOPE</definedName>
    <definedName name="_____Tky1">#REF!</definedName>
    <definedName name="_____Tky2">#REF!</definedName>
    <definedName name="_____TL1">"$#REF!.$C$6"</definedName>
    <definedName name="_____TL2">"$#REF!.$D$6"</definedName>
    <definedName name="_____TL3">"$#REF!.$#REF!$#REF!"</definedName>
    <definedName name="_____TLA120">"$#REF!.$B$23"</definedName>
    <definedName name="_____TLA35">"$#REF!.$B$27"</definedName>
    <definedName name="_____TLA50">"$#REF!.$B$26"</definedName>
    <definedName name="_____TLA70">"$#REF!.$B$25"</definedName>
    <definedName name="_____TLA95">"$#REF!.$B$24"</definedName>
    <definedName name="_____tlc20">#REF!</definedName>
    <definedName name="_____Tlk04">#REF!</definedName>
    <definedName name="_____Tlk05">#REF!</definedName>
    <definedName name="_____Tlk06">#REF!</definedName>
    <definedName name="_____Tlk07">#REF!</definedName>
    <definedName name="_____TlP20">#REF!</definedName>
    <definedName name="_____Tlp40">#REF!</definedName>
    <definedName name="_____TOP2">#REF!</definedName>
    <definedName name="_____tp30">#REF!</definedName>
    <definedName name="_____tp40">#REF!</definedName>
    <definedName name="_____Tpk03">#REF!</definedName>
    <definedName name="_____Tpk04">#REF!</definedName>
    <definedName name="_____Tpk06">#REF!</definedName>
    <definedName name="_____Tpk09">#REF!</definedName>
    <definedName name="_____TPp12">#REF!</definedName>
    <definedName name="_____TPp13">#REF!</definedName>
    <definedName name="_____TPw12">#REF!</definedName>
    <definedName name="_____TPw13">#REF!</definedName>
    <definedName name="_____TR250">NA()</definedName>
    <definedName name="_____tr375">NA()</definedName>
    <definedName name="_____tsv25">#REF!</definedName>
    <definedName name="_____tv14">#REF!</definedName>
    <definedName name="_____Twd03">#REF!</definedName>
    <definedName name="_____Twd04">#REF!</definedName>
    <definedName name="_____Twd09">#REF!</definedName>
    <definedName name="_____uls60">#REF!</definedName>
    <definedName name="_____UPA100">NA()</definedName>
    <definedName name="_____Vib01">#REF!</definedName>
    <definedName name="_____Vib07">#REF!</definedName>
    <definedName name="_____VL100">"$#REF!.$#REF!$#REF!"</definedName>
    <definedName name="_____VL200">"$#REF!.$#REF!$#REF!"</definedName>
    <definedName name="_____VL250">"$#REF!.$#REF!$#REF!"</definedName>
    <definedName name="_____vnt100">#REF!</definedName>
    <definedName name="_____vnt40">#REF!</definedName>
    <definedName name="_____vnt50">#REF!</definedName>
    <definedName name="_____vnt80">#REF!</definedName>
    <definedName name="_____WM420">#REF!</definedName>
    <definedName name="_____Wmr02">#REF!</definedName>
    <definedName name="_____WPS10">#REF!</definedName>
    <definedName name="_____WPS15">#REF!</definedName>
    <definedName name="_____WPS25">#REF!</definedName>
    <definedName name="_____WPS45">#REF!</definedName>
    <definedName name="____AAD3">HAJIME:OWARI</definedName>
    <definedName name="____abb91">NA()</definedName>
    <definedName name="____abs100">#REF!</definedName>
    <definedName name="____Act15">#REF!</definedName>
    <definedName name="____ADD2">STOP:STOPE</definedName>
    <definedName name="____ADD3">STOP:STOPE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na1">#REF!</definedName>
    <definedName name="____ana10">#REF!</definedName>
    <definedName name="____ana100">#REF!</definedName>
    <definedName name="____ana101">#REF!</definedName>
    <definedName name="____ana102">#REF!</definedName>
    <definedName name="____ana103">#REF!</definedName>
    <definedName name="____ana104">#REF!</definedName>
    <definedName name="____ana105">#REF!</definedName>
    <definedName name="____ana106">#REF!</definedName>
    <definedName name="____ana107">#REF!</definedName>
    <definedName name="____ana108">#REF!</definedName>
    <definedName name="____ana109">#REF!</definedName>
    <definedName name="____ana11">#REF!</definedName>
    <definedName name="____ana110">#REF!</definedName>
    <definedName name="____ana111">#REF!</definedName>
    <definedName name="____ana112">#REF!</definedName>
    <definedName name="____ana113">#REF!</definedName>
    <definedName name="____ana114">#REF!</definedName>
    <definedName name="____ana115">#REF!</definedName>
    <definedName name="____ana116">#REF!</definedName>
    <definedName name="____ana117">#REF!</definedName>
    <definedName name="____ana118">#REF!</definedName>
    <definedName name="____ana119">#REF!</definedName>
    <definedName name="____ana12">#REF!</definedName>
    <definedName name="____ana120">#REF!</definedName>
    <definedName name="____ana121">#REF!</definedName>
    <definedName name="____ana122">#REF!</definedName>
    <definedName name="____ana123">#REF!</definedName>
    <definedName name="____ana124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1">#REF!</definedName>
    <definedName name="____ana22">#REF!</definedName>
    <definedName name="____ana23">#REF!</definedName>
    <definedName name="____ana24">#REF!</definedName>
    <definedName name="____ana25">#REF!</definedName>
    <definedName name="____ana26">#REF!</definedName>
    <definedName name="____ana27">#REF!</definedName>
    <definedName name="____ana28">#REF!</definedName>
    <definedName name="____ana29">#REF!</definedName>
    <definedName name="____ana3">#REF!</definedName>
    <definedName name="____ana30">#REF!</definedName>
    <definedName name="____ana31">#REF!</definedName>
    <definedName name="____ana32">#REF!</definedName>
    <definedName name="____ana33">#REF!</definedName>
    <definedName name="____ana34">#REF!</definedName>
    <definedName name="____ana35">#REF!</definedName>
    <definedName name="____ana36">#REF!</definedName>
    <definedName name="____ana37">#REF!</definedName>
    <definedName name="____ana38">#REF!</definedName>
    <definedName name="____ana39">#REF!</definedName>
    <definedName name="____ana4">#REF!</definedName>
    <definedName name="____ana40">#REF!</definedName>
    <definedName name="____ana41">#REF!</definedName>
    <definedName name="____ana42">#REF!</definedName>
    <definedName name="____ana43">#REF!</definedName>
    <definedName name="____ana44">#REF!</definedName>
    <definedName name="____ana45">#REF!</definedName>
    <definedName name="____ana46">#REF!</definedName>
    <definedName name="____ana47">#REF!</definedName>
    <definedName name="____ana48">#REF!</definedName>
    <definedName name="____ana49">#REF!</definedName>
    <definedName name="____ana5">#REF!</definedName>
    <definedName name="____ana50">#REF!</definedName>
    <definedName name="____ana51">#REF!</definedName>
    <definedName name="____ana52">#REF!</definedName>
    <definedName name="____ana53">#REF!</definedName>
    <definedName name="____ana54">#REF!</definedName>
    <definedName name="____ana55">#REF!</definedName>
    <definedName name="____ana56">#REF!</definedName>
    <definedName name="____ana57">#REF!</definedName>
    <definedName name="____ana58">#REF!</definedName>
    <definedName name="____ana59">#REF!</definedName>
    <definedName name="____ana6">#REF!</definedName>
    <definedName name="____ana60">#REF!</definedName>
    <definedName name="____ana61">#REF!</definedName>
    <definedName name="____ana62">#REF!</definedName>
    <definedName name="____ana63">#REF!</definedName>
    <definedName name="____ana64">#REF!</definedName>
    <definedName name="____ana65">#REF!</definedName>
    <definedName name="____ana66">#REF!</definedName>
    <definedName name="____ana67">#REF!</definedName>
    <definedName name="____ana68">#REF!</definedName>
    <definedName name="____ana69">#REF!</definedName>
    <definedName name="____ana7">#REF!</definedName>
    <definedName name="____ana70">#REF!</definedName>
    <definedName name="____ana71">#REF!</definedName>
    <definedName name="____ana72">#REF!</definedName>
    <definedName name="____ana73">#REF!</definedName>
    <definedName name="____ana74">#REF!</definedName>
    <definedName name="____ana75">#REF!</definedName>
    <definedName name="____ana76">#REF!</definedName>
    <definedName name="____ana77">#REF!</definedName>
    <definedName name="____ana78">#REF!</definedName>
    <definedName name="____ana79">#REF!</definedName>
    <definedName name="____ana80">#REF!</definedName>
    <definedName name="____ana81">#REF!</definedName>
    <definedName name="____ana82">#REF!</definedName>
    <definedName name="____ana83">#REF!</definedName>
    <definedName name="____ana84">#REF!</definedName>
    <definedName name="____ana85">#REF!</definedName>
    <definedName name="____ana86">#REF!</definedName>
    <definedName name="____ana87">#REF!</definedName>
    <definedName name="____ana88">#REF!</definedName>
    <definedName name="____ana89">#REF!</definedName>
    <definedName name="____ana9">#REF!</definedName>
    <definedName name="____ana90">#REF!</definedName>
    <definedName name="____ana91">#REF!</definedName>
    <definedName name="____ana92">#REF!</definedName>
    <definedName name="____ana93">#REF!</definedName>
    <definedName name="____ana94">#REF!</definedName>
    <definedName name="____ana95">#REF!</definedName>
    <definedName name="____ana96">#REF!</definedName>
    <definedName name="____ana97">#REF!</definedName>
    <definedName name="____ana98">#REF!</definedName>
    <definedName name="____ana99">#REF!</definedName>
    <definedName name="____aru1">#REF!</definedName>
    <definedName name="____Bal20">#REF!</definedName>
    <definedName name="____Bal40">#REF!</definedName>
    <definedName name="____Bar30">#REF!</definedName>
    <definedName name="____bcv100">#REF!</definedName>
    <definedName name="____bcv125">#REF!</definedName>
    <definedName name="____bcv150">#REF!</definedName>
    <definedName name="____bes24">#REF!</definedName>
    <definedName name="____bes39">#REF!</definedName>
    <definedName name="____bet350">#REF!</definedName>
    <definedName name="____bet400">#REF!</definedName>
    <definedName name="____BFG66">#REF!</definedName>
    <definedName name="____Bjl28">#REF!</definedName>
    <definedName name="____Bjl30">#REF!</definedName>
    <definedName name="____Bmb10">#REF!</definedName>
    <definedName name="____Bmb57">#REF!</definedName>
    <definedName name="____BOX2">#REF!</definedName>
    <definedName name="____Bpl02">#REF!</definedName>
    <definedName name="____Bpl06">#REF!</definedName>
    <definedName name="____Bpl10">#REF!</definedName>
    <definedName name="____bpl32">#REF!</definedName>
    <definedName name="____bpl9">#REF!</definedName>
    <definedName name="____bsd1600">#REF!</definedName>
    <definedName name="____bsd2500">#REF!</definedName>
    <definedName name="____bsd4000">#REF!</definedName>
    <definedName name="____BSP3">#REF!</definedName>
    <definedName name="____BSP4">#REF!</definedName>
    <definedName name="____BSP5">#REF!</definedName>
    <definedName name="____BSP6">#REF!</definedName>
    <definedName name="____BSP8">#REF!</definedName>
    <definedName name="____Bsq24">#REF!</definedName>
    <definedName name="____Bsq33">#REF!</definedName>
    <definedName name="____Bsq44">#REF!</definedName>
    <definedName name="____btg1">#REF!</definedName>
    <definedName name="____btg2">#REF!</definedName>
    <definedName name="____btg3">#REF!</definedName>
    <definedName name="____BTr34">#REF!</definedName>
    <definedName name="____Btr66">#REF!</definedName>
    <definedName name="____Bub20">#REF!</definedName>
    <definedName name="____Bub30">#REF!</definedName>
    <definedName name="____Bub40">#REF!</definedName>
    <definedName name="____Bub50">#REF!</definedName>
    <definedName name="____Bub60">#REF!</definedName>
    <definedName name="____Bub80">#REF!</definedName>
    <definedName name="____bud3500">#REF!</definedName>
    <definedName name="____C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N15">#REF!</definedName>
    <definedName name="____cas80">#REF!</definedName>
    <definedName name="____cat1">#REF!</definedName>
    <definedName name="____cat2">#REF!</definedName>
    <definedName name="____cat3">#REF!</definedName>
    <definedName name="____cbr30">#REF!</definedName>
    <definedName name="____cbr80">#REF!</definedName>
    <definedName name="____CDs34">#REF!</definedName>
    <definedName name="____CFP2">#REF!</definedName>
    <definedName name="____cle10">#REF!</definedName>
    <definedName name="____cle65">#REF!</definedName>
    <definedName name="____cod50">#REF!</definedName>
    <definedName name="____cor1">#REF!</definedName>
    <definedName name="____CT250">NA()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Cvv02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dn400">"$#REF!.$F$47"</definedName>
    <definedName name="____ddn600">"$#REF!.$F$33"</definedName>
    <definedName name="____dgt100">NA()</definedName>
    <definedName name="____dia6">#REF!</definedName>
    <definedName name="____dlh20">#REF!</definedName>
    <definedName name="____dlh50">#REF!</definedName>
    <definedName name="____Dlk10">#REF!</definedName>
    <definedName name="____Dlk57">#REF!</definedName>
    <definedName name="____DlS25">#REF!</definedName>
    <definedName name="____Dnp02">#REF!</definedName>
    <definedName name="____DTr35">#REF!</definedName>
    <definedName name="____DTr50">#REF!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ee34">#REF!</definedName>
    <definedName name="____EEE35">#REF!</definedName>
    <definedName name="____EEE36">#REF!</definedName>
    <definedName name="____EEE37">#REF!</definedName>
    <definedName name="____EEE38">#REF!</definedName>
    <definedName name="____EEE39">#REF!</definedName>
    <definedName name="____Eqp1">#REF!</definedName>
    <definedName name="____Eqp2">#REF!</definedName>
    <definedName name="____faw10">#REF!</definedName>
    <definedName name="____faw65">#REF!</definedName>
    <definedName name="____fcp1">#REF!</definedName>
    <definedName name="____fdd100">#REF!</definedName>
    <definedName name="____Fdr01">#REF!</definedName>
    <definedName name="____Fdr02">#REF!</definedName>
    <definedName name="____fjd100">#REF!</definedName>
    <definedName name="____fjd150">#REF!</definedName>
    <definedName name="____fjd50">#REF!</definedName>
    <definedName name="____fjd65">#REF!</definedName>
    <definedName name="____flo40">#REF!</definedName>
    <definedName name="____fmd150">#REF!</definedName>
    <definedName name="____frc2495">#REF!</definedName>
    <definedName name="____frc41010">#REF!</definedName>
    <definedName name="____frc495">#REF!</definedName>
    <definedName name="____fvd100">#REF!</definedName>
    <definedName name="____gat50">#REF!</definedName>
    <definedName name="____GBl22">#REF!</definedName>
    <definedName name="____Gfu20">#REF!</definedName>
    <definedName name="____Gfu30">#REF!</definedName>
    <definedName name="____Gfu40">#REF!</definedName>
    <definedName name="____GID1">"'file:///d:/project/energyhouse2/energyhouse2-mainkontraktor/energyhouse2-mainkontraktor-tender/energyhouse2-mainkontraktor-tender-boq/misc/congviec/tam.xls'#$'lkvl-ck-ht-gd1'.$a$4"</definedName>
    <definedName name="____GiM02">#REF!</definedName>
    <definedName name="____GiM03">#REF!</definedName>
    <definedName name="____GiM04">#REF!</definedName>
    <definedName name="____GiM05">#REF!</definedName>
    <definedName name="____GiM06">#REF!</definedName>
    <definedName name="____GiM08">#REF!</definedName>
    <definedName name="____GiM10">#REF!</definedName>
    <definedName name="____GiM12">#REF!</definedName>
    <definedName name="____GiM16">#REF!</definedName>
    <definedName name="____GIP1">#REF!</definedName>
    <definedName name="____gip15">#REF!</definedName>
    <definedName name="____GIP2">#REF!</definedName>
    <definedName name="____gip20">#REF!</definedName>
    <definedName name="____gip25">#REF!</definedName>
    <definedName name="____GIP3">#REF!</definedName>
    <definedName name="____gip32">#REF!</definedName>
    <definedName name="____GIP4">#REF!</definedName>
    <definedName name="____gip40">#REF!</definedName>
    <definedName name="____gip50">#REF!</definedName>
    <definedName name="____GiS02">#REF!</definedName>
    <definedName name="____GiS03">#REF!</definedName>
    <definedName name="____GiS04">#REF!</definedName>
    <definedName name="____GiS05">#REF!</definedName>
    <definedName name="____GiS06">#REF!</definedName>
    <definedName name="____GiS07">#REF!</definedName>
    <definedName name="____GiS08">#REF!</definedName>
    <definedName name="____GiS10">#REF!</definedName>
    <definedName name="____GiS12">#REF!</definedName>
    <definedName name="____GiS16">#REF!</definedName>
    <definedName name="____gk2" hidden="1">#REF!</definedName>
    <definedName name="____GNB1">#REF!</definedName>
    <definedName name="____GNB2">#REF!</definedName>
    <definedName name="____gra6060">#REF!</definedName>
    <definedName name="____grc1">#REF!</definedName>
    <definedName name="____grc6">#REF!</definedName>
    <definedName name="____grc8">#REF!</definedName>
    <definedName name="____Grn46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0">#REF!</definedName>
    <definedName name="____gvd25">#REF!</definedName>
    <definedName name="____gvd32">#REF!</definedName>
    <definedName name="____gvd40">#REF!</definedName>
    <definedName name="____gvd50">#REF!</definedName>
    <definedName name="____gvd65">#REF!</definedName>
    <definedName name="____gvd80">#REF!</definedName>
    <definedName name="____GVv02">#REF!</definedName>
    <definedName name="____gyf9">#REF!</definedName>
    <definedName name="____gyp9">#REF!</definedName>
    <definedName name="____hdw1">#REF!</definedName>
    <definedName name="____HHH01">#REF!</definedName>
    <definedName name="____Hot10">#REF!</definedName>
    <definedName name="____Hot15">#REF!</definedName>
    <definedName name="____Hot20">#REF!</definedName>
    <definedName name="____Hot25">#REF!</definedName>
    <definedName name="____hpc2">#REF!</definedName>
    <definedName name="____IMB01">#REF!</definedName>
    <definedName name="____iv65655">#REF!</definedName>
    <definedName name="____jab1">#REF!</definedName>
    <definedName name="____JUM1">NA()</definedName>
    <definedName name="____JUM10">"$#REF!.$N$2493"</definedName>
    <definedName name="____JUM11">"$#REF!.$N$2502"</definedName>
    <definedName name="____JUM2">NA()</definedName>
    <definedName name="____JUM3">NA()</definedName>
    <definedName name="____JUM6">"$#REF!.$N$2433"</definedName>
    <definedName name="____JUM7">"$#REF!.$N$2463"</definedName>
    <definedName name="____JUM8">"$#REF!.$N$2479"</definedName>
    <definedName name="____JUM9">"$#REF!.$N$2484"</definedName>
    <definedName name="____k100123">#REF!</definedName>
    <definedName name="____KAn13">#REF!</definedName>
    <definedName name="____KAw13">#REF!</definedName>
    <definedName name="____kco7">#REF!</definedName>
    <definedName name="____ker1020">#REF!</definedName>
    <definedName name="____ker1030">#REF!</definedName>
    <definedName name="____ker2020">#REF!</definedName>
    <definedName name="____ker2530">#REF!</definedName>
    <definedName name="____ker3030">#REF!</definedName>
    <definedName name="____ker3333">#REF!</definedName>
    <definedName name="____kht20">#REF!</definedName>
    <definedName name="____kht40">#REF!</definedName>
    <definedName name="____kht50">#REF!</definedName>
    <definedName name="____kl2">#REF!</definedName>
    <definedName name="____kl3">#REF!</definedName>
    <definedName name="____KLc88">#REF!</definedName>
    <definedName name="____kof1">#REF!</definedName>
    <definedName name="____Kpp12">#REF!</definedName>
    <definedName name="____Kpp13">#REF!</definedName>
    <definedName name="____KR1">#REF!</definedName>
    <definedName name="____kr15">#REF!</definedName>
    <definedName name="____KR22">#REF!</definedName>
    <definedName name="____KR6">#REF!</definedName>
    <definedName name="____KR7">#REF!</definedName>
    <definedName name="____KR8">#REF!</definedName>
    <definedName name="____KR9">#REF!</definedName>
    <definedName name="____KrB02">#REF!</definedName>
    <definedName name="____KrB03">#REF!</definedName>
    <definedName name="____KrK02">#REF!</definedName>
    <definedName name="____Krk03">#REF!</definedName>
    <definedName name="____Krk04">#REF!</definedName>
    <definedName name="____Krp12">#REF!</definedName>
    <definedName name="____Krp22">#REF!</definedName>
    <definedName name="____Krp33">#REF!</definedName>
    <definedName name="____KrS02">#REF!</definedName>
    <definedName name="____KrS03">#REF!</definedName>
    <definedName name="____Krw12">#REF!</definedName>
    <definedName name="____Krw22">#REF!</definedName>
    <definedName name="____Krw33">#REF!</definedName>
    <definedName name="____Lad1">#REF!</definedName>
    <definedName name="____Lad2">#REF!</definedName>
    <definedName name="____Lad3">#REF!</definedName>
    <definedName name="____ldp60">#REF!</definedName>
    <definedName name="____lh50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G15">#REF!</definedName>
    <definedName name="____Lpk01">#REF!</definedName>
    <definedName name="____Lpk02">#REF!</definedName>
    <definedName name="____Lpk04">#REF!</definedName>
    <definedName name="____Lpk05">#REF!</definedName>
    <definedName name="____Lpk10">#REF!</definedName>
    <definedName name="____lpl11">#REF!</definedName>
    <definedName name="____MAC12">"$#REF!.$H$6"</definedName>
    <definedName name="____MAC46">"$#REF!.$H$61"</definedName>
    <definedName name="____MB867">#REF!</definedName>
    <definedName name="____mbe12">#REF!</definedName>
    <definedName name="____MBW867">#REF!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r80">#REF!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MM57">#REF!</definedName>
    <definedName name="____MMM58">#REF!</definedName>
    <definedName name="____MMM59">#REF!</definedName>
    <definedName name="____MMM60">#REF!</definedName>
    <definedName name="____MMM61">#REF!</definedName>
    <definedName name="____MMM62">#REF!</definedName>
    <definedName name="____MMM63">#REF!</definedName>
    <definedName name="____MMM64">#REF!</definedName>
    <definedName name="____MMM65">#REF!</definedName>
    <definedName name="____MMM66">#REF!</definedName>
    <definedName name="____mp1">#REF!</definedName>
    <definedName name="____Mpk12">#REF!</definedName>
    <definedName name="____Mpk18">#REF!</definedName>
    <definedName name="____Mpk9">#REF!</definedName>
    <definedName name="____MU1">#REF!</definedName>
    <definedName name="____MU300">"$#REF!.$G$169"</definedName>
    <definedName name="____MU301">#REF!</definedName>
    <definedName name="____MU380">"$#REF!.$G$171"</definedName>
    <definedName name="____MU400">#REF!</definedName>
    <definedName name="____MU440">#REF!</definedName>
    <definedName name="____MU450">#REF!</definedName>
    <definedName name="____NCL100">"$#REF!.$#REF!$#REF!"</definedName>
    <definedName name="____NCL200">"$#REF!.$#REF!$#REF!"</definedName>
    <definedName name="____NCL250">"$#REF!.$#REF!$#REF!"</definedName>
    <definedName name="____new5">HAJIME:OWARI</definedName>
    <definedName name="____nin190">"$#REF!.$#REF!$#REF!"</definedName>
    <definedName name="____nm1">#REF!</definedName>
    <definedName name="____NSF10">#REF!</definedName>
    <definedName name="____NSF15">#REF!</definedName>
    <definedName name="____NYA115">#REF!</definedName>
    <definedName name="____NYA125">#REF!</definedName>
    <definedName name="____NYM215">#REF!</definedName>
    <definedName name="____NYM225">#REF!</definedName>
    <definedName name="____NYM240">#REF!</definedName>
    <definedName name="____NYM260">#REF!</definedName>
    <definedName name="____NYM315">#REF!</definedName>
    <definedName name="____NYM325">#REF!</definedName>
    <definedName name="____nym34">#REF!</definedName>
    <definedName name="____NYM340">#REF!</definedName>
    <definedName name="____NYM360">#REF!</definedName>
    <definedName name="____NYM425">#REF!</definedName>
    <definedName name="____NYM440">#REF!</definedName>
    <definedName name="____nym46">#REF!</definedName>
    <definedName name="____NYM460">#REF!</definedName>
    <definedName name="____NYY240">#REF!</definedName>
    <definedName name="____nyy2416">#REF!</definedName>
    <definedName name="____nyy244">#REF!</definedName>
    <definedName name="____nyy246">#REF!</definedName>
    <definedName name="____NYY260">#REF!</definedName>
    <definedName name="____nyy34">#REF!</definedName>
    <definedName name="____NYY340">#REF!</definedName>
    <definedName name="____NYY360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0">#REF!</definedName>
    <definedName name="____nyy444">#REF!</definedName>
    <definedName name="____nyy45050">#REF!</definedName>
    <definedName name="____nyy46">#REF!</definedName>
    <definedName name="____NYY460">#REF!</definedName>
    <definedName name="____nyy466">#REF!</definedName>
    <definedName name="____nyy47050">#REF!</definedName>
    <definedName name="____nyy47070">#REF!</definedName>
    <definedName name="____nyy49570">#REF!</definedName>
    <definedName name="____Oks14">#REF!</definedName>
    <definedName name="____Opa1">#REF!</definedName>
    <definedName name="____Opa2">#REF!</definedName>
    <definedName name="____PA1">#REF!</definedName>
    <definedName name="____PA2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aw10">#REF!</definedName>
    <definedName name="____PAw16">#REF!</definedName>
    <definedName name="____paw25">#REF!</definedName>
    <definedName name="____paw40">#REF!</definedName>
    <definedName name="____paw50">#REF!</definedName>
    <definedName name="____paw65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50">#REF!</definedName>
    <definedName name="____pc80">#REF!</definedName>
    <definedName name="____pcf80">#REF!</definedName>
    <definedName name="____pek1">#REF!</definedName>
    <definedName name="____pek2">#REF!</definedName>
    <definedName name="____pek3">#REF!</definedName>
    <definedName name="____pf18">#REF!</definedName>
    <definedName name="____ph100">#REF!</definedName>
    <definedName name="____ph150">#REF!</definedName>
    <definedName name="____phf100">#REF!</definedName>
    <definedName name="____phf150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L1">#REF!</definedName>
    <definedName name="____PL2">#REF!</definedName>
    <definedName name="____PL3">#REF!</definedName>
    <definedName name="____Plt33">#REF!</definedName>
    <definedName name="____Plt43">#REF!</definedName>
    <definedName name="____Pnl36">#REF!</definedName>
    <definedName name="____po1000">#REF!</definedName>
    <definedName name="____PRC019">#REF!</definedName>
    <definedName name="____PRu02">#REF!</definedName>
    <definedName name="____PRu03">#REF!</definedName>
    <definedName name="____PRu04">#REF!</definedName>
    <definedName name="____PRu05">#REF!</definedName>
    <definedName name="____PRu06">#REF!</definedName>
    <definedName name="____PRu08">#REF!</definedName>
    <definedName name="____PRu10">#REF!</definedName>
    <definedName name="____PRu12">#REF!</definedName>
    <definedName name="____PRu16">#REF!</definedName>
    <definedName name="____PSb02">#REF!</definedName>
    <definedName name="____PSb03">#REF!</definedName>
    <definedName name="____PSb04">#REF!</definedName>
    <definedName name="____PSb05">#REF!</definedName>
    <definedName name="____PSb06">#REF!</definedName>
    <definedName name="____PSb07">#REF!</definedName>
    <definedName name="____PSb08">#REF!</definedName>
    <definedName name="____Psb10">#REF!</definedName>
    <definedName name="____PSb12">#REF!</definedName>
    <definedName name="____PSb16">#REF!</definedName>
    <definedName name="____PSC084">#REF!</definedName>
    <definedName name="____PsW1">#REF!</definedName>
    <definedName name="____ptg1">#REF!</definedName>
    <definedName name="____ptg2">#REF!</definedName>
    <definedName name="____pv100">#REF!</definedName>
    <definedName name="____pv40">#REF!</definedName>
    <definedName name="____pv50">#REF!</definedName>
    <definedName name="____pv80">#REF!</definedName>
    <definedName name="____PVC1">#REF!</definedName>
    <definedName name="____pvc100">#REF!</definedName>
    <definedName name="____pvc150">#REF!</definedName>
    <definedName name="____PVC2">#REF!</definedName>
    <definedName name="____pvc20">#REF!</definedName>
    <definedName name="____pvc200">#REF!</definedName>
    <definedName name="____pvc25">#REF!</definedName>
    <definedName name="____PVC3">#REF!</definedName>
    <definedName name="____pvc32">#REF!</definedName>
    <definedName name="____PVC4">#REF!</definedName>
    <definedName name="____pvc40">#REF!</definedName>
    <definedName name="____pvc50">#REF!</definedName>
    <definedName name="____PVC6">#REF!</definedName>
    <definedName name="____pvc65">#REF!</definedName>
    <definedName name="____PVC8">#REF!</definedName>
    <definedName name="____pvc80">#REF!</definedName>
    <definedName name="____pvf100">#REF!</definedName>
    <definedName name="____pvf80">#REF!</definedName>
    <definedName name="____PW1">#REF!</definedName>
    <definedName name="____PW2">#REF!</definedName>
    <definedName name="____Pwd18">#REF!</definedName>
    <definedName name="____qmd15">#REF!</definedName>
    <definedName name="____qmd20">#REF!</definedName>
    <definedName name="____rdd100">#REF!</definedName>
    <definedName name="____rdd150">#REF!</definedName>
    <definedName name="____ReB23">#REF!</definedName>
    <definedName name="____Rek23">#REF!</definedName>
    <definedName name="____Rek34">#REF!</definedName>
    <definedName name="____RFj05">#REF!</definedName>
    <definedName name="____RFj10">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m175">#REF!</definedName>
    <definedName name="____Rm225">#REF!</definedName>
    <definedName name="____Rm375">#REF!</definedName>
    <definedName name="____Rol06">#REF!</definedName>
    <definedName name="____Rol10">#REF!</definedName>
    <definedName name="____SBr01">#REF!</definedName>
    <definedName name="____SBr02">#REF!</definedName>
    <definedName name="____sc1">"$#REF!.$H$6"</definedName>
    <definedName name="____SC2">"$#REF!.$H$9"</definedName>
    <definedName name="____sc3">"$#REF!.$H$56"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Jd01">#REF!</definedName>
    <definedName name="____SlP25">#REF!</definedName>
    <definedName name="____sn1020">#REF!</definedName>
    <definedName name="____SN3">"$#REF!.$#REF!$#REF!"</definedName>
    <definedName name="____Spl02">#REF!</definedName>
    <definedName name="____Spl03">#REF!</definedName>
    <definedName name="____Spl04">#REF!</definedName>
    <definedName name="____Spl05">#REF!</definedName>
    <definedName name="____Spl12">#REF!</definedName>
    <definedName name="____Spl23">#REF!</definedName>
    <definedName name="____Spl35">#REF!</definedName>
    <definedName name="____Spl57">#REF!</definedName>
    <definedName name="____Spt02">#REF!</definedName>
    <definedName name="____Spt06">#REF!</definedName>
    <definedName name="____Spt10">#REF!</definedName>
    <definedName name="____std100">#REF!</definedName>
    <definedName name="____std150">#REF!</definedName>
    <definedName name="____std50">#REF!</definedName>
    <definedName name="____std65">#REF!</definedName>
    <definedName name="____StK03">#REF!</definedName>
    <definedName name="____StK04">#REF!</definedName>
    <definedName name="____StK06">#REF!</definedName>
    <definedName name="____StK08">#REF!</definedName>
    <definedName name="____StK10">#REF!</definedName>
    <definedName name="____StK12">#REF!</definedName>
    <definedName name="____str94">#REF!</definedName>
    <definedName name="____SUM1">#REF!</definedName>
    <definedName name="____SUM2">#REF!</definedName>
    <definedName name="____SUM3">#REF!</definedName>
    <definedName name="____Tbb1">#REF!</definedName>
    <definedName name="____Tbb2">#REF!</definedName>
    <definedName name="____Tbs1">#REF!</definedName>
    <definedName name="____Tbs2">#REF!</definedName>
    <definedName name="____Tbt1">#REF!</definedName>
    <definedName name="____Tbt2">#REF!</definedName>
    <definedName name="____TCa1">#REF!</definedName>
    <definedName name="____Tca2">#REF!</definedName>
    <definedName name="____Tfp22">#REF!</definedName>
    <definedName name="____Tfw22">#REF!</definedName>
    <definedName name="____Tgb33">#REF!</definedName>
    <definedName name="____tgl1">#REF!</definedName>
    <definedName name="____Tgp22">#REF!</definedName>
    <definedName name="____Tgp33">#REF!</definedName>
    <definedName name="____Tgw22">#REF!</definedName>
    <definedName name="____Tgw33">#REF!</definedName>
    <definedName name="____th100">NA()</definedName>
    <definedName name="____TH160">NA()</definedName>
    <definedName name="____tk04">#REF!</definedName>
    <definedName name="____Tky1">#REF!</definedName>
    <definedName name="____Tky2">#REF!</definedName>
    <definedName name="____TL1">"$#REF!.$C$6"</definedName>
    <definedName name="____TL2">"$#REF!.$D$6"</definedName>
    <definedName name="____TL3">"$#REF!.$#REF!$#REF!"</definedName>
    <definedName name="____TLA120">"$#REF!.$B$23"</definedName>
    <definedName name="____TLA35">"$#REF!.$B$27"</definedName>
    <definedName name="____TLA50">"$#REF!.$B$26"</definedName>
    <definedName name="____TLA70">"$#REF!.$B$25"</definedName>
    <definedName name="____TLA95">"$#REF!.$B$24"</definedName>
    <definedName name="____tlc20">#REF!</definedName>
    <definedName name="____Tlk04">#REF!</definedName>
    <definedName name="____Tlk05">#REF!</definedName>
    <definedName name="____Tlk06">#REF!</definedName>
    <definedName name="____Tlk07">#REF!</definedName>
    <definedName name="____TlP20">#REF!</definedName>
    <definedName name="____Tlp40">#REF!</definedName>
    <definedName name="____TOP2">#REF!</definedName>
    <definedName name="____tp40">#REF!</definedName>
    <definedName name="____Tpk03">#REF!</definedName>
    <definedName name="____Tpk04">#REF!</definedName>
    <definedName name="____Tpk06">#REF!</definedName>
    <definedName name="____Tpk09">#REF!</definedName>
    <definedName name="____TPp12">#REF!</definedName>
    <definedName name="____TPp13">#REF!</definedName>
    <definedName name="____TPw12">#REF!</definedName>
    <definedName name="____TPw13">#REF!</definedName>
    <definedName name="____TR250">NA()</definedName>
    <definedName name="____tr375">NA()</definedName>
    <definedName name="____tsv25">#REF!</definedName>
    <definedName name="____tv14">#REF!</definedName>
    <definedName name="____Twd03">#REF!</definedName>
    <definedName name="____Twd04">#REF!</definedName>
    <definedName name="____Twd09">#REF!</definedName>
    <definedName name="____uls60">#REF!</definedName>
    <definedName name="____UPA100">NA()</definedName>
    <definedName name="____Vib01">#REF!</definedName>
    <definedName name="____Vib07">#REF!</definedName>
    <definedName name="____VL100">"$#REF!.$#REF!$#REF!"</definedName>
    <definedName name="____VL200">"$#REF!.$#REF!$#REF!"</definedName>
    <definedName name="____VL250">"$#REF!.$#REF!$#REF!"</definedName>
    <definedName name="____vnt100">#REF!</definedName>
    <definedName name="____vnt40">#REF!</definedName>
    <definedName name="____vnt50">#REF!</definedName>
    <definedName name="____vnt80">#REF!</definedName>
    <definedName name="____WF32">#REF!</definedName>
    <definedName name="____WF42">#REF!</definedName>
    <definedName name="____wf43">#REF!</definedName>
    <definedName name="____wm16">#REF!</definedName>
    <definedName name="____WM420">#REF!</definedName>
    <definedName name="____Wmr02">#REF!</definedName>
    <definedName name="____WPS10">#REF!</definedName>
    <definedName name="____WPS15">#REF!</definedName>
    <definedName name="____WPS25">#REF!</definedName>
    <definedName name="____WPS45">#REF!</definedName>
    <definedName name="___aaa1">#REF!</definedName>
    <definedName name="___AAD3">HAJIME:OWARI</definedName>
    <definedName name="___abb91">NA()</definedName>
    <definedName name="___abs100">#REF!</definedName>
    <definedName name="___Act15">#REF!</definedName>
    <definedName name="___ADD2">STOP:STOPE</definedName>
    <definedName name="___ADD3">STOP:STOPE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a1">#REF!</definedName>
    <definedName name="___ana10">#REF!</definedName>
    <definedName name="___ana100">#REF!</definedName>
    <definedName name="___ana101">#REF!</definedName>
    <definedName name="___ana102">#REF!</definedName>
    <definedName name="___ana103">#REF!</definedName>
    <definedName name="___ana104">#REF!</definedName>
    <definedName name="___ana105">#REF!</definedName>
    <definedName name="___ana106">#REF!</definedName>
    <definedName name="___ana107">#REF!</definedName>
    <definedName name="___ana108">#REF!</definedName>
    <definedName name="___ana109">#REF!</definedName>
    <definedName name="___ana11">#REF!</definedName>
    <definedName name="___ana110">#REF!</definedName>
    <definedName name="___ana111">#REF!</definedName>
    <definedName name="___ana112">#REF!</definedName>
    <definedName name="___ana113">#REF!</definedName>
    <definedName name="___ana114">#REF!</definedName>
    <definedName name="___ana115">#REF!</definedName>
    <definedName name="___ana116">#REF!</definedName>
    <definedName name="___ana117">#REF!</definedName>
    <definedName name="___ana118">#REF!</definedName>
    <definedName name="___ana119">#REF!</definedName>
    <definedName name="___ana12">#REF!</definedName>
    <definedName name="___ana120">#REF!</definedName>
    <definedName name="___ana121">#REF!</definedName>
    <definedName name="___ana122">#REF!</definedName>
    <definedName name="___ana123">#REF!</definedName>
    <definedName name="___ana124">#REF!</definedName>
    <definedName name="___ana13">#REF!</definedName>
    <definedName name="___ana14">#REF!</definedName>
    <definedName name="___ana15">#REF!</definedName>
    <definedName name="___ana16">#REF!</definedName>
    <definedName name="___ana17">#REF!</definedName>
    <definedName name="___ana18">#REF!</definedName>
    <definedName name="___ana19">#REF!</definedName>
    <definedName name="___ana2">#REF!</definedName>
    <definedName name="___ana20">#REF!</definedName>
    <definedName name="___ana21">#REF!</definedName>
    <definedName name="___ana22">#REF!</definedName>
    <definedName name="___ana23">#REF!</definedName>
    <definedName name="___ana24">#REF!</definedName>
    <definedName name="___ana25">#REF!</definedName>
    <definedName name="___ana26">#REF!</definedName>
    <definedName name="___ana27">#REF!</definedName>
    <definedName name="___ana28">#REF!</definedName>
    <definedName name="___ana29">#REF!</definedName>
    <definedName name="___ana3">#REF!</definedName>
    <definedName name="___ana30">#REF!</definedName>
    <definedName name="___ana31">#REF!</definedName>
    <definedName name="___ana32">#REF!</definedName>
    <definedName name="___ana33">#REF!</definedName>
    <definedName name="___ana34">#REF!</definedName>
    <definedName name="___ana35">#REF!</definedName>
    <definedName name="___ana36">#REF!</definedName>
    <definedName name="___ana37">#REF!</definedName>
    <definedName name="___ana38">#REF!</definedName>
    <definedName name="___ana39">#REF!</definedName>
    <definedName name="___ana4">#REF!</definedName>
    <definedName name="___ana40">#REF!</definedName>
    <definedName name="___ana41">#REF!</definedName>
    <definedName name="___ana42">#REF!</definedName>
    <definedName name="___ana43">#REF!</definedName>
    <definedName name="___ana44">#REF!</definedName>
    <definedName name="___ana45">#REF!</definedName>
    <definedName name="___ana46">#REF!</definedName>
    <definedName name="___ana47">#REF!</definedName>
    <definedName name="___ana48">#REF!</definedName>
    <definedName name="___ana49">#REF!</definedName>
    <definedName name="___ana5">#REF!</definedName>
    <definedName name="___ana50">#REF!</definedName>
    <definedName name="___ana51">#REF!</definedName>
    <definedName name="___ana52">#REF!</definedName>
    <definedName name="___ana53">#REF!</definedName>
    <definedName name="___ana54">#REF!</definedName>
    <definedName name="___ana55">#REF!</definedName>
    <definedName name="___ana56">#REF!</definedName>
    <definedName name="___ana57">#REF!</definedName>
    <definedName name="___ana58">#REF!</definedName>
    <definedName name="___ana59">#REF!</definedName>
    <definedName name="___ana6">#REF!</definedName>
    <definedName name="___ana60">#REF!</definedName>
    <definedName name="___ana61">#REF!</definedName>
    <definedName name="___ana62">#REF!</definedName>
    <definedName name="___ana63">#REF!</definedName>
    <definedName name="___ana64">#REF!</definedName>
    <definedName name="___ana65">#REF!</definedName>
    <definedName name="___ana66">#REF!</definedName>
    <definedName name="___ana67">#REF!</definedName>
    <definedName name="___ana68">#REF!</definedName>
    <definedName name="___ana69">#REF!</definedName>
    <definedName name="___ana7">#REF!</definedName>
    <definedName name="___ana70">#REF!</definedName>
    <definedName name="___ana71">#REF!</definedName>
    <definedName name="___ana72">#REF!</definedName>
    <definedName name="___ana73">#REF!</definedName>
    <definedName name="___ana74">#REF!</definedName>
    <definedName name="___ana75">#REF!</definedName>
    <definedName name="___ana76">#REF!</definedName>
    <definedName name="___ana77">#REF!</definedName>
    <definedName name="___ana78">#REF!</definedName>
    <definedName name="___ana79">#REF!</definedName>
    <definedName name="___ana8">#REF!</definedName>
    <definedName name="___ana80">#REF!</definedName>
    <definedName name="___ana81">#REF!</definedName>
    <definedName name="___ana82">#REF!</definedName>
    <definedName name="___ana83">#REF!</definedName>
    <definedName name="___ana84">#REF!</definedName>
    <definedName name="___ana85">#REF!</definedName>
    <definedName name="___ana86">#REF!</definedName>
    <definedName name="___ana87">#REF!</definedName>
    <definedName name="___ana88">#REF!</definedName>
    <definedName name="___ana89">#REF!</definedName>
    <definedName name="___ana9">#REF!</definedName>
    <definedName name="___ana90">#REF!</definedName>
    <definedName name="___ana91">#REF!</definedName>
    <definedName name="___ana92">#REF!</definedName>
    <definedName name="___ana93">#REF!</definedName>
    <definedName name="___ana94">#REF!</definedName>
    <definedName name="___ana95">#REF!</definedName>
    <definedName name="___ana96">#REF!</definedName>
    <definedName name="___ana97">#REF!</definedName>
    <definedName name="___ana98">#REF!</definedName>
    <definedName name="___ana99">#REF!</definedName>
    <definedName name="___aru1">#REF!</definedName>
    <definedName name="___Bal20">#REF!</definedName>
    <definedName name="___Bal40">#REF!</definedName>
    <definedName name="___Bar30">#REF!</definedName>
    <definedName name="___bcv100">#REF!</definedName>
    <definedName name="___bcv125">#REF!</definedName>
    <definedName name="___bcv150">#REF!</definedName>
    <definedName name="___bes24">#REF!</definedName>
    <definedName name="___bes39">#REF!</definedName>
    <definedName name="___BFG66">#REF!</definedName>
    <definedName name="___Bjl28">#REF!</definedName>
    <definedName name="___Bjl30">#REF!</definedName>
    <definedName name="___Bmb10">#REF!</definedName>
    <definedName name="___Bmb57">#REF!</definedName>
    <definedName name="___BOX2">#REF!</definedName>
    <definedName name="___Bpl02">#REF!</definedName>
    <definedName name="___Bpl06">#REF!</definedName>
    <definedName name="___Bpl10">#REF!</definedName>
    <definedName name="___bpl32">#REF!</definedName>
    <definedName name="___bpl9">#REF!</definedName>
    <definedName name="___bsd1600">#REF!</definedName>
    <definedName name="___bsd2500">#REF!</definedName>
    <definedName name="___bsd4000">#REF!</definedName>
    <definedName name="___BSP3">#REF!</definedName>
    <definedName name="___BSP4">#REF!</definedName>
    <definedName name="___BSP5">#REF!</definedName>
    <definedName name="___BSP6">#REF!</definedName>
    <definedName name="___BSP8">#REF!</definedName>
    <definedName name="___Bsq24">#REF!</definedName>
    <definedName name="___Bsq33">#REF!</definedName>
    <definedName name="___Bsq44">#REF!</definedName>
    <definedName name="___btg1">#REF!</definedName>
    <definedName name="___btg2">#REF!</definedName>
    <definedName name="___btg3">#REF!</definedName>
    <definedName name="___BTr34">#REF!</definedName>
    <definedName name="___Btr66">#REF!</definedName>
    <definedName name="___Bub20">#REF!</definedName>
    <definedName name="___Bub30">#REF!</definedName>
    <definedName name="___Bub40">#REF!</definedName>
    <definedName name="___Bub50">#REF!</definedName>
    <definedName name="___Bub60">#REF!</definedName>
    <definedName name="___Bub80">#REF!</definedName>
    <definedName name="___bud3500">#REF!</definedName>
    <definedName name="___C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at1">#REF!</definedName>
    <definedName name="___cat2">#REF!</definedName>
    <definedName name="___cat3">#REF!</definedName>
    <definedName name="___cbr30">#REF!</definedName>
    <definedName name="___cbr80">#REF!</definedName>
    <definedName name="___CDs34">#REF!</definedName>
    <definedName name="___CFP2">#REF!</definedName>
    <definedName name="___cle10">#REF!</definedName>
    <definedName name="___cle65">#REF!</definedName>
    <definedName name="___cod50">#REF!</definedName>
    <definedName name="___cor1">#REF!</definedName>
    <definedName name="___CT250">NA()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Cvv02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g10">#REF!</definedName>
    <definedName name="___ddg20">#REF!</definedName>
    <definedName name="___ddg30">#REF!</definedName>
    <definedName name="___ddn400">"$#REF!.$F$47"</definedName>
    <definedName name="___ddn600">"$#REF!.$F$33"</definedName>
    <definedName name="___dgt100">NA()</definedName>
    <definedName name="___dia6">#REF!</definedName>
    <definedName name="___dlh20">#REF!</definedName>
    <definedName name="___dlh50">#REF!</definedName>
    <definedName name="___Dlk10">#REF!</definedName>
    <definedName name="___Dlk57">#REF!</definedName>
    <definedName name="___DlS25">#REF!</definedName>
    <definedName name="___Dnp02">#REF!</definedName>
    <definedName name="___DTr35">#REF!</definedName>
    <definedName name="___DTr50">#REF!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e34">#REF!</definedName>
    <definedName name="___EEE35">#REF!</definedName>
    <definedName name="___EEE36">#REF!</definedName>
    <definedName name="___EEE37">#REF!</definedName>
    <definedName name="___EEE38">#REF!</definedName>
    <definedName name="___EEE39">#REF!</definedName>
    <definedName name="___Eqp1">#REF!</definedName>
    <definedName name="___Eqp2">#REF!</definedName>
    <definedName name="___faw10">#REF!</definedName>
    <definedName name="___faw65">#REF!</definedName>
    <definedName name="___fcp1">#REF!</definedName>
    <definedName name="___fdd100">#REF!</definedName>
    <definedName name="___Fdr01">#REF!</definedName>
    <definedName name="___Fdr02">#REF!</definedName>
    <definedName name="___fjd100">#REF!</definedName>
    <definedName name="___fjd150">#REF!</definedName>
    <definedName name="___fjd50">#REF!</definedName>
    <definedName name="___fjd65">#REF!</definedName>
    <definedName name="___flo40">#REF!</definedName>
    <definedName name="___fmd150">#REF!</definedName>
    <definedName name="___frc2495">#REF!</definedName>
    <definedName name="___frc41010">#REF!</definedName>
    <definedName name="___frc495">#REF!</definedName>
    <definedName name="___fvd100">#REF!</definedName>
    <definedName name="___gat50">#REF!</definedName>
    <definedName name="___GBl22">#REF!</definedName>
    <definedName name="___Gfu20">#REF!</definedName>
    <definedName name="___Gfu30">#REF!</definedName>
    <definedName name="___Gfu40">#REF!</definedName>
    <definedName name="___GID1">"'file:///d:/project/energyhouse2/energyhouse2-mainkontraktor/energyhouse2-mainkontraktor-tender/energyhouse2-mainkontraktor-tender-boq/misc/congviec/tam.xls'#$'lkvl-ck-ht-gd1'.$a$4"</definedName>
    <definedName name="___GiM02">#REF!</definedName>
    <definedName name="___GiM03">#REF!</definedName>
    <definedName name="___GiM04">#REF!</definedName>
    <definedName name="___GiM05">#REF!</definedName>
    <definedName name="___GiM06">#REF!</definedName>
    <definedName name="___GiM08">#REF!</definedName>
    <definedName name="___GiM10">#REF!</definedName>
    <definedName name="___GiM12">#REF!</definedName>
    <definedName name="___GiM16">#REF!</definedName>
    <definedName name="___GIP1">#REF!</definedName>
    <definedName name="___gip15">#REF!</definedName>
    <definedName name="___GIP2">#REF!</definedName>
    <definedName name="___gip20">#REF!</definedName>
    <definedName name="___gip25">#REF!</definedName>
    <definedName name="___GIP3">#REF!</definedName>
    <definedName name="___gip32">#REF!</definedName>
    <definedName name="___GIP4">#REF!</definedName>
    <definedName name="___gip40">#REF!</definedName>
    <definedName name="___gip50">#REF!</definedName>
    <definedName name="___GiS02">#REF!</definedName>
    <definedName name="___GiS03">#REF!</definedName>
    <definedName name="___GiS04">#REF!</definedName>
    <definedName name="___GiS05">#REF!</definedName>
    <definedName name="___GiS06">#REF!</definedName>
    <definedName name="___GiS07">#REF!</definedName>
    <definedName name="___GiS08">#REF!</definedName>
    <definedName name="___GiS10">#REF!</definedName>
    <definedName name="___GiS12">#REF!</definedName>
    <definedName name="___GiS16">#REF!</definedName>
    <definedName name="___gk2" hidden="1">#REF!</definedName>
    <definedName name="___GNB1">#REF!</definedName>
    <definedName name="___GNB2">#REF!</definedName>
    <definedName name="___gra6060">#REF!</definedName>
    <definedName name="___grc1">#REF!</definedName>
    <definedName name="___grc6">#REF!</definedName>
    <definedName name="___grc8">#REF!</definedName>
    <definedName name="___Grn46">#REF!</definedName>
    <definedName name="___gti50">#REF!</definedName>
    <definedName name="___gti60">#REF!</definedName>
    <definedName name="___gvd100">#REF!</definedName>
    <definedName name="___gvd15">#REF!</definedName>
    <definedName name="___gvd150">#REF!</definedName>
    <definedName name="___gvd20">#REF!</definedName>
    <definedName name="___gvd25">#REF!</definedName>
    <definedName name="___gvd32">#REF!</definedName>
    <definedName name="___gvd40">#REF!</definedName>
    <definedName name="___gvd50">#REF!</definedName>
    <definedName name="___gvd65">#REF!</definedName>
    <definedName name="___gvd80">#REF!</definedName>
    <definedName name="___GVv02">#REF!</definedName>
    <definedName name="___gyf9">#REF!</definedName>
    <definedName name="___gyp9">#REF!</definedName>
    <definedName name="___hdw1">#REF!</definedName>
    <definedName name="___HHH01">#REF!</definedName>
    <definedName name="___Hot10">#REF!</definedName>
    <definedName name="___Hot15">#REF!</definedName>
    <definedName name="___Hot20">#REF!</definedName>
    <definedName name="___Hot25">#REF!</definedName>
    <definedName name="___hpc2">#REF!</definedName>
    <definedName name="___Ibr1">#REF!</definedName>
    <definedName name="___IMB01">#REF!</definedName>
    <definedName name="___iv65655">#REF!</definedName>
    <definedName name="___jab1">#REF!</definedName>
    <definedName name="___JUM1">NA()</definedName>
    <definedName name="___JUM10">"$#REF!.$N$2493"</definedName>
    <definedName name="___JUM11">"$#REF!.$N$2502"</definedName>
    <definedName name="___JUM2">NA()</definedName>
    <definedName name="___JUM3">NA()</definedName>
    <definedName name="___JUM6">"$#REF!.$N$2433"</definedName>
    <definedName name="___JUM7">"$#REF!.$N$2463"</definedName>
    <definedName name="___JUM8">"$#REF!.$N$2479"</definedName>
    <definedName name="___JUM9">"$#REF!.$N$2484"</definedName>
    <definedName name="___k100123">#REF!</definedName>
    <definedName name="___KAn13">#REF!</definedName>
    <definedName name="___KAw13">#REF!</definedName>
    <definedName name="___kco7">#REF!</definedName>
    <definedName name="___ke1">#REF!</definedName>
    <definedName name="___ke2">#REF!</definedName>
    <definedName name="___ke3">#REF!</definedName>
    <definedName name="___ke4">#REF!</definedName>
    <definedName name="___ker1020">#REF!</definedName>
    <definedName name="___ker1030">#REF!</definedName>
    <definedName name="___ker2020">#REF!</definedName>
    <definedName name="___ker2530">#REF!</definedName>
    <definedName name="___ker3030">#REF!</definedName>
    <definedName name="___ker3333">#REF!</definedName>
    <definedName name="___KEY001" hidden="1">#REF!</definedName>
    <definedName name="___KEY002" hidden="1">#REF!</definedName>
    <definedName name="___KEY01" hidden="1">#REF!</definedName>
    <definedName name="___KEY02" hidden="1">#REF!</definedName>
    <definedName name="___kht20">#REF!</definedName>
    <definedName name="___kht40">#REF!</definedName>
    <definedName name="___kht50">#REF!</definedName>
    <definedName name="___kl2">#REF!</definedName>
    <definedName name="___kl3">#REF!</definedName>
    <definedName name="___KLc88">#REF!</definedName>
    <definedName name="___kof1">#REF!</definedName>
    <definedName name="___Kpp12">#REF!</definedName>
    <definedName name="___Kpp13">#REF!</definedName>
    <definedName name="___KR1">#REF!</definedName>
    <definedName name="___kr15">#REF!</definedName>
    <definedName name="___KR22">#REF!</definedName>
    <definedName name="___KR6">#REF!</definedName>
    <definedName name="___KR7">#REF!</definedName>
    <definedName name="___KR8">#REF!</definedName>
    <definedName name="___KR9">#REF!</definedName>
    <definedName name="___KrB02">#REF!</definedName>
    <definedName name="___KrB03">#REF!</definedName>
    <definedName name="___KrK02">#REF!</definedName>
    <definedName name="___Krk03">#REF!</definedName>
    <definedName name="___Krk04">#REF!</definedName>
    <definedName name="___Krp12">#REF!</definedName>
    <definedName name="___Krp22">#REF!</definedName>
    <definedName name="___Krp33">#REF!</definedName>
    <definedName name="___KrS02">#REF!</definedName>
    <definedName name="___KrS03">#REF!</definedName>
    <definedName name="___Krw12">#REF!</definedName>
    <definedName name="___Krw22">#REF!</definedName>
    <definedName name="___Krw33">#REF!</definedName>
    <definedName name="___Lad1">#REF!</definedName>
    <definedName name="___Lad2">#REF!</definedName>
    <definedName name="___Lad3">#REF!</definedName>
    <definedName name="___ldp60">#REF!</definedName>
    <definedName name="___lh50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lmb1">#REF!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G15">#REF!</definedName>
    <definedName name="___Lpk01">#REF!</definedName>
    <definedName name="___Lpk02">#REF!</definedName>
    <definedName name="___Lpk04">#REF!</definedName>
    <definedName name="___Lpk05">#REF!</definedName>
    <definedName name="___Lpk10">#REF!</definedName>
    <definedName name="___lpl11">#REF!</definedName>
    <definedName name="___MAC12">"$#REF!.$H$6"</definedName>
    <definedName name="___MAC46">"$#REF!.$H$61"</definedName>
    <definedName name="___MB867">#REF!</definedName>
    <definedName name="___MBW867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r80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MM57">#REF!</definedName>
    <definedName name="___MMM58">#REF!</definedName>
    <definedName name="___MMM59">#REF!</definedName>
    <definedName name="___MMM60">#REF!</definedName>
    <definedName name="___MMM61">#REF!</definedName>
    <definedName name="___MMM62">#REF!</definedName>
    <definedName name="___MMM63">#REF!</definedName>
    <definedName name="___MMM64">#REF!</definedName>
    <definedName name="___MMM65">#REF!</definedName>
    <definedName name="___MMM66">#REF!</definedName>
    <definedName name="___mp1">#REF!</definedName>
    <definedName name="___Mpk12">#REF!</definedName>
    <definedName name="___Mpk18">#REF!</definedName>
    <definedName name="___Mpk9">#REF!</definedName>
    <definedName name="___MU300">"$#REF!.$G$169"</definedName>
    <definedName name="___MU301">#REF!</definedName>
    <definedName name="___MU380">"$#REF!.$G$171"</definedName>
    <definedName name="___MU400">#REF!</definedName>
    <definedName name="___MU440">#REF!</definedName>
    <definedName name="___MU450">#REF!</definedName>
    <definedName name="___mul12">#REF!</definedName>
    <definedName name="___mul9">#REF!</definedName>
    <definedName name="___NCL100">"$#REF!.$#REF!$#REF!"</definedName>
    <definedName name="___NCL200">"$#REF!.$#REF!$#REF!"</definedName>
    <definedName name="___NCL250">"$#REF!.$#REF!$#REF!"</definedName>
    <definedName name="___nin190">"$#REF!.$#REF!$#REF!"</definedName>
    <definedName name="___nm1">#REF!</definedName>
    <definedName name="___NSF10">#REF!</definedName>
    <definedName name="___NSF15">#REF!</definedName>
    <definedName name="___NYA115">#REF!</definedName>
    <definedName name="___NYA125">#REF!</definedName>
    <definedName name="___NYM215">#REF!</definedName>
    <definedName name="___NYM225">#REF!</definedName>
    <definedName name="___NYM240">#REF!</definedName>
    <definedName name="___NYM260">#REF!</definedName>
    <definedName name="___NYM315">#REF!</definedName>
    <definedName name="___NYM325">#REF!</definedName>
    <definedName name="___nym34">#REF!</definedName>
    <definedName name="___NYM340">#REF!</definedName>
    <definedName name="___NYM360">#REF!</definedName>
    <definedName name="___NYM425">#REF!</definedName>
    <definedName name="___NYM440">#REF!</definedName>
    <definedName name="___nym46">#REF!</definedName>
    <definedName name="___NYM460">#REF!</definedName>
    <definedName name="___NYY240">#REF!</definedName>
    <definedName name="___nyy2416">#REF!</definedName>
    <definedName name="___nyy244">#REF!</definedName>
    <definedName name="___nyy246">#REF!</definedName>
    <definedName name="___NYY260">#REF!</definedName>
    <definedName name="___nyy34">#REF!</definedName>
    <definedName name="___NYY340">#REF!</definedName>
    <definedName name="___NYY360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0">#REF!</definedName>
    <definedName name="___nyy444">#REF!</definedName>
    <definedName name="___nyy45050">#REF!</definedName>
    <definedName name="___nyy46">#REF!</definedName>
    <definedName name="___NYY460">#REF!</definedName>
    <definedName name="___nyy466">#REF!</definedName>
    <definedName name="___nyy47050">#REF!</definedName>
    <definedName name="___nyy47070">#REF!</definedName>
    <definedName name="___nyy49570">#REF!</definedName>
    <definedName name="___Oks14">#REF!</definedName>
    <definedName name="___Opa1">#REF!</definedName>
    <definedName name="___Opa2">#REF!</definedName>
    <definedName name="___PA1">#REF!</definedName>
    <definedName name="___PA2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w10">#REF!</definedName>
    <definedName name="___PAw16">#REF!</definedName>
    <definedName name="___paw25">#REF!</definedName>
    <definedName name="___paw40">#REF!</definedName>
    <definedName name="___paw50">#REF!</definedName>
    <definedName name="___paw65">#REF!</definedName>
    <definedName name="___pb1">#REF!</definedName>
    <definedName name="___PBK175">#REF!</definedName>
    <definedName name="___PBK22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450">#REF!</definedName>
    <definedName name="___pc50">#REF!</definedName>
    <definedName name="___PC600">#REF!</definedName>
    <definedName name="___pc80">#REF!</definedName>
    <definedName name="___pcf80">#REF!</definedName>
    <definedName name="___pek1">#REF!</definedName>
    <definedName name="___pek2">#REF!</definedName>
    <definedName name="___pek3">#REF!</definedName>
    <definedName name="___pf18">#REF!</definedName>
    <definedName name="___ph100">#REF!</definedName>
    <definedName name="___ph150">#REF!</definedName>
    <definedName name="___phf100">#REF!</definedName>
    <definedName name="___phf150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l1">#REF!</definedName>
    <definedName name="___PL2">#REF!</definedName>
    <definedName name="___PL3">#REF!</definedName>
    <definedName name="___Plt33">#REF!</definedName>
    <definedName name="___Plt43">#REF!</definedName>
    <definedName name="___Pnl36">#REF!</definedName>
    <definedName name="___po1000">#REF!</definedName>
    <definedName name="___PRC019">#REF!</definedName>
    <definedName name="___PRu02">#REF!</definedName>
    <definedName name="___PRu03">#REF!</definedName>
    <definedName name="___PRu04">#REF!</definedName>
    <definedName name="___PRu05">#REF!</definedName>
    <definedName name="___PRu06">#REF!</definedName>
    <definedName name="___PRu08">#REF!</definedName>
    <definedName name="___PRu10">#REF!</definedName>
    <definedName name="___PRu12">#REF!</definedName>
    <definedName name="___PRu16">#REF!</definedName>
    <definedName name="___PSb02">#REF!</definedName>
    <definedName name="___PSb03">#REF!</definedName>
    <definedName name="___PSb04">#REF!</definedName>
    <definedName name="___PSb05">#REF!</definedName>
    <definedName name="___PSb06">#REF!</definedName>
    <definedName name="___PSb07">#REF!</definedName>
    <definedName name="___PSb08">#REF!</definedName>
    <definedName name="___Psb10">#REF!</definedName>
    <definedName name="___PSb12">#REF!</definedName>
    <definedName name="___PSb16">#REF!</definedName>
    <definedName name="___PSC084">#REF!</definedName>
    <definedName name="___PsW1">#REF!</definedName>
    <definedName name="___ptg1">#REF!</definedName>
    <definedName name="___ptg2">#REF!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#REF!</definedName>
    <definedName name="___pvc150">#REF!</definedName>
    <definedName name="___PVC2">#REF!</definedName>
    <definedName name="___pvc20">#REF!</definedName>
    <definedName name="___pvc200">#REF!</definedName>
    <definedName name="___pvc25">#REF!</definedName>
    <definedName name="___PVC3">#REF!</definedName>
    <definedName name="___pvc32">#REF!</definedName>
    <definedName name="___PVC4">#REF!</definedName>
    <definedName name="___pvc40">#REF!</definedName>
    <definedName name="___pvc50">#REF!</definedName>
    <definedName name="___PVC6">#REF!</definedName>
    <definedName name="___pvc65">#REF!</definedName>
    <definedName name="___PVC8">#REF!</definedName>
    <definedName name="___pvc80">#REF!</definedName>
    <definedName name="___pvf100">#REF!</definedName>
    <definedName name="___pvf80">#REF!</definedName>
    <definedName name="___PW1">#REF!</definedName>
    <definedName name="___PW2">#REF!</definedName>
    <definedName name="___Pwd18">#REF!</definedName>
    <definedName name="___qmd15">#REF!</definedName>
    <definedName name="___qmd20">#REF!</definedName>
    <definedName name="___rd1">#REF!</definedName>
    <definedName name="___rd2">#REF!</definedName>
    <definedName name="___rd3">#REF!</definedName>
    <definedName name="___rdd100">#REF!</definedName>
    <definedName name="___rdd150">#REF!</definedName>
    <definedName name="___ReB23">#REF!</definedName>
    <definedName name="___Rek23">#REF!</definedName>
    <definedName name="___Rek34">#REF!</definedName>
    <definedName name="___RFj05">#REF!</definedName>
    <definedName name="___RFj10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175">#REF!</definedName>
    <definedName name="___Rm225">#REF!</definedName>
    <definedName name="___Rm375">#REF!</definedName>
    <definedName name="___Rol06">#REF!</definedName>
    <definedName name="___Rol10">#REF!</definedName>
    <definedName name="___SBr01">#REF!</definedName>
    <definedName name="___SBr02">#REF!</definedName>
    <definedName name="___sc1">"$#REF!.$H$6"</definedName>
    <definedName name="___SC2">"$#REF!.$H$9"</definedName>
    <definedName name="___sc3">"$#REF!.$H$56"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Jd01">#REF!</definedName>
    <definedName name="___SlP25">#REF!</definedName>
    <definedName name="___sn1020">#REF!</definedName>
    <definedName name="___SN3">"$#REF!.$#REF!$#REF!"</definedName>
    <definedName name="___Spl02">#REF!</definedName>
    <definedName name="___Spl03">#REF!</definedName>
    <definedName name="___Spl04">#REF!</definedName>
    <definedName name="___Spl05">#REF!</definedName>
    <definedName name="___Spl12">#REF!</definedName>
    <definedName name="___Spl23">#REF!</definedName>
    <definedName name="___Spl35">#REF!</definedName>
    <definedName name="___Spl57">#REF!</definedName>
    <definedName name="___Spt02">#REF!</definedName>
    <definedName name="___Spt06">#REF!</definedName>
    <definedName name="___Spt10">#REF!</definedName>
    <definedName name="___st1">#REF!</definedName>
    <definedName name="___st2">#REF!</definedName>
    <definedName name="___st3">#REF!</definedName>
    <definedName name="___std100">#REF!</definedName>
    <definedName name="___std150">#REF!</definedName>
    <definedName name="___std50">#REF!</definedName>
    <definedName name="___std65">#REF!</definedName>
    <definedName name="___StK03">#REF!</definedName>
    <definedName name="___StK04">#REF!</definedName>
    <definedName name="___StK06">#REF!</definedName>
    <definedName name="___StK08">#REF!</definedName>
    <definedName name="___StK10">#REF!</definedName>
    <definedName name="___StK12">#REF!</definedName>
    <definedName name="___SUM1">#REF!</definedName>
    <definedName name="___SUM2">#REF!</definedName>
    <definedName name="___SUM3">#REF!</definedName>
    <definedName name="___TA01">#REF!</definedName>
    <definedName name="___TA67">#REF!</definedName>
    <definedName name="___TA78">#REF!</definedName>
    <definedName name="___TA89">#REF!</definedName>
    <definedName name="___TA90">#REF!</definedName>
    <definedName name="___Tbb1">#REF!</definedName>
    <definedName name="___Tbb2">#REF!</definedName>
    <definedName name="___Tbs1">#REF!</definedName>
    <definedName name="___Tbs2">#REF!</definedName>
    <definedName name="___Tbt1">#REF!</definedName>
    <definedName name="___Tbt2">#REF!</definedName>
    <definedName name="___TCa1">#REF!</definedName>
    <definedName name="___Tca2">#REF!</definedName>
    <definedName name="___Tfp22">#REF!</definedName>
    <definedName name="___Tfw22">#REF!</definedName>
    <definedName name="___Tgb33">#REF!</definedName>
    <definedName name="___tgl1">#REF!</definedName>
    <definedName name="___Tgp22">#REF!</definedName>
    <definedName name="___Tgp33">#REF!</definedName>
    <definedName name="___Tgw22">#REF!</definedName>
    <definedName name="___Tgw33">#REF!</definedName>
    <definedName name="___th100">NA()</definedName>
    <definedName name="___TH160">NA()</definedName>
    <definedName name="___THP2">STOP:STOPE</definedName>
    <definedName name="___tk04">#REF!</definedName>
    <definedName name="___Tky1">#REF!</definedName>
    <definedName name="___Tky2">#REF!</definedName>
    <definedName name="___TL1">"$#REF!.$C$6"</definedName>
    <definedName name="___TL2">"$#REF!.$D$6"</definedName>
    <definedName name="___TL3">"$#REF!.$#REF!$#REF!"</definedName>
    <definedName name="___TLA120">"$#REF!.$B$23"</definedName>
    <definedName name="___TLA35">"$#REF!.$B$27"</definedName>
    <definedName name="___TLA50">"$#REF!.$B$26"</definedName>
    <definedName name="___TLA70">"$#REF!.$B$25"</definedName>
    <definedName name="___TLA95">"$#REF!.$B$24"</definedName>
    <definedName name="___tlc20">#REF!</definedName>
    <definedName name="___Tlk04">#REF!</definedName>
    <definedName name="___Tlk05">#REF!</definedName>
    <definedName name="___Tlk06">#REF!</definedName>
    <definedName name="___Tlk07">#REF!</definedName>
    <definedName name="___TlP20">#REF!</definedName>
    <definedName name="___Tlp40">#REF!</definedName>
    <definedName name="___TOP2">#REF!</definedName>
    <definedName name="___tp30">#REF!</definedName>
    <definedName name="___tp40">#REF!</definedName>
    <definedName name="___Tpk03">#REF!</definedName>
    <definedName name="___Tpk04">#REF!</definedName>
    <definedName name="___Tpk06">#REF!</definedName>
    <definedName name="___Tpk09">#REF!</definedName>
    <definedName name="___TPp12">#REF!</definedName>
    <definedName name="___TPp13">#REF!</definedName>
    <definedName name="___TPw12">#REF!</definedName>
    <definedName name="___TPw13">#REF!</definedName>
    <definedName name="___TR250">NA()</definedName>
    <definedName name="___tr375">NA()</definedName>
    <definedName name="___tsv25">#REF!</definedName>
    <definedName name="___tv14">#REF!</definedName>
    <definedName name="___Twd03">#REF!</definedName>
    <definedName name="___Twd04">#REF!</definedName>
    <definedName name="___Twd09">#REF!</definedName>
    <definedName name="___uls60">#REF!</definedName>
    <definedName name="___up10">"'file://SERVER3/har-data/STRUCTURE PRICE OF BQ KOMPAS GRAMEDIA.xls'#$analisa.$#REF!$#REF!"</definedName>
    <definedName name="___UPA100">NA()</definedName>
    <definedName name="___Vib01">#REF!</definedName>
    <definedName name="___Vib07">#REF!</definedName>
    <definedName name="___VL100">"$#REF!.$#REF!$#REF!"</definedName>
    <definedName name="___VL200">"$#REF!.$#REF!$#REF!"</definedName>
    <definedName name="___VL250">"$#REF!.$#REF!$#REF!"</definedName>
    <definedName name="___vnt100">#REF!</definedName>
    <definedName name="___vnt40">#REF!</definedName>
    <definedName name="___vnt50">#REF!</definedName>
    <definedName name="___vnt80">#REF!</definedName>
    <definedName name="___wm16">#REF!</definedName>
    <definedName name="___WM420">#REF!</definedName>
    <definedName name="___Wmr02">#REF!</definedName>
    <definedName name="___WPS10">#REF!</definedName>
    <definedName name="___WPS15">#REF!</definedName>
    <definedName name="___WPS25">#REF!</definedName>
    <definedName name="___WPS45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A">#REF!</definedName>
    <definedName name="__A100000">#REF!</definedName>
    <definedName name="__A16500">#REF!</definedName>
    <definedName name="__A99999">#REF!</definedName>
    <definedName name="__aaa1">#REF!</definedName>
    <definedName name="__AAD3">HAJIME:OWARI</definedName>
    <definedName name="__AAD33">#N/A</definedName>
    <definedName name="__abb91">NA()</definedName>
    <definedName name="__abs100">#REF!</definedName>
    <definedName name="__Act15">#REF!</definedName>
    <definedName name="__ADD2">STOP:STOPE</definedName>
    <definedName name="__ADD3">STOP:STOPE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na1">#REF!</definedName>
    <definedName name="__ana10">#REF!</definedName>
    <definedName name="__ana100">#REF!</definedName>
    <definedName name="__ana101">#REF!</definedName>
    <definedName name="__ana102">#REF!</definedName>
    <definedName name="__ana103">#REF!</definedName>
    <definedName name="__ana104">#REF!</definedName>
    <definedName name="__ana105">#REF!</definedName>
    <definedName name="__ana106">#REF!</definedName>
    <definedName name="__ana107">#REF!</definedName>
    <definedName name="__ana108">#REF!</definedName>
    <definedName name="__ana109">#REF!</definedName>
    <definedName name="__ana11">#REF!</definedName>
    <definedName name="__ana110">#REF!</definedName>
    <definedName name="__ana111">#REF!</definedName>
    <definedName name="__ana112">#REF!</definedName>
    <definedName name="__ana113">#REF!</definedName>
    <definedName name="__ana114">#REF!</definedName>
    <definedName name="__ana115">#REF!</definedName>
    <definedName name="__ana116">#REF!</definedName>
    <definedName name="__ana117">#REF!</definedName>
    <definedName name="__ana118">#REF!</definedName>
    <definedName name="__ana119">#REF!</definedName>
    <definedName name="__ana12">#REF!</definedName>
    <definedName name="__ana120">#REF!</definedName>
    <definedName name="__ana121">#REF!</definedName>
    <definedName name="__ana122">#REF!</definedName>
    <definedName name="__ana123">#REF!</definedName>
    <definedName name="__ana124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1">#REF!</definedName>
    <definedName name="__ana22">#REF!</definedName>
    <definedName name="__ana23">#REF!</definedName>
    <definedName name="__ana24">#REF!</definedName>
    <definedName name="__ana25">#REF!</definedName>
    <definedName name="__ana26">#REF!</definedName>
    <definedName name="__ana27">#REF!</definedName>
    <definedName name="__ana28">#REF!</definedName>
    <definedName name="__ana29">#REF!</definedName>
    <definedName name="__ana3">#REF!</definedName>
    <definedName name="__ana30">#REF!</definedName>
    <definedName name="__ana31">#REF!</definedName>
    <definedName name="__ana32">#REF!</definedName>
    <definedName name="__ana33">#REF!</definedName>
    <definedName name="__ana34">#REF!</definedName>
    <definedName name="__ana35">#REF!</definedName>
    <definedName name="__ana36">#REF!</definedName>
    <definedName name="__ana37">#REF!</definedName>
    <definedName name="__ana38">#REF!</definedName>
    <definedName name="__ana39">#REF!</definedName>
    <definedName name="__ana4">#REF!</definedName>
    <definedName name="__ana40">#REF!</definedName>
    <definedName name="__ana41">#REF!</definedName>
    <definedName name="__ana42">#REF!</definedName>
    <definedName name="__ana43">#REF!</definedName>
    <definedName name="__ana44">#REF!</definedName>
    <definedName name="__ana45">#REF!</definedName>
    <definedName name="__ana46">#REF!</definedName>
    <definedName name="__ana47">#REF!</definedName>
    <definedName name="__ana48">#REF!</definedName>
    <definedName name="__ana49">#REF!</definedName>
    <definedName name="__ana5">#REF!</definedName>
    <definedName name="__ana50">#REF!</definedName>
    <definedName name="__ana51">#REF!</definedName>
    <definedName name="__ana52">#REF!</definedName>
    <definedName name="__ana53">#REF!</definedName>
    <definedName name="__ana54">#REF!</definedName>
    <definedName name="__ana55">#REF!</definedName>
    <definedName name="__ana56">#REF!</definedName>
    <definedName name="__ana57">#REF!</definedName>
    <definedName name="__ana58">#REF!</definedName>
    <definedName name="__ana59">#REF!</definedName>
    <definedName name="__ana6">#REF!</definedName>
    <definedName name="__ana60">#REF!</definedName>
    <definedName name="__ana61">#REF!</definedName>
    <definedName name="__ana62">#REF!</definedName>
    <definedName name="__ana63">#REF!</definedName>
    <definedName name="__ana64">#REF!</definedName>
    <definedName name="__ana65">#REF!</definedName>
    <definedName name="__ana66">#REF!</definedName>
    <definedName name="__ana67">#REF!</definedName>
    <definedName name="__ana68">#REF!</definedName>
    <definedName name="__ana69">#REF!</definedName>
    <definedName name="__ana7">#REF!</definedName>
    <definedName name="__ana70">#REF!</definedName>
    <definedName name="__ana71">#REF!</definedName>
    <definedName name="__ana72">#REF!</definedName>
    <definedName name="__ana73">#REF!</definedName>
    <definedName name="__ana74">#REF!</definedName>
    <definedName name="__ana75">#REF!</definedName>
    <definedName name="__ana76">#REF!</definedName>
    <definedName name="__ana77">#REF!</definedName>
    <definedName name="__ana78">#REF!</definedName>
    <definedName name="__ana79">#REF!</definedName>
    <definedName name="__ana8">#REF!</definedName>
    <definedName name="__ana80">#REF!</definedName>
    <definedName name="__ana81">#REF!</definedName>
    <definedName name="__ana82">#REF!</definedName>
    <definedName name="__ana83">#REF!</definedName>
    <definedName name="__ana84">#REF!</definedName>
    <definedName name="__ana85">#REF!</definedName>
    <definedName name="__ana86">#REF!</definedName>
    <definedName name="__ana87">#REF!</definedName>
    <definedName name="__ana88">#REF!</definedName>
    <definedName name="__ana89">#REF!</definedName>
    <definedName name="__ana9">#REF!</definedName>
    <definedName name="__ana90">#REF!</definedName>
    <definedName name="__ana91">#REF!</definedName>
    <definedName name="__ana92">#REF!</definedName>
    <definedName name="__ana93">#REF!</definedName>
    <definedName name="__ana94">#REF!</definedName>
    <definedName name="__ana95">#REF!</definedName>
    <definedName name="__ana96">#REF!</definedName>
    <definedName name="__ana97">#REF!</definedName>
    <definedName name="__ana98">#REF!</definedName>
    <definedName name="__ana99">#REF!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1">#REF!</definedName>
    <definedName name="__ANK123">#REF!</definedName>
    <definedName name="__anK127">#REF!</definedName>
    <definedName name="__ANK128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0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6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2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NK710">#REF!</definedName>
    <definedName name="__ANK715">#REF!</definedName>
    <definedName name="__ANK720">#REF!</definedName>
    <definedName name="__ANK722">#REF!</definedName>
    <definedName name="__ANK810">#REF!</definedName>
    <definedName name="__ANK880">#REF!</definedName>
    <definedName name="__aru1">#REF!</definedName>
    <definedName name="__asb5">#REF!</definedName>
    <definedName name="__Bal20">#REF!</definedName>
    <definedName name="__Bal40">#REF!</definedName>
    <definedName name="__Bar30">#REF!</definedName>
    <definedName name="__bcv100">#REF!</definedName>
    <definedName name="__bcv125">#REF!</definedName>
    <definedName name="__bcv150">#REF!</definedName>
    <definedName name="__bes24">#REF!</definedName>
    <definedName name="__bes39">#REF!</definedName>
    <definedName name="__bet350">#REF!</definedName>
    <definedName name="__bet400">#REF!</definedName>
    <definedName name="__BFG66">#REF!</definedName>
    <definedName name="__Bjl28">#REF!</definedName>
    <definedName name="__Bjl30">#REF!</definedName>
    <definedName name="__Bmb10">#REF!</definedName>
    <definedName name="__Bmb57">#REF!</definedName>
    <definedName name="__BOX2">#REF!</definedName>
    <definedName name="__Bpl02">#REF!</definedName>
    <definedName name="__Bpl06">#REF!</definedName>
    <definedName name="__Bpl10">#REF!</definedName>
    <definedName name="__bpl32">#REF!</definedName>
    <definedName name="__bpl9">#REF!</definedName>
    <definedName name="__bsd1600">#REF!</definedName>
    <definedName name="__bsd2500">#REF!</definedName>
    <definedName name="__bsd4000">#REF!</definedName>
    <definedName name="__BSP3">#REF!</definedName>
    <definedName name="__BSP4">#REF!</definedName>
    <definedName name="__BSP5">#REF!</definedName>
    <definedName name="__BSP6">#REF!</definedName>
    <definedName name="__BSP8">#REF!</definedName>
    <definedName name="__Bsq24">#REF!</definedName>
    <definedName name="__Bsq33">#REF!</definedName>
    <definedName name="__Bsq44">#REF!</definedName>
    <definedName name="__btg1">#REF!</definedName>
    <definedName name="__btg2">#REF!</definedName>
    <definedName name="__btg3">#REF!</definedName>
    <definedName name="__BTr34">#REF!</definedName>
    <definedName name="__Btr66">#REF!</definedName>
    <definedName name="__Bub20">#REF!</definedName>
    <definedName name="__Bub30">#REF!</definedName>
    <definedName name="__Bub40">#REF!</definedName>
    <definedName name="__Bub50">#REF!</definedName>
    <definedName name="__Bub60">#REF!</definedName>
    <definedName name="__Bub80">#REF!</definedName>
    <definedName name="__bud3500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N15">#REF!</definedName>
    <definedName name="__cas80">#REF!</definedName>
    <definedName name="__cat1">#REF!</definedName>
    <definedName name="__cat2">#REF!</definedName>
    <definedName name="__cat3">#REF!</definedName>
    <definedName name="__cbr30">#REF!</definedName>
    <definedName name="__cbr80">#REF!</definedName>
    <definedName name="__CCF2">#REF!</definedName>
    <definedName name="__CDs34">#REF!</definedName>
    <definedName name="__CFP2">#REF!</definedName>
    <definedName name="__cle10">#REF!</definedName>
    <definedName name="__cle65">#REF!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2">#REF!</definedName>
    <definedName name="__CNP125">#REF!</definedName>
    <definedName name="__CNP200">#REF!</definedName>
    <definedName name="__cod50">#REF!</definedName>
    <definedName name="__cor1">#REF!</definedName>
    <definedName name="__cor175">#REF!</definedName>
    <definedName name="__cor225">#REF!</definedName>
    <definedName name="__cor300">#REF!</definedName>
    <definedName name="__CT250">NA()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Cvv02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dn400">"$#REF!.$F$47"</definedName>
    <definedName name="__ddn600">"$#REF!.$F$33"</definedName>
    <definedName name="__dgt100">NA()</definedName>
    <definedName name="__dia6">#REF!</definedName>
    <definedName name="__DIV1">#REF!</definedName>
    <definedName name="__DIV10">#REF!</definedName>
    <definedName name="__DIV11">#REF!</definedName>
    <definedName name="__DIV2">#REF!</definedName>
    <definedName name="__DIV3">#REF!</definedName>
    <definedName name="__DIV4">#REF!</definedName>
    <definedName name="__DIV5">#REF!</definedName>
    <definedName name="__DIV6">#REF!</definedName>
    <definedName name="__DIV7">#REF!</definedName>
    <definedName name="__DIV8">#REF!</definedName>
    <definedName name="__DIV9">#REF!</definedName>
    <definedName name="__dlh20">#REF!</definedName>
    <definedName name="__dlh50">#REF!</definedName>
    <definedName name="__Dlk10">#REF!</definedName>
    <definedName name="__Dlk57">#REF!</definedName>
    <definedName name="__DlS25">#REF!</definedName>
    <definedName name="__Dnp02">#REF!</definedName>
    <definedName name="__DTr35">#REF!</definedName>
    <definedName name="__DTr50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e34">#REF!</definedName>
    <definedName name="__EEE35">#REF!</definedName>
    <definedName name="__EEE36">#REF!</definedName>
    <definedName name="__EEE37">#REF!</definedName>
    <definedName name="__EEE38">#REF!</definedName>
    <definedName name="__EEE39">#REF!</definedName>
    <definedName name="__Eqp1">#REF!</definedName>
    <definedName name="__Eqp2">#REF!</definedName>
    <definedName name="__Exc1">#REF!</definedName>
    <definedName name="__faw10">#REF!</definedName>
    <definedName name="__faw65">#REF!</definedName>
    <definedName name="__fcp1">#REF!</definedName>
    <definedName name="__fdd100">#REF!</definedName>
    <definedName name="__Fdr01">#REF!</definedName>
    <definedName name="__Fdr02">#REF!</definedName>
    <definedName name="__fjd100">#REF!</definedName>
    <definedName name="__fjd150">#REF!</definedName>
    <definedName name="__fjd50">#REF!</definedName>
    <definedName name="__fjd65">#REF!</definedName>
    <definedName name="__flo40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d150">#REF!</definedName>
    <definedName name="__frc2495">#REF!</definedName>
    <definedName name="__frc41010">#REF!</definedName>
    <definedName name="__frc495">#REF!</definedName>
    <definedName name="__fvd100">#REF!</definedName>
    <definedName name="__gat50">#REF!</definedName>
    <definedName name="__GBl22">#REF!</definedName>
    <definedName name="__Gfu20">#REF!</definedName>
    <definedName name="__Gfu30">#REF!</definedName>
    <definedName name="__Gfu40">#REF!</definedName>
    <definedName name="__GID1">"'file:///d:/project/energyhouse2/energyhouse2-mainkontraktor/energyhouse2-mainkontraktor-tender/energyhouse2-mainkontraktor-tender-boq/misc/congviec/tam.xls'#$'lkvl-ck-ht-gd1'.$a$4"</definedName>
    <definedName name="__GiM02">#REF!</definedName>
    <definedName name="__GiM03">#REF!</definedName>
    <definedName name="__GiM04">#REF!</definedName>
    <definedName name="__GiM05">#REF!</definedName>
    <definedName name="__GiM06">#REF!</definedName>
    <definedName name="__GiM08">#REF!</definedName>
    <definedName name="__GiM10">#REF!</definedName>
    <definedName name="__GiM12">#REF!</definedName>
    <definedName name="__GiM16">#REF!</definedName>
    <definedName name="__GIP1">#REF!</definedName>
    <definedName name="__gip15">#REF!</definedName>
    <definedName name="__GIP2">#REF!</definedName>
    <definedName name="__gip20">#REF!</definedName>
    <definedName name="__gip25">#REF!</definedName>
    <definedName name="__GIP3">#REF!</definedName>
    <definedName name="__gip32">#REF!</definedName>
    <definedName name="__GIP4">#REF!</definedName>
    <definedName name="__gip40">#REF!</definedName>
    <definedName name="__GIP4004">"'file://SERVER3/har-data/STRUCTURE PRICE OF BQ KOMPAS GRAMEDIA.xls'#$analisa.$#REF!$#REF!"</definedName>
    <definedName name="__gip50">#REF!</definedName>
    <definedName name="__GIP5004">"'file://SERVER3/har-data/STRUCTURE PRICE OF BQ KOMPAS GRAMEDIA.xls'#$analisa.$#REF!$#REF!"</definedName>
    <definedName name="__GIP6504">"'file://SERVER3/har-data/STRUCTURE PRICE OF BQ KOMPAS GRAMEDIA.xls'#$analisa.$#REF!$#REF!"</definedName>
    <definedName name="__GIP804">"'file://SERVER3/har-data/STRUCTURE PRICE OF BQ KOMPAS GRAMEDIA.xls'#$analisa.$#REF!$#REF!"</definedName>
    <definedName name="__GiS02">#REF!</definedName>
    <definedName name="__GiS03">#REF!</definedName>
    <definedName name="__GiS04">#REF!</definedName>
    <definedName name="__GiS05">#REF!</definedName>
    <definedName name="__GiS06">#REF!</definedName>
    <definedName name="__GiS07">#REF!</definedName>
    <definedName name="__GiS08">#REF!</definedName>
    <definedName name="__GiS10">#REF!</definedName>
    <definedName name="__GiS12">#REF!</definedName>
    <definedName name="__GiS16">#REF!</definedName>
    <definedName name="__giv1">#REF!</definedName>
    <definedName name="__gk2" hidden="1">#REF!</definedName>
    <definedName name="__GNB1">#REF!</definedName>
    <definedName name="__GNB2">#REF!</definedName>
    <definedName name="__gra6060">#REF!</definedName>
    <definedName name="__grc1">#REF!</definedName>
    <definedName name="__grc6">#REF!</definedName>
    <definedName name="__grc8">#REF!</definedName>
    <definedName name="__Grn46">#REF!</definedName>
    <definedName name="__grv20">#REF!</definedName>
    <definedName name="__grv30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#REF!</definedName>
    <definedName name="__gvd25">#REF!</definedName>
    <definedName name="__gvd32">#REF!</definedName>
    <definedName name="__gvd40">#REF!</definedName>
    <definedName name="__gvd50">#REF!</definedName>
    <definedName name="__gvd65">#REF!</definedName>
    <definedName name="__gvd80">#REF!</definedName>
    <definedName name="__GVv02">#REF!</definedName>
    <definedName name="__gyf9">#REF!</definedName>
    <definedName name="__gyp9">#REF!</definedName>
    <definedName name="__HAL1">#REF!</definedName>
    <definedName name="__HAL2">#REF!</definedName>
    <definedName name="__HAL3">#REF!</definedName>
    <definedName name="__HAL4">#REF!</definedName>
    <definedName name="__HAL5">#REF!</definedName>
    <definedName name="__HAL6">#REF!</definedName>
    <definedName name="__HAL7">#REF!</definedName>
    <definedName name="__HAL8">#REF!</definedName>
    <definedName name="__hdw1">#REF!</definedName>
    <definedName name="__HHH01">#REF!</definedName>
    <definedName name="__Hot10">#REF!</definedName>
    <definedName name="__Hot15">#REF!</definedName>
    <definedName name="__Hot20">#REF!</definedName>
    <definedName name="__Hot25">#REF!</definedName>
    <definedName name="__hpc2">#REF!</definedName>
    <definedName name="__Ibr1">#REF!</definedName>
    <definedName name="__IMB01">#REF!</definedName>
    <definedName name="__iv65655">#REF!</definedName>
    <definedName name="__jab1">#REF!</definedName>
    <definedName name="__JUM1">NA()</definedName>
    <definedName name="__JUM10">"$#REF!.$N$2493"</definedName>
    <definedName name="__JUM11">"$#REF!.$N$2502"</definedName>
    <definedName name="__JUM2">NA()</definedName>
    <definedName name="__JUM3">NA()</definedName>
    <definedName name="__jum4">#REF!</definedName>
    <definedName name="__jum5">#REF!</definedName>
    <definedName name="__JUM6">"$#REF!.$N$2433"</definedName>
    <definedName name="__JUM7">"$#REF!.$N$2463"</definedName>
    <definedName name="__JUM8">"$#REF!.$N$2479"</definedName>
    <definedName name="__JUM9">"$#REF!.$N$2484"</definedName>
    <definedName name="__k100123">#REF!</definedName>
    <definedName name="__KAn13">#REF!</definedName>
    <definedName name="__KAw13">#REF!</definedName>
    <definedName name="__kc3">#REF!</definedName>
    <definedName name="__kc5">#REF!</definedName>
    <definedName name="__kco7">#REF!</definedName>
    <definedName name="__ke1">#REF!</definedName>
    <definedName name="__ke2">#REF!</definedName>
    <definedName name="__ke3">#REF!</definedName>
    <definedName name="__ke4">#REF!</definedName>
    <definedName name="__ker1020">#REF!</definedName>
    <definedName name="__ker1030">#REF!</definedName>
    <definedName name="__ker2020">#REF!</definedName>
    <definedName name="__ker2530">#REF!</definedName>
    <definedName name="__ker3030">#REF!</definedName>
    <definedName name="__ker3333">#REF!</definedName>
    <definedName name="__KEY001" hidden="1">#REF!</definedName>
    <definedName name="__KEY002" hidden="1">#REF!</definedName>
    <definedName name="__KEY01" hidden="1">#REF!</definedName>
    <definedName name="__KEY02" hidden="1">#REF!</definedName>
    <definedName name="__key1" hidden="1">#REF!</definedName>
    <definedName name="__kht20">#REF!</definedName>
    <definedName name="__kht40">#REF!</definedName>
    <definedName name="__kht50">#REF!</definedName>
    <definedName name="__kl2">#REF!</definedName>
    <definedName name="__kl3">#REF!</definedName>
    <definedName name="__KLc88">#REF!</definedName>
    <definedName name="__kof1">#REF!</definedName>
    <definedName name="__Kpp12">#REF!</definedName>
    <definedName name="__Kpp13">#REF!</definedName>
    <definedName name="__KR1">#REF!</definedName>
    <definedName name="__kr15">#REF!</definedName>
    <definedName name="__KR22">#REF!</definedName>
    <definedName name="__KR6">#REF!</definedName>
    <definedName name="__KR7">#REF!</definedName>
    <definedName name="__KR8">#REF!</definedName>
    <definedName name="__KR9">#REF!</definedName>
    <definedName name="__KrB02">#REF!</definedName>
    <definedName name="__KrB03">#REF!</definedName>
    <definedName name="__KrK02">#REF!</definedName>
    <definedName name="__Krk03">#REF!</definedName>
    <definedName name="__Krk04">#REF!</definedName>
    <definedName name="__Krp12">#REF!</definedName>
    <definedName name="__Krp22">#REF!</definedName>
    <definedName name="__Krp33">#REF!</definedName>
    <definedName name="__KrS02">#REF!</definedName>
    <definedName name="__KrS03">#REF!</definedName>
    <definedName name="__Krw12">#REF!</definedName>
    <definedName name="__Krw22">#REF!</definedName>
    <definedName name="__Krw33">#REF!</definedName>
    <definedName name="__Lad1">#REF!</definedName>
    <definedName name="__Lad2">#REF!</definedName>
    <definedName name="__Lad3">#REF!</definedName>
    <definedName name="__lb1">#REF!</definedName>
    <definedName name="__ldp60">#REF!</definedName>
    <definedName name="__lh50">#REF!</definedName>
    <definedName name="__LL110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mb1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G15">#REF!</definedName>
    <definedName name="__Lpk01">#REF!</definedName>
    <definedName name="__Lpk02">#REF!</definedName>
    <definedName name="__Lpk04">#REF!</definedName>
    <definedName name="__Lpk05">#REF!</definedName>
    <definedName name="__Lpk10">#REF!</definedName>
    <definedName name="__lpl11">#REF!</definedName>
    <definedName name="__LS50">#REF!</definedName>
    <definedName name="__lt1">#REF!</definedName>
    <definedName name="__lt2">#REF!</definedName>
    <definedName name="__lt3">#REF!</definedName>
    <definedName name="__lt4">#REF!</definedName>
    <definedName name="__lt5">#REF!</definedName>
    <definedName name="__lt6">#REF!</definedName>
    <definedName name="__MAC12">"$#REF!.$H$6"</definedName>
    <definedName name="__MAC46">"$#REF!.$H$61"</definedName>
    <definedName name="__MB867">#REF!</definedName>
    <definedName name="__mbe12">#REF!</definedName>
    <definedName name="__MBW867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p1">"$#REF!.$AE$70"</definedName>
    <definedName name="__Mer80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MM57">#REF!</definedName>
    <definedName name="__MMM58">#REF!</definedName>
    <definedName name="__MMM59">#REF!</definedName>
    <definedName name="__MMM60">#REF!</definedName>
    <definedName name="__MMM61">#REF!</definedName>
    <definedName name="__MMM62">#REF!</definedName>
    <definedName name="__MMM63">#REF!</definedName>
    <definedName name="__MMM64">#REF!</definedName>
    <definedName name="__MMM65">#REF!</definedName>
    <definedName name="__MMM66">#REF!</definedName>
    <definedName name="__mp1">#REF!</definedName>
    <definedName name="__Mpk12">#REF!</definedName>
    <definedName name="__Mpk18">#REF!</definedName>
    <definedName name="__Mpk9">#REF!</definedName>
    <definedName name="__mu1">#REF!</definedName>
    <definedName name="__MU200">#REF!</definedName>
    <definedName name="__mu2003">NA()</definedName>
    <definedName name="__MU270">#REF!</definedName>
    <definedName name="__mu300">#REF!</definedName>
    <definedName name="__mu30010">NA()</definedName>
    <definedName name="__MU301">#REF!</definedName>
    <definedName name="__MU380">#REF!</definedName>
    <definedName name="__MU400">#REF!</definedName>
    <definedName name="__mu4003">NA()</definedName>
    <definedName name="__mu408">#REF!</definedName>
    <definedName name="__MU440">#REF!</definedName>
    <definedName name="__MU450">#REF!</definedName>
    <definedName name="__mul12">#REF!</definedName>
    <definedName name="__mul9">#REF!</definedName>
    <definedName name="__NCL100">"$#REF!.$#REF!$#REF!"</definedName>
    <definedName name="__NCL200">"$#REF!.$#REF!$#REF!"</definedName>
    <definedName name="__NCL250">"$#REF!.$#REF!$#REF!"</definedName>
    <definedName name="__new5">HAJIME:OWARI</definedName>
    <definedName name="__nin190">"$#REF!.$#REF!$#REF!"</definedName>
    <definedName name="__nm1">#REF!</definedName>
    <definedName name="__NSF10">#REF!</definedName>
    <definedName name="__NSF15">#REF!</definedName>
    <definedName name="__NYA115">#REF!</definedName>
    <definedName name="__NYA125">#REF!</definedName>
    <definedName name="__NYM215">#REF!</definedName>
    <definedName name="__NYM225">#REF!</definedName>
    <definedName name="__NYM240">#REF!</definedName>
    <definedName name="__NYM260">#REF!</definedName>
    <definedName name="__NYM315">#REF!</definedName>
    <definedName name="__NYM325">#REF!</definedName>
    <definedName name="__nym34">#REF!</definedName>
    <definedName name="__NYM340">#REF!</definedName>
    <definedName name="__NYM360">#REF!</definedName>
    <definedName name="__NYM425">#REF!</definedName>
    <definedName name="__NYM440">#REF!</definedName>
    <definedName name="__nym46">#REF!</definedName>
    <definedName name="__NYM460">#REF!</definedName>
    <definedName name="__NYY240">#REF!</definedName>
    <definedName name="__nyy2416">#REF!</definedName>
    <definedName name="__nyy244">#REF!</definedName>
    <definedName name="__nyy246">#REF!</definedName>
    <definedName name="__NYY260">#REF!</definedName>
    <definedName name="__nyy34">#REF!</definedName>
    <definedName name="__NYY340">#REF!</definedName>
    <definedName name="__NYY360">#REF!</definedName>
    <definedName name="__nyy410">#REF!</definedName>
    <definedName name="__nyy41010">#REF!</definedName>
    <definedName name="__nyy412050">#REF!</definedName>
    <definedName name="__nyy412070">#REF!</definedName>
    <definedName name="__nyy415070">#REF!</definedName>
    <definedName name="__nyy416">#REF!</definedName>
    <definedName name="__nyy41616">#REF!</definedName>
    <definedName name="__nyy42525">#REF!</definedName>
    <definedName name="__nyy43535">#REF!</definedName>
    <definedName name="__nyy44">#REF!</definedName>
    <definedName name="__NYY440">#REF!</definedName>
    <definedName name="__nyy444">#REF!</definedName>
    <definedName name="__nyy45050">#REF!</definedName>
    <definedName name="__nyy46">#REF!</definedName>
    <definedName name="__NYY460">#REF!</definedName>
    <definedName name="__nyy466">#REF!</definedName>
    <definedName name="__nyy47050">#REF!</definedName>
    <definedName name="__nyy47070">#REF!</definedName>
    <definedName name="__nyy49570">#REF!</definedName>
    <definedName name="__Oks14">#REF!</definedName>
    <definedName name="__Opa1">#REF!</definedName>
    <definedName name="__Opa2">#REF!</definedName>
    <definedName name="__PA1">#REF!</definedName>
    <definedName name="__PA2">#REF!</definedName>
    <definedName name="__pab100">#REF!</definedName>
    <definedName name="__pab125">#REF!</definedName>
    <definedName name="__pab126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v8">"$#REF!.$G$245"</definedName>
    <definedName name="__paw10">#REF!</definedName>
    <definedName name="__PAw16">#REF!</definedName>
    <definedName name="__paw25">#REF!</definedName>
    <definedName name="__paw40">#REF!</definedName>
    <definedName name="__paw50">#REF!</definedName>
    <definedName name="__paw65">#REF!</definedName>
    <definedName name="__PBK175">#REF!</definedName>
    <definedName name="__PBK22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450">#REF!</definedName>
    <definedName name="__pc50">#REF!</definedName>
    <definedName name="__PC600">#REF!</definedName>
    <definedName name="__pc80">#REF!</definedName>
    <definedName name="__pcf80">#REF!</definedName>
    <definedName name="__pek1">#REF!</definedName>
    <definedName name="__pek2">#REF!</definedName>
    <definedName name="__pek3">#REF!</definedName>
    <definedName name="__pf18">#REF!</definedName>
    <definedName name="__ph100">#REF!</definedName>
    <definedName name="__ph150">#REF!</definedName>
    <definedName name="__phf100">#REF!</definedName>
    <definedName name="__phf150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k13">#REF!</definedName>
    <definedName name="__pk47">#REF!</definedName>
    <definedName name="__pk8">#REF!</definedName>
    <definedName name="__PL1">#REF!</definedName>
    <definedName name="__PL2">#REF!</definedName>
    <definedName name="__PL3">#REF!</definedName>
    <definedName name="__Plt33">#REF!</definedName>
    <definedName name="__Plt43">#REF!</definedName>
    <definedName name="__Pnl36">#REF!</definedName>
    <definedName name="__po1000">#REF!</definedName>
    <definedName name="__PPN1">"$#REF!.$I$31"</definedName>
    <definedName name="__PRC019">#REF!</definedName>
    <definedName name="__PRu02">#REF!</definedName>
    <definedName name="__PRu03">#REF!</definedName>
    <definedName name="__PRu04">#REF!</definedName>
    <definedName name="__PRu05">#REF!</definedName>
    <definedName name="__PRu06">#REF!</definedName>
    <definedName name="__PRu08">#REF!</definedName>
    <definedName name="__PRu10">#REF!</definedName>
    <definedName name="__PRu12">#REF!</definedName>
    <definedName name="__PRu16">#REF!</definedName>
    <definedName name="__PSb02">#REF!</definedName>
    <definedName name="__PSb03">#REF!</definedName>
    <definedName name="__PSb04">#REF!</definedName>
    <definedName name="__PSb05">#REF!</definedName>
    <definedName name="__PSb06">#REF!</definedName>
    <definedName name="__PSb07">#REF!</definedName>
    <definedName name="__PSb08">#REF!</definedName>
    <definedName name="__Psb10">#REF!</definedName>
    <definedName name="__PSb12">#REF!</definedName>
    <definedName name="__PSb16">#REF!</definedName>
    <definedName name="__PSC052">#REF!</definedName>
    <definedName name="__PSC084">#REF!</definedName>
    <definedName name="__PsW1">#REF!</definedName>
    <definedName name="__ptg1">#REF!</definedName>
    <definedName name="__ptg2">#REF!</definedName>
    <definedName name="__pv100">#REF!</definedName>
    <definedName name="__pv40">#REF!</definedName>
    <definedName name="__pv50">#REF!</definedName>
    <definedName name="__pv80">#REF!</definedName>
    <definedName name="__pvc05">#REF!</definedName>
    <definedName name="__PVC1">#REF!</definedName>
    <definedName name="__pvc100">#REF!</definedName>
    <definedName name="__pvc150">#REF!</definedName>
    <definedName name="__PVC2">#REF!</definedName>
    <definedName name="__pvc20">#REF!</definedName>
    <definedName name="__pvc200">#REF!</definedName>
    <definedName name="__pvc25">#REF!</definedName>
    <definedName name="__PVC3">#REF!</definedName>
    <definedName name="__pvc32">#REF!</definedName>
    <definedName name="__PVC4">#REF!</definedName>
    <definedName name="__pvc40">#REF!</definedName>
    <definedName name="__pvc50">#REF!</definedName>
    <definedName name="__PVC6">#REF!</definedName>
    <definedName name="__pvc65">#REF!</definedName>
    <definedName name="__PVC8">#REF!</definedName>
    <definedName name="__pvc80">#REF!</definedName>
    <definedName name="__pvc804">"'file://SERVER3/har-data/STRUCTURE PRICE OF BQ KOMPAS GRAMEDIA.xls'#$analisa.$#REF!$#REF!"</definedName>
    <definedName name="__pvc805">"'file://SERVER3/har-data/STRUCTURE PRICE OF BQ KOMPAS GRAMEDIA.xls'#$analisa.$#REF!$#REF!"</definedName>
    <definedName name="__pvf100">#REF!</definedName>
    <definedName name="__pvf80">#REF!</definedName>
    <definedName name="__PW1">#REF!</definedName>
    <definedName name="__PW2">#REF!</definedName>
    <definedName name="__Pwd18">#REF!</definedName>
    <definedName name="__qmd15">#REF!</definedName>
    <definedName name="__qmd20">#REF!</definedName>
    <definedName name="__rd1">#REF!</definedName>
    <definedName name="__rd2">#REF!</definedName>
    <definedName name="__rd3">#REF!</definedName>
    <definedName name="__rdd100">#REF!</definedName>
    <definedName name="__rdd150">#REF!</definedName>
    <definedName name="__ReB23">#REF!</definedName>
    <definedName name="__Rek23">#REF!</definedName>
    <definedName name="__Rek34">#REF!</definedName>
    <definedName name="__RFj05">#REF!</definedName>
    <definedName name="__RFj10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175">#REF!</definedName>
    <definedName name="__Rm225">#REF!</definedName>
    <definedName name="__Rm375">#REF!</definedName>
    <definedName name="__Rol06">#REF!</definedName>
    <definedName name="__Rol10">#REF!</definedName>
    <definedName name="__rst20">#REF!</definedName>
    <definedName name="__rst30">#REF!</definedName>
    <definedName name="__SBr01">#REF!</definedName>
    <definedName name="__SBr02">#REF!</definedName>
    <definedName name="__sc1">"$#REF!.$H$6"</definedName>
    <definedName name="__SC2">"$#REF!.$H$9"</definedName>
    <definedName name="__sc3">"$#REF!.$H$56"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HT2">#REF!</definedName>
    <definedName name="__SHT3">#REF!</definedName>
    <definedName name="__SJd01">#REF!</definedName>
    <definedName name="__SlP25">#REF!</definedName>
    <definedName name="__sn1020">#REF!</definedName>
    <definedName name="__SN3">"$#REF!.$#REF!$#REF!"</definedName>
    <definedName name="__Spl02">#REF!</definedName>
    <definedName name="__Spl03">#REF!</definedName>
    <definedName name="__Spl04">#REF!</definedName>
    <definedName name="__Spl05">#REF!</definedName>
    <definedName name="__Spl12">#REF!</definedName>
    <definedName name="__Spl23">#REF!</definedName>
    <definedName name="__Spl35">#REF!</definedName>
    <definedName name="__Spl57">#REF!</definedName>
    <definedName name="__Spt02">#REF!</definedName>
    <definedName name="__Spt06">#REF!</definedName>
    <definedName name="__Spt10">#REF!</definedName>
    <definedName name="__st1">#REF!</definedName>
    <definedName name="__st2">#REF!</definedName>
    <definedName name="__st3">#REF!</definedName>
    <definedName name="__std100">#REF!</definedName>
    <definedName name="__std150">#REF!</definedName>
    <definedName name="__std50">#REF!</definedName>
    <definedName name="__std65">#REF!</definedName>
    <definedName name="__StK03">#REF!</definedName>
    <definedName name="__StK04">#REF!</definedName>
    <definedName name="__StK06">#REF!</definedName>
    <definedName name="__StK08">#REF!</definedName>
    <definedName name="__StK10">#REF!</definedName>
    <definedName name="__StK12">#REF!</definedName>
    <definedName name="__str01">#REF!</definedName>
    <definedName name="__str02">#REF!</definedName>
    <definedName name="__str03">#REF!</definedName>
    <definedName name="__str04">#REF!</definedName>
    <definedName name="__str05">#REF!</definedName>
    <definedName name="__str06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SUB6">#REF!</definedName>
    <definedName name="__SUB7">#REF!</definedName>
    <definedName name="__SUM1">#REF!</definedName>
    <definedName name="__SUM2">#REF!</definedName>
    <definedName name="__SUM3">#REF!</definedName>
    <definedName name="__TA01">#REF!</definedName>
    <definedName name="__TA67">#REF!</definedName>
    <definedName name="__TA78">#REF!</definedName>
    <definedName name="__TA89">#REF!</definedName>
    <definedName name="__TA90">#REF!</definedName>
    <definedName name="__Tbb1">#REF!</definedName>
    <definedName name="__Tbb2">#REF!</definedName>
    <definedName name="__Tbs1">#REF!</definedName>
    <definedName name="__Tbs2">#REF!</definedName>
    <definedName name="__tbt1">#REF!</definedName>
    <definedName name="__tbt2">#REF!</definedName>
    <definedName name="__TCa1">#REF!</definedName>
    <definedName name="__Tca2">#REF!</definedName>
    <definedName name="__Tfp22">#REF!</definedName>
    <definedName name="__Tfw22">#REF!</definedName>
    <definedName name="__tg20">#REF!</definedName>
    <definedName name="__tg30">#REF!</definedName>
    <definedName name="__Tgb33">#REF!</definedName>
    <definedName name="__tgl1">#REF!</definedName>
    <definedName name="__Tgp22">#REF!</definedName>
    <definedName name="__Tgp33">#REF!</definedName>
    <definedName name="__Tgw22">#REF!</definedName>
    <definedName name="__Tgw33">#REF!</definedName>
    <definedName name="__th100">NA()</definedName>
    <definedName name="__TH160">NA()</definedName>
    <definedName name="__THP2">STOP:STOPE</definedName>
    <definedName name="__tk04">#REF!</definedName>
    <definedName name="__Tky1">#REF!</definedName>
    <definedName name="__Tky2">#REF!</definedName>
    <definedName name="__TL1">"$#REF!.$C$6"</definedName>
    <definedName name="__TL2">"$#REF!.$D$6"</definedName>
    <definedName name="__TL3">"$#REF!.$#REF!$#REF!"</definedName>
    <definedName name="__TLA120">"$#REF!.$B$23"</definedName>
    <definedName name="__TLA35">"$#REF!.$B$27"</definedName>
    <definedName name="__TLA50">"$#REF!.$B$26"</definedName>
    <definedName name="__TLA70">"$#REF!.$B$25"</definedName>
    <definedName name="__TLA95">"$#REF!.$B$24"</definedName>
    <definedName name="__tlc20">#REF!</definedName>
    <definedName name="__Tlk04">#REF!</definedName>
    <definedName name="__Tlk05">#REF!</definedName>
    <definedName name="__Tlk06">#REF!</definedName>
    <definedName name="__Tlk07">#REF!</definedName>
    <definedName name="__TlP20">#REF!</definedName>
    <definedName name="__Tlp40">#REF!</definedName>
    <definedName name="__TOP2">#REF!</definedName>
    <definedName name="__tp30">#REF!</definedName>
    <definedName name="__tp40">#REF!</definedName>
    <definedName name="__Tpk03">#REF!</definedName>
    <definedName name="__Tpk04">#REF!</definedName>
    <definedName name="__Tpk06">#REF!</definedName>
    <definedName name="__Tpk09">#REF!</definedName>
    <definedName name="__TPp12">#REF!</definedName>
    <definedName name="__TPp13">#REF!</definedName>
    <definedName name="__TPw12">#REF!</definedName>
    <definedName name="__TPw13">#REF!</definedName>
    <definedName name="__TR250">NA()</definedName>
    <definedName name="__tr375">NA()</definedName>
    <definedName name="__tsv25">#REF!</definedName>
    <definedName name="__tv14">#REF!</definedName>
    <definedName name="__Twd03">#REF!</definedName>
    <definedName name="__Twd04">#REF!</definedName>
    <definedName name="__Twd09">#REF!</definedName>
    <definedName name="__uls60">#REF!</definedName>
    <definedName name="__up05">#N/A</definedName>
    <definedName name="__up10">"'file://SERVER3/har-data/STRUCTURE PRICE OF BQ KOMPAS GRAMEDIA.xls'#$analisa.$#REF!$#REF!"</definedName>
    <definedName name="__UP15">#N/A</definedName>
    <definedName name="__UP20">#N/A</definedName>
    <definedName name="__UPA100">NA()</definedName>
    <definedName name="__UR1">#REF!</definedName>
    <definedName name="__UR2">#REF!</definedName>
    <definedName name="__UR4">#REF!</definedName>
    <definedName name="__usd2">#REF!</definedName>
    <definedName name="__Vib01">#REF!</definedName>
    <definedName name="__Vib07">#REF!</definedName>
    <definedName name="__VL100">"$#REF!.$#REF!$#REF!"</definedName>
    <definedName name="__VL200">"$#REF!.$#REF!$#REF!"</definedName>
    <definedName name="__VL250">"$#REF!.$#REF!$#REF!"</definedName>
    <definedName name="__vnt100">#REF!</definedName>
    <definedName name="__vnt40">#REF!</definedName>
    <definedName name="__vnt50">#REF!</definedName>
    <definedName name="__vnt80">#REF!</definedName>
    <definedName name="__wal01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WF150">#REF!</definedName>
    <definedName name="__WF32">#REF!</definedName>
    <definedName name="__WF42">#REF!</definedName>
    <definedName name="__wf43">#REF!</definedName>
    <definedName name="__wm16">#REF!</definedName>
    <definedName name="__WM4">#REF!</definedName>
    <definedName name="__WM420">#REF!</definedName>
    <definedName name="__WM5">#REF!</definedName>
    <definedName name="__WM6">#REF!</definedName>
    <definedName name="__WM7">#REF!</definedName>
    <definedName name="__WM8">#REF!</definedName>
    <definedName name="__Wmr02">#REF!</definedName>
    <definedName name="__WPS10">#REF!</definedName>
    <definedName name="__WPS15">#REF!</definedName>
    <definedName name="__WPS25">#REF!</definedName>
    <definedName name="__WPS45">#REF!</definedName>
    <definedName name="_0">"$#REF!.$#REF!$#REF!"</definedName>
    <definedName name="_1">#N/A</definedName>
    <definedName name="_1_EUR">#REF!</definedName>
    <definedName name="_1_us">#REF!</definedName>
    <definedName name="_10">#REF!</definedName>
    <definedName name="_10000">#REF!</definedName>
    <definedName name="_10000_1">#REF!</definedName>
    <definedName name="_10000_13">#REF!</definedName>
    <definedName name="_10000_14">#REF!</definedName>
    <definedName name="_10000_22">#REF!</definedName>
    <definedName name="_106____________Excel_BuiltIn__FilterDatabase_4_1_1">#REF!</definedName>
    <definedName name="_107____________Excel_BuiltIn_Print_Area_4_1_1">#REF!</definedName>
    <definedName name="_108___________Excel_BuiltIn__FilterDatabase_4_1_1">#REF!</definedName>
    <definedName name="_109___________Excel_BuiltIn_Print_Area_4_1_1">#REF!</definedName>
    <definedName name="_11">#REF!</definedName>
    <definedName name="_110__________Excel_BuiltIn__FilterDatabase_4_1_1">#REF!</definedName>
    <definedName name="_111__________Excel_BuiltIn_Print_Area_4_1_1">#REF!</definedName>
    <definedName name="_114________Excel_BuiltIn__FilterDatabase_4_1_1">#REF!</definedName>
    <definedName name="_115________Excel_BuiltIn_Print_Area_4_1_1">#REF!</definedName>
    <definedName name="_116_______Excel_BuiltIn__FilterDatabase_4_1_1">#REF!</definedName>
    <definedName name="_117_______Excel_BuiltIn_Print_Area_4_1_1">#REF!</definedName>
    <definedName name="_12">#REF!</definedName>
    <definedName name="_120_____Excel_BuiltIn__FilterDatabase_4_1_1">#REF!</definedName>
    <definedName name="_121_____Excel_BuiltIn_Print_Area_4_1_1">#REF!</definedName>
    <definedName name="_123Graph_B" hidden="1">#REF!</definedName>
    <definedName name="_123Graph_F" hidden="1">#REF!</definedName>
    <definedName name="_124___Excel_BuiltIn__FilterDatabase_4_1_1">#REF!</definedName>
    <definedName name="_125___Excel_BuiltIn_Print_Area_4_1_1">#REF!</definedName>
    <definedName name="_126__Excel_BuiltIn__FilterDatabase_4_1_1">#REF!</definedName>
    <definedName name="_127">#REF!</definedName>
    <definedName name="_127__Excel_BuiltIn_Print_Area_4_1_1">#REF!</definedName>
    <definedName name="_13">#REF!</definedName>
    <definedName name="_130Excel_BuiltIn__FilterDatabase_4_1_1">#REF!</definedName>
    <definedName name="_131Excel_BuiltIn_Print_Area_4_1_1">#REF!</definedName>
    <definedName name="_14">#REF!</definedName>
    <definedName name="_14A">#REF!</definedName>
    <definedName name="_14B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A">#REF!</definedName>
    <definedName name="_1Excel_BuiltIn_Print_Titles_1_1">#REF!</definedName>
    <definedName name="_1K.615_SCREEN">#REF!</definedName>
    <definedName name="_1P">#REF!</definedName>
    <definedName name="_2">#N/A</definedName>
    <definedName name="_2__123Graph_ACHART_1" hidden="1">#REF!</definedName>
    <definedName name="_2_A_1_1">#REF!</definedName>
    <definedName name="_20">#REF!</definedName>
    <definedName name="_21">#REF!</definedName>
    <definedName name="_22">#REF!</definedName>
    <definedName name="_23">#REF!</definedName>
    <definedName name="_24">#REF!</definedName>
    <definedName name="_25">#REF!</definedName>
    <definedName name="_26">#REF!</definedName>
    <definedName name="_27">#REF!</definedName>
    <definedName name="_28">#REF!</definedName>
    <definedName name="_2A">#REF!</definedName>
    <definedName name="_2Excel_BuiltIn__FilterDatabase_4_1_1">#REF!</definedName>
    <definedName name="_2K.615_SCREEN">#REF!</definedName>
    <definedName name="_2P">#REF!</definedName>
    <definedName name="_3">#REF!</definedName>
    <definedName name="_3_A_1_1">#REF!</definedName>
    <definedName name="_3A">#REF!</definedName>
    <definedName name="_3Excel_BuiltIn_Criteria_23_1">#REF!</definedName>
    <definedName name="_3Excel_BuiltIn_Print_Area_4_1_1">#REF!</definedName>
    <definedName name="_3Excel_BuiltIn_Print_Titles_1_1">#REF!</definedName>
    <definedName name="_4">#REF!</definedName>
    <definedName name="_4Excel_BuiltIn_Criteria_23_1">#REF!</definedName>
    <definedName name="_4Excel_BuiltIn_Criteria_25_1">#REF!</definedName>
    <definedName name="_4WORD_M_001_07">#REF!</definedName>
    <definedName name="_4WORD_O_005_E_">#REF!</definedName>
    <definedName name="_5">#REF!</definedName>
    <definedName name="_5000">#REF!</definedName>
    <definedName name="_5000_1">#REF!</definedName>
    <definedName name="_5000_13">#REF!</definedName>
    <definedName name="_5000_14">#REF!</definedName>
    <definedName name="_5000_22">#REF!</definedName>
    <definedName name="_59Excel_BuiltIn_Print_Area_9_1">#REF!,#REF!</definedName>
    <definedName name="_5Excel_BuiltIn_Criteria_25_1">#REF!</definedName>
    <definedName name="_6">#REF!</definedName>
    <definedName name="_685Excel_BuiltIn_Print_Area_2_1_1_1">"$#REF!.$B$2:$R$106"</definedName>
    <definedName name="_6A">#REF!</definedName>
    <definedName name="_7">#REF!</definedName>
    <definedName name="_7.1__2">#REF!</definedName>
    <definedName name="_750_KVA_X_64__">"$#REF!.$#REF!$#REF!"</definedName>
    <definedName name="_7Excel_BuiltIn_Print_Area_9_1">#REF!,#REF!</definedName>
    <definedName name="_8">#REF!</definedName>
    <definedName name="_8.1__1">#REF!</definedName>
    <definedName name="_8000">#REF!</definedName>
    <definedName name="_8000_1">#REF!</definedName>
    <definedName name="_8000_13">#REF!</definedName>
    <definedName name="_8000_14">#REF!</definedName>
    <definedName name="_8000_22">#REF!</definedName>
    <definedName name="_818FA">#REF!</definedName>
    <definedName name="_818PK">#REF!</definedName>
    <definedName name="_9">#REF!</definedName>
    <definedName name="_A">NA()</definedName>
    <definedName name="_A___0">#REF!</definedName>
    <definedName name="_A_1">NA()</definedName>
    <definedName name="_A_13">NA()</definedName>
    <definedName name="_a_13_1">NA()</definedName>
    <definedName name="_A_2">NA()</definedName>
    <definedName name="_A100000">#REF!</definedName>
    <definedName name="_A16500">#REF!</definedName>
    <definedName name="_A99999">#REF!</definedName>
    <definedName name="_aaa1">#REF!</definedName>
    <definedName name="_AAD3">HAJIME:OWARI</definedName>
    <definedName name="_AAD33">#N/A</definedName>
    <definedName name="_abb91">NA()</definedName>
    <definedName name="_abs100">#REF!</definedName>
    <definedName name="_Act15">#REF!</definedName>
    <definedName name="_ADD2">STOP:STOPE</definedName>
    <definedName name="_ADD3">STOP:STOPE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_alt1</definedName>
    <definedName name="_ana1">#REF!</definedName>
    <definedName name="_ana10">#REF!</definedName>
    <definedName name="_ana100">#REF!</definedName>
    <definedName name="_ana101">#REF!</definedName>
    <definedName name="_ana102">#REF!</definedName>
    <definedName name="_ana103">#REF!</definedName>
    <definedName name="_ana104">#REF!</definedName>
    <definedName name="_ana105">#REF!</definedName>
    <definedName name="_ana106">#REF!</definedName>
    <definedName name="_ana107">#REF!</definedName>
    <definedName name="_ana108">#REF!</definedName>
    <definedName name="_ana109">#REF!</definedName>
    <definedName name="_ana11">#REF!</definedName>
    <definedName name="_ana110">#REF!</definedName>
    <definedName name="_ana111">#REF!</definedName>
    <definedName name="_ana112">#REF!</definedName>
    <definedName name="_ana113">#REF!</definedName>
    <definedName name="_ana114">#REF!</definedName>
    <definedName name="_ana115">#REF!</definedName>
    <definedName name="_ana116">#REF!</definedName>
    <definedName name="_ana117">#REF!</definedName>
    <definedName name="_ana118">#REF!</definedName>
    <definedName name="_ana119">#REF!</definedName>
    <definedName name="_ana12">#REF!</definedName>
    <definedName name="_ana120">#REF!</definedName>
    <definedName name="_ana121">#REF!</definedName>
    <definedName name="_ana122">#REF!</definedName>
    <definedName name="_ana123">#REF!</definedName>
    <definedName name="_ana124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1">#REF!</definedName>
    <definedName name="_ana22">#REF!</definedName>
    <definedName name="_ana23">#REF!</definedName>
    <definedName name="_ana24">#REF!</definedName>
    <definedName name="_ana25">#REF!</definedName>
    <definedName name="_ana26">#REF!</definedName>
    <definedName name="_ana27">#REF!</definedName>
    <definedName name="_ana28">#REF!</definedName>
    <definedName name="_ana29">#REF!</definedName>
    <definedName name="_ana3">#REF!</definedName>
    <definedName name="_ana30">#REF!</definedName>
    <definedName name="_ana31">#REF!</definedName>
    <definedName name="_ana32">#REF!</definedName>
    <definedName name="_ana33">#REF!</definedName>
    <definedName name="_ana34">#REF!</definedName>
    <definedName name="_ana35">#REF!</definedName>
    <definedName name="_ana36">#REF!</definedName>
    <definedName name="_ana37">#REF!</definedName>
    <definedName name="_ana38">#REF!</definedName>
    <definedName name="_ana39">#REF!</definedName>
    <definedName name="_ana4">#REF!</definedName>
    <definedName name="_ana40">#REF!</definedName>
    <definedName name="_ana41">#REF!</definedName>
    <definedName name="_ana42">#REF!</definedName>
    <definedName name="_ana43">#REF!</definedName>
    <definedName name="_ana44">#REF!</definedName>
    <definedName name="_ana45">#REF!</definedName>
    <definedName name="_ana46">#REF!</definedName>
    <definedName name="_ana47">#REF!</definedName>
    <definedName name="_ana48">#REF!</definedName>
    <definedName name="_ana49">#REF!</definedName>
    <definedName name="_ana5">#REF!</definedName>
    <definedName name="_ana50">#REF!</definedName>
    <definedName name="_ana51">#REF!</definedName>
    <definedName name="_ana52">#REF!</definedName>
    <definedName name="_ana53">#REF!</definedName>
    <definedName name="_ana54">#REF!</definedName>
    <definedName name="_ana55">#REF!</definedName>
    <definedName name="_ana56">#REF!</definedName>
    <definedName name="_ana57">#REF!</definedName>
    <definedName name="_ana58">#REF!</definedName>
    <definedName name="_ana59">#REF!</definedName>
    <definedName name="_ana6">#REF!</definedName>
    <definedName name="_ana60">#REF!</definedName>
    <definedName name="_ana61">#REF!</definedName>
    <definedName name="_ana62">#REF!</definedName>
    <definedName name="_ana63">#REF!</definedName>
    <definedName name="_ana64">#REF!</definedName>
    <definedName name="_ana65">#REF!</definedName>
    <definedName name="_ana66">#REF!</definedName>
    <definedName name="_ana67">#REF!</definedName>
    <definedName name="_ana68">#REF!</definedName>
    <definedName name="_ana69">#REF!</definedName>
    <definedName name="_ana7">#REF!</definedName>
    <definedName name="_ana70">#REF!</definedName>
    <definedName name="_ana71">#REF!</definedName>
    <definedName name="_ana72">#REF!</definedName>
    <definedName name="_ana73">#REF!</definedName>
    <definedName name="_ana74">#REF!</definedName>
    <definedName name="_ana75">#REF!</definedName>
    <definedName name="_ana76">#REF!</definedName>
    <definedName name="_ana77">#REF!</definedName>
    <definedName name="_ana78">#REF!</definedName>
    <definedName name="_ana79">#REF!</definedName>
    <definedName name="_ana8">#REF!</definedName>
    <definedName name="_ana80">#REF!</definedName>
    <definedName name="_ana81">#REF!</definedName>
    <definedName name="_ana82">#REF!</definedName>
    <definedName name="_ana83">#REF!</definedName>
    <definedName name="_ana84">#REF!</definedName>
    <definedName name="_ana85">#REF!</definedName>
    <definedName name="_ana86">#REF!</definedName>
    <definedName name="_ana87">#REF!</definedName>
    <definedName name="_ana88">#REF!</definedName>
    <definedName name="_ana89">#REF!</definedName>
    <definedName name="_ana9">#REF!</definedName>
    <definedName name="_ana90">#REF!</definedName>
    <definedName name="_ana91">#REF!</definedName>
    <definedName name="_ana92">#REF!</definedName>
    <definedName name="_ana93">#REF!</definedName>
    <definedName name="_ana94">#REF!</definedName>
    <definedName name="_ana95">#REF!</definedName>
    <definedName name="_ana96">#REF!</definedName>
    <definedName name="_ana97">#REF!</definedName>
    <definedName name="_ana98">#REF!</definedName>
    <definedName name="_ana99">#REF!</definedName>
    <definedName name="_ANHARGAPK">#REF!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1">#REF!</definedName>
    <definedName name="_ANK123">#REF!</definedName>
    <definedName name="_anK127">#REF!</definedName>
    <definedName name="_ANK128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0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6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2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K710">#REF!</definedName>
    <definedName name="_ANK715">#REF!</definedName>
    <definedName name="_ANK720">#REF!</definedName>
    <definedName name="_ANK722">#REF!</definedName>
    <definedName name="_ANK810">#REF!</definedName>
    <definedName name="_ANK880">#REF!</definedName>
    <definedName name="_APP3">_APP3</definedName>
    <definedName name="_aru1">#REF!</definedName>
    <definedName name="_asb5">#REF!</definedName>
    <definedName name="_b">NA()</definedName>
    <definedName name="_Bal20">#REF!</definedName>
    <definedName name="_Bal40">#REF!</definedName>
    <definedName name="_Bar30">#REF!</definedName>
    <definedName name="_bcv100">#REF!</definedName>
    <definedName name="_bcv125">#REF!</definedName>
    <definedName name="_bcv150">#REF!</definedName>
    <definedName name="_bes24">#REF!</definedName>
    <definedName name="_bes39">#REF!</definedName>
    <definedName name="_bes40">#REF!</definedName>
    <definedName name="_bet350">#REF!</definedName>
    <definedName name="_bet400">#REF!</definedName>
    <definedName name="_BFG66">#REF!</definedName>
    <definedName name="_Bjl28">#REF!</definedName>
    <definedName name="_Bjl30">#REF!</definedName>
    <definedName name="_Bmb10">#REF!</definedName>
    <definedName name="_Bmb57">#REF!</definedName>
    <definedName name="_BOX2">#REF!</definedName>
    <definedName name="_Bpl02">#REF!</definedName>
    <definedName name="_Bpl06">#REF!</definedName>
    <definedName name="_Bpl10">#REF!</definedName>
    <definedName name="_bpl32">#REF!</definedName>
    <definedName name="_bpl9">#REF!</definedName>
    <definedName name="_bsd1600">#REF!</definedName>
    <definedName name="_bsd2500">#REF!</definedName>
    <definedName name="_bsd4000">#REF!</definedName>
    <definedName name="_BSP3">#REF!</definedName>
    <definedName name="_BSP4">#REF!</definedName>
    <definedName name="_BSP5">#REF!</definedName>
    <definedName name="_BSP6">#REF!</definedName>
    <definedName name="_BSP8">#REF!</definedName>
    <definedName name="_Bsq24">#REF!</definedName>
    <definedName name="_Bsq33">#REF!</definedName>
    <definedName name="_Bsq44">#REF!</definedName>
    <definedName name="_btg1">#REF!</definedName>
    <definedName name="_btg2">#REF!</definedName>
    <definedName name="_btg3">#REF!</definedName>
    <definedName name="_BTr34">#REF!</definedName>
    <definedName name="_Btr66">#REF!</definedName>
    <definedName name="_Bub20">#REF!</definedName>
    <definedName name="_Bub30">#REF!</definedName>
    <definedName name="_Bub40">#REF!</definedName>
    <definedName name="_Bub50">#REF!</definedName>
    <definedName name="_Bub60">#REF!</definedName>
    <definedName name="_Bub80">#REF!</definedName>
    <definedName name="_bud3500">#REF!</definedName>
    <definedName name="_c">NA()</definedName>
    <definedName name="_c_13">NA()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N15">#REF!</definedName>
    <definedName name="_cas80">#REF!</definedName>
    <definedName name="_cat1">#REF!</definedName>
    <definedName name="_cat2">#REF!</definedName>
    <definedName name="_cat3">#REF!</definedName>
    <definedName name="_cbr30">#REF!</definedName>
    <definedName name="_cbr80">#REF!</definedName>
    <definedName name="_CDs34">#REF!</definedName>
    <definedName name="_CFP2">#REF!</definedName>
    <definedName name="_CH1..H1___C__R">NA()</definedName>
    <definedName name="_CH11..H11___C_">NA()</definedName>
    <definedName name="_CH13..H13___C_">NA()</definedName>
    <definedName name="_CH15..H15___C_">NA()</definedName>
    <definedName name="_CH17..H17___C_">NA()</definedName>
    <definedName name="_CH19..H19___C_">NA()</definedName>
    <definedName name="_CH21..H21___C_">NA()</definedName>
    <definedName name="_CH23..H23___C_">NA()</definedName>
    <definedName name="_CH25..H25___C_">NA()</definedName>
    <definedName name="_CH27..H27___C_">NA()</definedName>
    <definedName name="_CH29..H29___C_">NA()</definedName>
    <definedName name="_CH3..H3___C__R">NA()</definedName>
    <definedName name="_CH31..H31___C_">NA()</definedName>
    <definedName name="_CH33..H33___C_">NA()</definedName>
    <definedName name="_CH35..H35___C_">NA()</definedName>
    <definedName name="_CH37..H37___C_">NA()</definedName>
    <definedName name="_CH39..H39___C_">NA()</definedName>
    <definedName name="_CH41..H41___C_">NA()</definedName>
    <definedName name="_CH43..H43___C_">NA()</definedName>
    <definedName name="_CH45..H45___C_">NA()</definedName>
    <definedName name="_CH5..H5___C__R">NA()</definedName>
    <definedName name="_CH7..H7___C__R">NA()</definedName>
    <definedName name="_CH9..H9___C__R">NA()</definedName>
    <definedName name="_cle10">#REF!</definedName>
    <definedName name="_cle65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NP125">#REF!</definedName>
    <definedName name="_CNP200">#REF!</definedName>
    <definedName name="_cod50">#REF!</definedName>
    <definedName name="_cor1">#REF!</definedName>
    <definedName name="_cor175">#REF!</definedName>
    <definedName name="_cor225">#REF!</definedName>
    <definedName name="_cor300">#REF!</definedName>
    <definedName name="_CT250">NA()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Cvv02">#REF!</definedName>
    <definedName name="_D">"$#REF!.$GN$8"</definedName>
    <definedName name="_D_1">#REF!</definedName>
    <definedName name="_D_13">#REF!</definedName>
    <definedName name="_D_14">#REF!</definedName>
    <definedName name="_D_22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g10">#REF!</definedName>
    <definedName name="_ddg20">#REF!</definedName>
    <definedName name="_ddg30">#REF!</definedName>
    <definedName name="_ddn400">"$#REF!.$F$47"</definedName>
    <definedName name="_ddn600">"$#REF!.$F$33"</definedName>
    <definedName name="_dgt100">NA()</definedName>
    <definedName name="_dia6">#REF!</definedName>
    <definedName name="_din12">#REF!</definedName>
    <definedName name="_Dist_Bin" hidden="1">#REF!</definedName>
    <definedName name="_Dist_Values" hidden="1">#REF!</definedName>
    <definedName name="_DIV1">#REF!</definedName>
    <definedName name="_DIV10">#REF!</definedName>
    <definedName name="_DIV11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lh20">#REF!</definedName>
    <definedName name="_dlh50">#REF!</definedName>
    <definedName name="_Dlk10">#REF!</definedName>
    <definedName name="_Dlk57">#REF!</definedName>
    <definedName name="_DlS25">#REF!</definedName>
    <definedName name="_Dnp02">#REF!</definedName>
    <definedName name="_DTr35">#REF!</definedName>
    <definedName name="_DTr50">#REF!</definedName>
    <definedName name="_E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ee34">#REF!</definedName>
    <definedName name="_EEE35">#REF!</definedName>
    <definedName name="_EEE36">#REF!</definedName>
    <definedName name="_EEE37">#REF!</definedName>
    <definedName name="_EEE38">#REF!</definedName>
    <definedName name="_EEE39">#REF!</definedName>
    <definedName name="_Eqp1">#REF!</definedName>
    <definedName name="_Eqp2">#REF!</definedName>
    <definedName name="_Exc1">#REF!</definedName>
    <definedName name="_f" hidden="1">#REF!</definedName>
    <definedName name="_F_1">#REF!</definedName>
    <definedName name="_F_13">"$#REF!.$#REF!$#REF!"</definedName>
    <definedName name="_faw10">#REF!</definedName>
    <definedName name="_faw65">#REF!</definedName>
    <definedName name="_fcp1">#REF!</definedName>
    <definedName name="_fdd100">#REF!</definedName>
    <definedName name="_Fdr01">#REF!</definedName>
    <definedName name="_Fdr02">#REF!</definedName>
    <definedName name="_Fill" hidden="1">#REF!</definedName>
    <definedName name="_fjd100">#REF!</definedName>
    <definedName name="_fjd150">#REF!</definedName>
    <definedName name="_fjd50">#REF!</definedName>
    <definedName name="_fjd65">#REF!</definedName>
    <definedName name="_flo40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495">#REF!</definedName>
    <definedName name="_frc41010">#REF!</definedName>
    <definedName name="_frc495">#REF!</definedName>
    <definedName name="_fvd100">#REF!</definedName>
    <definedName name="_G">"$#REF!.$GN$13"</definedName>
    <definedName name="_gat50">#REF!</definedName>
    <definedName name="_GBl22">#REF!</definedName>
    <definedName name="_gen1000">#REF!</definedName>
    <definedName name="_Gfu20">#REF!</definedName>
    <definedName name="_Gfu30">#REF!</definedName>
    <definedName name="_Gfu40">#REF!</definedName>
    <definedName name="_GID1">"'file:///d:/project/energyhouse2/energyhouse2-mainkontraktor/energyhouse2-mainkontraktor-tender/energyhouse2-mainkontraktor-tender-boq/misc/congviec/tam.xls'#$'lkvl-ck-ht-gd1'.$a$4"</definedName>
    <definedName name="_GiM02">#REF!</definedName>
    <definedName name="_GiM03">#REF!</definedName>
    <definedName name="_GiM04">#REF!</definedName>
    <definedName name="_GiM05">#REF!</definedName>
    <definedName name="_GiM06">#REF!</definedName>
    <definedName name="_GiM08">#REF!</definedName>
    <definedName name="_GiM10">#REF!</definedName>
    <definedName name="_GiM12">#REF!</definedName>
    <definedName name="_GiM16">#REF!</definedName>
    <definedName name="_GIP1">#REF!</definedName>
    <definedName name="_gip15">#REF!</definedName>
    <definedName name="_GIP2">#REF!</definedName>
    <definedName name="_gip20">#REF!</definedName>
    <definedName name="_gip25">#REF!</definedName>
    <definedName name="_GIP3">#REF!</definedName>
    <definedName name="_gip32">#REF!</definedName>
    <definedName name="_GIP4">#REF!</definedName>
    <definedName name="_gip40">#REF!</definedName>
    <definedName name="_GIP4004">"'file://SERVER3/har-data/STRUCTURE PRICE OF BQ KOMPAS GRAMEDIA.xls'#$analisa.$#REF!$#REF!"</definedName>
    <definedName name="_gip50">#REF!</definedName>
    <definedName name="_GIP5004">"'file://SERVER3/har-data/STRUCTURE PRICE OF BQ KOMPAS GRAMEDIA.xls'#$analisa.$#REF!$#REF!"</definedName>
    <definedName name="_GIP6504">"'file://SERVER3/har-data/STRUCTURE PRICE OF BQ KOMPAS GRAMEDIA.xls'#$analisa.$#REF!$#REF!"</definedName>
    <definedName name="_GIP804">"'file://SERVER3/har-data/STRUCTURE PRICE OF BQ KOMPAS GRAMEDIA.xls'#$analisa.$#REF!$#REF!"</definedName>
    <definedName name="_GiS02">#REF!</definedName>
    <definedName name="_GiS03">#REF!</definedName>
    <definedName name="_GiS04">#REF!</definedName>
    <definedName name="_GiS05">#REF!</definedName>
    <definedName name="_GiS06">#REF!</definedName>
    <definedName name="_GiS07">#REF!</definedName>
    <definedName name="_GiS08">#REF!</definedName>
    <definedName name="_GiS10">#REF!</definedName>
    <definedName name="_GiS12">#REF!</definedName>
    <definedName name="_GiS16">#REF!</definedName>
    <definedName name="_giv1">#REF!</definedName>
    <definedName name="_gk2" hidden="1">#REF!</definedName>
    <definedName name="_GNB1">#REF!</definedName>
    <definedName name="_GNB2">#REF!</definedName>
    <definedName name="_gra6060">#REF!</definedName>
    <definedName name="_grc1">#REF!</definedName>
    <definedName name="_grc6">#REF!</definedName>
    <definedName name="_grc8">#REF!</definedName>
    <definedName name="_Grn46">#REF!</definedName>
    <definedName name="_grv20">#REF!</definedName>
    <definedName name="_grv30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#REF!</definedName>
    <definedName name="_gvd25">#REF!</definedName>
    <definedName name="_gvd32">#REF!</definedName>
    <definedName name="_gvd40">#REF!</definedName>
    <definedName name="_gvd50">#REF!</definedName>
    <definedName name="_gvd65">#REF!</definedName>
    <definedName name="_gvd80">#REF!</definedName>
    <definedName name="_GVv02">#REF!</definedName>
    <definedName name="_gyf9">#REF!</definedName>
    <definedName name="_gyp9">#REF!</definedName>
    <definedName name="_H">"$#REF!.$GN$17"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HHH01">#REF!</definedName>
    <definedName name="_Hot10">#REF!</definedName>
    <definedName name="_Hot15">#REF!</definedName>
    <definedName name="_Hot20">#REF!</definedName>
    <definedName name="_Hot25">#REF!</definedName>
    <definedName name="_hpc2">#REF!</definedName>
    <definedName name="_i">NA()</definedName>
    <definedName name="_I_13">"$#REF!.$GN$18"</definedName>
    <definedName name="_Ibr1">#REF!</definedName>
    <definedName name="_IMB01">#REF!</definedName>
    <definedName name="_iv65655">#REF!</definedName>
    <definedName name="_J">NA()</definedName>
    <definedName name="_ja11">#REF!</definedName>
    <definedName name="_ja12">#REF!</definedName>
    <definedName name="_ja13">#REF!</definedName>
    <definedName name="_ja14">#REF!</definedName>
    <definedName name="_jab1">#REF!</definedName>
    <definedName name="_JUM1">NA()</definedName>
    <definedName name="_JUM10">"$#REF!.$N$2493"</definedName>
    <definedName name="_JUM11">"$#REF!.$N$2502"</definedName>
    <definedName name="_JUM2">NA()</definedName>
    <definedName name="_JUM3">NA()</definedName>
    <definedName name="_jum4">#REF!</definedName>
    <definedName name="_jum5">#REF!</definedName>
    <definedName name="_JUM6">"$#REF!.$N$2433"</definedName>
    <definedName name="_JUM7">"$#REF!.$N$2463"</definedName>
    <definedName name="_JUM8">"$#REF!.$N$2479"</definedName>
    <definedName name="_JUM9">"$#REF!.$N$2484"</definedName>
    <definedName name="_K">"$#REF!.$GN$21"</definedName>
    <definedName name="_k100123">#REF!</definedName>
    <definedName name="_KAn13">#REF!</definedName>
    <definedName name="_KAw13">#REF!</definedName>
    <definedName name="_kc3">#REF!</definedName>
    <definedName name="_kc5">#REF!</definedName>
    <definedName name="_kco7">#REF!</definedName>
    <definedName name="_ke1">#REF!</definedName>
    <definedName name="_ke2">#REF!</definedName>
    <definedName name="_ke3">#REF!</definedName>
    <definedName name="_ke4">#REF!</definedName>
    <definedName name="_ker1020">#REF!</definedName>
    <definedName name="_ker1030">#REF!</definedName>
    <definedName name="_ker2020">#REF!</definedName>
    <definedName name="_ker2530">#REF!</definedName>
    <definedName name="_ker3030">#REF!</definedName>
    <definedName name="_ker3333">#REF!</definedName>
    <definedName name="_KEY001" hidden="1">#REF!</definedName>
    <definedName name="_KEY002" hidden="1">#REF!</definedName>
    <definedName name="_KEY01" hidden="1">#REF!</definedName>
    <definedName name="_KEY02" hidden="1">#REF!</definedName>
    <definedName name="_Key1" hidden="1">#REF!</definedName>
    <definedName name="_Key2" hidden="1">#REF!</definedName>
    <definedName name="_kht20">#REF!</definedName>
    <definedName name="_kht40">#REF!</definedName>
    <definedName name="_kht50">#REF!</definedName>
    <definedName name="_kl2">#REF!</definedName>
    <definedName name="_kl3">#REF!</definedName>
    <definedName name="_KL78906">#REF!</definedName>
    <definedName name="_KLc88">#REF!</definedName>
    <definedName name="_kof1">#REF!</definedName>
    <definedName name="_Kpp12">#REF!</definedName>
    <definedName name="_Kpp13">#REF!</definedName>
    <definedName name="_KR1">#REF!</definedName>
    <definedName name="_kr15">#REF!</definedName>
    <definedName name="_KR22">#REF!</definedName>
    <definedName name="_KR6">#REF!</definedName>
    <definedName name="_KR7">#REF!</definedName>
    <definedName name="_KR8">#REF!</definedName>
    <definedName name="_KR9">#REF!</definedName>
    <definedName name="_KrB02">#REF!</definedName>
    <definedName name="_KrB03">#REF!</definedName>
    <definedName name="_KrK02">#REF!</definedName>
    <definedName name="_Krk03">#REF!</definedName>
    <definedName name="_Krk04">#REF!</definedName>
    <definedName name="_Krp12">#REF!</definedName>
    <definedName name="_Krp22">#REF!</definedName>
    <definedName name="_Krp33">#REF!</definedName>
    <definedName name="_KrS02">#REF!</definedName>
    <definedName name="_KrS03">#REF!</definedName>
    <definedName name="_Krw12">#REF!</definedName>
    <definedName name="_Krw22">#REF!</definedName>
    <definedName name="_Krw33">#REF!</definedName>
    <definedName name="_L">"$#REF!.$GN$22"</definedName>
    <definedName name="_Lad1">#REF!</definedName>
    <definedName name="_Lad2">#REF!</definedName>
    <definedName name="_Lad3">#REF!</definedName>
    <definedName name="_ldp60">#REF!</definedName>
    <definedName name="_lh50">#REF!</definedName>
    <definedName name="_lk05">#REF!</definedName>
    <definedName name="_LL110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mb1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G15">#REF!</definedName>
    <definedName name="_Lpk01">#REF!</definedName>
    <definedName name="_Lpk02">#REF!</definedName>
    <definedName name="_Lpk04">#REF!</definedName>
    <definedName name="_Lpk05">#REF!</definedName>
    <definedName name="_Lpk10">#REF!</definedName>
    <definedName name="_lpl11">#REF!</definedName>
    <definedName name="_LS50">#REF!</definedName>
    <definedName name="_M">"$#REF!.$#REF!$#REF!"</definedName>
    <definedName name="_M_1">#REF!</definedName>
    <definedName name="_MAC12">"$#REF!.$H$6"</definedName>
    <definedName name="_MAC46">"$#REF!.$H$61"</definedName>
    <definedName name="_MatMult_A" hidden="1">#REF!</definedName>
    <definedName name="_MatMult_AxB" hidden="1">#REF!</definedName>
    <definedName name="_MatMult_B" hidden="1">#REF!</definedName>
    <definedName name="_MB867">#REF!</definedName>
    <definedName name="_MBW867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#REF!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p1">"$#REF!.$AE$70"</definedName>
    <definedName name="_Mer80">#REF!</definedName>
    <definedName name="_mix175">#REF!</definedName>
    <definedName name="_mix225">#REF!</definedName>
    <definedName name="_mix300">#REF!</definedName>
    <definedName name="_MMM01">#REF!</definedName>
    <definedName name="_MMM02">#REF!</definedName>
    <definedName name="_MMM03">#REF!</definedName>
    <definedName name="_MMM04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#REF!</definedName>
    <definedName name="_MMM19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#REF!</definedName>
    <definedName name="_MMM38">#REF!</definedName>
    <definedName name="_MMM39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p1">#REF!</definedName>
    <definedName name="_mp3">#REF!</definedName>
    <definedName name="_Mpk12">#REF!</definedName>
    <definedName name="_Mpk18">#REF!</definedName>
    <definedName name="_Mpk9">#REF!</definedName>
    <definedName name="_mu1">#REF!</definedName>
    <definedName name="_MU200">#REF!</definedName>
    <definedName name="_mu2003">NA()</definedName>
    <definedName name="_MU270">#REF!</definedName>
    <definedName name="_mu300">#REF!</definedName>
    <definedName name="_mu30010">NA()</definedName>
    <definedName name="_MU301">#REF!</definedName>
    <definedName name="_MU380">#REF!</definedName>
    <definedName name="_MU400">#REF!</definedName>
    <definedName name="_mu4003">NA()</definedName>
    <definedName name="_mu408">#REF!</definedName>
    <definedName name="_MU440">#REF!</definedName>
    <definedName name="_MU450">#REF!</definedName>
    <definedName name="_mul12">#REF!</definedName>
    <definedName name="_mul9">#REF!</definedName>
    <definedName name="_mur10">#REF!</definedName>
    <definedName name="_mur12">#REF!</definedName>
    <definedName name="_mur8">#REF!</definedName>
    <definedName name="_N">"$#REF!.$GN$25"</definedName>
    <definedName name="_NCL100">"$#REF!.$#REF!$#REF!"</definedName>
    <definedName name="_NCL200">"$#REF!.$#REF!$#REF!"</definedName>
    <definedName name="_NCL250">"$#REF!.$#REF!$#REF!"</definedName>
    <definedName name="_new5">HAJIME:OWARI</definedName>
    <definedName name="_NFA175">#REF!</definedName>
    <definedName name="_NFA250">#REF!</definedName>
    <definedName name="_NFA300">#REF!</definedName>
    <definedName name="_NFA350">#REF!</definedName>
    <definedName name="_NFA400">#REF!</definedName>
    <definedName name="_NFA450">#REF!</definedName>
    <definedName name="_NFA500">#REF!</definedName>
    <definedName name="_nin190">"$#REF!.$#REF!$#REF!"</definedName>
    <definedName name="_nm1">#REF!</definedName>
    <definedName name="_NSF10">#REF!</definedName>
    <definedName name="_NSF15">#REF!</definedName>
    <definedName name="_NYA115">#REF!</definedName>
    <definedName name="_NYA125">#REF!</definedName>
    <definedName name="_NYM215">#REF!</definedName>
    <definedName name="_NYM225">#REF!</definedName>
    <definedName name="_NYM240">#REF!</definedName>
    <definedName name="_NYM260">#REF!</definedName>
    <definedName name="_NYM315">#REF!</definedName>
    <definedName name="_NYM325">#REF!</definedName>
    <definedName name="_nym34">#REF!</definedName>
    <definedName name="_NYM340">#REF!</definedName>
    <definedName name="_NYM360">#REF!</definedName>
    <definedName name="_NYM425">#REF!</definedName>
    <definedName name="_NYM440">#REF!</definedName>
    <definedName name="_nym46">#REF!</definedName>
    <definedName name="_NYM460">#REF!</definedName>
    <definedName name="_NYY240">#REF!</definedName>
    <definedName name="_nyy2416">#REF!</definedName>
    <definedName name="_nyy244">#REF!</definedName>
    <definedName name="_nyy246">#REF!</definedName>
    <definedName name="_NYY260">#REF!</definedName>
    <definedName name="_nyy34">#REF!</definedName>
    <definedName name="_NYY340">#REF!</definedName>
    <definedName name="_NYY360">#REF!</definedName>
    <definedName name="_nyy410">#REF!</definedName>
    <definedName name="_nyy41010">#REF!</definedName>
    <definedName name="_nyy412050">#REF!</definedName>
    <definedName name="_nyy412070">#REF!</definedName>
    <definedName name="_nyy415070">#REF!</definedName>
    <definedName name="_nyy416">#REF!</definedName>
    <definedName name="_nyy41616">#REF!</definedName>
    <definedName name="_nyy42525">#REF!</definedName>
    <definedName name="_nyy43535">#REF!</definedName>
    <definedName name="_nyy44">#REF!</definedName>
    <definedName name="_NYY440">#REF!</definedName>
    <definedName name="_nyy444">#REF!</definedName>
    <definedName name="_nyy45050">#REF!</definedName>
    <definedName name="_nyy46">#REF!</definedName>
    <definedName name="_NYY460">#REF!</definedName>
    <definedName name="_nyy466">#REF!</definedName>
    <definedName name="_nyy47050">#REF!</definedName>
    <definedName name="_nyy47070">#REF!</definedName>
    <definedName name="_nyy49570">#REF!</definedName>
    <definedName name="_O">"$#REF!.$GN$27"</definedName>
    <definedName name="_Oks14">#REF!</definedName>
    <definedName name="_Opa1">#REF!</definedName>
    <definedName name="_Opa2">#REF!</definedName>
    <definedName name="_Order1" hidden="1">255</definedName>
    <definedName name="_Order2" hidden="1">255</definedName>
    <definedName name="_p">NA()</definedName>
    <definedName name="_PA1">#REF!</definedName>
    <definedName name="_PA2">#REF!</definedName>
    <definedName name="_pab100">#REF!</definedName>
    <definedName name="_pab125">#REF!</definedName>
    <definedName name="_pab126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m120">#REF!</definedName>
    <definedName name="_pan2">#REF!</definedName>
    <definedName name="_Pav8">"$#REF!.$G$245"</definedName>
    <definedName name="_paw10">#REF!</definedName>
    <definedName name="_PAw16">#REF!</definedName>
    <definedName name="_paw25">#REF!</definedName>
    <definedName name="_paw40">#REF!</definedName>
    <definedName name="_paw50">#REF!</definedName>
    <definedName name="_paw65">#REF!</definedName>
    <definedName name="_pb1">#REF!</definedName>
    <definedName name="_PBK175">#REF!</definedName>
    <definedName name="_PBK22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450">#REF!</definedName>
    <definedName name="_pc50">#REF!</definedName>
    <definedName name="_PC600">#REF!</definedName>
    <definedName name="_pc80">#REF!</definedName>
    <definedName name="_pcf80">#REF!</definedName>
    <definedName name="_pek1">#REF!</definedName>
    <definedName name="_pek2">#REF!</definedName>
    <definedName name="_pek3">#REF!</definedName>
    <definedName name="_pf18">#REF!</definedName>
    <definedName name="_ph100">#REF!</definedName>
    <definedName name="_ph150">#REF!</definedName>
    <definedName name="_phf100">#REF!</definedName>
    <definedName name="_phf150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k13">#REF!</definedName>
    <definedName name="_pk47">#REF!</definedName>
    <definedName name="_pk8">#REF!</definedName>
    <definedName name="_PL1">#REF!</definedName>
    <definedName name="_PL2">#REF!</definedName>
    <definedName name="_PL3">#REF!</definedName>
    <definedName name="_Plt33">#REF!</definedName>
    <definedName name="_Plt43">#REF!</definedName>
    <definedName name="_Pnl36">#REF!</definedName>
    <definedName name="_po1000">#REF!</definedName>
    <definedName name="_PPN1">"$#REF!.$I$31"</definedName>
    <definedName name="_PRC019">#REF!</definedName>
    <definedName name="_PRu02">#REF!</definedName>
    <definedName name="_PRu03">#REF!</definedName>
    <definedName name="_PRu04">#REF!</definedName>
    <definedName name="_PRu05">#REF!</definedName>
    <definedName name="_PRu06">#REF!</definedName>
    <definedName name="_PRu08">#REF!</definedName>
    <definedName name="_PRu10">#REF!</definedName>
    <definedName name="_PRu12">#REF!</definedName>
    <definedName name="_PRu16">#REF!</definedName>
    <definedName name="_PSb02">#REF!</definedName>
    <definedName name="_PSb03">#REF!</definedName>
    <definedName name="_PSb04">#REF!</definedName>
    <definedName name="_PSb05">#REF!</definedName>
    <definedName name="_PSb06">#REF!</definedName>
    <definedName name="_PSb07">#REF!</definedName>
    <definedName name="_PSb08">#REF!</definedName>
    <definedName name="_Psb10">#REF!</definedName>
    <definedName name="_PSb12">#REF!</definedName>
    <definedName name="_PSb16">#REF!</definedName>
    <definedName name="_PSC084">#REF!</definedName>
    <definedName name="_PsW1">#REF!</definedName>
    <definedName name="_ptg1">#REF!</definedName>
    <definedName name="_ptg2">#REF!</definedName>
    <definedName name="_pv100">#REF!</definedName>
    <definedName name="_pv40">#REF!</definedName>
    <definedName name="_pv50">#REF!</definedName>
    <definedName name="_pv80">#REF!</definedName>
    <definedName name="_pvc05">#REF!</definedName>
    <definedName name="_PVC1">#REF!</definedName>
    <definedName name="_pvc100">#REF!</definedName>
    <definedName name="_pvc150">#REF!</definedName>
    <definedName name="_PVC2">#REF!</definedName>
    <definedName name="_pvc20">#REF!</definedName>
    <definedName name="_pvc200">#REF!</definedName>
    <definedName name="_pvc25">#REF!</definedName>
    <definedName name="_PVC3">#REF!</definedName>
    <definedName name="_pvc32">#REF!</definedName>
    <definedName name="_PVC4">#REF!</definedName>
    <definedName name="_pvc40">#REF!</definedName>
    <definedName name="_pvc50">#REF!</definedName>
    <definedName name="_PVC6">#REF!</definedName>
    <definedName name="_pvc65">#REF!</definedName>
    <definedName name="_PVC8">#REF!</definedName>
    <definedName name="_pvc80">#REF!</definedName>
    <definedName name="_pvc804">"'file://SERVER3/har-data/STRUCTURE PRICE OF BQ KOMPAS GRAMEDIA.xls'#$analisa.$#REF!$#REF!"</definedName>
    <definedName name="_pvc805">"'file://SERVER3/har-data/STRUCTURE PRICE OF BQ KOMPAS GRAMEDIA.xls'#$analisa.$#REF!$#REF!"</definedName>
    <definedName name="_pvf100">#REF!</definedName>
    <definedName name="_pvf80">#REF!</definedName>
    <definedName name="_PW1">#REF!</definedName>
    <definedName name="_PW2">#REF!</definedName>
    <definedName name="_Pwd18">#REF!</definedName>
    <definedName name="_Q">#REF!</definedName>
    <definedName name="_Q_1">#REF!</definedName>
    <definedName name="_Q_13">"$#REF!.$#REF!$#REF!"</definedName>
    <definedName name="_Q_14">#REF!</definedName>
    <definedName name="_Q_22">#REF!</definedName>
    <definedName name="_qmd15">#REF!</definedName>
    <definedName name="_qmd20">#REF!</definedName>
    <definedName name="_r">NA()</definedName>
    <definedName name="_RAB1">#REF!</definedName>
    <definedName name="_rd1">#REF!</definedName>
    <definedName name="_rd2">#REF!</definedName>
    <definedName name="_rd3">#REF!</definedName>
    <definedName name="_rdd100">#REF!</definedName>
    <definedName name="_rdd150">#REF!</definedName>
    <definedName name="_ReB23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k23">#REF!</definedName>
    <definedName name="_Rek34">#REF!</definedName>
    <definedName name="_RFj05">#REF!</definedName>
    <definedName name="_RFj10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175">#REF!</definedName>
    <definedName name="_Rm225">#REF!</definedName>
    <definedName name="_Rm375">#REF!</definedName>
    <definedName name="_RNCTOTVB">"$#REF!.$L$2200"</definedName>
    <definedName name="_Rol06">#REF!</definedName>
    <definedName name="_Rol10">#REF!</definedName>
    <definedName name="_rst20">#REF!</definedName>
    <definedName name="_rst30">#REF!</definedName>
    <definedName name="_S">"$#REF!.$GN$35"</definedName>
    <definedName name="_S___4_1">NA()</definedName>
    <definedName name="_S_1">#REF!</definedName>
    <definedName name="_SBr01">#REF!</definedName>
    <definedName name="_SBr02">#REF!</definedName>
    <definedName name="_sc1">"$#REF!.$H$6"</definedName>
    <definedName name="_SC2">"$#REF!.$H$9"</definedName>
    <definedName name="_sc3">"$#REF!.$H$56"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HT2">#REF!</definedName>
    <definedName name="_SHT3">#REF!</definedName>
    <definedName name="_SJd01">#REF!</definedName>
    <definedName name="_SlP25">#REF!</definedName>
    <definedName name="_sn1020">#REF!</definedName>
    <definedName name="_SN3">"$#REF!.$#REF!$#REF!"</definedName>
    <definedName name="_Sort" hidden="1">#REF!</definedName>
    <definedName name="_Spl02">#REF!</definedName>
    <definedName name="_Spl03">#REF!</definedName>
    <definedName name="_Spl04">#REF!</definedName>
    <definedName name="_Spl05">#REF!</definedName>
    <definedName name="_Spl12">#REF!</definedName>
    <definedName name="_Spl23">#REF!</definedName>
    <definedName name="_Spl35">#REF!</definedName>
    <definedName name="_Spl57">#REF!</definedName>
    <definedName name="_Spt02">#REF!</definedName>
    <definedName name="_Spt06">#REF!</definedName>
    <definedName name="_Spt10">#REF!</definedName>
    <definedName name="_st1">#REF!</definedName>
    <definedName name="_st2">#REF!</definedName>
    <definedName name="_st3">#REF!</definedName>
    <definedName name="_std100">#REF!</definedName>
    <definedName name="_std150">#REF!</definedName>
    <definedName name="_std50">#REF!</definedName>
    <definedName name="_std65">#REF!</definedName>
    <definedName name="_StK03">#REF!</definedName>
    <definedName name="_StK04">#REF!</definedName>
    <definedName name="_StK06">#REF!</definedName>
    <definedName name="_StK08">#REF!</definedName>
    <definedName name="_StK10">#REF!</definedName>
    <definedName name="_StK12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5">#REF!</definedName>
    <definedName name="_str96">#REF!</definedName>
    <definedName name="_str97">#REF!</definedName>
    <definedName name="_str98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B7">#REF!</definedName>
    <definedName name="_SUM1">#REF!</definedName>
    <definedName name="_SUM2">#REF!</definedName>
    <definedName name="_SUM3">#REF!</definedName>
    <definedName name="_t">NA()</definedName>
    <definedName name="_T_13">NA()</definedName>
    <definedName name="_T916889">#REF!</definedName>
    <definedName name="_TA01">#REF!</definedName>
    <definedName name="_TA67">#REF!</definedName>
    <definedName name="_TA78">#REF!</definedName>
    <definedName name="_TA89">#REF!</definedName>
    <definedName name="_TA90">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b1">#REF!</definedName>
    <definedName name="_Tbb2">#REF!</definedName>
    <definedName name="_Tbs1">#REF!</definedName>
    <definedName name="_Tbs2">#REF!</definedName>
    <definedName name="_tbt1">#REF!</definedName>
    <definedName name="_tbt2">#REF!</definedName>
    <definedName name="_TCa1">#REF!</definedName>
    <definedName name="_Tca2">#REF!</definedName>
    <definedName name="_Tfp22">#REF!</definedName>
    <definedName name="_Tfw22">#REF!</definedName>
    <definedName name="_tg20">#REF!</definedName>
    <definedName name="_tg30">#REF!</definedName>
    <definedName name="_Tgb33">#REF!</definedName>
    <definedName name="_tgl1">#REF!</definedName>
    <definedName name="_Tgp22">#REF!</definedName>
    <definedName name="_Tgp33">#REF!</definedName>
    <definedName name="_Tgw22">#REF!</definedName>
    <definedName name="_Tgw33">#REF!</definedName>
    <definedName name="_th100">NA()</definedName>
    <definedName name="_TH160">NA()</definedName>
    <definedName name="_THP2">STOP:STOPE</definedName>
    <definedName name="_tk04">#REF!</definedName>
    <definedName name="_Tky1">#REF!</definedName>
    <definedName name="_Tky2">#REF!</definedName>
    <definedName name="_TL1">"$#REF!.$C$6"</definedName>
    <definedName name="_TL2">"$#REF!.$D$6"</definedName>
    <definedName name="_TL3">"$#REF!.$#REF!$#REF!"</definedName>
    <definedName name="_TLA120">"$#REF!.$B$23"</definedName>
    <definedName name="_TLA35">"$#REF!.$B$27"</definedName>
    <definedName name="_TLA50">"$#REF!.$B$26"</definedName>
    <definedName name="_TLA70">"$#REF!.$B$25"</definedName>
    <definedName name="_TLA95">"$#REF!.$B$24"</definedName>
    <definedName name="_tlc20">#REF!</definedName>
    <definedName name="_Tlk04">#REF!</definedName>
    <definedName name="_Tlk05">#REF!</definedName>
    <definedName name="_Tlk06">#REF!</definedName>
    <definedName name="_Tlk07">#REF!</definedName>
    <definedName name="_TlP20">#REF!</definedName>
    <definedName name="_Tlp40">#REF!</definedName>
    <definedName name="_TOP2">#REF!</definedName>
    <definedName name="_tp30">#REF!</definedName>
    <definedName name="_tp40">#REF!</definedName>
    <definedName name="_Tpk03">#REF!</definedName>
    <definedName name="_Tpk04">#REF!</definedName>
    <definedName name="_Tpk06">#REF!</definedName>
    <definedName name="_Tpk09">#REF!</definedName>
    <definedName name="_TPp12">#REF!</definedName>
    <definedName name="_TPp13">#REF!</definedName>
    <definedName name="_TPw12">#REF!</definedName>
    <definedName name="_TPw13">#REF!</definedName>
    <definedName name="_TR250">NA()</definedName>
    <definedName name="_tr375">NA()</definedName>
    <definedName name="_tsI3">_tsI3</definedName>
    <definedName name="_tsv25">#REF!</definedName>
    <definedName name="_tv14">#REF!</definedName>
    <definedName name="_Twd03">#REF!</definedName>
    <definedName name="_Twd04">#REF!</definedName>
    <definedName name="_Twd09">#REF!</definedName>
    <definedName name="_U">"$#REF!.$GN$39"</definedName>
    <definedName name="_uls60">#REF!</definedName>
    <definedName name="_up05">#N/A</definedName>
    <definedName name="_up10">"'file://SERVER3/har-data/STRUCTURE PRICE OF BQ KOMPAS GRAMEDIA.xls'#$analisa.$#REF!$#REF!"</definedName>
    <definedName name="_UP15">#N/A</definedName>
    <definedName name="_UP20">#N/A</definedName>
    <definedName name="_UPA100">NA()</definedName>
    <definedName name="_ups10">#REF!</definedName>
    <definedName name="_UR1">#REF!</definedName>
    <definedName name="_UR2">#REF!</definedName>
    <definedName name="_UR4">#REF!</definedName>
    <definedName name="_usd2">#REF!</definedName>
    <definedName name="_v">NA()</definedName>
    <definedName name="_Vib01">#REF!</definedName>
    <definedName name="_Vib07">#REF!</definedName>
    <definedName name="_VL100">"$#REF!.$#REF!$#REF!"</definedName>
    <definedName name="_VL200">"$#REF!.$#REF!$#REF!"</definedName>
    <definedName name="_VL250">"$#REF!.$#REF!$#REF!"</definedName>
    <definedName name="_vnt100">#REF!</definedName>
    <definedName name="_vnt40">#REF!</definedName>
    <definedName name="_vnt50">#REF!</definedName>
    <definedName name="_vnt80">#REF!</definedName>
    <definedName name="_w">NA()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F150">#REF!</definedName>
    <definedName name="_WF32">#REF!</definedName>
    <definedName name="_WF42">#REF!</definedName>
    <definedName name="_wf43">#REF!</definedName>
    <definedName name="_wm16">#REF!</definedName>
    <definedName name="_WM420">#REF!</definedName>
    <definedName name="_Wmr02">#REF!</definedName>
    <definedName name="_wpc1015">#REF!</definedName>
    <definedName name="_WPS10">#REF!</definedName>
    <definedName name="_WPS15">#REF!</definedName>
    <definedName name="_WPS25">#REF!</definedName>
    <definedName name="_WPS45">#REF!</definedName>
    <definedName name="_WQ">#REF!</definedName>
    <definedName name="_x">NA()</definedName>
    <definedName name="_X_13">"$#REF!.$#REF!$#REF!"</definedName>
    <definedName name="_Y">NA()</definedName>
    <definedName name="_z">NA()</definedName>
    <definedName name="_z_13">NA()</definedName>
    <definedName name="A" hidden="1">#REF!</definedName>
    <definedName name="a.004">#REF!</definedName>
    <definedName name="A.005">#REF!</definedName>
    <definedName name="a.007">#REF!</definedName>
    <definedName name="a.01.06">#REF!</definedName>
    <definedName name="a.01.07">#REF!</definedName>
    <definedName name="a.01.16">#REF!</definedName>
    <definedName name="a.017">#REF!</definedName>
    <definedName name="a.02.01">#REF!</definedName>
    <definedName name="a.02.11">#REF!</definedName>
    <definedName name="a.02.12">#REF!</definedName>
    <definedName name="a.02.13">#REF!</definedName>
    <definedName name="a.022">#REF!</definedName>
    <definedName name="a.027">#REF!</definedName>
    <definedName name="a.027rob">#REF!</definedName>
    <definedName name="a.028">#REF!</definedName>
    <definedName name="a.03.05">#REF!</definedName>
    <definedName name="A.03.13">#REF!</definedName>
    <definedName name="a.049">#REF!</definedName>
    <definedName name="a.05.05">#REF!</definedName>
    <definedName name="a.05.35">#REF!</definedName>
    <definedName name="a.050">#REF!</definedName>
    <definedName name="a.054a">#REF!</definedName>
    <definedName name="a.063">#REF!</definedName>
    <definedName name="a.064">#REF!</definedName>
    <definedName name="a.065">#REF!</definedName>
    <definedName name="a.065b">#REF!</definedName>
    <definedName name="a.07.01">#REF!</definedName>
    <definedName name="a.07.75">#REF!</definedName>
    <definedName name="a.07.77">#REF!</definedName>
    <definedName name="a.072">#REF!</definedName>
    <definedName name="a.074">#REF!</definedName>
    <definedName name="a.074a">#REF!</definedName>
    <definedName name="a.076">#REF!</definedName>
    <definedName name="a.079">#REF!</definedName>
    <definedName name="a.087">#REF!</definedName>
    <definedName name="a.088">#REF!</definedName>
    <definedName name="a.089">#REF!</definedName>
    <definedName name="a.097a">#REF!</definedName>
    <definedName name="A.1">#REF!</definedName>
    <definedName name="A.10">#REF!</definedName>
    <definedName name="a.100">#REF!</definedName>
    <definedName name="A.100.01">#REF!</definedName>
    <definedName name="A.100.01.4">#REF!</definedName>
    <definedName name="A.100.01.5">#REF!</definedName>
    <definedName name="A.100.02">#REF!</definedName>
    <definedName name="A.100.03">#REF!</definedName>
    <definedName name="A.100.04">#REF!</definedName>
    <definedName name="A.100.05">#REF!</definedName>
    <definedName name="A.100.06">#REF!</definedName>
    <definedName name="A.100.07">#REF!</definedName>
    <definedName name="A.100.08">#REF!</definedName>
    <definedName name="A.101">#REF!</definedName>
    <definedName name="A.101.1">#REF!</definedName>
    <definedName name="A.101.10">#REF!</definedName>
    <definedName name="A.101.10B">#REF!</definedName>
    <definedName name="A.101.10E">#REF!</definedName>
    <definedName name="A.101.11">#REF!</definedName>
    <definedName name="A.101.11B">#REF!</definedName>
    <definedName name="A.101.11E">#REF!</definedName>
    <definedName name="A.101.12">#REF!</definedName>
    <definedName name="A.101.12B">#REF!</definedName>
    <definedName name="A.101.12E">#REF!</definedName>
    <definedName name="A.101.13">#REF!</definedName>
    <definedName name="A.101.13B">#REF!</definedName>
    <definedName name="A.101.13E">#REF!</definedName>
    <definedName name="A.101.14">#REF!</definedName>
    <definedName name="A.101.14B">#REF!</definedName>
    <definedName name="A.101.14E">#REF!</definedName>
    <definedName name="A.101.15">#REF!</definedName>
    <definedName name="A.101.15B">#REF!</definedName>
    <definedName name="A.101.15E">#REF!</definedName>
    <definedName name="A.101.16">#REF!</definedName>
    <definedName name="A.101.16B">#REF!</definedName>
    <definedName name="A.101.16E">#REF!</definedName>
    <definedName name="A.101.17">#REF!</definedName>
    <definedName name="A.101.17B">#REF!</definedName>
    <definedName name="A.101.17E">#REF!</definedName>
    <definedName name="A.101.18">#REF!</definedName>
    <definedName name="A.101.18B">#REF!</definedName>
    <definedName name="A.101.18E">#REF!</definedName>
    <definedName name="A.101.19">#REF!</definedName>
    <definedName name="A.101.19B">#REF!</definedName>
    <definedName name="A.101.19E">#REF!</definedName>
    <definedName name="A.101.1B">#REF!</definedName>
    <definedName name="A.101.1E">#REF!</definedName>
    <definedName name="A.101.2">#REF!</definedName>
    <definedName name="A.101.20">#REF!</definedName>
    <definedName name="A.101.20B">#REF!</definedName>
    <definedName name="A.101.20E">#REF!</definedName>
    <definedName name="A.101.21">#REF!</definedName>
    <definedName name="A.101.21B">#REF!</definedName>
    <definedName name="A.101.21E">#REF!</definedName>
    <definedName name="A.101.22">#REF!</definedName>
    <definedName name="A.101.22B">#REF!</definedName>
    <definedName name="A.101.22E">#REF!</definedName>
    <definedName name="A.101.23">#REF!</definedName>
    <definedName name="A.101.23B">#REF!</definedName>
    <definedName name="A.101.23E">#REF!</definedName>
    <definedName name="A.101.24">#REF!</definedName>
    <definedName name="A.101.24B">#REF!</definedName>
    <definedName name="A.101.24E">#REF!</definedName>
    <definedName name="A.101.2B">#REF!</definedName>
    <definedName name="A.101.2E">#REF!</definedName>
    <definedName name="A.101.3">#REF!</definedName>
    <definedName name="A.101.3B">#REF!</definedName>
    <definedName name="A.101.3E">#REF!</definedName>
    <definedName name="A.101.4">#REF!</definedName>
    <definedName name="A.101.4B">#REF!</definedName>
    <definedName name="A.101.4E">#REF!</definedName>
    <definedName name="A.101.5">#REF!</definedName>
    <definedName name="A.101.5B">#REF!</definedName>
    <definedName name="A.101.5E">#REF!</definedName>
    <definedName name="A.101.6">#REF!</definedName>
    <definedName name="A.101.6B">#REF!</definedName>
    <definedName name="A.101.6E">#REF!</definedName>
    <definedName name="A.101.7">#REF!</definedName>
    <definedName name="A.101.7B">#REF!</definedName>
    <definedName name="A.101.7E">#REF!</definedName>
    <definedName name="A.101.8">#REF!</definedName>
    <definedName name="A.101.8B">#REF!</definedName>
    <definedName name="A.101.8E">#REF!</definedName>
    <definedName name="A.101.9">#REF!</definedName>
    <definedName name="A.101.9B">#REF!</definedName>
    <definedName name="A.101.9E">#REF!</definedName>
    <definedName name="A.101.B">#REF!</definedName>
    <definedName name="A.102">#REF!</definedName>
    <definedName name="A.102.1">#REF!</definedName>
    <definedName name="A.102.10">#REF!</definedName>
    <definedName name="A.102.10B">#REF!</definedName>
    <definedName name="A.102.10E">#REF!</definedName>
    <definedName name="A.102.11">#REF!</definedName>
    <definedName name="A.102.11B">#REF!</definedName>
    <definedName name="A.102.11E">#REF!</definedName>
    <definedName name="A.102.12">#REF!</definedName>
    <definedName name="A.102.12B">#REF!</definedName>
    <definedName name="A.102.12E">#REF!</definedName>
    <definedName name="A.102.13">#REF!</definedName>
    <definedName name="A.102.13B">#REF!</definedName>
    <definedName name="A.102.13E">#REF!</definedName>
    <definedName name="A.102.14">#REF!</definedName>
    <definedName name="A.102.14B">#REF!</definedName>
    <definedName name="A.102.14E">#REF!</definedName>
    <definedName name="A.102.1B">#REF!</definedName>
    <definedName name="A.102.1E">#REF!</definedName>
    <definedName name="A.102.2">#REF!</definedName>
    <definedName name="A.102.2B">#REF!</definedName>
    <definedName name="A.102.2E">#REF!</definedName>
    <definedName name="A.102.3">#REF!</definedName>
    <definedName name="A.102.3B">#REF!</definedName>
    <definedName name="A.102.3E">#REF!</definedName>
    <definedName name="A.102.4">#REF!</definedName>
    <definedName name="A.102.4B">#REF!</definedName>
    <definedName name="A.102.4E">#REF!</definedName>
    <definedName name="A.102.5">#REF!</definedName>
    <definedName name="A.102.5B">#REF!</definedName>
    <definedName name="A.102.5E">#REF!</definedName>
    <definedName name="A.102.6">#REF!</definedName>
    <definedName name="A.102.6B">#REF!</definedName>
    <definedName name="A.102.6E">#REF!</definedName>
    <definedName name="A.102.7">#REF!</definedName>
    <definedName name="A.102.7B">#REF!</definedName>
    <definedName name="A.102.7E">#REF!</definedName>
    <definedName name="A.102.8">#REF!</definedName>
    <definedName name="A.102.8B">#REF!</definedName>
    <definedName name="A.102.8E">#REF!</definedName>
    <definedName name="A.102.9">#REF!</definedName>
    <definedName name="A.102.9B">#REF!</definedName>
    <definedName name="A.102.9E">#REF!</definedName>
    <definedName name="A.102.B">#REF!</definedName>
    <definedName name="a.102b">#REF!</definedName>
    <definedName name="A.103">#REF!</definedName>
    <definedName name="A.103.1">#REF!</definedName>
    <definedName name="A.103.10">#REF!</definedName>
    <definedName name="A.103.10B">#REF!</definedName>
    <definedName name="A.103.10E">#REF!</definedName>
    <definedName name="A.103.10G">#REF!</definedName>
    <definedName name="A.103.11">#REF!</definedName>
    <definedName name="A.103.11B">#REF!</definedName>
    <definedName name="A.103.11E">#REF!</definedName>
    <definedName name="A.103.12">#REF!</definedName>
    <definedName name="A.103.12B">#REF!</definedName>
    <definedName name="A.103.12E">#REF!</definedName>
    <definedName name="A.103.13">#REF!</definedName>
    <definedName name="A.103.13B">#REF!</definedName>
    <definedName name="A.103.13E">#REF!</definedName>
    <definedName name="A.103.14">#REF!</definedName>
    <definedName name="A.103.14B">#REF!</definedName>
    <definedName name="A.103.14E">#REF!</definedName>
    <definedName name="A.103.15">#REF!</definedName>
    <definedName name="A.103.15B">#REF!</definedName>
    <definedName name="A.103.15E">#REF!</definedName>
    <definedName name="A.103.16">#REF!</definedName>
    <definedName name="A.103.16B">#REF!</definedName>
    <definedName name="A.103.16E">#REF!</definedName>
    <definedName name="A.103.17">#REF!</definedName>
    <definedName name="A.103.17B">#REF!</definedName>
    <definedName name="A.103.17E">#REF!</definedName>
    <definedName name="A.103.18">#REF!</definedName>
    <definedName name="A.103.18B">#REF!</definedName>
    <definedName name="A.103.18E">#REF!</definedName>
    <definedName name="A.103.19">#REF!</definedName>
    <definedName name="A.103.19B">#REF!</definedName>
    <definedName name="A.103.19E">#REF!</definedName>
    <definedName name="A.103.1B">#REF!</definedName>
    <definedName name="A.103.1E">#REF!</definedName>
    <definedName name="A.103.2">#REF!</definedName>
    <definedName name="A.103.20">#REF!</definedName>
    <definedName name="A.103.20B">#REF!</definedName>
    <definedName name="A.103.20E">#REF!</definedName>
    <definedName name="A.103.21">#REF!</definedName>
    <definedName name="A.103.21B">#REF!</definedName>
    <definedName name="A.103.21E">#REF!</definedName>
    <definedName name="A.103.2B">#REF!</definedName>
    <definedName name="A.103.2E">#REF!</definedName>
    <definedName name="A.103.3">#REF!</definedName>
    <definedName name="A.103.3B">#REF!</definedName>
    <definedName name="A.103.3E">#REF!</definedName>
    <definedName name="A.103.4">#REF!</definedName>
    <definedName name="A.103.4B">#REF!</definedName>
    <definedName name="A.103.4E">#REF!</definedName>
    <definedName name="A.103.5">#REF!</definedName>
    <definedName name="A.103.5B">#REF!</definedName>
    <definedName name="A.103.5E">#REF!</definedName>
    <definedName name="A.103.6">#REF!</definedName>
    <definedName name="A.103.6B">#REF!</definedName>
    <definedName name="A.103.6E">#REF!</definedName>
    <definedName name="A.103.7">#REF!</definedName>
    <definedName name="A.103.7B">#REF!</definedName>
    <definedName name="A.103.7E">#REF!</definedName>
    <definedName name="A.103.8">#REF!</definedName>
    <definedName name="A.103.8B">#REF!</definedName>
    <definedName name="A.103.8E">#REF!</definedName>
    <definedName name="A.103.9">#REF!</definedName>
    <definedName name="A.103.9B">#REF!</definedName>
    <definedName name="A.103.9E">#REF!</definedName>
    <definedName name="A.103.B">#REF!</definedName>
    <definedName name="a.103a">#REF!</definedName>
    <definedName name="A.104">#REF!</definedName>
    <definedName name="A.104.1">#REF!</definedName>
    <definedName name="A.104.10">#REF!</definedName>
    <definedName name="A.104.10B">#REF!</definedName>
    <definedName name="A.104.10E">#REF!</definedName>
    <definedName name="A.104.11">#REF!</definedName>
    <definedName name="A.104.11B">#REF!</definedName>
    <definedName name="A.104.11E">#REF!</definedName>
    <definedName name="A.104.12">#REF!</definedName>
    <definedName name="A.104.12B">#REF!</definedName>
    <definedName name="A.104.12E">#REF!</definedName>
    <definedName name="A.104.1B">#REF!</definedName>
    <definedName name="A.104.1E">#REF!</definedName>
    <definedName name="A.104.2">#REF!</definedName>
    <definedName name="A.104.2B">#REF!</definedName>
    <definedName name="A.104.2E">#REF!</definedName>
    <definedName name="A.104.3">#REF!</definedName>
    <definedName name="A.104.3B">#REF!</definedName>
    <definedName name="A.104.3E">#REF!</definedName>
    <definedName name="A.104.4">#REF!</definedName>
    <definedName name="A.104.4B">#REF!</definedName>
    <definedName name="A.104.4E">#REF!</definedName>
    <definedName name="A.104.5">#REF!</definedName>
    <definedName name="A.104.5B">#REF!</definedName>
    <definedName name="A.104.5E">#REF!</definedName>
    <definedName name="A.104.6">#REF!</definedName>
    <definedName name="A.104.6B">#REF!</definedName>
    <definedName name="A.104.6E">#REF!</definedName>
    <definedName name="A.104.7">#REF!</definedName>
    <definedName name="A.104.7B">#REF!</definedName>
    <definedName name="A.104.7E">#REF!</definedName>
    <definedName name="A.104.8">#REF!</definedName>
    <definedName name="A.104.8B">#REF!</definedName>
    <definedName name="A.104.8E">#REF!</definedName>
    <definedName name="A.104.9">#REF!</definedName>
    <definedName name="A.104.9B">#REF!</definedName>
    <definedName name="A.104.9E">#REF!</definedName>
    <definedName name="A.104.B">#REF!</definedName>
    <definedName name="A.105">#REF!</definedName>
    <definedName name="A.105.1">#REF!</definedName>
    <definedName name="A.105.10">#REF!</definedName>
    <definedName name="A.105.10B">#REF!</definedName>
    <definedName name="A.105.10E">#REF!</definedName>
    <definedName name="A.105.11">#REF!</definedName>
    <definedName name="A.105.11B">#REF!</definedName>
    <definedName name="A.105.11E">#REF!</definedName>
    <definedName name="A.105.12">#REF!</definedName>
    <definedName name="A.105.12B">#REF!</definedName>
    <definedName name="A.105.12E">#REF!</definedName>
    <definedName name="A.105.13">#REF!</definedName>
    <definedName name="A.105.13B">#REF!</definedName>
    <definedName name="A.105.13E">#REF!</definedName>
    <definedName name="A.105.14">#REF!</definedName>
    <definedName name="A.105.14B">#REF!</definedName>
    <definedName name="A.105.14E">#REF!</definedName>
    <definedName name="A.105.15">#REF!</definedName>
    <definedName name="A.105.15B">#REF!</definedName>
    <definedName name="A.105.15E">#REF!</definedName>
    <definedName name="A.105.16">#REF!</definedName>
    <definedName name="A.105.16B">#REF!</definedName>
    <definedName name="A.105.16E">#REF!</definedName>
    <definedName name="A.105.17">#REF!</definedName>
    <definedName name="A.105.17B">#REF!</definedName>
    <definedName name="A.105.17E">#REF!</definedName>
    <definedName name="A.105.18">#REF!</definedName>
    <definedName name="A.105.18B">#REF!</definedName>
    <definedName name="A.105.18E">#REF!</definedName>
    <definedName name="A.105.19">#REF!</definedName>
    <definedName name="A.105.19B">#REF!</definedName>
    <definedName name="A.105.19E">#REF!</definedName>
    <definedName name="A.105.1B">#REF!</definedName>
    <definedName name="A.105.1E">#REF!</definedName>
    <definedName name="A.105.2">#REF!</definedName>
    <definedName name="A.105.20">#REF!</definedName>
    <definedName name="A.105.20B">#REF!</definedName>
    <definedName name="A.105.20E">#REF!</definedName>
    <definedName name="A.105.21">#REF!</definedName>
    <definedName name="A.105.21B">#REF!</definedName>
    <definedName name="A.105.21E">#REF!</definedName>
    <definedName name="A.105.22">#REF!</definedName>
    <definedName name="A.105.22B">#REF!</definedName>
    <definedName name="A.105.22E">#REF!</definedName>
    <definedName name="A.105.23">#REF!</definedName>
    <definedName name="A.105.23B">#REF!</definedName>
    <definedName name="A.105.23E">#REF!</definedName>
    <definedName name="A.105.2B">#REF!</definedName>
    <definedName name="A.105.2E">#REF!</definedName>
    <definedName name="A.105.3">#REF!</definedName>
    <definedName name="A.105.3B">#REF!</definedName>
    <definedName name="A.105.3E">#REF!</definedName>
    <definedName name="A.105.4">#REF!</definedName>
    <definedName name="A.105.4B">#REF!</definedName>
    <definedName name="A.105.4E">#REF!</definedName>
    <definedName name="A.105.5">#REF!</definedName>
    <definedName name="A.105.5B">#REF!</definedName>
    <definedName name="A.105.5E">#REF!</definedName>
    <definedName name="A.105.6">#REF!</definedName>
    <definedName name="A.105.6B">#REF!</definedName>
    <definedName name="A.105.6E">#REF!</definedName>
    <definedName name="A.105.7">#REF!</definedName>
    <definedName name="A.105.7B">#REF!</definedName>
    <definedName name="A.105.7E">#REF!</definedName>
    <definedName name="A.105.8">#REF!</definedName>
    <definedName name="A.105.8B">#REF!</definedName>
    <definedName name="A.105.8E">#REF!</definedName>
    <definedName name="A.105.9">#REF!</definedName>
    <definedName name="A.105.9B">#REF!</definedName>
    <definedName name="A.105.9E">#REF!</definedName>
    <definedName name="A.105.B">#REF!</definedName>
    <definedName name="a.105b">#REF!</definedName>
    <definedName name="A.106">#REF!</definedName>
    <definedName name="A.106.1">#REF!</definedName>
    <definedName name="A.106.10">#REF!</definedName>
    <definedName name="A.106.10B">#REF!</definedName>
    <definedName name="A.106.10E">#REF!</definedName>
    <definedName name="A.106.11">#REF!</definedName>
    <definedName name="A.106.11B">#REF!</definedName>
    <definedName name="A.106.11E">#REF!</definedName>
    <definedName name="A.106.12">#REF!</definedName>
    <definedName name="A.106.12B">#REF!</definedName>
    <definedName name="A.106.12E">#REF!</definedName>
    <definedName name="A.106.13">#REF!</definedName>
    <definedName name="A.106.13B">#REF!</definedName>
    <definedName name="A.106.13E">#REF!</definedName>
    <definedName name="A.106.14">#REF!</definedName>
    <definedName name="A.106.14B">#REF!</definedName>
    <definedName name="A.106.14E">#REF!</definedName>
    <definedName name="A.106.15">#REF!</definedName>
    <definedName name="A.106.15B">#REF!</definedName>
    <definedName name="A.106.15E">#REF!</definedName>
    <definedName name="A.106.16">#REF!</definedName>
    <definedName name="A.106.16B">#REF!</definedName>
    <definedName name="A.106.16E">#REF!</definedName>
    <definedName name="A.106.17">#REF!</definedName>
    <definedName name="A.106.17B">#REF!</definedName>
    <definedName name="A.106.17E">#REF!</definedName>
    <definedName name="A.106.18">#REF!</definedName>
    <definedName name="A.106.18B">#REF!</definedName>
    <definedName name="A.106.18E">#REF!</definedName>
    <definedName name="A.106.19">#REF!</definedName>
    <definedName name="A.106.19B">#REF!</definedName>
    <definedName name="A.106.19E">#REF!</definedName>
    <definedName name="A.106.1B">#REF!</definedName>
    <definedName name="A.106.1E">#REF!</definedName>
    <definedName name="A.106.2">#REF!</definedName>
    <definedName name="A.106.20">#REF!</definedName>
    <definedName name="A.106.20B">#REF!</definedName>
    <definedName name="A.106.20E">#REF!</definedName>
    <definedName name="A.106.21">#REF!</definedName>
    <definedName name="A.106.21B">#REF!</definedName>
    <definedName name="A.106.21E">#REF!</definedName>
    <definedName name="A.106.22">#REF!</definedName>
    <definedName name="A.106.22B">#REF!</definedName>
    <definedName name="A.106.22E">#REF!</definedName>
    <definedName name="A.106.23">#REF!</definedName>
    <definedName name="A.106.23B">#REF!</definedName>
    <definedName name="A.106.23E">#REF!</definedName>
    <definedName name="A.106.24">#REF!</definedName>
    <definedName name="A.106.24B">#REF!</definedName>
    <definedName name="A.106.24E">#REF!</definedName>
    <definedName name="A.106.25">#REF!</definedName>
    <definedName name="A.106.25B">#REF!</definedName>
    <definedName name="A.106.25E">#REF!</definedName>
    <definedName name="A.106.26">#REF!</definedName>
    <definedName name="A.106.26B">#REF!</definedName>
    <definedName name="A.106.26E">#REF!</definedName>
    <definedName name="A.106.27">#REF!</definedName>
    <definedName name="A.106.27B">#REF!</definedName>
    <definedName name="A.106.27E">#REF!</definedName>
    <definedName name="A.106.28">#REF!</definedName>
    <definedName name="A.106.28B">#REF!</definedName>
    <definedName name="A.106.28E">#REF!</definedName>
    <definedName name="A.106.29">#REF!</definedName>
    <definedName name="A.106.29B">#REF!</definedName>
    <definedName name="A.106.29E">#REF!</definedName>
    <definedName name="A.106.2B">#REF!</definedName>
    <definedName name="A.106.2E">#REF!</definedName>
    <definedName name="A.106.3">#REF!</definedName>
    <definedName name="A.106.30">#REF!</definedName>
    <definedName name="A.106.30B">#REF!</definedName>
    <definedName name="A.106.30E">#REF!</definedName>
    <definedName name="A.106.31">#REF!</definedName>
    <definedName name="A.106.31B">#REF!</definedName>
    <definedName name="A.106.31E">#REF!</definedName>
    <definedName name="A.106.32">#REF!</definedName>
    <definedName name="A.106.32B">#REF!</definedName>
    <definedName name="A.106.32E">#REF!</definedName>
    <definedName name="A.106.33">#REF!</definedName>
    <definedName name="A.106.33B">#REF!</definedName>
    <definedName name="A.106.33E">#REF!</definedName>
    <definedName name="A.106.34">#REF!</definedName>
    <definedName name="A.106.34B">#REF!</definedName>
    <definedName name="A.106.34E">#REF!</definedName>
    <definedName name="A.106.35">#REF!</definedName>
    <definedName name="A.106.35B">#REF!</definedName>
    <definedName name="A.106.35E">#REF!</definedName>
    <definedName name="A.106.36">#REF!</definedName>
    <definedName name="A.106.36B">#REF!</definedName>
    <definedName name="A.106.36E">#REF!</definedName>
    <definedName name="A.106.37">#REF!</definedName>
    <definedName name="A.106.37B">#REF!</definedName>
    <definedName name="A.106.37E">#REF!</definedName>
    <definedName name="A.106.38">#REF!</definedName>
    <definedName name="A.106.38B">#REF!</definedName>
    <definedName name="A.106.38E">#REF!</definedName>
    <definedName name="A.106.3B">#REF!</definedName>
    <definedName name="A.106.3E">#REF!</definedName>
    <definedName name="A.106.4">#REF!</definedName>
    <definedName name="A.106.4B">#REF!</definedName>
    <definedName name="A.106.4E">#REF!</definedName>
    <definedName name="A.106.5">#REF!</definedName>
    <definedName name="A.106.5B">#REF!</definedName>
    <definedName name="A.106.5E">#REF!</definedName>
    <definedName name="A.106.6">#REF!</definedName>
    <definedName name="A.106.6B">#REF!</definedName>
    <definedName name="A.106.6E">#REF!</definedName>
    <definedName name="A.106.7">#REF!</definedName>
    <definedName name="A.106.7B">#REF!</definedName>
    <definedName name="A.106.7E">#REF!</definedName>
    <definedName name="A.106.8">#REF!</definedName>
    <definedName name="A.106.8B">#REF!</definedName>
    <definedName name="A.106.8E">#REF!</definedName>
    <definedName name="A.106.9">#REF!</definedName>
    <definedName name="A.106.9B">#REF!</definedName>
    <definedName name="A.106.9E">#REF!</definedName>
    <definedName name="A.106.B">#REF!</definedName>
    <definedName name="A.107">#REF!</definedName>
    <definedName name="A.107.1">#REF!</definedName>
    <definedName name="A.107.10E">#REF!</definedName>
    <definedName name="A.107.11">#REF!</definedName>
    <definedName name="A.107.11B">#REF!</definedName>
    <definedName name="A.107.11E">#REF!</definedName>
    <definedName name="A.107.12">#REF!</definedName>
    <definedName name="A.107.12B">#REF!</definedName>
    <definedName name="A.107.12E">#REF!</definedName>
    <definedName name="A.107.13">#REF!</definedName>
    <definedName name="A.107.13B">#REF!</definedName>
    <definedName name="A.107.13E">#REF!</definedName>
    <definedName name="A.107.14">#REF!</definedName>
    <definedName name="A.107.14B">#REF!</definedName>
    <definedName name="A.107.14E">#REF!</definedName>
    <definedName name="A.107.15">#REF!</definedName>
    <definedName name="A.107.15B">#REF!</definedName>
    <definedName name="A.107.15E">#REF!</definedName>
    <definedName name="A.107.16">#REF!</definedName>
    <definedName name="A.107.16B">#REF!</definedName>
    <definedName name="A.107.16E">#REF!</definedName>
    <definedName name="A.107.17">#REF!</definedName>
    <definedName name="A.107.17B">#REF!</definedName>
    <definedName name="A.107.17E">#REF!</definedName>
    <definedName name="A.107.18">#REF!</definedName>
    <definedName name="A.107.18B">#REF!</definedName>
    <definedName name="A.107.18E">#REF!</definedName>
    <definedName name="A.107.19">#REF!</definedName>
    <definedName name="A.107.19B">#REF!</definedName>
    <definedName name="A.107.19E">#REF!</definedName>
    <definedName name="A.107.1B">#REF!</definedName>
    <definedName name="A.107.1E">#REF!</definedName>
    <definedName name="A.107.2">#REF!</definedName>
    <definedName name="A.107.20">#REF!</definedName>
    <definedName name="A.107.20B">#REF!</definedName>
    <definedName name="A.107.20E">#REF!</definedName>
    <definedName name="A.107.21">#REF!</definedName>
    <definedName name="A.107.21B">#REF!</definedName>
    <definedName name="A.107.21E">#REF!</definedName>
    <definedName name="A.107.22">#REF!</definedName>
    <definedName name="A.107.22B">#REF!</definedName>
    <definedName name="A.107.22E">#REF!</definedName>
    <definedName name="A.107.23">#REF!</definedName>
    <definedName name="A.107.23a">#REF!</definedName>
    <definedName name="A.107.23aB">#REF!</definedName>
    <definedName name="A.107.23aE">#REF!</definedName>
    <definedName name="A.107.23B">#REF!</definedName>
    <definedName name="A.107.23E">#REF!</definedName>
    <definedName name="A.107.24">#REF!</definedName>
    <definedName name="A.107.24B">#REF!</definedName>
    <definedName name="A.107.24E">#REF!</definedName>
    <definedName name="A.107.25">#REF!</definedName>
    <definedName name="A.107.25B">#REF!</definedName>
    <definedName name="A.107.25E">#REF!</definedName>
    <definedName name="A.107.26">#REF!</definedName>
    <definedName name="A.107.26B">#REF!</definedName>
    <definedName name="A.107.26E">#REF!</definedName>
    <definedName name="A.107.27">#REF!</definedName>
    <definedName name="A.107.27B">#REF!</definedName>
    <definedName name="A.107.27E">#REF!</definedName>
    <definedName name="A.107.28">#REF!</definedName>
    <definedName name="A.107.28B">#REF!</definedName>
    <definedName name="A.107.28E">#REF!</definedName>
    <definedName name="A.107.29B">#REF!</definedName>
    <definedName name="A.107.2B">#REF!</definedName>
    <definedName name="A.107.2E">#REF!</definedName>
    <definedName name="A.107.3">#REF!</definedName>
    <definedName name="A.107.3B">#REF!</definedName>
    <definedName name="A.107.3E">#REF!</definedName>
    <definedName name="A.107.4">#REF!</definedName>
    <definedName name="A.107.4B">#REF!</definedName>
    <definedName name="A.107.4E">#REF!</definedName>
    <definedName name="A.107.5">#REF!</definedName>
    <definedName name="A.107.5B">#REF!</definedName>
    <definedName name="A.107.5E">#REF!</definedName>
    <definedName name="A.107.6">#REF!</definedName>
    <definedName name="A.107.6B">#REF!</definedName>
    <definedName name="A.107.6E">#REF!</definedName>
    <definedName name="A.107.7">#REF!</definedName>
    <definedName name="A.107.7B">#REF!</definedName>
    <definedName name="A.107.7E">#REF!</definedName>
    <definedName name="A.107.8">#REF!</definedName>
    <definedName name="A.107.8B">#REF!</definedName>
    <definedName name="A.107.8E">#REF!</definedName>
    <definedName name="A.107.9">#REF!</definedName>
    <definedName name="A.107.9B">#REF!</definedName>
    <definedName name="A.107.9E">#REF!</definedName>
    <definedName name="A.107.B">#REF!</definedName>
    <definedName name="A.108">#REF!</definedName>
    <definedName name="A.108.1">#REF!</definedName>
    <definedName name="A.108.10">#REF!</definedName>
    <definedName name="A.108.10B">#REF!</definedName>
    <definedName name="A.108.10E">#REF!</definedName>
    <definedName name="A.108.11">#REF!</definedName>
    <definedName name="A.108.11B">#REF!</definedName>
    <definedName name="A.108.11E">#REF!</definedName>
    <definedName name="A.108.12">#REF!</definedName>
    <definedName name="A.108.12B">#REF!</definedName>
    <definedName name="A.108.12E">#REF!</definedName>
    <definedName name="A.108.13">#REF!</definedName>
    <definedName name="A.108.13B">#REF!</definedName>
    <definedName name="A.108.13E">#REF!</definedName>
    <definedName name="A.108.14">#REF!</definedName>
    <definedName name="A.108.14B">#REF!</definedName>
    <definedName name="A.108.14E">#REF!</definedName>
    <definedName name="A.108.15">#REF!</definedName>
    <definedName name="A.108.15B">#REF!</definedName>
    <definedName name="A.108.15E">#REF!</definedName>
    <definedName name="A.108.16">#REF!</definedName>
    <definedName name="A.108.16B">#REF!</definedName>
    <definedName name="A.108.16E">#REF!</definedName>
    <definedName name="A.108.17">#REF!</definedName>
    <definedName name="A.108.17B">#REF!</definedName>
    <definedName name="A.108.17E">#REF!</definedName>
    <definedName name="A.108.1B">#REF!</definedName>
    <definedName name="A.108.1E">#REF!</definedName>
    <definedName name="A.108.2">#REF!</definedName>
    <definedName name="A.108.2B">#REF!</definedName>
    <definedName name="A.108.2E">#REF!</definedName>
    <definedName name="A.108.3">#REF!</definedName>
    <definedName name="A.108.3B">#REF!</definedName>
    <definedName name="A.108.3E">#REF!</definedName>
    <definedName name="A.108.4">#REF!</definedName>
    <definedName name="A.108.4B">#REF!</definedName>
    <definedName name="A.108.4E">#REF!</definedName>
    <definedName name="A.108.5">#REF!</definedName>
    <definedName name="A.108.5B">#REF!</definedName>
    <definedName name="A.108.5E">#REF!</definedName>
    <definedName name="A.108.6">#REF!</definedName>
    <definedName name="A.108.6B">#REF!</definedName>
    <definedName name="A.108.6E">#REF!</definedName>
    <definedName name="A.108.7">#REF!</definedName>
    <definedName name="A.108.7B">#REF!</definedName>
    <definedName name="A.108.7E">#REF!</definedName>
    <definedName name="A.108.8">#REF!</definedName>
    <definedName name="A.108.8B">#REF!</definedName>
    <definedName name="A.108.8E">#REF!</definedName>
    <definedName name="A.108.9">#REF!</definedName>
    <definedName name="A.108.9B">#REF!</definedName>
    <definedName name="A.108.9E">#REF!</definedName>
    <definedName name="A.108.B">#REF!</definedName>
    <definedName name="A.109">#REF!</definedName>
    <definedName name="A.109.1">#REF!</definedName>
    <definedName name="A.109.10">#REF!</definedName>
    <definedName name="A.109.10B">#REF!</definedName>
    <definedName name="A.109.10E">#REF!</definedName>
    <definedName name="A.109.11">#REF!</definedName>
    <definedName name="A.109.11B">#REF!</definedName>
    <definedName name="A.109.11E">#REF!</definedName>
    <definedName name="A.109.12">#REF!</definedName>
    <definedName name="A.109.12B">#REF!</definedName>
    <definedName name="A.109.12E">#REF!</definedName>
    <definedName name="A.109.1B">#REF!</definedName>
    <definedName name="A.109.1E">#REF!</definedName>
    <definedName name="A.109.2">#REF!</definedName>
    <definedName name="A.109.2B">#REF!</definedName>
    <definedName name="A.109.2E">#REF!</definedName>
    <definedName name="A.109.3">#REF!</definedName>
    <definedName name="A.109.3B">#REF!</definedName>
    <definedName name="A.109.3E">#REF!</definedName>
    <definedName name="A.109.4">#REF!</definedName>
    <definedName name="A.109.4B">#REF!</definedName>
    <definedName name="A.109.4E">#REF!</definedName>
    <definedName name="A.109.5">#REF!</definedName>
    <definedName name="A.109.5B">#REF!</definedName>
    <definedName name="A.109.5E">#REF!</definedName>
    <definedName name="A.109.6">#REF!</definedName>
    <definedName name="A.109.6B">#REF!</definedName>
    <definedName name="A.109.6E">#REF!</definedName>
    <definedName name="A.109.7">#REF!</definedName>
    <definedName name="A.109.7B">#REF!</definedName>
    <definedName name="A.109.7E">#REF!</definedName>
    <definedName name="A.109.8">#REF!</definedName>
    <definedName name="A.109.8B">#REF!</definedName>
    <definedName name="A.109.8E">#REF!</definedName>
    <definedName name="A.109.9">#REF!</definedName>
    <definedName name="A.109.9B">#REF!</definedName>
    <definedName name="A.109.9E">#REF!</definedName>
    <definedName name="A.109.B">#REF!</definedName>
    <definedName name="A.110">#REF!</definedName>
    <definedName name="A.110.1">#REF!</definedName>
    <definedName name="A.110.10">#REF!</definedName>
    <definedName name="A.110.10B">#REF!</definedName>
    <definedName name="A.110.10E">#REF!</definedName>
    <definedName name="A.110.11">#REF!</definedName>
    <definedName name="A.110.11B">#REF!</definedName>
    <definedName name="A.110.11E">#REF!</definedName>
    <definedName name="A.110.12">#REF!</definedName>
    <definedName name="A.110.12B">#REF!</definedName>
    <definedName name="A.110.12E">#REF!</definedName>
    <definedName name="A.110.13">#REF!</definedName>
    <definedName name="A.110.13B">#REF!</definedName>
    <definedName name="A.110.13E">#REF!</definedName>
    <definedName name="A.110.14">#REF!</definedName>
    <definedName name="A.110.14B">#REF!</definedName>
    <definedName name="A.110.14E">#REF!</definedName>
    <definedName name="A.110.15">#REF!</definedName>
    <definedName name="A.110.15B">#REF!</definedName>
    <definedName name="A.110.15E">#REF!</definedName>
    <definedName name="A.110.16">#REF!</definedName>
    <definedName name="A.110.16B">#REF!</definedName>
    <definedName name="A.110.16E">#REF!</definedName>
    <definedName name="A.110.17">#REF!</definedName>
    <definedName name="A.110.17B">#REF!</definedName>
    <definedName name="A.110.17E">#REF!</definedName>
    <definedName name="A.110.18">#REF!</definedName>
    <definedName name="A.110.18B">#REF!</definedName>
    <definedName name="A.110.18E">#REF!</definedName>
    <definedName name="A.110.1B">#REF!</definedName>
    <definedName name="A.110.1E">#REF!</definedName>
    <definedName name="A.110.2">#REF!</definedName>
    <definedName name="A.110.2B">#REF!</definedName>
    <definedName name="A.110.2E">#REF!</definedName>
    <definedName name="A.110.3">#REF!</definedName>
    <definedName name="A.110.3B">#REF!</definedName>
    <definedName name="A.110.3E">#REF!</definedName>
    <definedName name="A.110.4">#REF!</definedName>
    <definedName name="A.110.4B">#REF!</definedName>
    <definedName name="A.110.4E">#REF!</definedName>
    <definedName name="A.110.5">#REF!</definedName>
    <definedName name="A.110.5B">#REF!</definedName>
    <definedName name="A.110.5E">#REF!</definedName>
    <definedName name="A.110.6">#REF!</definedName>
    <definedName name="A.110.6B">#REF!</definedName>
    <definedName name="A.110.6E">#REF!</definedName>
    <definedName name="A.110.7">#REF!</definedName>
    <definedName name="A.110.7B">#REF!</definedName>
    <definedName name="A.110.7E">#REF!</definedName>
    <definedName name="A.110.8">#REF!</definedName>
    <definedName name="A.110.8B">#REF!</definedName>
    <definedName name="A.110.8E">#REF!</definedName>
    <definedName name="A.110.9">#REF!</definedName>
    <definedName name="A.110.9B">#REF!</definedName>
    <definedName name="A.110.9E">#REF!</definedName>
    <definedName name="A.110.B">#REF!</definedName>
    <definedName name="A.111">#REF!</definedName>
    <definedName name="A.111.1">#REF!</definedName>
    <definedName name="A.111.10">#REF!</definedName>
    <definedName name="A.111.10B">#REF!</definedName>
    <definedName name="A.111.10E">#REF!</definedName>
    <definedName name="A.111.11">#REF!</definedName>
    <definedName name="A.111.11B">#REF!</definedName>
    <definedName name="A.111.11E">#REF!</definedName>
    <definedName name="A.111.12">#REF!</definedName>
    <definedName name="A.111.12B">#REF!</definedName>
    <definedName name="A.111.12E">#REF!</definedName>
    <definedName name="A.111.13">#REF!</definedName>
    <definedName name="A.111.13B">#REF!</definedName>
    <definedName name="A.111.13E">#REF!</definedName>
    <definedName name="A.111.14">#REF!</definedName>
    <definedName name="A.111.14B">#REF!</definedName>
    <definedName name="A.111.14E">#REF!</definedName>
    <definedName name="A.111.15">#REF!</definedName>
    <definedName name="A.111.15B">#REF!</definedName>
    <definedName name="A.111.15E">#REF!</definedName>
    <definedName name="A.111.16">#REF!</definedName>
    <definedName name="A.111.16B">#REF!</definedName>
    <definedName name="A.111.16E">#REF!</definedName>
    <definedName name="A.111.17">#REF!</definedName>
    <definedName name="A.111.17B">#REF!</definedName>
    <definedName name="A.111.17E">#REF!</definedName>
    <definedName name="A.111.18">#REF!</definedName>
    <definedName name="A.111.18B">#REF!</definedName>
    <definedName name="A.111.18E">#REF!</definedName>
    <definedName name="A.111.19">#REF!</definedName>
    <definedName name="A.111.19B">#REF!</definedName>
    <definedName name="A.111.19E">#REF!</definedName>
    <definedName name="A.111.1B">#REF!</definedName>
    <definedName name="A.111.1E">#REF!</definedName>
    <definedName name="A.111.2">#REF!</definedName>
    <definedName name="A.111.20">#REF!</definedName>
    <definedName name="A.111.20B">#REF!</definedName>
    <definedName name="A.111.20E">#REF!</definedName>
    <definedName name="A.111.21">#REF!</definedName>
    <definedName name="A.111.21B">#REF!</definedName>
    <definedName name="A.111.21E">#REF!</definedName>
    <definedName name="A.111.22">#REF!</definedName>
    <definedName name="A.111.22B">#REF!</definedName>
    <definedName name="A.111.22E">#REF!</definedName>
    <definedName name="A.111.23">#REF!</definedName>
    <definedName name="A.111.23B">#REF!</definedName>
    <definedName name="A.111.23E">#REF!</definedName>
    <definedName name="A.111.24">#REF!</definedName>
    <definedName name="A.111.24B">#REF!</definedName>
    <definedName name="A.111.24E">#REF!</definedName>
    <definedName name="A.111.25">#REF!</definedName>
    <definedName name="A.111.25B">#REF!</definedName>
    <definedName name="A.111.25E">#REF!</definedName>
    <definedName name="A.111.26">#REF!</definedName>
    <definedName name="A.111.26B">#REF!</definedName>
    <definedName name="A.111.26E">#REF!</definedName>
    <definedName name="A.111.27">#REF!</definedName>
    <definedName name="A.111.27B">#REF!</definedName>
    <definedName name="A.111.27E">#REF!</definedName>
    <definedName name="A.111.28">#REF!</definedName>
    <definedName name="A.111.28B">#REF!</definedName>
    <definedName name="A.111.28E">#REF!</definedName>
    <definedName name="A.111.29">#REF!</definedName>
    <definedName name="A.111.29B">#REF!</definedName>
    <definedName name="A.111.29E">#REF!</definedName>
    <definedName name="A.111.2B">#REF!</definedName>
    <definedName name="A.111.2E">#REF!</definedName>
    <definedName name="A.111.3">#REF!</definedName>
    <definedName name="A.111.30">#REF!</definedName>
    <definedName name="A.111.30B">#REF!</definedName>
    <definedName name="A.111.30E">#REF!</definedName>
    <definedName name="A.111.31">#REF!</definedName>
    <definedName name="A.111.31B">#REF!</definedName>
    <definedName name="A.111.31E">#REF!</definedName>
    <definedName name="A.111.32">#REF!</definedName>
    <definedName name="A.111.32B">#REF!</definedName>
    <definedName name="A.111.32E">#REF!</definedName>
    <definedName name="A.111.33">#REF!</definedName>
    <definedName name="A.111.33B">#REF!</definedName>
    <definedName name="A.111.33E">#REF!</definedName>
    <definedName name="A.111.34">#REF!</definedName>
    <definedName name="A.111.34B">#REF!</definedName>
    <definedName name="A.111.34E">#REF!</definedName>
    <definedName name="A.111.35">#REF!</definedName>
    <definedName name="A.111.35B">#REF!</definedName>
    <definedName name="A.111.35E">#REF!</definedName>
    <definedName name="A.111.36">#REF!</definedName>
    <definedName name="A.111.36B">#REF!</definedName>
    <definedName name="A.111.36E">#REF!</definedName>
    <definedName name="A.111.39B">#REF!</definedName>
    <definedName name="A.111.3B">#REF!</definedName>
    <definedName name="A.111.3E">#REF!</definedName>
    <definedName name="A.111.4">#REF!</definedName>
    <definedName name="A.111.4B">#REF!</definedName>
    <definedName name="A.111.4E">#REF!</definedName>
    <definedName name="A.111.5">#REF!</definedName>
    <definedName name="A.111.5B">#REF!</definedName>
    <definedName name="A.111.5E">#REF!</definedName>
    <definedName name="A.111.6">#REF!</definedName>
    <definedName name="A.111.6B">#REF!</definedName>
    <definedName name="A.111.6E">#REF!</definedName>
    <definedName name="A.111.7">#REF!</definedName>
    <definedName name="A.111.7B">#REF!</definedName>
    <definedName name="A.111.7E">#REF!</definedName>
    <definedName name="A.111.8">#REF!</definedName>
    <definedName name="A.111.8B">#REF!</definedName>
    <definedName name="A.111.8E">#REF!</definedName>
    <definedName name="A.111.9">#REF!</definedName>
    <definedName name="A.111.9B">#REF!</definedName>
    <definedName name="A.111.9E">#REF!</definedName>
    <definedName name="A.111.B">#REF!</definedName>
    <definedName name="a.111a">#REF!</definedName>
    <definedName name="A.112">#REF!</definedName>
    <definedName name="A.112.1">#REF!</definedName>
    <definedName name="A.112.10">#REF!</definedName>
    <definedName name="A.112.10B">#REF!</definedName>
    <definedName name="A.112.10E">#REF!</definedName>
    <definedName name="A.112.11">#REF!</definedName>
    <definedName name="A.112.11B">#REF!</definedName>
    <definedName name="A.112.11E">#REF!</definedName>
    <definedName name="A.112.12">#REF!</definedName>
    <definedName name="A.112.12a">#REF!</definedName>
    <definedName name="A.112.12aa">#REF!</definedName>
    <definedName name="A.112.12B">#REF!</definedName>
    <definedName name="A.112.12E">#REF!</definedName>
    <definedName name="A.112.13">#REF!</definedName>
    <definedName name="A.112.13a">#REF!</definedName>
    <definedName name="A.112.13aa">#REF!</definedName>
    <definedName name="A.112.13B">#REF!</definedName>
    <definedName name="A.112.13E">#REF!</definedName>
    <definedName name="A.112.14">#REF!</definedName>
    <definedName name="A.112.14a">#REF!</definedName>
    <definedName name="A.112.14aa">#REF!</definedName>
    <definedName name="A.112.14B">#REF!</definedName>
    <definedName name="A.112.14E">#REF!</definedName>
    <definedName name="A.112.15">#REF!</definedName>
    <definedName name="A.112.15B">#REF!</definedName>
    <definedName name="A.112.15E">#REF!</definedName>
    <definedName name="A.112.1B">#REF!</definedName>
    <definedName name="A.112.1E">#REF!</definedName>
    <definedName name="A.112.2">#REF!</definedName>
    <definedName name="A.112.2B">#REF!</definedName>
    <definedName name="A.112.2E">#REF!</definedName>
    <definedName name="A.112.3">#REF!</definedName>
    <definedName name="A.112.3B">#REF!</definedName>
    <definedName name="A.112.3E">#REF!</definedName>
    <definedName name="A.112.4">#REF!</definedName>
    <definedName name="A.112.4B">#REF!</definedName>
    <definedName name="A.112.4E">#REF!</definedName>
    <definedName name="A.112.5">#REF!</definedName>
    <definedName name="A.112.5B">#REF!</definedName>
    <definedName name="A.112.5E">#REF!</definedName>
    <definedName name="A.112.6">#REF!</definedName>
    <definedName name="A.112.6B">#REF!</definedName>
    <definedName name="A.112.6E">#REF!</definedName>
    <definedName name="A.112.7">#REF!</definedName>
    <definedName name="A.112.7B">#REF!</definedName>
    <definedName name="A.112.7E">#REF!</definedName>
    <definedName name="A.112.8">#REF!</definedName>
    <definedName name="A.112.8B">#REF!</definedName>
    <definedName name="A.112.8E">#REF!</definedName>
    <definedName name="A.112.9">#REF!</definedName>
    <definedName name="A.112.9B">#REF!</definedName>
    <definedName name="A.112.9E">#REF!</definedName>
    <definedName name="A.112.B">#REF!</definedName>
    <definedName name="A.113">#REF!</definedName>
    <definedName name="A.113.1">#REF!</definedName>
    <definedName name="A.113.10">#REF!</definedName>
    <definedName name="A.113.10B">#REF!</definedName>
    <definedName name="A.113.10E">#REF!</definedName>
    <definedName name="A.113.11">#REF!</definedName>
    <definedName name="A.113.11B">#REF!</definedName>
    <definedName name="A.113.11E">#REF!</definedName>
    <definedName name="A.113.12">#REF!</definedName>
    <definedName name="A.113.12B">#REF!</definedName>
    <definedName name="A.113.12E">#REF!</definedName>
    <definedName name="A.113.13">#REF!</definedName>
    <definedName name="A.113.13B">#REF!</definedName>
    <definedName name="A.113.13E">#REF!</definedName>
    <definedName name="A.113.14">#REF!</definedName>
    <definedName name="A.113.14B">#REF!</definedName>
    <definedName name="A.113.14E">#REF!</definedName>
    <definedName name="A.113.15">#REF!</definedName>
    <definedName name="A.113.15B">#REF!</definedName>
    <definedName name="A.113.15E">#REF!</definedName>
    <definedName name="A.113.16">#REF!</definedName>
    <definedName name="A.113.16B">#REF!</definedName>
    <definedName name="A.113.16E">#REF!</definedName>
    <definedName name="A.113.17">#REF!</definedName>
    <definedName name="A.113.17B">#REF!</definedName>
    <definedName name="A.113.17E">#REF!</definedName>
    <definedName name="A.113.18">#REF!</definedName>
    <definedName name="A.113.18B">#REF!</definedName>
    <definedName name="A.113.18E">#REF!</definedName>
    <definedName name="A.113.19">#REF!</definedName>
    <definedName name="A.113.19B">#REF!</definedName>
    <definedName name="A.113.19E">#REF!</definedName>
    <definedName name="A.113.1B">#REF!</definedName>
    <definedName name="A.113.1E">#REF!</definedName>
    <definedName name="A.113.2">#REF!</definedName>
    <definedName name="A.113.20">#REF!</definedName>
    <definedName name="A.113.20B">#REF!</definedName>
    <definedName name="A.113.20E">#REF!</definedName>
    <definedName name="A.113.21">#REF!</definedName>
    <definedName name="A.113.21B">#REF!</definedName>
    <definedName name="A.113.21E">#REF!</definedName>
    <definedName name="A.113.22">#REF!</definedName>
    <definedName name="A.113.22B">#REF!</definedName>
    <definedName name="A.113.22E">#REF!</definedName>
    <definedName name="A.113.23">#REF!</definedName>
    <definedName name="A.113.23B">#REF!</definedName>
    <definedName name="A.113.23E">#REF!</definedName>
    <definedName name="A.113.24">#REF!</definedName>
    <definedName name="A.113.24B">#REF!</definedName>
    <definedName name="A.113.24E">#REF!</definedName>
    <definedName name="A.113.25">#REF!</definedName>
    <definedName name="A.113.25B">#REF!</definedName>
    <definedName name="A.113.25E">#REF!</definedName>
    <definedName name="A.113.26">#REF!</definedName>
    <definedName name="A.113.26B">#REF!</definedName>
    <definedName name="A.113.26E">#REF!</definedName>
    <definedName name="A.113.27">#REF!</definedName>
    <definedName name="A.113.27B">#REF!</definedName>
    <definedName name="A.113.27E">#REF!</definedName>
    <definedName name="A.113.28">#REF!</definedName>
    <definedName name="A.113.28B">#REF!</definedName>
    <definedName name="A.113.28E">#REF!</definedName>
    <definedName name="A.113.29">#REF!</definedName>
    <definedName name="A.113.29B">#REF!</definedName>
    <definedName name="A.113.29E">#REF!</definedName>
    <definedName name="A.113.2B">#REF!</definedName>
    <definedName name="A.113.2E">#REF!</definedName>
    <definedName name="A.113.3">#REF!</definedName>
    <definedName name="A.113.30">#REF!</definedName>
    <definedName name="A.113.30B">#REF!</definedName>
    <definedName name="A.113.30E">#REF!</definedName>
    <definedName name="A.113.3B">#REF!</definedName>
    <definedName name="A.113.3E">#REF!</definedName>
    <definedName name="A.113.4">#REF!</definedName>
    <definedName name="A.113.4B">#REF!</definedName>
    <definedName name="A.113.4E">#REF!</definedName>
    <definedName name="A.113.5">#REF!</definedName>
    <definedName name="A.113.5B">#REF!</definedName>
    <definedName name="A.113.5E">#REF!</definedName>
    <definedName name="A.113.6">#REF!</definedName>
    <definedName name="A.113.6B">#REF!</definedName>
    <definedName name="A.113.6E">#REF!</definedName>
    <definedName name="A.113.7">#REF!</definedName>
    <definedName name="A.113.7B">#REF!</definedName>
    <definedName name="A.113.7E">#REF!</definedName>
    <definedName name="A.113.8">#REF!</definedName>
    <definedName name="A.113.8B">#REF!</definedName>
    <definedName name="A.113.8E">#REF!</definedName>
    <definedName name="A.113.9">#REF!</definedName>
    <definedName name="A.113.9B">#REF!</definedName>
    <definedName name="A.113.9E">#REF!</definedName>
    <definedName name="A.113.B">#REF!</definedName>
    <definedName name="A.114">#REF!</definedName>
    <definedName name="A.114.1">#REF!</definedName>
    <definedName name="A.114.10">#REF!</definedName>
    <definedName name="A.114.10a">#REF!</definedName>
    <definedName name="A.114.10aB">#REF!</definedName>
    <definedName name="A.114.10aE">#REF!</definedName>
    <definedName name="A.114.10B">#REF!</definedName>
    <definedName name="A.114.10E">#REF!</definedName>
    <definedName name="A.114.11">#REF!</definedName>
    <definedName name="A.114.11a">#REF!</definedName>
    <definedName name="A.114.11aB">#REF!</definedName>
    <definedName name="A.114.11aE">#REF!</definedName>
    <definedName name="A.114.11B">#REF!</definedName>
    <definedName name="A.114.11E">#REF!</definedName>
    <definedName name="A.114.12">#REF!</definedName>
    <definedName name="A.114.12a">#REF!</definedName>
    <definedName name="A.114.12aB">#REF!</definedName>
    <definedName name="A.114.12aE">#REF!</definedName>
    <definedName name="A.114.12B">#REF!</definedName>
    <definedName name="A.114.12E">#REF!</definedName>
    <definedName name="A.114.13">#REF!</definedName>
    <definedName name="A.114.13a">#REF!</definedName>
    <definedName name="A.114.13aB">#REF!</definedName>
    <definedName name="A.114.13aE">#REF!</definedName>
    <definedName name="A.114.13B">#REF!</definedName>
    <definedName name="A.114.13E">#REF!</definedName>
    <definedName name="A.114.14">#REF!</definedName>
    <definedName name="A.114.14a">#REF!</definedName>
    <definedName name="A.114.14aB">#REF!</definedName>
    <definedName name="A.114.14aE">#REF!</definedName>
    <definedName name="A.114.14B">#REF!</definedName>
    <definedName name="A.114.14E">#REF!</definedName>
    <definedName name="A.114.1B">#REF!</definedName>
    <definedName name="A.114.1E">#REF!</definedName>
    <definedName name="A.114.2">#REF!</definedName>
    <definedName name="A.114.2B">#REF!</definedName>
    <definedName name="A.114.2E">#REF!</definedName>
    <definedName name="A.114.3">#REF!</definedName>
    <definedName name="A.114.3B">#REF!</definedName>
    <definedName name="A.114.3E">#REF!</definedName>
    <definedName name="A.114.4">#REF!</definedName>
    <definedName name="A.114.4B">#REF!</definedName>
    <definedName name="A.114.4E">#REF!</definedName>
    <definedName name="A.114.5">#REF!</definedName>
    <definedName name="A.114.5B">#REF!</definedName>
    <definedName name="A.114.5E">#REF!</definedName>
    <definedName name="A.114.6">#REF!</definedName>
    <definedName name="A.114.6B">#REF!</definedName>
    <definedName name="A.114.6E">#REF!</definedName>
    <definedName name="A.114.7">#REF!</definedName>
    <definedName name="A.114.7B">#REF!</definedName>
    <definedName name="A.114.7E">#REF!</definedName>
    <definedName name="A.114.8">#REF!</definedName>
    <definedName name="A.114.8a">#REF!</definedName>
    <definedName name="A.114.8aB">#REF!</definedName>
    <definedName name="A.114.8aE">#REF!</definedName>
    <definedName name="A.114.8B">#REF!</definedName>
    <definedName name="A.114.8E">#REF!</definedName>
    <definedName name="A.114.9">#REF!</definedName>
    <definedName name="A.114.9a">#REF!</definedName>
    <definedName name="A.114.9aB">#REF!</definedName>
    <definedName name="A.114.9aE">#REF!</definedName>
    <definedName name="A.114.9B">#REF!</definedName>
    <definedName name="A.114.9E">#REF!</definedName>
    <definedName name="A.114.B">#REF!</definedName>
    <definedName name="a.118a">#REF!</definedName>
    <definedName name="a.122a">#REF!</definedName>
    <definedName name="a.125d">#REF!</definedName>
    <definedName name="a.143a">#REF!</definedName>
    <definedName name="a.143b">#REF!</definedName>
    <definedName name="a.146">#REF!</definedName>
    <definedName name="a.147">#REF!</definedName>
    <definedName name="a.150">#REF!</definedName>
    <definedName name="a.152">#REF!</definedName>
    <definedName name="A.16">#REF!</definedName>
    <definedName name="A.17">#REF!</definedName>
    <definedName name="A.18">#REF!</definedName>
    <definedName name="A.2">#REF!</definedName>
    <definedName name="A.200.01.1">#REF!</definedName>
    <definedName name="A.200.01.2">#REF!</definedName>
    <definedName name="A.200.01.3">#REF!</definedName>
    <definedName name="A.200.01.4">#REF!</definedName>
    <definedName name="A.200.01.5">#REF!</definedName>
    <definedName name="A.200.01.6">#REF!</definedName>
    <definedName name="A.200.02.1">#REF!</definedName>
    <definedName name="A.200.02.2">#REF!</definedName>
    <definedName name="A.200.02.3">#REF!</definedName>
    <definedName name="A.200.02.4">#REF!</definedName>
    <definedName name="A.200.02.5">#REF!</definedName>
    <definedName name="A.3">#REF!</definedName>
    <definedName name="A.300.01.1">#REF!</definedName>
    <definedName name="A.300.01.2">#REF!</definedName>
    <definedName name="A.4">#REF!</definedName>
    <definedName name="A.400.01.1">#REF!</definedName>
    <definedName name="A.400.02.1">#REF!</definedName>
    <definedName name="A.400.02.10">#REF!</definedName>
    <definedName name="A.400.02.11">#REF!</definedName>
    <definedName name="A.400.02.13">#REF!</definedName>
    <definedName name="A.400.02.2">#REF!</definedName>
    <definedName name="A.400.02.3">#REF!</definedName>
    <definedName name="A.400.02.4">#REF!</definedName>
    <definedName name="A.400.02.5">#REF!</definedName>
    <definedName name="A.400.02.6">#REF!</definedName>
    <definedName name="A.400.02.8">#REF!</definedName>
    <definedName name="A.400.02.9">#REF!</definedName>
    <definedName name="A.430.02.2">#REF!</definedName>
    <definedName name="A.430.03.2">#REF!</definedName>
    <definedName name="A.430.03.3">#REF!</definedName>
    <definedName name="A.5">#REF!</definedName>
    <definedName name="A.500.01.1">#REF!</definedName>
    <definedName name="A.500.01.2">#REF!</definedName>
    <definedName name="A.500.01.3">#REF!</definedName>
    <definedName name="A.500.01.4">#REF!</definedName>
    <definedName name="A.500.02.1">#REF!</definedName>
    <definedName name="A.500.02.2">#REF!</definedName>
    <definedName name="A.500.02.3">#REF!</definedName>
    <definedName name="A.500.02.4">#REF!</definedName>
    <definedName name="A.500.03.1">#REF!</definedName>
    <definedName name="A.500.03.2">#REF!</definedName>
    <definedName name="A.500.03.3">#REF!</definedName>
    <definedName name="A.500.03.4">#REF!</definedName>
    <definedName name="A.500.04.1">#REF!</definedName>
    <definedName name="A.500.04.2">#REF!</definedName>
    <definedName name="A.500.05.1">#REF!</definedName>
    <definedName name="A.500.05.2">#REF!</definedName>
    <definedName name="A.500.06.1">#REF!</definedName>
    <definedName name="A.500.06.2">#REF!</definedName>
    <definedName name="A.500.07.1">#REF!</definedName>
    <definedName name="A.500.07.2">#REF!</definedName>
    <definedName name="A.500.08.1">#REF!</definedName>
    <definedName name="A.500.08.2">#REF!</definedName>
    <definedName name="A.500.09.1">#REF!</definedName>
    <definedName name="A.500.09.2">#REF!</definedName>
    <definedName name="A.500.10.1">#REF!</definedName>
    <definedName name="A.500.11.1">#REF!</definedName>
    <definedName name="A.5a">#REF!</definedName>
    <definedName name="A.6">#REF!</definedName>
    <definedName name="A.6.2">#REF!</definedName>
    <definedName name="A.6.5">#REF!</definedName>
    <definedName name="A.6.5a">#REF!</definedName>
    <definedName name="A.6.6">#REF!</definedName>
    <definedName name="A.6.7">#REF!</definedName>
    <definedName name="A.6_1">#REF!</definedName>
    <definedName name="A.600.01.1">#REF!</definedName>
    <definedName name="A.600.01.2">#REF!</definedName>
    <definedName name="A.600.02.1">#REF!</definedName>
    <definedName name="A.600.02.2">#REF!</definedName>
    <definedName name="A.600.03.1">#REF!</definedName>
    <definedName name="A.600.03.2">#REF!</definedName>
    <definedName name="A.600.04.1">#REF!</definedName>
    <definedName name="A.600.04.2">#REF!</definedName>
    <definedName name="A.7">#REF!</definedName>
    <definedName name="A.700.01.1">#REF!</definedName>
    <definedName name="A.700.01.2">#REF!</definedName>
    <definedName name="A.700.01.3">#REF!</definedName>
    <definedName name="A.700.01.4">#REF!</definedName>
    <definedName name="A.700.02.1">#REF!</definedName>
    <definedName name="A.700.02.2">#REF!</definedName>
    <definedName name="A.700.02.3">#REF!</definedName>
    <definedName name="A.700.03.1">#REF!</definedName>
    <definedName name="A.700.03.2">#REF!</definedName>
    <definedName name="A.700.03.3">#REF!</definedName>
    <definedName name="A.700.03.4">#REF!</definedName>
    <definedName name="A.700.03.5">#REF!</definedName>
    <definedName name="A.830.01.1">#REF!</definedName>
    <definedName name="A.830.01.2">#REF!</definedName>
    <definedName name="A.830.02.2">#REF!</definedName>
    <definedName name="A.830.02.3">#REF!</definedName>
    <definedName name="A.830.02.4">#REF!</definedName>
    <definedName name="A.830.02.5">#REF!</definedName>
    <definedName name="A.830.03.1">#REF!</definedName>
    <definedName name="A.830.03.2">#REF!</definedName>
    <definedName name="A.850.01.1">#REF!</definedName>
    <definedName name="A.850.01.2">#REF!</definedName>
    <definedName name="A.850.02.1">#REF!</definedName>
    <definedName name="A.850.02.2">#REF!</definedName>
    <definedName name="A.850.03.1">#REF!</definedName>
    <definedName name="A.850.03.2">#REF!</definedName>
    <definedName name="A.850.03.3">#REF!</definedName>
    <definedName name="A.850.04.1">#REF!</definedName>
    <definedName name="A.900.01.1">#REF!</definedName>
    <definedName name="A.900.01.2">#REF!</definedName>
    <definedName name="A.900.01.3">#REF!</definedName>
    <definedName name="A.900.01.4">#REF!</definedName>
    <definedName name="A.900.01.5">#REF!</definedName>
    <definedName name="A.900.01.6">#REF!</definedName>
    <definedName name="A.900.01.7">#REF!</definedName>
    <definedName name="A.900.02.1">#REF!</definedName>
    <definedName name="A.900.02.2">#REF!</definedName>
    <definedName name="A.999.01">#REF!</definedName>
    <definedName name="A.999.02">#REF!</definedName>
    <definedName name="A.999.03">#REF!</definedName>
    <definedName name="A.999.04">#REF!</definedName>
    <definedName name="A.999.05">#REF!</definedName>
    <definedName name="A.999.06">#REF!</definedName>
    <definedName name="A.999.07">#REF!</definedName>
    <definedName name="A.999.08">#REF!</definedName>
    <definedName name="A.BJ.01">#REF!</definedName>
    <definedName name="A.BJ.02">#REF!</definedName>
    <definedName name="A.BM.01">#REF!</definedName>
    <definedName name="A.CD.01">#REF!</definedName>
    <definedName name="A.CJ.01">#REF!</definedName>
    <definedName name="A.CJ.02">#REF!</definedName>
    <definedName name="A.G.01.1">#REF!</definedName>
    <definedName name="A.G.01.2">#REF!</definedName>
    <definedName name="A.G.01.3">#REF!</definedName>
    <definedName name="A.G.01.4">#REF!</definedName>
    <definedName name="A.G.02.1">#REF!</definedName>
    <definedName name="A.G.02.2">#REF!</definedName>
    <definedName name="A.G.02.3">#REF!</definedName>
    <definedName name="A.J.01">#REF!</definedName>
    <definedName name="A.J.02">#REF!</definedName>
    <definedName name="A.J.03">#REF!</definedName>
    <definedName name="A.J.04">#REF!</definedName>
    <definedName name="A.J.05">#REF!</definedName>
    <definedName name="A.KJ.01">#REF!</definedName>
    <definedName name="A.KJ.02">#REF!</definedName>
    <definedName name="A.KJ.03">#REF!</definedName>
    <definedName name="A.KS.01">#REF!</definedName>
    <definedName name="A.KS.02">#REF!</definedName>
    <definedName name="A.KS.03">#REF!</definedName>
    <definedName name="A.KS.04">#REF!</definedName>
    <definedName name="A.KS.05">#REF!</definedName>
    <definedName name="A.PB.01">#REF!</definedName>
    <definedName name="A.PDT.01">#REF!</definedName>
    <definedName name="A.PDT.02">#REF!</definedName>
    <definedName name="A.PDT.03">#REF!</definedName>
    <definedName name="A.PDT.04">#REF!</definedName>
    <definedName name="A.PDT.05">#REF!</definedName>
    <definedName name="A.PJ.JL.01">#REF!</definedName>
    <definedName name="A.PJ.JL.02">#REF!</definedName>
    <definedName name="A.PJ.JL.03">#REF!</definedName>
    <definedName name="A.PJ.JL.04">#REF!</definedName>
    <definedName name="A.PJ.JL.05">#REF!</definedName>
    <definedName name="A.PK.01">#REF!</definedName>
    <definedName name="A.PK.02">#REF!</definedName>
    <definedName name="A.PK.03">#REF!</definedName>
    <definedName name="A.PK.04">#REF!</definedName>
    <definedName name="A.PK.05">#REF!</definedName>
    <definedName name="A.PP.01">#REF!</definedName>
    <definedName name="A.PP.02">#REF!</definedName>
    <definedName name="A.PP.03">#REF!</definedName>
    <definedName name="A.PP.04">#REF!</definedName>
    <definedName name="A.PP.05">#REF!</definedName>
    <definedName name="A.PTF.01">#REF!</definedName>
    <definedName name="A.PTF.02">#REF!</definedName>
    <definedName name="A.PTF.03">#REF!</definedName>
    <definedName name="A.PTF.04">#REF!</definedName>
    <definedName name="A.PTF.05">#REF!</definedName>
    <definedName name="A.R.01">#REF!</definedName>
    <definedName name="A.R.02">#REF!</definedName>
    <definedName name="A.R.03">#REF!</definedName>
    <definedName name="A.R.04">#REF!</definedName>
    <definedName name="A.ST.01.2">#REF!</definedName>
    <definedName name="A_1">#REF!</definedName>
    <definedName name="A_1_1">#REF!</definedName>
    <definedName name="a_13">NA()</definedName>
    <definedName name="A_14">#REF!</definedName>
    <definedName name="a_16">#REF!</definedName>
    <definedName name="A_2">#REF!</definedName>
    <definedName name="A_22">#REF!</definedName>
    <definedName name="a_grup_tenaga_bahan_alat">#REF!</definedName>
    <definedName name="a1..2349">#REF!</definedName>
    <definedName name="A10000000000000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0_">"$#REF!.$B$23"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"$#REF!.$B$27"</definedName>
    <definedName name="A50_">"$#REF!.$B$26"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0_">"$#REF!.$B$25"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5_">"$#REF!.$B$24"</definedName>
    <definedName name="a9sw30besi">#REF!</definedName>
    <definedName name="a9sw35besi">#REF!</definedName>
    <definedName name="a9sw40besi">#REF!</definedName>
    <definedName name="aa">#REF!</definedName>
    <definedName name="AA_02">#REF!</definedName>
    <definedName name="AA_05">#REF!</definedName>
    <definedName name="AAA">#REF!</definedName>
    <definedName name="aaaa">#REF!</definedName>
    <definedName name="aaaaa" hidden="1">#N/A</definedName>
    <definedName name="aaaaaa">#REF!</definedName>
    <definedName name="aaaaaaaaaaaa">#REF!</definedName>
    <definedName name="aaaaaaaaaaaaaaaaaa">#REF!</definedName>
    <definedName name="AAC">STOP:STOPE</definedName>
    <definedName name="AAC_10">#REF!:#REF!</definedName>
    <definedName name="AAC_11">#REF!:#REF!</definedName>
    <definedName name="AAC_12">#REF!:#REF!</definedName>
    <definedName name="AAC_14">#REF!:#REF!</definedName>
    <definedName name="AAC_15">#REF!:#REF!</definedName>
    <definedName name="AAC_16">#REF!:#REF!</definedName>
    <definedName name="AAC_17">#REF!:#REF!</definedName>
    <definedName name="AAC_18">#REF!:#REF!</definedName>
    <definedName name="AAC_19">#REF!:#REF!</definedName>
    <definedName name="AAC_20">#REF!:#REF!</definedName>
    <definedName name="AAC_22">#REF!:#REF!</definedName>
    <definedName name="AAC_23">#REF!:#REF!</definedName>
    <definedName name="AAC_24">#REF!:#REF!</definedName>
    <definedName name="AAC_25">#REF!:#REF!</definedName>
    <definedName name="AAC_5">#REF!:#REF!</definedName>
    <definedName name="AAC_6">#REF!:#REF!</definedName>
    <definedName name="AAC_7">#REF!:#REF!</definedName>
    <definedName name="AAC_8">#REF!:#REF!</definedName>
    <definedName name="AAD3_10">#REF!:#REF!</definedName>
    <definedName name="AAD3_11">#REF!:#REF!</definedName>
    <definedName name="AAD3_12">#REF!:#REF!</definedName>
    <definedName name="AAD3_14">#REF!:#REF!</definedName>
    <definedName name="AAD3_15">#REF!:#REF!</definedName>
    <definedName name="AAD3_16">#REF!:#REF!</definedName>
    <definedName name="AAD3_17">#REF!:#REF!</definedName>
    <definedName name="AAD3_18">#REF!:#REF!</definedName>
    <definedName name="AAD3_19">#REF!:#REF!</definedName>
    <definedName name="AAD3_20">#REF!:#REF!</definedName>
    <definedName name="AAD3_22">#REF!:#REF!</definedName>
    <definedName name="AAD3_23">#REF!:#REF!</definedName>
    <definedName name="AAD3_24">#REF!:#REF!</definedName>
    <definedName name="AAD3_25">#REF!:#REF!</definedName>
    <definedName name="AAD3_5">#REF!:#REF!</definedName>
    <definedName name="AAD3_6">#REF!:#REF!</definedName>
    <definedName name="AAD3_7">#REF!:#REF!</definedName>
    <definedName name="AAD3_8">#REF!:#REF!</definedName>
    <definedName name="Aanstampeng">#REF!</definedName>
    <definedName name="Aanstm">#REF!</definedName>
    <definedName name="aass">#REF!</definedName>
    <definedName name="aax">#REF!</definedName>
    <definedName name="ab">#REF!</definedName>
    <definedName name="ab_9">#REF!</definedName>
    <definedName name="abaja">#REF!</definedName>
    <definedName name="abantu">#REF!</definedName>
    <definedName name="abantu_9">#REF!</definedName>
    <definedName name="abatu">#REF!</definedName>
    <definedName name="ABC">#REF!</definedName>
    <definedName name="abcd">#REF!</definedName>
    <definedName name="abch100">#REF!</definedName>
    <definedName name="abe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pg">#REF!</definedName>
    <definedName name="ABS">#REF!</definedName>
    <definedName name="Abu">#REF!</definedName>
    <definedName name="abub">#REF!</definedName>
    <definedName name="abub_9">#REF!</definedName>
    <definedName name="Abubt">#REF!</definedName>
    <definedName name="abwl">#REF!</definedName>
    <definedName name="ABX">#REF!</definedName>
    <definedName name="AC">#REF!</definedName>
    <definedName name="ac_9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1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"$#REF!.$B$32"</definedName>
    <definedName name="AC2Pk">#REF!</definedName>
    <definedName name="AC35_">"$#REF!.$B$28"</definedName>
    <definedName name="AC3Pk">#REF!</definedName>
    <definedName name="AC50_">"$#REF!.$B$29"</definedName>
    <definedName name="AC70_">"$#REF!.$B$30"</definedName>
    <definedName name="AC95_">"$#REF!.$B$31"</definedName>
    <definedName name="acc">#REF!</definedName>
    <definedName name="Acces">#REF!</definedName>
    <definedName name="Access">#REF!</definedName>
    <definedName name="ACCPNL">#REF!</definedName>
    <definedName name="acetiline">#REF!</definedName>
    <definedName name="aci">#REF!</definedName>
    <definedName name="aci_6">#REF!</definedName>
    <definedName name="acian">#REF!</definedName>
    <definedName name="Acust">#REF!</definedName>
    <definedName name="ACWM">#REF!</definedName>
    <definedName name="ACX">#REF!</definedName>
    <definedName name="acy">#REF!</definedName>
    <definedName name="ad">#REF!</definedName>
    <definedName name="AD_69">#REF!</definedName>
    <definedName name="ADAC">HAJIME:OWARI</definedName>
    <definedName name="ADAC_10">#REF!:#REF!</definedName>
    <definedName name="ADAC_11">#REF!:#REF!</definedName>
    <definedName name="ADAC_12">#REF!:#REF!</definedName>
    <definedName name="ADAC_14">#REF!:#REF!</definedName>
    <definedName name="ADAC_15">#REF!:#REF!</definedName>
    <definedName name="ADAC_16">#REF!:#REF!</definedName>
    <definedName name="ADAC_17">#REF!:#REF!</definedName>
    <definedName name="ADAC_18">#REF!:#REF!</definedName>
    <definedName name="ADAC_19">#REF!:#REF!</definedName>
    <definedName name="ADAC_20">#REF!:#REF!</definedName>
    <definedName name="ADAC_22">#REF!:#REF!</definedName>
    <definedName name="ADAC_23">#REF!:#REF!</definedName>
    <definedName name="ADAC_24">#REF!:#REF!</definedName>
    <definedName name="ADAC_25">#REF!:#REF!</definedName>
    <definedName name="ADAC_5">#REF!:#REF!</definedName>
    <definedName name="ADAC_6">#REF!:#REF!</definedName>
    <definedName name="ADAC_7">#REF!:#REF!</definedName>
    <definedName name="ADAC_8">#REF!:#REF!</definedName>
    <definedName name="ADD1_10">#REF!:#REF!</definedName>
    <definedName name="ADD1_11">#REF!:#REF!</definedName>
    <definedName name="ADD1_12">#REF!:#REF!</definedName>
    <definedName name="ADD1_14">#REF!:#REF!</definedName>
    <definedName name="ADD1_15">#REF!:#REF!</definedName>
    <definedName name="ADD1_16">#REF!:#REF!</definedName>
    <definedName name="ADD1_17">#REF!:#REF!</definedName>
    <definedName name="ADD1_18">#REF!:#REF!</definedName>
    <definedName name="ADD1_19">#REF!:#REF!</definedName>
    <definedName name="ADD1_20">#REF!:#REF!</definedName>
    <definedName name="ADD1_22">#REF!:#REF!</definedName>
    <definedName name="ADD1_23">#REF!:#REF!</definedName>
    <definedName name="ADD1_24">#REF!:#REF!</definedName>
    <definedName name="ADD1_25">#REF!:#REF!</definedName>
    <definedName name="ADD1_5">#REF!:#REF!</definedName>
    <definedName name="ADD1_6">#REF!:#REF!</definedName>
    <definedName name="ADD1_7">#REF!:#REF!</definedName>
    <definedName name="ADD1_8">#REF!:#REF!</definedName>
    <definedName name="ADD2_10">#REF!:#REF!</definedName>
    <definedName name="ADD2_11">#REF!:#REF!</definedName>
    <definedName name="ADD2_12">#REF!:#REF!</definedName>
    <definedName name="ADD2_14">#REF!:#REF!</definedName>
    <definedName name="ADD2_15">#REF!:#REF!</definedName>
    <definedName name="ADD2_16">#REF!:#REF!</definedName>
    <definedName name="ADD2_17">#REF!:#REF!</definedName>
    <definedName name="ADD2_18">#REF!:#REF!</definedName>
    <definedName name="ADD2_19">#REF!:#REF!</definedName>
    <definedName name="ADD2_20">#REF!:#REF!</definedName>
    <definedName name="ADD2_22">#REF!:#REF!</definedName>
    <definedName name="ADD2_23">#REF!:#REF!</definedName>
    <definedName name="ADD2_24">#REF!:#REF!</definedName>
    <definedName name="ADD2_25">#REF!:#REF!</definedName>
    <definedName name="ADD2_5">#REF!:#REF!</definedName>
    <definedName name="ADD2_6">#REF!:#REF!</definedName>
    <definedName name="ADD2_7">#REF!:#REF!</definedName>
    <definedName name="ADD2_8">#REF!:#REF!</definedName>
    <definedName name="ADD3_10">#REF!:#REF!</definedName>
    <definedName name="ADD3_11">#REF!:#REF!</definedName>
    <definedName name="ADD3_12">#REF!:#REF!</definedName>
    <definedName name="ADD3_14">#REF!:#REF!</definedName>
    <definedName name="ADD3_15">#REF!:#REF!</definedName>
    <definedName name="ADD3_16">#REF!:#REF!</definedName>
    <definedName name="ADD3_17">#REF!:#REF!</definedName>
    <definedName name="ADD3_18">#REF!:#REF!</definedName>
    <definedName name="ADD3_19">#REF!:#REF!</definedName>
    <definedName name="ADD3_20">#REF!:#REF!</definedName>
    <definedName name="ADD3_22">#REF!:#REF!</definedName>
    <definedName name="ADD3_23">#REF!:#REF!</definedName>
    <definedName name="ADD3_24">#REF!:#REF!</definedName>
    <definedName name="ADD3_25">#REF!:#REF!</definedName>
    <definedName name="ADD3_5">#REF!:#REF!</definedName>
    <definedName name="ADD3_6">#REF!:#REF!</definedName>
    <definedName name="ADD3_7">#REF!:#REF!</definedName>
    <definedName name="ADD3_8">#REF!:#REF!</definedName>
    <definedName name="addakwah">#REF!</definedName>
    <definedName name="addfill">#REF!</definedName>
    <definedName name="ADDR">HAJIME:OWARI</definedName>
    <definedName name="ADDR_10">#REF!:#REF!</definedName>
    <definedName name="ADDR_11">#REF!:#REF!</definedName>
    <definedName name="ADDR_12">#REF!:#REF!</definedName>
    <definedName name="ADDR_14">#REF!:#REF!</definedName>
    <definedName name="ADDR_15">#REF!:#REF!</definedName>
    <definedName name="ADDR_16">#REF!:#REF!</definedName>
    <definedName name="ADDR_17">#REF!:#REF!</definedName>
    <definedName name="ADDR_18">#REF!:#REF!</definedName>
    <definedName name="ADDR_19">#REF!:#REF!</definedName>
    <definedName name="ADDR_20">#REF!:#REF!</definedName>
    <definedName name="ADDR_22">#REF!:#REF!</definedName>
    <definedName name="ADDR_23">#REF!:#REF!</definedName>
    <definedName name="ADDR_24">#REF!:#REF!</definedName>
    <definedName name="ADDR_25">#REF!:#REF!</definedName>
    <definedName name="ADDR_5">#REF!:#REF!</definedName>
    <definedName name="ADDR_6">#REF!:#REF!</definedName>
    <definedName name="ADDR_7">#REF!:#REF!</definedName>
    <definedName name="ADDR_8">#REF!:#REF!</definedName>
    <definedName name="ADDR1">#N/A</definedName>
    <definedName name="ADE">#REF!</definedName>
    <definedName name="adf">#REF!</definedName>
    <definedName name="adh" hidden="1">{"'Sheet1'!$A$1"}</definedName>
    <definedName name="adnan">STOP:STOPE</definedName>
    <definedName name="ADSADF">#REF!</definedName>
    <definedName name="adukan">#REF!</definedName>
    <definedName name="adukan1">#REF!</definedName>
    <definedName name="ADX">#REF!</definedName>
    <definedName name="AE">#REF!</definedName>
    <definedName name="AF">#REF!</definedName>
    <definedName name="afa" hidden="1">{"'Sheet1'!$A$1"}</definedName>
    <definedName name="aff">#REF!</definedName>
    <definedName name="Afins">#REF!</definedName>
    <definedName name="Afoil">#REF!</definedName>
    <definedName name="AG">#REF!</definedName>
    <definedName name="ag142X42">NA()</definedName>
    <definedName name="ag267N59">NA()</definedName>
    <definedName name="AGREGATA">#REF!</definedName>
    <definedName name="AGREGATB">#REF!</definedName>
    <definedName name="AGREGATC">#REF!</definedName>
    <definedName name="agus">#REF!</definedName>
    <definedName name="AH">#REF!</definedName>
    <definedName name="ahrd100">#REF!</definedName>
    <definedName name="ahrd150">#REF!</definedName>
    <definedName name="ahs">#REF!</definedName>
    <definedName name="AHS.Rev1">#REF!</definedName>
    <definedName name="AHS.Rev1_6">#REF!</definedName>
    <definedName name="ahs_9">#REF!</definedName>
    <definedName name="ahslist">#REF!</definedName>
    <definedName name="ahu150___0">"$#REF!.$#REF!$#REF!"</definedName>
    <definedName name="ahuf100">#REF!</definedName>
    <definedName name="ahuf150">#REF!</definedName>
    <definedName name="ahuf150ahuf150">#REF!</definedName>
    <definedName name="AI">#REF!</definedName>
    <definedName name="aibon">#REF!</definedName>
    <definedName name="airkerja">#REF!</definedName>
    <definedName name="AJ">#REF!</definedName>
    <definedName name="ajunk" hidden="1">#REF!</definedName>
    <definedName name="AK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100___0">"$#REF!.$W$152"</definedName>
    <definedName name="ako150___0">"$#REF!.$W$151"</definedName>
    <definedName name="ako50___0">"$#REF!.$W$154"</definedName>
    <definedName name="ako80___0">"$#REF!.$W$153"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U">STOP:STOPE</definedName>
    <definedName name="AKU_10">#REF!:#REF!</definedName>
    <definedName name="AKU_11">#REF!:#REF!</definedName>
    <definedName name="AKU_12">#REF!:#REF!</definedName>
    <definedName name="AKU_14">#REF!:#REF!</definedName>
    <definedName name="AKU_15">#REF!:#REF!</definedName>
    <definedName name="AKU_16">#REF!:#REF!</definedName>
    <definedName name="AKU_17">#REF!:#REF!</definedName>
    <definedName name="AKU_18">#REF!:#REF!</definedName>
    <definedName name="AKU_19">#REF!:#REF!</definedName>
    <definedName name="AKU_20">#REF!:#REF!</definedName>
    <definedName name="AKU_22">#REF!:#REF!</definedName>
    <definedName name="AKU_23">#REF!:#REF!</definedName>
    <definedName name="AKU_24">#REF!:#REF!</definedName>
    <definedName name="AKU_25">#REF!:#REF!</definedName>
    <definedName name="AKU_5">#REF!:#REF!</definedName>
    <definedName name="AKU_6">#REF!:#REF!</definedName>
    <definedName name="AKU_7">#REF!:#REF!</definedName>
    <definedName name="AKU_8">#REF!:#REF!</definedName>
    <definedName name="aku150___0">"$#REF!.$W$199"</definedName>
    <definedName name="al">#REF!</definedName>
    <definedName name="al..foil.singl">#REF!</definedName>
    <definedName name="al.clad">#REF!</definedName>
    <definedName name="al.foil.dbel">#REF!</definedName>
    <definedName name="ALAT">#REF!</definedName>
    <definedName name="Alat_Asphalt_Distributor">#REF!</definedName>
    <definedName name="Alat_Dumptruck">#REF!,#REF!,#REF!,#REF!,#REF!,#REF!,#REF!,#REF!</definedName>
    <definedName name="Alat_Loader">#REF!</definedName>
    <definedName name="ALAT1">#REF!</definedName>
    <definedName name="alatbantu">#REF!</definedName>
    <definedName name="ALATUTAMA">#REF!</definedName>
    <definedName name="alb">#REF!</definedName>
    <definedName name="alba">#REF!</definedName>
    <definedName name="alba2.20">#REF!</definedName>
    <definedName name="alban">#REF!</definedName>
    <definedName name="albasia">#REF!</definedName>
    <definedName name="albasia.p">#REF!</definedName>
    <definedName name="ALBASIAH">#REF!</definedName>
    <definedName name="albidayah">#REF!</definedName>
    <definedName name="ald_1">#REF!</definedName>
    <definedName name="ald_10">#REF!</definedName>
    <definedName name="ald_11">#REF!</definedName>
    <definedName name="ald_13">#REF!</definedName>
    <definedName name="ald_14">#REF!</definedName>
    <definedName name="ald_16">#REF!</definedName>
    <definedName name="ald_17">#REF!</definedName>
    <definedName name="ald_3">#REF!</definedName>
    <definedName name="ald_4">#REF!</definedName>
    <definedName name="ald_5">#REF!</definedName>
    <definedName name="ald_6">#REF!</definedName>
    <definedName name="ald_7">#REF!</definedName>
    <definedName name="ald_8">#REF!</definedName>
    <definedName name="ald_9">#REF!</definedName>
    <definedName name="ald_pu">#REF!</definedName>
    <definedName name="ald_pu4">#REF!</definedName>
    <definedName name="ald10_1">#REF!</definedName>
    <definedName name="ald10_2">#REF!</definedName>
    <definedName name="ald10_3">#REF!</definedName>
    <definedName name="ald4_1">#REF!</definedName>
    <definedName name="ald4_2">#REF!</definedName>
    <definedName name="ald4_3">#REF!</definedName>
    <definedName name="ald4_4">#REF!</definedName>
    <definedName name="ald4_5">#REF!</definedName>
    <definedName name="ald4_6">#REF!</definedName>
    <definedName name="ald4_7">#REF!</definedName>
    <definedName name="ald7_1">#REF!</definedName>
    <definedName name="ald7_2">#REF!</definedName>
    <definedName name="ald7_3">#REF!</definedName>
    <definedName name="ald7_4">#REF!</definedName>
    <definedName name="ald7_5">#REF!</definedName>
    <definedName name="ald7_6">#REF!</definedName>
    <definedName name="aldpu_1">#REF!</definedName>
    <definedName name="aldpu_2">#REF!</definedName>
    <definedName name="aldpu_3">#REF!</definedName>
    <definedName name="alfajar">#REF!</definedName>
    <definedName name="alfoil">#REF!</definedName>
    <definedName name="alhidayah">#REF!</definedName>
    <definedName name="alhidayah2">#REF!</definedName>
    <definedName name="alikhlas">#REF!</definedName>
    <definedName name="alkali">#REF!</definedName>
    <definedName name="alkali_6">#REF!</definedName>
    <definedName name="alkalin">#REF!</definedName>
    <definedName name="alkhoer">#REF!</definedName>
    <definedName name="ALL">#REF!</definedName>
    <definedName name="all.1">#REF!</definedName>
    <definedName name="all.2">#REF!</definedName>
    <definedName name="all_s">#REF!</definedName>
    <definedName name="ALM">#REF!</definedName>
    <definedName name="alooo">alooo</definedName>
    <definedName name="altb">#REF!</definedName>
    <definedName name="aluminiumfoil">#REF!</definedName>
    <definedName name="ALVO">#REF!</definedName>
    <definedName name="AM">#REF!</definedName>
    <definedName name="amd">#REF!</definedName>
    <definedName name="AMelt">#REF!</definedName>
    <definedName name="amfm">#REF!</definedName>
    <definedName name="amgrout54">#REF!</definedName>
    <definedName name="AMixP">#REF!</definedName>
    <definedName name="AMP">#REF!</definedName>
    <definedName name="AMPAR23">#REF!</definedName>
    <definedName name="AMPAR57">#REF!</definedName>
    <definedName name="ampel">#REF!</definedName>
    <definedName name="ampel_6">#REF!</definedName>
    <definedName name="ampelas">#REF!</definedName>
    <definedName name="ampelasbesi.kayu">#REF!</definedName>
    <definedName name="ampl">#REF!</definedName>
    <definedName name="AMPLAS">#REF!</definedName>
    <definedName name="amplimatv">#REF!</definedName>
    <definedName name="AN">#REF!</definedName>
    <definedName name="AN.30">#REF!</definedName>
    <definedName name="AN_CK">#REF!</definedName>
    <definedName name="ANADC">#REF!</definedName>
    <definedName name="ANAKMC">#REF!</definedName>
    <definedName name="ANALAN">#REF!</definedName>
    <definedName name="ANALAT">#REF!</definedName>
    <definedName name="Anali">#REF!</definedName>
    <definedName name="ANALIS_RUMPUT">#REF!</definedName>
    <definedName name="ANALISA">#REF!</definedName>
    <definedName name="Analisa1">#REF!</definedName>
    <definedName name="Analisa101A">#REF!</definedName>
    <definedName name="Analisa101B">#REF!</definedName>
    <definedName name="Analisa101C">#REF!</definedName>
    <definedName name="Analisa101D">#REF!</definedName>
    <definedName name="Analisa101E">#REF!</definedName>
    <definedName name="ANALOGO">#REF!</definedName>
    <definedName name="ANASEL">#REF!</definedName>
    <definedName name="anastruktur">#REF!</definedName>
    <definedName name="ANAYOL">#REF!</definedName>
    <definedName name="Anchor_space">#REF!</definedName>
    <definedName name="Anchor_space_2">#REF!</definedName>
    <definedName name="Andesit">#REF!</definedName>
    <definedName name="ANDI1" hidden="1">#REF!</definedName>
    <definedName name="ANDY" hidden="1">#REF!</definedName>
    <definedName name="ANDY2" hidden="1">#REF!</definedName>
    <definedName name="angka">#REF!</definedName>
    <definedName name="ANGKA2">#REF!</definedName>
    <definedName name="Angker_baut">#REF!</definedName>
    <definedName name="Angker_kusen">#REF!</definedName>
    <definedName name="angker12">#REF!</definedName>
    <definedName name="angker16">#REF!</definedName>
    <definedName name="angker19">#REF!</definedName>
    <definedName name="angker32">#REF!</definedName>
    <definedName name="angkur">"'file://SERVER3/har-data/STRUCTURE PRICE OF BQ KOMPAS GRAMEDIA.xls'#$analisa.$#REF!$#REF!"</definedName>
    <definedName name="angkur12">#REF!</definedName>
    <definedName name="angkur16">#REF!</definedName>
    <definedName name="angkur19">#REF!</definedName>
    <definedName name="angkur20">#REF!</definedName>
    <definedName name="ANGKURBAUT19">#REF!</definedName>
    <definedName name="angkut">#REF!</definedName>
    <definedName name="angle">#REF!</definedName>
    <definedName name="Angsana">#REF!</definedName>
    <definedName name="anh">#REF!</definedName>
    <definedName name="anip1">#REF!</definedName>
    <definedName name="anip10">#REF!</definedName>
    <definedName name="anip11">#REF!</definedName>
    <definedName name="anip12">#REF!</definedName>
    <definedName name="anip13">#REF!</definedName>
    <definedName name="anip14">#REF!</definedName>
    <definedName name="anip15">#REF!</definedName>
    <definedName name="anip16">#REF!</definedName>
    <definedName name="anip17">#REF!</definedName>
    <definedName name="anip18">#REF!</definedName>
    <definedName name="anip19">#REF!</definedName>
    <definedName name="anip2">#REF!</definedName>
    <definedName name="anip20">#REF!</definedName>
    <definedName name="anip21">#REF!</definedName>
    <definedName name="anip22">#REF!</definedName>
    <definedName name="anip23">#REF!</definedName>
    <definedName name="anip24">#REF!</definedName>
    <definedName name="anip25">#REF!</definedName>
    <definedName name="anip26">#REF!</definedName>
    <definedName name="anip27">#REF!</definedName>
    <definedName name="anip28">#REF!</definedName>
    <definedName name="anip29">#REF!</definedName>
    <definedName name="anip3">#REF!</definedName>
    <definedName name="anip34">#REF!</definedName>
    <definedName name="anip35">#REF!</definedName>
    <definedName name="anip36">#REF!</definedName>
    <definedName name="anip37">#REF!</definedName>
    <definedName name="anip38">#REF!</definedName>
    <definedName name="anip39">#REF!</definedName>
    <definedName name="anip4">#REF!</definedName>
    <definedName name="anip40">#REF!</definedName>
    <definedName name="anip41">#REF!</definedName>
    <definedName name="anip42">#REF!</definedName>
    <definedName name="anip43">#REF!</definedName>
    <definedName name="anip44">#REF!</definedName>
    <definedName name="anip45">#REF!</definedName>
    <definedName name="anip46">#REF!</definedName>
    <definedName name="anip47">#REF!</definedName>
    <definedName name="anip48">#REF!</definedName>
    <definedName name="anip49">#REF!</definedName>
    <definedName name="anip5">#REF!</definedName>
    <definedName name="anip50">#REF!</definedName>
    <definedName name="anip51">#REF!</definedName>
    <definedName name="anip52">#REF!</definedName>
    <definedName name="anip53">#REF!</definedName>
    <definedName name="anip54">#REF!</definedName>
    <definedName name="anip55">#REF!</definedName>
    <definedName name="anip56">#REF!</definedName>
    <definedName name="anip58">#REF!</definedName>
    <definedName name="anip59">#REF!</definedName>
    <definedName name="anip6">#REF!</definedName>
    <definedName name="anip60">#REF!</definedName>
    <definedName name="anip61">#REF!</definedName>
    <definedName name="anip62">#REF!</definedName>
    <definedName name="anip63">#REF!</definedName>
    <definedName name="anip64">#REF!</definedName>
    <definedName name="anip65">#REF!</definedName>
    <definedName name="anip66">#REF!</definedName>
    <definedName name="anip67">#REF!</definedName>
    <definedName name="anip68">#REF!</definedName>
    <definedName name="anip7">#REF!</definedName>
    <definedName name="anip8">#REF!</definedName>
    <definedName name="anip9">#REF!</definedName>
    <definedName name="ank420b">#REF!</definedName>
    <definedName name="anK424b">#REF!</definedName>
    <definedName name="anK705A">#REF!</definedName>
    <definedName name="anKA18">#REF!</definedName>
    <definedName name="anker">#REF!</definedName>
    <definedName name="ANKG32">#REF!</definedName>
    <definedName name="ANKG50">#REF!</definedName>
    <definedName name="ANKG51">#REF!</definedName>
    <definedName name="ANKK9">#REF!</definedName>
    <definedName name="Ankur">#REF!</definedName>
    <definedName name="ankurd20">#REF!</definedName>
    <definedName name="anl.pnt.prtsi">#REF!</definedName>
    <definedName name="anl_pnt">#REF!</definedName>
    <definedName name="Anlisa">#REF!</definedName>
    <definedName name="anls">#REF!</definedName>
    <definedName name="anou">#REF!</definedName>
    <definedName name="anpolised33x33">#REF!</definedName>
    <definedName name="ant.ryp">#REF!</definedName>
    <definedName name="anti">#REF!</definedName>
    <definedName name="anti1033">#REF!</definedName>
    <definedName name="antirayap">#REF!</definedName>
    <definedName name="AO">#REF!</definedName>
    <definedName name="AP">#REF!</definedName>
    <definedName name="APARTEMEN">HAJIME:OWARI</definedName>
    <definedName name="App">App</definedName>
    <definedName name="aproval">aproval</definedName>
    <definedName name="AQ">#REF!</definedName>
    <definedName name="AR">#REF!</definedName>
    <definedName name="Arainb">#REF!</definedName>
    <definedName name="ArdeK">#REF!</definedName>
    <definedName name="ArdeP">#REF!</definedName>
    <definedName name="area">#REF!</definedName>
    <definedName name="Armature">#REF!</definedName>
    <definedName name="ARS">#REF!</definedName>
    <definedName name="arsitek">#REF!</definedName>
    <definedName name="arsiteksmp">#REF!</definedName>
    <definedName name="arsiteksmu">#REF!</definedName>
    <definedName name="arsitektur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ru">#REF!</definedName>
    <definedName name="as">#REF!</definedName>
    <definedName name="as.1000">#REF!</definedName>
    <definedName name="as.1000_9">#REF!</definedName>
    <definedName name="as.200">#REF!</definedName>
    <definedName name="as.200_9">#REF!</definedName>
    <definedName name="ASAA">#REF!</definedName>
    <definedName name="asad">#REF!</definedName>
    <definedName name="asal">#REF!</definedName>
    <definedName name="ASAS">STOP:STOPE</definedName>
    <definedName name="ASAS_10">#REF!:#REF!</definedName>
    <definedName name="ASAS_11">#REF!:#REF!</definedName>
    <definedName name="ASAS_12">#REF!:#REF!</definedName>
    <definedName name="ASAS_14">#REF!:#REF!</definedName>
    <definedName name="ASAS_15">#REF!:#REF!</definedName>
    <definedName name="ASAS_16">#REF!:#REF!</definedName>
    <definedName name="ASAS_17">#REF!:#REF!</definedName>
    <definedName name="ASAS_18">#REF!:#REF!</definedName>
    <definedName name="ASAS_19">#REF!:#REF!</definedName>
    <definedName name="ASAS_20">#REF!:#REF!</definedName>
    <definedName name="ASAS_22">#REF!:#REF!</definedName>
    <definedName name="ASAS_23">#REF!:#REF!</definedName>
    <definedName name="ASAS_24">#REF!:#REF!</definedName>
    <definedName name="ASAS_25">#REF!:#REF!</definedName>
    <definedName name="ASAS_5">#REF!:#REF!</definedName>
    <definedName name="ASAS_6">#REF!:#REF!</definedName>
    <definedName name="ASAS_7">#REF!:#REF!</definedName>
    <definedName name="ASAS_8">#REF!:#REF!</definedName>
    <definedName name="asb">#REF!</definedName>
    <definedName name="asb_9">#REF!</definedName>
    <definedName name="ASBES">#REF!</definedName>
    <definedName name="Asbes_gelombang">#REF!</definedName>
    <definedName name="asbesemen">#REF!</definedName>
    <definedName name="asbesg">#REF!</definedName>
    <definedName name="asbesgel">#REF!</definedName>
    <definedName name="Asbs4">#REF!</definedName>
    <definedName name="asbul">#REF!</definedName>
    <definedName name="AsClc">#REF!</definedName>
    <definedName name="AsCrh">#REF!</definedName>
    <definedName name="ASD">#REF!</definedName>
    <definedName name="asder">"$#REF!.$GN$35"</definedName>
    <definedName name="asdf" hidden="1">{"'Sheet1'!$A$1"}</definedName>
    <definedName name="ASE" hidden="1">{"'Sheet1'!$A$1"}</definedName>
    <definedName name="AsESO">#REF!</definedName>
    <definedName name="asgel4">#REF!</definedName>
    <definedName name="asgel5">#REF!</definedName>
    <definedName name="aspal">#REF!</definedName>
    <definedName name="Aspalan">#REF!</definedName>
    <definedName name="aspalconcrete">#REF!</definedName>
    <definedName name="aspalemulsi">#REF!</definedName>
    <definedName name="aspalf">#REF!</definedName>
    <definedName name="ASPHALT">#REF!</definedName>
    <definedName name="ASpra">#REF!</definedName>
    <definedName name="ASSASUL">#REF!</definedName>
    <definedName name="Assoperator">#REF!</definedName>
    <definedName name="ASSSSS">"$#REF!.$A$1:$I$41"</definedName>
    <definedName name="ASU">#REF!</definedName>
    <definedName name="ASVS">#REF!</definedName>
    <definedName name="ASVS_10">#REF!:#REF!</definedName>
    <definedName name="ASVS_11">#REF!:#REF!</definedName>
    <definedName name="ASVS_12">#REF!:#REF!</definedName>
    <definedName name="ASVS_14">#REF!:#REF!</definedName>
    <definedName name="ASVS_15">#REF!:#REF!</definedName>
    <definedName name="ASVS_16">#REF!:#REF!</definedName>
    <definedName name="ASVS_17">#REF!:#REF!</definedName>
    <definedName name="ASVS_18">#REF!:#REF!</definedName>
    <definedName name="ASVS_19">#REF!:#REF!</definedName>
    <definedName name="ASVS_20">#REF!:#REF!</definedName>
    <definedName name="ASVS_22">#REF!:#REF!</definedName>
    <definedName name="ASVS_23">#REF!:#REF!</definedName>
    <definedName name="ASVS_24">#REF!:#REF!</definedName>
    <definedName name="ASVS_25">#REF!:#REF!</definedName>
    <definedName name="ASVS_5">#REF!:#REF!</definedName>
    <definedName name="ASVS_6">#REF!:#REF!</definedName>
    <definedName name="ASVS_7">#REF!:#REF!</definedName>
    <definedName name="ASVS_8">#REF!:#REF!</definedName>
    <definedName name="aswer" hidden="1">#REF!</definedName>
    <definedName name="ATAP">#REF!</definedName>
    <definedName name="atap10b130">#REF!</definedName>
    <definedName name="atap10b80">#REF!</definedName>
    <definedName name="atapasbesglbg">#REF!</definedName>
    <definedName name="atapmetal">#REF!</definedName>
    <definedName name="atapzincalume">#REF!</definedName>
    <definedName name="ATB">#REF!</definedName>
    <definedName name="atb_9">#REF!</definedName>
    <definedName name="AtpUn">#REF!</definedName>
    <definedName name="AtpUw">#REF!</definedName>
    <definedName name="ATSAMF">#REF!</definedName>
    <definedName name="AUD">#REF!</definedName>
    <definedName name="auro">#REF!</definedName>
    <definedName name="Aus">#REF!</definedName>
    <definedName name="Avoor_Stenlis_Steel">#REF!</definedName>
    <definedName name="avour.stn">#REF!</definedName>
    <definedName name="awert" hidden="1">{#N/A,#N/A,FALSE,"REK";#N/A,#N/A,FALSE,"rab"}</definedName>
    <definedName name="AWERYGT" hidden="1">{#N/A,#N/A,FALSE,"REK";#N/A,#N/A,FALSE,"rab"}</definedName>
    <definedName name="awet" hidden="1">{#N/A,#N/A,FALSE,"REK-S-TPL";#N/A,#N/A,FALSE,"REK-TPML";#N/A,#N/A,FALSE,"RAB-TEMPEL"}</definedName>
    <definedName name="Awtky">#REF!</definedName>
    <definedName name="ax">#REF!</definedName>
    <definedName name="AY">#REF!</definedName>
    <definedName name="ayak">#REF!</definedName>
    <definedName name="AYI">#REF!</definedName>
    <definedName name="ayub">#N/A</definedName>
    <definedName name="AZ">#REF!</definedName>
    <definedName name="b">#REF!</definedName>
    <definedName name="B.1">#REF!</definedName>
    <definedName name="B.1\STP">#REF!</definedName>
    <definedName name="B.10">#REF!</definedName>
    <definedName name="B.109.">#REF!,#REF!</definedName>
    <definedName name="B.15">#REF!</definedName>
    <definedName name="B.2">#REF!</definedName>
    <definedName name="B.2\STP">#REF!</definedName>
    <definedName name="B.3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8">#REF!</definedName>
    <definedName name="B.39">#REF!</definedName>
    <definedName name="B.4">#REF!</definedName>
    <definedName name="B.40">#REF!</definedName>
    <definedName name="B.5">#REF!</definedName>
    <definedName name="B.6">#REF!</definedName>
    <definedName name="b.8">#REF!</definedName>
    <definedName name="b.9">#REF!</definedName>
    <definedName name="B.Aparatur">#REF!</definedName>
    <definedName name="b.belah">#REF!</definedName>
    <definedName name="b.g.ker">#REF!</definedName>
    <definedName name="b.gpb">#REF!</definedName>
    <definedName name="B.Jambi">#REF!</definedName>
    <definedName name="B.K.175">#REF!</definedName>
    <definedName name="B.K.225">#REF!</definedName>
    <definedName name="B.K.250">#REF!</definedName>
    <definedName name="B.K.275">#REF!</definedName>
    <definedName name="B.K.300">#REF!</definedName>
    <definedName name="B.K.350">#REF!</definedName>
    <definedName name="B.K.400">#REF!</definedName>
    <definedName name="b.klas1">#REF!</definedName>
    <definedName name="b.klas2">#REF!</definedName>
    <definedName name="b.klas3">#REF!</definedName>
    <definedName name="b.l">#REF!</definedName>
    <definedName name="b.plat">#REF!</definedName>
    <definedName name="B.Publik">#REF!</definedName>
    <definedName name="B.RL1.101">#REF!</definedName>
    <definedName name="B.RL1.101B">#REF!</definedName>
    <definedName name="B.RL1.101E">#REF!</definedName>
    <definedName name="B.RL1.102">#REF!</definedName>
    <definedName name="B.RL1.102B">#REF!</definedName>
    <definedName name="B.RL1.102E">#REF!</definedName>
    <definedName name="B.RL1.103">#REF!</definedName>
    <definedName name="B.RL1.103B">#REF!</definedName>
    <definedName name="B.RL1.103E">#REF!</definedName>
    <definedName name="B.RL1.104">#REF!</definedName>
    <definedName name="B.RL1.104B">#REF!</definedName>
    <definedName name="B.RL1.104E">#REF!</definedName>
    <definedName name="B.RL1.105">#REF!</definedName>
    <definedName name="B.RL1.105B">#REF!</definedName>
    <definedName name="B.RL1.105E">#REF!</definedName>
    <definedName name="B.RL1.106">#REF!</definedName>
    <definedName name="B.RL1.106B">#REF!</definedName>
    <definedName name="B.RL1.106E">#REF!</definedName>
    <definedName name="B.SARI">#REF!</definedName>
    <definedName name="b.super.5.10">#REF!</definedName>
    <definedName name="B.TG.101">#REF!</definedName>
    <definedName name="B.TG.101B">#REF!</definedName>
    <definedName name="B.TG.101E">#REF!</definedName>
    <definedName name="B.TG.102">#REF!</definedName>
    <definedName name="B.TG.102B">#REF!</definedName>
    <definedName name="B.TG.102E">#REF!</definedName>
    <definedName name="b_0">#REF!</definedName>
    <definedName name="B_1">#REF!</definedName>
    <definedName name="b_240">NA()</definedName>
    <definedName name="b_280">NA()</definedName>
    <definedName name="b_320">NA()</definedName>
    <definedName name="b_an">#REF!</definedName>
    <definedName name="b_b">#REF!</definedName>
    <definedName name="b_bt">#REF!</definedName>
    <definedName name="b_cd">#REF!</definedName>
    <definedName name="b_ck">#REF!</definedName>
    <definedName name="b_d">#REF!</definedName>
    <definedName name="b_ddg">#REF!</definedName>
    <definedName name="b_ddg1">#REF!</definedName>
    <definedName name="b_ddg2">#REF!</definedName>
    <definedName name="b_k">#REF!</definedName>
    <definedName name="b_k250">#REF!</definedName>
    <definedName name="b_k300">#REF!</definedName>
    <definedName name="b_k350">#REF!</definedName>
    <definedName name="B_KolomBalokPraktis">#REF!</definedName>
    <definedName name="b_l">#REF!</definedName>
    <definedName name="b_lgr">#REF!</definedName>
    <definedName name="b_list">#REF!</definedName>
    <definedName name="b_list1">#REF!</definedName>
    <definedName name="b_ls">#REF!</definedName>
    <definedName name="B_MejaDapur">#REF!</definedName>
    <definedName name="b_p">#REF!</definedName>
    <definedName name="b_p250">#REF!</definedName>
    <definedName name="b_pcap">#REF!</definedName>
    <definedName name="b_pit">#REF!</definedName>
    <definedName name="b_r">#REF!</definedName>
    <definedName name="b_rp">#REF!</definedName>
    <definedName name="b_rp1">#REF!</definedName>
    <definedName name="b_sb">#REF!</definedName>
    <definedName name="b_sb1">#REF!</definedName>
    <definedName name="B_sg">#REF!</definedName>
    <definedName name="b_sllof">#REF!</definedName>
    <definedName name="b_sloof">#REF!</definedName>
    <definedName name="b_slu">#REF!</definedName>
    <definedName name="b_spt">#REF!</definedName>
    <definedName name="b_t250">#REF!</definedName>
    <definedName name="b_tg">#REF!</definedName>
    <definedName name="b_tgg">#REF!</definedName>
    <definedName name="b_tgg1">#REF!</definedName>
    <definedName name="B0">#REF!</definedName>
    <definedName name="B0NFA">NA()</definedName>
    <definedName name="b1.1">#REF!</definedName>
    <definedName name="B1.2">#REF!</definedName>
    <definedName name="b1.3">#REF!</definedName>
    <definedName name="b1.4">#REF!</definedName>
    <definedName name="b1.5">#REF!</definedName>
    <definedName name="b10.1">#REF!</definedName>
    <definedName name="b10.2">#REF!</definedName>
    <definedName name="b10.3">#REF!</definedName>
    <definedName name="b10.4">#REF!</definedName>
    <definedName name="b10.5">#REF!</definedName>
    <definedName name="b1535b145">#REF!</definedName>
    <definedName name="b2.1">#REF!</definedName>
    <definedName name="b2.2">#REF!</definedName>
    <definedName name="b2.3">#REF!</definedName>
    <definedName name="b2.4">#REF!</definedName>
    <definedName name="b2.5">#REF!</definedName>
    <definedName name="b2030b180">#REF!</definedName>
    <definedName name="b2035bs190">#REF!</definedName>
    <definedName name="b2060b180">#REF!</definedName>
    <definedName name="b3.1">#REF!</definedName>
    <definedName name="b3.2">#REF!</definedName>
    <definedName name="b3.3">#REF!</definedName>
    <definedName name="b3.4">#REF!</definedName>
    <definedName name="b3.5">#REF!</definedName>
    <definedName name="b3020b175">#REF!</definedName>
    <definedName name="b3020bs175">#REF!</definedName>
    <definedName name="b3040b160">#REF!</definedName>
    <definedName name="b4.1">#REF!</definedName>
    <definedName name="b4.2">#REF!</definedName>
    <definedName name="b4.3">#REF!</definedName>
    <definedName name="b4.4">#REF!</definedName>
    <definedName name="b4.5">#REF!</definedName>
    <definedName name="b5.1">#REF!</definedName>
    <definedName name="b5.2">#REF!</definedName>
    <definedName name="b5.3">#REF!</definedName>
    <definedName name="b5.4">#REF!</definedName>
    <definedName name="b5.5">#REF!</definedName>
    <definedName name="b6.1">#REF!</definedName>
    <definedName name="b6.2">#REF!</definedName>
    <definedName name="b6.3">#REF!</definedName>
    <definedName name="b6.4">#REF!</definedName>
    <definedName name="b6.5">#REF!</definedName>
    <definedName name="b6.6">#REF!</definedName>
    <definedName name="b6.7">#REF!</definedName>
    <definedName name="b7.1">#REF!</definedName>
    <definedName name="b7.2">#REF!</definedName>
    <definedName name="b7.3">#REF!</definedName>
    <definedName name="b7.4">#REF!</definedName>
    <definedName name="b7.5">#REF!</definedName>
    <definedName name="b7.6">#REF!</definedName>
    <definedName name="b7.7">#REF!</definedName>
    <definedName name="b8.1">#REF!</definedName>
    <definedName name="b8.2">#REF!</definedName>
    <definedName name="b8.3">#REF!</definedName>
    <definedName name="b8.4">#REF!</definedName>
    <definedName name="b8.5">#REF!</definedName>
    <definedName name="B8\trsbalokSMP">#REF!</definedName>
    <definedName name="b9.2">#REF!</definedName>
    <definedName name="b9.3">#REF!</definedName>
    <definedName name="b9.4">#REF!</definedName>
    <definedName name="b9.5">#REF!</definedName>
    <definedName name="B9\trsbalokSMP">#REF!</definedName>
    <definedName name="BA">#REF!</definedName>
    <definedName name="baa">#REF!</definedName>
    <definedName name="babekb">#REF!</definedName>
    <definedName name="babekp">#REF!</definedName>
    <definedName name="baby">#REF!</definedName>
    <definedName name="bac">#REF!</definedName>
    <definedName name="back">#REF!</definedName>
    <definedName name="backhoe">#REF!</definedName>
    <definedName name="Backo">#REF!</definedName>
    <definedName name="backu">#REF!</definedName>
    <definedName name="baf">#REF!</definedName>
    <definedName name="BAGIAN_1">#REF!</definedName>
    <definedName name="bahan">#REF!</definedName>
    <definedName name="BAHAN?">#REF!</definedName>
    <definedName name="BAHAN?_9">#REF!</definedName>
    <definedName name="bahan_8">#REF!</definedName>
    <definedName name="bahan_8_6">#REF!</definedName>
    <definedName name="bahan175">#REF!</definedName>
    <definedName name="bahan225">#REF!</definedName>
    <definedName name="bahanbesi">#REF!</definedName>
    <definedName name="bahanpapan">#REF!</definedName>
    <definedName name="bahanstoot">#REF!</definedName>
    <definedName name="BAHU">#REF!</definedName>
    <definedName name="Baja">#REF!</definedName>
    <definedName name="Baja_C.120.50.20.2_3">#REF!</definedName>
    <definedName name="Baja_Canal_U_50.38.5">#REF!</definedName>
    <definedName name="bajacanal">#REF!</definedName>
    <definedName name="bajacnp">#REF!</definedName>
    <definedName name="bajaiwf">#REF!</definedName>
    <definedName name="bajaringan">#REF!</definedName>
    <definedName name="bajasiku">#REF!</definedName>
    <definedName name="bajaunp">#REF!</definedName>
    <definedName name="bak">#REF!</definedName>
    <definedName name="bak_1">#REF!</definedName>
    <definedName name="bak_10">#REF!</definedName>
    <definedName name="bak_11">#REF!</definedName>
    <definedName name="bak_12">#REF!</definedName>
    <definedName name="bak_2">#REF!</definedName>
    <definedName name="bak_3">#REF!</definedName>
    <definedName name="bak_4">#REF!</definedName>
    <definedName name="bak_5">#REF!</definedName>
    <definedName name="bak_6">#REF!</definedName>
    <definedName name="bak_7">#REF!</definedName>
    <definedName name="bak_8">#REF!</definedName>
    <definedName name="bak_9">#REF!</definedName>
    <definedName name="Bak_air_fiber_glass_1m">#REF!</definedName>
    <definedName name="bak_m">#REF!</definedName>
    <definedName name="bak_m_p">#REF!</definedName>
    <definedName name="bak_m1">#REF!</definedName>
    <definedName name="Bak_mandi_fiber_glass_50x50x50_lapis_porselin">#REF!</definedName>
    <definedName name="bak_p">#REF!</definedName>
    <definedName name="Bak_Septictank">#REF!</definedName>
    <definedName name="bakbunga">#REF!</definedName>
    <definedName name="bakcp">#REF!</definedName>
    <definedName name="bakcuci">#REF!</definedName>
    <definedName name="BakCuciPiring">#REF!</definedName>
    <definedName name="bakkm">#REF!</definedName>
    <definedName name="BakMandiFiber">#REF!</definedName>
    <definedName name="bakrie">#REF!</definedName>
    <definedName name="baksampah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aokB9">#REF!</definedName>
    <definedName name="ball">#REF!</definedName>
    <definedName name="balmer">#REF!</definedName>
    <definedName name="balok">#REF!</definedName>
    <definedName name="balok.1">#REF!</definedName>
    <definedName name="balok.2">#REF!</definedName>
    <definedName name="balok.3">#REF!</definedName>
    <definedName name="balok.ges">#REF!</definedName>
    <definedName name="balok\b1.1GWT">#REF!</definedName>
    <definedName name="balok\b1.2GWT">#REF!</definedName>
    <definedName name="balok\b1.3GWT">#REF!</definedName>
    <definedName name="balok\b2.1GWT">#REF!</definedName>
    <definedName name="balok140">#REF!</definedName>
    <definedName name="BALOK1525">#REF!</definedName>
    <definedName name="balok1540">#REF!</definedName>
    <definedName name="balok2030">#REF!</definedName>
    <definedName name="balok2040">#REF!</definedName>
    <definedName name="balok225">#REF!</definedName>
    <definedName name="BALOK3020">#REF!</definedName>
    <definedName name="balok3040">#REF!</definedName>
    <definedName name="balok3050">#REF!</definedName>
    <definedName name="balok3060">#REF!</definedName>
    <definedName name="balok60">#REF!</definedName>
    <definedName name="balok70">#REF!</definedName>
    <definedName name="balokB1">#REF!</definedName>
    <definedName name="balokB10">#REF!</definedName>
    <definedName name="balokB11">#REF!</definedName>
    <definedName name="balokB2">#REF!</definedName>
    <definedName name="balokB3">#REF!</definedName>
    <definedName name="balokB4">#REF!</definedName>
    <definedName name="balokB5">#REF!</definedName>
    <definedName name="balokB6">#REF!</definedName>
    <definedName name="balokB7">#REF!</definedName>
    <definedName name="balokB8">#REF!</definedName>
    <definedName name="balokbegesting">#REF!</definedName>
    <definedName name="balokklas1">#REF!</definedName>
    <definedName name="balokklas2">#REF!</definedName>
    <definedName name="balokklas3">#REF!</definedName>
    <definedName name="BALOKKLASII">#REF!</definedName>
    <definedName name="balokposjaga">#REF!</definedName>
    <definedName name="bambu">#REF!</definedName>
    <definedName name="Bambujepang">#REF!</definedName>
    <definedName name="Bamer">#REF!</definedName>
    <definedName name="bangciti">NA()</definedName>
    <definedName name="BANK">#REF!</definedName>
    <definedName name="bantu">#REF!</definedName>
    <definedName name="bap">#REF!</definedName>
    <definedName name="bar">#REF!</definedName>
    <definedName name="bardw">#REF!</definedName>
    <definedName name="barisar">#REF!</definedName>
    <definedName name="BARU">#REF!</definedName>
    <definedName name="BAS">#REF!</definedName>
    <definedName name="basaom">#REF!</definedName>
    <definedName name="basdim">#REF!</definedName>
    <definedName name="basdoc">#REF!</definedName>
    <definedName name="base">#REF!</definedName>
    <definedName name="BaseA">#REF!</definedName>
    <definedName name="BaseB">#REF!</definedName>
    <definedName name="BaseC">#REF!</definedName>
    <definedName name="basecorse30">#REF!</definedName>
    <definedName name="BASEPLATE19MM">#REF!</definedName>
    <definedName name="basfs">#REF!</definedName>
    <definedName name="basi">#REF!</definedName>
    <definedName name="basitc">#REF!</definedName>
    <definedName name="basrtu">#REF!</definedName>
    <definedName name="bastw">#REF!</definedName>
    <definedName name="bata">#REF!</definedName>
    <definedName name="bata.1">#REF!</definedName>
    <definedName name="bata_cc">#REF!</definedName>
    <definedName name="Bata1">#REF!</definedName>
    <definedName name="bata12">#REF!</definedName>
    <definedName name="bata1212">#REF!</definedName>
    <definedName name="bata1214">#REF!</definedName>
    <definedName name="bata13">#REF!</definedName>
    <definedName name="Bata14">#REF!</definedName>
    <definedName name="bata15">#REF!</definedName>
    <definedName name="Bata16">#REF!</definedName>
    <definedName name="Bata161bata">#REF!</definedName>
    <definedName name="Bata2">#REF!</definedName>
    <definedName name="bataberongga">#REF!</definedName>
    <definedName name="bataco">#REF!</definedName>
    <definedName name="batacob">#REF!</definedName>
    <definedName name="batacok">#REF!</definedName>
    <definedName name="batahebel">#REF!</definedName>
    <definedName name="Batak">#REF!</definedName>
    <definedName name="batak1">#REF!</definedName>
    <definedName name="batak2">#REF!</definedName>
    <definedName name="BataKerawang">#REF!</definedName>
    <definedName name="batako">#REF!</definedName>
    <definedName name="batamerah">#REF!</definedName>
    <definedName name="BatAp">#REF!</definedName>
    <definedName name="BATBEL">#REF!</definedName>
    <definedName name="Batih">#REF!</definedName>
    <definedName name="batkal">#REF!</definedName>
    <definedName name="Batob">#REF!</definedName>
    <definedName name="Batok">#REF!</definedName>
    <definedName name="batpec1">#REF!</definedName>
    <definedName name="batpec2">#REF!</definedName>
    <definedName name="batpec3">#REF!</definedName>
    <definedName name="Batput">#REF!</definedName>
    <definedName name="Battb">#REF!</definedName>
    <definedName name="batu">#REF!</definedName>
    <definedName name="batu.23">#REF!</definedName>
    <definedName name="batu.belah">#REF!</definedName>
    <definedName name="batu.jogja">#REF!</definedName>
    <definedName name="batu.p">#REF!</definedName>
    <definedName name="batu.pal">#REF!</definedName>
    <definedName name="batu.x">#REF!</definedName>
    <definedName name="Batu_kali">#REF!</definedName>
    <definedName name="batu1">#REF!</definedName>
    <definedName name="batu2">#REF!</definedName>
    <definedName name="batu3">#REF!</definedName>
    <definedName name="batubat">#REF!</definedName>
    <definedName name="batubata">#REF!</definedName>
    <definedName name="batubel">#REF!</definedName>
    <definedName name="Batubelah">#REF!</definedName>
    <definedName name="batucandi">#REF!</definedName>
    <definedName name="batugranitalam">#REF!</definedName>
    <definedName name="batukali">#REF!</definedName>
    <definedName name="batukrop">#REF!</definedName>
    <definedName name="BATUPECAH">#REF!</definedName>
    <definedName name="bau">#REF!</definedName>
    <definedName name="BAUT">#REF!</definedName>
    <definedName name="baut.p">#REF!</definedName>
    <definedName name="baut12">#REF!</definedName>
    <definedName name="baut16">#REF!</definedName>
    <definedName name="baut19">#REF!</definedName>
    <definedName name="BAX">#REF!</definedName>
    <definedName name="BB">#REF!</definedName>
    <definedName name="bb.05">#REF!</definedName>
    <definedName name="bb.05_9">#REF!</definedName>
    <definedName name="bb.1">#REF!</definedName>
    <definedName name="bb.1_9">#REF!</definedName>
    <definedName name="bb.10">#REF!</definedName>
    <definedName name="bb.10_9">#REF!</definedName>
    <definedName name="bb.2">#REF!</definedName>
    <definedName name="bb.2_9">#REF!</definedName>
    <definedName name="bb.3">#REF!</definedName>
    <definedName name="bb.3_9">#REF!</definedName>
    <definedName name="bb.5">#REF!</definedName>
    <definedName name="bb.5_9">#REF!</definedName>
    <definedName name="bb.7">#REF!</definedName>
    <definedName name="bb.7_9">#REF!</definedName>
    <definedName name="bb.p">#REF!</definedName>
    <definedName name="bb.u">#REF!</definedName>
    <definedName name="bb_0">#REF!</definedName>
    <definedName name="BB_05">#REF!</definedName>
    <definedName name="bb_9">#REF!</definedName>
    <definedName name="bbasbes">#REF!</definedName>
    <definedName name="BBASE">#REF!</definedName>
    <definedName name="bbasgel">#REF!</definedName>
    <definedName name="bbata">#REF!</definedName>
    <definedName name="bbata_6">#REF!</definedName>
    <definedName name="BBB" hidden="1">{#N/A,#N/A,FALSE,"REK";#N/A,#N/A,FALSE,"Bq-ARS"}</definedName>
    <definedName name="bbbbb">#REF!</definedName>
    <definedName name="BBET">#REF!</definedName>
    <definedName name="bbgsgt">#REF!</definedName>
    <definedName name="bbkr">#REF!</definedName>
    <definedName name="bbl">#REF!</definedName>
    <definedName name="bblh">#REF!</definedName>
    <definedName name="BBM">HAJIME:OWARI</definedName>
    <definedName name="bbsplt">#REF!</definedName>
    <definedName name="BBX">#REF!</definedName>
    <definedName name="bc">#REF!</definedName>
    <definedName name="bc_1060">#REF!</definedName>
    <definedName name="bc_ks">#REF!</definedName>
    <definedName name="bcor">#REF!</definedName>
    <definedName name="bcv125___0">"$#REF!.$N$331"</definedName>
    <definedName name="bcv150___0">"$#REF!.$N$470"</definedName>
    <definedName name="BCX">#REF!</definedName>
    <definedName name="bdh" hidden="1">{"'Sheet1'!$A$1"}</definedName>
    <definedName name="bdht15nc">NA()</definedName>
    <definedName name="bdht15vl">NA()</definedName>
    <definedName name="bdht25nc">NA()</definedName>
    <definedName name="bdht25vl">NA()</definedName>
    <definedName name="bdht325nc">NA()</definedName>
    <definedName name="bdht325vl">NA()</definedName>
    <definedName name="bdia6">#REF!</definedName>
    <definedName name="bear32">"$#REF!.$N$106"</definedName>
    <definedName name="beart2212">"$#REF!.$O$104"</definedName>
    <definedName name="BEBE">#REF!</definedName>
    <definedName name="bebre">#REF!</definedName>
    <definedName name="BEERLAKU">#REF!</definedName>
    <definedName name="BEERLAKU_9">#REF!</definedName>
    <definedName name="BEGISTING">#REF!</definedName>
    <definedName name="begkolombulat">#REF!</definedName>
    <definedName name="beinraad">#REF!</definedName>
    <definedName name="bek.ap">#REF!</definedName>
    <definedName name="bek.ap_9">#REF!</definedName>
    <definedName name="bek_b">#REF!</definedName>
    <definedName name="bek_btc">#REF!</definedName>
    <definedName name="bek_d">#REF!</definedName>
    <definedName name="bek_f">#REF!</definedName>
    <definedName name="bek_k">#REF!</definedName>
    <definedName name="bek_l">#REF!</definedName>
    <definedName name="bek_lp">#REF!</definedName>
    <definedName name="bek_p">#REF!</definedName>
    <definedName name="bek_pc">#REF!</definedName>
    <definedName name="bek_pl">#REF!</definedName>
    <definedName name="bek_r">#REF!</definedName>
    <definedName name="bek_sd">#REF!</definedName>
    <definedName name="bek_t">#REF!</definedName>
    <definedName name="bek_tp">#REF!</definedName>
    <definedName name="BEKAS">#REF!</definedName>
    <definedName name="bekbalok">#REF!</definedName>
    <definedName name="bekddng">#REF!</definedName>
    <definedName name="bekism">#REF!</definedName>
    <definedName name="bekisp">#REF!</definedName>
    <definedName name="bekist12">#REF!</definedName>
    <definedName name="bekist9">#REF!</definedName>
    <definedName name="bekistb">#REF!</definedName>
    <definedName name="bekisting" hidden="1">#REF!</definedName>
    <definedName name="bekistingB.2">#REF!</definedName>
    <definedName name="bekistingB1.1">#REF!</definedName>
    <definedName name="bekistingB1.2">#REF!</definedName>
    <definedName name="bekistingB1.3">#REF!</definedName>
    <definedName name="bekistingB1.4">#REF!</definedName>
    <definedName name="bekistingB1.5">#REF!</definedName>
    <definedName name="bekistingB10.1">#REF!</definedName>
    <definedName name="bekistingB10.2">#REF!</definedName>
    <definedName name="bekistingB10.3">#REF!</definedName>
    <definedName name="bekistingB10.4">#REF!</definedName>
    <definedName name="bekistingB10.5">#REF!</definedName>
    <definedName name="bekistingB2.1">#REF!</definedName>
    <definedName name="bekistingB2.2">#REF!</definedName>
    <definedName name="bekistingB2.3">#REF!</definedName>
    <definedName name="bekistingB2.4">#REF!</definedName>
    <definedName name="bekistingB2.5">#REF!</definedName>
    <definedName name="bekistingB3.1">#REF!</definedName>
    <definedName name="bekistingB3.2">#REF!</definedName>
    <definedName name="bekistingB3.3">#REF!</definedName>
    <definedName name="bekistingB3.4">#REF!</definedName>
    <definedName name="bekistingB3.5">#REF!</definedName>
    <definedName name="bekistingB4.1">#REF!</definedName>
    <definedName name="bekistingB4.2">#REF!</definedName>
    <definedName name="bekistingB4.3">#REF!</definedName>
    <definedName name="bekistingB4.4">#REF!</definedName>
    <definedName name="bekistingB4.5">#REF!</definedName>
    <definedName name="bekistingB5.1">#REF!</definedName>
    <definedName name="bekistingB5.2">#REF!</definedName>
    <definedName name="bekistingB5.3">#REF!</definedName>
    <definedName name="bekistingB5.4">#REF!</definedName>
    <definedName name="bekistingB5.5">#REF!</definedName>
    <definedName name="bekistingB6.1">#REF!</definedName>
    <definedName name="bekistingB6.2">#REF!</definedName>
    <definedName name="bekistingB6.3">#REF!</definedName>
    <definedName name="bekistingB6.4">#REF!</definedName>
    <definedName name="bekistingB6.5">#REF!</definedName>
    <definedName name="bekistingB6.6">#REF!</definedName>
    <definedName name="bekistingB6.7">#REF!</definedName>
    <definedName name="bekistingB7.1">#REF!</definedName>
    <definedName name="bekistingB7.2">#REF!</definedName>
    <definedName name="bekistingB7.3">#REF!</definedName>
    <definedName name="bekistingB7.4">#REF!</definedName>
    <definedName name="bekistingB7.5">#REF!</definedName>
    <definedName name="bekistingB7.6">#REF!</definedName>
    <definedName name="bekistingB7.7">#REF!</definedName>
    <definedName name="bekistingB8.1">#REF!</definedName>
    <definedName name="bekistingB8.2">#REF!</definedName>
    <definedName name="bekistingB8.3">#REF!</definedName>
    <definedName name="bekistingB8.4">#REF!</definedName>
    <definedName name="bekistingB8.5">#REF!</definedName>
    <definedName name="bekistingB9.1">#REF!</definedName>
    <definedName name="bekistingB9.2">#REF!</definedName>
    <definedName name="bekistingB9.3">#REF!</definedName>
    <definedName name="bekistingB9.4">#REF!</definedName>
    <definedName name="bekistingB9.5">#REF!</definedName>
    <definedName name="bekistingBR.1">#REF!</definedName>
    <definedName name="bekistingBTG.1">#REF!</definedName>
    <definedName name="bekistingBTG.1A">#REF!</definedName>
    <definedName name="bekistingBTG.2">#REF!</definedName>
    <definedName name="bekistingBTG.2A">#REF!</definedName>
    <definedName name="bekistingBTG.2B">#REF!</definedName>
    <definedName name="bekistingBTG.3">#REF!</definedName>
    <definedName name="bekistingGS">#REF!</definedName>
    <definedName name="bekistingK1.lt.1">#REF!</definedName>
    <definedName name="bekistingK1.lt.2">#REF!</definedName>
    <definedName name="bekistingK1.lt.dsr">#REF!</definedName>
    <definedName name="bekistingK10.lt.1">#REF!</definedName>
    <definedName name="bekistingK10.lt.2">#REF!</definedName>
    <definedName name="bekistingK10.lt.3">#REF!</definedName>
    <definedName name="bekistingK10.lt.dsr">#REF!</definedName>
    <definedName name="bekistingK2.lt.1">#REF!</definedName>
    <definedName name="bekistingK2.lt.2">#REF!</definedName>
    <definedName name="bekistingK2.lt.3">#REF!</definedName>
    <definedName name="bekistingK2.lt.dsr">#REF!</definedName>
    <definedName name="bekistingK3.lt.1">#REF!</definedName>
    <definedName name="bekistingK3.lt.2">#REF!</definedName>
    <definedName name="bekistingK3.lt.3">#REF!</definedName>
    <definedName name="bekistingK3.lt.dsr">#REF!</definedName>
    <definedName name="bekistingK4.lt.1">#REF!</definedName>
    <definedName name="bekistingK4.lt.2">#REF!</definedName>
    <definedName name="bekistingK4.lt.3">#REF!</definedName>
    <definedName name="bekistingK4.lt.dsr">#REF!</definedName>
    <definedName name="bekistingK5.lt.1">#REF!</definedName>
    <definedName name="bekistingK5.lt.2">#REF!</definedName>
    <definedName name="bekistingK5.lt.3">#REF!</definedName>
    <definedName name="bekistingK5.lt.dsr">#REF!</definedName>
    <definedName name="bekistingK6.lt.1">#REF!</definedName>
    <definedName name="bekistingK6.lt.2">#REF!</definedName>
    <definedName name="bekistingK6.lt.3">#REF!</definedName>
    <definedName name="bekistingK6.lt.dsr">#REF!</definedName>
    <definedName name="bekistingK7.lt.1">#REF!</definedName>
    <definedName name="bekistingK7.lt.2">#REF!</definedName>
    <definedName name="bekistingK7.lt.3">#REF!</definedName>
    <definedName name="bekistingK7.lt.dsr">#REF!</definedName>
    <definedName name="bekistingK8.lt.1">#REF!</definedName>
    <definedName name="bekistingK8.lt.2">#REF!</definedName>
    <definedName name="bekistingK8.lt.3">#REF!</definedName>
    <definedName name="bekistingK8.lt.dsr">#REF!</definedName>
    <definedName name="bekistingK9.lt.1">#REF!</definedName>
    <definedName name="bekistingK9.lt.2">#REF!</definedName>
    <definedName name="bekistingK9.lt.3">#REF!</definedName>
    <definedName name="bekistingK9.lt.dsr">#REF!</definedName>
    <definedName name="bekistingKL">#REF!</definedName>
    <definedName name="bekistingKP">#REF!</definedName>
    <definedName name="bekistingKR1">#REF!</definedName>
    <definedName name="bekistingKTG1">#REF!</definedName>
    <definedName name="bekistingKTG1A">#REF!</definedName>
    <definedName name="bekistingKTG2">#REF!</definedName>
    <definedName name="bekistingmejabeton">#REF!</definedName>
    <definedName name="bekistingP.1">#REF!</definedName>
    <definedName name="bekistingP.2B">#REF!</definedName>
    <definedName name="bekistingP.3A">#REF!</definedName>
    <definedName name="bekistingP.3B">#REF!</definedName>
    <definedName name="bekistingP.4A">#REF!</definedName>
    <definedName name="bekistingP.TG.1">#REF!</definedName>
    <definedName name="bekistingP.TG.2">#REF!</definedName>
    <definedName name="bekistingS1">#REF!</definedName>
    <definedName name="bekistingS2">#REF!</definedName>
    <definedName name="bekistingS3">#REF!</definedName>
    <definedName name="bekistingS4">#REF!</definedName>
    <definedName name="bekistingS5">#REF!</definedName>
    <definedName name="bekistingS6">#REF!</definedName>
    <definedName name="bekistingS7">#REF!</definedName>
    <definedName name="bekistingtangga1">#REF!</definedName>
    <definedName name="bekistingtangga2">#REF!</definedName>
    <definedName name="bekistingtangga3">#REF!</definedName>
    <definedName name="bekistingTB.1">#REF!</definedName>
    <definedName name="bekistingTB.2">#REF!</definedName>
    <definedName name="bekistingTB.3">#REF!</definedName>
    <definedName name="bekistingTB.4">#REF!</definedName>
    <definedName name="bekistingTB.5">#REF!</definedName>
    <definedName name="bekistingTB.6">#REF!</definedName>
    <definedName name="bekistngB8.2">#REF!</definedName>
    <definedName name="bekistngK1.lt.3">#REF!</definedName>
    <definedName name="bekistp">#REF!</definedName>
    <definedName name="beklant">#REF!</definedName>
    <definedName name="Beklantai">#REF!</definedName>
    <definedName name="bekpan">#REF!</definedName>
    <definedName name="bel">#REF!</definedName>
    <definedName name="BEN">#REF!</definedName>
    <definedName name="Benang">#REF!</definedName>
    <definedName name="benco" hidden="1">{#N/A,#N/A,FALSE,"REK-S-TPL";#N/A,#N/A,FALSE,"REK-TPML";#N/A,#N/A,FALSE,"RAB-TEMPEL"}</definedName>
    <definedName name="Bender">#REF!</definedName>
    <definedName name="bendrat">"$#REF!.$H$110"</definedName>
    <definedName name="bensin">#REF!</definedName>
    <definedName name="bensin_9">#REF!</definedName>
    <definedName name="bento" hidden="1">{#N/A,#N/A,FALSE,"REK";#N/A,#N/A,FALSE,"rab"}</definedName>
    <definedName name="berat1012">#REF!</definedName>
    <definedName name="berat1212">#REF!</definedName>
    <definedName name="berat1312">#REF!</definedName>
    <definedName name="berat1612">#REF!</definedName>
    <definedName name="berat1912">#REF!</definedName>
    <definedName name="Berat22">#REF!</definedName>
    <definedName name="berat2212">#REF!</definedName>
    <definedName name="berat2512">#REF!</definedName>
    <definedName name="berat3212">"$#REF!.$O$106"</definedName>
    <definedName name="berat612">#REF!</definedName>
    <definedName name="berat812">#REF!</definedName>
    <definedName name="berat912">#REF!</definedName>
    <definedName name="beratbesiS1">#REF!</definedName>
    <definedName name="beratsplh12">"$#REF!.$V$11"</definedName>
    <definedName name="bersih">#REF!</definedName>
    <definedName name="BES">#REF!</definedName>
    <definedName name="BES_6">#REF!</definedName>
    <definedName name="bes24_6">#REF!</definedName>
    <definedName name="bes39_6">#REF!</definedName>
    <definedName name="besbet">#REF!</definedName>
    <definedName name="Besi">#REF!</definedName>
    <definedName name="Besi.8">#REF!</definedName>
    <definedName name="besi.polos">#REF!</definedName>
    <definedName name="Besi.S1">#REF!</definedName>
    <definedName name="besi.ulir">#REF!</definedName>
    <definedName name="Besi_pelat">#REF!</definedName>
    <definedName name="Besi_plat_untuk_pintu_besi">#REF!</definedName>
    <definedName name="Besi_profil">#REF!</definedName>
    <definedName name="Besi_profile___besi_Canal">#REF!</definedName>
    <definedName name="Besi_profile_WF">#REF!</definedName>
    <definedName name="Besi_Siku">#REF!</definedName>
    <definedName name="Besi_siku_50x50x5__P_6M">#REF!</definedName>
    <definedName name="besi10.sii">#REF!</definedName>
    <definedName name="Besi12">#REF!</definedName>
    <definedName name="besi12sii">#REF!</definedName>
    <definedName name="besi13">#REF!</definedName>
    <definedName name="besi13u">#REF!</definedName>
    <definedName name="besi16">#REF!</definedName>
    <definedName name="besi16sii">#REF!</definedName>
    <definedName name="besi16u">#REF!</definedName>
    <definedName name="besi19">#REF!</definedName>
    <definedName name="besi19u">#REF!</definedName>
    <definedName name="besi24">#REF!</definedName>
    <definedName name="besi39">#REF!</definedName>
    <definedName name="Besi40">#REF!</definedName>
    <definedName name="besi6.sii">#REF!</definedName>
    <definedName name="besi6sii">#REF!</definedName>
    <definedName name="besi8sii">#REF!</definedName>
    <definedName name="BesiB1.1">#REF!</definedName>
    <definedName name="BesiB1.2">#REF!</definedName>
    <definedName name="BesiB1.3">#REF!</definedName>
    <definedName name="BesiB1.4">#REF!</definedName>
    <definedName name="BesiB1.5">#REF!</definedName>
    <definedName name="BesiB10.1">#REF!</definedName>
    <definedName name="BesiB10.2">#REF!</definedName>
    <definedName name="BesiB10.3">#REF!</definedName>
    <definedName name="BesiB10.4">#REF!</definedName>
    <definedName name="BesiB10.5">#REF!</definedName>
    <definedName name="BesiB2.1">#REF!</definedName>
    <definedName name="BesiB2.2">#REF!</definedName>
    <definedName name="BesiB2.3">#REF!</definedName>
    <definedName name="BesiB2.4">#REF!</definedName>
    <definedName name="BesiB2.5">#REF!</definedName>
    <definedName name="BesiB3.1">#REF!</definedName>
    <definedName name="BesiB3.2">#REF!</definedName>
    <definedName name="BesiB3.3">#REF!</definedName>
    <definedName name="BesiB3.4">#REF!</definedName>
    <definedName name="BesiB3.5">#REF!</definedName>
    <definedName name="BesiB4.1">#REF!</definedName>
    <definedName name="BesiB4.2">#REF!</definedName>
    <definedName name="BesiB4.3">#REF!</definedName>
    <definedName name="BesiB4.4">#REF!</definedName>
    <definedName name="BesiB4.5">#REF!</definedName>
    <definedName name="BesiB5.1">#REF!</definedName>
    <definedName name="BesiB5.2">#REF!</definedName>
    <definedName name="BesiB5.3">#REF!</definedName>
    <definedName name="BesiB5.4">#REF!</definedName>
    <definedName name="BesiB5.5">#REF!</definedName>
    <definedName name="BesiB6.1">#REF!</definedName>
    <definedName name="BesiB6.2">#REF!</definedName>
    <definedName name="BesiB6.3">#REF!</definedName>
    <definedName name="BesiB6.4">#REF!</definedName>
    <definedName name="BesiB6.5">#REF!</definedName>
    <definedName name="BesiB6.6">#REF!</definedName>
    <definedName name="BesiB6.7">#REF!</definedName>
    <definedName name="BesiB7.1">#REF!</definedName>
    <definedName name="BesiB7.2">#REF!</definedName>
    <definedName name="BesiB7.3">#REF!</definedName>
    <definedName name="BesiB7.4">#REF!</definedName>
    <definedName name="BesiB7.5">#REF!</definedName>
    <definedName name="BesiB7.6">#REF!</definedName>
    <definedName name="BesiB7.7">#REF!</definedName>
    <definedName name="BesiB8.1">#REF!</definedName>
    <definedName name="BesiB8.2">#REF!</definedName>
    <definedName name="BesiB8.3">#REF!</definedName>
    <definedName name="BesiB8.4">#REF!</definedName>
    <definedName name="BesiB8.5">#REF!</definedName>
    <definedName name="BesiB9.1">#REF!</definedName>
    <definedName name="BesiB9.2">#REF!</definedName>
    <definedName name="BesiB9.3">#REF!</definedName>
    <definedName name="BesiB9.4">#REF!</definedName>
    <definedName name="BesiB9.5">#REF!</definedName>
    <definedName name="BESIBET">#REF!</definedName>
    <definedName name="Besibeton">#REF!</definedName>
    <definedName name="BesiBR.1">#REF!</definedName>
    <definedName name="BesiBTG.1">#REF!</definedName>
    <definedName name="BesiBTG.1A">#REF!</definedName>
    <definedName name="BesiBTG.2">#REF!</definedName>
    <definedName name="BesiBTG.2A">#REF!</definedName>
    <definedName name="BesiBTG.2B">#REF!</definedName>
    <definedName name="BesiBTG.3">#REF!</definedName>
    <definedName name="besibtn">#REF!</definedName>
    <definedName name="besibton">#REF!</definedName>
    <definedName name="besiGS">#REF!</definedName>
    <definedName name="besiinp">#REF!</definedName>
    <definedName name="BesiK1">#REF!</definedName>
    <definedName name="BesiK1.lt.1">#REF!</definedName>
    <definedName name="BesiK1.lt.2">#REF!</definedName>
    <definedName name="BesiK1.lt.3">#REF!</definedName>
    <definedName name="BesiK10">#REF!</definedName>
    <definedName name="BesiK10.lt.1">#REF!</definedName>
    <definedName name="BesiK10.lt.2">#REF!</definedName>
    <definedName name="BesiK10.lt3">#REF!</definedName>
    <definedName name="BesiK2">#REF!</definedName>
    <definedName name="BesiK2.lt.1">#REF!</definedName>
    <definedName name="BesiK2.lt.2">#REF!</definedName>
    <definedName name="besiK2.lt.3">#REF!</definedName>
    <definedName name="BesiK3">#REF!</definedName>
    <definedName name="BesiK3.lt.1">#REF!</definedName>
    <definedName name="BesiK3.lt.2">#REF!</definedName>
    <definedName name="BesiK3.lt.3">#REF!</definedName>
    <definedName name="BesiK4">#REF!</definedName>
    <definedName name="BesiK4.lt.1">#REF!</definedName>
    <definedName name="BesiK4.lt.2">#REF!</definedName>
    <definedName name="BesiK4.lt.3">#REF!</definedName>
    <definedName name="BesiK5">#REF!</definedName>
    <definedName name="BesiK5.lt.1">#REF!</definedName>
    <definedName name="BesiK5.lt.2">#REF!</definedName>
    <definedName name="BesiK5.lt.3">#REF!</definedName>
    <definedName name="BesiK6">#REF!</definedName>
    <definedName name="BesiK6.lt.1">#REF!</definedName>
    <definedName name="besiK6.lt.2">#REF!</definedName>
    <definedName name="BesiK6.lt.3">#REF!</definedName>
    <definedName name="BesiK7">#REF!</definedName>
    <definedName name="BesiK7.lt.1">#REF!</definedName>
    <definedName name="BesiK7.lt.2">#REF!</definedName>
    <definedName name="BesiK7.lt.3">#REF!</definedName>
    <definedName name="BesiK8">#REF!</definedName>
    <definedName name="BesiK8.lt.1">#REF!</definedName>
    <definedName name="BesiK8.lt.2">#REF!</definedName>
    <definedName name="BesiK8.lt.3">#REF!</definedName>
    <definedName name="BesiK9">#REF!</definedName>
    <definedName name="BesiK9.lt.1">#REF!</definedName>
    <definedName name="BesiK9.lt.2">#REF!</definedName>
    <definedName name="BesiK9.lt.3">#REF!</definedName>
    <definedName name="BesiKP">#REF!</definedName>
    <definedName name="BesiKR1">#REF!</definedName>
    <definedName name="BesiKTG1">#REF!</definedName>
    <definedName name="BesiKTG1A">#REF!</definedName>
    <definedName name="BesiKTG2">#REF!</definedName>
    <definedName name="besimejabeton">#REF!</definedName>
    <definedName name="besiP.1">#REF!</definedName>
    <definedName name="besiP.2B">#REF!</definedName>
    <definedName name="besiP.3A">#REF!</definedName>
    <definedName name="besiP.3B">#REF!</definedName>
    <definedName name="besiP.4A">#REF!</definedName>
    <definedName name="besiP.TG.1">#REF!</definedName>
    <definedName name="besiP.TG.2">#REF!</definedName>
    <definedName name="besiplat">#REF!</definedName>
    <definedName name="besipolos">#REF!</definedName>
    <definedName name="BesiPR.1">#REF!</definedName>
    <definedName name="BesiS1">#REF!</definedName>
    <definedName name="BesiS2">#REF!</definedName>
    <definedName name="BesiS3">#REF!</definedName>
    <definedName name="BesiS4">#REF!</definedName>
    <definedName name="BesiS5">#REF!</definedName>
    <definedName name="BesiS6">#REF!</definedName>
    <definedName name="BesiS7">#REF!</definedName>
    <definedName name="BesiS8">#REF!</definedName>
    <definedName name="besisiku">#REF!</definedName>
    <definedName name="Besitangga1">#REF!</definedName>
    <definedName name="Besitangga2">#REF!</definedName>
    <definedName name="Besitangga3">#REF!</definedName>
    <definedName name="BesiTB.1">#REF!</definedName>
    <definedName name="BesiTB.2">#REF!</definedName>
    <definedName name="BesiTB.3">#REF!</definedName>
    <definedName name="BesiTB.4">#REF!</definedName>
    <definedName name="BesiTB.5">#REF!</definedName>
    <definedName name="BesiTB.6">#REF!</definedName>
    <definedName name="besiTypeS1">#REF!</definedName>
    <definedName name="BesiU24">#REF!</definedName>
    <definedName name="BesiU39">#REF!</definedName>
    <definedName name="besiulir">#REF!</definedName>
    <definedName name="besiwf">#REF!</definedName>
    <definedName name="bet">#REF!</definedName>
    <definedName name="BET_6">#REF!</definedName>
    <definedName name="betok350">#REF!</definedName>
    <definedName name="BETON">"$#REF!.$F$56"</definedName>
    <definedName name="beton.225m">#REF!</definedName>
    <definedName name="beton.tumbuk">#REF!</definedName>
    <definedName name="BETON_BESI">#REF!</definedName>
    <definedName name="beton1">#REF!</definedName>
    <definedName name="beton125">#REF!</definedName>
    <definedName name="beton175m">#REF!</definedName>
    <definedName name="beton175R">#REF!</definedName>
    <definedName name="beton2">#REF!</definedName>
    <definedName name="Beton225">#REF!</definedName>
    <definedName name="beton225r">#REF!</definedName>
    <definedName name="beton250">#REF!</definedName>
    <definedName name="beton250m">#REF!</definedName>
    <definedName name="beton250nf">#REF!</definedName>
    <definedName name="beton250r">#REF!</definedName>
    <definedName name="beton3">#REF!</definedName>
    <definedName name="Beton300">#REF!</definedName>
    <definedName name="Beton400">#REF!</definedName>
    <definedName name="BetonBO">#REF!</definedName>
    <definedName name="betoncor">#REF!</definedName>
    <definedName name="betonfc25">#REF!</definedName>
    <definedName name="betonfc35">#REF!</definedName>
    <definedName name="betonfc40">#REF!</definedName>
    <definedName name="betonfc50">#REF!</definedName>
    <definedName name="betonk.350">#REF!</definedName>
    <definedName name="betonk125">#REF!</definedName>
    <definedName name="betonk175">#REF!</definedName>
    <definedName name="betonk225">#REF!</definedName>
    <definedName name="betonk250">#REF!</definedName>
    <definedName name="betonk300">#REF!</definedName>
    <definedName name="betonk350">#REF!</definedName>
    <definedName name="betonlt">#REF!</definedName>
    <definedName name="Betontril">#REF!</definedName>
    <definedName name="betonu24">#REF!</definedName>
    <definedName name="Beugel_kalung">#REF!</definedName>
    <definedName name="Beugel_plat">#REF!</definedName>
    <definedName name="bg">#REF!</definedName>
    <definedName name="bg_9">#REF!</definedName>
    <definedName name="bgbgl">#REF!</definedName>
    <definedName name="bgblt">#REF!</definedName>
    <definedName name="BGF" hidden="1">{"'Sheet1'!$A$1"}</definedName>
    <definedName name="BGR">#REF!</definedName>
    <definedName name="bgsgl">#REF!</definedName>
    <definedName name="bgsgt">#REF!</definedName>
    <definedName name="bgsp">#REF!</definedName>
    <definedName name="BH">#REF!</definedName>
    <definedName name="bh_200">#REF!</definedName>
    <definedName name="bhn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iaya">biaya</definedName>
    <definedName name="biayaars">#REF!</definedName>
    <definedName name="biayanyambungtp">#REF!</definedName>
    <definedName name="BiayapenyambunganME">#REF!</definedName>
    <definedName name="biayapersiapan">#REF!</definedName>
    <definedName name="biayapotongtp">#REF!</definedName>
    <definedName name="biayastr">#REF!</definedName>
    <definedName name="biayasubstr">#REF!</definedName>
    <definedName name="biayatanah">#REF!</definedName>
    <definedName name="biayaupstr1">#REF!</definedName>
    <definedName name="biayaupstr2">#REF!</definedName>
    <definedName name="biayaupstr3">#REF!</definedName>
    <definedName name="biayaupstratap">#REF!</definedName>
    <definedName name="biayaupstrdsr">#REF!</definedName>
    <definedName name="biayaupstrornamen">#REF!</definedName>
    <definedName name="bilik">#REF!</definedName>
    <definedName name="BIN">#REF!</definedName>
    <definedName name="BINDER">#REF!</definedName>
    <definedName name="bindrat">"$PileCap.$#REF!$#REF!"</definedName>
    <definedName name="binjai">#REF!</definedName>
    <definedName name="binjai.xls" hidden="1">#REF!</definedName>
    <definedName name="bitutine">#REF!</definedName>
    <definedName name="BJ">#REF!</definedName>
    <definedName name="Bjepang">#REF!</definedName>
    <definedName name="BJLS">#REF!</definedName>
    <definedName name="bjls_6">#REF!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k">#REF!</definedName>
    <definedName name="BK.1\selasar">#REF!</definedName>
    <definedName name="BK.2\selasar">#REF!</definedName>
    <definedName name="BK.3\selasar">#REF!</definedName>
    <definedName name="BK.4\selasar">#REF!</definedName>
    <definedName name="BK.5\selasar">#REF!</definedName>
    <definedName name="bk_35">#REF!</definedName>
    <definedName name="bk_9">#REF!</definedName>
    <definedName name="bk_b">#REF!</definedName>
    <definedName name="bk_d">#REF!</definedName>
    <definedName name="bk_es">#REF!</definedName>
    <definedName name="bk_es12">#REF!</definedName>
    <definedName name="bk_es13">#REF!</definedName>
    <definedName name="bk_ess">#REF!</definedName>
    <definedName name="bk_k">#REF!</definedName>
    <definedName name="bk_t">#REF!</definedName>
    <definedName name="Bkali">#REF!</definedName>
    <definedName name="BKBALOK">#REF!</definedName>
    <definedName name="bkbeton60.60.100">#REF!</definedName>
    <definedName name="BKI.6\selasar">#REF!</definedName>
    <definedName name="bkjtw">#REF!</definedName>
    <definedName name="bklm">"'file://SERVER3/har-data/STRUCTURE PRICE OF BQ KOMPAS GRAMEDIA.xls'#$analisa.$#REF!$#REF!"</definedName>
    <definedName name="bkmberg">#REF!</definedName>
    <definedName name="bkmbw">#REF!</definedName>
    <definedName name="bkmn">#REF!</definedName>
    <definedName name="bkmorando">#REF!</definedName>
    <definedName name="bkmwberg">#REF!</definedName>
    <definedName name="bkontrol">#REF!</definedName>
    <definedName name="bkp">#REF!</definedName>
    <definedName name="bkp_6">#REF!</definedName>
    <definedName name="bkp_9">#REF!</definedName>
    <definedName name="bks">#REF!</definedName>
    <definedName name="Bks1\2bata">#REF!</definedName>
    <definedName name="Bks1\4bata">#REF!</definedName>
    <definedName name="bksbalok">#REF!</definedName>
    <definedName name="Bksbata">#REF!</definedName>
    <definedName name="bksg">#REF!</definedName>
    <definedName name="bkskolom">#REF!</definedName>
    <definedName name="bksplat">#REF!</definedName>
    <definedName name="bkspondasi">#REF!</definedName>
    <definedName name="bksslof">#REF!</definedName>
    <definedName name="BkstMulti12">#REF!</definedName>
    <definedName name="BkstMulti9">#REF!</definedName>
    <definedName name="BkstPpn">#REF!</definedName>
    <definedName name="bl">#REF!</definedName>
    <definedName name="BL\selasar">#REF!</definedName>
    <definedName name="bl_2515">#REF!</definedName>
    <definedName name="Blangko" hidden="1">{#N/A,#N/A,FALSE,"WP [10]"}</definedName>
    <definedName name="BLANK">NA()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.2.101">#REF!</definedName>
    <definedName name="BLK.2.101B">#REF!</definedName>
    <definedName name="BLK.2.101E">#REF!</definedName>
    <definedName name="BLK.2.102">#REF!</definedName>
    <definedName name="BLK.2.102B">#REF!</definedName>
    <definedName name="BLK.2.102E">#REF!</definedName>
    <definedName name="BLK.2.103">#REF!</definedName>
    <definedName name="BLK.2.103B">#REF!</definedName>
    <definedName name="BLK.2.103E">#REF!</definedName>
    <definedName name="BLK.2.104">#REF!</definedName>
    <definedName name="BLK.2.104B">#REF!</definedName>
    <definedName name="BLK.2.104E">#REF!</definedName>
    <definedName name="BLK.2.105">#REF!</definedName>
    <definedName name="BLK.2.105B">#REF!</definedName>
    <definedName name="BLK.2.105E">#REF!</definedName>
    <definedName name="BLK.2.106">#REF!</definedName>
    <definedName name="BLK.2.106B">#REF!</definedName>
    <definedName name="BLK.2.106E">#REF!</definedName>
    <definedName name="BLK.2.107">#REF!</definedName>
    <definedName name="BLK.2.107B">#REF!</definedName>
    <definedName name="BLK.2.107E">#REF!</definedName>
    <definedName name="BLK.2.108">#REF!</definedName>
    <definedName name="BLK.2.108B">#REF!</definedName>
    <definedName name="BLK.2.108E">#REF!</definedName>
    <definedName name="BLK.2.109">#REF!</definedName>
    <definedName name="BLK.2.109B">#REF!</definedName>
    <definedName name="BLK.2.109E">#REF!</definedName>
    <definedName name="BLK.2.110">#REF!</definedName>
    <definedName name="BLK.2.110B">#REF!</definedName>
    <definedName name="BLK.2.110E">#REF!</definedName>
    <definedName name="BLK.2.111">#REF!</definedName>
    <definedName name="BLK.2.111B">#REF!</definedName>
    <definedName name="BLK.2.111E">#REF!</definedName>
    <definedName name="BLK.2.112">#REF!</definedName>
    <definedName name="BLK.2.112B">#REF!</definedName>
    <definedName name="BLK.2.112E">#REF!</definedName>
    <definedName name="BLK.2.113">#REF!</definedName>
    <definedName name="BLK.2.113B">#REF!</definedName>
    <definedName name="BLK.2.113E">#REF!</definedName>
    <definedName name="BLK.2.114">#REF!</definedName>
    <definedName name="BLK.2.114B">#REF!</definedName>
    <definedName name="BLK.2.114E">#REF!</definedName>
    <definedName name="BLK.2.115">#REF!</definedName>
    <definedName name="BLK.2.115B">#REF!</definedName>
    <definedName name="BLK.2.115E">#REF!</definedName>
    <definedName name="BLK.3.101">#REF!</definedName>
    <definedName name="BLK.3.101B">#REF!</definedName>
    <definedName name="BLK.3.101E">#REF!</definedName>
    <definedName name="BLK.3.102">#REF!</definedName>
    <definedName name="BLK.3.102B">#REF!</definedName>
    <definedName name="BLK.3.102E">#REF!</definedName>
    <definedName name="BLK.3.103">#REF!</definedName>
    <definedName name="BLK.3.103B">#REF!</definedName>
    <definedName name="BLK.3.103E">#REF!</definedName>
    <definedName name="BLK.3.104">#REF!</definedName>
    <definedName name="BLK.3.104B">#REF!</definedName>
    <definedName name="BLK.3.104E">#REF!</definedName>
    <definedName name="BLK.3.105">#REF!</definedName>
    <definedName name="BLK.3.105B">#REF!</definedName>
    <definedName name="BLK.3.105E">#REF!</definedName>
    <definedName name="BLK.3.106">#REF!</definedName>
    <definedName name="BLK.3.106B">#REF!</definedName>
    <definedName name="BLK.3.106E">#REF!</definedName>
    <definedName name="BLK.3.107">#REF!</definedName>
    <definedName name="BLK.3.107B">#REF!</definedName>
    <definedName name="BLK.3.107E">#REF!</definedName>
    <definedName name="BLK.3.108">#REF!</definedName>
    <definedName name="BLK.3.108B">#REF!</definedName>
    <definedName name="BLK.3.108E">#REF!</definedName>
    <definedName name="BLK.3.109">#REF!</definedName>
    <definedName name="BLK.3.109B">#REF!</definedName>
    <definedName name="BLK.3.109E">#REF!</definedName>
    <definedName name="BLK.3.110">#REF!</definedName>
    <definedName name="BLK.3.110B">#REF!</definedName>
    <definedName name="BLK.3.110E">#REF!</definedName>
    <definedName name="BLK.3.111">#REF!</definedName>
    <definedName name="BLK.3.111B">#REF!</definedName>
    <definedName name="BLK.3.111E">#REF!</definedName>
    <definedName name="BLK.3.112">#REF!</definedName>
    <definedName name="BLK.3.112B">#REF!</definedName>
    <definedName name="BLK.3.112E">#REF!</definedName>
    <definedName name="BLK.3.113">#REF!</definedName>
    <definedName name="BLK.3.113B">#REF!</definedName>
    <definedName name="BLK.3.113E">#REF!</definedName>
    <definedName name="BLK.3.114">#REF!</definedName>
    <definedName name="BLK.3.114B">#REF!</definedName>
    <definedName name="BLK.3.114E">#REF!</definedName>
    <definedName name="BLK.4.101">#REF!</definedName>
    <definedName name="BLK.4.101B">#REF!</definedName>
    <definedName name="BLK.4.101E">#REF!</definedName>
    <definedName name="BLK.4.102">#REF!</definedName>
    <definedName name="BLK.4.102B">#REF!</definedName>
    <definedName name="BLK.4.102E">#REF!</definedName>
    <definedName name="BLK.4.103">#REF!</definedName>
    <definedName name="BLK.4.103B">#REF!</definedName>
    <definedName name="BLK.4.103E">#REF!</definedName>
    <definedName name="BLK.4.104">#REF!</definedName>
    <definedName name="BLK.4.104B">#REF!</definedName>
    <definedName name="BLK.4.104E">#REF!</definedName>
    <definedName name="BLK.4.105">#REF!</definedName>
    <definedName name="BLK.4.105B">#REF!</definedName>
    <definedName name="BLK.4.105E">#REF!</definedName>
    <definedName name="BLK.4.106">#REF!</definedName>
    <definedName name="BLK.4.106B">#REF!</definedName>
    <definedName name="BLK.4.106E">#REF!</definedName>
    <definedName name="BLK.4.107">#REF!</definedName>
    <definedName name="BLK.4.107B">#REF!</definedName>
    <definedName name="BLK.4.107E">#REF!</definedName>
    <definedName name="BLK.4.108">#REF!</definedName>
    <definedName name="BLK.4.108B">#REF!</definedName>
    <definedName name="BLK.4.108E">#REF!</definedName>
    <definedName name="BLK.4.109">#REF!</definedName>
    <definedName name="BLK.4.109B">#REF!</definedName>
    <definedName name="BLK.4.109E">#REF!</definedName>
    <definedName name="BLK.4.110">#REF!</definedName>
    <definedName name="BLK.4.110B">#REF!</definedName>
    <definedName name="BLK.4.110E">#REF!</definedName>
    <definedName name="BLK.4.111">#REF!</definedName>
    <definedName name="BLK.4.111B">#REF!</definedName>
    <definedName name="BLK.4.111E">#REF!</definedName>
    <definedName name="BLK.4.112">#REF!</definedName>
    <definedName name="BLK.4.112B">#REF!</definedName>
    <definedName name="BLK.4.112E">#REF!</definedName>
    <definedName name="BLK.4.113">#REF!</definedName>
    <definedName name="BLK.4.113B">#REF!</definedName>
    <definedName name="BLK.4.113E">#REF!</definedName>
    <definedName name="BLK.4.114">#REF!</definedName>
    <definedName name="BLK.4.114B">#REF!</definedName>
    <definedName name="BLK.4.114E">#REF!</definedName>
    <definedName name="blkbjr">#REF!</definedName>
    <definedName name="blkbor">#REF!</definedName>
    <definedName name="BlkBr">#REF!</definedName>
    <definedName name="Blkdk">#REF!</definedName>
    <definedName name="blkhns">#REF!</definedName>
    <definedName name="blkht1">#REF!</definedName>
    <definedName name="blkht2">#REF!</definedName>
    <definedName name="Blkhv">#REF!</definedName>
    <definedName name="BlkKb">#REF!</definedName>
    <definedName name="BlkKm">#REF!</definedName>
    <definedName name="blkkmp">#REF!</definedName>
    <definedName name="BlkKs">#REF!</definedName>
    <definedName name="Blkmrnt">#REF!</definedName>
    <definedName name="blkras">#REF!</definedName>
    <definedName name="BlkRm">#REF!</definedName>
    <definedName name="blksam">#REF!</definedName>
    <definedName name="BLKT">#REF!</definedName>
    <definedName name="BLKT_9">#REF!</definedName>
    <definedName name="Blktk">#REF!</definedName>
    <definedName name="bln">#REF!</definedName>
    <definedName name="bln_9">#REF!</definedName>
    <definedName name="BLOW">#REF!</definedName>
    <definedName name="BLT">#REF!</definedName>
    <definedName name="BLT_9">#REF!</definedName>
    <definedName name="BLTT">#REF!</definedName>
    <definedName name="BLTT_9">#REF!</definedName>
    <definedName name="blw">#REF!</definedName>
    <definedName name="blw_9">#REF!</definedName>
    <definedName name="bm">#REF!</definedName>
    <definedName name="bm.01">#REF!</definedName>
    <definedName name="bm.f">#REF!</definedName>
    <definedName name="bm_12">#REF!</definedName>
    <definedName name="bm_14">#REF!</definedName>
    <definedName name="bm_1512">#REF!</definedName>
    <definedName name="BmbGb">#REF!</definedName>
    <definedName name="bmcb">#REF!</definedName>
    <definedName name="bmorandowr">#REF!</definedName>
    <definedName name="bms">"'file://SERVER3/har-data/STRUCTURE PRICE OF BQ KOMPAS GRAMEDIA.xls'#$analisa.$#REF!$#REF!"</definedName>
    <definedName name="BNY">#REF!</definedName>
    <definedName name="Bo">#REF!</definedName>
    <definedName name="bobok">"'file://SERVER3/har-data/STRUCTURE PRICE OF BQ KOMPAS GRAMEDIA.xls'#$analisa.$#REF!$#REF!"</definedName>
    <definedName name="Bobok400">#REF!</definedName>
    <definedName name="BOBOT">NA()</definedName>
    <definedName name="bodem">#REF!</definedName>
    <definedName name="Bohlm">#REF!</definedName>
    <definedName name="boil">#REF!</definedName>
    <definedName name="bojong1">#REF!</definedName>
    <definedName name="bojongsari">#REF!</definedName>
    <definedName name="BOJONGSARI1">#REF!</definedName>
    <definedName name="bojongsari2">#REF!</definedName>
    <definedName name="bondagen">#REF!</definedName>
    <definedName name="Bondx">#REF!</definedName>
    <definedName name="bongkar">#REF!</definedName>
    <definedName name="bongkar1">#REF!</definedName>
    <definedName name="book">book</definedName>
    <definedName name="book2">book2</definedName>
    <definedName name="book3">book3</definedName>
    <definedName name="boosteram">#REF!</definedName>
    <definedName name="boplank">#REF!</definedName>
    <definedName name="Boqa" hidden="1">#REF!</definedName>
    <definedName name="bor_3">#REF!</definedName>
    <definedName name="border">#REF!</definedName>
    <definedName name="border8x20">#REF!</definedName>
    <definedName name="border8x25">#REF!</definedName>
    <definedName name="border8x30">#REF!</definedName>
    <definedName name="bored">#REF!</definedName>
    <definedName name="borneo">#REF!</definedName>
    <definedName name="borneo4.6">#REF!</definedName>
    <definedName name="borneo5.10">#REF!</definedName>
    <definedName name="borneo5.7">#REF!</definedName>
    <definedName name="borneo6.12">#REF!</definedName>
    <definedName name="borneobalok">#REF!</definedName>
    <definedName name="borneopapan">#REF!</definedName>
    <definedName name="borsup">#REF!</definedName>
    <definedName name="borsup_6">#REF!</definedName>
    <definedName name="Bos">#REF!</definedName>
    <definedName name="BOST">#REF!</definedName>
    <definedName name="bottom">#REF!</definedName>
    <definedName name="Bouw">#REF!</definedName>
    <definedName name="bouwplnk">#REF!</definedName>
    <definedName name="BOW">#REF!</definedName>
    <definedName name="BOW_2">#REF!</definedName>
    <definedName name="BOX">#REF!</definedName>
    <definedName name="BOX.40.50">#REF!</definedName>
    <definedName name="BOX.80.120">#REF!</definedName>
    <definedName name="Box_zekering__1_group">#REF!</definedName>
    <definedName name="Box_zekering__2_group">#REF!</definedName>
    <definedName name="Box_zekering__3_group">#REF!</definedName>
    <definedName name="BoxTl">#REF!</definedName>
    <definedName name="BP">#REF!</definedName>
    <definedName name="BP.5">#REF!</definedName>
    <definedName name="bp_1">#REF!</definedName>
    <definedName name="bp_2">#REF!</definedName>
    <definedName name="bp_3">#REF!</definedName>
    <definedName name="BPAir">#REF!</definedName>
    <definedName name="BPKP">"$#REF!.$AB$4:$AB$655"</definedName>
    <definedName name="bpl2x9">#REF!</definedName>
    <definedName name="bpl2x9nb">#REF!</definedName>
    <definedName name="bpl32nb">#REF!</definedName>
    <definedName name="bpl9nb">#REF!</definedName>
    <definedName name="bpolos">#REF!</definedName>
    <definedName name="BPPLN">#REF!</definedName>
    <definedName name="BQ_1">#REF!</definedName>
    <definedName name="BR">#REF!</definedName>
    <definedName name="BR.1">#REF!</definedName>
    <definedName name="BR.1\ramp">#REF!</definedName>
    <definedName name="braven">#REF!</definedName>
    <definedName name="brc_m5">#REF!</definedName>
    <definedName name="brc_m6">#REF!</definedName>
    <definedName name="brc_m7">#REF!</definedName>
    <definedName name="brcm10">"'file://SERVER3/har-data/STRUCTURE PRICE OF BQ KOMPAS GRAMEDIA.xls'#$analisa.$#REF!$#REF!"</definedName>
    <definedName name="brcm6">#REF!</definedName>
    <definedName name="BRONJ_MATRAS">#REF!</definedName>
    <definedName name="bronjol">#REF!</definedName>
    <definedName name="bronjong2">#REF!</definedName>
    <definedName name="bronjong211">#REF!</definedName>
    <definedName name="bronjong3">#REF!</definedName>
    <definedName name="bronjong4">#REF!</definedName>
    <definedName name="brs">#REF!</definedName>
    <definedName name="BS">#REF!</definedName>
    <definedName name="BS.1\selasar">#REF!</definedName>
    <definedName name="BS.2\selasar">#REF!</definedName>
    <definedName name="bs.p">#REF!</definedName>
    <definedName name="bs.pt">#REF!</definedName>
    <definedName name="bs.s">#REF!</definedName>
    <definedName name="bs.str">#REF!</definedName>
    <definedName name="BS_isolasi">#REF!</definedName>
    <definedName name="bs3w">#REF!</definedName>
    <definedName name="BSB">#REF!</definedName>
    <definedName name="bsbgl">#REF!</definedName>
    <definedName name="BsbKk">#REF!</definedName>
    <definedName name="bsbtn">#REF!</definedName>
    <definedName name="BSP\perKG">#REF!</definedName>
    <definedName name="BSP_MEDIUM">#REF!</definedName>
    <definedName name="BSP_SCH40">#REF!</definedName>
    <definedName name="BSP11\2HITAM">#REF!</definedName>
    <definedName name="BSP11\2MEDIUM">#REF!</definedName>
    <definedName name="BSP1HITAM">#REF!</definedName>
    <definedName name="BSP2.5HITAM">#REF!</definedName>
    <definedName name="BSP2.5PUTIH">#REF!</definedName>
    <definedName name="BSP2HITAM">#REF!</definedName>
    <definedName name="BSP2PUTIH">#REF!</definedName>
    <definedName name="BSP3MEDIUM">#REF!</definedName>
    <definedName name="BsPh1">#REF!</definedName>
    <definedName name="BsPh2">#REF!</definedName>
    <definedName name="BsPh3">#REF!</definedName>
    <definedName name="BsPh4">#REF!</definedName>
    <definedName name="BsPh5">#REF!</definedName>
    <definedName name="Bspl1">#REF!</definedName>
    <definedName name="Bspl5">#REF!</definedName>
    <definedName name="bssengkang">#REF!</definedName>
    <definedName name="BsSikuDN">#REF!</definedName>
    <definedName name="bssk">#REF!</definedName>
    <definedName name="BSSP">#REF!</definedName>
    <definedName name="BsSq3">#REF!</definedName>
    <definedName name="BsSq4">#REF!</definedName>
    <definedName name="bstulangan">#REF!</definedName>
    <definedName name="bt">#REF!</definedName>
    <definedName name="bt.lemp">#REF!</definedName>
    <definedName name="bt_11">#REF!</definedName>
    <definedName name="bt_3174">#REF!</definedName>
    <definedName name="bt_9">#REF!</definedName>
    <definedName name="btaco">#REF!</definedName>
    <definedName name="btacotnah">#REF!</definedName>
    <definedName name="btangga_6">#REF!</definedName>
    <definedName name="BTAPUNG">#REF!</definedName>
    <definedName name="btb">#REF!</definedName>
    <definedName name="btb_9">#REF!</definedName>
    <definedName name="btbel">#REF!</definedName>
    <definedName name="btbel_6">#REF!</definedName>
    <definedName name="btc">#REF!</definedName>
    <definedName name="btcopondsi">#REF!</definedName>
    <definedName name="btg">#REF!</definedName>
    <definedName name="BTG.1A">#REF!</definedName>
    <definedName name="btg1a">#REF!</definedName>
    <definedName name="btg2a">#REF!</definedName>
    <definedName name="btg2b">#REF!</definedName>
    <definedName name="bthitam">#REF!</definedName>
    <definedName name="bthj">#REF!</definedName>
    <definedName name="btk">#REF!</definedName>
    <definedName name="btk_9">#REF!</definedName>
    <definedName name="btkali">"$#REF!.$H$104"</definedName>
    <definedName name="btkr">#REF!</definedName>
    <definedName name="Btkrl">#REF!</definedName>
    <definedName name="btkrw">#REF!</definedName>
    <definedName name="btl" hidden="1">#REF!</definedName>
    <definedName name="BTM">#REF!</definedName>
    <definedName name="btmr">#REF!</definedName>
    <definedName name="btmrh">#REF!</definedName>
    <definedName name="btn">#REF!</definedName>
    <definedName name="btn_8">#REF!</definedName>
    <definedName name="btn300_6">#REF!</definedName>
    <definedName name="btnblk">"'file://SERVER3/har-data/STRUCTURE PRICE OF BQ KOMPAS GRAMEDIA.xls'#$analisa.$#REF!$#REF!"</definedName>
    <definedName name="btncore">"'file://SERVER3/har-data/STRUCTURE PRICE OF BQ KOMPAS GRAMEDIA.xls'#$analisa.$#REF!$#REF!"</definedName>
    <definedName name="btnddg">"'file://SERVER3/har-data/STRUCTURE PRICE OF BQ KOMPAS GRAMEDIA.xls'#$analisa.$#REF!$#REF!"</definedName>
    <definedName name="btnkolom">"'file://SERVER3/har-data/STRUCTURE PRICE OF BQ KOMPAS GRAMEDIA.xls'#$analisa.$#REF!$#REF!"</definedName>
    <definedName name="btnpc">"$#REF!.$I$127"</definedName>
    <definedName name="btnpeninggielevasi">#REF!</definedName>
    <definedName name="btnpit">"'file://SERVER3/har-data/STRUCTURE PRICE OF BQ KOMPAS GRAMEDIA.xls'#$analisa.$#REF!$#REF!"</definedName>
    <definedName name="btnsloof">"'file://SERVER3/har-data/STRUCTURE PRICE OF BQ KOMPAS GRAMEDIA.xls'#$analisa.$#REF!$#REF!"</definedName>
    <definedName name="btntangga">"'file://SERVER3/har-data/STRUCTURE PRICE OF BQ KOMPAS GRAMEDIA.xls'#$analisa.$#REF!$#REF!"</definedName>
    <definedName name="bton250">#REF!</definedName>
    <definedName name="bton300">#REF!</definedName>
    <definedName name="bton350">#REF!</definedName>
    <definedName name="bton400">#REF!</definedName>
    <definedName name="bton550">#REF!</definedName>
    <definedName name="btonbalok250">#REF!</definedName>
    <definedName name="btonbalok300">#REF!</definedName>
    <definedName name="btonbalok400">#REF!</definedName>
    <definedName name="btonbalok550">#REF!</definedName>
    <definedName name="btonddg250">#REF!</definedName>
    <definedName name="btonddg300">#REF!</definedName>
    <definedName name="btonddg400">#REF!</definedName>
    <definedName name="btonddg550">#REF!</definedName>
    <definedName name="btonlantkrja">#REF!</definedName>
    <definedName name="btp">#REF!</definedName>
    <definedName name="btp_9">#REF!</definedName>
    <definedName name="btparas">#REF!</definedName>
    <definedName name="btpb">#REF!</definedName>
    <definedName name="btpb_9">#REF!</definedName>
    <definedName name="BtPch">#REF!</definedName>
    <definedName name="btpec2">#REF!</definedName>
    <definedName name="btpec2_6">#REF!</definedName>
    <definedName name="btponda">#REF!</definedName>
    <definedName name="btsentul">#REF!</definedName>
    <definedName name="btsikat">#REF!</definedName>
    <definedName name="bttemplek">#REF!</definedName>
    <definedName name="btth">#REF!</definedName>
    <definedName name="Bttlr">#REF!</definedName>
    <definedName name="Bttph">#REF!</definedName>
    <definedName name="btukali">#REF!</definedName>
    <definedName name="btul24">#REF!</definedName>
    <definedName name="btul39">#REF!</definedName>
    <definedName name="bu">#REF!</definedName>
    <definedName name="BU_24">#REF!</definedName>
    <definedName name="BU_39">#REF!</definedName>
    <definedName name="buang">HAJIME:OWARI</definedName>
    <definedName name="buang_10">#REF!:#REF!</definedName>
    <definedName name="buang_11">#REF!:#REF!</definedName>
    <definedName name="buang_12">#REF!:#REF!</definedName>
    <definedName name="buang_14">#REF!:#REF!</definedName>
    <definedName name="buang_15">#REF!:#REF!</definedName>
    <definedName name="buang_16">#REF!:#REF!</definedName>
    <definedName name="buang_17">#REF!:#REF!</definedName>
    <definedName name="buang_18">#REF!:#REF!</definedName>
    <definedName name="buang_19">#REF!:#REF!</definedName>
    <definedName name="buang_20">#REF!:#REF!</definedName>
    <definedName name="buang_22">#REF!:#REF!</definedName>
    <definedName name="buang_23">#REF!:#REF!</definedName>
    <definedName name="buang_24">#REF!:#REF!</definedName>
    <definedName name="buang_25">#REF!:#REF!</definedName>
    <definedName name="buang_5">#REF!:#REF!</definedName>
    <definedName name="buang_6">#REF!:#REF!</definedName>
    <definedName name="buang_7">#REF!:#REF!</definedName>
    <definedName name="buang_8">#REF!:#REF!</definedName>
    <definedName name="buangan">#REF!</definedName>
    <definedName name="buangkeruk">#REF!</definedName>
    <definedName name="buangtanah">"$#REF!.$I$26"</definedName>
    <definedName name="buangtnh">#REF!</definedName>
    <definedName name="BUANGTNHGAL">#REF!</definedName>
    <definedName name="Bub1m">#REF!</definedName>
    <definedName name="bubungan">#REF!</definedName>
    <definedName name="Bubungan_lokal">#REF!</definedName>
    <definedName name="Bubungan_press_pejaten">#REF!</definedName>
    <definedName name="Bubungan_seng_gelombang">#REF!</definedName>
    <definedName name="bubungasbes">#REF!</definedName>
    <definedName name="bubungbtn">#REF!</definedName>
    <definedName name="budi">#REF!</definedName>
    <definedName name="budibakti">#REF!</definedName>
    <definedName name="BUDIBAKTI1">#REF!</definedName>
    <definedName name="budidaya">#REF!</definedName>
    <definedName name="BUIS">#REF!</definedName>
    <definedName name="buis.80">#REF!</definedName>
    <definedName name="buis.tl">#REF!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20">#REF!</definedName>
    <definedName name="buis30">#REF!</definedName>
    <definedName name="buis40">#REF!</definedName>
    <definedName name="buisbeton">#REF!</definedName>
    <definedName name="buisbeton40">#REF!</definedName>
    <definedName name="bulat">#REF!</definedName>
    <definedName name="Buldozer">#REF!</definedName>
    <definedName name="bulir">#REF!</definedName>
    <definedName name="BULLDOZER">#REF!</definedName>
    <definedName name="bungasari">#REF!</definedName>
    <definedName name="Bungurjepang">#REF!</definedName>
    <definedName name="buniwangi">#REF!</definedName>
    <definedName name="Bus">#REF!</definedName>
    <definedName name="bus_50">#REF!</definedName>
    <definedName name="BV">NA()</definedName>
    <definedName name="BV.1">#REF!</definedName>
    <definedName name="BV.1aksen">#REF!</definedName>
    <definedName name="BV.2">#REF!</definedName>
    <definedName name="BV.3">#REF!</definedName>
    <definedName name="BV.4">#REF!</definedName>
    <definedName name="BV.5">#REF!</definedName>
    <definedName name="BV.6">#REF!</definedName>
    <definedName name="BV.7">#REF!</definedName>
    <definedName name="BV.aksen">#REF!</definedName>
    <definedName name="bvd0.5">#REF!</definedName>
    <definedName name="bvd1.25">#REF!</definedName>
    <definedName name="bvd1.5">#REF!</definedName>
    <definedName name="BVDB">STOP:STOPE</definedName>
    <definedName name="BVDB_10">#REF!:#REF!</definedName>
    <definedName name="BVDB_11">#REF!:#REF!</definedName>
    <definedName name="BVDB_12">#REF!:#REF!</definedName>
    <definedName name="BVDB_14">#REF!:#REF!</definedName>
    <definedName name="BVDB_15">#REF!:#REF!</definedName>
    <definedName name="BVDB_16">#REF!:#REF!</definedName>
    <definedName name="BVDB_17">#REF!:#REF!</definedName>
    <definedName name="BVDB_18">#REF!:#REF!</definedName>
    <definedName name="BVDB_19">#REF!:#REF!</definedName>
    <definedName name="BVDB_20">#REF!:#REF!</definedName>
    <definedName name="BVDB_22">#REF!:#REF!</definedName>
    <definedName name="BVDB_23">#REF!:#REF!</definedName>
    <definedName name="BVDB_24">#REF!:#REF!</definedName>
    <definedName name="BVDB_25">#REF!:#REF!</definedName>
    <definedName name="BVDB_5">#REF!:#REF!</definedName>
    <definedName name="BVDB_6">#REF!:#REF!</definedName>
    <definedName name="BVDB_7">#REF!:#REF!</definedName>
    <definedName name="BVDB_8">#REF!:#REF!</definedName>
    <definedName name="bvlam">#REF!</definedName>
    <definedName name="bvnbv">#REF!</definedName>
    <definedName name="bwic_a">#REF!</definedName>
    <definedName name="bwic_b">#REF!</definedName>
    <definedName name="bwic_c">#REF!</definedName>
    <definedName name="C.1">#REF!</definedName>
    <definedName name="C.125.50.20.2.3">#REF!</definedName>
    <definedName name="C.2">#REF!</definedName>
    <definedName name="c.23">#REF!</definedName>
    <definedName name="C.2a">#REF!</definedName>
    <definedName name="C.3">#REF!</definedName>
    <definedName name="C.6.10">#REF!</definedName>
    <definedName name="C.6.30">#REF!</definedName>
    <definedName name="C.6.34">#REF!</definedName>
    <definedName name="C.6.36">#REF!</definedName>
    <definedName name="C.6.39a">#REF!</definedName>
    <definedName name="C.6.40">#REF!</definedName>
    <definedName name="C.6.41">#REF!</definedName>
    <definedName name="C.6.42">#REF!</definedName>
    <definedName name="C.6.43">#REF!</definedName>
    <definedName name="C.6.8">#REF!</definedName>
    <definedName name="c.maxi">#REF!</definedName>
    <definedName name="c.mowi.dlm">#REF!</definedName>
    <definedName name="c.mowi.luar">#REF!</definedName>
    <definedName name="C.T">#REF!</definedName>
    <definedName name="c.vinilex.dlm">#REF!</definedName>
    <definedName name="c.vinilex.sjs">#REF!</definedName>
    <definedName name="C_">#REF!</definedName>
    <definedName name="C_1">#REF!</definedName>
    <definedName name="c_120g">#REF!</definedName>
    <definedName name="c_15">#REF!</definedName>
    <definedName name="C_2">#REF!</definedName>
    <definedName name="c_6">#REF!</definedName>
    <definedName name="c_7330">#REF!</definedName>
    <definedName name="c_aep">#REF!</definedName>
    <definedName name="c_bal">#REF!</definedName>
    <definedName name="c_pu">#REF!</definedName>
    <definedName name="c_sg">#REF!</definedName>
    <definedName name="c0r1">#REF!</definedName>
    <definedName name="ca">"'file://SERVER3/har-data/STRUCTURE PRICE OF BQ KOMPAS GRAMEDIA.xls'#$analisa.$#REF!$#REF!"</definedName>
    <definedName name="ca_r">#REF!</definedName>
    <definedName name="cab">#REF!</definedName>
    <definedName name="cab_9">#REF!</definedName>
    <definedName name="cabes">#REF!</definedName>
    <definedName name="cabes_6">#REF!</definedName>
    <definedName name="Cabinet">#N/A</definedName>
    <definedName name="cabinrak">#REF!</definedName>
    <definedName name="cabluk">#REF!</definedName>
    <definedName name="Cabutsheet">#REF!</definedName>
    <definedName name="cadas">#REF!</definedName>
    <definedName name="cakay">#REF!</definedName>
    <definedName name="CAL">#REF!</definedName>
    <definedName name="calc">#REF!</definedName>
    <definedName name="calci">#REF!</definedName>
    <definedName name="Calibration">#REF!</definedName>
    <definedName name="CAME">#REF!</definedName>
    <definedName name="can">"$#REF!.$H$24"</definedName>
    <definedName name="canal">#REF!</definedName>
    <definedName name="canal100">#REF!</definedName>
    <definedName name="canal50">#REF!</definedName>
    <definedName name="Cangk">#REF!</definedName>
    <definedName name="cap.">#REF!</definedName>
    <definedName name="CAPDAT">NA()</definedName>
    <definedName name="CARCALL">#REF!</definedName>
    <definedName name="cargotruck">#REF!</definedName>
    <definedName name="carpenter">#REF!</definedName>
    <definedName name="carpet">#REF!</definedName>
    <definedName name="carstop">"$#REF!.$I$146"</definedName>
    <definedName name="casf80">#REF!</definedName>
    <definedName name="CASSETTE">#REF!</definedName>
    <definedName name="CASTOPER">#REF!</definedName>
    <definedName name="castoper40">#REF!</definedName>
    <definedName name="castoper60">#REF!</definedName>
    <definedName name="CAT">#REF!</definedName>
    <definedName name="cat.b">#REF!</definedName>
    <definedName name="Cat.k">#REF!</definedName>
    <definedName name="cat.t">#REF!</definedName>
    <definedName name="cat.tt">#REF!</definedName>
    <definedName name="cat_d">#REF!</definedName>
    <definedName name="cat_k">#REF!</definedName>
    <definedName name="Cat_Kayu">#REF!</definedName>
    <definedName name="cat_p">#REF!</definedName>
    <definedName name="cat_pl">#REF!</definedName>
    <definedName name="cat_skirt">#REF!</definedName>
    <definedName name="CatAl">#REF!</definedName>
    <definedName name="catalkali">#REF!</definedName>
    <definedName name="catAVIAN">#REF!</definedName>
    <definedName name="catbes">#REF!</definedName>
    <definedName name="catbesi">#REF!</definedName>
    <definedName name="Catbr">#REF!</definedName>
    <definedName name="CatBs">#REF!</definedName>
    <definedName name="catdalam">#REF!</definedName>
    <definedName name="catdasar">#REF!</definedName>
    <definedName name="CatDc">#REF!</definedName>
    <definedName name="catdinding">#REF!</definedName>
    <definedName name="catdindingbaru">#REF!</definedName>
    <definedName name="catdlm">#REF!</definedName>
    <definedName name="catdnlama">#REF!</definedName>
    <definedName name="catdocu\nonjasa">#REF!</definedName>
    <definedName name="catdsr">#REF!</definedName>
    <definedName name="catduco">#REF!</definedName>
    <definedName name="CATE">#REF!</definedName>
    <definedName name="catex">#REF!</definedName>
    <definedName name="catexter">#REF!</definedName>
    <definedName name="Catexterior">#REF!</definedName>
    <definedName name="CatIc">#REF!</definedName>
    <definedName name="catICI">#REF!</definedName>
    <definedName name="caticidalam">#REF!</definedName>
    <definedName name="caticiluar">#REF!</definedName>
    <definedName name="catinter">#REF!</definedName>
    <definedName name="CatInterior">#REF!</definedName>
    <definedName name="catkay">#REF!</definedName>
    <definedName name="catkayu">#REF!</definedName>
    <definedName name="catkayubaru">#REF!</definedName>
    <definedName name="catkayumtrendah">#REF!</definedName>
    <definedName name="catkayuulang">#REF!</definedName>
    <definedName name="CatKs">#REF!</definedName>
    <definedName name="CATKY">#REF!</definedName>
    <definedName name="catkylama">#REF!</definedName>
    <definedName name="catkym">#REF!</definedName>
    <definedName name="catkymttinggi">#REF!</definedName>
    <definedName name="catkymututinggi">#REF!</definedName>
    <definedName name="catkyt">#REF!</definedName>
    <definedName name="catlangit">#REF!</definedName>
    <definedName name="catlist">#REF!</definedName>
    <definedName name="catluar">#REF!</definedName>
    <definedName name="catm">#REF!</definedName>
    <definedName name="catmarka">#REF!</definedName>
    <definedName name="catmarka10">#REF!</definedName>
    <definedName name="catmarka15">#REF!</definedName>
    <definedName name="catmarka5">#REF!</definedName>
    <definedName name="catmarkam2">#REF!</definedName>
    <definedName name="catminyak">#REF!</definedName>
    <definedName name="catplaf">#REF!</definedName>
    <definedName name="CatPlafond">#REF!</definedName>
    <definedName name="catplapond">#REF!</definedName>
    <definedName name="catSEIV">#REF!</definedName>
    <definedName name="CatSl">#REF!</definedName>
    <definedName name="catsupergloss">#REF!</definedName>
    <definedName name="CATT">#REF!</definedName>
    <definedName name="Catta">#REF!</definedName>
    <definedName name="cattex">#REF!</definedName>
    <definedName name="CatVn">#REF!</definedName>
    <definedName name="CB" hidden="1">#REF!</definedName>
    <definedName name="CB.10">#REF!</definedName>
    <definedName name="CB.15">#REF!</definedName>
    <definedName name="CB.20">#REF!</definedName>
    <definedName name="cbesi">#REF!</definedName>
    <definedName name="cbm">#REF!</definedName>
    <definedName name="cc">#REF!</definedName>
    <definedName name="CC_06">#REF!</definedName>
    <definedName name="cc_11">#REF!</definedName>
    <definedName name="cc_11_6">#REF!</definedName>
    <definedName name="cc_225">#REF!</definedName>
    <definedName name="cc_24">#REF!</definedName>
    <definedName name="cc_6">#REF!</definedName>
    <definedName name="cc_8">#REF!</definedName>
    <definedName name="cc_8_6">#REF!</definedName>
    <definedName name="cc_9">#REF!</definedName>
    <definedName name="cc_9_6">#REF!</definedName>
    <definedName name="CCCC" hidden="1">#REF!</definedName>
    <definedName name="CCCCC">STOP:STOPE</definedName>
    <definedName name="CCCCC_10">#REF!:#REF!</definedName>
    <definedName name="CCCCC_11">#REF!:#REF!</definedName>
    <definedName name="CCCCC_12">#REF!:#REF!</definedName>
    <definedName name="CCCCC_14">#REF!:#REF!</definedName>
    <definedName name="CCCCC_15">#REF!:#REF!</definedName>
    <definedName name="CCCCC_16">#REF!:#REF!</definedName>
    <definedName name="CCCCC_17">#REF!:#REF!</definedName>
    <definedName name="CCCCC_18">#REF!:#REF!</definedName>
    <definedName name="CCCCC_19">#REF!:#REF!</definedName>
    <definedName name="CCCCC_20">#REF!:#REF!</definedName>
    <definedName name="CCCCC_6">#REF!:#REF!</definedName>
    <definedName name="CCCCC_7">#REF!:#REF!</definedName>
    <definedName name="CCCCC_8">#REF!:#REF!</definedName>
    <definedName name="CCCCCC" hidden="1">#REF!</definedName>
    <definedName name="CCCCCC_10">#REF!:#REF!</definedName>
    <definedName name="CCCCCC_11">#REF!:#REF!</definedName>
    <definedName name="CCCCCC_12">#REF!:#REF!</definedName>
    <definedName name="CCCCCC_14">#REF!:#REF!</definedName>
    <definedName name="CCCCCC_15">#REF!:#REF!</definedName>
    <definedName name="CCCCCC_16">#REF!:#REF!</definedName>
    <definedName name="CCCCCC_17">#REF!:#REF!</definedName>
    <definedName name="CCCCCC_18">#REF!:#REF!</definedName>
    <definedName name="CCCCCC_19">#REF!:#REF!</definedName>
    <definedName name="CCCCCC_20">#REF!:#REF!</definedName>
    <definedName name="CCCCCC_7">#REF!:#REF!</definedName>
    <definedName name="CCCCCC_8">#REF!:#REF!</definedName>
    <definedName name="cccr">#REF!</definedName>
    <definedName name="ccdoub">#REF!</definedName>
    <definedName name="CCF">#REF!</definedName>
    <definedName name="CCS">"$#REF!.$#REF!$#REF!:$#REF!$#REF!"</definedName>
    <definedName name="CCTV">#REF!</definedName>
    <definedName name="cd">#REF!</definedName>
    <definedName name="cd_cw">#REF!</definedName>
    <definedName name="CDD">"$#REF!.$#REF!$#REF!:$#REF!$#REF!"</definedName>
    <definedName name="CDDD">NA()</definedName>
    <definedName name="cddd1p">"'file:///d:/project/energyhouse2/energyhouse2-mainkontraktor/energyhouse2-mainkontraktor-tender/energyhouse2-mainkontraktor-tender-boq/misc/congviec/tam.xls'#$'tong hop vl-nc'.$c$3"</definedName>
    <definedName name="cddd3p">"'file:///d:/project/energyhouse2/energyhouse2-mainkontraktor/energyhouse2-mainkontraktor-tender/energyhouse2-mainkontraktor-tender-boq/misc/congviec/tam.xls'#$'tong hop vl-nc'.$c$2"</definedName>
    <definedName name="CddkP">#REF!</definedName>
    <definedName name="CDL">#REF!</definedName>
    <definedName name="Cdlm">"$#REF!.$M$5"</definedName>
    <definedName name="ce">#REF!</definedName>
    <definedName name="cek">#REF!</definedName>
    <definedName name="cek_me">#REF!</definedName>
    <definedName name="Celcon">"$#REF!.$G$167"</definedName>
    <definedName name="celcon_13">#REF!</definedName>
    <definedName name="celcon_15">#REF!</definedName>
    <definedName name="Celcon75">#REF!</definedName>
    <definedName name="cendana">#REF!</definedName>
    <definedName name="cer">#REF!</definedName>
    <definedName name="cer_1">#REF!</definedName>
    <definedName name="cer_2">#REF!</definedName>
    <definedName name="Ceremai">#REF!</definedName>
    <definedName name="cermin">#REF!</definedName>
    <definedName name="Cermin5mm">#REF!</definedName>
    <definedName name="CEROCOK">#REF!</definedName>
    <definedName name="cerucuk">#REF!</definedName>
    <definedName name="CFP">#REF!</definedName>
    <definedName name="cg">"$#REF!.$H$33"</definedName>
    <definedName name="cg_5">#REF!</definedName>
    <definedName name="cg_67">#REF!</definedName>
    <definedName name="cgionc">NA()</definedName>
    <definedName name="cgiovl">NA()</definedName>
    <definedName name="CH">"$#REF!.$K$10"</definedName>
    <definedName name="CHAIN" hidden="1">#REF!</definedName>
    <definedName name="chainsaw">#REF!</definedName>
    <definedName name="channelmodul">#REF!</definedName>
    <definedName name="CHECK_UNIT">NA()</definedName>
    <definedName name="CHF">#REF!</definedName>
    <definedName name="chhtnc">NA()</definedName>
    <definedName name="chhtvl">NA()</definedName>
    <definedName name="chnc">NA()</definedName>
    <definedName name="chvl">NA()</definedName>
    <definedName name="CI">#REF!</definedName>
    <definedName name="cikaret">#REF!</definedName>
    <definedName name="CIKARET1">#REF!</definedName>
    <definedName name="cikondang">#REF!</definedName>
    <definedName name="cilangkap">#REF!</definedName>
    <definedName name="cintasari">#REF!</definedName>
    <definedName name="CIP">#REF!</definedName>
    <definedName name="cipanas">#REF!</definedName>
    <definedName name="CIPANAS2">#REF!</definedName>
    <definedName name="cipetir">#REF!</definedName>
    <definedName name="cirenda">#REF!</definedName>
    <definedName name="citidd">NA()</definedName>
    <definedName name="cj">#REF!</definedName>
    <definedName name="cj.02">#REF!</definedName>
    <definedName name="cj_9">#REF!</definedName>
    <definedName name="cj_ce">#REF!</definedName>
    <definedName name="CJkkP">#REF!</definedName>
    <definedName name="CJkkW">#REF!</definedName>
    <definedName name="CJkTr">#REF!</definedName>
    <definedName name="cjongkok">#REF!</definedName>
    <definedName name="CK">"$#REF!.$J$10"</definedName>
    <definedName name="ckayu">#REF!</definedName>
    <definedName name="CKB">#REF!</definedName>
    <definedName name="ckl">#REF!</definedName>
    <definedName name="cknc">NA()</definedName>
    <definedName name="ckvl">NA()</definedName>
    <definedName name="cl">#REF!</definedName>
    <definedName name="clam100">#REF!</definedName>
    <definedName name="clam125">#REF!</definedName>
    <definedName name="clam15">#REF!</definedName>
    <definedName name="clam20">#REF!</definedName>
    <definedName name="clam25">#REF!</definedName>
    <definedName name="clam32">#REF!</definedName>
    <definedName name="clam40">#REF!</definedName>
    <definedName name="clam50">#REF!</definedName>
    <definedName name="clam65">#REF!</definedName>
    <definedName name="clam80">#REF!</definedName>
    <definedName name="CLAMP">#REF!</definedName>
    <definedName name="CLEANING">#REF!</definedName>
    <definedName name="Clearmelamik">#REF!</definedName>
    <definedName name="CLIPSAL">#REF!</definedName>
    <definedName name="close">#REF!</definedName>
    <definedName name="closet">#REF!</definedName>
    <definedName name="Closet.c420">#REF!</definedName>
    <definedName name="Closet.ddk">#REF!</definedName>
    <definedName name="closet.jkok">#REF!</definedName>
    <definedName name="closetc48">#REF!</definedName>
    <definedName name="ClosetCE9">#REF!</definedName>
    <definedName name="closetduduk">#REF!</definedName>
    <definedName name="ClosetjongkokCE7">#REF!</definedName>
    <definedName name="clousedcw714">#REF!</definedName>
    <definedName name="CLP">#REF!</definedName>
    <definedName name="clsddk">#REF!</definedName>
    <definedName name="clsddkwr">#REF!</definedName>
    <definedName name="clstd">#REF!</definedName>
    <definedName name="clswr">#REF!</definedName>
    <definedName name="CLUBHOUSE">#REF!</definedName>
    <definedName name="clvc1">"'file:///d:/project/energyhouse2/energyhouse2-mainkontraktor/energyhouse2-mainkontraktor-tender/energyhouse2-mainkontraktor-tender-boq/misc/congviec/tam.xls'#$chitiet.$d$3"</definedName>
    <definedName name="CLVC3">0.1</definedName>
    <definedName name="CLVCTB">"$#REF!.$D$4"</definedName>
    <definedName name="cm">#REF!</definedName>
    <definedName name="CMix1">#REF!</definedName>
    <definedName name="CMix4">#REF!</definedName>
    <definedName name="CMS">#REF!</definedName>
    <definedName name="CN">#REF!</definedName>
    <definedName name="Cn100x50">"$#REF!.$D$5"</definedName>
    <definedName name="Cn150x65">"$#REF!.$D$4"</definedName>
    <definedName name="CN3p">"'file:///d:/project/energyhouse2/energyhouse2-mainkontraktor/energyhouse2-mainkontraktor-tender/energyhouse2-mainkontraktor-tender-boq/misc/congviec/tam.xls'#$'tongke3p '.$x$295"</definedName>
    <definedName name="Cn9x15">"$#REF!.$D$6"</definedName>
    <definedName name="cnp">#REF!</definedName>
    <definedName name="Cnpat">#REF!</definedName>
    <definedName name="CO">#REF!</definedName>
    <definedName name="COARSE_AGGREGATE">#REF!</definedName>
    <definedName name="COAT">#REF!</definedName>
    <definedName name="Coating">#REF!</definedName>
    <definedName name="Coatingprimer">#REF!</definedName>
    <definedName name="coba" hidden="1">#REF!</definedName>
    <definedName name="Code" hidden="1">#REF!</definedName>
    <definedName name="Coef">#REF!</definedName>
    <definedName name="Cöï_ly_vaän_chuyeãn">"$#REF!.$D$4"</definedName>
    <definedName name="CÖÏ_LY_VAÄN_CHUYEÅN">"$#REF!.$C$4"</definedName>
    <definedName name="COL_HARGA">NA()</definedName>
    <definedName name="COL_VOLUME">NA()</definedName>
    <definedName name="Combi">#REF!</definedName>
    <definedName name="combiner">#REF!</definedName>
    <definedName name="comismatv">#REF!</definedName>
    <definedName name="COMM._TRAVELING">#REF!</definedName>
    <definedName name="commonlabor">#REF!</definedName>
    <definedName name="comp">#REF!</definedName>
    <definedName name="comp_9">#REF!</definedName>
    <definedName name="CompA">#REF!</definedName>
    <definedName name="COMPANY">"$#REF!.$C$6:$IV$38"</definedName>
    <definedName name="compresor">#REF!</definedName>
    <definedName name="Compressor">#REF!</definedName>
    <definedName name="COMSUMABLE">#REF!</definedName>
    <definedName name="CON">#REF!</definedName>
    <definedName name="CONB">#REF!</definedName>
    <definedName name="Conbk">#REF!</definedName>
    <definedName name="concrete">#REF!</definedName>
    <definedName name="CONCRETEMIXER">#REF!</definedName>
    <definedName name="Concretepump">#REF!</definedName>
    <definedName name="CONCRETEVIBRO">#REF!</definedName>
    <definedName name="Concretmixer">#REF!</definedName>
    <definedName name="CONDITION">#REF!</definedName>
    <definedName name="CONDUIT">#REF!</definedName>
    <definedName name="cong1x15">NA()</definedName>
    <definedName name="contract_elec">#REF!</definedName>
    <definedName name="conveyor">"$#REF!.$#REF!$#REF!"</definedName>
    <definedName name="COOP">#REF!</definedName>
    <definedName name="COP">#REF!</definedName>
    <definedName name="Copyright" hidden="1">"© 1995 Worley Limited"</definedName>
    <definedName name="cor">#REF!</definedName>
    <definedName name="cor_b">#REF!</definedName>
    <definedName name="cor_d">#REF!</definedName>
    <definedName name="cor_k">#REF!</definedName>
    <definedName name="corbalok">#REF!</definedName>
    <definedName name="corbaloklantai">#REF!</definedName>
    <definedName name="corbeton">#REF!</definedName>
    <definedName name="cordindng">#REF!</definedName>
    <definedName name="corkolom">#REF!</definedName>
    <definedName name="corlantaikerja">#REF!</definedName>
    <definedName name="corpilecap">#REF!</definedName>
    <definedName name="Corr.stl.sheet">"$#REF!.$D$21"</definedName>
    <definedName name="costone">#REF!</definedName>
    <definedName name="Cot_thep">"'file:///d:/project/energyhouse2/energyhouse2-mainkontraktor/energyhouse2-mainkontraktor-tender/energyhouse2-mainkontraktor-tender-boq/lu_thanh_binh/d/luu_tru/ltb_ktkh/dz220kv_dau_noi_sau_tram_500kv_ha_tinh/gia_thau.xls'#$du_lieu.$c$19"</definedName>
    <definedName name="cota">#REF!</definedName>
    <definedName name="cov">HAJIME:OWARI</definedName>
    <definedName name="cover">#REF!</definedName>
    <definedName name="COVER2">#N/A</definedName>
    <definedName name="COVER3">#N/A</definedName>
    <definedName name="CoverCCTV">#REF!</definedName>
    <definedName name="CPVC100">"$#REF!.$Q$66"</definedName>
    <definedName name="CPVC1KM">"'file:///d:/project/energyhouse2/energyhouse2-mainkontraktor/energyhouse2-mainkontraktor-tender/energyhouse2-mainkontraktor-tender-boq/misc/congviec/tam.xls'#$'th vl, nc, ddht thanhphuoc'.$j$19"</definedName>
    <definedName name="CPVCDN">"'file:///d:/project/energyhouse2/energyhouse2-mainkontraktor/energyhouse2-mainkontraktor-tender/energyhouse2-mainkontraktor-tender-boq/misc/congviec/tam.xls'#$'#ref'.$k$33"</definedName>
    <definedName name="CR_ALL">#REF!</definedName>
    <definedName name="CRANE">#REF!</definedName>
    <definedName name="Crane35">#REF!</definedName>
    <definedName name="CRD">"$#REF!.$Q$5:$Q$619"</definedName>
    <definedName name="_xlnm.Criteria">#REF!</definedName>
    <definedName name="CRS">"$#REF!.$S$5:$S$619"</definedName>
    <definedName name="Crush">#REF!</definedName>
    <definedName name="CS">#REF!</definedName>
    <definedName name="cs_1">#REF!</definedName>
    <definedName name="cs_70">#REF!</definedName>
    <definedName name="cs3w">#REF!</definedName>
    <definedName name="csanlex">#REF!</definedName>
    <definedName name="csd3p">"$#REF!.$V$10"</definedName>
    <definedName name="csddg1p">"$#REF!.$AC$290"</definedName>
    <definedName name="csddt1p">"$#REF!.$AB$290"</definedName>
    <definedName name="csf">#REF!</definedName>
    <definedName name="csht3p">"$#REF!.$U$10"</definedName>
    <definedName name="csl_38">#REF!</definedName>
    <definedName name="csp">#REF!</definedName>
    <definedName name="CSSSSSS">#REF!</definedName>
    <definedName name="cstw">#REF!</definedName>
    <definedName name="CT">#REF!</definedName>
    <definedName name="ctembok">#REF!</definedName>
    <definedName name="cti3x15">NA()</definedName>
    <definedName name="CUL">#REF!</definedName>
    <definedName name="culy1">NA()</definedName>
    <definedName name="culy2">NA()</definedName>
    <definedName name="culy3">NA()</definedName>
    <definedName name="culy4">NA()</definedName>
    <definedName name="culy5">NA()</definedName>
    <definedName name="cuoc">NA()</definedName>
    <definedName name="cur_c">#REF!</definedName>
    <definedName name="Currency">#REF!</definedName>
    <definedName name="curve1" hidden="1">{"'Sheet1'!$A$1"}</definedName>
    <definedName name="cut">"'file://SERVER3/har-data/STRUCTURE PRICE OF BQ KOMPAS GRAMEDIA.xls'#$analisa.$#REF!$#REF!"</definedName>
    <definedName name="Cutter">#REF!</definedName>
    <definedName name="cv">#REF!</definedName>
    <definedName name="cv_9">#REF!</definedName>
    <definedName name="Cv_a">#REF!</definedName>
    <definedName name="cvd15___0">"$#REF!.$N$273"</definedName>
    <definedName name="cvd150___0">"$#REF!.$N$271"</definedName>
    <definedName name="cvd50___0">"$#REF!.$N$294"</definedName>
    <definedName name="cvd65___0">"$#REF!.$N$272"</definedName>
    <definedName name="CVibr">#REF!</definedName>
    <definedName name="cwf">#REF!</definedName>
    <definedName name="cwspt">#REF!</definedName>
    <definedName name="cx">#REF!</definedName>
    <definedName name="cxhtnc">NA()</definedName>
    <definedName name="cxhtvl">NA()</definedName>
    <definedName name="cxnc">NA()</definedName>
    <definedName name="cxvl">NA()</definedName>
    <definedName name="cxxnc">NA()</definedName>
    <definedName name="cxxvl">NA()</definedName>
    <definedName name="cycllop">#REF!</definedName>
    <definedName name="D">#REF!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0a">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.">#REF!,#REF!</definedName>
    <definedName name="D.120.">#REF!,#REF!</definedName>
    <definedName name="D.121.">#REF!,#REF!</definedName>
    <definedName name="D.13.">#REF!,#REF!</definedName>
    <definedName name="D.14.">#REF!,#REF!</definedName>
    <definedName name="D.15.">#REF!,#REF!</definedName>
    <definedName name="D.16">#REF!,#REF!</definedName>
    <definedName name="D.17.">#REF!,#REF!</definedName>
    <definedName name="D.18.">#REF!,#REF!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3.">#REF!,#REF!</definedName>
    <definedName name="D.24.">#REF!,#REF!</definedName>
    <definedName name="D.25.">#REF!,#REF!</definedName>
    <definedName name="D.26.">#REF!,#REF!</definedName>
    <definedName name="D.29.">#REF!,#REF!</definedName>
    <definedName name="D.3">#REF!</definedName>
    <definedName name="D.4">#REF!</definedName>
    <definedName name="D.5">#REF!</definedName>
    <definedName name="D.5.">#REF!,#REF!,#REF!</definedName>
    <definedName name="D.6">#REF!</definedName>
    <definedName name="D.6.">#REF!,#REF!</definedName>
    <definedName name="D.6.10">#REF!</definedName>
    <definedName name="D.6.12">#REF!</definedName>
    <definedName name="D.6.3">#REF!</definedName>
    <definedName name="D.6.35">#REF!</definedName>
    <definedName name="D.6.5">#REF!</definedName>
    <definedName name="D.7">#REF!</definedName>
    <definedName name="D.7.">#REF!,#REF!</definedName>
    <definedName name="D.7a">#REF!</definedName>
    <definedName name="D.8">#REF!</definedName>
    <definedName name="D.8.">#REF!,#REF!</definedName>
    <definedName name="D.9">#REF!</definedName>
    <definedName name="D.9.">#REF!,#REF!</definedName>
    <definedName name="D.PNL.JT.10001">#REF!</definedName>
    <definedName name="D_1">#REF!</definedName>
    <definedName name="D_120">"$#REF!.$H$40"</definedName>
    <definedName name="D_13">#REF!</definedName>
    <definedName name="D_14">#REF!</definedName>
    <definedName name="d_2">#REF!</definedName>
    <definedName name="D_22">#REF!</definedName>
    <definedName name="D_80">"$#REF!.$H$39"</definedName>
    <definedName name="d_gw">#REF!</definedName>
    <definedName name="D_R">#REF!</definedName>
    <definedName name="D_Y">#REF!</definedName>
    <definedName name="d1.5x.145">"$#REF!.$D$7"</definedName>
    <definedName name="D1x49">NA()</definedName>
    <definedName name="D1x49x49">NA()</definedName>
    <definedName name="D20.">#REF!,#REF!</definedName>
    <definedName name="d24nc">NA()</definedName>
    <definedName name="d24vl">NA()</definedName>
    <definedName name="d2x.218">"$#REF!.$D$8"</definedName>
    <definedName name="daa">#REF!</definedName>
    <definedName name="Dadapmerah">#REF!</definedName>
    <definedName name="DAERAH">#REF!</definedName>
    <definedName name="Daf.4">#REF!</definedName>
    <definedName name="DAF_10">#REF!</definedName>
    <definedName name="DAF_12">#REF!</definedName>
    <definedName name="DAF_4">#REF!</definedName>
    <definedName name="DAF_6">#REF!</definedName>
    <definedName name="Daf_mat">#REF!</definedName>
    <definedName name="Daf_mat_23">#REF!</definedName>
    <definedName name="Daf_mat_25">#REF!</definedName>
    <definedName name="Daf_mt">#REF!</definedName>
    <definedName name="Daf_mt_23">#REF!</definedName>
    <definedName name="Daf_mt_25">#REF!</definedName>
    <definedName name="daftar1">#REF!</definedName>
    <definedName name="DAFTARPERSONIL">#REF!</definedName>
    <definedName name="DAFTARREMUNERASI">#REF!</definedName>
    <definedName name="DAFTARSEWA">#REF!</definedName>
    <definedName name="daikin">#REF!</definedName>
    <definedName name="dak">#REF!</definedName>
    <definedName name="dana">#REF!</definedName>
    <definedName name="danan">HAJIME:OWARI</definedName>
    <definedName name="dapat">#REF!</definedName>
    <definedName name="DARULARKOM">#REF!</definedName>
    <definedName name="data">#REF!</definedName>
    <definedName name="data_10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DatabaseBarang">#REF!</definedName>
    <definedName name="DataPivot">#REF!</definedName>
    <definedName name="DataSisa">#REF!</definedName>
    <definedName name="DATAUPAH">#REF!</definedName>
    <definedName name="datay">#REF!</definedName>
    <definedName name="Date">#REF!</definedName>
    <definedName name="date1">#REF!</definedName>
    <definedName name="daunpintuhollow30\nonjasa">#REF!</definedName>
    <definedName name="daunpintusiku30\nonjasa">#REF!</definedName>
    <definedName name="daunpintuukir\nonjasa">#REF!</definedName>
    <definedName name="DAX">#REF!</definedName>
    <definedName name="daywork">#REF!</definedName>
    <definedName name="DAYWORKS">#REF!</definedName>
    <definedName name="db">#REF!</definedName>
    <definedName name="dbdssfn">STOP:STOPE</definedName>
    <definedName name="dbdssfn_10">#REF!:#REF!</definedName>
    <definedName name="dbdssfn_11">#REF!:#REF!</definedName>
    <definedName name="dbdssfn_12">#REF!:#REF!</definedName>
    <definedName name="dbdssfn_14">#REF!:#REF!</definedName>
    <definedName name="dbdssfn_15">#REF!:#REF!</definedName>
    <definedName name="dbdssfn_16">#REF!:#REF!</definedName>
    <definedName name="dbdssfn_17">#REF!:#REF!</definedName>
    <definedName name="dbdssfn_18">#REF!:#REF!</definedName>
    <definedName name="dbdssfn_19">#REF!:#REF!</definedName>
    <definedName name="dbdssfn_20">#REF!:#REF!</definedName>
    <definedName name="dbdssfn_22">#REF!:#REF!</definedName>
    <definedName name="dbdssfn_23">#REF!:#REF!</definedName>
    <definedName name="dbdssfn_24">#REF!:#REF!</definedName>
    <definedName name="dbdssfn_25">#REF!:#REF!</definedName>
    <definedName name="dbdssfn_5">#REF!:#REF!</definedName>
    <definedName name="dbdssfn_6">#REF!:#REF!</definedName>
    <definedName name="dbdssfn_7">#REF!:#REF!</definedName>
    <definedName name="dbdssfn_8">#REF!:#REF!</definedName>
    <definedName name="DBX">#REF!</definedName>
    <definedName name="dc">#REF!</definedName>
    <definedName name="dc_10">#REF!</definedName>
    <definedName name="dc_9">#REF!</definedName>
    <definedName name="dcd">#REF!</definedName>
    <definedName name="DClo1">#REF!</definedName>
    <definedName name="DClo2">#REF!</definedName>
    <definedName name="DCUBJLS">#REF!</definedName>
    <definedName name="DCX">#REF!</definedName>
    <definedName name="dd">#REF!</definedName>
    <definedName name="dd1pnc">"'file:///d:/project/energyhouse2/energyhouse2-mainkontraktor/energyhouse2-mainkontraktor-tender/energyhouse2-mainkontraktor-tender-boq/misc/congviec/tam.xls'#$chitiet.$g$404"</definedName>
    <definedName name="dd1pvl">"'file:///d:/project/energyhouse2/energyhouse2-mainkontraktor/energyhouse2-mainkontraktor-tender/energyhouse2-mainkontraktor-tender-boq/misc/congviec/tam.xls'#$chitiet.$g$383"</definedName>
    <definedName name="dd1x2">"'file:///d:/project/energyhouse2/energyhouse2-mainkontraktor/energyhouse2-mainkontraktor-tender/energyhouse2-mainkontraktor-tender-boq/misc/do-huong/gt-bo/tktc10-8/phong%20nen/dt-thl7.xls'#$gvl.$n$9"</definedName>
    <definedName name="dd3pctnc">NA()</definedName>
    <definedName name="dd3pctvl">NA()</definedName>
    <definedName name="dd3plmvl">NA()</definedName>
    <definedName name="dd3pnc">NA()</definedName>
    <definedName name="dd3pvl">NA()</definedName>
    <definedName name="DDD">#REF!</definedName>
    <definedName name="dddddddddd">#REF!</definedName>
    <definedName name="ddddddddddddddddddddd">#REF!</definedName>
    <definedName name="ddg">#REF!</definedName>
    <definedName name="ddhtnc">NA()</definedName>
    <definedName name="ddhtvl">NA()</definedName>
    <definedName name="ddk">#REF!</definedName>
    <definedName name="ddluar">#REF!</definedName>
    <definedName name="ddt2nc">NA()</definedName>
    <definedName name="ddt2vl">NA()</definedName>
    <definedName name="ddtd3pnc">NA()</definedName>
    <definedName name="ddtt1pnc">NA()</definedName>
    <definedName name="ddtt1pvl">NA()</definedName>
    <definedName name="ddtt3pnc">NA()</definedName>
    <definedName name="ddtt3pvl">NA()</definedName>
    <definedName name="DDX">#REF!</definedName>
    <definedName name="De.uro">#REF!</definedName>
    <definedName name="deb">#REF!</definedName>
    <definedName name="Deckslab316">#REF!</definedName>
    <definedName name="Deckslab400">#REF!</definedName>
    <definedName name="dede">#REF!</definedName>
    <definedName name="def">#REF!</definedName>
    <definedName name="DEFFGB">#REF!</definedName>
    <definedName name="DEFFGB_10">#REF!:#REF!</definedName>
    <definedName name="DEFFGB_11">#REF!:#REF!</definedName>
    <definedName name="DEFFGB_12">#REF!:#REF!</definedName>
    <definedName name="DEFFGB_14">#REF!:#REF!</definedName>
    <definedName name="DEFFGB_15">#REF!:#REF!</definedName>
    <definedName name="DEFFGB_16">#REF!:#REF!</definedName>
    <definedName name="DEFFGB_17">#REF!:#REF!</definedName>
    <definedName name="DEFFGB_18">#REF!:#REF!</definedName>
    <definedName name="DEFFGB_19">#REF!:#REF!</definedName>
    <definedName name="DEFFGB_20">#REF!:#REF!</definedName>
    <definedName name="DEFFGB_22">#REF!:#REF!</definedName>
    <definedName name="DEFFGB_23">#REF!:#REF!</definedName>
    <definedName name="DEFFGB_24">#REF!:#REF!</definedName>
    <definedName name="DEFFGB_25">#REF!:#REF!</definedName>
    <definedName name="DEFFGB_5">#REF!:#REF!</definedName>
    <definedName name="DEFFGB_6">#REF!:#REF!</definedName>
    <definedName name="DEFFGB_7">#REF!:#REF!</definedName>
    <definedName name="DEFFGB_8">#REF!:#REF!</definedName>
    <definedName name="deg" hidden="1">{"'Sheet1'!$A$1"}</definedName>
    <definedName name="dek">#REF!</definedName>
    <definedName name="demkayu">#REF!</definedName>
    <definedName name="DEMPUL">#REF!</definedName>
    <definedName name="Dempulduco">#REF!</definedName>
    <definedName name="Dempulkayumtmenengah">#REF!</definedName>
    <definedName name="DENI">#REF!</definedName>
    <definedName name="deniac">#REF!</definedName>
    <definedName name="depan">STOP:STOPE</definedName>
    <definedName name="DER" hidden="1">{"'Sheet1'!$A$1"}</definedName>
    <definedName name="deryt" hidden="1">{"'Sheet1'!$A$1"}</definedName>
    <definedName name="DES">#REF!</definedName>
    <definedName name="DESRP">#REF!</definedName>
    <definedName name="DESU">#REF!</definedName>
    <definedName name="DESUP">#REF!</definedName>
    <definedName name="DESUS">#REF!</definedName>
    <definedName name="DETASIR">#REF!</definedName>
    <definedName name="DetasirNew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ETNEWDARMIL">#REF!</definedName>
    <definedName name="DETNEWDARSIPIL">#REF!</definedName>
    <definedName name="DETNEWNORMAL">#REF!</definedName>
    <definedName name="dev">#REF!</definedName>
    <definedName name="dewa">#REF!</definedName>
    <definedName name="dewi2">#REF!</definedName>
    <definedName name="dewi6">#REF!</definedName>
    <definedName name="df">#REF!</definedName>
    <definedName name="DFBCBZ_10">#REF!:#REF!</definedName>
    <definedName name="DFBCBZ_11">#REF!:#REF!</definedName>
    <definedName name="DFBCBZ_12">#REF!:#REF!</definedName>
    <definedName name="DFBCBZ_14">#REF!:#REF!</definedName>
    <definedName name="DFBCBZ_15">#REF!:#REF!</definedName>
    <definedName name="DFBCBZ_16">#REF!:#REF!</definedName>
    <definedName name="DFBCBZ_17">#REF!:#REF!</definedName>
    <definedName name="DFBCBZ_18">#REF!:#REF!</definedName>
    <definedName name="DFBCBZ_19">#REF!:#REF!</definedName>
    <definedName name="DFBCBZ_20">#REF!:#REF!</definedName>
    <definedName name="DFBCBZ_22">#REF!:#REF!</definedName>
    <definedName name="DFBCBZ_23">#REF!:#REF!</definedName>
    <definedName name="DFBCBZ_24">#REF!:#REF!</definedName>
    <definedName name="DFBCBZ_25">#REF!:#REF!</definedName>
    <definedName name="DFBCBZ_5">#REF!:#REF!</definedName>
    <definedName name="DFBCBZ_6">#REF!:#REF!</definedName>
    <definedName name="DFBCBZ_7">#REF!:#REF!</definedName>
    <definedName name="DFBCBZ_8">#REF!:#REF!</definedName>
    <definedName name="DFDF">#REF!</definedName>
    <definedName name="DFDF_1">#REF!</definedName>
    <definedName name="DFDF_23">#REF!</definedName>
    <definedName name="DFDF_25">#REF!</definedName>
    <definedName name="dff" hidden="1">{"'Sheet1'!$A$1"}</definedName>
    <definedName name="dffd">#REF!</definedName>
    <definedName name="dfff" hidden="1">{"'Sheet1'!$A$1"}</definedName>
    <definedName name="dffhh" hidden="1">{"'Sheet1'!$A$1"}</definedName>
    <definedName name="dfg">#REF!</definedName>
    <definedName name="dfghh" hidden="1">{"'Sheet1'!$A$1"}</definedName>
    <definedName name="dfgrg" hidden="1">{"'Sheet1'!$A$1"}</definedName>
    <definedName name="dfhh" hidden="1">{"'Sheet1'!$A$1"}</definedName>
    <definedName name="dfyhj" hidden="1">{"'Sheet1'!$A$1"}</definedName>
    <definedName name="Dg">#REF!</definedName>
    <definedName name="dge4g" hidden="1">{"'Sheet1'!$A$1"}</definedName>
    <definedName name="dgk">#REF!</definedName>
    <definedName name="DGM">#REF!</definedName>
    <definedName name="dgnc">"$#REF!.$A$255:$G$420"</definedName>
    <definedName name="DGTH">NA()</definedName>
    <definedName name="DGTH1">#REF!</definedName>
    <definedName name="dgth2">#REF!</definedName>
    <definedName name="DGTR">#REF!</definedName>
    <definedName name="dgvl">"$#REF!.$A$5:$H$248"</definedName>
    <definedName name="DGVL1">#REF!</definedName>
    <definedName name="DGVT">#REF!</definedName>
    <definedName name="dhdh" hidden="1">{"'Sheet1'!$A$1"}</definedName>
    <definedName name="dhj" hidden="1">{"'Sheet1'!$A$1"}</definedName>
    <definedName name="dhjrt" hidden="1">{"'Sheet1'!$A$1"}</definedName>
    <definedName name="dhreje">#REF!</definedName>
    <definedName name="dhreje_10">#REF!:#REF!</definedName>
    <definedName name="dhreje_11">#REF!:#REF!</definedName>
    <definedName name="dhreje_12">#REF!:#REF!</definedName>
    <definedName name="dhreje_14">#REF!:#REF!</definedName>
    <definedName name="dhreje_15">#REF!:#REF!</definedName>
    <definedName name="dhreje_16">#REF!:#REF!</definedName>
    <definedName name="dhreje_17">#REF!:#REF!</definedName>
    <definedName name="dhreje_18">#REF!:#REF!</definedName>
    <definedName name="dhreje_19">#REF!:#REF!</definedName>
    <definedName name="dhreje_20">#REF!:#REF!</definedName>
    <definedName name="dhreje_22">#REF!:#REF!</definedName>
    <definedName name="dhreje_23">#REF!:#REF!</definedName>
    <definedName name="dhreje_24">#REF!:#REF!</definedName>
    <definedName name="dhreje_25">#REF!:#REF!</definedName>
    <definedName name="dhreje_5">#REF!:#REF!</definedName>
    <definedName name="dhreje_6">#REF!:#REF!</definedName>
    <definedName name="dhreje_7">#REF!:#REF!</definedName>
    <definedName name="dhreje_8">#REF!:#REF!</definedName>
    <definedName name="DHVF">#REF!</definedName>
    <definedName name="DI">HAJIME:OWARI</definedName>
    <definedName name="Diabor">#REF!</definedName>
    <definedName name="Diapragma316">#REF!</definedName>
    <definedName name="Diapragma400">#REF!</definedName>
    <definedName name="diapragma405">#REF!</definedName>
    <definedName name="dibet30">#REF!</definedName>
    <definedName name="DIDIK">#REF!</definedName>
    <definedName name="diffuser">#REF!</definedName>
    <definedName name="dika">#REF!</definedName>
    <definedName name="dika1">#REF!</definedName>
    <definedName name="diletasi">#REF!</definedName>
    <definedName name="dind30b220">#REF!</definedName>
    <definedName name="dindgrc">#REF!</definedName>
    <definedName name="dinding1">#REF!</definedName>
    <definedName name="dindingbeton200">#REF!</definedName>
    <definedName name="dindingbeton250">#REF!</definedName>
    <definedName name="dindingbeton300">#REF!</definedName>
    <definedName name="dindinggrc">#REF!</definedName>
    <definedName name="dindingkayu">#REF!</definedName>
    <definedName name="dindingpemisah">#REF!</definedName>
    <definedName name="dindingulang">#REF!</definedName>
    <definedName name="dinker20">#REF!</definedName>
    <definedName name="dir">#REF!</definedName>
    <definedName name="direksi">#REF!</definedName>
    <definedName name="direksikit">#REF!</definedName>
    <definedName name="dirgud">#REF!</definedName>
    <definedName name="dirkit">#REF!</definedName>
    <definedName name="disc">#REF!</definedName>
    <definedName name="DISC.">#REF!</definedName>
    <definedName name="disc1">#REF!</definedName>
    <definedName name="discker">#REF!</definedName>
    <definedName name="discmbb">#REF!</definedName>
    <definedName name="Discount" hidden="1">#REF!</definedName>
    <definedName name="Discpin">#REF!</definedName>
    <definedName name="DISDIFF">#REF!</definedName>
    <definedName name="Disenza">#REF!</definedName>
    <definedName name="DISFLEX">#REF!</definedName>
    <definedName name="Disgran">#REF!</definedName>
    <definedName name="display">#REF!</definedName>
    <definedName name="display_area_2" hidden="1">#REF!</definedName>
    <definedName name="disPM">#REF!</definedName>
    <definedName name="disPM_6">#REF!</definedName>
    <definedName name="disrogres">#N/A</definedName>
    <definedName name="Disrom">#REF!</definedName>
    <definedName name="disromes">"$#REF!.$K$4821"</definedName>
    <definedName name="disromgres">#N/A</definedName>
    <definedName name="DIV10ASB">#REF!</definedName>
    <definedName name="DIV1ASB">#REF!</definedName>
    <definedName name="DIV2ASB">#REF!</definedName>
    <definedName name="DIV3ASB">#REF!</definedName>
    <definedName name="DIV4ASB">#REF!</definedName>
    <definedName name="DIV5ASB">#REF!</definedName>
    <definedName name="DIV6ASB">#REF!</definedName>
    <definedName name="DIV7ASB">#REF!</definedName>
    <definedName name="DIV8ASB">#REF!</definedName>
    <definedName name="DIV9ASB">#REF!</definedName>
    <definedName name="divisi">#REF!</definedName>
    <definedName name="Divisi8">#REF!</definedName>
    <definedName name="DjAnT">#REF!</definedName>
    <definedName name="DjAwT">#REF!</definedName>
    <definedName name="dka">#REF!</definedName>
    <definedName name="dker20">#REF!</definedName>
    <definedName name="dkk">#REF!</definedName>
    <definedName name="Dl">#REF!</definedName>
    <definedName name="DL15HT">NA()</definedName>
    <definedName name="DL16HT">NA()</definedName>
    <definedName name="DL19HT">NA()</definedName>
    <definedName name="dl20dl">#REF!</definedName>
    <definedName name="DL20HT">NA()</definedName>
    <definedName name="dldl1100">#REF!</definedName>
    <definedName name="dldl160">#REF!</definedName>
    <definedName name="dldl180">#REF!</definedName>
    <definedName name="dldlg100">#REF!</definedName>
    <definedName name="dletasijeene">#REF!</definedName>
    <definedName name="dlh20c">#REF!</definedName>
    <definedName name="dlh20nb">#REF!</definedName>
    <definedName name="dlh50nb">#REF!</definedName>
    <definedName name="DLL">#REF!</definedName>
    <definedName name="dllg100">#REF!</definedName>
    <definedName name="dllg100a">#REF!</definedName>
    <definedName name="dllg120">#REF!</definedName>
    <definedName name="dllg50">#REF!</definedName>
    <definedName name="dllg60">#REF!</definedName>
    <definedName name="dllg80">#REF!</definedName>
    <definedName name="dlpar150">#REF!</definedName>
    <definedName name="dlpar38120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bimc">#REF!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_c">#REF!</definedName>
    <definedName name="dmp_e">#REF!</definedName>
    <definedName name="dmp_i">#REF!</definedName>
    <definedName name="Dmpdc">#REF!</definedName>
    <definedName name="DmpKc">#REF!</definedName>
    <definedName name="Dmpln">#REF!</definedName>
    <definedName name="DmpPk">#REF!</definedName>
    <definedName name="Dmppr">#REF!</definedName>
    <definedName name="dms">#REF!</definedName>
    <definedName name="Dn.Jnl.10001">#REF!</definedName>
    <definedName name="Dobel_Pintu_Teakwood">"$#REF!.$F$52"</definedName>
    <definedName name="DODOL">#REF!</definedName>
    <definedName name="Dolar">#REF!</definedName>
    <definedName name="dolar04">#REF!</definedName>
    <definedName name="dolken">#REF!</definedName>
    <definedName name="dolkin4">#REF!</definedName>
    <definedName name="DOLLAR">NA()</definedName>
    <definedName name="DOLLAR_TAM">NA()</definedName>
    <definedName name="Dollars">#REF!</definedName>
    <definedName name="DOLSing">#REF!</definedName>
    <definedName name="DOMBA">#REF!</definedName>
    <definedName name="dongia">#REF!</definedName>
    <definedName name="dongia1">#REF!</definedName>
    <definedName name="Doorclosergriff983">#REF!</definedName>
    <definedName name="doorcluser\nonjasa">#REF!</definedName>
    <definedName name="doorstop\nonjasa">#REF!</definedName>
    <definedName name="DoorstopDKS887PB\SN">#REF!</definedName>
    <definedName name="dorma">#REF!</definedName>
    <definedName name="Doubleclindergrif">#REF!</definedName>
    <definedName name="doublecylinder\nonjasa">#REF!</definedName>
    <definedName name="DoublerobehookTS118WS">#REF!</definedName>
    <definedName name="dozer">#REF!</definedName>
    <definedName name="dozer_9">#REF!</definedName>
    <definedName name="Dozzer">#REF!</definedName>
    <definedName name="Dozzr">#REF!</definedName>
    <definedName name="dP">#REF!</definedName>
    <definedName name="dpa">#REF!</definedName>
    <definedName name="DpaNt">#REF!</definedName>
    <definedName name="DpaWr">#REF!</definedName>
    <definedName name="dpk">#REF!</definedName>
    <definedName name="DR">#REF!</definedName>
    <definedName name="dragon">#REF!</definedName>
    <definedName name="DrakL">#REF!</definedName>
    <definedName name="drh" hidden="1">{#N/A,#N/A,FALSE,"REK-S-TPL";#N/A,#N/A,FALSE,"REK-TPML";#N/A,#N/A,FALSE,"RAB-TEMPEL"}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ive">#REF!</definedName>
    <definedName name="drkeet">#REF!</definedName>
    <definedName name="drop">#REF!</definedName>
    <definedName name="DS">#REF!</definedName>
    <definedName name="DS_No">#REF!</definedName>
    <definedName name="ds1pnc">"$#REF!.$G$294"</definedName>
    <definedName name="ds1pvl">"$#REF!.$G$269"</definedName>
    <definedName name="ds3pnc">"$#REF!.$#REF!$#REF!"</definedName>
    <definedName name="ds3pvl">"$#REF!.$#REF!$#REF!"</definedName>
    <definedName name="dsaf">#REF!</definedName>
    <definedName name="DSC">#REF!</definedName>
    <definedName name="dsct3pnc">NA()</definedName>
    <definedName name="dsct3pvl">NA()</definedName>
    <definedName name="DSF">#REF!</definedName>
    <definedName name="dsfsg">#REF!</definedName>
    <definedName name="dsidlug62">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T">#REF!</definedName>
    <definedName name="dt.35">#REF!</definedName>
    <definedName name="dt.35_9">#REF!</definedName>
    <definedName name="Dt.5">#REF!</definedName>
    <definedName name="Dt.5_9">#REF!</definedName>
    <definedName name="dt6ton">#REF!</definedName>
    <definedName name="DTengkel">#REF!</definedName>
    <definedName name="dthhh" hidden="1">{"'Sheet1'!$A$1"}</definedName>
    <definedName name="dthrtj" hidden="1">{"'Sheet1'!$A$1"}</definedName>
    <definedName name="dtr">#REF!</definedName>
    <definedName name="DTSW">#REF!</definedName>
    <definedName name="DTtronton">#REF!</definedName>
    <definedName name="duco">#REF!</definedName>
    <definedName name="duct_isolasi">#REF!</definedName>
    <definedName name="duct_soundliner">#REF!</definedName>
    <definedName name="duct_tanpa">#REF!</definedName>
    <definedName name="duiker">#REF!</definedName>
    <definedName name="duiker40">#REF!</definedName>
    <definedName name="duikerU40">#REF!</definedName>
    <definedName name="duikerU60">#REF!</definedName>
    <definedName name="duk">#REF!</definedName>
    <definedName name="dump">#REF!</definedName>
    <definedName name="Dump_Truck">#REF!</definedName>
    <definedName name="DUMPTRUCK1">#REF!</definedName>
    <definedName name="DUMPTRUCK2">#REF!</definedName>
    <definedName name="duong1">NA()</definedName>
    <definedName name="duong2">NA()</definedName>
    <definedName name="duong3">NA()</definedName>
    <definedName name="duong4">NA()</definedName>
    <definedName name="duong5">NA()</definedName>
    <definedName name="dvve" hidden="1">{"'Sheet1'!$A$1"}</definedName>
    <definedName name="dw">#REF!</definedName>
    <definedName name="dzb">"$#REF!.$#REF!$#REF!"</definedName>
    <definedName name="E">"$#REF!.$#REF!$#REF!"</definedName>
    <definedName name="E.001">#REF!</definedName>
    <definedName name="E.010">#REF!</definedName>
    <definedName name="E.020">#REF!</definedName>
    <definedName name="E.032">#REF!</definedName>
    <definedName name="E.051">#REF!</definedName>
    <definedName name="E.052">#REF!</definedName>
    <definedName name="E.062">#REF!</definedName>
    <definedName name="E.080">#REF!</definedName>
    <definedName name="e.081">#REF!</definedName>
    <definedName name="E.082">#REF!</definedName>
    <definedName name="E.083">#REF!</definedName>
    <definedName name="E.084">#REF!</definedName>
    <definedName name="E.086">#REF!</definedName>
    <definedName name="E.087">#REF!</definedName>
    <definedName name="E.088">#REF!</definedName>
    <definedName name="E.089">#REF!</definedName>
    <definedName name="e.091">#REF!</definedName>
    <definedName name="e.092">#REF!</definedName>
    <definedName name="E.150">#REF!</definedName>
    <definedName name="E.153">#REF!</definedName>
    <definedName name="e.154">#REF!</definedName>
    <definedName name="E.157">#REF!</definedName>
    <definedName name="E.172">#REF!</definedName>
    <definedName name="E.182">#REF!</definedName>
    <definedName name="e.211">#REF!</definedName>
    <definedName name="E.212">#REF!</definedName>
    <definedName name="E.221">#REF!</definedName>
    <definedName name="E.243">#REF!</definedName>
    <definedName name="E.252">#REF!</definedName>
    <definedName name="e.253">#REF!</definedName>
    <definedName name="E.301">#REF!</definedName>
    <definedName name="E.341">#REF!</definedName>
    <definedName name="e.401">#REF!</definedName>
    <definedName name="E.6.10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31">#REF!</definedName>
    <definedName name="E.6.32">#REF!</definedName>
    <definedName name="E.6.33">#REF!</definedName>
    <definedName name="E.6.35">#REF!</definedName>
    <definedName name="E.6.9">#REF!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_1">#REF!</definedName>
    <definedName name="e35u" hidden="1">{#N/A,#N/A,FALSE,"REK-S-TPL";#N/A,#N/A,FALSE,"REK-TPML";#N/A,#N/A,FALSE,"RAB-TEMPEL"}</definedName>
    <definedName name="EA">#REF!</definedName>
    <definedName name="EA_23">#REF!</definedName>
    <definedName name="EA_25">#REF!</definedName>
    <definedName name="EA1.1">#REF!</definedName>
    <definedName name="EA1.1_23">#REF!</definedName>
    <definedName name="EA1.1_25">#REF!</definedName>
    <definedName name="EA1.2">#REF!</definedName>
    <definedName name="EA1.2_23">#REF!</definedName>
    <definedName name="EA1.2_25">#REF!</definedName>
    <definedName name="EA1.3">#REF!</definedName>
    <definedName name="EA1.3_23">#REF!</definedName>
    <definedName name="EA1.3_25">#REF!</definedName>
    <definedName name="EA2.1">#REF!</definedName>
    <definedName name="EA2.1_23">#REF!</definedName>
    <definedName name="EA2.1_25">#REF!</definedName>
    <definedName name="EA2.2">#REF!</definedName>
    <definedName name="EA2.2_23">#REF!</definedName>
    <definedName name="EA2.2_25">#REF!</definedName>
    <definedName name="EA2.3">#REF!</definedName>
    <definedName name="EA2.3_23">#REF!</definedName>
    <definedName name="EA2.3_25">#REF!</definedName>
    <definedName name="EA2.5">#REF!</definedName>
    <definedName name="EA2.5_23">#REF!</definedName>
    <definedName name="EA2.5_25">#REF!</definedName>
    <definedName name="EA2.6">#REF!</definedName>
    <definedName name="EA2.6_23">#REF!</definedName>
    <definedName name="EA2.6_25">#REF!</definedName>
    <definedName name="EA2.7">#REF!</definedName>
    <definedName name="EA2.7_23">#REF!</definedName>
    <definedName name="EA2.7_25">#REF!</definedName>
    <definedName name="EA2.8">#REF!</definedName>
    <definedName name="EA2.8_23">#REF!</definedName>
    <definedName name="EA2.8_25">#REF!</definedName>
    <definedName name="EA21.1">#REF!</definedName>
    <definedName name="EA21.1_23">#REF!</definedName>
    <definedName name="EA21.1_25">#REF!</definedName>
    <definedName name="EA21.2">#REF!</definedName>
    <definedName name="EA21.2_23">#REF!</definedName>
    <definedName name="EA21.2_25">#REF!</definedName>
    <definedName name="EA21.3">#REF!</definedName>
    <definedName name="EA21.3_23">#REF!</definedName>
    <definedName name="EA21.3_25">#REF!</definedName>
    <definedName name="EA21.4">#REF!</definedName>
    <definedName name="EA21.4_23">#REF!</definedName>
    <definedName name="EA21.4_25">#REF!</definedName>
    <definedName name="EA21.5">#REF!</definedName>
    <definedName name="EA21.5_23">#REF!</definedName>
    <definedName name="EA21.5_25">#REF!</definedName>
    <definedName name="EA3.1">#REF!</definedName>
    <definedName name="EA3.1_23">#REF!</definedName>
    <definedName name="EA3.1_25">#REF!</definedName>
    <definedName name="EA3.2">#REF!</definedName>
    <definedName name="EA3.2_23">#REF!</definedName>
    <definedName name="EA3.2_25">#REF!</definedName>
    <definedName name="EA3.3">#REF!</definedName>
    <definedName name="EA3.3_23">#REF!</definedName>
    <definedName name="EA3.3_25">#REF!</definedName>
    <definedName name="EA3.4">#REF!</definedName>
    <definedName name="EA3.4_23">#REF!</definedName>
    <definedName name="EA3.4_25">#REF!</definedName>
    <definedName name="eb">#REF!</definedName>
    <definedName name="EB_23">#REF!</definedName>
    <definedName name="EB_25">#REF!</definedName>
    <definedName name="EB1.1">#REF!</definedName>
    <definedName name="EB1.1_23">#REF!</definedName>
    <definedName name="EB1.1_25">#REF!</definedName>
    <definedName name="ec">#REF!</definedName>
    <definedName name="EC1.1">#REF!</definedName>
    <definedName name="EC1.1_23">#REF!</definedName>
    <definedName name="EC1.1_25">#REF!</definedName>
    <definedName name="ECONT">#REF!</definedName>
    <definedName name="ed">#REF!</definedName>
    <definedName name="ED1.1">#REF!</definedName>
    <definedName name="ED1.1_23">#REF!</definedName>
    <definedName name="ED1.1_25">#REF!</definedName>
    <definedName name="ediit">#REF!</definedName>
    <definedName name="edit">#REF!</definedName>
    <definedName name="EE">#REF!</definedName>
    <definedName name="eee">#REF!</definedName>
    <definedName name="EEE06REV">#REF!</definedName>
    <definedName name="EEE09REV1">#REF!</definedName>
    <definedName name="EEE17REV">#REF!</definedName>
    <definedName name="EEE17REV1">#REF!</definedName>
    <definedName name="eeee">#REF!</definedName>
    <definedName name="EEX">#REF!</definedName>
    <definedName name="ef">#REF!</definedName>
    <definedName name="efg" hidden="1">{"'Sheet1'!$A$1"}</definedName>
    <definedName name="EFX">#REF!</definedName>
    <definedName name="eg">#REF!</definedName>
    <definedName name="EGA">#REF!</definedName>
    <definedName name="egfbs_10">#REF!:#REF!</definedName>
    <definedName name="egfbs_11">#REF!:#REF!</definedName>
    <definedName name="egfbs_12">#REF!:#REF!</definedName>
    <definedName name="egfbs_14">#REF!:#REF!</definedName>
    <definedName name="egfbs_15">#REF!:#REF!</definedName>
    <definedName name="egfbs_16">#REF!:#REF!</definedName>
    <definedName name="egfbs_17">#REF!:#REF!</definedName>
    <definedName name="egfbs_18">#REF!:#REF!</definedName>
    <definedName name="egfbs_19">#REF!:#REF!</definedName>
    <definedName name="egfbs_20">#REF!:#REF!</definedName>
    <definedName name="egfbs_22">#REF!:#REF!</definedName>
    <definedName name="egfbs_23">#REF!:#REF!</definedName>
    <definedName name="egfbs_24">#REF!:#REF!</definedName>
    <definedName name="egfbs_25">#REF!:#REF!</definedName>
    <definedName name="egfbs_5">#REF!:#REF!</definedName>
    <definedName name="egfbs_6">#REF!:#REF!</definedName>
    <definedName name="egfbs_7">#REF!:#REF!</definedName>
    <definedName name="egfbs_8">#REF!:#REF!</definedName>
    <definedName name="EGO">#REF!</definedName>
    <definedName name="EGX">#REF!</definedName>
    <definedName name="Eharm">#REF!</definedName>
    <definedName name="EHX">#REF!</definedName>
    <definedName name="EJdUn">#REF!</definedName>
    <definedName name="ejjj" hidden="1">{"'Sheet1'!$A$1"}</definedName>
    <definedName name="EJX">#REF!</definedName>
    <definedName name="EKX">#REF!</definedName>
    <definedName name="El">#REF!</definedName>
    <definedName name="ElastomericA">#REF!</definedName>
    <definedName name="ElastomericB">#REF!</definedName>
    <definedName name="elbo">#REF!</definedName>
    <definedName name="elek">#REF!</definedName>
    <definedName name="ELEKT">#REF!</definedName>
    <definedName name="ELEKTRIKAL">#REF!</definedName>
    <definedName name="ELEKTRIKAL_23">#REF!</definedName>
    <definedName name="ELEKTRIKAL_25">#REF!</definedName>
    <definedName name="Elektronik">#REF!</definedName>
    <definedName name="ELX">#REF!</definedName>
    <definedName name="em">#REF!</definedName>
    <definedName name="embankment">#REF!</definedName>
    <definedName name="EMPLOY._WELFARE">#REF!</definedName>
    <definedName name="emulsion">#REF!</definedName>
    <definedName name="eng.nil">#REF!</definedName>
    <definedName name="engjnd">#REF!</definedName>
    <definedName name="engkupu">#REF!</definedName>
    <definedName name="ENGP">#REF!</definedName>
    <definedName name="engpnt">#REF!</definedName>
    <definedName name="engptr">#REF!</definedName>
    <definedName name="engsel.pintu\ps">#REF!</definedName>
    <definedName name="Engsel_jendela__H__kecil">#REF!</definedName>
    <definedName name="Engsel_pintu__H__besar">#REF!</definedName>
    <definedName name="Engsel4kend">#REF!</definedName>
    <definedName name="engseljendela3\nonjasa">#REF!</definedName>
    <definedName name="engselpintu4\nonjasa">#REF!</definedName>
    <definedName name="enje">#REF!</definedName>
    <definedName name="Entr4">#REF!</definedName>
    <definedName name="ENTRANCE">#REF!</definedName>
    <definedName name="eol">#REF!</definedName>
    <definedName name="epi.hid">#REF!</definedName>
    <definedName name="EPnUn">#REF!</definedName>
    <definedName name="epoxyclear">#REF!</definedName>
    <definedName name="epoxyenamel">#REF!</definedName>
    <definedName name="EPPat">#REF!</definedName>
    <definedName name="EQP">#REF!</definedName>
    <definedName name="equ">#REF!</definedName>
    <definedName name="EQUIP___MACHINE">#REF!</definedName>
    <definedName name="EQUIP_RE_EXPORT">#REF!</definedName>
    <definedName name="equipmen">#REF!</definedName>
    <definedName name="equipment">#REF!</definedName>
    <definedName name="EQUIT">#REF!</definedName>
    <definedName name="EQUPSBI">#REF!</definedName>
    <definedName name="eqw" hidden="1">{#N/A,#N/A,FALSE,"REK";#N/A,#N/A,FALSE,"rab"}</definedName>
    <definedName name="eqwgtqwegt" hidden="1">{#N/A,#N/A,FALSE,"REK";#N/A,#N/A,FALSE,"Bq-ARS"}</definedName>
    <definedName name="er">#REF!</definedName>
    <definedName name="ERA">#REF!</definedName>
    <definedName name="erection">#REF!</definedName>
    <definedName name="erhe" hidden="1">{"'Sheet1'!$A$1"}</definedName>
    <definedName name="eru" hidden="1">{"'Sheet1'!$A$1"}</definedName>
    <definedName name="erwwq">#REF!</definedName>
    <definedName name="eryrt" hidden="1">{"'Sheet1'!$A$1"}</definedName>
    <definedName name="ESL.JDL.10001">#REF!</definedName>
    <definedName name="ESL.PT.10001">#REF!</definedName>
    <definedName name="ESP.10001">#REF!</definedName>
    <definedName name="Espag">#REF!</definedName>
    <definedName name="Essenza">#N/A</definedName>
    <definedName name="essenza20">#REF!</definedName>
    <definedName name="eswtrhj" hidden="1">{#N/A,#N/A,FALSE,"REK-S-TPL";#N/A,#N/A,FALSE,"REK-TPML";#N/A,#N/A,FALSE,"RAB-TEMPEL"}</definedName>
    <definedName name="ET">#REF!</definedName>
    <definedName name="eter">#REF!</definedName>
    <definedName name="eternit">#REF!</definedName>
    <definedName name="Eternit__100_x_100_cm_3_mm_ex._atrisco">#REF!</definedName>
    <definedName name="Eternit_100_X_100_CM">#REF!</definedName>
    <definedName name="EUR">#REF!</definedName>
    <definedName name="euro">#REF!</definedName>
    <definedName name="ew_cw">#REF!</definedName>
    <definedName name="ewg" hidden="1">{"'Sheet1'!$A$1"}</definedName>
    <definedName name="ewr">#REF!</definedName>
    <definedName name="Exava">#REF!</definedName>
    <definedName name="exc">#REF!</definedName>
    <definedName name="exc_1">#REF!</definedName>
    <definedName name="exca">#REF!</definedName>
    <definedName name="Excavator">#REF!</definedName>
    <definedName name="Excel_BuiltIn__FilterDatabase_3">#REF!</definedName>
    <definedName name="Excel_BuiltIn__FilterDatabase_4">#REF!</definedName>
    <definedName name="Excel_BuiltIn__FilterDatabase_4_1">#REF!</definedName>
    <definedName name="Excel_BuiltIn__FilterDatabase_4_1_1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2">"$#REF!.$A$16:$AL$1932"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2">#REF!</definedName>
    <definedName name="Excel_BuiltIn_Print_Area_12_1_1">"$#REF!.$A$16:$AI$71"</definedName>
    <definedName name="Excel_BuiltIn_Print_Area_13">#REF!</definedName>
    <definedName name="Excel_BuiltIn_Print_Area_13_1_1">"$#REF!.$A$1:$G$32"</definedName>
    <definedName name="Excel_BuiltIn_Print_Area_13_1_1_1">"$#REF!.$A$1:$I$32"</definedName>
    <definedName name="Excel_BuiltIn_Print_Area_14">#REF!</definedName>
    <definedName name="Excel_BuiltIn_Print_Area_15">"$#REF!.$A$1:$AR$28"</definedName>
    <definedName name="Excel_BuiltIn_Print_Area_16">"$#REF!.$A$1:$U$156"</definedName>
    <definedName name="Excel_BuiltIn_Print_Area_16_1">"$#REF!.$A$1:$U$181"</definedName>
    <definedName name="Excel_BuiltIn_Print_Area_16_1_1">"$#REF!.$A$1:$U$224"</definedName>
    <definedName name="Excel_BuiltIn_Print_Area_16_1_1_1">"$#REF!.$A$1:$R$59"</definedName>
    <definedName name="Excel_BuiltIn_Print_Area_16_1_1_1_1">"$#REF!.$A$1:$G$122"</definedName>
    <definedName name="Excel_BuiltIn_Print_Area_16_1_1_1_1_1">"$#REF!.$A$1:$K$73"</definedName>
    <definedName name="Excel_BuiltIn_Print_Area_17">"$#REF!.$A$1:$U$41"</definedName>
    <definedName name="Excel_BuiltIn_Print_Area_17_1_1">"$#REF!.$A$1:$U$80"</definedName>
    <definedName name="Excel_BuiltIn_Print_Area_17_1_1_1">"$#REF!.$A$1:$U$83"</definedName>
    <definedName name="Excel_BuiltIn_Print_Area_17_1_1_1_1">"$#REF!.$A$1:$U$84"</definedName>
    <definedName name="Excel_BuiltIn_Print_Area_17_1_1_1_1_1">"$#REF!.$A$1:$R$89"</definedName>
    <definedName name="Excel_BuiltIn_Print_Area_17_1_1_1_1_1_1">"$#REF!.$A$1:$R$97"</definedName>
    <definedName name="Excel_BuiltIn_Print_Area_17_1_1_1_1_1_1_1">"$#REF!.$A$1:$R$132"</definedName>
    <definedName name="Excel_BuiltIn_Print_Area_18_1">"$#REF!.$A$1:$E$45"</definedName>
    <definedName name="Excel_BuiltIn_Print_Area_18_1_1">"$#REF!.$A$1:$U$30"</definedName>
    <definedName name="Excel_BuiltIn_Print_Area_18_1_1_1">"$#REF!.$A$1:$R$30"</definedName>
    <definedName name="Excel_BuiltIn_Print_Area_18_1_1_1_1">"$#REF!.$A$1:$R$87"</definedName>
    <definedName name="Excel_BuiltIn_Print_Area_19_1">"$'Tender _Diikuti'.$A$#REF!:$G$#REF!"</definedName>
    <definedName name="Excel_BuiltIn_Print_Area_19_1_1">"$#REF!.$A$1:$G$29"</definedName>
    <definedName name="Excel_BuiltIn_Print_Area_19_1_1_1">"$#REF!.$A$1:$G$27"</definedName>
    <definedName name="Excel_BuiltIn_Print_Area_19_1_1_1_1">"$#REF!.$A$1:$F$87"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_1_1_1">"$#REF!.$A$1:$J$85"</definedName>
    <definedName name="Excel_BuiltIn_Print_Area_2_1_1_1_1_1_1_1">"$#REF!.$A$1:$J$423"</definedName>
    <definedName name="Excel_BuiltIn_Print_Area_20_1">"$'Perolehan OK'.$A$#REF!:$G$#REF!"</definedName>
    <definedName name="Excel_BuiltIn_Print_Area_20_1_1">"$'Perolehan OK'.$A$#REF!:$G$#REF!"</definedName>
    <definedName name="Excel_BuiltIn_Print_Area_20_1_1_1">"$#REF!.$A$1:$M$42"</definedName>
    <definedName name="Excel_BuiltIn_Print_Area_21_1">"$'Realisasi OK_Baru'.$A$#REF!:$I$#REF!"</definedName>
    <definedName name="Excel_BuiltIn_Print_Area_21_1_1">"$#REF!.$A$1:$E$20"</definedName>
    <definedName name="Excel_BuiltIn_Print_Area_21_1_1_1">"$#REF!.$A$1:$I$87"</definedName>
    <definedName name="Excel_BuiltIn_Print_Area_22_1">"$#REF!.$A$2:$T$50"</definedName>
    <definedName name="Excel_BuiltIn_Print_Area_23_1">"$#REF!.$A$1:$E$37"</definedName>
    <definedName name="Excel_BuiltIn_Print_Area_25_1">"$#REF!.$A$1:$G$97"</definedName>
    <definedName name="Excel_BuiltIn_Print_Area_25_1_1">"$#REF!.$A$4:$E$37"</definedName>
    <definedName name="Excel_BuiltIn_Print_Area_25_1_1_1">"$#REF!.$A$4:$E$37"</definedName>
    <definedName name="Excel_BuiltIn_Print_Area_26_1">"$#REF!.$A$1:$BI$43"</definedName>
    <definedName name="Excel_BuiltIn_Print_Area_27">"$#REF!.$A$1:$P$28"</definedName>
    <definedName name="Excel_BuiltIn_Print_Area_28">"$#REF!.$A$1:$M$85"</definedName>
    <definedName name="Excel_BuiltIn_Print_Area_28_1">"$#REF!.$A$1:$M$78"</definedName>
    <definedName name="Excel_BuiltIn_Print_Area_29">"$#REF!.$A$1:$Q$41"</definedName>
    <definedName name="Excel_BuiltIn_Print_Area_29_1">"$#REF!.$A$1:$S$41"</definedName>
    <definedName name="Excel_BuiltIn_Print_Area_29_1_1">"$#REF!.$A$15:$M$64"</definedName>
    <definedName name="Excel_BuiltIn_Print_Area_29_1_1_1">"$#REF!.$A$1:$M$52"</definedName>
    <definedName name="Excel_BuiltIn_Print_Area_29_1_1_1_1">"$#REF!.$A$1:$Y$47"</definedName>
    <definedName name="Excel_BuiltIn_Print_Area_3">#REF!</definedName>
    <definedName name="Excel_BuiltIn_Print_Area_3___0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"$#REF!.$A$1:$J$76"</definedName>
    <definedName name="Excel_BuiltIn_Print_Area_30">"$#REF!.$A$1:$AD$28"</definedName>
    <definedName name="Excel_BuiltIn_Print_Area_30_1">"$#REF!.$A$1:$BM$28"</definedName>
    <definedName name="Excel_BuiltIn_Print_Area_30_1_1">"$#REF!.$A$1:$S$62"</definedName>
    <definedName name="Excel_BuiltIn_Print_Area_30_1_1_1">"$#REF!.$A$1:$J$94"</definedName>
    <definedName name="Excel_BuiltIn_Print_Area_30_1_1_1_1">"$#REF!.$A$1:$Y$46"</definedName>
    <definedName name="Excel_BuiltIn_Print_Area_31">"$#REF!.$A$1:$M$409"</definedName>
    <definedName name="Excel_BuiltIn_Print_Area_31_1">"$#REF!.$A$1:$J$68"</definedName>
    <definedName name="Excel_BuiltIn_Print_Area_31_1_1">"$#REF!.$A$1:$K$33"</definedName>
    <definedName name="Excel_BuiltIn_Print_Area_31_1_1_1">"$#REF!.$A$1:$F$140"</definedName>
    <definedName name="Excel_BuiltIn_Print_Area_31_1_1_1_1">"$#REF!.$A$1:$Q$34"</definedName>
    <definedName name="Excel_BuiltIn_Print_Area_32">"$TRMP.$A$#REF!:$J$#REF!"</definedName>
    <definedName name="Excel_BuiltIn_Print_Area_32_1">"$#REF!.$A$1:$G$87"</definedName>
    <definedName name="Excel_BuiltIn_Print_Area_32_1_1">"$#REF!.$A$1:$M$25"</definedName>
    <definedName name="Excel_BuiltIn_Print_Area_33">"$#REF!.$A$4:$AS$68"</definedName>
    <definedName name="Excel_BuiltIn_Print_Area_33_1">"$#REF!.$A$1:$F$14"</definedName>
    <definedName name="Excel_BuiltIn_Print_Area_33_1_1">"$#REF!.$A$1:$M$15"</definedName>
    <definedName name="Excel_BuiltIn_Print_Area_34_1">"$#REF!.$A$1:$N$12"</definedName>
    <definedName name="Excel_BuiltIn_Print_Area_35_1">"$#REF!.$B$2:$M$91"</definedName>
    <definedName name="Excel_BuiltIn_Print_Area_35_1_1">"$#REF!.$B$2:$M$90"</definedName>
    <definedName name="Excel_BuiltIn_Print_Area_36_1">"$#REF!.$A$1:$K$44"</definedName>
    <definedName name="Excel_BuiltIn_Print_Area_36_1_1">"$#REF!.$C$2:$M$50"</definedName>
    <definedName name="Excel_BuiltIn_Print_Area_37_1">"$#REF!.$A$1:$J$22"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_1">"$#REF!.$A$16:$AJ$523"</definedName>
    <definedName name="Excel_BuiltIn_Print_Area_5">#REF!</definedName>
    <definedName name="Excel_BuiltIn_Print_Area_5_1">#REF!</definedName>
    <definedName name="Excel_BuiltIn_Print_Area_5_1_1_1">"$#REF!.$A$16:$AJ$355"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"$#REF!.$A$16:$AJ$75"</definedName>
    <definedName name="Excel_BuiltIn_Print_Area_6_6">#REF!</definedName>
    <definedName name="Excel_BuiltIn_Print_Area_7">#REF!</definedName>
    <definedName name="Excel_BuiltIn_Print_Area_7_1">#REF!</definedName>
    <definedName name="Excel_BuiltIn_Print_Area_7_1_1">"$#REF!.$A$1:$AC$52"</definedName>
    <definedName name="Excel_BuiltIn_Print_Area_7_1_1_1">"$#REF!.$A$1:$AC$55"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_8">#REF!</definedName>
    <definedName name="Excel_BuiltIn_Print_Area_7_6">#REF!</definedName>
    <definedName name="Excel_BuiltIn_Print_Area_8">#REF!</definedName>
    <definedName name="Excel_BuiltIn_Print_Area_8_1">#REF!</definedName>
    <definedName name="Excel_BuiltIn_Print_Area_8_1_1">"$#REF!.$A$1:$W$56"</definedName>
    <definedName name="Excel_BuiltIn_Print_Area_8_1_5">#REF!</definedName>
    <definedName name="Excel_BuiltIn_Print_Area_8_1_6">#REF!</definedName>
    <definedName name="Excel_BuiltIn_Print_Area_8_1_7">#REF!</definedName>
    <definedName name="Excel_BuiltIn_Print_Area_8_1_8">#REF!</definedName>
    <definedName name="Excel_BuiltIn_Print_Area_9">#REF!</definedName>
    <definedName name="Excel_BuiltIn_Print_Area_9_1">#REF!</definedName>
    <definedName name="Excel_BuiltIn_Print_Area_9_1_1">"$#REF!.$A$16:$AJ$1638"</definedName>
    <definedName name="Excel_BuiltIn_Print_Titles">"$#REF!.$A$2:$AMJ$4"</definedName>
    <definedName name="Excel_BuiltIn_Print_Titles_1">"$#REF!.$A$1:$AMJ$10"</definedName>
    <definedName name="Excel_BuiltIn_Print_Titles_1_1">#REF!</definedName>
    <definedName name="Excel_BuiltIn_Print_Titles_1_1_1">#REF!</definedName>
    <definedName name="Excel_BuiltIn_Print_Titles_10">#REF!</definedName>
    <definedName name="Excel_BuiltIn_Print_Titles_10_1">#REF!</definedName>
    <definedName name="Excel_BuiltIn_Print_Titles_10_1_1">"$#REF!.$A$16:$IV$19"</definedName>
    <definedName name="Excel_BuiltIn_Print_Titles_11">#REF!</definedName>
    <definedName name="Excel_BuiltIn_Print_Titles_11_1_1_1">"$#REF!.$A$16:$IV$19"</definedName>
    <definedName name="Excel_BuiltIn_Print_Titles_12">"$#REF!.$A$1:$IV$8"</definedName>
    <definedName name="Excel_BuiltIn_Print_Titles_16_1_1">"$#REF!.$A$1:$IV$20"</definedName>
    <definedName name="Excel_BuiltIn_Print_Titles_17_1">"$#REF!.$A$1:$IV$24"</definedName>
    <definedName name="Excel_BuiltIn_Print_Titles_17_1_1">"$#REF!.$A$1:$IV$17"</definedName>
    <definedName name="Excel_BuiltIn_Print_Titles_17_1_1_1">"$#REF!.$A$1:$IV$20"</definedName>
    <definedName name="Excel_BuiltIn_Print_Titles_17_1_1_1_1">"$#REF!.$A$1:$IQ$14"</definedName>
    <definedName name="Excel_BuiltIn_Print_Titles_17_1_1_1_1_1">"$#REF!.$A$1:$IQ$13"</definedName>
    <definedName name="Excel_BuiltIn_Print_Titles_17_1_1_1_1_1_1">"$#REF!.$A$1:$IQ$13"</definedName>
    <definedName name="Excel_BuiltIn_Print_Titles_17_1_1_1_1_1_1_1">"$#REF!.$A$17:$IQ$18"</definedName>
    <definedName name="Excel_BuiltIn_Print_Titles_19">"$#REF!.$A$6:$IQ$6"</definedName>
    <definedName name="Excel_BuiltIn_Print_Titles_2">#REF!</definedName>
    <definedName name="Excel_BuiltIn_Print_Titles_2_1">#REF!</definedName>
    <definedName name="Excel_BuiltIn_Print_Titles_20_1">"$'Perolehan OK'.$A$#REF!:$IV$#REF!"</definedName>
    <definedName name="Excel_BuiltIn_Print_Titles_22">"$#REF!.$A$7:$IV$8"</definedName>
    <definedName name="Excel_BuiltIn_Print_Titles_25">"$#REF!.$A$1:$IV$12"</definedName>
    <definedName name="Excel_BuiltIn_Print_Titles_28">"$#REF!.$A$1:$IV$14"</definedName>
    <definedName name="Excel_BuiltIn_Print_Titles_29_1">"$#REF!.$A$1:$E$65512;$#REF!.$A$1:$IQ$11"</definedName>
    <definedName name="Excel_BuiltIn_Print_Titles_29_1_1">"$#REF!.$A$1:$D$65512;$#REF!.$A$1:$IQ$11"</definedName>
    <definedName name="Excel_BuiltIn_Print_Titles_29_1_1_1">"$#REF!.$A$1:$C$65512;$#REF!.$A$1:$IQ$11"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#REF!,#REF!</definedName>
    <definedName name="Excel_BuiltIn_Print_Titles_3_1_1_1_1">#REF!,#REF!</definedName>
    <definedName name="Excel_BuiltIn_Print_Titles_3_1_3">#REF!</definedName>
    <definedName name="Excel_BuiltIn_Print_Titles_30">"$#REF!.$A$1:$E$65512;$#REF!.$A$1:$IV$5"</definedName>
    <definedName name="Excel_BuiltIn_Print_Titles_31">"$#REF!.$A$1:$IV$8"</definedName>
    <definedName name="Excel_BuiltIn_Print_Titles_31_1">"$#REF!.$A$1:$IV$8"</definedName>
    <definedName name="Excel_BuiltIn_Print_Titles_35">"$#REF!.$A$1:$IQ$9"</definedName>
    <definedName name="Excel_BuiltIn_Print_Titles_35_1">"$#REF!.$B$2:$IP$9"</definedName>
    <definedName name="Excel_BuiltIn_Print_Titles_36">"$#REF!.$A$1:$IQ$8"</definedName>
    <definedName name="Excel_BuiltIn_Print_Titles_4">#REF!</definedName>
    <definedName name="Excel_BuiltIn_Print_Titles_4_1">#REF!</definedName>
    <definedName name="Excel_BuiltIn_Print_Titles_4_1_1_1">"$#REF!.$A$16:$IV$19"</definedName>
    <definedName name="Excel_BuiltIn_Print_Titles_5">#REF!</definedName>
    <definedName name="Excel_BuiltIn_Print_Titles_5_1_1_1">"$#REF!.$A$16:$IV$19"</definedName>
    <definedName name="Excel_BuiltIn_Print_Titles_6">#REF!</definedName>
    <definedName name="Excel_BuiltIn_Print_Titles_6_1">#REF!</definedName>
    <definedName name="Excel_BuiltIn_Print_Titles_6_1_1">"$#REF!.$A$16:$IV$19"</definedName>
    <definedName name="Excel_BuiltIn_Print_Titles_6_6">#REF!</definedName>
    <definedName name="Excel_BuiltIn_Print_Titles_7">#REF!</definedName>
    <definedName name="Excel_BuiltIn_Print_Titles_7_6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_1">"$#REF!.$A$16:$IV$19"</definedName>
    <definedName name="exec">#REF!</definedName>
    <definedName name="EXEL">#REF!</definedName>
    <definedName name="exp">#REF!</definedName>
    <definedName name="Expagnolet_Grendel_tanam">#REF!</definedName>
    <definedName name="Expantion">#REF!</definedName>
    <definedName name="expenses">NA()</definedName>
    <definedName name="Export">#REF!</definedName>
    <definedName name="exposed">#REF!</definedName>
    <definedName name="EXT" hidden="1">#REF!</definedName>
    <definedName name="ExtF3">#REF!</definedName>
    <definedName name="ExtF4">#REF!</definedName>
    <definedName name="EXTRA">#REF!</definedName>
    <definedName name="extra_o">#REF!</definedName>
    <definedName name="_xlnm.Extract">#REF!</definedName>
    <definedName name="f">"$#REF!.$#REF!$#REF!:$#REF!$#REF!"</definedName>
    <definedName name="F.16">#REF!</definedName>
    <definedName name="F.21">#REF!</definedName>
    <definedName name="F.21a">#REF!</definedName>
    <definedName name="F.22">#REF!</definedName>
    <definedName name="F.22a">#REF!</definedName>
    <definedName name="F.22b">#REF!</definedName>
    <definedName name="F.23a">#REF!</definedName>
    <definedName name="F.23b">#REF!</definedName>
    <definedName name="F.27">#REF!</definedName>
    <definedName name="F.34">#REF!</definedName>
    <definedName name="F.36a">#REF!</definedName>
    <definedName name="F.36c">#REF!</definedName>
    <definedName name="F.36d">#REF!</definedName>
    <definedName name="F.36f">#REF!</definedName>
    <definedName name="F.36g">#REF!</definedName>
    <definedName name="F.36h">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7">#REF!</definedName>
    <definedName name="F.6.2">#REF!</definedName>
    <definedName name="F.6.20a">#REF!</definedName>
    <definedName name="F.6.20b">#REF!</definedName>
    <definedName name="F.6.20C">#REF!</definedName>
    <definedName name="F.6.28">#REF!</definedName>
    <definedName name="F.6.29">#REF!</definedName>
    <definedName name="F.6.3">#REF!</definedName>
    <definedName name="F.6.32">#REF!</definedName>
    <definedName name="F.6.4">#REF!</definedName>
    <definedName name="F.6.47">#REF!</definedName>
    <definedName name="F.6.48">#REF!</definedName>
    <definedName name="F.6.5">#REF!</definedName>
    <definedName name="F.6.8">#REF!</definedName>
    <definedName name="F.6.8a">#REF!</definedName>
    <definedName name="F.6.9">#REF!</definedName>
    <definedName name="f.drain">#REF!</definedName>
    <definedName name="F.x">#REF!</definedName>
    <definedName name="F.x1">#REF!</definedName>
    <definedName name="F.x2">#REF!</definedName>
    <definedName name="f_hrd">#REF!</definedName>
    <definedName name="F_S">#REF!</definedName>
    <definedName name="F_SL">FST:(FSB)</definedName>
    <definedName name="F_SL_10">#REF!:#REF!</definedName>
    <definedName name="F_SL_11">#REF!:#REF!</definedName>
    <definedName name="F_SL_12">#REF!:#REF!</definedName>
    <definedName name="F_SL_14">#REF!:#REF!</definedName>
    <definedName name="F_SL_15">#REF!:#REF!</definedName>
    <definedName name="F_SL_16">#REF!:#REF!</definedName>
    <definedName name="F_SL_17">#REF!:#REF!</definedName>
    <definedName name="F_SL_18">#REF!:#REF!</definedName>
    <definedName name="F_SL_19">#REF!:#REF!</definedName>
    <definedName name="F_SL_20">#REF!:#REF!</definedName>
    <definedName name="F_SL_22">#REF!:#REF!</definedName>
    <definedName name="F_SL_23">#REF!:#REF!</definedName>
    <definedName name="F_SL_24">#REF!:#REF!</definedName>
    <definedName name="F_SL_25">#REF!:#REF!</definedName>
    <definedName name="F_SL_5">#REF!:#REF!</definedName>
    <definedName name="F_SL_6">#REF!:#REF!</definedName>
    <definedName name="F_SL_7">#REF!:#REF!</definedName>
    <definedName name="F_SL_8">#REF!:#REF!</definedName>
    <definedName name="f92F56">NA()</definedName>
    <definedName name="FA">#REF!</definedName>
    <definedName name="fa.ror">#REF!</definedName>
    <definedName name="faab">#REF!</definedName>
    <definedName name="fab.">#REF!</definedName>
    <definedName name="fabrikasi">#REF!</definedName>
    <definedName name="facm">#REF!</definedName>
    <definedName name="facp">#REF!</definedName>
    <definedName name="Fact">#REF!</definedName>
    <definedName name="FACTOR">#REF!</definedName>
    <definedName name="faeol">#REF!</definedName>
    <definedName name="fag">STOP:STOPE</definedName>
    <definedName name="fag_10">#REF!:#REF!</definedName>
    <definedName name="fag_11">#REF!:#REF!</definedName>
    <definedName name="fag_12">#REF!:#REF!</definedName>
    <definedName name="fag_14">#REF!:#REF!</definedName>
    <definedName name="fag_15">#REF!:#REF!</definedName>
    <definedName name="fag_16">#REF!:#REF!</definedName>
    <definedName name="fag_17">#REF!:#REF!</definedName>
    <definedName name="fag_18">#REF!:#REF!</definedName>
    <definedName name="fag_19">#REF!:#REF!</definedName>
    <definedName name="fag_20">#REF!:#REF!</definedName>
    <definedName name="fag_22">#REF!:#REF!</definedName>
    <definedName name="fag_23">#REF!:#REF!</definedName>
    <definedName name="fag_24">#REF!:#REF!</definedName>
    <definedName name="fag_25">#REF!:#REF!</definedName>
    <definedName name="fag_5">#REF!:#REF!</definedName>
    <definedName name="fag_6">#REF!:#REF!</definedName>
    <definedName name="fag_7">#REF!:#REF!</definedName>
    <definedName name="fag_8">#REF!:#REF!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"$#REF!.$D$18"</definedName>
    <definedName name="Fak.Waste.atas_13">"$#REF!.$D$18"</definedName>
    <definedName name="Fak.Waste.bwh">"$#REF!.$D$19"</definedName>
    <definedName name="Fak.Waste.bwh_13">"$#REF!.$D$19"</definedName>
    <definedName name="faki">#REF!</definedName>
    <definedName name="faktd">#REF!</definedName>
    <definedName name="FAKTOR_BAHAN_SANITAIR_GROHE">#REF!</definedName>
    <definedName name="fall" hidden="1">#REF!</definedName>
    <definedName name="fam">#REF!</definedName>
    <definedName name="famcp">#REF!</definedName>
    <definedName name="fan">#REF!</definedName>
    <definedName name="faoi">#REF!</definedName>
    <definedName name="far">#REF!</definedName>
    <definedName name="fas">STOP:STOPE</definedName>
    <definedName name="fas_10">#REF!:#REF!</definedName>
    <definedName name="fas_11">#REF!:#REF!</definedName>
    <definedName name="fas_12">#REF!:#REF!</definedName>
    <definedName name="fas_14">#REF!:#REF!</definedName>
    <definedName name="fas_15">#REF!:#REF!</definedName>
    <definedName name="fas_16">#REF!:#REF!</definedName>
    <definedName name="fas_17">#REF!:#REF!</definedName>
    <definedName name="fas_18">#REF!:#REF!</definedName>
    <definedName name="fas_19">#REF!:#REF!</definedName>
    <definedName name="fas_20">#REF!:#REF!</definedName>
    <definedName name="fas_22">#REF!:#REF!</definedName>
    <definedName name="fas_23">#REF!:#REF!</definedName>
    <definedName name="fas_24">#REF!:#REF!</definedName>
    <definedName name="fas_25">#REF!:#REF!</definedName>
    <definedName name="fas_5">#REF!:#REF!</definedName>
    <definedName name="fas_6">#REF!:#REF!</definedName>
    <definedName name="fas_7">#REF!:#REF!</definedName>
    <definedName name="fas_8">#REF!:#REF!</definedName>
    <definedName name="fascia">#REF!</definedName>
    <definedName name="fasd">#REF!</definedName>
    <definedName name="fasdt">#REF!</definedName>
    <definedName name="fat">#REF!</definedName>
    <definedName name="faucet">#REF!</definedName>
    <definedName name="FAX">#REF!</definedName>
    <definedName name="FB">#REF!</definedName>
    <definedName name="fc\poer.selasar.tp3">#REF!</definedName>
    <definedName name="fc\PR.1ramp">#REF!</definedName>
    <definedName name="fc\PR.2ramp">#REF!</definedName>
    <definedName name="fc\tp.1gwt">#REF!</definedName>
    <definedName name="fc\tp.2gwt">#REF!</definedName>
    <definedName name="fc\tp.3gwt">#REF!</definedName>
    <definedName name="fc\tp.4gwt">#REF!</definedName>
    <definedName name="fc\tp1.selasar">#REF!</definedName>
    <definedName name="fc\tp2.selasar">#REF!</definedName>
    <definedName name="fc_180">#REF!</definedName>
    <definedName name="fc_210">#REF!</definedName>
    <definedName name="fc_35a">"'file:///L:/10 (M M C)/Sipil-Ars/BQ_WASKITA/analisa_str_mmc.xls'#$harsat.$#REF!$#REF!"</definedName>
    <definedName name="fc_35c">"'file:///L:/10 (M M C)/Sipil-Ars/BQ_WASKITA/analisa_str_mmc.xls'#$harsat.$#REF!$#REF!"</definedName>
    <definedName name="fc_tx">#REF!</definedName>
    <definedName name="FC10MPA">#REF!</definedName>
    <definedName name="Fc200mpa">#REF!</definedName>
    <definedName name="FC250FA">#REF!</definedName>
    <definedName name="FC250MPA">#REF!</definedName>
    <definedName name="Fc250NFA">"$#REF!.$G$124"</definedName>
    <definedName name="FC25Mpa">#REF!</definedName>
    <definedName name="fc2b">#REF!</definedName>
    <definedName name="FC300FA">#REF!</definedName>
    <definedName name="FC300MPA">#REF!</definedName>
    <definedName name="Fc30Mpa">#REF!</definedName>
    <definedName name="FC350MPA">#REF!</definedName>
    <definedName name="Fc350NFA">"$#REF!.$#REF!$#REF!"</definedName>
    <definedName name="Fc35Mpa">#REF!</definedName>
    <definedName name="Fc35NFA">#REF!</definedName>
    <definedName name="FC380MPA">#REF!</definedName>
    <definedName name="fc3a">#REF!</definedName>
    <definedName name="fc3b">#REF!</definedName>
    <definedName name="FC400FA">#REF!</definedName>
    <definedName name="FC400MPA">#REF!</definedName>
    <definedName name="Fc400NFA">"$#REF!.$#REF!$#REF!"</definedName>
    <definedName name="Fc40Mpa">#REF!</definedName>
    <definedName name="Fc40NFA">#REF!</definedName>
    <definedName name="FC420MPA">#REF!</definedName>
    <definedName name="FC460MPA">#REF!</definedName>
    <definedName name="fc4a">#REF!</definedName>
    <definedName name="FC500FA">#REF!</definedName>
    <definedName name="Fc500NFA">"$#REF!.$#REF!$#REF!"</definedName>
    <definedName name="Fc50NFA">#REF!</definedName>
    <definedName name="fco">#REF!</definedName>
    <definedName name="FCode" hidden="1">#REF!</definedName>
    <definedName name="FCU">#REF!</definedName>
    <definedName name="fd">#REF!</definedName>
    <definedName name="fd_1">#REF!</definedName>
    <definedName name="fd_2">#REF!</definedName>
    <definedName name="fd_3">#REF!</definedName>
    <definedName name="fd_4">#REF!</definedName>
    <definedName name="fd_tx">#REF!</definedName>
    <definedName name="fd1_1">#REF!</definedName>
    <definedName name="fd1_2">#REF!</definedName>
    <definedName name="fd1_3">#REF!</definedName>
    <definedName name="fd1_4">#REF!</definedName>
    <definedName name="fd1_5">#REF!</definedName>
    <definedName name="fd1_6">#REF!</definedName>
    <definedName name="fd1_7">#REF!</definedName>
    <definedName name="fd1_8">#REF!</definedName>
    <definedName name="fd2_1">#REF!</definedName>
    <definedName name="fd2_2">#REF!</definedName>
    <definedName name="fd2_3">#REF!</definedName>
    <definedName name="fd2_4">#REF!</definedName>
    <definedName name="fd2_5">#REF!</definedName>
    <definedName name="fd2_6">#REF!</definedName>
    <definedName name="fd2_7">#REF!</definedName>
    <definedName name="fd2_8">#REF!</definedName>
    <definedName name="fd3_1">#REF!</definedName>
    <definedName name="fd3_2">#REF!</definedName>
    <definedName name="fd3_3">#REF!</definedName>
    <definedName name="fd3_4">#REF!</definedName>
    <definedName name="fd3_5">#REF!</definedName>
    <definedName name="fd3_6">#REF!</definedName>
    <definedName name="fd3_7">#REF!</definedName>
    <definedName name="fd4_1">#REF!</definedName>
    <definedName name="fd4_2">#REF!</definedName>
    <definedName name="fd4_3">#REF!</definedName>
    <definedName name="fd4_4">#REF!</definedName>
    <definedName name="fd4_5">#REF!</definedName>
    <definedName name="fd4_6">#REF!</definedName>
    <definedName name="fd4_7">#REF!</definedName>
    <definedName name="fd4_8">#REF!</definedName>
    <definedName name="fdbjn">HAJIME:OWARI</definedName>
    <definedName name="fdbjn_10">#REF!:#REF!</definedName>
    <definedName name="fdbjn_11">#REF!:#REF!</definedName>
    <definedName name="fdbjn_12">#REF!:#REF!</definedName>
    <definedName name="fdbjn_14">#REF!:#REF!</definedName>
    <definedName name="fdbjn_15">#REF!:#REF!</definedName>
    <definedName name="fdbjn_16">#REF!:#REF!</definedName>
    <definedName name="fdbjn_17">#REF!:#REF!</definedName>
    <definedName name="fdbjn_18">#REF!:#REF!</definedName>
    <definedName name="fdbjn_19">#REF!:#REF!</definedName>
    <definedName name="fdbjn_20">#REF!:#REF!</definedName>
    <definedName name="fdbjn_22">#REF!:#REF!</definedName>
    <definedName name="fdbjn_23">#REF!:#REF!</definedName>
    <definedName name="fdbjn_24">#REF!:#REF!</definedName>
    <definedName name="fdbjn_25">#REF!:#REF!</definedName>
    <definedName name="fdbjn_5">#REF!:#REF!</definedName>
    <definedName name="fdbjn_6">#REF!:#REF!</definedName>
    <definedName name="fdbjn_7">#REF!:#REF!</definedName>
    <definedName name="fdbjn_8">#REF!:#REF!</definedName>
    <definedName name="fdfdfdfd">#REF!</definedName>
    <definedName name="FDGSDG">#REF!</definedName>
    <definedName name="fdgz">"$#REF!.$#REF!$#REF!"</definedName>
    <definedName name="fdr">#REF!</definedName>
    <definedName name="fe">#REF!</definedName>
    <definedName name="feco25">#REF!</definedName>
    <definedName name="fedc2">#REF!</definedName>
    <definedName name="fedc35">#REF!</definedName>
    <definedName name="FEE">#REF!</definedName>
    <definedName name="FER">#REF!</definedName>
    <definedName name="fere">#REF!</definedName>
    <definedName name="ferinco">#REF!</definedName>
    <definedName name="FEX">#REF!</definedName>
    <definedName name="ff">#REF!</definedName>
    <definedName name="fffff">#REF!</definedName>
    <definedName name="FFV">#REF!</definedName>
    <definedName name="FFV_10">#REF!:#REF!</definedName>
    <definedName name="FFV_11">#REF!:#REF!</definedName>
    <definedName name="FFV_12">#REF!:#REF!</definedName>
    <definedName name="FFV_14">#REF!:#REF!</definedName>
    <definedName name="FFV_15">#REF!:#REF!</definedName>
    <definedName name="FFV_16">#REF!:#REF!</definedName>
    <definedName name="FFV_17">#REF!:#REF!</definedName>
    <definedName name="FFV_18">#REF!:#REF!</definedName>
    <definedName name="FFV_19">#REF!:#REF!</definedName>
    <definedName name="FFV_20">#REF!:#REF!</definedName>
    <definedName name="FFV_22">#REF!:#REF!</definedName>
    <definedName name="FFV_23">#REF!:#REF!</definedName>
    <definedName name="FFV_24">#REF!:#REF!</definedName>
    <definedName name="FFV_25">#REF!:#REF!</definedName>
    <definedName name="FFV_5">#REF!:#REF!</definedName>
    <definedName name="FFV_6">#REF!:#REF!</definedName>
    <definedName name="FFV_7">#REF!:#REF!</definedName>
    <definedName name="FFV_8">#REF!:#REF!</definedName>
    <definedName name="FFVVS">#REF!</definedName>
    <definedName name="FFVVS_10">#REF!:#REF!</definedName>
    <definedName name="FFVVS_11">#REF!:#REF!</definedName>
    <definedName name="FFVVS_12">#REF!:#REF!</definedName>
    <definedName name="FFVVS_14">#REF!:#REF!</definedName>
    <definedName name="FFVVS_15">#REF!:#REF!</definedName>
    <definedName name="FFVVS_16">#REF!:#REF!</definedName>
    <definedName name="FFVVS_17">#REF!:#REF!</definedName>
    <definedName name="FFVVS_18">#REF!:#REF!</definedName>
    <definedName name="FFVVS_19">#REF!:#REF!</definedName>
    <definedName name="FFVVS_20">#REF!:#REF!</definedName>
    <definedName name="FFVVS_22">#REF!:#REF!</definedName>
    <definedName name="FFVVS_23">#REF!:#REF!</definedName>
    <definedName name="FFVVS_24">#REF!:#REF!</definedName>
    <definedName name="FFVVS_25">#REF!:#REF!</definedName>
    <definedName name="FFVVS_5">#REF!:#REF!</definedName>
    <definedName name="FFVVS_6">#REF!:#REF!</definedName>
    <definedName name="FFVVS_7">#REF!:#REF!</definedName>
    <definedName name="FFVVS_8">#REF!:#REF!</definedName>
    <definedName name="FFX">#REF!</definedName>
    <definedName name="fg">#REF!</definedName>
    <definedName name="fggdfg">#REF!</definedName>
    <definedName name="fggdfg_10">#REF!:#REF!</definedName>
    <definedName name="fggdfg_11">#REF!:#REF!</definedName>
    <definedName name="fggdfg_12">#REF!:#REF!</definedName>
    <definedName name="fggdfg_14">#REF!:#REF!</definedName>
    <definedName name="fggdfg_15">#REF!:#REF!</definedName>
    <definedName name="fggdfg_16">#REF!:#REF!</definedName>
    <definedName name="fggdfg_17">#REF!:#REF!</definedName>
    <definedName name="fggdfg_18">#REF!:#REF!</definedName>
    <definedName name="fggdfg_19">#REF!:#REF!</definedName>
    <definedName name="fggdfg_20">#REF!:#REF!</definedName>
    <definedName name="fggdfg_22">#REF!:#REF!</definedName>
    <definedName name="fggdfg_23">#REF!:#REF!</definedName>
    <definedName name="fggdfg_24">#REF!:#REF!</definedName>
    <definedName name="fggdfg_25">#REF!:#REF!</definedName>
    <definedName name="fggdfg_5">#REF!:#REF!</definedName>
    <definedName name="fggdfg_6">#REF!:#REF!</definedName>
    <definedName name="fggdfg_7">#REF!:#REF!</definedName>
    <definedName name="fggdfg_8">#REF!:#REF!</definedName>
    <definedName name="FGH">#REF!</definedName>
    <definedName name="fghhh" hidden="1">{"'Sheet1'!$A$1"}</definedName>
    <definedName name="fgjf" hidden="1">{"'Sheet1'!$A$1"}</definedName>
    <definedName name="fgjfj" hidden="1">{"'Sheet1'!$A$1"}</definedName>
    <definedName name="FGtbl">#REF!</definedName>
    <definedName name="FGtps">#REF!</definedName>
    <definedName name="FGX">#REF!</definedName>
    <definedName name="FH">#REF!</definedName>
    <definedName name="fh_3">"$#REF!.$#REF!$#REF!"</definedName>
    <definedName name="fh_4">#REF!</definedName>
    <definedName name="fh_4.5">"$#REF!.$H$19"</definedName>
    <definedName name="fh_4_sa">#REF!</definedName>
    <definedName name="fh_5g">"$#REF!.$H$18"</definedName>
    <definedName name="fhg" hidden="1">{#N/A,#N/A,FALSE,"REK";#N/A,#N/A,FALSE,"Bq-ARS"}</definedName>
    <definedName name="fhhh" hidden="1">{"'Sheet1'!$A$1"}</definedName>
    <definedName name="fhr">#REF!</definedName>
    <definedName name="FHX">#REF!</definedName>
    <definedName name="fidi">#REF!</definedName>
    <definedName name="FIELD_EXPENSES">#REF!</definedName>
    <definedName name="filler">#REF!</definedName>
    <definedName name="FILLL" hidden="1">#REF!</definedName>
    <definedName name="fin_politur">#REF!</definedName>
    <definedName name="FINE_AGGREGATE">#REF!</definedName>
    <definedName name="FINISHER">#REF!</definedName>
    <definedName name="FinLt">#REF!</definedName>
    <definedName name="FIRE">#REF!</definedName>
    <definedName name="FIRE_ALARM">#REF!</definedName>
    <definedName name="FIREA">#REF!</definedName>
    <definedName name="FireSup">#REF!</definedName>
    <definedName name="FireSupIns">#REF!</definedName>
    <definedName name="FIREX">#REF!</definedName>
    <definedName name="FirHS">#REF!</definedName>
    <definedName name="FIRST_FLOOR">#REF!</definedName>
    <definedName name="FISER">#REF!</definedName>
    <definedName name="FIT">#REF!</definedName>
    <definedName name="FITCIP">#REF!</definedName>
    <definedName name="FITFS">#REF!</definedName>
    <definedName name="Fithyd">#REF!</definedName>
    <definedName name="fiting">#REF!</definedName>
    <definedName name="Fitsp">#REF!</definedName>
    <definedName name="FITT">#REF!</definedName>
    <definedName name="fitting">#REF!</definedName>
    <definedName name="FixedshowerTX422S">#REF!</definedName>
    <definedName name="fixshower">#REF!</definedName>
    <definedName name="FJ">#REF!</definedName>
    <definedName name="fjd150___0">"$#REF!.$N$277"</definedName>
    <definedName name="fjd50___0">"$#REF!.$N$300"</definedName>
    <definedName name="fjd65___0">"$#REF!.$N$278"</definedName>
    <definedName name="fjkk" hidden="1">{"'Sheet1'!$A$1"}</definedName>
    <definedName name="fjr" hidden="1">{"'Sheet1'!$A$1"}</definedName>
    <definedName name="fjt" hidden="1">{"'Sheet1'!$A$1"}</definedName>
    <definedName name="FJX">#REF!</definedName>
    <definedName name="Fk.Xt">#REF!</definedName>
    <definedName name="fkieifi" hidden="1">#REF!</definedName>
    <definedName name="fkoiieifd">#REF!</definedName>
    <definedName name="fkx">#REF!</definedName>
    <definedName name="fl">#REF!</definedName>
    <definedName name="flash">#REF!</definedName>
    <definedName name="flashing">#REF!</definedName>
    <definedName name="Flatb">"$#REF!.$D$9"</definedName>
    <definedName name="FLATBEDTRUCK">#REF!</definedName>
    <definedName name="FlBed">#REF!</definedName>
    <definedName name="flmh400">#REF!</definedName>
    <definedName name="floieodjf">#REF!</definedName>
    <definedName name="floioidife">#REF!</definedName>
    <definedName name="FloorDrain">#REF!</definedName>
    <definedName name="FloordrainTX1B">#REF!</definedName>
    <definedName name="floorhard">#REF!</definedName>
    <definedName name="floorhardener">#REF!</definedName>
    <definedName name="Floorhardener3kg">#REF!</definedName>
    <definedName name="floorhardenernatural">#REF!</definedName>
    <definedName name="floorhardenerwarna">#REF!</definedName>
    <definedName name="floorhardinernatural">#REF!</definedName>
    <definedName name="floorkorsik">#REF!</definedName>
    <definedName name="Flow">#REF!</definedName>
    <definedName name="flx">#REF!</definedName>
    <definedName name="FM">#REF!</definedName>
    <definedName name="FO">#REF!</definedName>
    <definedName name="FOB">#REF!</definedName>
    <definedName name="foil">#REF!</definedName>
    <definedName name="footing1">#N/A</definedName>
    <definedName name="Footing2">NA()</definedName>
    <definedName name="Footing3">NA()</definedName>
    <definedName name="footing7">#N/A</definedName>
    <definedName name="FOR">#REF!</definedName>
    <definedName name="Foreman">#REF!</definedName>
    <definedName name="form">#REF!</definedName>
    <definedName name="form_k">#REF!</definedName>
    <definedName name="FORM101">#REF!</definedName>
    <definedName name="FORM1011">#REF!</definedName>
    <definedName name="FORM1012">#REF!</definedName>
    <definedName name="FORM1013">#REF!</definedName>
    <definedName name="FORM1014">#REF!</definedName>
    <definedName name="FORM1015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2E">#REF!</definedName>
    <definedName name="FORM22L">#REF!</definedName>
    <definedName name="FORM231">#REF!</definedName>
    <definedName name="FORM232">#REF!</definedName>
    <definedName name="FORM233">#REF!</definedName>
    <definedName name="Form234">#REF!</definedName>
    <definedName name="FORM234L">#REF!</definedName>
    <definedName name="Form235">#REF!</definedName>
    <definedName name="Form236">#REF!</definedName>
    <definedName name="FORM241">#REF!</definedName>
    <definedName name="FORM242">#REF!</definedName>
    <definedName name="FORM243">#REF!</definedName>
    <definedName name="FORM311">#REF!</definedName>
    <definedName name="FORM312">#REF!</definedName>
    <definedName name="FORM313">#REF!</definedName>
    <definedName name="FORM314">#REF!</definedName>
    <definedName name="FORM315">#REF!</definedName>
    <definedName name="FORM316">#REF!</definedName>
    <definedName name="FORM319">#REF!</definedName>
    <definedName name="FORM321">#REF!</definedName>
    <definedName name="FORM322">#REF!</definedName>
    <definedName name="FORM323">#REF!</definedName>
    <definedName name="FORM323L">#REF!</definedName>
    <definedName name="FORM324">#REF!</definedName>
    <definedName name="FORM33">#REF!</definedName>
    <definedName name="FORM331">#REF!</definedName>
    <definedName name="FORM346">#REF!</definedName>
    <definedName name="FORM421">#REF!</definedName>
    <definedName name="FORM422">#REF!</definedName>
    <definedName name="FORM423">#REF!</definedName>
    <definedName name="FORM424">#REF!</definedName>
    <definedName name="FORM425">#REF!</definedName>
    <definedName name="FORM426">#REF!</definedName>
    <definedName name="FORM427">#REF!</definedName>
    <definedName name="FORM511">#REF!</definedName>
    <definedName name="FORM512">#REF!</definedName>
    <definedName name="FORM521">#REF!</definedName>
    <definedName name="FORM522">#REF!</definedName>
    <definedName name="FORM541">#REF!</definedName>
    <definedName name="FORM542">#REF!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1">#REF!</definedName>
    <definedName name="FORM662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#REF!</definedName>
    <definedName name="FORM73UL">#REF!</definedName>
    <definedName name="FORM744">#REF!</definedName>
    <definedName name="FORM745">#REF!</definedName>
    <definedName name="FORM751">#REF!</definedName>
    <definedName name="FORM752">#REF!</definedName>
    <definedName name="FORM7610">#REF!</definedName>
    <definedName name="FORM7611">#REF!</definedName>
    <definedName name="FORM7612">#REF!</definedName>
    <definedName name="FORM7612a">#REF!</definedName>
    <definedName name="FORM7612b">#REF!</definedName>
    <definedName name="FORM7612c">#REF!</definedName>
    <definedName name="FORM7613">#REF!</definedName>
    <definedName name="FORM7613a">#REF!</definedName>
    <definedName name="FORM7613b">#REF!</definedName>
    <definedName name="FORM7613c">#REF!</definedName>
    <definedName name="FORM7614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#REF!</definedName>
    <definedName name="FORM7616">#REF!</definedName>
    <definedName name="FORM7617">#REF!</definedName>
    <definedName name="FORM7618">#REF!</definedName>
    <definedName name="FORM7619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9">#REF!</definedName>
    <definedName name="FORM76X">#REF!</definedName>
    <definedName name="FORM771">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#REF!</definedName>
    <definedName name="FORM79">#REF!</definedName>
    <definedName name="FORM79L">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bta">#REF!</definedName>
    <definedName name="FORMGEOTEKSTIL">#REF!</definedName>
    <definedName name="Formi">#REF!</definedName>
    <definedName name="formikaputih">#REF!</definedName>
    <definedName name="formikawarna">#REF!</definedName>
    <definedName name="Formk">#REF!</definedName>
    <definedName name="formkolom">#REF!</definedName>
    <definedName name="formlant">#REF!</definedName>
    <definedName name="FORMLatasirK">#REF!</definedName>
    <definedName name="FORMLatasirKL">#REF!</definedName>
    <definedName name="formlt">#REF!</definedName>
    <definedName name="fotfence">#N/A</definedName>
    <definedName name="fox">#REF!</definedName>
    <definedName name="Fp">#REF!</definedName>
    <definedName name="FR">#REF!</definedName>
    <definedName name="frc">#REF!</definedName>
    <definedName name="frc2.1_5">#REF!</definedName>
    <definedName name="frc42115070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RE">#REF!</definedName>
    <definedName name="FRG">STOP:STOPE</definedName>
    <definedName name="FRG_10">#REF!:#REF!</definedName>
    <definedName name="FRG_11">#REF!:#REF!</definedName>
    <definedName name="FRG_12">#REF!:#REF!</definedName>
    <definedName name="FRG_14">#REF!:#REF!</definedName>
    <definedName name="FRG_15">#REF!:#REF!</definedName>
    <definedName name="FRG_16">#REF!:#REF!</definedName>
    <definedName name="FRG_17">#REF!:#REF!</definedName>
    <definedName name="FRG_18">#REF!:#REF!</definedName>
    <definedName name="FRG_19">#REF!:#REF!</definedName>
    <definedName name="FRG_20">#REF!:#REF!</definedName>
    <definedName name="FRG_22">#REF!:#REF!</definedName>
    <definedName name="FRG_23">#REF!:#REF!</definedName>
    <definedName name="FRG_24">#REF!:#REF!</definedName>
    <definedName name="FRG_25">#REF!:#REF!</definedName>
    <definedName name="FRG_5">#REF!:#REF!</definedName>
    <definedName name="FRG_6">#REF!:#REF!</definedName>
    <definedName name="FRG_7">#REF!:#REF!</definedName>
    <definedName name="FRG_8">#REF!:#REF!</definedName>
    <definedName name="frp">#REF!</definedName>
    <definedName name="FRRDS">#REF!</definedName>
    <definedName name="frsk">#REF!</definedName>
    <definedName name="fs">#REF!</definedName>
    <definedName name="FSB">#REF!</definedName>
    <definedName name="FSDATA">#REF!</definedName>
    <definedName name="fsh">#REF!</definedName>
    <definedName name="fss">#REF!</definedName>
    <definedName name="FST">#REF!</definedName>
    <definedName name="fsvd100">#REF!</definedName>
    <definedName name="fsvd150">#REF!</definedName>
    <definedName name="fsvd65">#REF!</definedName>
    <definedName name="ftgj" hidden="1">{"'Sheet1'!$A$1"}</definedName>
    <definedName name="ftiyio" hidden="1">{"'Sheet1'!$A$1"}</definedName>
    <definedName name="FTR">#REF!</definedName>
    <definedName name="FUEL">#REF!</definedName>
    <definedName name="FULVIMIXER">#REF!</definedName>
    <definedName name="furing">#REF!</definedName>
    <definedName name="FURNITURE__FURNISHING">#REF!</definedName>
    <definedName name="FV">#REF!</definedName>
    <definedName name="FZSDG" hidden="1">#REF!</definedName>
    <definedName name="G">NA()</definedName>
    <definedName name="g.01.1">#REF!</definedName>
    <definedName name="g.01.3">#REF!</definedName>
    <definedName name="g.02.3a">#REF!</definedName>
    <definedName name="g.021">#REF!</definedName>
    <definedName name="g.022">#REF!</definedName>
    <definedName name="G.1">#REF!</definedName>
    <definedName name="G.10">#REF!</definedName>
    <definedName name="G.107.10">#REF!</definedName>
    <definedName name="G.107.10B">#REF!</definedName>
    <definedName name="G.107.10E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2">#REF!</definedName>
    <definedName name="G.20">#REF!</definedName>
    <definedName name="G.21">#REF!</definedName>
    <definedName name="G.24">#REF!</definedName>
    <definedName name="G.25">#REF!</definedName>
    <definedName name="G.26">#REF!</definedName>
    <definedName name="G.3">#REF!</definedName>
    <definedName name="G.32h">#REF!</definedName>
    <definedName name="G.32M">#REF!</definedName>
    <definedName name="G.32X">#REF!</definedName>
    <definedName name="G.33">#REF!</definedName>
    <definedName name="G.33.i">#REF!</definedName>
    <definedName name="G.33g">#REF!</definedName>
    <definedName name="G.33g.1">#REF!</definedName>
    <definedName name="G.33g.2">#REF!</definedName>
    <definedName name="G.33g.3">#REF!</definedName>
    <definedName name="G.33i">#REF!</definedName>
    <definedName name="G.33k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4">#REF!</definedName>
    <definedName name="G.40">#REF!</definedName>
    <definedName name="G.42a">#REF!</definedName>
    <definedName name="G.44">#REF!</definedName>
    <definedName name="G.44.VK">#REF!</definedName>
    <definedName name="G.5">#REF!</definedName>
    <definedName name="G.50.I">#REF!</definedName>
    <definedName name="g.50a">#REF!</definedName>
    <definedName name="G.50b">#REF!</definedName>
    <definedName name="g.50ba">#REF!</definedName>
    <definedName name="g.50c">#REF!</definedName>
    <definedName name="G.50D">#REF!</definedName>
    <definedName name="G.50I">#REF!</definedName>
    <definedName name="G.50k.1">#REF!</definedName>
    <definedName name="G.50k.2">#REF!</definedName>
    <definedName name="G.50k.3">#REF!</definedName>
    <definedName name="g.50krm">#REF!</definedName>
    <definedName name="G.50p">#REF!</definedName>
    <definedName name="G.50TB">#REF!</definedName>
    <definedName name="G.51.C">#REF!</definedName>
    <definedName name="G.51c">#REF!</definedName>
    <definedName name="G.51i">#REF!</definedName>
    <definedName name="G.6.9a">#REF!</definedName>
    <definedName name="G.60A">#REF!</definedName>
    <definedName name="G.61">#REF!</definedName>
    <definedName name="G.69b">#REF!</definedName>
    <definedName name="G.72">#REF!</definedName>
    <definedName name="G.75a">#REF!</definedName>
    <definedName name="g.ker">#REF!</definedName>
    <definedName name="G.Kramik">#REF!</definedName>
    <definedName name="g_12">#REF!</definedName>
    <definedName name="g_9">#REF!</definedName>
    <definedName name="g_9wp">#REF!</definedName>
    <definedName name="g_c">#REF!</definedName>
    <definedName name="g_ci_20">#REF!</definedName>
    <definedName name="g_ci_25">#REF!</definedName>
    <definedName name="g_ci_45">#REF!</definedName>
    <definedName name="g_ci_50">#REF!</definedName>
    <definedName name="g_k">#REF!</definedName>
    <definedName name="G32.e">#REF!</definedName>
    <definedName name="G50c">#REF!</definedName>
    <definedName name="G50i">#REF!</definedName>
    <definedName name="G50K">#REF!</definedName>
    <definedName name="G50p">#REF!</definedName>
    <definedName name="G60A">#REF!</definedName>
    <definedName name="gae">#REF!</definedName>
    <definedName name="gaji">#REF!</definedName>
    <definedName name="gal">#REF!</definedName>
    <definedName name="Gal.Sal">#REF!</definedName>
    <definedName name="galdal5">#REF!</definedName>
    <definedName name="GALI">#REF!</definedName>
    <definedName name="galian">#REF!</definedName>
    <definedName name="galianPC">#REF!</definedName>
    <definedName name="galiansloof">#REF!</definedName>
    <definedName name="galiantanahaberat">#REF!</definedName>
    <definedName name="galiantanahlebih1mnonPPN">#REF!</definedName>
    <definedName name="galiantanahnonPPN">#REF!</definedName>
    <definedName name="GALIANTNH">#REF!</definedName>
    <definedName name="galimek">#REF!</definedName>
    <definedName name="galitnh">#REF!</definedName>
    <definedName name="GALKON">#REF!</definedName>
    <definedName name="galman">"$#REF!.$I$14"</definedName>
    <definedName name="galtnh">#REF!</definedName>
    <definedName name="Galva">#REF!</definedName>
    <definedName name="GANDA">#REF!</definedName>
    <definedName name="GANDAA">#REF!</definedName>
    <definedName name="gantung">#REF!</definedName>
    <definedName name="gar">#REF!</definedName>
    <definedName name="GARIS">NA()</definedName>
    <definedName name="Gas_oxytilyn">#REF!</definedName>
    <definedName name="gb">#REF!</definedName>
    <definedName name="gb_1">#REF!</definedName>
    <definedName name="gb_2">#REF!</definedName>
    <definedName name="gb_3">#REF!</definedName>
    <definedName name="gb_4">#REF!</definedName>
    <definedName name="gb_5">#REF!</definedName>
    <definedName name="gb_6">#REF!</definedName>
    <definedName name="gb_7">#REF!</definedName>
    <definedName name="gb_ja9">#REF!</definedName>
    <definedName name="gb30x45">#REF!</definedName>
    <definedName name="GbetN">#REF!</definedName>
    <definedName name="GbetW">#REF!</definedName>
    <definedName name="GBP">#REF!</definedName>
    <definedName name="gcampaka">#REF!</definedName>
    <definedName name="gdnh" hidden="1">{#N/A,#N/A,FALSE,"REK";#N/A,#N/A,FALSE,"rab"}</definedName>
    <definedName name="gembok">#REF!</definedName>
    <definedName name="Gembok3RRC">#REF!</definedName>
    <definedName name="GEN">#REF!</definedName>
    <definedName name="gendokglaz">#REF!</definedName>
    <definedName name="GENDOKNATUR">#REF!</definedName>
    <definedName name="GENJING">"$#REF!.$AG$4:$AG$592"</definedName>
    <definedName name="genkerglaz">#REF!</definedName>
    <definedName name="genkernatur">#REF!</definedName>
    <definedName name="genset">#REF!</definedName>
    <definedName name="genteng">#REF!</definedName>
    <definedName name="Genteng_lokal">#REF!</definedName>
    <definedName name="Genteng_press_pejaten">#REF!</definedName>
    <definedName name="gentengbtn">#REF!</definedName>
    <definedName name="gentenglama">#REF!</definedName>
    <definedName name="GentengMetal">#REF!</definedName>
    <definedName name="gentonglaz">#REF!</definedName>
    <definedName name="gentongnatur">#REF!</definedName>
    <definedName name="gentonpol">#REF!</definedName>
    <definedName name="gentonwar">#REF!</definedName>
    <definedName name="geotex">#REF!</definedName>
    <definedName name="Geotextile">#REF!</definedName>
    <definedName name="gersel">#REF!</definedName>
    <definedName name="gethh" hidden="1">{"'Sheet1'!$A$1"}</definedName>
    <definedName name="gewn">#REF!</definedName>
    <definedName name="gf" hidden="1">#REF!</definedName>
    <definedName name="gfbhyr" hidden="1">{"'Sheet1'!$A$1"}</definedName>
    <definedName name="GFD">#REF!</definedName>
    <definedName name="GFF" hidden="1">#REF!</definedName>
    <definedName name="GFH">#REF!</definedName>
    <definedName name="gfhfmd">STOP:STOPE</definedName>
    <definedName name="gfhfmd_10">#REF!:#REF!</definedName>
    <definedName name="gfhfmd_11">#REF!:#REF!</definedName>
    <definedName name="gfhfmd_12">#REF!:#REF!</definedName>
    <definedName name="gfhfmd_14">#REF!:#REF!</definedName>
    <definedName name="gfhfmd_15">#REF!:#REF!</definedName>
    <definedName name="gfhfmd_16">#REF!:#REF!</definedName>
    <definedName name="gfhfmd_17">#REF!:#REF!</definedName>
    <definedName name="gfhfmd_18">#REF!:#REF!</definedName>
    <definedName name="gfhfmd_19">#REF!:#REF!</definedName>
    <definedName name="gfhfmd_20">#REF!:#REF!</definedName>
    <definedName name="gfhfmd_22">#REF!:#REF!</definedName>
    <definedName name="gfhfmd_23">#REF!:#REF!</definedName>
    <definedName name="gfhfmd_24">#REF!:#REF!</definedName>
    <definedName name="gfhfmd_25">#REF!:#REF!</definedName>
    <definedName name="gfhfmd_5">#REF!:#REF!</definedName>
    <definedName name="gfhfmd_6">#REF!:#REF!</definedName>
    <definedName name="gfhfmd_7">#REF!:#REF!</definedName>
    <definedName name="gfhfmd_8">#REF!:#REF!</definedName>
    <definedName name="gfhgf">#REF!</definedName>
    <definedName name="gfhh" hidden="1">{"'Sheet1'!$A$1"}</definedName>
    <definedName name="gfj" hidden="1">{"'Sheet1'!$A$1"}</definedName>
    <definedName name="gfjr" hidden="1">{"'Sheet1'!$A$1"}</definedName>
    <definedName name="GFlOv">#REF!</definedName>
    <definedName name="gfrc_1500">#REF!</definedName>
    <definedName name="gfrc_155020">#REF!</definedName>
    <definedName name="gfrc_1700">#REF!</definedName>
    <definedName name="gfrc_c">#REF!</definedName>
    <definedName name="gfrc_h">#REF!</definedName>
    <definedName name="gfrg_400">#REF!</definedName>
    <definedName name="gfthhh" hidden="1">{"'Sheet1'!$A$1"}</definedName>
    <definedName name="gg">"'file://SERVER3/har-data/STRUCTURE PRICE OF BQ KOMPAS GRAMEDIA.xls'#$analisa.$#REF!$#REF!"</definedName>
    <definedName name="ggc">#REF!</definedName>
    <definedName name="GGG">#REF!</definedName>
    <definedName name="GH">#REF!</definedName>
    <definedName name="ghg">#REF!</definedName>
    <definedName name="ghgfjhh">#REF!</definedName>
    <definedName name="GHI">#REF!</definedName>
    <definedName name="ghj">#REF!</definedName>
    <definedName name="ghjj" hidden="1">{"'Sheet1'!$A$1"}</definedName>
    <definedName name="ghkm" hidden="1">{"'Sheet1'!$A$1"}</definedName>
    <definedName name="gi.1">#REF!</definedName>
    <definedName name="gi.2">#REF!</definedName>
    <definedName name="gi.3">#REF!</definedName>
    <definedName name="gi.4">#REF!</definedName>
    <definedName name="gi1.1.2">#REF!</definedName>
    <definedName name="gi1.2">#REF!</definedName>
    <definedName name="gi3.4">#REF!</definedName>
    <definedName name="giat">#REF!</definedName>
    <definedName name="GILLPOS">#REF!</definedName>
    <definedName name="GIP">#REF!</definedName>
    <definedName name="GIP_100">"'file:///L:/10 (M M C)/Sipil-Ars/BQ_WASKITA/analisa_str_mmc.xls'#$harsat.$#REF!$#REF!"</definedName>
    <definedName name="gip_150">"'file:///L:/10 (M M C)/Sipil-Ars/BQ_WASKITA/analisa_str_mmc.xls'#$harsat.$#REF!$#REF!"</definedName>
    <definedName name="gip_200">"'file:///L:/10 (M M C)/Sipil-Ars/BQ_WASKITA/analisa_str_mmc.xls'#$harsat.$#REF!$#REF!"</definedName>
    <definedName name="GIP_40">"'file:///L:/10 (M M C)/Sipil-Ars/BQ_WASKITA/analisa_str_mmc.xls'#$harsat.$#REF!$#REF!"</definedName>
    <definedName name="GIP_50">"'file:///L:/10 (M M C)/Sipil-Ars/BQ_WASKITA/analisa_str_mmc.xls'#$harsat.$#REF!$#REF!"</definedName>
    <definedName name="GIP_65">"'file:///L:/10 (M M C)/Sipil-Ars/BQ_WASKITA/analisa_str_mmc.xls'#$harsat.$#REF!$#REF!"</definedName>
    <definedName name="GIP_80">"'file:///L:/10 (M M C)/Sipil-Ars/BQ_WASKITA/analisa_str_mmc.xls'#$harsat.$#REF!$#REF!"</definedName>
    <definedName name="GIP_isolasi">#REF!</definedName>
    <definedName name="GIP_MED_ISL">#REF!</definedName>
    <definedName name="GIP_MED_JAKC">#REF!</definedName>
    <definedName name="GIP_MEDIUM">#REF!</definedName>
    <definedName name="GIP_SCH40">#REF!</definedName>
    <definedName name="GIP1\2">#REF!</definedName>
    <definedName name="GIP11\2">#REF!</definedName>
    <definedName name="GIP11\4">#REF!</definedName>
    <definedName name="GIP3\4">#REF!</definedName>
    <definedName name="Girder316">#REF!</definedName>
    <definedName name="Girder400">#REF!</definedName>
    <definedName name="Girder405">#REF!</definedName>
    <definedName name="GIU">#REF!</definedName>
    <definedName name="gj" hidden="1">{"'Sheet1'!$A$1"}</definedName>
    <definedName name="gjggg" hidden="1">{"'Sheet1'!$A$1"}</definedName>
    <definedName name="gjgj" hidden="1">{"'Sheet1'!$A$1"}</definedName>
    <definedName name="gk">#REF!</definedName>
    <definedName name="GKiaN">#REF!</definedName>
    <definedName name="GKiaW">#REF!</definedName>
    <definedName name="gkjtw">#REF!</definedName>
    <definedName name="gkmberg">#REF!</definedName>
    <definedName name="gkmbw">#REF!</definedName>
    <definedName name="gkmn">#REF!</definedName>
    <definedName name="gkmorando">#REF!</definedName>
    <definedName name="gkmwberg">#REF!</definedName>
    <definedName name="GL">#REF!</definedName>
    <definedName name="gl3p">"$#REF!.$D$10"</definedName>
    <definedName name="GLAS">#REF!</definedName>
    <definedName name="glas1">#REF!</definedName>
    <definedName name="glasblock">#REF!</definedName>
    <definedName name="glassblock">#REF!</definedName>
    <definedName name="glasswoolWM6">#REF!</definedName>
    <definedName name="GlbAb">#REF!</definedName>
    <definedName name="GlbAk">#REF!</definedName>
    <definedName name="GlbPl">#REF!</definedName>
    <definedName name="GlbS2">#REF!</definedName>
    <definedName name="GlbS3">#REF!</definedName>
    <definedName name="glsln">#REF!</definedName>
    <definedName name="GLWO">#REF!</definedName>
    <definedName name="gm">#REF!</definedName>
    <definedName name="GMerN">#REF!</definedName>
    <definedName name="GMerW">#REF!</definedName>
    <definedName name="gn">#REF!</definedName>
    <definedName name="GNok0">#REF!</definedName>
    <definedName name="GNok3">#REF!</definedName>
    <definedName name="gof">#REF!</definedName>
    <definedName name="gogon" hidden="1">#REF!</definedName>
    <definedName name="GONDOLA">#REF!</definedName>
    <definedName name="GONDOLA_A">#REF!</definedName>
    <definedName name="GONDOLA_B">#REF!</definedName>
    <definedName name="GONDOLA_C">#REF!</definedName>
    <definedName name="gone">"$#REF!.$GN$46"</definedName>
    <definedName name="govpd15">#REF!</definedName>
    <definedName name="gp">#REF!</definedName>
    <definedName name="gpb">#REF!</definedName>
    <definedName name="gpek">#REF!</definedName>
    <definedName name="gphp">#REF!</definedName>
    <definedName name="GPlBk">#REF!</definedName>
    <definedName name="GPlOv">#REF!</definedName>
    <definedName name="gpp">#REF!</definedName>
    <definedName name="gr">#REF!</definedName>
    <definedName name="GR.1">#REF!</definedName>
    <definedName name="gr.100">#REF!</definedName>
    <definedName name="gr.100_9">#REF!</definedName>
    <definedName name="GR.2">#REF!</definedName>
    <definedName name="gr.20">#REF!</definedName>
    <definedName name="GR.50">#REF!</definedName>
    <definedName name="gr.60">#REF!</definedName>
    <definedName name="gr.60_9">#REF!</definedName>
    <definedName name="gr.80">#REF!</definedName>
    <definedName name="gr.80_9">#REF!</definedName>
    <definedName name="gr_e">#REF!</definedName>
    <definedName name="gra">"$#REF!.$H$28"</definedName>
    <definedName name="gra_b">#REF!</definedName>
    <definedName name="Grade">#REF!</definedName>
    <definedName name="Grader">#REF!</definedName>
    <definedName name="grader_9">#REF!</definedName>
    <definedName name="gralam">#REF!</definedName>
    <definedName name="gralam.2">#REF!</definedName>
    <definedName name="GRAND_PALEMBANG_HOTEL___PALEMBANG">#REF!</definedName>
    <definedName name="granit">#REF!</definedName>
    <definedName name="granit60lt">#REF!</definedName>
    <definedName name="granito">#REF!</definedName>
    <definedName name="granito_6">#REF!</definedName>
    <definedName name="granito30">#REF!</definedName>
    <definedName name="granito30x30">#REF!</definedName>
    <definedName name="granito40">#REF!</definedName>
    <definedName name="granito40x40">#REF!</definedName>
    <definedName name="granito60x60">#REF!</definedName>
    <definedName name="granitsolidex.cina">#REF!</definedName>
    <definedName name="granitsolidex.italy">#REF!</definedName>
    <definedName name="grassblock">#REF!</definedName>
    <definedName name="Gratting">"$#REF!.$D$10"</definedName>
    <definedName name="GRAVEL">#REF!</definedName>
    <definedName name="GRC">#REF!</definedName>
    <definedName name="grc_1025">#REF!</definedName>
    <definedName name="grc_1030">#REF!</definedName>
    <definedName name="grc_1535">#REF!</definedName>
    <definedName name="grc_2065">#REF!</definedName>
    <definedName name="grc_2530">#REF!</definedName>
    <definedName name="grc_2555">#REF!</definedName>
    <definedName name="grc_3065">#REF!</definedName>
    <definedName name="grc_3520">#REF!</definedName>
    <definedName name="grc_4030">#REF!</definedName>
    <definedName name="grc_45125">#REF!</definedName>
    <definedName name="grc_45145">#REF!</definedName>
    <definedName name="grc_45150">#REF!</definedName>
    <definedName name="grc_4525">#REF!</definedName>
    <definedName name="grc_4555">#REF!</definedName>
    <definedName name="grc_510">#REF!</definedName>
    <definedName name="grc_515">#REF!</definedName>
    <definedName name="grc_b">#REF!</definedName>
    <definedName name="grc_b50190">#REF!</definedName>
    <definedName name="grc_b5252125">#REF!</definedName>
    <definedName name="grc_b98105">#REF!</definedName>
    <definedName name="grc_g">#REF!</definedName>
    <definedName name="grcb">#REF!</definedName>
    <definedName name="grcb_6">#REF!</definedName>
    <definedName name="GRCB5">#REF!</definedName>
    <definedName name="GRCBULAT">#REF!</definedName>
    <definedName name="GRCcanopy">#REF!</definedName>
    <definedName name="GRCclading">#REF!</definedName>
    <definedName name="GRCENSTRANCE">#REF!</definedName>
    <definedName name="GRCK22">#REF!</definedName>
    <definedName name="GRCKEPALAPROFIL">#REF!</definedName>
    <definedName name="GRCkolom">#REF!</definedName>
    <definedName name="GRCkubah1">#REF!</definedName>
    <definedName name="GRCkubah2">#REF!</definedName>
    <definedName name="GRCLENGKUNG">#REF!</definedName>
    <definedName name="grcp">#REF!</definedName>
    <definedName name="grcp_6">#REF!</definedName>
    <definedName name="GRCPARTISION">#REF!</definedName>
    <definedName name="GRCSIRIPIKAN">#REF!</definedName>
    <definedName name="GRCVIEWING">#REF!</definedName>
    <definedName name="Grendel_steiles_steel">#REF!</definedName>
    <definedName name="Grendeltanam1610.06">#REF!</definedName>
    <definedName name="Grendeltanam1610.12">#REF!</definedName>
    <definedName name="grendeltanamatas\nonjasa">#REF!</definedName>
    <definedName name="grendeltanambawah\nonjasa">#REF!</definedName>
    <definedName name="greserv">#REF!</definedName>
    <definedName name="Gresik">#REF!</definedName>
    <definedName name="grev20">#REF!</definedName>
    <definedName name="grev20_6">#REF!</definedName>
    <definedName name="Grevel1ø20">#REF!</definedName>
    <definedName name="Greveldia20cm">#REF!</definedName>
    <definedName name="GRF">#REF!</definedName>
    <definedName name="grg" hidden="1">{"'Sheet1'!$A$1"}</definedName>
    <definedName name="grilbesi">#REF!</definedName>
    <definedName name="grilhw">#REF!</definedName>
    <definedName name="grill">#REF!</definedName>
    <definedName name="grille">#REF!</definedName>
    <definedName name="grille30">#REF!</definedName>
    <definedName name="Grnd2">#REF!</definedName>
    <definedName name="Grnd6">#REF!</definedName>
    <definedName name="Grnit">#REF!</definedName>
    <definedName name="gron5">#REF!</definedName>
    <definedName name="groove">"$#REF!.$H$25"</definedName>
    <definedName name="GROSA">#REF!</definedName>
    <definedName name="GROSB">#REF!</definedName>
    <definedName name="GROSC">#REF!</definedName>
    <definedName name="GROSD">#REF!</definedName>
    <definedName name="GROSE">#REF!</definedName>
    <definedName name="GROSHK">#REF!</definedName>
    <definedName name="gross">#REF!</definedName>
    <definedName name="GROUND_FLOOR">#REF!</definedName>
    <definedName name="groundmatv">#REF!</definedName>
    <definedName name="grout">#REF!</definedName>
    <definedName name="grouting">#REF!</definedName>
    <definedName name="groutink">#REF!</definedName>
    <definedName name="GrsB2">#REF!</definedName>
    <definedName name="grsb20">#REF!</definedName>
    <definedName name="GrsB3">#REF!</definedName>
    <definedName name="grsb30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SVXG">STOP:STOPE</definedName>
    <definedName name="GSVXG_10">#REF!:#REF!</definedName>
    <definedName name="GSVXG_11">#REF!:#REF!</definedName>
    <definedName name="GSVXG_12">#REF!:#REF!</definedName>
    <definedName name="GSVXG_14">#REF!:#REF!</definedName>
    <definedName name="GSVXG_15">#REF!:#REF!</definedName>
    <definedName name="GSVXG_16">#REF!:#REF!</definedName>
    <definedName name="GSVXG_17">#REF!:#REF!</definedName>
    <definedName name="GSVXG_18">#REF!:#REF!</definedName>
    <definedName name="GSVXG_19">#REF!:#REF!</definedName>
    <definedName name="GSVXG_20">#REF!:#REF!</definedName>
    <definedName name="GSVXG_22">#REF!:#REF!</definedName>
    <definedName name="GSVXG_23">#REF!:#REF!</definedName>
    <definedName name="GSVXG_24">#REF!:#REF!</definedName>
    <definedName name="GSVXG_25">#REF!:#REF!</definedName>
    <definedName name="GSVXG_5">#REF!:#REF!</definedName>
    <definedName name="GSVXG_6">#REF!:#REF!</definedName>
    <definedName name="GSVXG_7">#REF!:#REF!</definedName>
    <definedName name="GSVXG_8">#REF!:#REF!</definedName>
    <definedName name="gsw">#REF!</definedName>
    <definedName name="GT">#REF!</definedName>
    <definedName name="GT_23">#REF!</definedName>
    <definedName name="GT_25">#REF!</definedName>
    <definedName name="gtanahbiasa">#REF!</definedName>
    <definedName name="GTB">#REF!</definedName>
    <definedName name="GTBB">#REF!</definedName>
    <definedName name="GTberbatu">#REF!</definedName>
    <definedName name="GTBM">#REF!</definedName>
    <definedName name="GTM">#REF!</definedName>
    <definedName name="Guidepost">#REF!</definedName>
    <definedName name="Guidesign">#REF!</definedName>
    <definedName name="GUN">#REF!</definedName>
    <definedName name="gutter">#REF!</definedName>
    <definedName name="gutter20">#REF!</definedName>
    <definedName name="gutter25">#REF!</definedName>
    <definedName name="gv">#REF!</definedName>
    <definedName name="gv.3">#REF!</definedName>
    <definedName name="gv.4">#REF!</definedName>
    <definedName name="gv_3">#REF!</definedName>
    <definedName name="gv_7">#REF!</definedName>
    <definedName name="gv_8">#REF!</definedName>
    <definedName name="gvd100___0">"$#REF!.$N$289"</definedName>
    <definedName name="gvd15___0">"$#REF!.$N$269"</definedName>
    <definedName name="gvd150___0">"$#REF!.$N$267"</definedName>
    <definedName name="gvd25___0">"$#REF!.$N$464"</definedName>
    <definedName name="gvd50___0">"$#REF!.$N$290"</definedName>
    <definedName name="gvd65___0">"$#REF!.$N$268"</definedName>
    <definedName name="gvlam">#REF!</definedName>
    <definedName name="gw">#REF!</definedName>
    <definedName name="gw_Rebar_ratio">#REF!</definedName>
    <definedName name="gwwr" hidden="1">{"'Sheet1'!$A$1"}</definedName>
    <definedName name="gy">#REF!</definedName>
    <definedName name="GYFSUM">#REF!</definedName>
    <definedName name="gyp9_6">#REF!</definedName>
    <definedName name="Gypsm">#REF!</definedName>
    <definedName name="gypsum">"$#REF!.$M$7"</definedName>
    <definedName name="gypsum.9">#REF!</definedName>
    <definedName name="gypsum.prf">#REF!</definedName>
    <definedName name="h">"$#REF!.$#REF!$#REF!:$#REF!$#REF!"</definedName>
    <definedName name="H.1">#REF!</definedName>
    <definedName name="h.100">#REF!</definedName>
    <definedName name="h.100_9">#REF!</definedName>
    <definedName name="H.2">#REF!</definedName>
    <definedName name="H.21">#REF!</definedName>
    <definedName name="H.2ab">#REF!</definedName>
    <definedName name="H.2Bs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31">#REF!</definedName>
    <definedName name="H.4">#REF!</definedName>
    <definedName name="H.5">#REF!</definedName>
    <definedName name="H.6">#REF!</definedName>
    <definedName name="H.6.1">#REF!</definedName>
    <definedName name="H.6.2">#REF!</definedName>
    <definedName name="H.6.3">#REF!</definedName>
    <definedName name="H.6.4">#REF!</definedName>
    <definedName name="H.6.5a">#REF!</definedName>
    <definedName name="H.6.5b">#REF!</definedName>
    <definedName name="h.60">#REF!</definedName>
    <definedName name="h.60_9">#REF!</definedName>
    <definedName name="H.7">#REF!</definedName>
    <definedName name="H.8">#REF!</definedName>
    <definedName name="h.80">#REF!</definedName>
    <definedName name="h.80_9">#REF!</definedName>
    <definedName name="H.9">#REF!</definedName>
    <definedName name="H.9a">#REF!</definedName>
    <definedName name="h.keptukang">#REF!</definedName>
    <definedName name="h.mandor">#REF!</definedName>
    <definedName name="h.pekerja">#REF!</definedName>
    <definedName name="h.tukang">#REF!</definedName>
    <definedName name="h_40">#REF!</definedName>
    <definedName name="h_4040">#REF!</definedName>
    <definedName name="h_9a">"$#REF!.$#REF!$#REF!"</definedName>
    <definedName name="h_angkur_16">"$#REF!.$F$35"</definedName>
    <definedName name="h_angkur_19">"$#REF!.$F$36"</definedName>
    <definedName name="h_angkur_22">"$#REF!.$F$37"</definedName>
    <definedName name="h_angkur_25">"$#REF!.$F$38"</definedName>
    <definedName name="h_aspal">"$#REF!.$F$10"</definedName>
    <definedName name="h_baja">"$#REF!.$F$28"</definedName>
    <definedName name="h_batu_pecah">"$#REF!.$F$15"</definedName>
    <definedName name="h_bekisting">"$#REF!.$F$18"</definedName>
    <definedName name="h_besi">"$#REF!.$F$25"</definedName>
    <definedName name="h_beton250">"$#REF!.$F$23"</definedName>
    <definedName name="h_beton300">"$#REF!.$F$22"</definedName>
    <definedName name="h_bondex">"$#REF!.$F$20"</definedName>
    <definedName name="h_bongkar_atap">"$#REF!.$F$58"</definedName>
    <definedName name="h_dia12">"$#REF!.$F$42"</definedName>
    <definedName name="h_dowel">"$#REF!.$F$54"</definedName>
    <definedName name="h_filler">"$#REF!.$F$55"</definedName>
    <definedName name="h_galian">"$#REF!.$F$8"</definedName>
    <definedName name="h_gordig">"$#REF!.$#REF!$#REF!"</definedName>
    <definedName name="h_gording">"$#REF!.$F$29"</definedName>
    <definedName name="h_grouting">"$#REF!.$F$41"</definedName>
    <definedName name="h_htb16">"$#REF!.$F$43"</definedName>
    <definedName name="h_htb19">"$#REF!.$F$44"</definedName>
    <definedName name="h_htb22">"$#REF!.$F$45"</definedName>
    <definedName name="h_htb25">"$#REF!.$F$46"</definedName>
    <definedName name="h_lt_kerja">"$#REF!.$F$12"</definedName>
    <definedName name="h_m8">"$#REF!.$F$27"</definedName>
    <definedName name="H_pelat_baja">"$#REF!.$F$39"</definedName>
    <definedName name="h_pemadatan">"$#REF!.$F$16"</definedName>
    <definedName name="h_pipa">"$#REF!.$F$32"</definedName>
    <definedName name="h_plastik">"$#REF!.$F$19"</definedName>
    <definedName name="h_potong_tiang">"$#REF!.$F$6"</definedName>
    <definedName name="h_psr_urug">"$#REF!.$F$13"</definedName>
    <definedName name="h_pvc">"$#REF!.$F$56"</definedName>
    <definedName name="h_s">#REF!</definedName>
    <definedName name="h_sagrod">"$#REF!.$F$51"</definedName>
    <definedName name="h_scp20">"$#REF!.$F$4"</definedName>
    <definedName name="h_scp25">"$#REF!.$F$5"</definedName>
    <definedName name="h_sealant">"$#REF!.$F$53"</definedName>
    <definedName name="h_siku">"$#REF!.$F$30"</definedName>
    <definedName name="h_sirtu">"$#REF!.$F$14"</definedName>
    <definedName name="h_stopper">"$#REF!.$F$47"</definedName>
    <definedName name="h_turn">"$#REF!.$F$50"</definedName>
    <definedName name="h_unp">"$#REF!.$F$31"</definedName>
    <definedName name="h_urugan">"$#REF!.$F$9"</definedName>
    <definedName name="h_wind">"$#REF!.$F$49"</definedName>
    <definedName name="h_wiremesh">"$#REF!.$F$26"</definedName>
    <definedName name="hab">#REF!</definedName>
    <definedName name="hab_9">#REF!</definedName>
    <definedName name="haban">#REF!</definedName>
    <definedName name="habantu">#REF!</definedName>
    <definedName name="habantu_9">#REF!</definedName>
    <definedName name="habub">#REF!</definedName>
    <definedName name="habub_9">#REF!</definedName>
    <definedName name="hac">#REF!</definedName>
    <definedName name="hac_9">#REF!</definedName>
    <definedName name="hagis">#REF!</definedName>
    <definedName name="HAGO">#REF!</definedName>
    <definedName name="haha">haha</definedName>
    <definedName name="HAIII">HAIII</definedName>
    <definedName name="HAjdl">#REF!</definedName>
    <definedName name="HAJIME">#REF!</definedName>
    <definedName name="hak">"$#REF!.$Y$5"</definedName>
    <definedName name="hak.1">#REF!</definedName>
    <definedName name="hak.2">#REF!</definedName>
    <definedName name="hakatk">#REF!</definedName>
    <definedName name="hakbs">#REF!</definedName>
    <definedName name="HALIMUN">"$#REF!.$AV$4:$AV$349"</definedName>
    <definedName name="hampar">#REF!</definedName>
    <definedName name="hand">#REF!</definedName>
    <definedName name="handrail">#REF!</definedName>
    <definedName name="HANDRAILING">#REF!</definedName>
    <definedName name="HandshowerB250">#REF!</definedName>
    <definedName name="har_9">"$#REF!.$L$14"</definedName>
    <definedName name="hardener">#REF!</definedName>
    <definedName name="harga">#REF!</definedName>
    <definedName name="harga_10">#REF!</definedName>
    <definedName name="HARGASATUAN">#REF!</definedName>
    <definedName name="hargasubkon">#REF!</definedName>
    <definedName name="hargatiket1jalan">#REF!</definedName>
    <definedName name="hari">#REF!</definedName>
    <definedName name="HARSAT">#REF!</definedName>
    <definedName name="has.200">#REF!</definedName>
    <definedName name="has.200_9">#REF!</definedName>
    <definedName name="hasb">#REF!</definedName>
    <definedName name="hasb_9">#REF!</definedName>
    <definedName name="HASdk">#REF!</definedName>
    <definedName name="hatb">#REF!</definedName>
    <definedName name="hatb_9">#REF!</definedName>
    <definedName name="HB.10">#REF!</definedName>
    <definedName name="HB.15">#REF!</definedName>
    <definedName name="HB.20">#REF!</definedName>
    <definedName name="hbb">#REF!</definedName>
    <definedName name="hbb.05">#REF!</definedName>
    <definedName name="hbb.05_9">#REF!</definedName>
    <definedName name="hbb.1">#REF!</definedName>
    <definedName name="hbb.1_9">#REF!</definedName>
    <definedName name="hbb.10">#REF!</definedName>
    <definedName name="hbb.10_9">#REF!</definedName>
    <definedName name="hbb.2">#REF!</definedName>
    <definedName name="hbb.2_9">#REF!</definedName>
    <definedName name="hbb.3">#REF!</definedName>
    <definedName name="hbb.3_9">#REF!</definedName>
    <definedName name="hbb.5">#REF!</definedName>
    <definedName name="hbb.5_9">#REF!</definedName>
    <definedName name="hbb.7">#REF!</definedName>
    <definedName name="hbb.7_9">#REF!</definedName>
    <definedName name="hbb_9">#REF!</definedName>
    <definedName name="hbensin">#REF!</definedName>
    <definedName name="hbensin_9">#REF!</definedName>
    <definedName name="HBES24">"$#REF!.$J$906"</definedName>
    <definedName name="HBES40">"$#REF!.$J$921"</definedName>
    <definedName name="hbg">#REF!</definedName>
    <definedName name="hbg_9">#REF!</definedName>
    <definedName name="hbk">#REF!</definedName>
    <definedName name="hbk_9">#REF!</definedName>
    <definedName name="hbkp">#REF!</definedName>
    <definedName name="hbkp_9">#REF!</definedName>
    <definedName name="hbl_1012">#REF!</definedName>
    <definedName name="hbl_1014">#REF!</definedName>
    <definedName name="hbl_1514">#REF!</definedName>
    <definedName name="hblw">#REF!</definedName>
    <definedName name="hblw_9">#REF!</definedName>
    <definedName name="hbt">#REF!</definedName>
    <definedName name="hbt_9">#REF!</definedName>
    <definedName name="hbtb">#REF!</definedName>
    <definedName name="hbtb_9">#REF!</definedName>
    <definedName name="hbtk">#REF!</definedName>
    <definedName name="hbtk_9">#REF!</definedName>
    <definedName name="hbtp">#REF!</definedName>
    <definedName name="hbtp_9">#REF!</definedName>
    <definedName name="hbtpb">#REF!</definedName>
    <definedName name="hbtpb_9">#REF!</definedName>
    <definedName name="HC.600.200.8.13">#REF!</definedName>
    <definedName name="hcab">#REF!</definedName>
    <definedName name="hcab_9">#REF!</definedName>
    <definedName name="hcermin">"$#REF!.$K$4862"</definedName>
    <definedName name="hcj">#REF!</definedName>
    <definedName name="hcj_9">#REF!</definedName>
    <definedName name="hcomp">#REF!</definedName>
    <definedName name="hcomp_9">#REF!</definedName>
    <definedName name="hcs">#REF!</definedName>
    <definedName name="hcslab">#REF!</definedName>
    <definedName name="hcv">#REF!</definedName>
    <definedName name="hcv_9">#REF!</definedName>
    <definedName name="hd">#REF!</definedName>
    <definedName name="hdozer">#REF!</definedName>
    <definedName name="hdozer_9">#REF!</definedName>
    <definedName name="Hdpx5">#REF!</definedName>
    <definedName name="hdt.35">#REF!</definedName>
    <definedName name="hdt.35_9">#REF!</definedName>
    <definedName name="hdt.5">#REF!</definedName>
    <definedName name="hdt.5_9">#REF!</definedName>
    <definedName name="hdw">#REF!</definedName>
    <definedName name="HDY">#REF!</definedName>
    <definedName name="he">#REF!</definedName>
    <definedName name="Heä_soá_laép_xaø_H">1.7</definedName>
    <definedName name="heä_soá_sình_laày">"$#REF!.$C$8:$D$8"</definedName>
    <definedName name="Header_Row">ROW(#REF!)</definedName>
    <definedName name="Header_Row_13">ROW(#REF!)</definedName>
    <definedName name="Header_Row_2">ROW(#REF!)</definedName>
    <definedName name="HEALTH___SAFETY">#REF!</definedName>
    <definedName name="Hebel10">#REF!</definedName>
    <definedName name="hedlingtp">#REF!</definedName>
    <definedName name="helo">helo</definedName>
    <definedName name="Heloconia">#REF!</definedName>
    <definedName name="hERO">#REF!</definedName>
    <definedName name="hERO_23">#REF!</definedName>
    <definedName name="hERO_25">#REF!</definedName>
    <definedName name="hERO_aNADUCT">#REF!</definedName>
    <definedName name="hERO_aNADUCT_23">#REF!</definedName>
    <definedName name="hERO_aNADUCT_25">#REF!</definedName>
    <definedName name="hfd3_1">#REF!</definedName>
    <definedName name="hfd3_2">#REF!</definedName>
    <definedName name="hfd5_1">#REF!</definedName>
    <definedName name="hfd5_2">#REF!</definedName>
    <definedName name="hfghf">#REF!</definedName>
    <definedName name="hfy" hidden="1">#REF!</definedName>
    <definedName name="HG">#REF!</definedName>
    <definedName name="hgjj" hidden="1">{"'Sheet1'!$A$1"}</definedName>
    <definedName name="hgrader">#REF!</definedName>
    <definedName name="hgrader_9">#REF!</definedName>
    <definedName name="HH" hidden="1">{"'Sheet1'!$A$1"}</definedName>
    <definedName name="HH_02">#REF!</definedName>
    <definedName name="HH15HT">NA()</definedName>
    <definedName name="HH16HT">NA()</definedName>
    <definedName name="HH19HT">NA()</definedName>
    <definedName name="HH20HT">NA()</definedName>
    <definedName name="hhh">#REF!</definedName>
    <definedName name="hhrs">#REF!</definedName>
    <definedName name="hhrs_9">#REF!</definedName>
    <definedName name="HiddenRows" hidden="1">#REF!</definedName>
    <definedName name="Hidr">#REF!</definedName>
    <definedName name="hidrolik">#REF!</definedName>
    <definedName name="hil">#REF!</definedName>
    <definedName name="hinis">#REF!</definedName>
    <definedName name="hit">#REF!</definedName>
    <definedName name="hitachi">#REF!</definedName>
    <definedName name="hj">#REF!</definedName>
    <definedName name="HJK">#REF!</definedName>
    <definedName name="hjy" hidden="1">{"'Sheet1'!$A$1"}</definedName>
    <definedName name="HK">#REF!</definedName>
    <definedName name="HK125NFA">"$#REF!.$J$623"</definedName>
    <definedName name="HK175NFA">"$#REF!.$J$640"</definedName>
    <definedName name="HK225NFA">"$#REF!.$J$657"</definedName>
    <definedName name="HK250NFA">"$#REF!.$J$674"</definedName>
    <definedName name="HK275NFA">"$#REF!.$J$690"</definedName>
    <definedName name="HK300NFA">"$#REF!.$J$708"</definedName>
    <definedName name="HK350NFA">"$#REF!.$J$725"</definedName>
    <definedName name="HK450NFA">"$#REF!.$J$771"</definedName>
    <definedName name="HK500NFA">"$#REF!.$J$787"</definedName>
    <definedName name="hkb">#REF!</definedName>
    <definedName name="hkb_9">#REF!</definedName>
    <definedName name="hkbaja">#REF!</definedName>
    <definedName name="hkbaja_9">#REF!</definedName>
    <definedName name="hkgb">#REF!</definedName>
    <definedName name="hkgb_9">#REF!</definedName>
    <definedName name="hkh">#REF!</definedName>
    <definedName name="hkoral">#REF!</definedName>
    <definedName name="hkpb">#REF!</definedName>
    <definedName name="hkpb_9">#REF!</definedName>
    <definedName name="hks">#REF!</definedName>
    <definedName name="hks_9">#REF!</definedName>
    <definedName name="hksatp">#REF!</definedName>
    <definedName name="hksatp_9">#REF!</definedName>
    <definedName name="hkukj">#REF!</definedName>
    <definedName name="hkukj_9">#REF!</definedName>
    <definedName name="hkup">#REF!</definedName>
    <definedName name="hkup_9">#REF!</definedName>
    <definedName name="hkyb">#REF!</definedName>
    <definedName name="hkyb_9">#REF!</definedName>
    <definedName name="HLK">#REF!</definedName>
    <definedName name="HM">#REF!</definedName>
    <definedName name="hma">#REF!</definedName>
    <definedName name="hma_9">#REF!</definedName>
    <definedName name="Hmesh6">#REF!</definedName>
    <definedName name="hmf">#REF!</definedName>
    <definedName name="hmf_9">#REF!</definedName>
    <definedName name="hmg.3r">#REF!</definedName>
    <definedName name="hmg.3r_9">#REF!</definedName>
    <definedName name="hmgb">#REF!</definedName>
    <definedName name="hmgb_9">#REF!</definedName>
    <definedName name="hmgrk">#REF!</definedName>
    <definedName name="hmgrk_9">#REF!</definedName>
    <definedName name="hmgt">#REF!</definedName>
    <definedName name="hmgt_9">#REF!</definedName>
    <definedName name="hmp.182">#REF!</definedName>
    <definedName name="hmp.182_9">#REF!</definedName>
    <definedName name="Hmppl">#REF!</definedName>
    <definedName name="hmt">#REF!</definedName>
    <definedName name="hmt_9">#REF!</definedName>
    <definedName name="holi">#REF!</definedName>
    <definedName name="holi_9">#REF!</definedName>
    <definedName name="hollo40x40">#REF!</definedName>
    <definedName name="hollow">#REF!</definedName>
    <definedName name="hollow20x20">#REF!</definedName>
    <definedName name="hollow30x30">#REF!</definedName>
    <definedName name="hollow40x20">#REF!</definedName>
    <definedName name="holo">#REF!</definedName>
    <definedName name="HOMO_4040">#REF!</definedName>
    <definedName name="homo20">#REF!</definedName>
    <definedName name="homo30">#REF!</definedName>
    <definedName name="homo60">#REF!</definedName>
    <definedName name="homogenous10x30polished">#REF!</definedName>
    <definedName name="homogenous10x40polished">#REF!</definedName>
    <definedName name="homogenous10x60polished">#REF!</definedName>
    <definedName name="homogenous30x30polished">#REF!</definedName>
    <definedName name="homogenous40x40polished">#REF!</definedName>
    <definedName name="homogenous60x60">#REF!</definedName>
    <definedName name="homogenous60x60polished">#REF!</definedName>
    <definedName name="HONEY">#REF!</definedName>
    <definedName name="hong">#REF!</definedName>
    <definedName name="HOOK2">#REF!</definedName>
    <definedName name="hook2a">#REF!</definedName>
    <definedName name="HORISONTAL">#REF!</definedName>
    <definedName name="horrybeam">#REF!</definedName>
    <definedName name="hot">#REF!</definedName>
    <definedName name="hotdip">#REF!</definedName>
    <definedName name="HOTEL">HAJIME:OWARI</definedName>
    <definedName name="hotmix">#REF!</definedName>
    <definedName name="hpa_4">#REF!</definedName>
    <definedName name="hpa_5">#REF!</definedName>
    <definedName name="hpa_7a">#REF!</definedName>
    <definedName name="HPARUG">#REF!</definedName>
    <definedName name="hpav">#REF!</definedName>
    <definedName name="hpav_9">#REF!</definedName>
    <definedName name="HPAVING">#REF!</definedName>
    <definedName name="hpb.125">#REF!</definedName>
    <definedName name="hpb.125_9">#REF!</definedName>
    <definedName name="hpb.200hp">#REF!</definedName>
    <definedName name="hpb.200hp_9">#REF!</definedName>
    <definedName name="hpb.500">#REF!</definedName>
    <definedName name="hpb.500_9">#REF!</definedName>
    <definedName name="hpc">#REF!</definedName>
    <definedName name="hpc_9">#REF!</definedName>
    <definedName name="hpj">#REF!</definedName>
    <definedName name="hpj_9">#REF!</definedName>
    <definedName name="hpja_1a">#REF!</definedName>
    <definedName name="hpja_4">#REF!</definedName>
    <definedName name="hpja_5">#REF!</definedName>
    <definedName name="hpja_6">#REF!</definedName>
    <definedName name="hpk_1a">#REF!</definedName>
    <definedName name="hpk_2">#REF!</definedName>
    <definedName name="hpk_3">#REF!</definedName>
    <definedName name="hpk_4">#REF!</definedName>
    <definedName name="hpk_5">#REF!</definedName>
    <definedName name="hpk_5a">#REF!</definedName>
    <definedName name="hpk_6">#REF!</definedName>
    <definedName name="hpk_7">#REF!</definedName>
    <definedName name="hpk_7a">#REF!</definedName>
    <definedName name="hpl">#REF!</definedName>
    <definedName name="hpsaub">#REF!</definedName>
    <definedName name="hpsaub_9">#REF!</definedName>
    <definedName name="hpsp">#REF!</definedName>
    <definedName name="hpsp_9">#REF!</definedName>
    <definedName name="hpsu">#REF!</definedName>
    <definedName name="hpsu_9">#REF!</definedName>
    <definedName name="hpt_1">#REF!</definedName>
    <definedName name="hpt_2">#REF!</definedName>
    <definedName name="hpt_3">#REF!</definedName>
    <definedName name="hpt_4">#REF!</definedName>
    <definedName name="hptdll">#REF!</definedName>
    <definedName name="hptdll_9">#REF!</definedName>
    <definedName name="hQ">#REF!</definedName>
    <definedName name="hQ_9">#REF!</definedName>
    <definedName name="HR">#REF!</definedName>
    <definedName name="hrs">#REF!</definedName>
    <definedName name="hrs_9">#REF!</definedName>
    <definedName name="hs">#REF!</definedName>
    <definedName name="hs.1000">#REF!</definedName>
    <definedName name="hs.1000_9">#REF!</definedName>
    <definedName name="hs_tx">#REF!</definedName>
    <definedName name="HSA.1">#REF!</definedName>
    <definedName name="HSA.2">#REF!</definedName>
    <definedName name="HSA.3">#REF!</definedName>
    <definedName name="HSA.4">#REF!</definedName>
    <definedName name="HSB.1">#REF!</definedName>
    <definedName name="HSB.2">#REF!</definedName>
    <definedName name="HSB.3">#REF!</definedName>
    <definedName name="HSB.4">#REF!</definedName>
    <definedName name="HSB.5">#REF!</definedName>
    <definedName name="HSB.6">#REF!</definedName>
    <definedName name="HSC.1">#REF!</definedName>
    <definedName name="HSC.2">#REF!</definedName>
    <definedName name="HSC.2a">#REF!</definedName>
    <definedName name="HSCT3">0.1</definedName>
    <definedName name="HSD">#REF!</definedName>
    <definedName name="hsdc1">"$#REF!.$J$3"</definedName>
    <definedName name="HSDD">NA()</definedName>
    <definedName name="HSDN">2.5</definedName>
    <definedName name="HSHH">"$#REF!.$B$33"</definedName>
    <definedName name="HSHHUT">"$#REF!.$B$33"</definedName>
    <definedName name="hskk1">"'file:///d:/project/energyhouse2/energyhouse2-mainkontraktor/energyhouse2-mainkontraktor-tender/energyhouse2-mainkontraktor-tender-boq/misc/congviec/tam.xls'#$chitiet.$d$4"</definedName>
    <definedName name="HSM">#REF!</definedName>
    <definedName name="HSNC">"'file:///d:/project/energyhouse2/energyhouse2-mainkontraktor/energyhouse2-mainkontraktor-tender/energyhouse2-mainkontraktor-tender-boq/lu_thanh_binh/d/luu_tru/ltb_ktkh/dz220kv_dau_noi_sau_tram_500kv_ha_tinh/gia_thau.xls'#$du_lieu.$c$6"</definedName>
    <definedName name="hsolar">#REF!</definedName>
    <definedName name="hsolar_9">#REF!</definedName>
    <definedName name="hsp">#REF!</definedName>
    <definedName name="HSP.01">#REF!</definedName>
    <definedName name="HSP.02">#REF!</definedName>
    <definedName name="HSP.03">#REF!</definedName>
    <definedName name="HSP.04">#REF!</definedName>
    <definedName name="HSP.05">#REF!</definedName>
    <definedName name="HSP.06">#REF!</definedName>
    <definedName name="HSP.07">#REF!</definedName>
    <definedName name="hspt">#REF!</definedName>
    <definedName name="HSSL">"$#REF!.$D$8"</definedName>
    <definedName name="hstam">#REF!</definedName>
    <definedName name="hstam_9">#REF!</definedName>
    <definedName name="hstpb">#REF!</definedName>
    <definedName name="hstpb_9">#REF!</definedName>
    <definedName name="HSU">#REF!</definedName>
    <definedName name="HSU.1">#REF!</definedName>
    <definedName name="HSU.2">#REF!</definedName>
    <definedName name="HSU.2a">#REF!</definedName>
    <definedName name="hsut">#REF!</definedName>
    <definedName name="HSVC1">"$#REF!.$C$7"</definedName>
    <definedName name="HSVC2">"$#REF!.$D$7"</definedName>
    <definedName name="HSVC3">"$#REF!.$#REF!$#REF!"</definedName>
    <definedName name="hswt">#REF!</definedName>
    <definedName name="HT">"$#REF!.$H$4:$Z$59"</definedName>
    <definedName name="ht.30x30">#REF!</definedName>
    <definedName name="ht.30x30_9">#REF!</definedName>
    <definedName name="ht_3060">#REF!</definedName>
    <definedName name="ht_4040">#REF!</definedName>
    <definedName name="ht25nc">NA()</definedName>
    <definedName name="ht25vl">NA()</definedName>
    <definedName name="ht325nc">NA()</definedName>
    <definedName name="ht325vl">NA()</definedName>
    <definedName name="ht37k">NA()</definedName>
    <definedName name="ht37nc">NA()</definedName>
    <definedName name="ht50nc">NA()</definedName>
    <definedName name="ht50vl">NA()</definedName>
    <definedName name="htanki">#REF!</definedName>
    <definedName name="htanki_9">#REF!</definedName>
    <definedName name="htfm">#REF!</definedName>
    <definedName name="htfm_6">#REF!</definedName>
    <definedName name="hthjhj" hidden="1">{"'Sheet1'!$A$1"}</definedName>
    <definedName name="HtMix">#REF!</definedName>
    <definedName name="HTML_CodePage" hidden="1">1252</definedName>
    <definedName name="HTML_Control" hidden="1">{"'Sheet1'!$A$1"}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</definedName>
    <definedName name="HTML_LineBefore" hidden="1">FALSE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"Book1"</definedName>
    <definedName name="HTNC">"$#REF!.$#REF!$#REF!"</definedName>
    <definedName name="htnh">#REF!</definedName>
    <definedName name="htnh_9">#REF!</definedName>
    <definedName name="htrailer">#REF!</definedName>
    <definedName name="htrailer_9">#REF!</definedName>
    <definedName name="HTVL">"$#REF!.$#REF!$#REF!"</definedName>
    <definedName name="HUC.2">#REF!</definedName>
    <definedName name="hw" hidden="1">{#N/A,#N/A,FALSE,"REK-S-TPL";#N/A,#N/A,FALSE,"REK-TPML";#N/A,#N/A,FALSE,"RAB-TEMPEL"}</definedName>
    <definedName name="hw_1">#REF!</definedName>
    <definedName name="hw1_1">#REF!</definedName>
    <definedName name="hw1_2">#REF!</definedName>
    <definedName name="hw1_3">#REF!</definedName>
    <definedName name="hw26_1">#REF!</definedName>
    <definedName name="hw3_1">#REF!</definedName>
    <definedName name="hwd1_1">#REF!</definedName>
    <definedName name="hwd1_2">#REF!</definedName>
    <definedName name="hwd1_3">#REF!</definedName>
    <definedName name="hwd1_4">#REF!</definedName>
    <definedName name="hwl.80hp">#REF!</definedName>
    <definedName name="hwl.80hp_9">#REF!</definedName>
    <definedName name="hwp.5">#REF!</definedName>
    <definedName name="hwp.5_9">#REF!</definedName>
    <definedName name="hwt.60hp">#REF!</definedName>
    <definedName name="hwt.60hp_9">#REF!</definedName>
    <definedName name="HydBx">#REF!</definedName>
    <definedName name="hyhkj" hidden="1">{"'Sheet1'!$A$1"}</definedName>
    <definedName name="hyu4t" hidden="1">{"'Sheet1'!$A$1"}</definedName>
    <definedName name="hyut" hidden="1">{"'Sheet1'!$A$1"}</definedName>
    <definedName name="I">NA()</definedName>
    <definedName name="I.2.a">#REF!</definedName>
    <definedName name="I.2.b">#REF!</definedName>
    <definedName name="I.2.c">#REF!</definedName>
    <definedName name="I.2.d">#REF!</definedName>
    <definedName name="I.6.12">#REF!</definedName>
    <definedName name="I.6.4.1">#REF!</definedName>
    <definedName name="I.6.8.1">#REF!</definedName>
    <definedName name="I_A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2É6">NA()</definedName>
    <definedName name="IA">#REF!</definedName>
    <definedName name="Iart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h">#N/A</definedName>
    <definedName name="ICHAN">#REF!</definedName>
    <definedName name="icidal">#REF!</definedName>
    <definedName name="icidal_6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d">#REF!</definedName>
    <definedName name="ID_AHS">#REF!</definedName>
    <definedName name="ideal">#REF!</definedName>
    <definedName name="IDSatuan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hb">#REF!</definedName>
    <definedName name="ihbl">#REF!</definedName>
    <definedName name="IHS">#REF!</definedName>
    <definedName name="ii">"'file://SERVER3/har-data/STRUCTURE PRICE OF BQ KOMPAS GRAMEDIA.xls'#$analisa.$#REF!$#REF!"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_d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jk">#REF!</definedName>
    <definedName name="ijuk">#REF!</definedName>
    <definedName name="ikatanangin16mm">#REF!</definedName>
    <definedName name="ikh">#REF!</definedName>
    <definedName name="IKIP">"$#REF!.$W$4:$W$592"</definedName>
    <definedName name="ilm">#REF!</definedName>
    <definedName name="im">#REF!</definedName>
    <definedName name="IMA">IMA</definedName>
    <definedName name="imam">#REF!</definedName>
    <definedName name="IMB00">#REF!</definedName>
    <definedName name="Impra">#REF!</definedName>
    <definedName name="incli">#REF!</definedName>
    <definedName name="Indek">#REF!</definedName>
    <definedName name="INDEKDETASIR">#REF!</definedName>
    <definedName name="INDEKLOKASI">#REF!</definedName>
    <definedName name="index">#REF!</definedName>
    <definedName name="INDEX_ARS">#REF!</definedName>
    <definedName name="index_arsitektur">#REF!</definedName>
    <definedName name="INDEX_STR">#REF!</definedName>
    <definedName name="Index_Struktur">#REF!</definedName>
    <definedName name="index2">#REF!</definedName>
    <definedName name="INDEXDETASIR">#REF!</definedName>
    <definedName name="INDEXLOKASI">#REF!</definedName>
    <definedName name="injin">#REF!</definedName>
    <definedName name="Injuk">#REF!</definedName>
    <definedName name="Inlet">#REF!</definedName>
    <definedName name="Inlet_d">#REF!</definedName>
    <definedName name="insalb">#REF!</definedName>
    <definedName name="insbs">#REF!</definedName>
    <definedName name="inscs">#REF!</definedName>
    <definedName name="insdet">#REF!</definedName>
    <definedName name="insfs">#REF!</definedName>
    <definedName name="inshs">#REF!</definedName>
    <definedName name="Inst">#REF!</definedName>
    <definedName name="INSU">#REF!</definedName>
    <definedName name="insul">"$Estimasi.$#REF!$6"</definedName>
    <definedName name="INSURANCE">#REF!</definedName>
    <definedName name="int">"$#REF!.$H$11"</definedName>
    <definedName name="int_wp">"$#REF!.$H$10"</definedName>
    <definedName name="int1a">#REF!</definedName>
    <definedName name="int1b">#REF!</definedName>
    <definedName name="int2a">#REF!</definedName>
    <definedName name="int2b">#REF!</definedName>
    <definedName name="integral">#REF!</definedName>
    <definedName name="Inter">#REF!</definedName>
    <definedName name="inti">#REF!</definedName>
    <definedName name="inwrap">#REF!</definedName>
    <definedName name="IOI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PU">#N/A</definedName>
    <definedName name="isi">#REF!</definedName>
    <definedName name="isi_10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lamiyah">#REF!</definedName>
    <definedName name="iso_24">#REF!</definedName>
    <definedName name="iso_48">#REF!</definedName>
    <definedName name="iso_80">#REF!</definedName>
    <definedName name="ITC">#REF!</definedName>
    <definedName name="ITEM">"$#REF!.$B$2:$C$741"</definedName>
    <definedName name="ITEM_PEMBAYARAN_No.">#REF!</definedName>
    <definedName name="iterar">#REF!</definedName>
    <definedName name="iterdw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f">#REF!</definedName>
    <definedName name="IWF.200.100.5.5.8">#REF!</definedName>
    <definedName name="IWF.300.150.6.5.9">#REF!</definedName>
    <definedName name="IWF.300.200.8.12">#REF!</definedName>
    <definedName name="iwf_6">#REF!</definedName>
    <definedName name="iwp">#REF!</definedName>
    <definedName name="IX.c">#REF!</definedName>
    <definedName name="IXb">#REF!</definedName>
    <definedName name="J">NA()</definedName>
    <definedName name="J.1">#REF!</definedName>
    <definedName name="J.10">#REF!</definedName>
    <definedName name="J.11">#REF!</definedName>
    <definedName name="J.12">#REF!</definedName>
    <definedName name="J.13">#REF!</definedName>
    <definedName name="J.14">#REF!</definedName>
    <definedName name="J.15">#REF!</definedName>
    <definedName name="J.16">#REF!</definedName>
    <definedName name="j.2">#REF!</definedName>
    <definedName name="J.2aksen">#REF!</definedName>
    <definedName name="J.3">#REF!</definedName>
    <definedName name="J.4">#REF!</definedName>
    <definedName name="J.4aksen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3">#REF!</definedName>
    <definedName name="J.6.14">#REF!</definedName>
    <definedName name="J.6.7">#REF!</definedName>
    <definedName name="J.6.7a">#REF!</definedName>
    <definedName name="J.6.9">#REF!</definedName>
    <definedName name="J.6.9.1">#REF!</definedName>
    <definedName name="J.7">#REF!</definedName>
    <definedName name="J.8">#REF!</definedName>
    <definedName name="J.9">#REF!</definedName>
    <definedName name="J.KACAALUM">#REF!</definedName>
    <definedName name="J.KACAKAYU">#REF!</definedName>
    <definedName name="j5jj" hidden="1">{"'Sheet1'!$A$1"}</definedName>
    <definedName name="ja">#REF!</definedName>
    <definedName name="Ja.1">#REF!</definedName>
    <definedName name="Ja.2">#REF!</definedName>
    <definedName name="ja_10">#REF!</definedName>
    <definedName name="ja_16">#REF!</definedName>
    <definedName name="ja_17">#REF!</definedName>
    <definedName name="ja_18">#REF!</definedName>
    <definedName name="ja_5">#REF!</definedName>
    <definedName name="ja_6">#REF!</definedName>
    <definedName name="ja_7">#REF!</definedName>
    <definedName name="ja_9">#REF!</definedName>
    <definedName name="ja_9a">#REF!</definedName>
    <definedName name="ja_9b">#REF!</definedName>
    <definedName name="JA_9C">#REF!</definedName>
    <definedName name="jab">#REF!</definedName>
    <definedName name="JABATAN">#REF!</definedName>
    <definedName name="jack">#REF!</definedName>
    <definedName name="JACKHAMMER">#REF!</definedName>
    <definedName name="JAJA">#REF!</definedName>
    <definedName name="JAKARTA_OFFICE">#REF!</definedName>
    <definedName name="jaket">#REF!</definedName>
    <definedName name="JALUSIKAYU">#REF!</definedName>
    <definedName name="jalusikayu\nonjasa">#REF!</definedName>
    <definedName name="jamal">#REF!</definedName>
    <definedName name="jambudipa">#REF!</definedName>
    <definedName name="jang">#REF!</definedName>
    <definedName name="jangan" hidden="1">#REF!</definedName>
    <definedName name="jangkus.bssengkang">#REF!</definedName>
    <definedName name="jangkus.lantaikerja">#REF!</definedName>
    <definedName name="jangkus.pasangan.aanstamping">#REF!</definedName>
    <definedName name="jangkusAanstampeng">#REF!</definedName>
    <definedName name="jangkusanstamping">#REF!</definedName>
    <definedName name="jangkusbetok350">#REF!</definedName>
    <definedName name="jangkusbetonk250">#REF!</definedName>
    <definedName name="jangkusbetonk300">#REF!</definedName>
    <definedName name="jangkusbkspondasi">#REF!</definedName>
    <definedName name="jangkusbksslof">#REF!</definedName>
    <definedName name="jangkusbstulangan">#REF!</definedName>
    <definedName name="jangkusk100123">#REF!</definedName>
    <definedName name="jangkusltkerja">#REF!</definedName>
    <definedName name="jangkuspondasi1.3">#REF!</definedName>
    <definedName name="jangkuspondasi1.4">#REF!</definedName>
    <definedName name="jangkuspondasi1.5">#REF!</definedName>
    <definedName name="jangkusstampeng">#REF!</definedName>
    <definedName name="jangkuswstop150">#REF!</definedName>
    <definedName name="janitor">#REF!</definedName>
    <definedName name="JAPANESE_MESS">#REF!</definedName>
    <definedName name="JASA">#REF!</definedName>
    <definedName name="Jasa___ppn">#REF!</definedName>
    <definedName name="JASD">#REF!</definedName>
    <definedName name="JATISOKO">#REF!</definedName>
    <definedName name="jb">#REF!</definedName>
    <definedName name="Jb.1">#REF!</definedName>
    <definedName name="jbfasb">#REF!</definedName>
    <definedName name="JbrWd">#REF!</definedName>
    <definedName name="jbt">#REF!</definedName>
    <definedName name="jbts">#REF!</definedName>
    <definedName name="JEFTA">#REF!</definedName>
    <definedName name="JEND">#REF!</definedName>
    <definedName name="Jend_1">#REF!</definedName>
    <definedName name="JendBV1">#REF!</definedName>
    <definedName name="JendBV2">#REF!</definedName>
    <definedName name="jendelaalum">#REF!</definedName>
    <definedName name="jendelaalumkaca\nonjasa">#REF!</definedName>
    <definedName name="jendelakayukaca\nonjasa">#REF!</definedName>
    <definedName name="jetpm">#REF!</definedName>
    <definedName name="jfj" hidden="1">{"'Sheet1'!$A$1"}</definedName>
    <definedName name="jghjgjhg">#REF!</definedName>
    <definedName name="JGY_10">#REF!:#REF!</definedName>
    <definedName name="JGY_11">#REF!:#REF!</definedName>
    <definedName name="JGY_12">#REF!:#REF!</definedName>
    <definedName name="JGY_14">#REF!:#REF!</definedName>
    <definedName name="JGY_15">#REF!:#REF!</definedName>
    <definedName name="JGY_16">#REF!:#REF!</definedName>
    <definedName name="JGY_17">#REF!:#REF!</definedName>
    <definedName name="JGY_18">#REF!:#REF!</definedName>
    <definedName name="JGY_19">#REF!:#REF!</definedName>
    <definedName name="JGY_20">#REF!:#REF!</definedName>
    <definedName name="JGY_22">#REF!:#REF!</definedName>
    <definedName name="JGY_23">#REF!:#REF!</definedName>
    <definedName name="JGY_24">#REF!:#REF!</definedName>
    <definedName name="JGY_25">#REF!:#REF!</definedName>
    <definedName name="JGY_5">#REF!:#REF!</definedName>
    <definedName name="JGY_6">#REF!:#REF!</definedName>
    <definedName name="JGY_7">#REF!:#REF!</definedName>
    <definedName name="JGY_8">#REF!:#REF!</definedName>
    <definedName name="Jhamm">#REF!</definedName>
    <definedName name="jik">#REF!</definedName>
    <definedName name="jin">#REF!</definedName>
    <definedName name="jj">#REF!</definedName>
    <definedName name="JJ_12">#REF!</definedName>
    <definedName name="JJ_13">NA()</definedName>
    <definedName name="JJ_19">#REF!</definedName>
    <definedName name="JJ_34">#REF!</definedName>
    <definedName name="JJ_37">#REF!</definedName>
    <definedName name="jjg">#REF!</definedName>
    <definedName name="jjg.1m.KUSEKAYU">#REF!</definedName>
    <definedName name="JJG.1m2.GRCcanopy.rangkachanal100">#REF!</definedName>
    <definedName name="JJG.1m2.GRCclading.rangkahollow">#REF!</definedName>
    <definedName name="JJG.1m2.GRCrangkahollow.clading.relung.lisplank">#REF!</definedName>
    <definedName name="jjg.1m2.J.KACAKAYU">#REF!</definedName>
    <definedName name="jjg.1m2.PINTUTRIPLEK">#REF!</definedName>
    <definedName name="JJG.1set.asbuilt.drawing">#REF!</definedName>
    <definedName name="JJG.1set.asbuiltdrawing">#REF!</definedName>
    <definedName name="JJG.1setpoto">#REF!</definedName>
    <definedName name="JJG.1sheet.doublecylinder">#REF!</definedName>
    <definedName name="JJG.1unit.BV.1">#REF!</definedName>
    <definedName name="JJG.1unit.BV.2">#REF!</definedName>
    <definedName name="JJG.1unit.BV.3">#REF!</definedName>
    <definedName name="JJG.1unit.BV.4">#REF!</definedName>
    <definedName name="JJG.1unit.GRCkolomrangkahollow">#REF!</definedName>
    <definedName name="JJG.1unit.GRCkubah1.rangkahollow">#REF!</definedName>
    <definedName name="JJG.1unit.J.1">#REF!</definedName>
    <definedName name="JJG.1unit.j.2">#REF!</definedName>
    <definedName name="JJG.1unit.J.2aksen">#REF!</definedName>
    <definedName name="JJG.1unit.J.3">#REF!</definedName>
    <definedName name="JJG.1unit.J.4">#REF!</definedName>
    <definedName name="JJG.1unit.J.4aksen">#REF!</definedName>
    <definedName name="JJG.1unit.J.5">#REF!</definedName>
    <definedName name="JJG.1unit.J.6">#REF!</definedName>
    <definedName name="JJG.1unit.J.7">#REF!</definedName>
    <definedName name="JJG.1unit.J.9">#REF!</definedName>
    <definedName name="JJG.1unit.P.1">#REF!</definedName>
    <definedName name="JJG.1unit.P.10">#REF!</definedName>
    <definedName name="JJG.1unit.P.2">#REF!</definedName>
    <definedName name="JJG.1unit.P.2aksen">#REF!</definedName>
    <definedName name="JJG.1unit.P.3">#REF!</definedName>
    <definedName name="JJG.1unit.P.3aksen">#REF!</definedName>
    <definedName name="JJG.1unit.p.4">#REF!</definedName>
    <definedName name="JJG.1unit.p.4aksen">#REF!</definedName>
    <definedName name="JJG.1unit.P.5">#REF!</definedName>
    <definedName name="JJG.1unit.P.6">#REF!</definedName>
    <definedName name="JJG.1unit.P.7">#REF!</definedName>
    <definedName name="JJG.1unit.P.8">#REF!</definedName>
    <definedName name="JJG.1unit.P.PS">#REF!</definedName>
    <definedName name="JJG.1unit.P.PSaksen">#REF!</definedName>
    <definedName name="JJG.1unit.pasang.girderkap.100\150ton">#REF!</definedName>
    <definedName name="JJG.1unit.PJ.1">#REF!</definedName>
    <definedName name="JJG.1unit.PJ.2">#REF!</definedName>
    <definedName name="JJG.1unit.PJ.3">#REF!</definedName>
    <definedName name="JJG.1unit.PJ.4">#REF!</definedName>
    <definedName name="JJG.1unit.S.1">#REF!</definedName>
    <definedName name="JJG.1unit.S.10">#REF!</definedName>
    <definedName name="JJG.1unit.S.11">#REF!</definedName>
    <definedName name="jjg.1unit.S.12">#REF!</definedName>
    <definedName name="JJG.1unit.S.13">#REF!</definedName>
    <definedName name="JJG.1unit.S.14">#REF!</definedName>
    <definedName name="JJG.1unit.S.15">#REF!</definedName>
    <definedName name="JJG.1unit.S.16">#REF!</definedName>
    <definedName name="JJG.1unit.S.17">#REF!</definedName>
    <definedName name="JJG.1unit.S.2">#REF!</definedName>
    <definedName name="JJG.1unit.S.3">#REF!</definedName>
    <definedName name="JJG.1unit.S.4">#REF!</definedName>
    <definedName name="JJG.1unit.S.5">#REF!</definedName>
    <definedName name="JJG.1unit.S.5A">#REF!</definedName>
    <definedName name="JJG.1unit.S.6">#REF!</definedName>
    <definedName name="JJG.1unit.S.7">#REF!</definedName>
    <definedName name="JJG.1unit.S.8">#REF!</definedName>
    <definedName name="JJG.1unit.S.9">#REF!</definedName>
    <definedName name="JJG.1unitS.8A">#REF!</definedName>
    <definedName name="JJG.acian.beton.exposed">#REF!</definedName>
    <definedName name="JJG.alumuniumfoil.primary.smart.foam.8mm">#REF!</definedName>
    <definedName name="JJG.amparan.basecouse.t30cm">#REF!</definedName>
    <definedName name="JJG.astek.tenagakerja">#REF!</definedName>
    <definedName name="JJG.atapbajaringan">#REF!</definedName>
    <definedName name="JJG.atappolycarbonat.rangkahollow">#REF!</definedName>
    <definedName name="JJG.bambujepang">#REF!</definedName>
    <definedName name="JJG.basecorse30">#REF!</definedName>
    <definedName name="jjg.betonlintel.praktis150x200">#REF!</definedName>
    <definedName name="JJG.bongkaran.betonbertulang">#REF!</definedName>
    <definedName name="JJG.bongkaran.dindingtembokbata">#REF!</definedName>
    <definedName name="JJG.bungurjepang">#REF!</definedName>
    <definedName name="JJG.carstoper.tempatpalkir">#REF!</definedName>
    <definedName name="JJG.CARTOPER.4">#REF!</definedName>
    <definedName name="JJg.cat.marka\m2">#REF!</definedName>
    <definedName name="JJG.catplapond">#REF!</definedName>
    <definedName name="JJG.duikerU60">#REF!</definedName>
    <definedName name="JJG.finishing.pekcatdalam">#REF!</definedName>
    <definedName name="JJG.finishing.pekcatluar">#REF!</definedName>
    <definedName name="JJG.finishingmelamik">#REF!</definedName>
    <definedName name="jjg.floorhardener">#REF!</definedName>
    <definedName name="JJG.FLOORHARDENERWARNA">#REF!</definedName>
    <definedName name="JJG.galiandalam1m">#REF!</definedName>
    <definedName name="JJG.galiandalam2m">#REF!</definedName>
    <definedName name="JJG.GILLPOS.grillhollow">#REF!</definedName>
    <definedName name="JJG.grillhollow.posjaga">#REF!</definedName>
    <definedName name="JJG.grouting">#REF!</definedName>
    <definedName name="JJG.HANDRAILING">#REF!</definedName>
    <definedName name="JJG.keamananproyek">#REF!</definedName>
    <definedName name="jjg.keramik20x20unpolised">#REF!</definedName>
    <definedName name="jjg.keramik25x25unpolised">#REF!</definedName>
    <definedName name="jjg.keramik33x33polised">#REF!</definedName>
    <definedName name="jjg.keramik33x33unpolised">#REF!</definedName>
    <definedName name="jjg.keramik40x40polised">#REF!</definedName>
    <definedName name="jjg.keramik40x40unpolised">#REF!</definedName>
    <definedName name="JJG.kiarapayung">#REF!</definedName>
    <definedName name="JJG.klameof.irian">#REF!</definedName>
    <definedName name="jjg.kolompraktis.150x150">#REF!</definedName>
    <definedName name="JJG.kuda2kayu">#REF!</definedName>
    <definedName name="jjg.lantaibetonsikat">#REF!</definedName>
    <definedName name="JJG.lapisan.hotmix5cm">#REF!</definedName>
    <definedName name="JJG.lapisi">#REF!</definedName>
    <definedName name="JJG.liliparis">#REF!</definedName>
    <definedName name="JJG.lisplankkayu3x20">#REF!</definedName>
    <definedName name="JJG.lisplankkayu3x30">#REF!</definedName>
    <definedName name="JJG.loadingtest\65ton">#REF!</definedName>
    <definedName name="JJG.loadingtest\ton">#REF!</definedName>
    <definedName name="JJG.mob.demob.alat.tenagakerja">#REF!</definedName>
    <definedName name="JJG.nokasbes">#REF!</definedName>
    <definedName name="JJG.nokbeton">#REF!</definedName>
    <definedName name="JJG.nokkeramik">#REF!</definedName>
    <definedName name="JJG.nokpalentong">#REF!</definedName>
    <definedName name="JJG.onderlaght">#REF!</definedName>
    <definedName name="JJG.palembismarkia">#REF!</definedName>
    <definedName name="JJG.Papannamaunit">#REF!</definedName>
    <definedName name="JJG.pasang.alumuniumfoil.8mm">#REF!</definedName>
    <definedName name="JJG.pasang.atapzincalum">#REF!</definedName>
    <definedName name="JJG.pasang.bataberongga">#REF!</definedName>
    <definedName name="JJG.pasang.batamerah1.5">#REF!</definedName>
    <definedName name="JJG.pasang.batamerah1.6">#REF!</definedName>
    <definedName name="JJG.pasang.batamerah1.8">#REF!</definedName>
    <definedName name="JJG.pasang.batu.tempel.hitam">#REF!</definedName>
    <definedName name="JJG.pasang.batuparas">#REF!</definedName>
    <definedName name="JJG.pasang.batusikat">#REF!</definedName>
    <definedName name="JJG.pasang.boplank">#REF!</definedName>
    <definedName name="JJG.pasang.border8x25">#REF!</definedName>
    <definedName name="JJG.pasang.CB.10">#REF!</definedName>
    <definedName name="JJG.pasang.CB.15">#REF!</definedName>
    <definedName name="JJG.pasang.CB.20">#REF!</definedName>
    <definedName name="JJG.pasang.doorcluser\set">#REF!</definedName>
    <definedName name="JJG.pasang.doorstop\bh">#REF!</definedName>
    <definedName name="JJG.pasang.engseljendela3inci\ps">#REF!</definedName>
    <definedName name="JJG.pasang.glassblock">#REF!</definedName>
    <definedName name="JJG.pasang.glasswool.WM6">#REF!</definedName>
    <definedName name="JJG.pasang.grassblock">#REF!</definedName>
    <definedName name="JJG.pasang.grendeltanamatas\bh">#REF!</definedName>
    <definedName name="JJG.pasang.grendeltanambawah\buah">#REF!</definedName>
    <definedName name="JJG.pasang.HB.10">#REF!</definedName>
    <definedName name="JJG.pasang.HB.15">#REF!</definedName>
    <definedName name="JJG.pasang.HB.20">#REF!</definedName>
    <definedName name="JJG.pasang.kacaburam5mm\m2">#REF!</definedName>
    <definedName name="JJG.pasang.kacacermin5mm\m2">#REF!</definedName>
    <definedName name="JJG.pasang.kacapolos5mm\m2">#REF!</definedName>
    <definedName name="JJG.pasang.kacapolos6mm\m2">#REF!</definedName>
    <definedName name="JJG.pasang.kacapolos8mm\m2">#REF!</definedName>
    <definedName name="JJG.pasang.kacawarna8mm\m2">#REF!</definedName>
    <definedName name="JJG.pasang.karpet.nilon">#REF!</definedName>
    <definedName name="JJG.pasang.karpetlokal.wool.nilon">#REF!</definedName>
    <definedName name="JJG.pasang.lantaimarmer40x40">#REF!</definedName>
    <definedName name="JJG.pasang.lantaimarmer60x60">#REF!</definedName>
    <definedName name="JJG.pasang.lantaiparquet">#REF!</definedName>
    <definedName name="JJG.pasang.lantaivinyl">#REF!</definedName>
    <definedName name="JJG.pasang.leper.handle\ps">#REF!</definedName>
    <definedName name="JJG.pasang.lisgyfsum">#REF!</definedName>
    <definedName name="JJG.pasang.monoblock.typeCW420J\S516std.set">#REF!</definedName>
    <definedName name="JJG.pasang.monoblock.typeCW867NJ.set">#REF!</definedName>
    <definedName name="JJG.pasang.pavingblock.natural6cm">#REF!</definedName>
    <definedName name="JJG.pasang.pavingblock.warna6cm">#REF!</definedName>
    <definedName name="JJG.pasang.platlisplank.1.2mm">#REF!</definedName>
    <definedName name="JJG.pasang.roster10x20">#REF!</definedName>
    <definedName name="JJG.pasang.rosterbeton20x20">#REF!</definedName>
    <definedName name="JJG.pasang.rosterkeramik20x20">#REF!</definedName>
    <definedName name="JJG.pasang.rosterterawang12x11x24">#REF!</definedName>
    <definedName name="JJG.pasang.senggelombang">#REF!</definedName>
    <definedName name="JJG.pasang.slotrambucis\bh">#REF!</definedName>
    <definedName name="JJG.pasang.slotrambucis\ps">#REF!</definedName>
    <definedName name="JJG.pasang.sparingPVC2.1\2">#REF!</definedName>
    <definedName name="JJG.pasang.sparingPVC3">#REF!</definedName>
    <definedName name="JJG.pasang.sparingPVC4">#REF!</definedName>
    <definedName name="JJG.pasang.stayjendela\ps">#REF!</definedName>
    <definedName name="JJG.pasang.talangbjls40">#REF!</definedName>
    <definedName name="JJG.pasang.talangdtr\jr.zincalume">#REF!</definedName>
    <definedName name="JJG.pasang.talangvertikalPVC21\2">#REF!</definedName>
    <definedName name="JJG.pasang.talangvertikalPVC3">#REF!</definedName>
    <definedName name="JJG.pasang.talangvertikalPVC4">#REF!</definedName>
    <definedName name="JJG.pasang.urinaltype.U370M.set">#REF!</definedName>
    <definedName name="JJG.pasang.wastafeltype.L237V1B.setgantung">#REF!</definedName>
    <definedName name="JJG.pasang.wastafeltype.L521V1A.setmeja">#REF!</definedName>
    <definedName name="JJG.pasangan.batamerah1.3">#REF!</definedName>
    <definedName name="jjg.pasangancansteen15x30x40">#REF!</definedName>
    <definedName name="jjg.pasangancansteen15x30x60">#REF!</definedName>
    <definedName name="JJG.pasangbaturesapan\m3">#REF!</definedName>
    <definedName name="JJG.pasangborder8x20">#REF!</definedName>
    <definedName name="JJG.pasangdindingkeramik20x25">#REF!</definedName>
    <definedName name="JJG.pasangdindingkeramik20x33">#REF!</definedName>
    <definedName name="JJG.pasangdindingkeramik25x45">#REF!</definedName>
    <definedName name="JJG.pasangengsel.pintu4inci\ps">#REF!</definedName>
    <definedName name="JJG.pasanggranitsolid">#REF!</definedName>
    <definedName name="JJG.pasangkarpetlokal.pulwool">#REF!</definedName>
    <definedName name="JJG.pasangkeramiklantai30x30.Unpolised">#REF!</definedName>
    <definedName name="JJG.pasangkeramiklantai60x60.polised">#REF!</definedName>
    <definedName name="JJG.pasangkeramiklantai60x60.Unpolised">#REF!</definedName>
    <definedName name="JJG.pasangkuncitanam\set">#REF!</definedName>
    <definedName name="JJG.pasanglantai.granito30x30">#REF!</definedName>
    <definedName name="JJG.pasanglantai.granito40x40">#REF!</definedName>
    <definedName name="JJG.pasanglantai.granito60x60">#REF!</definedName>
    <definedName name="JJG.pasanglantaikayu.pabrikasi">#REF!</definedName>
    <definedName name="JJG.pasanglantaikeramik30x30.polised">#REF!</definedName>
    <definedName name="JJG.pasangmarmer.solid">#REF!</definedName>
    <definedName name="JJG.pasangrosterkeramik10x20">#REF!</definedName>
    <definedName name="JJG.pelatduiker.8x60x100">#REF!</definedName>
    <definedName name="JJG.pelatduiker.8x80x100">#REF!</definedName>
    <definedName name="JJG.pembersihan.perataan.lahanproyek">#REF!</definedName>
    <definedName name="JJG.pembuatan.direksikit">#REF!</definedName>
    <definedName name="JJG.pembuatan.sumurresapan.dalam\unit">#REF!</definedName>
    <definedName name="JJg.pembuatan.sumurresapan.dalkal\unit">#REF!</definedName>
    <definedName name="JJG.pemuatan.sumurgali.dia100cm\m">#REF!</definedName>
    <definedName name="JJG.penetrasi">#REF!</definedName>
    <definedName name="JJG.penutup.plapond.calciboard">#REF!</definedName>
    <definedName name="JJG.penutup.plapond.GYFSUM">#REF!</definedName>
    <definedName name="JJG.penutup.plapondgyfsum">#REF!</definedName>
    <definedName name="JJG.penutupatap.asbesgelombang">#REF!</definedName>
    <definedName name="JJG.penutupatap.gentengbeton">#REF!</definedName>
    <definedName name="JJG.penutupatap.gentengkeramik">#REF!</definedName>
    <definedName name="JJG.penutupatapgentengpalentong">#REF!</definedName>
    <definedName name="JJG.penyediaan.airkerja">#REF!</definedName>
    <definedName name="JJG.penyediaan.liftbarangsementara">#REF!</definedName>
    <definedName name="JJG.penyediaan.lkerja">#REF!</definedName>
    <definedName name="JJG.penyediaan.saranaairkerja">#REF!</definedName>
    <definedName name="JJG.plapond.calciboard.rangkahollow">#REF!</definedName>
    <definedName name="JJG.plapond.gyfsum.rangkahollow">#REF!</definedName>
    <definedName name="JJG.plapond.gyfsum.rangkasuspen">#REF!</definedName>
    <definedName name="JJG.plapondcalsiboard.rangkakayu">#REF!</definedName>
    <definedName name="JJG.plapondGRC.rangka.Hollow">#REF!</definedName>
    <definedName name="JJG.plapondGRC.rangkakayu">#REF!</definedName>
    <definedName name="JJG.plapondgyfsum.rangkakayu">#REF!</definedName>
    <definedName name="JJG.pohon.angsana\unit">#REF!</definedName>
    <definedName name="JJG.pohon.ceremai">#REF!</definedName>
    <definedName name="JJG.pohon.dadapmerah">#REF!</definedName>
    <definedName name="JJG.pohon.kacapiring">#REF!</definedName>
    <definedName name="JJG.pohon.kecapi">#REF!</definedName>
    <definedName name="JJG.pohon.perduoleander\unit">#REF!</definedName>
    <definedName name="JJG.pohon.sukun">#REF!</definedName>
    <definedName name="JJG.pohon.taiwanbeuti\unit">#REF!</definedName>
    <definedName name="JJG.pohonbambukuning\unit">#REF!</definedName>
    <definedName name="JJG.pohoncemara\unit">#REF!</definedName>
    <definedName name="JJG.pohonketapang\unit">#REF!</definedName>
    <definedName name="JJG.pohonlantana\unit">#REF!</definedName>
    <definedName name="JJG.pohonmanggis\unit">#REF!</definedName>
    <definedName name="JJG.pohonnangka">#REF!</definedName>
    <definedName name="JJG.pohonpalemraja\unit">#REF!</definedName>
    <definedName name="JJG.pohonthetehan\unit">#REF!</definedName>
    <definedName name="JJG.RAILING1">#REF!</definedName>
    <definedName name="jjg.RAILING2">#REF!</definedName>
    <definedName name="JJG.RAILING3">#REF!</definedName>
    <definedName name="JJG.rangkaatapkayu">#REF!</definedName>
    <definedName name="JJG.rangkahollow">#REF!</definedName>
    <definedName name="JJG.rangkametal">#REF!</definedName>
    <definedName name="JJG.rumputgajah\m2">#REF!</definedName>
    <definedName name="JJG.rumputjepang\m2">#REF!</definedName>
    <definedName name="JJG.rumputpeking\m2">#REF!</definedName>
    <definedName name="JJG.saluranairhujan.grevel20cm">#REF!</definedName>
    <definedName name="JJG.saluranU.40batu">#REF!</definedName>
    <definedName name="JJG.saluraU.60batu">#REF!</definedName>
    <definedName name="JJG.sondir\titik">#REF!</definedName>
    <definedName name="JJG.stanlagh">#REF!</definedName>
    <definedName name="JJG.tanaman.heloconia">#REF!</definedName>
    <definedName name="jjg.tiangpancang25x25cm">#REF!</definedName>
    <definedName name="jjg.tiangpancang30x30cm">#REF!</definedName>
    <definedName name="jjg.tiangpancang35x35cm">#REF!</definedName>
    <definedName name="jjg.tiangpancang40x40cm">#REF!</definedName>
    <definedName name="jjg.tiangpancang45x45cm">#REF!</definedName>
    <definedName name="JJG.tutupmhsiku">#REF!</definedName>
    <definedName name="JJGcalci">#REF!</definedName>
    <definedName name="JJGcalciboard">#REF!</definedName>
    <definedName name="jjgcatduco">#REF!</definedName>
    <definedName name="JJGGRC">#REF!</definedName>
    <definedName name="JJGgroutink">#REF!</definedName>
    <definedName name="JJGkeramik20x20">#REF!</definedName>
    <definedName name="JJGkeramik20x20meja">#REF!</definedName>
    <definedName name="JJGkeramik25x25">#REF!</definedName>
    <definedName name="JJGnozing">#REF!</definedName>
    <definedName name="JJGpenutup.plapond.GRC">#REF!</definedName>
    <definedName name="JJGplesteran1.3">#REF!</definedName>
    <definedName name="JJGplesteran1.5">#REF!</definedName>
    <definedName name="JJGplinkeramik10x40">#REF!</definedName>
    <definedName name="JJGrolagbata">#REF!</definedName>
    <definedName name="JJGroster">#REF!</definedName>
    <definedName name="jjjjjj">#REF!</definedName>
    <definedName name="JJK">#REF!</definedName>
    <definedName name="JJUM4C">"$#REF!.$N$1983"</definedName>
    <definedName name="JK">#REF!</definedName>
    <definedName name="JL">#REF!</definedName>
    <definedName name="jm">#REF!</definedName>
    <definedName name="JMLKELUARGA">#REF!</definedName>
    <definedName name="joint">"'file://SERVER3/har-data/STRUCTURE PRICE OF BQ KOMPAS GRAMEDIA.xls'#$analisa.$#REF!$#REF!"</definedName>
    <definedName name="JP">#REF!</definedName>
    <definedName name="JPY">#REF!</definedName>
    <definedName name="jry" hidden="1">{"'Sheet1'!$A$1"}</definedName>
    <definedName name="js">#REF!</definedName>
    <definedName name="Jt1Lm">#REF!</definedName>
    <definedName name="Jt2Lm">#REF!</definedName>
    <definedName name="Jt3Lm">#REF!</definedName>
    <definedName name="JUDUL">#REF!</definedName>
    <definedName name="judul_10">#REF!</definedName>
    <definedName name="JUM4A">NA()</definedName>
    <definedName name="JUM4B">NA()</definedName>
    <definedName name="JUM4C">"$#REF!.$N$1983"</definedName>
    <definedName name="JUM4D">NA()</definedName>
    <definedName name="JUM4E">"$#REF!.$N$2075"</definedName>
    <definedName name="JUM4F">NA()</definedName>
    <definedName name="JUM4G">"$#REF!.$N$2149"</definedName>
    <definedName name="JUM5A">"$#REF!.$L$2207"</definedName>
    <definedName name="JUM5B">"$#REF!.$N$2359"</definedName>
    <definedName name="JUM5C">"$#REF!.$N$2372"</definedName>
    <definedName name="JUM5D">"$#REF!.$N$2383"</definedName>
    <definedName name="JUM5E">"$#REF!.$N$2396"</definedName>
    <definedName name="JUM5F">"$#REF!.$N$2407"</definedName>
    <definedName name="JUM5G">"$#REF!.$N$2419"</definedName>
    <definedName name="JUMLAH" hidden="1">#REF!</definedName>
    <definedName name="JUMLAH_HARGA">"$#REF!.$F$3:$F$2429"</definedName>
    <definedName name="jyj" hidden="1">{"'Sheet1'!$A$1"}</definedName>
    <definedName name="K">#REF!</definedName>
    <definedName name="K.010">#REF!</definedName>
    <definedName name="K.011">#REF!</definedName>
    <definedName name="K.012">#REF!</definedName>
    <definedName name="K.013">#REF!</definedName>
    <definedName name="K.014">#REF!</definedName>
    <definedName name="K.016">#REF!</definedName>
    <definedName name="K.017">#REF!</definedName>
    <definedName name="K.018">#REF!</definedName>
    <definedName name="K.020">#REF!</definedName>
    <definedName name="K.023">#REF!</definedName>
    <definedName name="K.024">#REF!</definedName>
    <definedName name="K.025">#REF!</definedName>
    <definedName name="K.026">#REF!</definedName>
    <definedName name="k.030">#REF!</definedName>
    <definedName name="K.035">#REF!</definedName>
    <definedName name="K.040">#REF!</definedName>
    <definedName name="K.1">#REF!</definedName>
    <definedName name="K.10">#REF!</definedName>
    <definedName name="k.100">#REF!</definedName>
    <definedName name="k.100_9">#REF!</definedName>
    <definedName name="K.110">#REF!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7">#REF!</definedName>
    <definedName name="K.118">#REF!</definedName>
    <definedName name="k.12">#REF!</definedName>
    <definedName name="K.121">#REF!</definedName>
    <definedName name="K.122">#REF!</definedName>
    <definedName name="K.123">#REF!</definedName>
    <definedName name="K.124">#REF!</definedName>
    <definedName name="K.125">#REF!</definedName>
    <definedName name="K.126">#REF!</definedName>
    <definedName name="K.127">#REF!</definedName>
    <definedName name="K.128">#REF!</definedName>
    <definedName name="K.131">#REF!</definedName>
    <definedName name="K.132">#REF!</definedName>
    <definedName name="K.139">#REF!</definedName>
    <definedName name="K.140">#REF!</definedName>
    <definedName name="K.151">#REF!</definedName>
    <definedName name="K.152">#REF!</definedName>
    <definedName name="K.153">#REF!</definedName>
    <definedName name="K.154">#REF!</definedName>
    <definedName name="K.155">#REF!</definedName>
    <definedName name="K.156">#REF!</definedName>
    <definedName name="K.157">#REF!</definedName>
    <definedName name="K.158">#REF!</definedName>
    <definedName name="k.175">#REF!</definedName>
    <definedName name="K.2">#REF!</definedName>
    <definedName name="K.210">#REF!</definedName>
    <definedName name="K.211">#REF!</definedName>
    <definedName name="K.220">#REF!</definedName>
    <definedName name="K.220.Alt">#REF!</definedName>
    <definedName name="K.221">#REF!</definedName>
    <definedName name="K.224">#REF!</definedName>
    <definedName name="K.225">#REF!</definedName>
    <definedName name="k.225.a">#REF!</definedName>
    <definedName name="K.225.Alt">#REF!</definedName>
    <definedName name="K.225.Rob">#REF!</definedName>
    <definedName name="K.225B">#REF!</definedName>
    <definedName name="k.225c">#REF!</definedName>
    <definedName name="K.225TNH">#REF!</definedName>
    <definedName name="K.230">#REF!</definedName>
    <definedName name="K.231">#REF!</definedName>
    <definedName name="K.232">#REF!</definedName>
    <definedName name="K.233">#REF!</definedName>
    <definedName name="k.250">#REF!</definedName>
    <definedName name="k.275">#REF!</definedName>
    <definedName name="K.3">#REF!</definedName>
    <definedName name="k.300">#REF!</definedName>
    <definedName name="K.310">#REF!</definedName>
    <definedName name="k.310bk">#REF!</definedName>
    <definedName name="K.311">#REF!</definedName>
    <definedName name="K.311.Alt.4">#REF!</definedName>
    <definedName name="K.311.ROB">#REF!</definedName>
    <definedName name="K.311.Rob.Tanah">#REF!</definedName>
    <definedName name="K.311A">#REF!</definedName>
    <definedName name="K.311B">#REF!</definedName>
    <definedName name="K.314">#REF!</definedName>
    <definedName name="K.320">#REF!</definedName>
    <definedName name="K.321">#REF!</definedName>
    <definedName name="K.322">#REF!</definedName>
    <definedName name="K.323">#REF!</definedName>
    <definedName name="K.325">#REF!</definedName>
    <definedName name="K.326">#REF!</definedName>
    <definedName name="K.341">#REF!</definedName>
    <definedName name="K.342">#REF!</definedName>
    <definedName name="k.350">#REF!</definedName>
    <definedName name="K.4">#REF!</definedName>
    <definedName name="k.40.40.roman.crk">#REF!</definedName>
    <definedName name="k.400">#REF!</definedName>
    <definedName name="K.410">#REF!</definedName>
    <definedName name="K.410.ROB">#REF!</definedName>
    <definedName name="K.410A">#REF!</definedName>
    <definedName name="K.410B">#REF!</definedName>
    <definedName name="K.411">#REF!</definedName>
    <definedName name="K.411A">#REF!</definedName>
    <definedName name="k.411r">#REF!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#REF!</definedName>
    <definedName name="K.5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4CABLUK">#REF!</definedName>
    <definedName name="K.515">#REF!</definedName>
    <definedName name="K.516">#REF!</definedName>
    <definedName name="k.516b">#REF!</definedName>
    <definedName name="K.517">#REF!</definedName>
    <definedName name="K.520">#REF!</definedName>
    <definedName name="k.520a">#REF!</definedName>
    <definedName name="k.520b">#REF!</definedName>
    <definedName name="K.521">#REF!</definedName>
    <definedName name="K.522">#REF!</definedName>
    <definedName name="K.523">#REF!</definedName>
    <definedName name="k.523bk">#REF!</definedName>
    <definedName name="K.528">#REF!</definedName>
    <definedName name="K.529">#REF!</definedName>
    <definedName name="K.6">#REF!</definedName>
    <definedName name="K.6.10">#REF!</definedName>
    <definedName name="K.6.4">#REF!</definedName>
    <definedName name="K.6.5.1">#REF!</definedName>
    <definedName name="K.6.7">#REF!</definedName>
    <definedName name="K.6.8">#REF!</definedName>
    <definedName name="K.6.9">#REF!</definedName>
    <definedName name="k.60">#REF!</definedName>
    <definedName name="k.60_9">#REF!</definedName>
    <definedName name="K.610">#REF!</definedName>
    <definedName name="K.611">#REF!</definedName>
    <definedName name="K.612">#REF!</definedName>
    <definedName name="K.612.ROB">#REF!</definedName>
    <definedName name="K.613">#REF!</definedName>
    <definedName name="K.614">#REF!</definedName>
    <definedName name="K.615">#REF!</definedName>
    <definedName name="K.615.SCREEN">#REF!</definedName>
    <definedName name="K.616">#REF!</definedName>
    <definedName name="k.616a">#REF!</definedName>
    <definedName name="K.617">#REF!</definedName>
    <definedName name="K.618">#REF!</definedName>
    <definedName name="k.618s">#REF!</definedName>
    <definedName name="K.619">#REF!</definedName>
    <definedName name="K.619ALT">#REF!</definedName>
    <definedName name="K.620">#REF!</definedName>
    <definedName name="K.620ALT">#REF!</definedName>
    <definedName name="K.621">#REF!</definedName>
    <definedName name="K.626">#REF!</definedName>
    <definedName name="K.631">#REF!</definedName>
    <definedName name="K.632">#REF!</definedName>
    <definedName name="K.636">#REF!</definedName>
    <definedName name="K.637">#REF!</definedName>
    <definedName name="K.638">#REF!</definedName>
    <definedName name="K.638A">#REF!</definedName>
    <definedName name="K.639">#REF!</definedName>
    <definedName name="K.640">#REF!</definedName>
    <definedName name="K.641">#REF!</definedName>
    <definedName name="K.641.ROB">#REF!</definedName>
    <definedName name="k.642">#REF!</definedName>
    <definedName name="K.7">#REF!</definedName>
    <definedName name="K.705">#REF!</definedName>
    <definedName name="K.705A">#REF!</definedName>
    <definedName name="K.710">#REF!</definedName>
    <definedName name="K.715">#REF!</definedName>
    <definedName name="K.719">#REF!</definedName>
    <definedName name="K.720">#REF!</definedName>
    <definedName name="K.721">#REF!</definedName>
    <definedName name="K.722">#REF!</definedName>
    <definedName name="K.723">#REF!</definedName>
    <definedName name="K.724">#REF!</definedName>
    <definedName name="K.725">#REF!</definedName>
    <definedName name="K.730">#REF!</definedName>
    <definedName name="K.8">#REF!</definedName>
    <definedName name="k.80">#REF!</definedName>
    <definedName name="k.80_9">#REF!</definedName>
    <definedName name="k.810">#REF!</definedName>
    <definedName name="K.810A">#REF!</definedName>
    <definedName name="K.815">#REF!</definedName>
    <definedName name="k.815a">#REF!</definedName>
    <definedName name="k.815b">#REF!</definedName>
    <definedName name="K.855">#REF!</definedName>
    <definedName name="k.860">#REF!</definedName>
    <definedName name="K.865">#REF!</definedName>
    <definedName name="K.870">#REF!</definedName>
    <definedName name="K.875">#REF!</definedName>
    <definedName name="K.877">#REF!</definedName>
    <definedName name="K.880">#REF!</definedName>
    <definedName name="K.885">#REF!</definedName>
    <definedName name="K.A18">#REF!</definedName>
    <definedName name="k.beton">#REF!</definedName>
    <definedName name="k.ddg.20.25.rmn.crk">#REF!</definedName>
    <definedName name="k.ddg.rmn.20.25.pls">#REF!</definedName>
    <definedName name="k.las">#REF!</definedName>
    <definedName name="k.lnt.rmn.20.20.crk">#REF!</definedName>
    <definedName name="k.lnt.rmn.20.20.pls">#REF!</definedName>
    <definedName name="k.rmmn.30.30.pls">#REF!</definedName>
    <definedName name="k.rmn.30.30.crk">#REF!</definedName>
    <definedName name="k.roman.40.40.polos">#REF!</definedName>
    <definedName name="k.tukang">#REF!</definedName>
    <definedName name="k.zink">#REF!</definedName>
    <definedName name="k_2020">#REF!</definedName>
    <definedName name="K_225">#REF!</definedName>
    <definedName name="k_250">#REF!</definedName>
    <definedName name="k_300">#REF!</definedName>
    <definedName name="k_3030">#REF!</definedName>
    <definedName name="k_35">#REF!</definedName>
    <definedName name="K_350">#REF!</definedName>
    <definedName name="k_400">#REF!</definedName>
    <definedName name="k_57">#REF!</definedName>
    <definedName name="K_9">#REF!</definedName>
    <definedName name="k_qty">#REF!</definedName>
    <definedName name="k_s">#REF!</definedName>
    <definedName name="K_tukang">#REF!</definedName>
    <definedName name="k_up">#REF!</definedName>
    <definedName name="k_z">#REF!</definedName>
    <definedName name="k100ltkerja">#REF!</definedName>
    <definedName name="k10dasar">#REF!</definedName>
    <definedName name="k10lt1">#REF!</definedName>
    <definedName name="k10lt2">#REF!</definedName>
    <definedName name="k10lt3">#REF!</definedName>
    <definedName name="K125FA">#REF!</definedName>
    <definedName name="K125NFA">"$#REF!.$G$143"</definedName>
    <definedName name="k1520b185">#REF!</definedName>
    <definedName name="k15x30x40">#REF!</definedName>
    <definedName name="k15x30x60">#REF!</definedName>
    <definedName name="K175FA">#REF!</definedName>
    <definedName name="K175NFA">#REF!</definedName>
    <definedName name="k1dasar">#REF!</definedName>
    <definedName name="k1lt1">#REF!</definedName>
    <definedName name="k1lt2">#REF!</definedName>
    <definedName name="k1lt3">#REF!</definedName>
    <definedName name="K200NFA">#REF!</definedName>
    <definedName name="k20p">#REF!</definedName>
    <definedName name="K225FA">"$#REF!.$G$132"</definedName>
    <definedName name="K225NFA">#REF!</definedName>
    <definedName name="K250a">#REF!</definedName>
    <definedName name="K250FA">"$#REF!.$G$133"</definedName>
    <definedName name="K250NFA">"$#REF!.$G$146"</definedName>
    <definedName name="K275FA">"$#REF!.$G$134"</definedName>
    <definedName name="K275NFA">"$#REF!.$G$147"</definedName>
    <definedName name="k2b">NA()</definedName>
    <definedName name="k2dasar">#REF!</definedName>
    <definedName name="k2lantai2">#REF!</definedName>
    <definedName name="k2lt1">#REF!</definedName>
    <definedName name="k2lt2">#REF!</definedName>
    <definedName name="k2lt3">#REF!</definedName>
    <definedName name="K300FA">#REF!</definedName>
    <definedName name="k300nfA1">"$analis.$#REF!$#REF!"</definedName>
    <definedName name="K350FA">"$#REF!.$G$136"</definedName>
    <definedName name="k3dasar">#REF!</definedName>
    <definedName name="k3lantai3">#REF!</definedName>
    <definedName name="k3lt.3">#REF!</definedName>
    <definedName name="k3lt1">#REF!</definedName>
    <definedName name="k3lt2">#REF!</definedName>
    <definedName name="k3lt3">#REF!</definedName>
    <definedName name="K400FA">#REF!</definedName>
    <definedName name="k40p">#REF!</definedName>
    <definedName name="K450FA">#REF!</definedName>
    <definedName name="K450NFA">"$#REF!.$G$122"</definedName>
    <definedName name="k4dasar">#REF!</definedName>
    <definedName name="k4lt1">#REF!</definedName>
    <definedName name="k4lt2">#REF!</definedName>
    <definedName name="k4lt3">#REF!</definedName>
    <definedName name="k4lt4">#REF!</definedName>
    <definedName name="K500FA">#REF!</definedName>
    <definedName name="K500NFA">"$#REF!.$G$123"</definedName>
    <definedName name="k50p">#REF!</definedName>
    <definedName name="k5dasar">#REF!</definedName>
    <definedName name="k5lt1">#REF!</definedName>
    <definedName name="k5lt2">#REF!</definedName>
    <definedName name="k5lt3">#REF!</definedName>
    <definedName name="k60p">#REF!</definedName>
    <definedName name="k6dasar">#REF!</definedName>
    <definedName name="k6lt1">#REF!</definedName>
    <definedName name="k6lt2">#REF!</definedName>
    <definedName name="k6lt3">#REF!</definedName>
    <definedName name="K705A">#REF!</definedName>
    <definedName name="k7dasar">#REF!</definedName>
    <definedName name="k7lt1">#REF!</definedName>
    <definedName name="k7lt2">#REF!</definedName>
    <definedName name="k7lt3">#REF!</definedName>
    <definedName name="k8dasar">#REF!</definedName>
    <definedName name="k8lt1">#REF!</definedName>
    <definedName name="k8lt2">#REF!</definedName>
    <definedName name="k8lt3">#REF!</definedName>
    <definedName name="k9dasar">#REF!</definedName>
    <definedName name="k9lt1">#REF!</definedName>
    <definedName name="k9lt2">#REF!</definedName>
    <definedName name="k9lt3">#REF!</definedName>
    <definedName name="ka">#REF!</definedName>
    <definedName name="ka.tk.bs">#REF!</definedName>
    <definedName name="ka.tk.bt">#REF!</definedName>
    <definedName name="ka.tk.cat">#REF!</definedName>
    <definedName name="ka.tk.ky">#REF!</definedName>
    <definedName name="ka.tk.las">#REF!</definedName>
    <definedName name="KAAY">#REF!</definedName>
    <definedName name="kab">#REF!</definedName>
    <definedName name="kab_9">#REF!</definedName>
    <definedName name="kabantu">#REF!</definedName>
    <definedName name="kabantu_9">#REF!</definedName>
    <definedName name="kabel">#REF!</definedName>
    <definedName name="kabet">#REF!</definedName>
    <definedName name="kabet_6">#REF!</definedName>
    <definedName name="kabub">#REF!</definedName>
    <definedName name="kabub_9">#REF!</definedName>
    <definedName name="kac">#REF!</definedName>
    <definedName name="kac_9">#REF!</definedName>
    <definedName name="kaca">#REF!</definedName>
    <definedName name="kaca.3">#REF!</definedName>
    <definedName name="kaca.5">#REF!</definedName>
    <definedName name="kaca.8">#REF!</definedName>
    <definedName name="kaca.es">#REF!</definedName>
    <definedName name="kaca.p.5">#REF!</definedName>
    <definedName name="KACA_A">#REF!</definedName>
    <definedName name="KACA_B">#REF!</definedName>
    <definedName name="KACA_BASE">#REF!</definedName>
    <definedName name="KACA_C">#REF!</definedName>
    <definedName name="kaca5mm\nonjasa">#REF!</definedName>
    <definedName name="kaca5mmburam\nonjasa">#REF!</definedName>
    <definedName name="kaca6">#REF!</definedName>
    <definedName name="kaca6mm\nonjasa">#REF!</definedName>
    <definedName name="kaca8">"$S2.$N$#REF!"</definedName>
    <definedName name="kaca8mm\nonjasa">#REF!</definedName>
    <definedName name="kacabe10">#REF!</definedName>
    <definedName name="kacabe5">#REF!</definedName>
    <definedName name="kacabe8">#REF!</definedName>
    <definedName name="kacaburam5mm">#REF!</definedName>
    <definedName name="kacacermin">#REF!</definedName>
    <definedName name="kacacermin5mm">#REF!</definedName>
    <definedName name="kacacermin5mm\nonjasa">#REF!</definedName>
    <definedName name="kacapolos5mm">#REF!</definedName>
    <definedName name="kacapolos6mm">#REF!</definedName>
    <definedName name="kacatented8mm">#REF!</definedName>
    <definedName name="kacawarna8mm\nonjasa">#REF!</definedName>
    <definedName name="Kait_angin">#REF!</definedName>
    <definedName name="KAJdl">#REF!</definedName>
    <definedName name="KALA">#REF!</definedName>
    <definedName name="KAlAl">#REF!</definedName>
    <definedName name="kalas">#REF!</definedName>
    <definedName name="KALI">#REF!</definedName>
    <definedName name="kalsi">#REF!</definedName>
    <definedName name="kalsi.6">#REF!</definedName>
    <definedName name="kamper">#REF!</definedName>
    <definedName name="kamperbalok">#REF!</definedName>
    <definedName name="kamperpapan">#REF!</definedName>
    <definedName name="kan">#REF!</definedName>
    <definedName name="Kanbb">#REF!</definedName>
    <definedName name="Kanbk">#REF!</definedName>
    <definedName name="KAnc2">#REF!</definedName>
    <definedName name="Kanpv">#REF!</definedName>
    <definedName name="Kansteen">#REF!</definedName>
    <definedName name="kanstincar">#REF!</definedName>
    <definedName name="kanstinjalan">#REF!</definedName>
    <definedName name="kanstinluar">#REF!</definedName>
    <definedName name="kantor">#REF!</definedName>
    <definedName name="kap">#REF!</definedName>
    <definedName name="kap_tamp">#REF!</definedName>
    <definedName name="kapek">#REF!</definedName>
    <definedName name="kapet">#REF!</definedName>
    <definedName name="Kapur_pasang">#REF!</definedName>
    <definedName name="Karbd">#REF!</definedName>
    <definedName name="karekkaca">#REF!</definedName>
    <definedName name="karet.l">#REF!</definedName>
    <definedName name="Karet_talang_60_cm">#REF!</definedName>
    <definedName name="Karp1">#REF!</definedName>
    <definedName name="Karp2">#REF!</definedName>
    <definedName name="karpetfeltex.wool.nylon">#REF!</definedName>
    <definedName name="karpetfeltexwool">#REF!</definedName>
    <definedName name="karpetnylon.lokal">#REF!</definedName>
    <definedName name="karung">#REF!</definedName>
    <definedName name="karyawanharian">#REF!</definedName>
    <definedName name="karyawantetap">#REF!</definedName>
    <definedName name="karyo" hidden="1">{#N/A,#N/A,FALSE,"REK";#N/A,#N/A,FALSE,"Bq-ARS"}</definedName>
    <definedName name="kas.200">#REF!</definedName>
    <definedName name="kas.200_9">#REF!</definedName>
    <definedName name="kasa">#REF!</definedName>
    <definedName name="KASARHALUS">#REF!</definedName>
    <definedName name="kasb">#REF!</definedName>
    <definedName name="kasb_9">#REF!</definedName>
    <definedName name="Kasbor">#REF!</definedName>
    <definedName name="kaso">#REF!</definedName>
    <definedName name="KASOPL">#REF!</definedName>
    <definedName name="kasoreng">#REF!</definedName>
    <definedName name="KASUBDINPERENCANAA">#REF!</definedName>
    <definedName name="KASUBDINPERENCANAA_9">#REF!</definedName>
    <definedName name="katb">#REF!</definedName>
    <definedName name="katb_9">#REF!</definedName>
    <definedName name="KAWA">#REF!</definedName>
    <definedName name="Kawat">#REF!</definedName>
    <definedName name="Kawat_las">#REF!</definedName>
    <definedName name="KAWATBET">#REF!</definedName>
    <definedName name="Kawatbeton">#REF!</definedName>
    <definedName name="kawatbronjong">#REF!</definedName>
    <definedName name="KAWATKASA">#REF!</definedName>
    <definedName name="kawatlas">#REF!</definedName>
    <definedName name="KawAy">#REF!</definedName>
    <definedName name="KawBc">#REF!</definedName>
    <definedName name="kawbet">"$#REF!.$G$108"</definedName>
    <definedName name="KawBj">#REF!</definedName>
    <definedName name="KawBt">#REF!</definedName>
    <definedName name="KawDr">#REF!</definedName>
    <definedName name="KawH2">#REF!</definedName>
    <definedName name="KawH4">#REF!</definedName>
    <definedName name="KawKs">#REF!</definedName>
    <definedName name="KawLl">#REF!</definedName>
    <definedName name="KawNy">#REF!</definedName>
    <definedName name="Kawt1">#REF!</definedName>
    <definedName name="KawTb">#REF!</definedName>
    <definedName name="Kawtl">#REF!</definedName>
    <definedName name="kayalba">#REF!</definedName>
    <definedName name="kaybakar">#REF!</definedName>
    <definedName name="kaykam">#REF!</definedName>
    <definedName name="Kayu">#REF!</definedName>
    <definedName name="Kayu_lokal">#REF!</definedName>
    <definedName name="kayu1">#REF!</definedName>
    <definedName name="kayu2">#REF!</definedName>
    <definedName name="kayu3">#REF!</definedName>
    <definedName name="kayubakar">#REF!</definedName>
    <definedName name="kayubek">#REF!</definedName>
    <definedName name="kayubekisting">#REF!</definedName>
    <definedName name="kayubkt">#REF!</definedName>
    <definedName name="kayujatikelasII">#REF!</definedName>
    <definedName name="kayujatikls1">#REF!</definedName>
    <definedName name="KayuK">#REF!</definedName>
    <definedName name="kayukampersamarinda">#REF!</definedName>
    <definedName name="kayukelas1">#REF!</definedName>
    <definedName name="kayukelas2">#REF!</definedName>
    <definedName name="kayukelas3">#REF!</definedName>
    <definedName name="KAYUKLASII">#REF!</definedName>
    <definedName name="kayuplaf">#REF!</definedName>
    <definedName name="kayuulang">#REF!</definedName>
    <definedName name="kb">#REF!</definedName>
    <definedName name="kb_1000">#REF!</definedName>
    <definedName name="kb_1020">#REF!</definedName>
    <definedName name="kb_1250">#REF!</definedName>
    <definedName name="kb_9">#REF!</definedName>
    <definedName name="kbaja">#REF!</definedName>
    <definedName name="kbaja_9">#REF!</definedName>
    <definedName name="kbb">#REF!</definedName>
    <definedName name="kbb.05">#REF!</definedName>
    <definedName name="kbb.05_9">#REF!</definedName>
    <definedName name="kbb.1">#REF!</definedName>
    <definedName name="kbb.1_9">#REF!</definedName>
    <definedName name="kbb.10">#REF!</definedName>
    <definedName name="kbb.10_9">#REF!</definedName>
    <definedName name="kbb.2">#REF!</definedName>
    <definedName name="kbb.2_9">#REF!</definedName>
    <definedName name="kbb.3">#REF!</definedName>
    <definedName name="kbb.3_9">#REF!</definedName>
    <definedName name="kbb.5">#REF!</definedName>
    <definedName name="kbb.5_9">#REF!</definedName>
    <definedName name="kbb.7">#REF!</definedName>
    <definedName name="kbb.7_9">#REF!</definedName>
    <definedName name="kbb_9">#REF!</definedName>
    <definedName name="kbekol">#REF!</definedName>
    <definedName name="kbensin">#REF!</definedName>
    <definedName name="kbensin_9">#REF!</definedName>
    <definedName name="kbg">#REF!</definedName>
    <definedName name="kbg_9">#REF!</definedName>
    <definedName name="kbk">#REF!</definedName>
    <definedName name="kbk_9">#REF!</definedName>
    <definedName name="kbkp">#REF!</definedName>
    <definedName name="kbkp_9">#REF!</definedName>
    <definedName name="KBL">#REF!</definedName>
    <definedName name="Kbl.Bsr">#REF!</definedName>
    <definedName name="KBL.KCL">#REF!</definedName>
    <definedName name="kbl.sr">#REF!</definedName>
    <definedName name="KBLKT">#REF!</definedName>
    <definedName name="KBLKT_9">#REF!</definedName>
    <definedName name="KBLT">#REF!</definedName>
    <definedName name="KBLT_9">#REF!</definedName>
    <definedName name="KBLTT">#REF!</definedName>
    <definedName name="KBLTT_9">#REF!</definedName>
    <definedName name="kblw">#REF!</definedName>
    <definedName name="kblw_9">#REF!</definedName>
    <definedName name="kbs">#REF!</definedName>
    <definedName name="kbt">#REF!</definedName>
    <definedName name="kbt_9">#REF!</definedName>
    <definedName name="kbtb">#REF!</definedName>
    <definedName name="kbtb_9">#REF!</definedName>
    <definedName name="kbtk">#REF!</definedName>
    <definedName name="kbtk_9">#REF!</definedName>
    <definedName name="kbtp">#REF!</definedName>
    <definedName name="kbtp_9">#REF!</definedName>
    <definedName name="kbtpb">#REF!</definedName>
    <definedName name="kbtpb_9">#REF!</definedName>
    <definedName name="kbtt">#REF!</definedName>
    <definedName name="kc">#REF!</definedName>
    <definedName name="Kc.5mm.10001">#REF!</definedName>
    <definedName name="kcab">#REF!</definedName>
    <definedName name="kcab_9">#REF!</definedName>
    <definedName name="Kcapiring">#REF!</definedName>
    <definedName name="kcb">#REF!</definedName>
    <definedName name="kcermin">#REF!</definedName>
    <definedName name="kcj">#REF!</definedName>
    <definedName name="kcj_9">#REF!</definedName>
    <definedName name="kcl">#REF!</definedName>
    <definedName name="kcn">#REF!</definedName>
    <definedName name="kcomp">#REF!</definedName>
    <definedName name="kcomp_9">#REF!</definedName>
    <definedName name="kcpatri">#REF!</definedName>
    <definedName name="kcpatri1">#REF!</definedName>
    <definedName name="kcpln">#REF!</definedName>
    <definedName name="kcptr">#REF!</definedName>
    <definedName name="kcrb">#REF!</definedName>
    <definedName name="kcs3w">#REF!</definedName>
    <definedName name="kcstw">#REF!</definedName>
    <definedName name="kcv">#REF!</definedName>
    <definedName name="kcv_9">#REF!</definedName>
    <definedName name="kd">#REF!</definedName>
    <definedName name="kd_2020">#REF!</definedName>
    <definedName name="kd_2533">#REF!</definedName>
    <definedName name="kd_3030">#REF!</definedName>
    <definedName name="kd_3350">#REF!</definedName>
    <definedName name="kd_4040">#REF!</definedName>
    <definedName name="kd_b2010">#REF!</definedName>
    <definedName name="kd_b2025">#REF!</definedName>
    <definedName name="kd_b3310">#REF!</definedName>
    <definedName name="kdc">#REF!</definedName>
    <definedName name="kdinding">#REF!</definedName>
    <definedName name="kdozer">#REF!</definedName>
    <definedName name="kdozer_9">#REF!</definedName>
    <definedName name="kdt.35">#REF!</definedName>
    <definedName name="kdt.35_9">#REF!</definedName>
    <definedName name="kdt.5">#REF!</definedName>
    <definedName name="kdt.5_9">#REF!</definedName>
    <definedName name="KE_20">#REF!</definedName>
    <definedName name="KE_30">#REF!</definedName>
    <definedName name="keamanan">#REF!</definedName>
    <definedName name="Kecapi">#REF!</definedName>
    <definedName name="keliling">#REF!</definedName>
    <definedName name="kelon" hidden="1">{#N/A,#N/A,FALSE,"REK";#N/A,#N/A,FALSE,"rab"}</definedName>
    <definedName name="kend">#REF!</definedName>
    <definedName name="Kenek">#REF!</definedName>
    <definedName name="KENEK_TRUK">#REF!</definedName>
    <definedName name="KENEK_TRUK_23">#REF!</definedName>
    <definedName name="KENEK_TRUK_25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tut" hidden="1">{#N/A,#N/A,FALSE,"REK";#N/A,#N/A,FALSE,"rab"}</definedName>
    <definedName name="KEP">#REF!</definedName>
    <definedName name="KEP.SEK.PERENCANAAN">#REF!</definedName>
    <definedName name="KEP.SEK.PERENCANAAN_9">#REF!</definedName>
    <definedName name="KEP.TUKANG">#REF!</definedName>
    <definedName name="Kep_Tk_Batu">#REF!</definedName>
    <definedName name="Kep_Tk_Cat">#REF!</definedName>
    <definedName name="kepala">#REF!</definedName>
    <definedName name="KEPALA_TUKANG_BATU">#REF!</definedName>
    <definedName name="KEPALA_TUKANG_BATU_23">#REF!</definedName>
    <definedName name="KEPALA_TUKANG_BATU_25">#REF!</definedName>
    <definedName name="KEPALA_TUKANG_BESI_BETON">#REF!</definedName>
    <definedName name="KEPALA_TUKANG_BESI_BETON_23">#REF!</definedName>
    <definedName name="KEPALA_TUKANG_BESI_BETON_25">#REF!</definedName>
    <definedName name="KEPALA_TUKANG_BESI_PROFIL">#REF!</definedName>
    <definedName name="KEPALA_TUKANG_BESI_PROFIL_23">#REF!</definedName>
    <definedName name="KEPALA_TUKANG_BESI_PROFIL_25">#REF!</definedName>
    <definedName name="KEPALA_TUKANG_CAT___PELITUR">#REF!</definedName>
    <definedName name="KEPALA_TUKANG_CAT___PELITUR_23">#REF!</definedName>
    <definedName name="KEPALA_TUKANG_CAT___PELITUR_25">#REF!</definedName>
    <definedName name="KEPALA_TUKANG_KAYU">#REF!</definedName>
    <definedName name="KEPALA_TUKANG_KAYU_23">#REF!</definedName>
    <definedName name="KEPALA_TUKANG_KAYU_25">#REF!</definedName>
    <definedName name="Kepala_tukang_las">#REF!</definedName>
    <definedName name="kepalat">#REF!</definedName>
    <definedName name="KEPDINPERMUKIMAN">#REF!</definedName>
    <definedName name="KEPDINPERMUKIMAN_9">#REF!</definedName>
    <definedName name="keptuk">#REF!</definedName>
    <definedName name="Ker.L13">#REF!</definedName>
    <definedName name="keram20">#REF!</definedName>
    <definedName name="keram30">#REF!</definedName>
    <definedName name="keram30polis">#REF!</definedName>
    <definedName name="keram30unpolis">#REF!</definedName>
    <definedName name="keram40">#REF!</definedName>
    <definedName name="Keramik_lantai_20_x_20_cm_kw._I">#REF!</definedName>
    <definedName name="keramik1020">#REF!</definedName>
    <definedName name="keramik20">#REF!</definedName>
    <definedName name="keramik2020">#REF!</definedName>
    <definedName name="keramik20x20">#REF!</definedName>
    <definedName name="keramik20x20meja">#REF!</definedName>
    <definedName name="keramik20x25polis">#REF!</definedName>
    <definedName name="keramik20x33unpol">#REF!</definedName>
    <definedName name="keramik25x25">#REF!</definedName>
    <definedName name="keramik25x33polished">#REF!</definedName>
    <definedName name="keramik25x45">#REF!</definedName>
    <definedName name="keramik30">#REF!</definedName>
    <definedName name="keramik3030">#REF!</definedName>
    <definedName name="keramik30x30">#REF!</definedName>
    <definedName name="keramik325x325nonslip">#REF!</definedName>
    <definedName name="keramik325x975polished">#REF!</definedName>
    <definedName name="keramik33x33unpolised">#REF!</definedName>
    <definedName name="keramik40">#REF!</definedName>
    <definedName name="keramik4040">#REF!</definedName>
    <definedName name="keramik40x40">#REF!</definedName>
    <definedName name="keramik6060">#REF!</definedName>
    <definedName name="keramik60x60polis">#REF!</definedName>
    <definedName name="keramik60x60unpol">#REF!</definedName>
    <definedName name="KeramikDinding2025">#REF!</definedName>
    <definedName name="KeramikLantai2020">#REF!</definedName>
    <definedName name="KeramikLantai3030">#REF!</definedName>
    <definedName name="KeramikStep1020">#REF!</definedName>
    <definedName name="kerba">#REF!</definedName>
    <definedName name="kerbb">#REF!</definedName>
    <definedName name="kerd2020">#REF!</definedName>
    <definedName name="kerddg20">#REF!</definedName>
    <definedName name="kerdin">#REF!</definedName>
    <definedName name="KERIKIL">#REF!</definedName>
    <definedName name="Kerikil.p">#REF!</definedName>
    <definedName name="kerja">#REF!</definedName>
    <definedName name="kerl2020">#REF!</definedName>
    <definedName name="kerla.1m">#REF!</definedName>
    <definedName name="kerla.1p">#REF!</definedName>
    <definedName name="kerla.2m">#REF!</definedName>
    <definedName name="kerla.2p">#REF!</definedName>
    <definedName name="kerlan20">#REF!</definedName>
    <definedName name="kerlan20_6">#REF!</definedName>
    <definedName name="kerlan30">#REF!</definedName>
    <definedName name="kerlt20">#REF!</definedName>
    <definedName name="kerlt30">#REF!</definedName>
    <definedName name="keruksaluran">#REF!</definedName>
    <definedName name="Kerw1">#REF!</definedName>
    <definedName name="Kerw2">#REF!</definedName>
    <definedName name="kerwall20">#REF!</definedName>
    <definedName name="kerwall20_6">#REF!</definedName>
    <definedName name="ketam">#REF!</definedName>
    <definedName name="Ketapang">#REF!</definedName>
    <definedName name="kf">#REF!</definedName>
    <definedName name="kfs">#REF!</definedName>
    <definedName name="kg">#REF!</definedName>
    <definedName name="kgb">#REF!</definedName>
    <definedName name="kgb_9">#REF!</definedName>
    <definedName name="KGmbB">#REF!</definedName>
    <definedName name="KGmbK">#REF!</definedName>
    <definedName name="KGmbS">#REF!</definedName>
    <definedName name="kgrader">#REF!</definedName>
    <definedName name="kgrader_9">#REF!</definedName>
    <definedName name="kgs">#REF!</definedName>
    <definedName name="kh">#REF!</definedName>
    <definedName name="khd">#REF!</definedName>
    <definedName name="khi">#REF!</definedName>
    <definedName name="KHOIRUL">#REF!</definedName>
    <definedName name="khrs">#REF!</definedName>
    <definedName name="khrs_9">#REF!</definedName>
    <definedName name="khts">#REF!</definedName>
    <definedName name="Kiarapayung">#REF!</definedName>
    <definedName name="Kichenzink1lb">#REF!</definedName>
    <definedName name="kickers">#REF!</definedName>
    <definedName name="kipayung">#REF!</definedName>
    <definedName name="kitc100x2x0.6">#REF!</definedName>
    <definedName name="kitc2x100x2x0.6">#REF!</definedName>
    <definedName name="kitchen">#REF!</definedName>
    <definedName name="KitZn">#REF!</definedName>
    <definedName name="KitZs">#REF!</definedName>
    <definedName name="kj.03">#REF!</definedName>
    <definedName name="KJGK">STOP:STOPE</definedName>
    <definedName name="KJGK_10">#REF!:#REF!</definedName>
    <definedName name="KJGK_11">#REF!:#REF!</definedName>
    <definedName name="KJGK_12">#REF!:#REF!</definedName>
    <definedName name="KJGK_14">#REF!:#REF!</definedName>
    <definedName name="KJGK_15">#REF!:#REF!</definedName>
    <definedName name="KJGK_16">#REF!:#REF!</definedName>
    <definedName name="KJGK_17">#REF!:#REF!</definedName>
    <definedName name="KJGK_18">#REF!:#REF!</definedName>
    <definedName name="KJGK_19">#REF!:#REF!</definedName>
    <definedName name="KJGK_20">#REF!:#REF!</definedName>
    <definedName name="KJGK_22">#REF!:#REF!</definedName>
    <definedName name="KJGK_23">#REF!:#REF!</definedName>
    <definedName name="KJGK_24">#REF!:#REF!</definedName>
    <definedName name="KJGK_25">#REF!:#REF!</definedName>
    <definedName name="KJGK_5">#REF!:#REF!</definedName>
    <definedName name="KJGK_6">#REF!:#REF!</definedName>
    <definedName name="KJGK_7">#REF!:#REF!</definedName>
    <definedName name="KJGK_8">#REF!:#REF!</definedName>
    <definedName name="KJH">#REF!</definedName>
    <definedName name="KJH_10">#REF!:#REF!</definedName>
    <definedName name="KJH_11">#REF!:#REF!</definedName>
    <definedName name="KJH_12">#REF!:#REF!</definedName>
    <definedName name="KJH_14">#REF!:#REF!</definedName>
    <definedName name="KJH_15">#REF!:#REF!</definedName>
    <definedName name="KJH_16">#REF!:#REF!</definedName>
    <definedName name="KJH_17">#REF!:#REF!</definedName>
    <definedName name="KJH_18">#REF!:#REF!</definedName>
    <definedName name="KJH_19">#REF!:#REF!</definedName>
    <definedName name="KJH_20">#REF!:#REF!</definedName>
    <definedName name="KJH_22">#REF!:#REF!</definedName>
    <definedName name="KJH_23">#REF!:#REF!</definedName>
    <definedName name="KJH_24">#REF!:#REF!</definedName>
    <definedName name="KJH_25">#REF!:#REF!</definedName>
    <definedName name="KJH_5">#REF!:#REF!</definedName>
    <definedName name="KJH_6">#REF!:#REF!</definedName>
    <definedName name="KJH_7">#REF!:#REF!</definedName>
    <definedName name="KJH_8">#REF!:#REF!</definedName>
    <definedName name="KJHkdashlhfLHd">#REF!</definedName>
    <definedName name="kji">#REF!</definedName>
    <definedName name="kjjsdfiie">#REF!</definedName>
    <definedName name="KJT">#REF!</definedName>
    <definedName name="KK" hidden="1">{"'Sheet1'!$A$1"}</definedName>
    <definedName name="KK_9">#REF!</definedName>
    <definedName name="kk10a">#REF!</definedName>
    <definedName name="kk16a">#REF!</definedName>
    <definedName name="KKamper">#REF!</definedName>
    <definedName name="kkb">#REF!</definedName>
    <definedName name="kkb_9">#REF!</definedName>
    <definedName name="kkbaja">#REF!</definedName>
    <definedName name="kkbaja_9">#REF!</definedName>
    <definedName name="kkgb">#REF!</definedName>
    <definedName name="kkgb_9">#REF!</definedName>
    <definedName name="kkk">#REF!</definedName>
    <definedName name="kkkkkkk">#REF!</definedName>
    <definedName name="kkm">#REF!</definedName>
    <definedName name="KKMAl">#REF!</definedName>
    <definedName name="kknym">#REF!</definedName>
    <definedName name="kknymhy">#REF!</definedName>
    <definedName name="kkpb">#REF!</definedName>
    <definedName name="kkpb_9">#REF!</definedName>
    <definedName name="kks">#REF!</definedName>
    <definedName name="kks_9">#REF!</definedName>
    <definedName name="kksatp">#REF!</definedName>
    <definedName name="kksatp_9">#REF!</definedName>
    <definedName name="KKT">#REF!</definedName>
    <definedName name="KKT_9">#REF!</definedName>
    <definedName name="kkts">#REF!</definedName>
    <definedName name="kkukj">#REF!</definedName>
    <definedName name="kkukj_9">#REF!</definedName>
    <definedName name="kkup">#REF!</definedName>
    <definedName name="kkup_9">#REF!</definedName>
    <definedName name="kkyb">#REF!</definedName>
    <definedName name="kkyb_9">#REF!</definedName>
    <definedName name="kl">#REF!</definedName>
    <definedName name="KL\selasar">#REF!</definedName>
    <definedName name="KL_2020">#REF!</definedName>
    <definedName name="kl_2020p">#REF!</definedName>
    <definedName name="kl_3030">#REF!</definedName>
    <definedName name="kl_3030p">#REF!</definedName>
    <definedName name="kl_3333">#REF!</definedName>
    <definedName name="kl_3333p">#REF!</definedName>
    <definedName name="kl_3333pk">#REF!</definedName>
    <definedName name="kl_4040">#REF!</definedName>
    <definedName name="kl_40401">#REF!</definedName>
    <definedName name="kl_4040d">#REF!</definedName>
    <definedName name="Klameofirian">#REF!</definedName>
    <definedName name="klb">#REF!</definedName>
    <definedName name="kldd1p">NA()</definedName>
    <definedName name="kldd3p">NA()</definedName>
    <definedName name="klem">#REF!</definedName>
    <definedName name="klem.k">#REF!</definedName>
    <definedName name="klengkung">#REF!</definedName>
    <definedName name="klinik">#REF!</definedName>
    <definedName name="klipj">#REF!</definedName>
    <definedName name="KLJ" hidden="1">{"'Sheet1'!$A$1"}</definedName>
    <definedName name="klkgkhghjg">#REF!</definedName>
    <definedName name="klm">#REF!</definedName>
    <definedName name="KLM.1.101">#REF!</definedName>
    <definedName name="KLM.1.101B">#REF!</definedName>
    <definedName name="KLM.1.101E">#REF!</definedName>
    <definedName name="KLM.1.102">#REF!</definedName>
    <definedName name="KLM.1.102B">#REF!</definedName>
    <definedName name="KLM.1.102E">#REF!</definedName>
    <definedName name="KLM.1.103">#REF!</definedName>
    <definedName name="KLM.1.103B">#REF!</definedName>
    <definedName name="KLM.1.103E">#REF!</definedName>
    <definedName name="KLM.2.101">#REF!</definedName>
    <definedName name="KLM.2.101B">#REF!</definedName>
    <definedName name="KLM.2.101E">#REF!</definedName>
    <definedName name="KLM.2.102">#REF!</definedName>
    <definedName name="KLM.2.102B">#REF!</definedName>
    <definedName name="KLM.2.102E">#REF!</definedName>
    <definedName name="KLM.3.101">#REF!</definedName>
    <definedName name="KLM.3.101B">#REF!</definedName>
    <definedName name="KLM.3.101E">#REF!</definedName>
    <definedName name="KLM.3.102">#REF!</definedName>
    <definedName name="KLM.3.102B">#REF!</definedName>
    <definedName name="KLM.3.102E">#REF!</definedName>
    <definedName name="KLM.4.101">#REF!</definedName>
    <definedName name="KLM.4.101B">#REF!</definedName>
    <definedName name="KLM.4.101E">#REF!</definedName>
    <definedName name="KLM.4.102">#REF!</definedName>
    <definedName name="KLM.4.102B">#REF!</definedName>
    <definedName name="KLM.4.102E">#REF!</definedName>
    <definedName name="KLM.TG.101">#REF!</definedName>
    <definedName name="KLM.TG.101B">#REF!</definedName>
    <definedName name="KLM.TG.101E">#REF!</definedName>
    <definedName name="klm_1010">#REF!</definedName>
    <definedName name="klm_kp">#REF!</definedName>
    <definedName name="klm_rata">"'file://SERVER3/har-data/STRUCTURE PRICE OF BQ KOMPAS GRAMEDIA.xls'#$analisa.$#REF!$#REF!"</definedName>
    <definedName name="klmpraktis">#REF!</definedName>
    <definedName name="klos.d">#REF!</definedName>
    <definedName name="klos.ina">#REF!</definedName>
    <definedName name="KlosedJongkok">#REF!</definedName>
    <definedName name="Kloset_jongkok_porselin">#REF!</definedName>
    <definedName name="klp">#REF!</definedName>
    <definedName name="kluis30">#REF!</definedName>
    <definedName name="km">#REF!</definedName>
    <definedName name="kma">#REF!</definedName>
    <definedName name="kma_9">#REF!</definedName>
    <definedName name="kmcs">#REF!</definedName>
    <definedName name="Kmerant">"$#REF!.$G$182"</definedName>
    <definedName name="kmf">#REF!</definedName>
    <definedName name="kmf_9">#REF!</definedName>
    <definedName name="kmg.3r">#REF!</definedName>
    <definedName name="kmg.3r_9">#REF!</definedName>
    <definedName name="kmgb">#REF!</definedName>
    <definedName name="kmgb_9">#REF!</definedName>
    <definedName name="kmgrk">#REF!</definedName>
    <definedName name="kmgrk_9">#REF!</definedName>
    <definedName name="kmgt">#REF!</definedName>
    <definedName name="kmgt_9">#REF!</definedName>
    <definedName name="KMK">#REF!</definedName>
    <definedName name="KMK_9">#REF!</definedName>
    <definedName name="KML">#REF!</definedName>
    <definedName name="KML_9">#REF!</definedName>
    <definedName name="kmm">#REF!</definedName>
    <definedName name="kmong">NA()</definedName>
    <definedName name="KMP">#REF!</definedName>
    <definedName name="kmp.182">#REF!</definedName>
    <definedName name="kmp.182_9">#REF!</definedName>
    <definedName name="kmp.banjar">#REF!</definedName>
    <definedName name="KMP_9">#REF!</definedName>
    <definedName name="KMpost">#REF!</definedName>
    <definedName name="kmt">#REF!</definedName>
    <definedName name="kmt_9">#REF!</definedName>
    <definedName name="kmts">#REF!</definedName>
    <definedName name="kn_1040">#REF!</definedName>
    <definedName name="KNC.PT.10001">#REF!</definedName>
    <definedName name="Knek">#REF!</definedName>
    <definedName name="KNF">#REF!</definedName>
    <definedName name="KNF_23">#REF!</definedName>
    <definedName name="KNF_25">#REF!</definedName>
    <definedName name="know">#REF!</definedName>
    <definedName name="Knyatoh">"$#REF!.$M$56"</definedName>
    <definedName name="ko">#REF!</definedName>
    <definedName name="koa">#REF!</definedName>
    <definedName name="KOBAJ">#REF!</definedName>
    <definedName name="kobaj1">"$Estimasi.$#REF!$943"</definedName>
    <definedName name="kobes">#REF!</definedName>
    <definedName name="KOBES1">"$#REF!.$I$17"</definedName>
    <definedName name="kobet">#REF!</definedName>
    <definedName name="KODE">NA()</definedName>
    <definedName name="KODEAHS">#REF!</definedName>
    <definedName name="kodebahanahs">#REF!</definedName>
    <definedName name="KodeBarang">OFFSET(#REF!,1,0,COUNTA(#REF!)-2,1)</definedName>
    <definedName name="kodok">#REF!</definedName>
    <definedName name="kodokgls">#REF!</definedName>
    <definedName name="KODTK">#REF!</definedName>
    <definedName name="KODTK_9">#REF!</definedName>
    <definedName name="KOEF">"$#REF!.$#REF!$#REF!"</definedName>
    <definedName name="KOEF_6">#REF!</definedName>
    <definedName name="KOEF_AUSD">#REF!</definedName>
    <definedName name="KOEF_EURO">#REF!</definedName>
    <definedName name="koef_rp">#REF!</definedName>
    <definedName name="KOEF_SGD">#REF!</definedName>
    <definedName name="koef_usd">#REF!</definedName>
    <definedName name="KOEF_Yen">#REF!</definedName>
    <definedName name="KOEF1">"$#REF!.$#REF!$#REF!"</definedName>
    <definedName name="koeflingg">#REF!</definedName>
    <definedName name="koeflingk">#REF!</definedName>
    <definedName name="kof">#REF!</definedName>
    <definedName name="koi">#REF!</definedName>
    <definedName name="KOKT">#REF!</definedName>
    <definedName name="KOKT_9">#REF!</definedName>
    <definedName name="kol1525b160">#REF!</definedName>
    <definedName name="kol2030b150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i">#REF!</definedName>
    <definedName name="koli_9">#REF!</definedName>
    <definedName name="koling">#REF!</definedName>
    <definedName name="kolom">#REF!</definedName>
    <definedName name="kolom\k.1GWT">#REF!</definedName>
    <definedName name="kolom1">#REF!</definedName>
    <definedName name="kolom2">#REF!</definedName>
    <definedName name="kolom3">#REF!</definedName>
    <definedName name="kolom4">#REF!</definedName>
    <definedName name="kolom5">#REF!</definedName>
    <definedName name="kolom6">#REF!</definedName>
    <definedName name="kolom7">#REF!</definedName>
    <definedName name="kolom8">#REF!</definedName>
    <definedName name="kolom9">#REF!</definedName>
    <definedName name="kolompraktis">#REF!</definedName>
    <definedName name="kolprak1212">#REF!</definedName>
    <definedName name="kolprak1515">#REF!</definedName>
    <definedName name="Kompound">#REF!</definedName>
    <definedName name="Konci_pintu">#REF!</definedName>
    <definedName name="Konci_pintu_cylinder">#REF!</definedName>
    <definedName name="kond">"$#REF!.$#REF!$#REF!"</definedName>
    <definedName name="KOP">NA()</definedName>
    <definedName name="KORA">#REF!</definedName>
    <definedName name="KORAL">#REF!</definedName>
    <definedName name="KORAL_JAGUNG">#REF!</definedName>
    <definedName name="KORALBETON">#REF!</definedName>
    <definedName name="koralbton">#REF!</definedName>
    <definedName name="kos">#REF!</definedName>
    <definedName name="KOT">#REF!</definedName>
    <definedName name="KOT_9">#REF!</definedName>
    <definedName name="kout">#REF!</definedName>
    <definedName name="koutv">#REF!</definedName>
    <definedName name="kp">#REF!</definedName>
    <definedName name="kp1520b279">#REF!</definedName>
    <definedName name="kp1ph">"$#REF!.$#REF!$#REF!:$#REF!$#REF!"</definedName>
    <definedName name="kpav">#REF!</definedName>
    <definedName name="kpav_9">#REF!</definedName>
    <definedName name="KPAYUNG">#REF!</definedName>
    <definedName name="kpb">#REF!</definedName>
    <definedName name="kpb.125">#REF!</definedName>
    <definedName name="kpb.125_9">#REF!</definedName>
    <definedName name="kpb.200HP">#REF!</definedName>
    <definedName name="kpb.200HP_9">#REF!</definedName>
    <definedName name="kpb.500">#REF!</definedName>
    <definedName name="kpb.500_9">#REF!</definedName>
    <definedName name="kpb_9">#REF!</definedName>
    <definedName name="kpc">#REF!</definedName>
    <definedName name="kpc_9">#REF!</definedName>
    <definedName name="kpj">#REF!</definedName>
    <definedName name="kpj_9">#REF!</definedName>
    <definedName name="Kpkyu">#REF!</definedName>
    <definedName name="kplesteranlama">#REF!</definedName>
    <definedName name="Kpls2">#REF!</definedName>
    <definedName name="Kpls3">#REF!</definedName>
    <definedName name="Kpls5">#REF!</definedName>
    <definedName name="KPO">#REF!</definedName>
    <definedName name="KPO_9">#REF!</definedName>
    <definedName name="kpr">#REF!</definedName>
    <definedName name="Kprsr">#REF!</definedName>
    <definedName name="Kprtb">#REF!</definedName>
    <definedName name="kpsaub">#REF!</definedName>
    <definedName name="kpsaub_9">#REF!</definedName>
    <definedName name="kpsp">#REF!</definedName>
    <definedName name="kpsp_9">#REF!</definedName>
    <definedName name="kpsu">#REF!</definedName>
    <definedName name="kpsu_9">#REF!</definedName>
    <definedName name="Kptbk">#REF!</definedName>
    <definedName name="kptdll">#REF!</definedName>
    <definedName name="kptdll_9">#REF!</definedName>
    <definedName name="KptrB">#REF!</definedName>
    <definedName name="KptrL">#REF!</definedName>
    <definedName name="kQ">#REF!</definedName>
    <definedName name="kQ_9">#REF!</definedName>
    <definedName name="KR.1">#REF!</definedName>
    <definedName name="KR.10">#REF!</definedName>
    <definedName name="KR.11">#REF!</definedName>
    <definedName name="KR.12">#REF!</definedName>
    <definedName name="KR.13">#REF!</definedName>
    <definedName name="KR.14">#REF!</definedName>
    <definedName name="KR.15">#REF!</definedName>
    <definedName name="KR.2">#REF!</definedName>
    <definedName name="KR.21">#REF!</definedName>
    <definedName name="KR.22">#REF!</definedName>
    <definedName name="KR.23">#REF!</definedName>
    <definedName name="KR.24">#REF!</definedName>
    <definedName name="KR.25">#REF!</definedName>
    <definedName name="KR.26">#REF!</definedName>
    <definedName name="KR.27">#REF!</definedName>
    <definedName name="KR.29">#REF!</definedName>
    <definedName name="KR.3">#REF!</definedName>
    <definedName name="KR.4">#REF!</definedName>
    <definedName name="KR.5">#REF!</definedName>
    <definedName name="KR.6">#REF!</definedName>
    <definedName name="KR.7">#REF!</definedName>
    <definedName name="KR.8">#REF!</definedName>
    <definedName name="KR.9">#REF!</definedName>
    <definedName name="kr_ba">#REF!</definedName>
    <definedName name="kran">#REF!</definedName>
    <definedName name="kran.bbk">#REF!</definedName>
    <definedName name="kran.ddg">#REF!</definedName>
    <definedName name="Kran_air__ø_1_2___EX.Sun_Ei_Japan">#REF!</definedName>
    <definedName name="Kran_air__ø_3_4">#REF!</definedName>
    <definedName name="Kran_air_handel_kit_ø_1_2">#REF!</definedName>
    <definedName name="KranAngsa">#REF!</definedName>
    <definedName name="KranShower">#REF!</definedName>
    <definedName name="KranT23B13V7N">#REF!</definedName>
    <definedName name="KranT30AR13V7N">#REF!</definedName>
    <definedName name="KranTX603KM">#REF!</definedName>
    <definedName name="KRB">#REF!</definedName>
    <definedName name="Krbn3">#REF!</definedName>
    <definedName name="Krbn5">#REF!</definedName>
    <definedName name="krikil">#REF!</definedName>
    <definedName name="krm">#REF!</definedName>
    <definedName name="krmi30x30polis">#REF!</definedName>
    <definedName name="krmk10">#REF!</definedName>
    <definedName name="krmk10wr">#REF!</definedName>
    <definedName name="krmk20">#REF!</definedName>
    <definedName name="krmk20wr">#REF!</definedName>
    <definedName name="krmk20x20">#REF!</definedName>
    <definedName name="krmk20x20unpol">#REF!</definedName>
    <definedName name="krmk25x25">#REF!</definedName>
    <definedName name="krmk25x45">#REF!</definedName>
    <definedName name="krmk30">#REF!</definedName>
    <definedName name="krmk30wr">#REF!</definedName>
    <definedName name="krmk30x30unpol">#REF!</definedName>
    <definedName name="krmk33x33">#REF!</definedName>
    <definedName name="krmk33x33antislip">#REF!</definedName>
    <definedName name="krmk33x33polished">#REF!</definedName>
    <definedName name="krmk40x40">#REF!</definedName>
    <definedName name="KrnPD">#REF!</definedName>
    <definedName name="krstn">#REF!</definedName>
    <definedName name="KrtAP">#REF!</definedName>
    <definedName name="ks">#REF!</definedName>
    <definedName name="KS.1\selasr">#REF!</definedName>
    <definedName name="ks.1000">#REF!</definedName>
    <definedName name="ks.1000_9">#REF!</definedName>
    <definedName name="KS.2\selasar">#REF!</definedName>
    <definedName name="KS.2A\selasar">#REF!</definedName>
    <definedName name="ks_9">#REF!</definedName>
    <definedName name="ks57bs">#REF!</definedName>
    <definedName name="ks57kbj">#REF!</definedName>
    <definedName name="ks57km">#REF!</definedName>
    <definedName name="ks57ras">#REF!</definedName>
    <definedName name="ksatp">#REF!</definedName>
    <definedName name="ksatp_9">#REF!</definedName>
    <definedName name="KSENGON">#REF!</definedName>
    <definedName name="KSES2">#REF!</definedName>
    <definedName name="ksk">#REF!</definedName>
    <definedName name="ksl">#REF!</definedName>
    <definedName name="Ksn.Jt.10001">#REF!</definedName>
    <definedName name="ksolar">#REF!</definedName>
    <definedName name="ksolar_9">#REF!</definedName>
    <definedName name="KSP">#REF!</definedName>
    <definedName name="KSP_9">#REF!</definedName>
    <definedName name="ksr">#REF!</definedName>
    <definedName name="KST">#REF!</definedName>
    <definedName name="KST_9">#REF!</definedName>
    <definedName name="KSt2K">#REF!</definedName>
    <definedName name="kstam">#REF!</definedName>
    <definedName name="kstam_9">#REF!</definedName>
    <definedName name="kstpb">#REF!</definedName>
    <definedName name="kstpb_9">#REF!</definedName>
    <definedName name="kt">#REF!</definedName>
    <definedName name="kt.30x30">#REF!</definedName>
    <definedName name="kt.30x30_9">#REF!</definedName>
    <definedName name="kt_9">#REF!</definedName>
    <definedName name="ktanki">#REF!</definedName>
    <definedName name="ktanki_9">#REF!</definedName>
    <definedName name="ktb">#REF!</definedName>
    <definedName name="ktb_6">#REF!</definedName>
    <definedName name="KTBA">#REF!</definedName>
    <definedName name="ktbb">#REF!</definedName>
    <definedName name="KTBE">#REF!</definedName>
    <definedName name="ktbes">#REF!</definedName>
    <definedName name="ktbes_6">#REF!</definedName>
    <definedName name="ktbp">#REF!</definedName>
    <definedName name="ktbs">#REF!</definedName>
    <definedName name="ktbt">#REF!</definedName>
    <definedName name="ktc">#REF!</definedName>
    <definedName name="ktc_6">#REF!</definedName>
    <definedName name="Ktca">#REF!</definedName>
    <definedName name="ktcat">#REF!</definedName>
    <definedName name="ktg1adasar">#REF!</definedName>
    <definedName name="ktg1dasar">#REF!</definedName>
    <definedName name="ktg2dasar">#REF!</definedName>
    <definedName name="ktg2dsar">#REF!</definedName>
    <definedName name="ktk">#REF!</definedName>
    <definedName name="ktk.b">#REF!</definedName>
    <definedName name="ktk.bs">#REF!</definedName>
    <definedName name="ktk.c">#REF!</definedName>
    <definedName name="ktk.k">#REF!</definedName>
    <definedName name="ktk.L">#REF!</definedName>
    <definedName name="ktk.Ls">#REF!</definedName>
    <definedName name="ktk_6">#REF!</definedName>
    <definedName name="KTKA">#REF!</definedName>
    <definedName name="ktkayu">#REF!</definedName>
    <definedName name="KTKBATU">#REF!</definedName>
    <definedName name="ktkbesi">#REF!</definedName>
    <definedName name="ktkcat">#REF!</definedName>
    <definedName name="ktkgali">#REF!</definedName>
    <definedName name="ktkkayu">#REF!</definedName>
    <definedName name="KTKPOLI">#REF!</definedName>
    <definedName name="ktktembok">#REF!</definedName>
    <definedName name="ktky">#REF!</definedName>
    <definedName name="ktlas">#REF!</definedName>
    <definedName name="ktlistrk">#REF!</definedName>
    <definedName name="ktnh">#REF!</definedName>
    <definedName name="ktnh_9">#REF!</definedName>
    <definedName name="ktplambing">#REF!</definedName>
    <definedName name="ktpm">#REF!</definedName>
    <definedName name="ktr">#REF!</definedName>
    <definedName name="ktrailer">#REF!</definedName>
    <definedName name="ktrailer_9">#REF!</definedName>
    <definedName name="Kttp5">#REF!</definedName>
    <definedName name="ktukang">#REF!</definedName>
    <definedName name="ktukangbatu">#REF!</definedName>
    <definedName name="ktukangkayu">#REF!</definedName>
    <definedName name="KTUN">#REF!</definedName>
    <definedName name="KUANTITAS">#REF!</definedName>
    <definedName name="KUAS">#REF!</definedName>
    <definedName name="kuas_6">#REF!</definedName>
    <definedName name="kuas2.5">#REF!</definedName>
    <definedName name="kuasrool8">#REF!</definedName>
    <definedName name="Kubot">#REF!</definedName>
    <definedName name="kuda">#REF!</definedName>
    <definedName name="kudakamper">#REF!</definedName>
    <definedName name="kudakls2">#REF!</definedName>
    <definedName name="kudakru">#REF!</definedName>
    <definedName name="kudamedan">#REF!</definedName>
    <definedName name="kukj">#REF!</definedName>
    <definedName name="kukj_9">#REF!</definedName>
    <definedName name="KULIM">#REF!</definedName>
    <definedName name="Kumpn">#REF!</definedName>
    <definedName name="kun">#REF!</definedName>
    <definedName name="kunci">"$#REF!.$A$2:$E$27"</definedName>
    <definedName name="kunci1">#REF!</definedName>
    <definedName name="kunci2">#REF!</definedName>
    <definedName name="Kunci2slagmmenengah">#REF!</definedName>
    <definedName name="kuncipintu\nonjasa">#REF!</definedName>
    <definedName name="kuncitanam">#REF!</definedName>
    <definedName name="kuo">#REF!</definedName>
    <definedName name="Kuosin">"$#REF!.$H$164"</definedName>
    <definedName name="kup">#REF!</definedName>
    <definedName name="kup_9">#REF!</definedName>
    <definedName name="kupi.1">#REF!</definedName>
    <definedName name="kupi.2">#REF!</definedName>
    <definedName name="KUS">#REF!</definedName>
    <definedName name="KUSEKAYU">#REF!</definedName>
    <definedName name="kusen">#REF!</definedName>
    <definedName name="kusen.alum">#REF!</definedName>
    <definedName name="kusen.c.100\nonjasa">#REF!</definedName>
    <definedName name="kusen.c.125\nonjasa">#REF!</definedName>
    <definedName name="kusen.c.150\nonjasa">#REF!</definedName>
    <definedName name="kusen.siku.40\nonjasa">#REF!</definedName>
    <definedName name="kusen.siku50\nonjasa">#REF!</definedName>
    <definedName name="KUSEN__PINTU__JENDELA__ALAT_ALAT_PENGGANTUNG_DAN_CURTAIN_WALL">#REF!</definedName>
    <definedName name="KUSEN_A">#REF!</definedName>
    <definedName name="KUSEN_B">#REF!</definedName>
    <definedName name="KUSEN_BASE">#REF!</definedName>
    <definedName name="KUSEN_C">#REF!</definedName>
    <definedName name="KUSENALUM">#REF!</definedName>
    <definedName name="kusenalum\nonjasa">#REF!</definedName>
    <definedName name="kusenalum3">#REF!</definedName>
    <definedName name="kusenalum4">#REF!</definedName>
    <definedName name="kusenalume3\nonojasa">#REF!</definedName>
    <definedName name="KUSENBAJA">#REF!</definedName>
    <definedName name="KUSENBAJA1">#REF!</definedName>
    <definedName name="KUSENBAJA2">#REF!</definedName>
    <definedName name="kusenkamper">#REF!</definedName>
    <definedName name="kusenkayu\nonjasa">#REF!</definedName>
    <definedName name="kusenkls2">#REF!</definedName>
    <definedName name="KusenPA1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sensamar">#REF!</definedName>
    <definedName name="KUSENSIKU">#REF!</definedName>
    <definedName name="KUSENSIKU4">#REF!</definedName>
    <definedName name="KUSENSIKU5">#REF!</definedName>
    <definedName name="kutamanis">#REF!</definedName>
    <definedName name="kutp">#REF!</definedName>
    <definedName name="Kuz">#REF!</definedName>
    <definedName name="kv">#REF!</definedName>
    <definedName name="kvc">#REF!</definedName>
    <definedName name="Kwas">#REF!</definedName>
    <definedName name="Kwas3">#REF!</definedName>
    <definedName name="kwbtn">#REF!</definedName>
    <definedName name="kwdr">#REF!</definedName>
    <definedName name="kwh1st">#REF!</definedName>
    <definedName name="kwh3st">#REF!</definedName>
    <definedName name="kwharm">#REF!</definedName>
    <definedName name="kwl.80hp">#REF!</definedName>
    <definedName name="kwl.80hp_9">#REF!</definedName>
    <definedName name="KWLas">#REF!</definedName>
    <definedName name="kwp.5">#REF!</definedName>
    <definedName name="kwp.5_9">#REF!</definedName>
    <definedName name="kwt.60hp">#REF!</definedName>
    <definedName name="kwt.60hp_9">#REF!</definedName>
    <definedName name="kwtbeton">#REF!</definedName>
    <definedName name="kwtbton">#REF!</definedName>
    <definedName name="kwtlas">#REF!</definedName>
    <definedName name="ky">#REF!</definedName>
    <definedName name="KY.JT.10001">#REF!</definedName>
    <definedName name="KYal2">#REF!</definedName>
    <definedName name="kyb">#REF!</definedName>
    <definedName name="kyb_9">#REF!</definedName>
    <definedName name="KyHt1">#REF!</definedName>
    <definedName name="KyHt2">#REF!</definedName>
    <definedName name="KyHt3">#REF!</definedName>
    <definedName name="KYK">#REF!</definedName>
    <definedName name="Kytrt">#REF!</definedName>
    <definedName name="kyuborneo">#REF!</definedName>
    <definedName name="kyukmper">#REF!</definedName>
    <definedName name="kz">#REF!</definedName>
    <definedName name="kzink">#REF!</definedName>
    <definedName name="L" hidden="1">#REF!</definedName>
    <definedName name="L.061">#REF!</definedName>
    <definedName name="L.071">#REF!</definedName>
    <definedName name="L.072">#REF!</definedName>
    <definedName name="L.073">#REF!</definedName>
    <definedName name="L.079">#REF!</definedName>
    <definedName name="L.081">#REF!</definedName>
    <definedName name="L.082">#REF!</definedName>
    <definedName name="L.089">#REF!</definedName>
    <definedName name="L.091">#REF!</definedName>
    <definedName name="L.092">#REF!</definedName>
    <definedName name="L.099">#REF!</definedName>
    <definedName name="L.1">#REF!</definedName>
    <definedName name="L.101">#REF!</definedName>
    <definedName name="L.103">#REF!</definedName>
    <definedName name="L.106">#REF!</definedName>
    <definedName name="L.4">#REF!</definedName>
    <definedName name="L.6.12">#REF!</definedName>
    <definedName name="L.SARI">#REF!</definedName>
    <definedName name="l.tl40">#REF!</definedName>
    <definedName name="l.xl40">#REF!</definedName>
    <definedName name="l_2">#REF!</definedName>
    <definedName name="L_A">#REF!</definedName>
    <definedName name="L_B">#REF!</definedName>
    <definedName name="L_BASE">#REF!</definedName>
    <definedName name="L_bowh_ø_2___maspion_D">#REF!</definedName>
    <definedName name="L_bowh_ø_4___maspion_D">#REF!</definedName>
    <definedName name="L_C">#REF!</definedName>
    <definedName name="l_pk5">#REF!</definedName>
    <definedName name="l1ti50">#REF!</definedName>
    <definedName name="l1ti60">#REF!</definedName>
    <definedName name="L2x2x3">"$#REF!.$D$11"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3x3x1">"$#REF!.$D$12"</definedName>
    <definedName name="laba">#REF!</definedName>
    <definedName name="labet12">#REF!</definedName>
    <definedName name="LABO">#REF!</definedName>
    <definedName name="labour">#REF!</definedName>
    <definedName name="LABOUR_CAMP">#REF!</definedName>
    <definedName name="Lacak">#REF!</definedName>
    <definedName name="laci">#REF!</definedName>
    <definedName name="laci_10">#REF!</definedName>
    <definedName name="laci_2">#REF!</definedName>
    <definedName name="laci_5">#REF!</definedName>
    <definedName name="laci_8">#REF!</definedName>
    <definedName name="laci_9">#REF!</definedName>
    <definedName name="LAcr4">#REF!</definedName>
    <definedName name="LADDER">#REF!</definedName>
    <definedName name="LAINLAIN">#REF!</definedName>
    <definedName name="laker">#REF!</definedName>
    <definedName name="lama">#REF!</definedName>
    <definedName name="lamber.1">#REF!</definedName>
    <definedName name="LAMPU">#REF!</definedName>
    <definedName name="lampu.m">#REF!</definedName>
    <definedName name="Lampu_Pijar_25_watt_philips">#REF!</definedName>
    <definedName name="Lampu_TL_20_watt">#REF!</definedName>
    <definedName name="Lampu_TL_40_watt">#REF!</definedName>
    <definedName name="lan12b145">#REF!</definedName>
    <definedName name="lan30b220">#REF!</definedName>
    <definedName name="langitbaru">#REF!</definedName>
    <definedName name="langitulang">#REF!</definedName>
    <definedName name="lanker40">#REF!</definedName>
    <definedName name="Lanscape">#REF!</definedName>
    <definedName name="LANTAI_P3">#REF!</definedName>
    <definedName name="lantai30">#REF!</definedName>
    <definedName name="lantaibeton225">#REF!</definedName>
    <definedName name="lantaibtn225">#REF!</definedName>
    <definedName name="lantaikarpet">#REF!</definedName>
    <definedName name="lantaikayupabrikasi">#REF!</definedName>
    <definedName name="lantaikerja">#REF!</definedName>
    <definedName name="lantaikerjasloof">#REF!</definedName>
    <definedName name="Lantana">#REF!</definedName>
    <definedName name="lantkrj">#REF!</definedName>
    <definedName name="lapisi">#REF!</definedName>
    <definedName name="las.dop">#REF!</definedName>
    <definedName name="Last_Row" localSheetId="0">IF('BOQ (Non Cbl Chiler Exis) (1)'!Values_Entered,[0]!Header_Row+'BOQ (Non Cbl Chiler Exis) (1)'!Number_of_Payments,[0]!Header_Row)</definedName>
    <definedName name="Last_Row">IF(Values_Entered,Header_Row+Number_of_Payments,Header_Row)</definedName>
    <definedName name="Last_Row_13">IF(Values_Entered_13,Header_Row_13+Number_of_Payments_13,Header_Row_13)</definedName>
    <definedName name="Last_Row_2" localSheetId="0">IF(Values_Entered_2,[0]!Header_Row_2+Number_of_Payments_2,[0]!Header_Row_2)</definedName>
    <definedName name="Last_Row_2">IF(Values_Entered_2,Header_Row_2+Number_of_Payments_2,Header_Row_2)</definedName>
    <definedName name="latab30">#REF!</definedName>
    <definedName name="LATTG">#REF!</definedName>
    <definedName name="LaunchingBox">#REF!</definedName>
    <definedName name="lav">#REF!</definedName>
    <definedName name="lavatory521">#REF!</definedName>
    <definedName name="lavatory830">#REF!</definedName>
    <definedName name="LBR">#REF!</definedName>
    <definedName name="lc">"$#REF!.$I$41"</definedName>
    <definedName name="lcf_p">#REF!</definedName>
    <definedName name="lcf_s">#REF!</definedName>
    <definedName name="ldrat10">#REF!</definedName>
    <definedName name="ldrat12">#REF!</definedName>
    <definedName name="ldrat8">#REF!</definedName>
    <definedName name="LE">#REF!</definedName>
    <definedName name="leb">#REF!</definedName>
    <definedName name="lebar">#REF!</definedName>
    <definedName name="lebar_10">#REF!</definedName>
    <definedName name="LEGAL_WELFARE">#REF!</definedName>
    <definedName name="lem">#REF!</definedName>
    <definedName name="lem.c">#REF!</definedName>
    <definedName name="LEMFOX">#REF!</definedName>
    <definedName name="lemkayu">#REF!</definedName>
    <definedName name="LemKn">#REF!</definedName>
    <definedName name="lemkuning">#REF!</definedName>
    <definedName name="lempar">#REF!</definedName>
    <definedName name="lempinil">#REF!</definedName>
    <definedName name="LemPt">#REF!</definedName>
    <definedName name="lemputih">#REF!</definedName>
    <definedName name="LemPV">#REF!</definedName>
    <definedName name="lemPVC">#REF!</definedName>
    <definedName name="leper.handle\ps">#REF!</definedName>
    <definedName name="leperhandle\nonjasa">#REF!</definedName>
    <definedName name="Lett" hidden="1">#REF!</definedName>
    <definedName name="Leverhandlegriff1224\2051.f1">#REF!</definedName>
    <definedName name="lf">#REF!</definedName>
    <definedName name="lg">#REF!</definedName>
    <definedName name="lg_4">#REF!</definedName>
    <definedName name="lg_5">#REF!</definedName>
    <definedName name="lg_7">#REF!</definedName>
    <definedName name="lgld100">#REF!</definedName>
    <definedName name="lgld70">#REF!</definedName>
    <definedName name="lgld80">#REF!</definedName>
    <definedName name="lgs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gyf">#REF!</definedName>
    <definedName name="lgyf7">#REF!</definedName>
    <definedName name="lgyf8">#REF!</definedName>
    <definedName name="LIFT">#REF!</definedName>
    <definedName name="liftbarang">#REF!</definedName>
    <definedName name="Lilin">#REF!</definedName>
    <definedName name="Liliparis">#REF!</definedName>
    <definedName name="limbangan">#REF!</definedName>
    <definedName name="limestone">#REF!</definedName>
    <definedName name="linda">#REF!</definedName>
    <definedName name="Linelist">#REF!</definedName>
    <definedName name="Lingg">#REF!</definedName>
    <definedName name="Linoek">#REF!</definedName>
    <definedName name="lion">#REF!</definedName>
    <definedName name="LipsP">#REF!</definedName>
    <definedName name="liquit">#REF!</definedName>
    <definedName name="lis">#REF!</definedName>
    <definedName name="lis.g7">#REF!</definedName>
    <definedName name="lis3.3">#REF!</definedName>
    <definedName name="LISP1060">#REF!</definedName>
    <definedName name="lisplang">#REF!</definedName>
    <definedName name="lisplank">#REF!</definedName>
    <definedName name="lisplankzincalume">#REF!</definedName>
    <definedName name="list">#REF!</definedName>
    <definedName name="list_15">#REF!</definedName>
    <definedName name="list_6">#REF!</definedName>
    <definedName name="list_ab">#REF!</definedName>
    <definedName name="List_Givsum_12_12_cm">#REF!</definedName>
    <definedName name="List_profil">#REF!</definedName>
    <definedName name="List_tengah">#REF!</definedName>
    <definedName name="list1">#REF!</definedName>
    <definedName name="list1533">#REF!</definedName>
    <definedName name="list16.533">#REF!</definedName>
    <definedName name="List5cm">#REF!</definedName>
    <definedName name="Listgypsum">#REF!</definedName>
    <definedName name="Listkayu">#REF!</definedName>
    <definedName name="LISTLOKASI">#REF!</definedName>
    <definedName name="ListMat">#REF!</definedName>
    <definedName name="listp">#REF!</definedName>
    <definedName name="listp1080">#REF!</definedName>
    <definedName name="listp10b161">#REF!</definedName>
    <definedName name="listp830">#REF!</definedName>
    <definedName name="listp840">#REF!</definedName>
    <definedName name="listplafond">#REF!</definedName>
    <definedName name="Listplank330">#REF!</definedName>
    <definedName name="LISTRIK">#REF!</definedName>
    <definedName name="lk">#REF!</definedName>
    <definedName name="lk_0.03">#REF!</definedName>
    <definedName name="lker20">#REF!</definedName>
    <definedName name="lker30">#REF!</definedName>
    <definedName name="lkerja">#REF!</definedName>
    <definedName name="LL" hidden="1">{"'Sheet1'!$A$1"}</definedName>
    <definedName name="llfoeo" hidden="1">#REF!</definedName>
    <definedName name="lm">#REF!</definedName>
    <definedName name="lmesh">#REF!</definedName>
    <definedName name="Lmk">"$#REF!.$E$209"</definedName>
    <definedName name="lmp">#REF!</definedName>
    <definedName name="lmpp" hidden="1">#REF!</definedName>
    <definedName name="lo">#REF!</definedName>
    <definedName name="LOAD">#REF!</definedName>
    <definedName name="LOAD_23">#REF!</definedName>
    <definedName name="LOAD_25">#REF!</definedName>
    <definedName name="loader">#REF!</definedName>
    <definedName name="Loadr">#REF!</definedName>
    <definedName name="LOBBY">#REF!</definedName>
    <definedName name="LOBY_A">#REF!</definedName>
    <definedName name="LOBY_B">#REF!</definedName>
    <definedName name="LOBY_BASE">#REF!</definedName>
    <definedName name="LOBY_C">#REF!</definedName>
    <definedName name="loc_b">#REF!</definedName>
    <definedName name="loco">#REF!</definedName>
    <definedName name="lok">#REF!</definedName>
    <definedName name="LOKALJO">#REF!</definedName>
    <definedName name="loker">#REF!</definedName>
    <definedName name="LOS">#REF!</definedName>
    <definedName name="losbahan">#REF!</definedName>
    <definedName name="LP">#REF!</definedName>
    <definedName name="lp.25">#REF!</definedName>
    <definedName name="lp_1050">#REF!</definedName>
    <definedName name="lp100nb">#REF!</definedName>
    <definedName name="lp36nb">#REF!</definedName>
    <definedName name="lpd">#REF!</definedName>
    <definedName name="lpl">#REF!</definedName>
    <definedName name="lrev">#REF!</definedName>
    <definedName name="ls">#REF!</definedName>
    <definedName name="lsc">#REF!</definedName>
    <definedName name="lt">#REF!</definedName>
    <definedName name="lt1smp">#REF!</definedName>
    <definedName name="lt1smu">#REF!</definedName>
    <definedName name="lt2smp">#REF!</definedName>
    <definedName name="lt2smu">#REF!</definedName>
    <definedName name="lt3smp">#REF!</definedName>
    <definedName name="lt3smu">#REF!</definedName>
    <definedName name="LTamM">#REF!</definedName>
    <definedName name="ltatapsmp">#REF!</definedName>
    <definedName name="ltatapsmu">#REF!</definedName>
    <definedName name="ltb_2020">#REF!</definedName>
    <definedName name="ltdasarsmp">#REF!</definedName>
    <definedName name="ltdasarsmu">#REF!</definedName>
    <definedName name="ltkerja">#REF!</definedName>
    <definedName name="Lts">#REF!</definedName>
    <definedName name="LTSATU">#REF!</definedName>
    <definedName name="ltstrsmp">#REF!</definedName>
    <definedName name="Luar">STOP:STOPE</definedName>
    <definedName name="Luar_10">#REF!:#REF!</definedName>
    <definedName name="Luar_11">#REF!:#REF!</definedName>
    <definedName name="Luar_12">#REF!:#REF!</definedName>
    <definedName name="Luar_14">#REF!:#REF!</definedName>
    <definedName name="Luar_15">#REF!:#REF!</definedName>
    <definedName name="Luar_16">#REF!:#REF!</definedName>
    <definedName name="Luar_17">#REF!:#REF!</definedName>
    <definedName name="Luar_18">#REF!:#REF!</definedName>
    <definedName name="Luar_19">#REF!:#REF!</definedName>
    <definedName name="Luar_20">#REF!:#REF!</definedName>
    <definedName name="Luar_22">#REF!:#REF!</definedName>
    <definedName name="Luar_23">#REF!:#REF!</definedName>
    <definedName name="Luar_24">#REF!:#REF!</definedName>
    <definedName name="Luar_25">#REF!:#REF!</definedName>
    <definedName name="Luar_5">#REF!:#REF!</definedName>
    <definedName name="Luar_6">#REF!:#REF!</definedName>
    <definedName name="Luar_7">#REF!:#REF!</definedName>
    <definedName name="Luar_8">#REF!:#REF!</definedName>
    <definedName name="luas">"$#REF!.$S$33"</definedName>
    <definedName name="luas_a">#REF!</definedName>
    <definedName name="Luas_Bangunan">#REF!</definedName>
    <definedName name="luas_s">#REF!</definedName>
    <definedName name="LUAS1">#REF!</definedName>
    <definedName name="LUAS2">#REF!</definedName>
    <definedName name="LUAS3">#REF!</definedName>
    <definedName name="LUAS4">#REF!</definedName>
    <definedName name="luasars">#REF!</definedName>
    <definedName name="LUASATAP">#REF!</definedName>
    <definedName name="luasbaja">#REF!</definedName>
    <definedName name="luaslantai1">#REF!</definedName>
    <definedName name="luasstr">#REF!</definedName>
    <definedName name="LUASTOTAL">#REF!</definedName>
    <definedName name="lumas">#REF!</definedName>
    <definedName name="M">#REF!</definedName>
    <definedName name="M.010">#REF!</definedName>
    <definedName name="M.011">#REF!</definedName>
    <definedName name="M.012">#REF!</definedName>
    <definedName name="M.0121">#REF!</definedName>
    <definedName name="M.0122">#REF!</definedName>
    <definedName name="m.012a">#REF!</definedName>
    <definedName name="m.012b">#REF!</definedName>
    <definedName name="M.013">#REF!</definedName>
    <definedName name="M.014">#REF!</definedName>
    <definedName name="M.016">#REF!</definedName>
    <definedName name="M.020">#REF!</definedName>
    <definedName name="M.020.1">#REF!</definedName>
    <definedName name="M.021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31">#REF!</definedName>
    <definedName name="M.033">#REF!</definedName>
    <definedName name="M.035">#REF!</definedName>
    <definedName name="M.040">#REF!</definedName>
    <definedName name="M.041">#REF!</definedName>
    <definedName name="M.042">#REF!</definedName>
    <definedName name="M.050">#REF!</definedName>
    <definedName name="m.050a">#REF!</definedName>
    <definedName name="M.061">#REF!</definedName>
    <definedName name="M.062">#REF!</definedName>
    <definedName name="M.063">#REF!</definedName>
    <definedName name="M.064">#REF!</definedName>
    <definedName name="M.065">#REF!</definedName>
    <definedName name="M.070">#REF!</definedName>
    <definedName name="M.080">#REF!</definedName>
    <definedName name="M.081">#REF!</definedName>
    <definedName name="M.082">#REF!</definedName>
    <definedName name="M.090">#REF!</definedName>
    <definedName name="M.161">#REF!</definedName>
    <definedName name="M.162">#REF!</definedName>
    <definedName name="M.163">#REF!</definedName>
    <definedName name="M.164">#REF!</definedName>
    <definedName name="M.165">#REF!</definedName>
    <definedName name="M.166">#REF!</definedName>
    <definedName name="M.167">#REF!</definedName>
    <definedName name="M.168">#REF!</definedName>
    <definedName name="M.170">#REF!</definedName>
    <definedName name="M.180">#REF!</definedName>
    <definedName name="M.181">#REF!</definedName>
    <definedName name="M.183">#REF!</definedName>
    <definedName name="M.184">#REF!</definedName>
    <definedName name="M.185">#REF!</definedName>
    <definedName name="m.cat">#REF!</definedName>
    <definedName name="m.wf">#REF!</definedName>
    <definedName name="m_0.4">#REF!</definedName>
    <definedName name="m_1">#REF!</definedName>
    <definedName name="m_106">#REF!</definedName>
    <definedName name="m_2">#REF!</definedName>
    <definedName name="m_3">#REF!</definedName>
    <definedName name="m_3030">#REF!</definedName>
    <definedName name="m_4">#REF!</definedName>
    <definedName name="m_6060">#REF!</definedName>
    <definedName name="m_9090">#REF!</definedName>
    <definedName name="m_c">#REF!</definedName>
    <definedName name="m_d">#REF!</definedName>
    <definedName name="m_e">#REF!</definedName>
    <definedName name="m_lav6001000">#REF!</definedName>
    <definedName name="m_lav6001100">#REF!</definedName>
    <definedName name="m_lav6001700">#REF!</definedName>
    <definedName name="m_lav6002000">#REF!</definedName>
    <definedName name="M_RP">#REF!</definedName>
    <definedName name="M_US">#REF!</definedName>
    <definedName name="m102bnnc">NA()</definedName>
    <definedName name="m102bnvl">NA()</definedName>
    <definedName name="M10aa1p">"$#REF!.$I$290"</definedName>
    <definedName name="m10aamtc">NA()</definedName>
    <definedName name="m10aanc">NA()</definedName>
    <definedName name="m10aavl">NA()</definedName>
    <definedName name="m10anc">NA()</definedName>
    <definedName name="m10avl">NA()</definedName>
    <definedName name="m10banc">NA()</definedName>
    <definedName name="m10bavl">NA()</definedName>
    <definedName name="m122bnnc">NA()</definedName>
    <definedName name="m122bnvl">NA()</definedName>
    <definedName name="m12aanc">NA()</definedName>
    <definedName name="m12aavl">NA()</definedName>
    <definedName name="m12anc">NA()</definedName>
    <definedName name="m12avl">NA()</definedName>
    <definedName name="M12ba3p">"$#REF!.$H$10"</definedName>
    <definedName name="m12banc">NA()</definedName>
    <definedName name="m12bavl">NA()</definedName>
    <definedName name="M12bb1p">"$#REF!.$K$290"</definedName>
    <definedName name="m12bbnc">NA()</definedName>
    <definedName name="m12bbvl">NA()</definedName>
    <definedName name="M12bnnc">NA()</definedName>
    <definedName name="M12bnvl">NA()</definedName>
    <definedName name="M12cbnc">"$#REF!.#REF!#REF!"</definedName>
    <definedName name="M12cbvl">"$#REF!.#REF!#REF!"</definedName>
    <definedName name="m142bnnc">NA()</definedName>
    <definedName name="m142bnvl">NA()</definedName>
    <definedName name="M14bb1p">"$#REF!.$K$290"</definedName>
    <definedName name="m14bbnc">NA()</definedName>
    <definedName name="M14bbvc">NA()</definedName>
    <definedName name="m14bbvl">NA()</definedName>
    <definedName name="M8a">NA()</definedName>
    <definedName name="M8aa">NA()</definedName>
    <definedName name="m8aanc">"$#REF!.$H$103"</definedName>
    <definedName name="m8aavl">"$#REF!.$H$100"</definedName>
    <definedName name="m8amtc">NA()</definedName>
    <definedName name="m8anc">NA()</definedName>
    <definedName name="m8avl">NA()</definedName>
    <definedName name="ma">#REF!</definedName>
    <definedName name="ma_9">#REF!</definedName>
    <definedName name="ma3.240">#REF!</definedName>
    <definedName name="Ma3pnc">"$#REF!.$G$30"</definedName>
    <definedName name="Ma3pvl">"$#REF!.$G$27"</definedName>
    <definedName name="Maa3pnc">"$#REF!.$G$15"</definedName>
    <definedName name="Maa3pvl">"$#REF!.$G$12"</definedName>
    <definedName name="mabor">#REF!</definedName>
    <definedName name="Macadam">#REF!</definedName>
    <definedName name="madat">#REF!</definedName>
    <definedName name="mager">#REF!</definedName>
    <definedName name="magersel">#REF!</definedName>
    <definedName name="magne">#REF!</definedName>
    <definedName name="MAHKOTAGRC">#REF!</definedName>
    <definedName name="Mahony">#REF!</definedName>
    <definedName name="MAINTENANCE">#REF!</definedName>
    <definedName name="makan">#REF!</definedName>
    <definedName name="make">#REF!</definedName>
    <definedName name="MAL">#REF!</definedName>
    <definedName name="Malat">#REF!</definedName>
    <definedName name="malat_6">#REF!</definedName>
    <definedName name="man">#REF!</definedName>
    <definedName name="MAND">#REF!</definedName>
    <definedName name="mand_6">#REF!</definedName>
    <definedName name="Mandor">#REF!</definedName>
    <definedName name="MANDOR_23">#REF!</definedName>
    <definedName name="MANDOR_25">#REF!</definedName>
    <definedName name="MANGGARAI">"$#REF!.$AL$4:$AL$347"</definedName>
    <definedName name="Manggis">#REF!</definedName>
    <definedName name="manhole">#REF!</definedName>
    <definedName name="manhole60x100">#REF!</definedName>
    <definedName name="manhole60x60">#REF!</definedName>
    <definedName name="manpower">#REF!</definedName>
    <definedName name="manusia">#REF!</definedName>
    <definedName name="mar">#REF!</definedName>
    <definedName name="MARGA2">#REF!</definedName>
    <definedName name="margaluyu">#REF!</definedName>
    <definedName name="MarginLOCAL">#REF!</definedName>
    <definedName name="mark_up">#REF!</definedName>
    <definedName name="Mark_UpA">#REF!</definedName>
    <definedName name="Mark_UpB">#REF!</definedName>
    <definedName name="Marka">#REF!</definedName>
    <definedName name="MARKUP">#REF!</definedName>
    <definedName name="Markup_Pek">#REF!</definedName>
    <definedName name="MARKUP_RP">#REF!</definedName>
    <definedName name="markup_STR">#REF!</definedName>
    <definedName name="Markup_Upah">#REF!</definedName>
    <definedName name="MARKUP_US">#REF!</definedName>
    <definedName name="markupSTR">#REF!</definedName>
    <definedName name="marmer">#REF!</definedName>
    <definedName name="marmer.solid">#REF!</definedName>
    <definedName name="marmer40x40">#REF!</definedName>
    <definedName name="marmer60ddbasah">#REF!</definedName>
    <definedName name="marmer60x60">#REF!</definedName>
    <definedName name="marmeralam">#REF!</definedName>
    <definedName name="MARMERD">#REF!</definedName>
    <definedName name="MARMERL">#REF!</definedName>
    <definedName name="marmerml">#REF!</definedName>
    <definedName name="Martl">#REF!</definedName>
    <definedName name="MAS">#REF!</definedName>
    <definedName name="MAS.01">#REF!</definedName>
    <definedName name="MAS.01B">#REF!</definedName>
    <definedName name="MAS.01G">#REF!</definedName>
    <definedName name="MAS.02">#REF!</definedName>
    <definedName name="MAS.02B">#REF!</definedName>
    <definedName name="MAS.02G">#REF!</definedName>
    <definedName name="MAS.03">#REF!</definedName>
    <definedName name="MAS.03B">#REF!</definedName>
    <definedName name="MAS.03G">#REF!</definedName>
    <definedName name="MAS.04">#REF!</definedName>
    <definedName name="MAS.04B">#REF!</definedName>
    <definedName name="MAS.04G">#REF!</definedName>
    <definedName name="MAS.05">#REF!</definedName>
    <definedName name="MAS.05B">#REF!</definedName>
    <definedName name="MAS.05G">#REF!</definedName>
    <definedName name="MAS.06">#REF!</definedName>
    <definedName name="MAS.06B">#REF!</definedName>
    <definedName name="MAS.06G">#REF!</definedName>
    <definedName name="MAS.07">#REF!</definedName>
    <definedName name="MAS.07B">#REF!</definedName>
    <definedName name="MAS.07G">#REF!</definedName>
    <definedName name="MAS.08">#REF!</definedName>
    <definedName name="MAS.08B">#REF!</definedName>
    <definedName name="MAS.08G">#REF!</definedName>
    <definedName name="MAS.09">#REF!</definedName>
    <definedName name="MAS.09B">#REF!</definedName>
    <definedName name="MAS.09G">#REF!</definedName>
    <definedName name="MAS.10">#REF!</definedName>
    <definedName name="MAS.10B">#REF!</definedName>
    <definedName name="MAS.10G">#REF!</definedName>
    <definedName name="MAS.11">#REF!</definedName>
    <definedName name="MAS.11B">#REF!</definedName>
    <definedName name="MAS.11G">#REF!</definedName>
    <definedName name="MAS.12">#REF!</definedName>
    <definedName name="MAS.12B">#REF!</definedName>
    <definedName name="MAS.12G">#REF!</definedName>
    <definedName name="MAS.13">#REF!</definedName>
    <definedName name="MAS.13B">#REF!</definedName>
    <definedName name="MAS.13G">#REF!</definedName>
    <definedName name="masjid">#REF!</definedName>
    <definedName name="MAT">#REF!</definedName>
    <definedName name="MAT.01">#REF!</definedName>
    <definedName name="MAT.01B">#REF!</definedName>
    <definedName name="MAT.01G">#REF!</definedName>
    <definedName name="MAT.02">#REF!</definedName>
    <definedName name="MAT.02B">#REF!</definedName>
    <definedName name="MAT.02G">#REF!</definedName>
    <definedName name="MAT.03">#REF!</definedName>
    <definedName name="MAT.03B">#REF!</definedName>
    <definedName name="MAT.03G">#REF!</definedName>
    <definedName name="MAT.04">#REF!</definedName>
    <definedName name="MAT.04B">#REF!</definedName>
    <definedName name="MAT.04G">#REF!</definedName>
    <definedName name="MAT.05">#REF!</definedName>
    <definedName name="MAT.05B">#REF!</definedName>
    <definedName name="MAT.05G">#REF!</definedName>
    <definedName name="MAT.06">#REF!</definedName>
    <definedName name="MAT.06B">#REF!</definedName>
    <definedName name="MAT.06G">#REF!</definedName>
    <definedName name="MAT.07">#REF!</definedName>
    <definedName name="MAT.07B">#REF!</definedName>
    <definedName name="MAT.07G">#REF!</definedName>
    <definedName name="MAT.08">#REF!</definedName>
    <definedName name="MAT.08B">#REF!</definedName>
    <definedName name="MAT.08G">#REF!</definedName>
    <definedName name="MAT.09">#REF!</definedName>
    <definedName name="MAT.09B">#REF!</definedName>
    <definedName name="MAT.09G">#REF!</definedName>
    <definedName name="MAT.10">#REF!</definedName>
    <definedName name="MAT.10B">#REF!</definedName>
    <definedName name="MAT.10G">#REF!</definedName>
    <definedName name="MAT.11">#REF!</definedName>
    <definedName name="MAT.11B">#REF!</definedName>
    <definedName name="MAT.11G">#REF!</definedName>
    <definedName name="MAT.12">#REF!</definedName>
    <definedName name="MAT.12B">#REF!</definedName>
    <definedName name="MAT.12G">#REF!</definedName>
    <definedName name="MAT.13">#REF!</definedName>
    <definedName name="MAT.13B">#REF!</definedName>
    <definedName name="MAT.13G">#REF!</definedName>
    <definedName name="MAT.14">#REF!</definedName>
    <definedName name="MAT.14B">#REF!</definedName>
    <definedName name="MAT.14G">#REF!</definedName>
    <definedName name="MAT.15">#REF!</definedName>
    <definedName name="MAT.15B">#REF!</definedName>
    <definedName name="MAT.15G">#REF!</definedName>
    <definedName name="MAT.16">#REF!</definedName>
    <definedName name="MAT.16B">#REF!</definedName>
    <definedName name="MAT.16G">#REF!</definedName>
    <definedName name="MAT.17">#REF!</definedName>
    <definedName name="MAT.17B">#REF!</definedName>
    <definedName name="MAT.17G">#REF!</definedName>
    <definedName name="MAT.18">#REF!</definedName>
    <definedName name="MAT.18B">#REF!</definedName>
    <definedName name="MAT.18G">#REF!</definedName>
    <definedName name="mata">#REF!</definedName>
    <definedName name="Mata_bor">#REF!</definedName>
    <definedName name="Mata_gergaji">#REF!</definedName>
    <definedName name="MATERIAL">#REF!</definedName>
    <definedName name="MATERIAL_BANTU__BESI_SIKU">#REF!</definedName>
    <definedName name="Material_List">#REF!</definedName>
    <definedName name="matger">#REF!</definedName>
    <definedName name="matl">#REF!</definedName>
    <definedName name="matlaut">#REF!</definedName>
    <definedName name="matras">#REF!</definedName>
    <definedName name="matrix">#REF!</definedName>
    <definedName name="MATV">#REF!</definedName>
    <definedName name="MAX">#REF!</definedName>
    <definedName name="MB">#REF!</definedName>
    <definedName name="Mba1p">"$#REF!.$I$290"</definedName>
    <definedName name="Mba3p">"$#REF!.$I$110"</definedName>
    <definedName name="mbak">#REF!</definedName>
    <definedName name="Mbb3p">"$#REF!.$H$110"</definedName>
    <definedName name="MBCW420JS516STD">#REF!</definedName>
    <definedName name="MBEK">#REF!</definedName>
    <definedName name="mbekbal">#REF!</definedName>
    <definedName name="mbekmult">#REF!</definedName>
    <definedName name="mbekpan">#REF!</definedName>
    <definedName name="mbesi">#REF!</definedName>
    <definedName name="Mbeton">#REF!</definedName>
    <definedName name="Mbhtm">#REF!</definedName>
    <definedName name="mbi">#REF!</definedName>
    <definedName name="MBK.01">#REF!</definedName>
    <definedName name="MBK.01B">#REF!</definedName>
    <definedName name="MBK.01G">#REF!</definedName>
    <definedName name="MBK.02">#REF!</definedName>
    <definedName name="MBK.02B">#REF!</definedName>
    <definedName name="MBK.02G">#REF!</definedName>
    <definedName name="MBK.03">#REF!</definedName>
    <definedName name="MBK.03B">#REF!</definedName>
    <definedName name="MBK.03G">#REF!</definedName>
    <definedName name="MBK.04">#REF!</definedName>
    <definedName name="MBK.04B">#REF!</definedName>
    <definedName name="MBK.04G">#REF!</definedName>
    <definedName name="MBK.05">#REF!</definedName>
    <definedName name="MBK.05B">#REF!</definedName>
    <definedName name="MBK.05G">#REF!</definedName>
    <definedName name="MBK.06">#REF!</definedName>
    <definedName name="MBK.06B">#REF!</definedName>
    <definedName name="MBK.06G">#REF!</definedName>
    <definedName name="MBK.07">#REF!</definedName>
    <definedName name="MBK.07B">#REF!</definedName>
    <definedName name="MBK.07G">#REF!</definedName>
    <definedName name="MBK.08">#REF!</definedName>
    <definedName name="MBK.08B">#REF!</definedName>
    <definedName name="MBK.08G">#REF!</definedName>
    <definedName name="MBK.09">#REF!</definedName>
    <definedName name="MBK.09B">#REF!</definedName>
    <definedName name="MBK.09G">#REF!</definedName>
    <definedName name="MBK.10">#REF!</definedName>
    <definedName name="MBK.10B">#REF!</definedName>
    <definedName name="MBK.10G">#REF!</definedName>
    <definedName name="MBK.11">#REF!</definedName>
    <definedName name="MBK.11B">#REF!</definedName>
    <definedName name="MBK.11G">#REF!</definedName>
    <definedName name="Mbksn">#REF!</definedName>
    <definedName name="Mblkl">#REF!</definedName>
    <definedName name="mbm">#REF!</definedName>
    <definedName name="Mbn1p">"$#REF!.$L$290"</definedName>
    <definedName name="mbnc">NA()</definedName>
    <definedName name="mbp">#REF!</definedName>
    <definedName name="Mbpsr">#REF!</definedName>
    <definedName name="MBR.01">#REF!</definedName>
    <definedName name="MBR.01B">#REF!</definedName>
    <definedName name="MBR.01G">#REF!</definedName>
    <definedName name="MBR.02">#REF!</definedName>
    <definedName name="MBR.02B">#REF!</definedName>
    <definedName name="MBR.02G">#REF!</definedName>
    <definedName name="MBR.03">#REF!</definedName>
    <definedName name="MBR.03B">#REF!</definedName>
    <definedName name="MBR.03G">#REF!</definedName>
    <definedName name="MBR.04">#REF!</definedName>
    <definedName name="MBR.04B">#REF!</definedName>
    <definedName name="MBR.04G">#REF!</definedName>
    <definedName name="MBR.05">#REF!</definedName>
    <definedName name="MBR.05B">#REF!</definedName>
    <definedName name="MBR.05G">#REF!</definedName>
    <definedName name="MBR.06">#REF!</definedName>
    <definedName name="MBR.06B">#REF!</definedName>
    <definedName name="MBR.06G">#REF!</definedName>
    <definedName name="MBR.07">#REF!</definedName>
    <definedName name="MBR.07B">#REF!</definedName>
    <definedName name="MBR.07G">#REF!</definedName>
    <definedName name="MBR.08">#REF!</definedName>
    <definedName name="MBR.08B">#REF!</definedName>
    <definedName name="MBR.08G">#REF!</definedName>
    <definedName name="MBR.09">#REF!</definedName>
    <definedName name="MBR.09B">#REF!</definedName>
    <definedName name="MBR.09G">#REF!</definedName>
    <definedName name="MBR.10">#REF!</definedName>
    <definedName name="MBR.10B">#REF!</definedName>
    <definedName name="MBR.10G">#REF!</definedName>
    <definedName name="MBR.11">#REF!</definedName>
    <definedName name="MBR.11B">#REF!</definedName>
    <definedName name="MBR.11G">#REF!</definedName>
    <definedName name="MBR.12">#REF!</definedName>
    <definedName name="MBR.12B">#REF!</definedName>
    <definedName name="MBR.12G">#REF!</definedName>
    <definedName name="MBR.13">#REF!</definedName>
    <definedName name="MBR.13B">#REF!</definedName>
    <definedName name="MBR.13G">#REF!</definedName>
    <definedName name="MBR.14">#REF!</definedName>
    <definedName name="MBR.14B">#REF!</definedName>
    <definedName name="MBR.14G">#REF!</definedName>
    <definedName name="MBR.15">#REF!</definedName>
    <definedName name="MBR.15B">#REF!</definedName>
    <definedName name="MBR.15G">#REF!</definedName>
    <definedName name="MBR.16">#REF!</definedName>
    <definedName name="MBR.16B">#REF!</definedName>
    <definedName name="MBR.16G">#REF!</definedName>
    <definedName name="MBR.17">#REF!</definedName>
    <definedName name="MBR.17B">#REF!</definedName>
    <definedName name="MBR.17G">#REF!</definedName>
    <definedName name="MBR.18">#REF!</definedName>
    <definedName name="MBR.18B">#REF!</definedName>
    <definedName name="MBR.18G">#REF!</definedName>
    <definedName name="MBR.19">#REF!</definedName>
    <definedName name="MBR.19B">#REF!</definedName>
    <definedName name="MBR.19G">#REF!</definedName>
    <definedName name="MBR.20">#REF!</definedName>
    <definedName name="MBR.20B">#REF!</definedName>
    <definedName name="MBR.20G">#REF!</definedName>
    <definedName name="mbrav">#REF!</definedName>
    <definedName name="MBT.01">#REF!</definedName>
    <definedName name="MBT.01B">#REF!</definedName>
    <definedName name="MBT.01G">#REF!</definedName>
    <definedName name="MBT.02">#REF!</definedName>
    <definedName name="MBT.02B">#REF!</definedName>
    <definedName name="MBT.02G">#REF!</definedName>
    <definedName name="MBT.03">#REF!</definedName>
    <definedName name="MBT.03B">#REF!</definedName>
    <definedName name="MBT.03G">#REF!</definedName>
    <definedName name="MBT.04">#REF!</definedName>
    <definedName name="MBT.04B">#REF!</definedName>
    <definedName name="MBT.04G">#REF!</definedName>
    <definedName name="MBT.05">#REF!</definedName>
    <definedName name="MBT.05B">#REF!</definedName>
    <definedName name="MBT.05G">#REF!</definedName>
    <definedName name="MBT.06">#REF!</definedName>
    <definedName name="MBT.06B">#REF!</definedName>
    <definedName name="MBT.06G">#REF!</definedName>
    <definedName name="MBT.07">#REF!</definedName>
    <definedName name="MBT.07B">#REF!</definedName>
    <definedName name="MBT.07G">#REF!</definedName>
    <definedName name="MBT.08">#REF!</definedName>
    <definedName name="MBT.08B">#REF!</definedName>
    <definedName name="MBT.08G">#REF!</definedName>
    <definedName name="MBT.09">#REF!</definedName>
    <definedName name="MBT.09B">#REF!</definedName>
    <definedName name="MBT.09G">#REF!</definedName>
    <definedName name="MBT.10">#REF!</definedName>
    <definedName name="MBT.10B">#REF!</definedName>
    <definedName name="MBT.10G">#REF!</definedName>
    <definedName name="MBT.11">#REF!</definedName>
    <definedName name="MBT.11B">#REF!</definedName>
    <definedName name="MBT.11G">#REF!</definedName>
    <definedName name="MBT.12">#REF!</definedName>
    <definedName name="MBT.12B">#REF!</definedName>
    <definedName name="MBT.12G">#REF!</definedName>
    <definedName name="MBT.13">#REF!</definedName>
    <definedName name="MBT.13B">#REF!</definedName>
    <definedName name="MBT.13G">#REF!</definedName>
    <definedName name="MBT.14">#REF!</definedName>
    <definedName name="MBT.14B">#REF!</definedName>
    <definedName name="MBT.14G">#REF!</definedName>
    <definedName name="MBT.15">#REF!</definedName>
    <definedName name="MBT.15B">#REF!</definedName>
    <definedName name="MBT.15G">#REF!</definedName>
    <definedName name="MBT.16">#REF!</definedName>
    <definedName name="MBT.16B">#REF!</definedName>
    <definedName name="MBT.16G">#REF!</definedName>
    <definedName name="MBT.17">#REF!</definedName>
    <definedName name="MBT.17B">#REF!</definedName>
    <definedName name="MBT.17G">#REF!</definedName>
    <definedName name="MBT.18">#REF!</definedName>
    <definedName name="MBT.18B">#REF!</definedName>
    <definedName name="MBT.18G">#REF!</definedName>
    <definedName name="MBT.19">#REF!</definedName>
    <definedName name="MBT.19B">#REF!</definedName>
    <definedName name="MBT.19G">#REF!</definedName>
    <definedName name="MBT.20">#REF!</definedName>
    <definedName name="MBT.20B">#REF!</definedName>
    <definedName name="MBT.20G">#REF!</definedName>
    <definedName name="MBT.21">#REF!</definedName>
    <definedName name="MBT.21B">#REF!</definedName>
    <definedName name="MBT.21G">#REF!</definedName>
    <definedName name="MBT.22">#REF!</definedName>
    <definedName name="MBT.22B">#REF!</definedName>
    <definedName name="MBT.22G">#REF!</definedName>
    <definedName name="mbtn">#REF!</definedName>
    <definedName name="mbttemp">#REF!</definedName>
    <definedName name="MBU">#REF!</definedName>
    <definedName name="mbvl">NA()</definedName>
    <definedName name="MBW.01">#REF!</definedName>
    <definedName name="MBW.01B">#REF!</definedName>
    <definedName name="MBW.01G">#REF!</definedName>
    <definedName name="MBW.02">#REF!</definedName>
    <definedName name="MBW.02B">#REF!</definedName>
    <definedName name="MBW.02G">#REF!</definedName>
    <definedName name="MBW.03">#REF!</definedName>
    <definedName name="MBW.03B">#REF!</definedName>
    <definedName name="MBW.03G">#REF!</definedName>
    <definedName name="MBW.04">#REF!</definedName>
    <definedName name="MBW.04B">#REF!</definedName>
    <definedName name="MBW.04G">#REF!</definedName>
    <definedName name="MBW.05">#REF!</definedName>
    <definedName name="MBW.05B">#REF!</definedName>
    <definedName name="MBW.05G">#REF!</definedName>
    <definedName name="MBW.06">#REF!</definedName>
    <definedName name="MBW.06B">#REF!</definedName>
    <definedName name="MBW.06G">#REF!</definedName>
    <definedName name="MBW.07">#REF!</definedName>
    <definedName name="MBW.07B">#REF!</definedName>
    <definedName name="MBW.07G">#REF!</definedName>
    <definedName name="MBW.08">#REF!</definedName>
    <definedName name="MBW.08B">#REF!</definedName>
    <definedName name="MBW.08G">#REF!</definedName>
    <definedName name="MBW.09">#REF!</definedName>
    <definedName name="MBW.09B">#REF!</definedName>
    <definedName name="MBW.09G">#REF!</definedName>
    <definedName name="MBW.10">#REF!</definedName>
    <definedName name="MBW.10B">#REF!</definedName>
    <definedName name="MBW.10G">#REF!</definedName>
    <definedName name="MBW.11">#REF!</definedName>
    <definedName name="MBW.11B">#REF!</definedName>
    <definedName name="MBW.11G">#REF!</definedName>
    <definedName name="MBW.12">#REF!</definedName>
    <definedName name="MBW.12B">#REF!</definedName>
    <definedName name="MBW.12G">#REF!</definedName>
    <definedName name="MBW.13">#REF!</definedName>
    <definedName name="MBW.13B">#REF!</definedName>
    <definedName name="MBW.13G">#REF!</definedName>
    <definedName name="MBW.14">#REF!</definedName>
    <definedName name="MBW.14B">#REF!</definedName>
    <definedName name="MBW.14G">#REF!</definedName>
    <definedName name="MBW.15">#REF!</definedName>
    <definedName name="MBW.15B">#REF!</definedName>
    <definedName name="MBW.15G">#REF!</definedName>
    <definedName name="MBW.16">#REF!</definedName>
    <definedName name="MBW.16B">#REF!</definedName>
    <definedName name="MBW.16G">#REF!</definedName>
    <definedName name="MBW.17">#REF!</definedName>
    <definedName name="MBW.17B">#REF!</definedName>
    <definedName name="MBW.17G">#REF!</definedName>
    <definedName name="MBW.18">#REF!</definedName>
    <definedName name="MBW.18B">#REF!</definedName>
    <definedName name="MBW.18G">#REF!</definedName>
    <definedName name="MBW.19">#REF!</definedName>
    <definedName name="MBW.19B">#REF!</definedName>
    <definedName name="MBW.19G">#REF!</definedName>
    <definedName name="MBW.20">#REF!</definedName>
    <definedName name="MBW.20B">#REF!</definedName>
    <definedName name="MBW.20G">#REF!</definedName>
    <definedName name="MBW.21">#REF!</definedName>
    <definedName name="MBW.21B">#REF!</definedName>
    <definedName name="MBW.21G">#REF!</definedName>
    <definedName name="MBW.22">#REF!</definedName>
    <definedName name="MBW.22B">#REF!</definedName>
    <definedName name="MBW.22G">#REF!</definedName>
    <definedName name="MBW.23">#REF!</definedName>
    <definedName name="MBW.23B">#REF!</definedName>
    <definedName name="MBW.23G">#REF!</definedName>
    <definedName name="MBW.24">#REF!</definedName>
    <definedName name="MBW.24B">#REF!</definedName>
    <definedName name="MBW.24G">#REF!</definedName>
    <definedName name="MBW.25">#REF!</definedName>
    <definedName name="MBW.25B">#REF!</definedName>
    <definedName name="MBW.25G">#REF!</definedName>
    <definedName name="MBW.26">#REF!</definedName>
    <definedName name="MBW.26B">#REF!</definedName>
    <definedName name="MBW.26G">#REF!</definedName>
    <definedName name="MBW.27">#REF!</definedName>
    <definedName name="MBW.27B">#REF!</definedName>
    <definedName name="MBW.27G">#REF!</definedName>
    <definedName name="MBW.28">#REF!</definedName>
    <definedName name="MBW.28B">#REF!</definedName>
    <definedName name="MBW.28G">#REF!</definedName>
    <definedName name="MBW.29">#REF!</definedName>
    <definedName name="MBW.29B">#REF!</definedName>
    <definedName name="MBW.29G">#REF!</definedName>
    <definedName name="MBW.30">#REF!</definedName>
    <definedName name="MBW.30B">#REF!</definedName>
    <definedName name="MBW.30G">#REF!</definedName>
    <definedName name="MCAT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.4">#REF!</definedName>
    <definedName name="mcb.6">#REF!</definedName>
    <definedName name="MCB1P">#REF!</definedName>
    <definedName name="MCB3P">#REF!</definedName>
    <definedName name="mccb.250">#REF!</definedName>
    <definedName name="mccb.80">#REF!</definedName>
    <definedName name="mcfa">#REF!</definedName>
    <definedName name="mci_1515">#REF!</definedName>
    <definedName name="mci_88">#REF!</definedName>
    <definedName name="mcian">#REF!</definedName>
    <definedName name="mcp">#REF!</definedName>
    <definedName name="mcs">#REF!</definedName>
    <definedName name="MCT">#REF!</definedName>
    <definedName name="MCT.01">#REF!</definedName>
    <definedName name="MCT.01B">#REF!</definedName>
    <definedName name="MCT.01G">#REF!</definedName>
    <definedName name="MCT.02">#REF!</definedName>
    <definedName name="MCT.02B">#REF!</definedName>
    <definedName name="MCT.02G">#REF!</definedName>
    <definedName name="MCT.03">#REF!</definedName>
    <definedName name="MCT.03B">#REF!</definedName>
    <definedName name="MCT.03G">#REF!</definedName>
    <definedName name="MCT.04">#REF!</definedName>
    <definedName name="MCT.04B">#REF!</definedName>
    <definedName name="MCT.04G">#REF!</definedName>
    <definedName name="MCT.05">#REF!</definedName>
    <definedName name="MCT.05B">#REF!</definedName>
    <definedName name="MCT.05G">#REF!</definedName>
    <definedName name="MCT.06">#REF!</definedName>
    <definedName name="MCT.06B">#REF!</definedName>
    <definedName name="MCT.06G">#REF!</definedName>
    <definedName name="MCT.07">#REF!</definedName>
    <definedName name="MCT.07B">#REF!</definedName>
    <definedName name="MCT.07G">#REF!</definedName>
    <definedName name="MCT.08">#REF!</definedName>
    <definedName name="MCT.08B">#REF!</definedName>
    <definedName name="MCT.08G">#REF!</definedName>
    <definedName name="MCT.09">#REF!</definedName>
    <definedName name="MCT.09B">#REF!</definedName>
    <definedName name="MCT.09G">#REF!</definedName>
    <definedName name="MCT.10">#REF!</definedName>
    <definedName name="MCT.10B">#REF!</definedName>
    <definedName name="MCT.10G">#REF!</definedName>
    <definedName name="MCT.11">#REF!</definedName>
    <definedName name="MCT.11B">#REF!</definedName>
    <definedName name="MCT.11G">#REF!</definedName>
    <definedName name="MCT.12">#REF!</definedName>
    <definedName name="MCT.12B">#REF!</definedName>
    <definedName name="MCT.12G">#REF!</definedName>
    <definedName name="MCT.13">#REF!</definedName>
    <definedName name="MCT.13B">#REF!</definedName>
    <definedName name="MCT.13G">#REF!</definedName>
    <definedName name="MCT.14">#REF!</definedName>
    <definedName name="MCT.14B">#REF!</definedName>
    <definedName name="MCT.14G">#REF!</definedName>
    <definedName name="MCT.15">#REF!</definedName>
    <definedName name="MCT.15B">#REF!</definedName>
    <definedName name="MCT.15G">#REF!</definedName>
    <definedName name="MCT.16">#REF!</definedName>
    <definedName name="MCT.16B">#REF!</definedName>
    <definedName name="MCT.16G">#REF!</definedName>
    <definedName name="MCT.17">#REF!</definedName>
    <definedName name="MCT.17B">#REF!</definedName>
    <definedName name="MCT.17G">#REF!</definedName>
    <definedName name="MCT.18">#REF!</definedName>
    <definedName name="MCT.18B">#REF!</definedName>
    <definedName name="MCT.18G">#REF!</definedName>
    <definedName name="MCT.19">#REF!</definedName>
    <definedName name="MCT.19B">#REF!</definedName>
    <definedName name="MCT.19G">#REF!</definedName>
    <definedName name="MCT.20">#REF!</definedName>
    <definedName name="MCT.20B">#REF!</definedName>
    <definedName name="MCT.20G">#REF!</definedName>
    <definedName name="MCT.21">#REF!</definedName>
    <definedName name="MCT.21B">#REF!</definedName>
    <definedName name="MCT.21G">#REF!</definedName>
    <definedName name="MCT.22">#REF!</definedName>
    <definedName name="MCT.22B">#REF!</definedName>
    <definedName name="MCT.22G">#REF!</definedName>
    <definedName name="MCT.23">#REF!</definedName>
    <definedName name="MCT.23B">#REF!</definedName>
    <definedName name="MCT.23G">#REF!</definedName>
    <definedName name="MCT.24">#REF!</definedName>
    <definedName name="MCT.24B">#REF!</definedName>
    <definedName name="MCT.24G">#REF!</definedName>
    <definedName name="MCT.25">#REF!</definedName>
    <definedName name="MCT.25B">#REF!</definedName>
    <definedName name="MCT.25G">#REF!</definedName>
    <definedName name="MCT.26">#REF!</definedName>
    <definedName name="MCT.26B">#REF!</definedName>
    <definedName name="MCT.26G">#REF!</definedName>
    <definedName name="md">#REF!</definedName>
    <definedName name="mde">#REF!</definedName>
    <definedName name="mdffa">#REF!</definedName>
    <definedName name="mdfts">#REF!</definedName>
    <definedName name="MDP">#REF!</definedName>
    <definedName name="mdr">#REF!</definedName>
    <definedName name="ME">#REF!</definedName>
    <definedName name="me_by_owner">#REF!</definedName>
    <definedName name="me_fisik">#REF!</definedName>
    <definedName name="mebor">#REF!</definedName>
    <definedName name="mecbm">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DIUM_AGGREGATE">#REF!</definedName>
    <definedName name="megatik">#REF!</definedName>
    <definedName name="meger">#REF!</definedName>
    <definedName name="mejabeton.lt.2">#REF!</definedName>
    <definedName name="mejabetonlt.dsr">#REF!</definedName>
    <definedName name="meka">#REF!</definedName>
    <definedName name="mekanik">#REF!</definedName>
    <definedName name="MEKANIKAL">#REF!</definedName>
    <definedName name="mel">"$#REF!.$I$46"</definedName>
    <definedName name="mel.">#REF!</definedName>
    <definedName name="Mela4">#REF!</definedName>
    <definedName name="melamic">#REF!</definedName>
    <definedName name="melamik">#REF!</definedName>
    <definedName name="melamik\nonjasa">#REF!</definedName>
    <definedName name="melaminto">#REF!</definedName>
    <definedName name="melas">#REF!</definedName>
    <definedName name="Melto">#REF!</definedName>
    <definedName name="mem">#REF!</definedName>
    <definedName name="membrane">#REF!</definedName>
    <definedName name="memscreed">#REF!</definedName>
    <definedName name="menara">#REF!</definedName>
    <definedName name="MENI">#REF!</definedName>
    <definedName name="meni.b">#REF!</definedName>
    <definedName name="meni.k">#REF!</definedName>
    <definedName name="meni.kayu">#REF!</definedName>
    <definedName name="menib">#REF!</definedName>
    <definedName name="menib_6">#REF!</definedName>
    <definedName name="Menibesimtmenengah">#REF!</definedName>
    <definedName name="Menik">#REF!</definedName>
    <definedName name="menik_6">#REF!</definedName>
    <definedName name="MENIKAYU">#REF!</definedName>
    <definedName name="menikayumtmenengah">#REF!</definedName>
    <definedName name="menkay">"$#REF!.$G$192"</definedName>
    <definedName name="mep">#REF!</definedName>
    <definedName name="mepo">#REF!</definedName>
    <definedName name="mer">#REF!</definedName>
    <definedName name="merah.1">#REF!</definedName>
    <definedName name="mesger">#REF!</definedName>
    <definedName name="Mesh">#REF!</definedName>
    <definedName name="Mesh4">#REF!</definedName>
    <definedName name="Mesh5">#REF!</definedName>
    <definedName name="Mesh6">#REF!</definedName>
    <definedName name="Mesh9">"$#REF!.$H$151"</definedName>
    <definedName name="Mesin_bor">#REF!</definedName>
    <definedName name="Mesin_gergaji">#REF!</definedName>
    <definedName name="Mesin_las">#REF!</definedName>
    <definedName name="Mesin_Potong_ChainShaw">#REF!</definedName>
    <definedName name="Mesin_potong_plat">#REF!</definedName>
    <definedName name="MESS_JAKARTA">#REF!</definedName>
    <definedName name="MESS_U.PANDANG">#REF!</definedName>
    <definedName name="MESSAGE1">#REF!</definedName>
    <definedName name="metal">#REF!</definedName>
    <definedName name="metal_6">#REF!</definedName>
    <definedName name="metalf">#REF!</definedName>
    <definedName name="METALROOF">#REF!</definedName>
    <definedName name="Metode_Lapisan_Pasir">#REF!</definedName>
    <definedName name="Metode_PapanNama">#REF!</definedName>
    <definedName name="Metode_Pasangan_Batu">#REF!</definedName>
    <definedName name="Metode_Paving_Blok">#REF!</definedName>
    <definedName name="Metode_Plesteran">#REF!</definedName>
    <definedName name="Metode_Timbunan_Batu">#REF!</definedName>
    <definedName name="Metode_Timbunan_Kembali">#REF!</definedName>
    <definedName name="Metode_Timbunan_Sirtu">#REF!</definedName>
    <definedName name="mf">#REF!</definedName>
    <definedName name="mf_28">"'file://SERVER3/har-data/STRUCTURE PRICE OF BQ KOMPAS GRAMEDIA.xls'#$analisa.$#REF!$#REF!"</definedName>
    <definedName name="mf_9">#REF!</definedName>
    <definedName name="mff">#REF!</definedName>
    <definedName name="MFFIT">#REF!</definedName>
    <definedName name="MFFIT1">#REF!</definedName>
    <definedName name="MFVLV">#REF!</definedName>
    <definedName name="MFVLV1">#REF!</definedName>
    <definedName name="MFVLV2">#REF!</definedName>
    <definedName name="MFVLV3">#REF!</definedName>
    <definedName name="mg.3r">#REF!</definedName>
    <definedName name="mg.3r_9">#REF!</definedName>
    <definedName name="mgb">#REF!</definedName>
    <definedName name="mgb_9">#REF!</definedName>
    <definedName name="mgi">#REF!</definedName>
    <definedName name="mgrk">#REF!</definedName>
    <definedName name="mgrk_9">#REF!</definedName>
    <definedName name="mgt">#REF!</definedName>
    <definedName name="mgt_9">#REF!</definedName>
    <definedName name="MIBE">#REF!</definedName>
    <definedName name="mibe1">#REF!</definedName>
    <definedName name="mini_2525">#REF!</definedName>
    <definedName name="Minivibro">#REF!</definedName>
    <definedName name="MINOR">#REF!</definedName>
    <definedName name="minya.c">#REF!</definedName>
    <definedName name="minyak">#REF!</definedName>
    <definedName name="Minyakbekisting">#REF!</definedName>
    <definedName name="minyakcatstd">#REF!</definedName>
    <definedName name="minytan">#REF!</definedName>
    <definedName name="mir">#REF!</definedName>
    <definedName name="MiRes">#REF!</definedName>
    <definedName name="MISC">#REF!</definedName>
    <definedName name="MISC._FEILD_EXP">#REF!</definedName>
    <definedName name="MISC._TEMP">#REF!</definedName>
    <definedName name="MiSol">#REF!</definedName>
    <definedName name="MiTan">#REF!</definedName>
    <definedName name="miwa">#REF!</definedName>
    <definedName name="Mixer">#REF!</definedName>
    <definedName name="mjasa">#REF!</definedName>
    <definedName name="MK">#REF!</definedName>
    <definedName name="MK_9">#REF!</definedName>
    <definedName name="MKC.01">#REF!</definedName>
    <definedName name="MKC.01B">#REF!</definedName>
    <definedName name="MKC.01G">#REF!</definedName>
    <definedName name="MKC.02">#REF!</definedName>
    <definedName name="MKC.02B">#REF!</definedName>
    <definedName name="MKC.02G">#REF!</definedName>
    <definedName name="MKC.03">#REF!</definedName>
    <definedName name="MKC.03B">#REF!</definedName>
    <definedName name="MKC.03G">#REF!</definedName>
    <definedName name="MKC.04">#REF!</definedName>
    <definedName name="MKC.04B">#REF!</definedName>
    <definedName name="MKC.04G">#REF!</definedName>
    <definedName name="MKC.05">#REF!</definedName>
    <definedName name="MKC.05B">#REF!</definedName>
    <definedName name="MKC.05G">#REF!</definedName>
    <definedName name="MKC.06">#REF!</definedName>
    <definedName name="MKC.06B">#REF!</definedName>
    <definedName name="MKC.06G">#REF!</definedName>
    <definedName name="MKC.07">#REF!</definedName>
    <definedName name="MKC.07B">#REF!</definedName>
    <definedName name="MKC.07G">#REF!</definedName>
    <definedName name="MKC.08">#REF!</definedName>
    <definedName name="MKC.08B">#REF!</definedName>
    <definedName name="MKC.08G">#REF!</definedName>
    <definedName name="MKC.09">#REF!</definedName>
    <definedName name="MKC.09B">#REF!</definedName>
    <definedName name="MKC.09G">#REF!</definedName>
    <definedName name="MKC.10">#REF!</definedName>
    <definedName name="MKC.10B">#REF!</definedName>
    <definedName name="MKC.10G">#REF!</definedName>
    <definedName name="MKC.11">#REF!</definedName>
    <definedName name="MKC.11B">#REF!</definedName>
    <definedName name="MKC.11G">#REF!</definedName>
    <definedName name="MKC.12">#REF!</definedName>
    <definedName name="MKC.12B">#REF!</definedName>
    <definedName name="MKC.12G">#REF!</definedName>
    <definedName name="MKC.13">#REF!</definedName>
    <definedName name="MKC.13B">#REF!</definedName>
    <definedName name="MKC.13G">#REF!</definedName>
    <definedName name="MKC.14">#REF!</definedName>
    <definedName name="MKC.14B">#REF!</definedName>
    <definedName name="MKC.14G">#REF!</definedName>
    <definedName name="MKC.15">#REF!</definedName>
    <definedName name="MKC.15B">#REF!</definedName>
    <definedName name="MKC.15G">#REF!</definedName>
    <definedName name="MKC.16">#REF!</definedName>
    <definedName name="MKC.16B">#REF!</definedName>
    <definedName name="MKC.16G">#REF!</definedName>
    <definedName name="mker20">#REF!</definedName>
    <definedName name="mker30">#REF!</definedName>
    <definedName name="mkol15">#REF!</definedName>
    <definedName name="MKP">#REF!</definedName>
    <definedName name="MKP_9">#REF!</definedName>
    <definedName name="MKY.01">#REF!</definedName>
    <definedName name="MKY.01B">#REF!</definedName>
    <definedName name="MKY.01G">#REF!</definedName>
    <definedName name="MKY.02">#REF!</definedName>
    <definedName name="MKY.02B">#REF!</definedName>
    <definedName name="MKY.02G">#REF!</definedName>
    <definedName name="MKY.03">#REF!</definedName>
    <definedName name="MKY.03B">#REF!</definedName>
    <definedName name="MKY.03G">#REF!</definedName>
    <definedName name="MKY.04">#REF!</definedName>
    <definedName name="MKY.04B">#REF!</definedName>
    <definedName name="MKY.04G">#REF!</definedName>
    <definedName name="MKY.05">#REF!</definedName>
    <definedName name="MKY.05B">#REF!</definedName>
    <definedName name="MKY.05G">#REF!</definedName>
    <definedName name="MKY.06">#REF!</definedName>
    <definedName name="MKY.06B">#REF!</definedName>
    <definedName name="MKY.06G">#REF!</definedName>
    <definedName name="MKY.07">#REF!</definedName>
    <definedName name="MKY.07B">#REF!</definedName>
    <definedName name="MKY.07G">#REF!</definedName>
    <definedName name="MKY.08">#REF!</definedName>
    <definedName name="MKY.08B">#REF!</definedName>
    <definedName name="MKY.08G">#REF!</definedName>
    <definedName name="MKY.09">#REF!</definedName>
    <definedName name="MKY.09B">#REF!</definedName>
    <definedName name="MKY.09G">#REF!</definedName>
    <definedName name="MKY.10">#REF!</definedName>
    <definedName name="MKY.10B">#REF!</definedName>
    <definedName name="MKY.10G">#REF!</definedName>
    <definedName name="MKY.11">#REF!</definedName>
    <definedName name="MKY.11B">#REF!</definedName>
    <definedName name="MKY.11G">#REF!</definedName>
    <definedName name="MKY.12">#REF!</definedName>
    <definedName name="MKY.12B">#REF!</definedName>
    <definedName name="MKY.12G">#REF!</definedName>
    <definedName name="MKY.13">#REF!</definedName>
    <definedName name="MKY.13B">#REF!</definedName>
    <definedName name="MKY.13G">#REF!</definedName>
    <definedName name="MKY.14">#REF!</definedName>
    <definedName name="MKY.14B">#REF!</definedName>
    <definedName name="MKY.14G">#REF!</definedName>
    <definedName name="MKY.15">#REF!</definedName>
    <definedName name="MKY.15B">#REF!</definedName>
    <definedName name="MKY.15G">#REF!</definedName>
    <definedName name="MKY.16">#REF!</definedName>
    <definedName name="MKY.16B">#REF!</definedName>
    <definedName name="MKY.16G">#REF!</definedName>
    <definedName name="MKY.17">#REF!</definedName>
    <definedName name="MKY.17B">#REF!</definedName>
    <definedName name="MKY.17G">#REF!</definedName>
    <definedName name="MKY.18">#REF!</definedName>
    <definedName name="MKY.18B">#REF!</definedName>
    <definedName name="MKY.18G">#REF!</definedName>
    <definedName name="MKY.19">#REF!</definedName>
    <definedName name="MKY.19B">#REF!</definedName>
    <definedName name="MKY.19G">#REF!</definedName>
    <definedName name="MKY.20">#REF!</definedName>
    <definedName name="MKY.20B">#REF!</definedName>
    <definedName name="MKY.20G">#REF!</definedName>
    <definedName name="MKY.21">#REF!</definedName>
    <definedName name="MKY.21B">#REF!</definedName>
    <definedName name="MKY.21G">#REF!</definedName>
    <definedName name="MKY.22">#REF!</definedName>
    <definedName name="MKY.22B">#REF!</definedName>
    <definedName name="MKY.22G">#REF!</definedName>
    <definedName name="ML">#REF!</definedName>
    <definedName name="ml_25255">#REF!</definedName>
    <definedName name="ml_25355">#REF!</definedName>
    <definedName name="ml_3.9">#REF!</definedName>
    <definedName name="ml_3.924">#REF!</definedName>
    <definedName name="ml_3011">#REF!</definedName>
    <definedName name="ml_30115">#REF!</definedName>
    <definedName name="ml_30145">#REF!</definedName>
    <definedName name="ml_3015">#REF!</definedName>
    <definedName name="ml_3019">#REF!</definedName>
    <definedName name="ml_3075">#REF!</definedName>
    <definedName name="ml_30800">#REF!</definedName>
    <definedName name="ml_3090">#REF!</definedName>
    <definedName name="ml_4">#REF!</definedName>
    <definedName name="ml_40115">#REF!</definedName>
    <definedName name="ml_4025">#REF!</definedName>
    <definedName name="ml_6.17">#REF!</definedName>
    <definedName name="ml_60">#REF!</definedName>
    <definedName name="ml_60100">#REF!</definedName>
    <definedName name="ml_6011">#REF!</definedName>
    <definedName name="ml_6015">#REF!</definedName>
    <definedName name="ml_6018">#REF!</definedName>
    <definedName name="ml_60195">#REF!</definedName>
    <definedName name="ml_60250">#REF!</definedName>
    <definedName name="ml_60315">#REF!</definedName>
    <definedName name="ml_60335">#REF!</definedName>
    <definedName name="ml_604">#REF!</definedName>
    <definedName name="ml_6042">#REF!</definedName>
    <definedName name="ml_6050">#REF!</definedName>
    <definedName name="ml_60545">#REF!</definedName>
    <definedName name="ML_9">#REF!</definedName>
    <definedName name="mlaker">#REF!</definedName>
    <definedName name="MLasL">#REF!</definedName>
    <definedName name="mlex.w">#REF!</definedName>
    <definedName name="MLL.01">#REF!</definedName>
    <definedName name="MLL.01B">#REF!</definedName>
    <definedName name="MLL.01G">#REF!</definedName>
    <definedName name="MLL.02">#REF!</definedName>
    <definedName name="MLL.02B">#REF!</definedName>
    <definedName name="MLL.02G">#REF!</definedName>
    <definedName name="MLL.03">#REF!</definedName>
    <definedName name="MLL.03B">#REF!</definedName>
    <definedName name="MLL.03G">#REF!</definedName>
    <definedName name="MLL.04">#REF!</definedName>
    <definedName name="MLL.04B">#REF!</definedName>
    <definedName name="MLL.04G">#REF!</definedName>
    <definedName name="MLL.05">#REF!</definedName>
    <definedName name="MLL.05B">#REF!</definedName>
    <definedName name="MLL.05G">#REF!</definedName>
    <definedName name="MLL.06">#REF!</definedName>
    <definedName name="MLL.06B">#REF!</definedName>
    <definedName name="MLL.06G">#REF!</definedName>
    <definedName name="MLL.07">#REF!</definedName>
    <definedName name="MLL.07B">#REF!</definedName>
    <definedName name="MLL.07G">#REF!</definedName>
    <definedName name="MLL.08">#REF!</definedName>
    <definedName name="MLL.08B">#REF!</definedName>
    <definedName name="MLL.08G">#REF!</definedName>
    <definedName name="MLL.09">#REF!</definedName>
    <definedName name="MLL.09B">#REF!</definedName>
    <definedName name="MLL.09G">#REF!</definedName>
    <definedName name="MLL.10">#REF!</definedName>
    <definedName name="MLL.10B">#REF!</definedName>
    <definedName name="MLL.10G">#REF!</definedName>
    <definedName name="MLL.11">#REF!</definedName>
    <definedName name="MLL.11B">#REF!</definedName>
    <definedName name="MLL.11G">#REF!</definedName>
    <definedName name="MLL.12">#REF!</definedName>
    <definedName name="MLL.12B">#REF!</definedName>
    <definedName name="MLL.12G">#REF!</definedName>
    <definedName name="MLL.13">#REF!</definedName>
    <definedName name="MLL.13B">#REF!</definedName>
    <definedName name="MLL.13G">#REF!</definedName>
    <definedName name="MLL.14">#REF!</definedName>
    <definedName name="MLL.14B">#REF!</definedName>
    <definedName name="MLL.14G">#REF!</definedName>
    <definedName name="MLL.15">#REF!</definedName>
    <definedName name="MLL.15B">#REF!</definedName>
    <definedName name="MLL.15G">#REF!</definedName>
    <definedName name="MLL.16">#REF!</definedName>
    <definedName name="MLL.16B">#REF!</definedName>
    <definedName name="MLL.16G">#REF!</definedName>
    <definedName name="MLL.17">#REF!</definedName>
    <definedName name="MLL.17B">#REF!</definedName>
    <definedName name="MLL.17G">#REF!</definedName>
    <definedName name="MLL.18">#REF!</definedName>
    <definedName name="MLL.18B">#REF!</definedName>
    <definedName name="MLL.18G">#REF!</definedName>
    <definedName name="MLL.19">#REF!</definedName>
    <definedName name="MLL.19B">#REF!</definedName>
    <definedName name="MLL.19G">#REF!</definedName>
    <definedName name="MLL.20">#REF!</definedName>
    <definedName name="MLL.20B">#REF!</definedName>
    <definedName name="MLL.20G">#REF!</definedName>
    <definedName name="MLL.21">#REF!</definedName>
    <definedName name="MLL.21B">#REF!</definedName>
    <definedName name="MLL.21G">#REF!</definedName>
    <definedName name="MLL.22">#REF!</definedName>
    <definedName name="MLL.22B">#REF!</definedName>
    <definedName name="MLL.22G">#REF!</definedName>
    <definedName name="MLL.23">#REF!</definedName>
    <definedName name="MLL.23B">#REF!</definedName>
    <definedName name="MLL.23G">#REF!</definedName>
    <definedName name="MLL.24">#REF!</definedName>
    <definedName name="MLL.24B">#REF!</definedName>
    <definedName name="MLL.24G">#REF!</definedName>
    <definedName name="MLL.25">#REF!</definedName>
    <definedName name="MLL.25B">#REF!</definedName>
    <definedName name="MLL.25G">#REF!</definedName>
    <definedName name="MLL.26">#REF!</definedName>
    <definedName name="MLL.26B">#REF!</definedName>
    <definedName name="MLL.26G">#REF!</definedName>
    <definedName name="MLL.27">#REF!</definedName>
    <definedName name="MLL.27B">#REF!</definedName>
    <definedName name="MLL.27G">#REF!</definedName>
    <definedName name="MLL.28">#REF!</definedName>
    <definedName name="MLL.28B">#REF!</definedName>
    <definedName name="MLL.28G">#REF!</definedName>
    <definedName name="MLL.29">#REF!</definedName>
    <definedName name="MLL.29B">#REF!</definedName>
    <definedName name="MLL.29G">#REF!</definedName>
    <definedName name="MLL.30">#REF!</definedName>
    <definedName name="MLL.30B">#REF!</definedName>
    <definedName name="MLL.30G">#REF!</definedName>
    <definedName name="MLL.31">#REF!</definedName>
    <definedName name="MLL.31B">#REF!</definedName>
    <definedName name="MLL.31G">#REF!</definedName>
    <definedName name="MLL.32">#REF!</definedName>
    <definedName name="MLL.32B">#REF!</definedName>
    <definedName name="MLL.32G">#REF!</definedName>
    <definedName name="MLL.33">#REF!</definedName>
    <definedName name="MLL.33B">#REF!</definedName>
    <definedName name="MLL.33G">#REF!</definedName>
    <definedName name="MLL.34">#REF!</definedName>
    <definedName name="MLL.34B">#REF!</definedName>
    <definedName name="MLL.34G">#REF!</definedName>
    <definedName name="MLL.35">#REF!</definedName>
    <definedName name="MLL.35B">#REF!</definedName>
    <definedName name="MLL.35G">#REF!</definedName>
    <definedName name="MLL.36">#REF!</definedName>
    <definedName name="MLL.36B">#REF!</definedName>
    <definedName name="MLL.36G">#REF!</definedName>
    <definedName name="MLL.37">#REF!</definedName>
    <definedName name="MLL.37B">#REF!</definedName>
    <definedName name="MLL.37G">#REF!</definedName>
    <definedName name="MLL.38">#REF!</definedName>
    <definedName name="MLL.38B">#REF!</definedName>
    <definedName name="MLL.38G">#REF!</definedName>
    <definedName name="MLL.39">#REF!</definedName>
    <definedName name="MLL.39B">#REF!</definedName>
    <definedName name="MLL.39G">#REF!</definedName>
    <definedName name="MLL.40">#REF!</definedName>
    <definedName name="MLL.40B">#REF!</definedName>
    <definedName name="MLL.40G">#REF!</definedName>
    <definedName name="MLL.41">#REF!</definedName>
    <definedName name="MLL.41B">#REF!</definedName>
    <definedName name="MLL.41G">#REF!</definedName>
    <definedName name="MLL.42">#REF!</definedName>
    <definedName name="MLL.42B">#REF!</definedName>
    <definedName name="MLL.42G">#REF!</definedName>
    <definedName name="MLL.43">#REF!</definedName>
    <definedName name="MLL.43B">#REF!</definedName>
    <definedName name="MLL.43G">#REF!</definedName>
    <definedName name="MLL.44">#REF!</definedName>
    <definedName name="MLL.44B">#REF!</definedName>
    <definedName name="MLL.44G">#REF!</definedName>
    <definedName name="MLL.45">#REF!</definedName>
    <definedName name="MLL.45B">#REF!</definedName>
    <definedName name="MLL.45G">#REF!</definedName>
    <definedName name="MLL.46">#REF!</definedName>
    <definedName name="MLL.46B">#REF!</definedName>
    <definedName name="MLL.46G">#REF!</definedName>
    <definedName name="MLL.47">#REF!</definedName>
    <definedName name="MLL.47B">#REF!</definedName>
    <definedName name="MLL.47G">#REF!</definedName>
    <definedName name="MLL.48">#REF!</definedName>
    <definedName name="MLL.48B">#REF!</definedName>
    <definedName name="MLL.48G">#REF!</definedName>
    <definedName name="MLL.49">#REF!</definedName>
    <definedName name="MLL.49B">#REF!</definedName>
    <definedName name="MLL.49G">#REF!</definedName>
    <definedName name="MLL.50">#REF!</definedName>
    <definedName name="MLL.50B">#REF!</definedName>
    <definedName name="MLL.50G">#REF!</definedName>
    <definedName name="MLL.51">#REF!</definedName>
    <definedName name="MLL.51B">#REF!</definedName>
    <definedName name="MLL.51G">#REF!</definedName>
    <definedName name="MLL.52">#REF!</definedName>
    <definedName name="MLL.52B">#REF!</definedName>
    <definedName name="MLL.52G">#REF!</definedName>
    <definedName name="MLL.53">#REF!</definedName>
    <definedName name="MLL.53B">#REF!</definedName>
    <definedName name="MLL.53G">#REF!</definedName>
    <definedName name="MLL.54">#REF!</definedName>
    <definedName name="MLL.54B">#REF!</definedName>
    <definedName name="MLL.54G">#REF!</definedName>
    <definedName name="MLL.55">#REF!</definedName>
    <definedName name="MLL.55B">#REF!</definedName>
    <definedName name="MLL.55G">#REF!</definedName>
    <definedName name="Mlmik">#REF!</definedName>
    <definedName name="MLT.01">#REF!</definedName>
    <definedName name="MLT.01B">#REF!</definedName>
    <definedName name="MLT.01G">#REF!</definedName>
    <definedName name="MLT.02">#REF!</definedName>
    <definedName name="MLT.02B">#REF!</definedName>
    <definedName name="MLT.02G">#REF!</definedName>
    <definedName name="MLT.03">#REF!</definedName>
    <definedName name="MLT.03B">#REF!</definedName>
    <definedName name="MLT.03G">#REF!</definedName>
    <definedName name="MLT.04">#REF!</definedName>
    <definedName name="MLT.04B">#REF!</definedName>
    <definedName name="MLT.04G">#REF!</definedName>
    <definedName name="MLT.05">#REF!</definedName>
    <definedName name="MLT.05B">#REF!</definedName>
    <definedName name="MLT.05G">#REF!</definedName>
    <definedName name="MLT.06">#REF!</definedName>
    <definedName name="MLT.06B">#REF!</definedName>
    <definedName name="MLT.06G">#REF!</definedName>
    <definedName name="MLT.07">#REF!</definedName>
    <definedName name="MLT.07B">#REF!</definedName>
    <definedName name="MLT.07G">#REF!</definedName>
    <definedName name="MLT.08">#REF!</definedName>
    <definedName name="MLT.08B">#REF!</definedName>
    <definedName name="MLT.08G">#REF!</definedName>
    <definedName name="MLT.09">#REF!</definedName>
    <definedName name="MLT.09B">#REF!</definedName>
    <definedName name="MLT.09G">#REF!</definedName>
    <definedName name="MLT.10">#REF!</definedName>
    <definedName name="MLT.10B">#REF!</definedName>
    <definedName name="MLT.10G">#REF!</definedName>
    <definedName name="MLT.11">#REF!</definedName>
    <definedName name="MLT.11B">#REF!</definedName>
    <definedName name="MLT.11G">#REF!</definedName>
    <definedName name="MLT.12">#REF!</definedName>
    <definedName name="MLT.12B">#REF!</definedName>
    <definedName name="MLT.12G">#REF!</definedName>
    <definedName name="MLT.13">#REF!</definedName>
    <definedName name="MLT.13B">#REF!</definedName>
    <definedName name="MLT.13G">#REF!</definedName>
    <definedName name="MLT.14">#REF!</definedName>
    <definedName name="MLT.14B">#REF!</definedName>
    <definedName name="MLT.14G">#REF!</definedName>
    <definedName name="MLT.15">#REF!</definedName>
    <definedName name="MLT.15B">#REF!</definedName>
    <definedName name="MLT.15G">#REF!</definedName>
    <definedName name="MLT.16">#REF!</definedName>
    <definedName name="MLT.16B">#REF!</definedName>
    <definedName name="MLT.16G">#REF!</definedName>
    <definedName name="MLT.17">#REF!</definedName>
    <definedName name="MLT.17B">#REF!</definedName>
    <definedName name="MLT.17G">#REF!</definedName>
    <definedName name="MLT.18">#REF!</definedName>
    <definedName name="MLT.18B">#REF!</definedName>
    <definedName name="MLT.18G">#REF!</definedName>
    <definedName name="MLT.19">#REF!</definedName>
    <definedName name="MLT.19B">#REF!</definedName>
    <definedName name="MLT.19G">#REF!</definedName>
    <definedName name="MLT.20">#REF!</definedName>
    <definedName name="MLT.20B">#REF!</definedName>
    <definedName name="MLT.20G">#REF!</definedName>
    <definedName name="MLT.21">#REF!</definedName>
    <definedName name="MLT.21B">#REF!</definedName>
    <definedName name="MLT.21G">#REF!</definedName>
    <definedName name="MLT.22">#REF!</definedName>
    <definedName name="MLT.22B">#REF!</definedName>
    <definedName name="MLT.22G">#REF!</definedName>
    <definedName name="MLT.23">#REF!</definedName>
    <definedName name="MLT.23B">#REF!</definedName>
    <definedName name="MLT.23G">#REF!</definedName>
    <definedName name="MLT.24">#REF!</definedName>
    <definedName name="MLT.24B">#REF!</definedName>
    <definedName name="MLT.24G">#REF!</definedName>
    <definedName name="MLT.25">#REF!</definedName>
    <definedName name="MLT.25B">#REF!</definedName>
    <definedName name="MLT.25G">#REF!</definedName>
    <definedName name="MLT.26">#REF!</definedName>
    <definedName name="MLT.26B">#REF!</definedName>
    <definedName name="MLT.26G">#REF!</definedName>
    <definedName name="MLT.27">#REF!</definedName>
    <definedName name="MLT.27B">#REF!</definedName>
    <definedName name="MLT.27G">#REF!</definedName>
    <definedName name="MLT.28">#REF!</definedName>
    <definedName name="MLT.28B">#REF!</definedName>
    <definedName name="MLT.28G">#REF!</definedName>
    <definedName name="MLT.29">#REF!</definedName>
    <definedName name="MLT.29B">#REF!</definedName>
    <definedName name="MLT.29G">#REF!</definedName>
    <definedName name="MLT.30">#REF!</definedName>
    <definedName name="MLT.30B">#REF!</definedName>
    <definedName name="MLT.30G">#REF!</definedName>
    <definedName name="MLT.31">#REF!</definedName>
    <definedName name="MLT.31B">#REF!</definedName>
    <definedName name="MLT.31G">#REF!</definedName>
    <definedName name="MLT.32">#REF!</definedName>
    <definedName name="MLT.32B">#REF!</definedName>
    <definedName name="MLT.32G">#REF!</definedName>
    <definedName name="MLT.33">#REF!</definedName>
    <definedName name="MLT.33B">#REF!</definedName>
    <definedName name="MLT.33G">#REF!</definedName>
    <definedName name="MLT.34">#REF!</definedName>
    <definedName name="MLT.34B">#REF!</definedName>
    <definedName name="MLT.34G">#REF!</definedName>
    <definedName name="MLT.35">#REF!</definedName>
    <definedName name="MLT.35B">#REF!</definedName>
    <definedName name="MLT.35G">#REF!</definedName>
    <definedName name="MLT.36">#REF!</definedName>
    <definedName name="MLT.36B">#REF!</definedName>
    <definedName name="MLT.36G">#REF!</definedName>
    <definedName name="MLT.37">#REF!</definedName>
    <definedName name="MLT.37B">#REF!</definedName>
    <definedName name="MLT.37G">#REF!</definedName>
    <definedName name="MLT.38">#REF!</definedName>
    <definedName name="MLT.38B">#REF!</definedName>
    <definedName name="MLT.38G">#REF!</definedName>
    <definedName name="mm">#REF!</definedName>
    <definedName name="mm_6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m">NA()</definedName>
    <definedName name="MMM_6">#REF!</definedName>
    <definedName name="MMM17A">#REF!</definedName>
    <definedName name="MMM35A">#REF!</definedName>
    <definedName name="MMM39B">#REF!</definedName>
    <definedName name="MmrCt">#REF!</definedName>
    <definedName name="MmrLp">#REF!</definedName>
    <definedName name="MmrSt">#REF!</definedName>
    <definedName name="mnm">#REF!</definedName>
    <definedName name="mnp">#REF!</definedName>
    <definedName name="mob">#REF!</definedName>
    <definedName name="mobdemobtp">#REF!</definedName>
    <definedName name="MOBILISASI">#REF!</definedName>
    <definedName name="Mobilization">#REF!</definedName>
    <definedName name="mobtp">#REF!</definedName>
    <definedName name="model">#REF!</definedName>
    <definedName name="modul">#REF!</definedName>
    <definedName name="molen">#REF!</definedName>
    <definedName name="mona">#REF!</definedName>
    <definedName name="mona100">"$#REF!.$G$201"</definedName>
    <definedName name="Mona3060">"$#REF!.$G$199"</definedName>
    <definedName name="mona6060">"$#REF!.$G$200"</definedName>
    <definedName name="monalisa">"$#REF!.$K$5364"</definedName>
    <definedName name="MOOI">#REF!</definedName>
    <definedName name="mor">#REF!</definedName>
    <definedName name="morandowarna">#REF!</definedName>
    <definedName name="morgls">#REF!</definedName>
    <definedName name="mortalMU">#REF!</definedName>
    <definedName name="mortar13">"'file://SERVER3/har-data/STRUCTURE PRICE OF BQ KOMPAS GRAMEDIA.xls'#$analisa.$#REF!$#REF!"</definedName>
    <definedName name="MOS_Bekisting">#REF!</definedName>
    <definedName name="Motor_Grader">#REF!</definedName>
    <definedName name="mow">#REF!</definedName>
    <definedName name="mowi.w.shield">#REF!</definedName>
    <definedName name="mowi.ws">#REF!</definedName>
    <definedName name="moz">#REF!</definedName>
    <definedName name="MP">#REF!</definedName>
    <definedName name="mp.182">#REF!</definedName>
    <definedName name="mp.182_9">#REF!</definedName>
    <definedName name="MP_21">#REF!</definedName>
    <definedName name="MP_221">#REF!</definedName>
    <definedName name="MP_222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421">#REF!</definedName>
    <definedName name="MP_422">#REF!</definedName>
    <definedName name="MP_424">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21">#REF!</definedName>
    <definedName name="MP_622">#REF!</definedName>
    <definedName name="MP_623">#REF!</definedName>
    <definedName name="MP_632">#REF!</definedName>
    <definedName name="MP_633">#REF!</definedName>
    <definedName name="MP_634a">#REF!</definedName>
    <definedName name="MP_66">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8">#REF!</definedName>
    <definedName name="MP_731">#REF!</definedName>
    <definedName name="MP_734">#REF!</definedName>
    <definedName name="MP_811">#REF!</definedName>
    <definedName name="MP_8111">#REF!</definedName>
    <definedName name="MP_812">#REF!</definedName>
    <definedName name="MP_813">#REF!</definedName>
    <definedName name="MP_815">#REF!</definedName>
    <definedName name="MP_817">#REF!</definedName>
    <definedName name="MP_818">#REF!</definedName>
    <definedName name="MP_819">#REF!</definedName>
    <definedName name="MP_831">#REF!</definedName>
    <definedName name="MP_841">#REF!</definedName>
    <definedName name="MP_843">#REF!</definedName>
    <definedName name="MP_844a">#REF!</definedName>
    <definedName name="MP_844b">#REF!</definedName>
    <definedName name="MP_845">#REF!</definedName>
    <definedName name="mp1_6">#REF!</definedName>
    <definedName name="mp1x25">NA()</definedName>
    <definedName name="mpa">#REF!</definedName>
    <definedName name="mpan">#REF!</definedName>
    <definedName name="mpasbk5">#REF!</definedName>
    <definedName name="mpasbm3">#REF!</definedName>
    <definedName name="mpasbm5">#REF!</definedName>
    <definedName name="mpb">#REF!</definedName>
    <definedName name="mpl">#REF!</definedName>
    <definedName name="MPL.01">#REF!</definedName>
    <definedName name="MPL.01B">#REF!</definedName>
    <definedName name="MPL.01G">#REF!</definedName>
    <definedName name="MPL.02">#REF!</definedName>
    <definedName name="MPL.02B">#REF!</definedName>
    <definedName name="MPL.02G">#REF!</definedName>
    <definedName name="MPL.03">#REF!</definedName>
    <definedName name="MPL.03B">#REF!</definedName>
    <definedName name="MPL.03G">#REF!</definedName>
    <definedName name="MPL.04">#REF!</definedName>
    <definedName name="MPL.04B">#REF!</definedName>
    <definedName name="MPL.04G">#REF!</definedName>
    <definedName name="MPL.05">#REF!</definedName>
    <definedName name="MPL.05B">#REF!</definedName>
    <definedName name="MPL.05G">#REF!</definedName>
    <definedName name="MPL.06">#REF!</definedName>
    <definedName name="MPL.06B">#REF!</definedName>
    <definedName name="MPL.06G">#REF!</definedName>
    <definedName name="MPL.07">#REF!</definedName>
    <definedName name="MPL.07B">#REF!</definedName>
    <definedName name="MPL.07G">#REF!</definedName>
    <definedName name="MPL.08">#REF!</definedName>
    <definedName name="MPL.08B">#REF!</definedName>
    <definedName name="MPL.08G">#REF!</definedName>
    <definedName name="MPL.09">#REF!</definedName>
    <definedName name="MPL.09B">#REF!</definedName>
    <definedName name="MPL.09G">#REF!</definedName>
    <definedName name="MPL.10">#REF!</definedName>
    <definedName name="MPL.10B">#REF!</definedName>
    <definedName name="MPL.10G">#REF!</definedName>
    <definedName name="MPL.11">#REF!</definedName>
    <definedName name="MPL.11B">#REF!</definedName>
    <definedName name="MPL.11G">#REF!</definedName>
    <definedName name="MPL.12">#REF!</definedName>
    <definedName name="MPL.12B">#REF!</definedName>
    <definedName name="MPL.12G">#REF!</definedName>
    <definedName name="MPL.13">#REF!</definedName>
    <definedName name="MPL.13B">#REF!</definedName>
    <definedName name="MPL.13G">#REF!</definedName>
    <definedName name="MPL.14">#REF!</definedName>
    <definedName name="MPL.14B">#REF!</definedName>
    <definedName name="MPL.14G">#REF!</definedName>
    <definedName name="MPL.15">#REF!</definedName>
    <definedName name="MPL.15B">#REF!</definedName>
    <definedName name="MPL.15G">#REF!</definedName>
    <definedName name="MPL.16">#REF!</definedName>
    <definedName name="MPL.16B">#REF!</definedName>
    <definedName name="MPL.16G">#REF!</definedName>
    <definedName name="MPL.17">#REF!</definedName>
    <definedName name="MPL.17B">#REF!</definedName>
    <definedName name="MPL.17G">#REF!</definedName>
    <definedName name="MPL.18">#REF!</definedName>
    <definedName name="MPL.18B">#REF!</definedName>
    <definedName name="MPL.18G">#REF!</definedName>
    <definedName name="MPL.19">#REF!</definedName>
    <definedName name="MPL.19B">#REF!</definedName>
    <definedName name="MPL.19G">#REF!</definedName>
    <definedName name="MPL.20">#REF!</definedName>
    <definedName name="MPL.20B">#REF!</definedName>
    <definedName name="MPL.20G">#REF!</definedName>
    <definedName name="MPL.21">#REF!</definedName>
    <definedName name="MPL.21B">#REF!</definedName>
    <definedName name="MPL.21G">#REF!</definedName>
    <definedName name="MPL.22">#REF!</definedName>
    <definedName name="MPL.22B">#REF!</definedName>
    <definedName name="MPL.22G">#REF!</definedName>
    <definedName name="MPL.23">#REF!</definedName>
    <definedName name="MPL.23B">#REF!</definedName>
    <definedName name="MPL.23G">#REF!</definedName>
    <definedName name="MPL.24">#REF!</definedName>
    <definedName name="MPL.24B">#REF!</definedName>
    <definedName name="MPL.24G">#REF!</definedName>
    <definedName name="MPL.25">#REF!</definedName>
    <definedName name="MPL.25B">#REF!</definedName>
    <definedName name="MPL.25G">#REF!</definedName>
    <definedName name="MPL.26">#REF!</definedName>
    <definedName name="MPL.26B">#REF!</definedName>
    <definedName name="MPL.26G">#REF!</definedName>
    <definedName name="MPL.27">#REF!</definedName>
    <definedName name="MPL.27B">#REF!</definedName>
    <definedName name="MPL.27G">#REF!</definedName>
    <definedName name="MPL.28">#REF!</definedName>
    <definedName name="MPL.28B">#REF!</definedName>
    <definedName name="MPL.28G">#REF!</definedName>
    <definedName name="MPL.29">#REF!</definedName>
    <definedName name="MPL.29B">#REF!</definedName>
    <definedName name="MPL.29G">#REF!</definedName>
    <definedName name="MPL.30">#REF!</definedName>
    <definedName name="MPL.30B">#REF!</definedName>
    <definedName name="MPL.30G">#REF!</definedName>
    <definedName name="MPL.31">#REF!</definedName>
    <definedName name="MPL.31B">#REF!</definedName>
    <definedName name="MPL.31G">#REF!</definedName>
    <definedName name="MPL.32">#REF!</definedName>
    <definedName name="MPL.32B">#REF!</definedName>
    <definedName name="MPL.32G">#REF!</definedName>
    <definedName name="mplest3">#REF!</definedName>
    <definedName name="mplest5">#REF!</definedName>
    <definedName name="MPmp3">#REF!</definedName>
    <definedName name="mpon">#REF!</definedName>
    <definedName name="MPP.01">#REF!</definedName>
    <definedName name="MPP.01B">#REF!</definedName>
    <definedName name="MPP.01G">#REF!</definedName>
    <definedName name="MPP.02">#REF!</definedName>
    <definedName name="MPP.02B">#REF!</definedName>
    <definedName name="MPP.02G">#REF!</definedName>
    <definedName name="MPP.03">#REF!</definedName>
    <definedName name="MPP.03B">#REF!</definedName>
    <definedName name="MPP.03G">#REF!</definedName>
    <definedName name="MPP.04">#REF!</definedName>
    <definedName name="MPP.04B">#REF!</definedName>
    <definedName name="MPP.04G">#REF!</definedName>
    <definedName name="MPP.05">#REF!</definedName>
    <definedName name="MPP.05B">#REF!</definedName>
    <definedName name="MPP.05G">#REF!</definedName>
    <definedName name="MPP.06">#REF!</definedName>
    <definedName name="MPP.06B">#REF!</definedName>
    <definedName name="MPP.06G">#REF!</definedName>
    <definedName name="MPP.07">#REF!</definedName>
    <definedName name="MPP.07B">#REF!</definedName>
    <definedName name="MPP.07G">#REF!</definedName>
    <definedName name="MPP.08">#REF!</definedName>
    <definedName name="MPP.08B">#REF!</definedName>
    <definedName name="MPP.08G">#REF!</definedName>
    <definedName name="MPP.09">#REF!</definedName>
    <definedName name="MPP.09B">#REF!</definedName>
    <definedName name="MPP.09G">#REF!</definedName>
    <definedName name="MPP.10">#REF!</definedName>
    <definedName name="MPP.10B">#REF!</definedName>
    <definedName name="MPP.10G">#REF!</definedName>
    <definedName name="MPP.11">#REF!</definedName>
    <definedName name="MPP.11B">#REF!</definedName>
    <definedName name="MPP.11G">#REF!</definedName>
    <definedName name="MPP.12">#REF!</definedName>
    <definedName name="MPP.12B">#REF!</definedName>
    <definedName name="MPP.12G">#REF!</definedName>
    <definedName name="MPP.13">#REF!</definedName>
    <definedName name="MPP.13B">#REF!</definedName>
    <definedName name="MPP.13G">#REF!</definedName>
    <definedName name="MPP.14">#REF!</definedName>
    <definedName name="MPP.14B">#REF!</definedName>
    <definedName name="MPP.14G">#REF!</definedName>
    <definedName name="MPP.15">#REF!</definedName>
    <definedName name="MPP.15B">#REF!</definedName>
    <definedName name="MPP.15G">#REF!</definedName>
    <definedName name="MPP.16">#REF!</definedName>
    <definedName name="MPP.16B">#REF!</definedName>
    <definedName name="MPP.16G">#REF!</definedName>
    <definedName name="MPP.17">#REF!</definedName>
    <definedName name="MPP.17B">#REF!</definedName>
    <definedName name="MPP.17G">#REF!</definedName>
    <definedName name="MPP.18">#REF!</definedName>
    <definedName name="MPP.18B">#REF!</definedName>
    <definedName name="MPP.18G">#REF!</definedName>
    <definedName name="MPP.19">#REF!</definedName>
    <definedName name="MPP.19B">#REF!</definedName>
    <definedName name="MPP.19G">#REF!</definedName>
    <definedName name="MPP.20">#REF!</definedName>
    <definedName name="MPP.20B">#REF!</definedName>
    <definedName name="MPP.20G">#REF!</definedName>
    <definedName name="MPP.21">#REF!</definedName>
    <definedName name="MPP.21B">#REF!</definedName>
    <definedName name="MPP.21G">#REF!</definedName>
    <definedName name="mprel">#REF!</definedName>
    <definedName name="Mpres">"mt"</definedName>
    <definedName name="MPS.01">#REF!</definedName>
    <definedName name="MPS.01B">#REF!</definedName>
    <definedName name="MPS.01G">#REF!</definedName>
    <definedName name="MPS.02">#REF!</definedName>
    <definedName name="MPS.02B">#REF!</definedName>
    <definedName name="MPS.02G">#REF!</definedName>
    <definedName name="MPS.03">#REF!</definedName>
    <definedName name="MPS.03B">#REF!</definedName>
    <definedName name="MPS.03G">#REF!</definedName>
    <definedName name="MPS.04">#REF!</definedName>
    <definedName name="MPS.04B">#REF!</definedName>
    <definedName name="MPS.04G">#REF!</definedName>
    <definedName name="MPS.05">#REF!</definedName>
    <definedName name="MPS.05B">#REF!</definedName>
    <definedName name="MPS.05G">#REF!</definedName>
    <definedName name="MPS.06">#REF!</definedName>
    <definedName name="MPS.06B">#REF!</definedName>
    <definedName name="MPS.06G">#REF!</definedName>
    <definedName name="MPV.01">#REF!</definedName>
    <definedName name="MPV.01B">#REF!</definedName>
    <definedName name="MPV.01G">#REF!</definedName>
    <definedName name="MPV.02">#REF!</definedName>
    <definedName name="MPV.02B">#REF!</definedName>
    <definedName name="MPV.02G">#REF!</definedName>
    <definedName name="MPV.03">#REF!</definedName>
    <definedName name="MPV.03B">#REF!</definedName>
    <definedName name="MPV.03G">#REF!</definedName>
    <definedName name="MPV.04">#REF!</definedName>
    <definedName name="MPV.04B">#REF!</definedName>
    <definedName name="MPV.04G">#REF!</definedName>
    <definedName name="mr_1">#REF!</definedName>
    <definedName name="mra">#REF!</definedName>
    <definedName name="mrabat">#REF!</definedName>
    <definedName name="mreserv">#REF!</definedName>
    <definedName name="mrev2">#REF!</definedName>
    <definedName name="mrev3">#REF!</definedName>
    <definedName name="mrp">#REF!</definedName>
    <definedName name="MRP_NONSTANDARD">#REF!</definedName>
    <definedName name="MRP_STANDARD">#REF!</definedName>
    <definedName name="mrs">#REF!</definedName>
    <definedName name="mrtl">#REF!</definedName>
    <definedName name="mrtr">"'file://SERVER3/har-data/STRUCTURE PRICE OF BQ KOMPAS GRAMEDIA.xls'#$analisa.$#REF!$#REF!"</definedName>
    <definedName name="MS">#REF!</definedName>
    <definedName name="ms_0.7">#REF!</definedName>
    <definedName name="ms_3">#REF!</definedName>
    <definedName name="ms_30145">#REF!</definedName>
    <definedName name="ms_60185">#REF!</definedName>
    <definedName name="ms_6019">#REF!</definedName>
    <definedName name="ms_6020">#REF!</definedName>
    <definedName name="ms_60205">#REF!</definedName>
    <definedName name="ms_60235">#REF!</definedName>
    <definedName name="ms_60245">#REF!</definedName>
    <definedName name="ms_6030">#REF!</definedName>
    <definedName name="ms_6031">#REF!</definedName>
    <definedName name="ms_60315">#REF!</definedName>
    <definedName name="ms_6035">#REF!</definedName>
    <definedName name="ms_604.2">#REF!</definedName>
    <definedName name="ms_6042">#REF!</definedName>
    <definedName name="mseptick">#REF!</definedName>
    <definedName name="MSN.01">#REF!</definedName>
    <definedName name="MSN.01B">#REF!</definedName>
    <definedName name="MSN.01F">#REF!</definedName>
    <definedName name="MSN.01G">#REF!</definedName>
    <definedName name="MSN.02">#REF!</definedName>
    <definedName name="MSN.02B">#REF!</definedName>
    <definedName name="MSN.02F">#REF!</definedName>
    <definedName name="MSN.02G">#REF!</definedName>
    <definedName name="MSN.03">#REF!</definedName>
    <definedName name="MSN.03B">#REF!</definedName>
    <definedName name="MSN.03F">#REF!</definedName>
    <definedName name="MSN.03G">#REF!</definedName>
    <definedName name="MSN.04">#REF!</definedName>
    <definedName name="MSN.04B">#REF!</definedName>
    <definedName name="MSN.04F">#REF!</definedName>
    <definedName name="MSN.04G">#REF!</definedName>
    <definedName name="MSN.05">#REF!</definedName>
    <definedName name="MSN.05B">#REF!</definedName>
    <definedName name="MSN.05F">#REF!</definedName>
    <definedName name="MSN.05G">#REF!</definedName>
    <definedName name="MSN.06">#REF!</definedName>
    <definedName name="MSN.06B">#REF!</definedName>
    <definedName name="MSN.06G">#REF!</definedName>
    <definedName name="MSN.07">#REF!</definedName>
    <definedName name="MSN.07B">#REF!</definedName>
    <definedName name="MSN.07G">#REF!</definedName>
    <definedName name="MSN.08">#REF!</definedName>
    <definedName name="MSN.08B">#REF!</definedName>
    <definedName name="MSN.08G">#REF!</definedName>
    <definedName name="MST.01">#REF!</definedName>
    <definedName name="MST.01B">#REF!</definedName>
    <definedName name="MST.01G">#REF!</definedName>
    <definedName name="MST.02">#REF!</definedName>
    <definedName name="MST.02B">#REF!</definedName>
    <definedName name="MST.02G">#REF!</definedName>
    <definedName name="MST.03">#REF!</definedName>
    <definedName name="MST.03B">#REF!</definedName>
    <definedName name="MST.03G">#REF!</definedName>
    <definedName name="MST.04">#REF!</definedName>
    <definedName name="MST.04B">#REF!</definedName>
    <definedName name="MST.04G">#REF!</definedName>
    <definedName name="MST.05">#REF!</definedName>
    <definedName name="MST.05B">#REF!</definedName>
    <definedName name="MST.05G">#REF!</definedName>
    <definedName name="MST.06">#REF!</definedName>
    <definedName name="MST.06B">#REF!</definedName>
    <definedName name="MST.06G">#REF!</definedName>
    <definedName name="MST.07">#REF!</definedName>
    <definedName name="MST.07B">#REF!</definedName>
    <definedName name="MST.07G">#REF!</definedName>
    <definedName name="MST.08">#REF!</definedName>
    <definedName name="MST.08B">#REF!</definedName>
    <definedName name="MST.08G">#REF!</definedName>
    <definedName name="MST.09">#REF!</definedName>
    <definedName name="MST.09B">#REF!</definedName>
    <definedName name="MST.09G">#REF!</definedName>
    <definedName name="MST.10">#REF!</definedName>
    <definedName name="MST.10B">#REF!</definedName>
    <definedName name="MST.10G">#REF!</definedName>
    <definedName name="MST.11">#REF!</definedName>
    <definedName name="MST.11B">#REF!</definedName>
    <definedName name="MST.11G">#REF!</definedName>
    <definedName name="MST.12">#REF!</definedName>
    <definedName name="MST.12B">#REF!</definedName>
    <definedName name="MST.12G">#REF!</definedName>
    <definedName name="mstamp">#REF!</definedName>
    <definedName name="mstr">#REF!</definedName>
    <definedName name="msub">#REF!</definedName>
    <definedName name="msy">#REF!</definedName>
    <definedName name="mt">#REF!</definedName>
    <definedName name="mt_9">#REF!</definedName>
    <definedName name="MTC1P">NA()</definedName>
    <definedName name="MTC3P">NA()</definedName>
    <definedName name="MTCHC">"'file:///d:/project/energyhouse2/energyhouse2-mainkontraktor/energyhouse2-mainkontraktor-tender/energyhouse2-mainkontraktor-tender-boq/misc/congviec/tam.xls'#$tnhchinh.$k$38"</definedName>
    <definedName name="MTCMB">NA()</definedName>
    <definedName name="MTMAC12">"$#REF!.$H$6"</definedName>
    <definedName name="MTP.01">#REF!</definedName>
    <definedName name="MTP.01B">#REF!</definedName>
    <definedName name="MTP.01G">#REF!</definedName>
    <definedName name="MTP.02">#REF!</definedName>
    <definedName name="MTP.02B">#REF!</definedName>
    <definedName name="MTP.02G">#REF!</definedName>
    <definedName name="MTP.03">#REF!</definedName>
    <definedName name="MTP.03B">#REF!</definedName>
    <definedName name="MTP.03G">#REF!</definedName>
    <definedName name="MTP.04">#REF!</definedName>
    <definedName name="MTP.04B">#REF!</definedName>
    <definedName name="MTP.04G">#REF!</definedName>
    <definedName name="MTP.05">#REF!</definedName>
    <definedName name="MTP.05B">#REF!</definedName>
    <definedName name="MTP.05G">#REF!</definedName>
    <definedName name="MTP.06">#REF!</definedName>
    <definedName name="MTP.06B">#REF!</definedName>
    <definedName name="MTP.06G">#REF!</definedName>
    <definedName name="MTP.07">#REF!</definedName>
    <definedName name="MTP.07B">#REF!</definedName>
    <definedName name="MTP.07G">#REF!</definedName>
    <definedName name="MTP.08">#REF!</definedName>
    <definedName name="MTP.08B">#REF!</definedName>
    <definedName name="MTP.08G">#REF!</definedName>
    <definedName name="MTP.09">#REF!</definedName>
    <definedName name="MTP.09B">#REF!</definedName>
    <definedName name="MTP.09G">#REF!</definedName>
    <definedName name="MTP.10">#REF!</definedName>
    <definedName name="MTP.10B">#REF!</definedName>
    <definedName name="MTP.10G">#REF!</definedName>
    <definedName name="mtp15mm">#REF!</definedName>
    <definedName name="mtp18mm">#REF!</definedName>
    <definedName name="mtr">NA()</definedName>
    <definedName name="mtram">"$#REF!.$F$14"</definedName>
    <definedName name="mts">#REF!</definedName>
    <definedName name="MU">#REF!</definedName>
    <definedName name="mu_200">#REF!</definedName>
    <definedName name="mu100pl10">#REF!</definedName>
    <definedName name="MU200ACBR">#REF!</definedName>
    <definedName name="MU200ACI">#REF!</definedName>
    <definedName name="mu270aci">#REF!</definedName>
    <definedName name="mu300pasbm">#REF!</definedName>
    <definedName name="mu300pasbr">#REF!</definedName>
    <definedName name="MU300perbamer">#REF!</definedName>
    <definedName name="mu300perbaring">#REF!</definedName>
    <definedName name="mu300perbtringan">#REF!</definedName>
    <definedName name="MU301BR">#REF!</definedName>
    <definedName name="mu301pasbm">#REF!</definedName>
    <definedName name="mu301pasbr">#REF!</definedName>
    <definedName name="mu301perbamer">#REF!</definedName>
    <definedName name="mu301perbaring">#REF!</definedName>
    <definedName name="MU301plbamer">#REF!</definedName>
    <definedName name="MU301plbaring">#REF!</definedName>
    <definedName name="MU301PLBR">#REF!</definedName>
    <definedName name="MU380BR10">#REF!</definedName>
    <definedName name="MU380BR75">#REF!</definedName>
    <definedName name="MU380perbaring10">#REF!</definedName>
    <definedName name="MU380perbaring75">#REF!</definedName>
    <definedName name="MU400perkrd">#REF!</definedName>
    <definedName name="MU400PRKR">#REF!</definedName>
    <definedName name="MU408GROUT">#REF!</definedName>
    <definedName name="MU440FLSCREED">#REF!</definedName>
    <definedName name="MU450prkrlt">#REF!</definedName>
    <definedName name="MU830acianbtn">#REF!</definedName>
    <definedName name="muars">#REF!</definedName>
    <definedName name="muars_6">#REF!</definedName>
    <definedName name="MUB">#REF!</definedName>
    <definedName name="muga">#REF!</definedName>
    <definedName name="MULAI">NA()</definedName>
    <definedName name="mult12">#REF!</definedName>
    <definedName name="mult12_6">#REF!</definedName>
    <definedName name="mult9">#REF!</definedName>
    <definedName name="mult9_6">#REF!</definedName>
    <definedName name="multi.18">#REF!</definedName>
    <definedName name="multi.4">#REF!</definedName>
    <definedName name="multi.6">#REF!</definedName>
    <definedName name="multi.9">#REF!</definedName>
    <definedName name="multi_15">#REF!</definedName>
    <definedName name="multi_4">#REF!</definedName>
    <definedName name="multi12">#REF!</definedName>
    <definedName name="multi15">#REF!</definedName>
    <definedName name="multi18">#REF!</definedName>
    <definedName name="multi3">#REF!</definedName>
    <definedName name="multi4">#REF!</definedName>
    <definedName name="multi6">#REF!</definedName>
    <definedName name="multi9">#REF!</definedName>
    <definedName name="multiplek9">#REF!</definedName>
    <definedName name="multiplex">#REF!</definedName>
    <definedName name="mum">#REF!</definedName>
    <definedName name="mume">#REF!</definedName>
    <definedName name="mupah_6">#REF!</definedName>
    <definedName name="mupahstr">#REF!</definedName>
    <definedName name="mupahstr_6">#REF!</definedName>
    <definedName name="Muph">#REF!</definedName>
    <definedName name="mupre">#REF!</definedName>
    <definedName name="murbaut16">#REF!</definedName>
    <definedName name="murbaut19">#REF!</definedName>
    <definedName name="murbaut22">#REF!</definedName>
    <definedName name="murbaut32">#REF!</definedName>
    <definedName name="murug">#REF!</definedName>
    <definedName name="MUS_NONSTANDARD">#REF!</definedName>
    <definedName name="MUS_STANDARD">#REF!</definedName>
    <definedName name="MUSLIMIN">#REF!</definedName>
    <definedName name="mustr">#REF!</definedName>
    <definedName name="mustr_6">#REF!</definedName>
    <definedName name="Muup">#REF!</definedName>
    <definedName name="mvp">#REF!</definedName>
    <definedName name="MW">#REF!</definedName>
    <definedName name="mwater">#REF!</definedName>
    <definedName name="mwf">#REF!</definedName>
    <definedName name="mws">#REF!</definedName>
    <definedName name="n">#REF!</definedName>
    <definedName name="N.1">#REF!</definedName>
    <definedName name="N.2">#REF!</definedName>
    <definedName name="N.4">#REF!</definedName>
    <definedName name="N.5">#REF!</definedName>
    <definedName name="N.6">#REF!</definedName>
    <definedName name="N.7">#REF!</definedName>
    <definedName name="N.8">#REF!</definedName>
    <definedName name="N.9">#REF!</definedName>
    <definedName name="n_13">"$#REF!.$#REF!$#REF!:$#REF!$#REF!"</definedName>
    <definedName name="n_ke11">#REF!</definedName>
    <definedName name="n_ke5">#REF!</definedName>
    <definedName name="n_ke6">#REF!</definedName>
    <definedName name="n_ke8">#REF!</definedName>
    <definedName name="N12.65">#REF!</definedName>
    <definedName name="N1IN">"'file:///d:/project/energyhouse2/energyhouse2-mainkontraktor/energyhouse2-mainkontraktor-tender/energyhouse2-mainkontraktor-tender-boq/misc/congviec/tam.xls'#$'tongke3p '.$u$295"</definedName>
    <definedName name="n1pig">"$#REF!.$#REF!$#REF!"</definedName>
    <definedName name="n1pignc">NA()</definedName>
    <definedName name="n1pigvl">NA()</definedName>
    <definedName name="n1pind">"$#REF!.$#REF!$#REF!"</definedName>
    <definedName name="n1pindnc">NA()</definedName>
    <definedName name="n1pindvl">NA()</definedName>
    <definedName name="n1ping">"$#REF!.$#REF!$#REF!"</definedName>
    <definedName name="n1pingnc">NA()</definedName>
    <definedName name="n1pingvl">NA()</definedName>
    <definedName name="n1pint">"$#REF!.$#REF!$#REF!"</definedName>
    <definedName name="n1pintnc">NA()</definedName>
    <definedName name="n1pintvl">NA()</definedName>
    <definedName name="n24nc">NA()</definedName>
    <definedName name="n24vl">NA()</definedName>
    <definedName name="n2mignc">NA()</definedName>
    <definedName name="n2migvl">NA()</definedName>
    <definedName name="n2min1nc">NA()</definedName>
    <definedName name="n2min1vl">NA()</definedName>
    <definedName name="NA">#REF!</definedName>
    <definedName name="Naatkeramik">#REF!</definedName>
    <definedName name="Nacco">#REF!</definedName>
    <definedName name="nako">#REF!</definedName>
    <definedName name="nam">#REF!</definedName>
    <definedName name="nama">#REF!</definedName>
    <definedName name="nama_bahan">#REF!</definedName>
    <definedName name="nama_upah">#REF!</definedName>
    <definedName name="namaatas">#REF!</definedName>
    <definedName name="namabawah">#REF!</definedName>
    <definedName name="NAME">#REF!</definedName>
    <definedName name="Nangka">#REF!</definedName>
    <definedName name="Nas">#REF!</definedName>
    <definedName name="natimah">#REF!</definedName>
    <definedName name="natural">#REF!</definedName>
    <definedName name="nbm">"$#REF!.$GN$21"</definedName>
    <definedName name="nc">#REF!</definedName>
    <definedName name="nc1nc">NA()</definedName>
    <definedName name="nc1p">"$#REF!.$I$25"</definedName>
    <definedName name="nc1vl">NA()</definedName>
    <definedName name="nc24nc">NA()</definedName>
    <definedName name="nc24vl">NA()</definedName>
    <definedName name="nc3p">"$#REF!.$#REF!$#REF!"</definedName>
    <definedName name="NCBD100">"$#REF!.$#REF!$#REF!"</definedName>
    <definedName name="NCBD200">"$#REF!.$#REF!$#REF!"</definedName>
    <definedName name="NCBD250">"$#REF!.$#REF!$#REF!"</definedName>
    <definedName name="ncdd">NA()</definedName>
    <definedName name="NCDD2">NA()</definedName>
    <definedName name="NCHC">"'file:///d:/project/energyhouse2/energyhouse2-mainkontraktor/energyhouse2-mainkontraktor-tender/energyhouse2-mainkontraktor-tender-boq/misc/congviec/tam.xls'#$tnhchinh.$j$38"</definedName>
    <definedName name="nctr">NA()</definedName>
    <definedName name="nctram">"$#REF!.$F$13"</definedName>
    <definedName name="NCVC100">"$#REF!.$H$12"</definedName>
    <definedName name="NCVC200">"$#REF!.$H$21"</definedName>
    <definedName name="NCVC250">"$#REF!.$H$28"</definedName>
    <definedName name="NCVC3P">"$#REF!.$Q$43"</definedName>
    <definedName name="neglasari">#REF!</definedName>
    <definedName name="NEGO">#REF!</definedName>
    <definedName name="nero">#REF!</definedName>
    <definedName name="NETA">#REF!</definedName>
    <definedName name="NETB">#REF!</definedName>
    <definedName name="NETC">#REF!</definedName>
    <definedName name="NETD">#REF!</definedName>
    <definedName name="NETE">#REF!</definedName>
    <definedName name="NETHK">#REF!</definedName>
    <definedName name="new">FST:(FSB)</definedName>
    <definedName name="new_10">#REF!:#REF!</definedName>
    <definedName name="new_11">#REF!:#REF!</definedName>
    <definedName name="new_12">#REF!:#REF!</definedName>
    <definedName name="new_14">#REF!:#REF!</definedName>
    <definedName name="new_15">#REF!:#REF!</definedName>
    <definedName name="new_16">#REF!:#REF!</definedName>
    <definedName name="new_17">#REF!:#REF!</definedName>
    <definedName name="new_18">#REF!:#REF!</definedName>
    <definedName name="new_19">#REF!:#REF!</definedName>
    <definedName name="new_20">#REF!:#REF!</definedName>
    <definedName name="new_22">#REF!:#REF!</definedName>
    <definedName name="new_23">#REF!:#REF!</definedName>
    <definedName name="new_24">#REF!:#REF!</definedName>
    <definedName name="new_25">#REF!:#REF!</definedName>
    <definedName name="new_5">#REF!:#REF!</definedName>
    <definedName name="new_6">#REF!:#REF!</definedName>
    <definedName name="new_7">#REF!:#REF!</definedName>
    <definedName name="new_8">#REF!:#REF!</definedName>
    <definedName name="new5_10">#REF!:#REF!</definedName>
    <definedName name="new5_11">#REF!:#REF!</definedName>
    <definedName name="new5_12">#REF!:#REF!</definedName>
    <definedName name="new5_14">#REF!:#REF!</definedName>
    <definedName name="new5_15">#REF!:#REF!</definedName>
    <definedName name="new5_16">#REF!:#REF!</definedName>
    <definedName name="new5_17">#REF!:#REF!</definedName>
    <definedName name="new5_18">#REF!:#REF!</definedName>
    <definedName name="new5_19">#REF!:#REF!</definedName>
    <definedName name="new5_20">#REF!:#REF!</definedName>
    <definedName name="new5_22">#REF!:#REF!</definedName>
    <definedName name="new5_23">#REF!:#REF!</definedName>
    <definedName name="new5_24">#REF!:#REF!</definedName>
    <definedName name="new5_25">#REF!:#REF!</definedName>
    <definedName name="new5_5">#REF!:#REF!</definedName>
    <definedName name="new5_6">#REF!:#REF!</definedName>
    <definedName name="new5_7">#REF!:#REF!</definedName>
    <definedName name="new5_8">#REF!:#REF!</definedName>
    <definedName name="newb">FST:(FSB)</definedName>
    <definedName name="newb_10">#REF!:#REF!</definedName>
    <definedName name="newb_11">#REF!:#REF!</definedName>
    <definedName name="newb_12">#REF!:#REF!</definedName>
    <definedName name="newb_14">#REF!:#REF!</definedName>
    <definedName name="newb_15">#REF!:#REF!</definedName>
    <definedName name="newb_16">#REF!:#REF!</definedName>
    <definedName name="newb_17">#REF!:#REF!</definedName>
    <definedName name="newb_18">#REF!:#REF!</definedName>
    <definedName name="newb_19">#REF!:#REF!</definedName>
    <definedName name="newb_20">#REF!:#REF!</definedName>
    <definedName name="newb_22">#REF!:#REF!</definedName>
    <definedName name="newb_23">#REF!:#REF!</definedName>
    <definedName name="newb_24">#REF!:#REF!</definedName>
    <definedName name="newb_25">#REF!:#REF!</definedName>
    <definedName name="newb_5">#REF!:#REF!</definedName>
    <definedName name="newb_6">#REF!:#REF!</definedName>
    <definedName name="newb_7">#REF!:#REF!</definedName>
    <definedName name="newb_8">#REF!:#REF!</definedName>
    <definedName name="nhn">"$#REF!.$#REF!$#REF!"</definedName>
    <definedName name="nhnnc">NA()</definedName>
    <definedName name="nhnvl">NA()</definedName>
    <definedName name="nig">"$#REF!.$#REF!$#REF!"</definedName>
    <definedName name="NIG13p">"'file:///d:/project/energyhouse2/energyhouse2-mainkontraktor/energyhouse2-mainkontraktor-tender/energyhouse2-mainkontraktor-tender-boq/misc/congviec/tam.xls'#$'tongke3p '.$t$295"</definedName>
    <definedName name="nig1p">"$#REF!.$S$290"</definedName>
    <definedName name="nig3p">"$#REF!.$T$110"</definedName>
    <definedName name="nightnc">NA()</definedName>
    <definedName name="nightvl">NA()</definedName>
    <definedName name="nignc1p">"$#REF!.$G$176"</definedName>
    <definedName name="nignc3p">"'file:///d:/project/energyhouse2/energyhouse2-mainkontraktor/energyhouse2-mainkontraktor-tender/energyhouse2-mainkontraktor-tender-boq/misc/congviec/tam.xls'#$'chitiet vl-nc'.$g$107"</definedName>
    <definedName name="nigvl1p">"$#REF!.$G$167"</definedName>
    <definedName name="nigvl3p">"'file:///d:/project/energyhouse2/energyhouse2-mainkontraktor/energyhouse2-mainkontraktor-tender/energyhouse2-mainkontraktor-tender-boq/misc/congviec/tam.xls'#$'chitiet vl-nc'.$g$99"</definedName>
    <definedName name="Nilai">#REF!</definedName>
    <definedName name="NilaiExt">#REF!</definedName>
    <definedName name="nin">"$#REF!.$#REF!$#REF!"</definedName>
    <definedName name="nin14nc3p">"$#REF!.$#REF!$#REF!"</definedName>
    <definedName name="nin14vl3p">"$#REF!.$#REF!$#REF!"</definedName>
    <definedName name="nin1903p">"$#REF!.$X$110"</definedName>
    <definedName name="nin190nc">NA()</definedName>
    <definedName name="nin190nc3p">"$#REF!.#REF!$#REF!"</definedName>
    <definedName name="nin190vl">NA()</definedName>
    <definedName name="nin190vl3p">"$#REF!.#REF!$#REF!"</definedName>
    <definedName name="nin1pnc">NA()</definedName>
    <definedName name="nin1pvl">NA()</definedName>
    <definedName name="nin2903p">"$#REF!.$Y$110"</definedName>
    <definedName name="nin290nc3p">"$#REF!.$#REF!#REF!"</definedName>
    <definedName name="nin290vl3p">"$#REF!.#REF!$#REF!"</definedName>
    <definedName name="nin3p">"$#REF!.$W$110"</definedName>
    <definedName name="nind">"$#REF!.$#REF!$#REF!"</definedName>
    <definedName name="nind1p">"$#REF!.$Y$290"</definedName>
    <definedName name="nind3p">"$#REF!.$Z$110"</definedName>
    <definedName name="nindnc">NA()</definedName>
    <definedName name="nindnc1p">"$#REF!.$G$235"</definedName>
    <definedName name="nindnc3p">"$#REF!.$#REF!#REF!"</definedName>
    <definedName name="nindvl">NA()</definedName>
    <definedName name="nindvl1p">"$#REF!.$G$226"</definedName>
    <definedName name="nindvl3p">"$#REF!.$#REF!#REF!"</definedName>
    <definedName name="ning1p">"$#REF!.$W$290"</definedName>
    <definedName name="ningnc1p">"$#REF!.$G$216"</definedName>
    <definedName name="ningvl1p">"$#REF!.$G$206"</definedName>
    <definedName name="ninnc">NA()</definedName>
    <definedName name="ninnc3p">"$#REF!.#REF!$#REF!"</definedName>
    <definedName name="nint1p">"$#REF!.$V$290"</definedName>
    <definedName name="nintnc1p">"$#REF!.$G$195"</definedName>
    <definedName name="nintvl1p">"$#REF!.$G$186"</definedName>
    <definedName name="ninvl">NA()</definedName>
    <definedName name="ninvl3p">"$#REF!.#REF!$#REF!"</definedName>
    <definedName name="NIPKASUB">#REF!</definedName>
    <definedName name="NIPKASUB_9">#REF!</definedName>
    <definedName name="NIPKEPDINPERMUKIMAN">#REF!</definedName>
    <definedName name="NIPKEPDINPERMUKIMAN_9">#REF!</definedName>
    <definedName name="NIPKEPSEKPERENCANAAN">#REF!</definedName>
    <definedName name="NIPKEPSEKPERENCANAAN_9">#REF!</definedName>
    <definedName name="niro">#REF!</definedName>
    <definedName name="nit">#REF!</definedName>
    <definedName name="nkeramik">#REF!</definedName>
    <definedName name="nl">#REF!</definedName>
    <definedName name="NL12nc">NA()</definedName>
    <definedName name="NL12vl">NA()</definedName>
    <definedName name="nl1p">"$#REF!.$#REF!$#REF!"</definedName>
    <definedName name="nl3p">"$#REF!.$U$110"</definedName>
    <definedName name="nlht">NA()</definedName>
    <definedName name="nlmtc">NA()</definedName>
    <definedName name="nlnc">NA()</definedName>
    <definedName name="nlnc3p">"$#REF!.$G$260"</definedName>
    <definedName name="nlnc3pha">"$#REF!.$G$410"</definedName>
    <definedName name="NLTK1p">"$#REF!.$X$297"</definedName>
    <definedName name="nlvl">NA()</definedName>
    <definedName name="nlvl1">"'file:///d:/project/energyhouse2/energyhouse2-mainkontraktor/energyhouse2-mainkontraktor-tender/energyhouse2-mainkontraktor-tender-boq/misc/congviec/tam.xls'#$chitiet.$g$302"</definedName>
    <definedName name="nlvl3p">"$#REF!.$G$245"</definedName>
    <definedName name="nm">#REF!</definedName>
    <definedName name="NMerN">#REF!</definedName>
    <definedName name="NMerW">#REF!</definedName>
    <definedName name="nn">"$#REF!.$#REF!$#REF!"</definedName>
    <definedName name="nn1p">"$#REF!.$#REF!$#REF!"</definedName>
    <definedName name="nn3p">"$#REF!.$V$110"</definedName>
    <definedName name="nnnc">NA()</definedName>
    <definedName name="nnnc3p">"$#REF!.$#REF!$#REF!"</definedName>
    <definedName name="nnnnnnn">#REF!</definedName>
    <definedName name="nnvl">NA()</definedName>
    <definedName name="nnvl3p">"$#REF!.$#REF!$#REF!"</definedName>
    <definedName name="NO">#REF!</definedName>
    <definedName name="NOIFS">#REF!</definedName>
    <definedName name="NOIP">#REF!</definedName>
    <definedName name="NOIT">#REF!</definedName>
    <definedName name="Nok">#REF!</definedName>
    <definedName name="nok_flushing">#REF!</definedName>
    <definedName name="nok_sd">#REF!</definedName>
    <definedName name="noker">#REF!</definedName>
    <definedName name="NokGentengMetal">#REF!</definedName>
    <definedName name="nokk">#REF!</definedName>
    <definedName name="noknat">#REF!</definedName>
    <definedName name="nokwr">#REF!</definedName>
    <definedName name="NOL">#REF!</definedName>
    <definedName name="NOMFS">#REF!</definedName>
    <definedName name="NOMP">#REF!</definedName>
    <definedName name="NOMT">#REF!</definedName>
    <definedName name="none">#N/A</definedName>
    <definedName name="nopy105">#REF!</definedName>
    <definedName name="nopy10b105">#REF!</definedName>
    <definedName name="nopy2025">#REF!</definedName>
    <definedName name="NOPY85">#REF!</definedName>
    <definedName name="nosing">#REF!</definedName>
    <definedName name="NOUM">#REF!</definedName>
    <definedName name="nozing">#REF!</definedName>
    <definedName name="nozzle">#REF!</definedName>
    <definedName name="npwp">#REF!</definedName>
    <definedName name="NT">#REF!</definedName>
    <definedName name="Number_of_Payments" localSheetId="0">MATCH(0.01,End_Bal,-1)+1</definedName>
    <definedName name="Number_of_Payments">MATCH(0.01,End_Bal,-1)+1</definedName>
    <definedName name="Number_of_Payments_13">MATCH(0.01,#NAME?,-1)+1</definedName>
    <definedName name="nuoc">"'file:///d:/project/energyhouse2/energyhouse2-mainkontraktor/energyhouse2-mainkontraktor-tender/energyhouse2-mainkontraktor-tender-boq/misc/do-huong/gt-bo/tktc10-8/phong%20nen/dt-thl7.xls'#$gvl.$n$38"</definedName>
    <definedName name="NURSE_CALL">#REF!</definedName>
    <definedName name="nurulfalah">#REF!</definedName>
    <definedName name="nurulhuda">#REF!</definedName>
    <definedName name="Nusagolfres">Nusagolfres</definedName>
    <definedName name="nx">NA()</definedName>
    <definedName name="nxmtc">NA()</definedName>
    <definedName name="nya.25">#REF!</definedName>
    <definedName name="NYA1C">#REF!</definedName>
    <definedName name="nyfgby3x6lt">#REF!</definedName>
    <definedName name="nyfgby410">#REF!</definedName>
    <definedName name="nyfgby4x6lt">#REF!</definedName>
    <definedName name="nyfgby4x95">#REF!</definedName>
    <definedName name="nyfgby5x6lt">#REF!</definedName>
    <definedName name="NYM21x">#REF!</definedName>
    <definedName name="NYM2C">#REF!</definedName>
    <definedName name="NYM31x">#REF!</definedName>
    <definedName name="nym32.5">#REF!</definedName>
    <definedName name="nym3x2.5flt">#REF!</definedName>
    <definedName name="NYM41x">#REF!</definedName>
    <definedName name="NYM41z">#REF!</definedName>
    <definedName name="nym42.5">#REF!</definedName>
    <definedName name="nymhy">#REF!</definedName>
    <definedName name="NYY">#REF!</definedName>
    <definedName name="nyy.3.2">#REF!</definedName>
    <definedName name="nyy.4.16">#REF!</definedName>
    <definedName name="nyy11x1x500">#REF!</definedName>
    <definedName name="nyy14x1x500">#REF!</definedName>
    <definedName name="nyy16x1x500">#REF!</definedName>
    <definedName name="nyy18x1x500">#REF!</definedName>
    <definedName name="nyy2.40.1_5">#REF!</definedName>
    <definedName name="NYY21x">#REF!</definedName>
    <definedName name="nyy21x1x500">#REF!</definedName>
    <definedName name="nyy2415070">#REF!</definedName>
    <definedName name="nyy25x1x500">#REF!</definedName>
    <definedName name="nyy2x4x16">#REF!</definedName>
    <definedName name="nyy3.2_5">#REF!</definedName>
    <definedName name="NYY31x">#REF!</definedName>
    <definedName name="nyy32.5">#REF!</definedName>
    <definedName name="nyy3x6">#REF!</definedName>
    <definedName name="NYY41x">#REF!</definedName>
    <definedName name="NYY41z">#REF!</definedName>
    <definedName name="nyy42.5">#REF!</definedName>
    <definedName name="nyy42115070">#REF!</definedName>
    <definedName name="nyy4212470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O.1">#REF!</definedName>
    <definedName name="o_1015">#REF!</definedName>
    <definedName name="o_1502125">#REF!</definedName>
    <definedName name="o_1502600">#REF!</definedName>
    <definedName name="o_1515">#REF!</definedName>
    <definedName name="o_1527">#REF!</definedName>
    <definedName name="o_20115">#REF!</definedName>
    <definedName name="o_2027">#REF!</definedName>
    <definedName name="o_3027">#REF!</definedName>
    <definedName name="o_400650">#REF!</definedName>
    <definedName name="o_500700">#REF!</definedName>
    <definedName name="o_500750">#REF!</definedName>
    <definedName name="o_5252125">#REF!</definedName>
    <definedName name="o_5501100">#REF!</definedName>
    <definedName name="o_700750">#REF!</definedName>
    <definedName name="o_700800">#REF!</definedName>
    <definedName name="o_700850">#REF!</definedName>
    <definedName name="o_9001450">#REF!</definedName>
    <definedName name="oa">#REF!</definedName>
    <definedName name="oab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FFI">HAJIME:OWARI</definedName>
    <definedName name="OFFICE_SUPPLY">#REF!</definedName>
    <definedName name="OFFICE_TW1">STOP:STOPE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IL___FUEL">#REF!</definedName>
    <definedName name="ok">#REF!</definedName>
    <definedName name="oke" hidden="1">#REF!</definedName>
    <definedName name="Oker">#REF!</definedName>
    <definedName name="Oker_">#REF!</definedName>
    <definedName name="oki">"$#REF!.$#REF!$#REF!"</definedName>
    <definedName name="oksand">#REF!</definedName>
    <definedName name="oksi">#REF!</definedName>
    <definedName name="oksigen">#REF!</definedName>
    <definedName name="OKT">#REF!</definedName>
    <definedName name="OKT_9">#REF!</definedName>
    <definedName name="OLF" hidden="1">#REF!</definedName>
    <definedName name="oli">#REF!</definedName>
    <definedName name="oli_9">#REF!</definedName>
    <definedName name="Olie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asis">#REF!</definedName>
    <definedName name="onderlaght">#REF!</definedName>
    <definedName name="oo">"'file://SERVER3/har-data/STRUCTURE PRICE OF BQ KOMPAS GRAMEDIA.xls'#$analisa.$#REF!$#REF!"</definedName>
    <definedName name="oon" hidden="1">{#N/A,#N/A,FALSE,"REK";#N/A,#N/A,FALSE,"rab"}</definedName>
    <definedName name="OP">#REF!</definedName>
    <definedName name="OPERATING_EQUIPMENT">#REF!</definedName>
    <definedName name="OPERATION_COST">#REF!</definedName>
    <definedName name="operator">#REF!</definedName>
    <definedName name="OPERATOR_ALAT_BESAR">#REF!</definedName>
    <definedName name="OPERATOR_ALAT_BESAR_23">#REF!</definedName>
    <definedName name="OPERATOR_ALAT_BESAR_25">#REF!</definedName>
    <definedName name="Operator_terlatih">#REF!</definedName>
    <definedName name="Operator_terlatih_9">#REF!</definedName>
    <definedName name="opr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SEMI">#REF!</definedName>
    <definedName name="OPU">#N/A</definedName>
    <definedName name="orari">#REF!</definedName>
    <definedName name="OrderTable" hidden="1">#REF!</definedName>
    <definedName name="ORNAMEN">#REF!</definedName>
    <definedName name="ornamenpuncak">#REF!</definedName>
    <definedName name="ornamensmu">#REF!</definedName>
    <definedName name="ornamerstrsmp">#REF!</definedName>
    <definedName name="OSAE4">#REF!</definedName>
    <definedName name="osc">NA()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T">#REF!</definedName>
    <definedName name="OT_9">#REF!</definedName>
    <definedName name="Otem_">#REF!</definedName>
    <definedName name="OUT">#REF!</definedName>
    <definedName name="Outlet">#REF!</definedName>
    <definedName name="outv">#REF!</definedName>
    <definedName name="outvl">#REF!</definedName>
    <definedName name="over">#N/A</definedName>
    <definedName name="overpal">#REF!</definedName>
    <definedName name="Ovnky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ell">#REF!</definedName>
    <definedName name="owrap">#REF!</definedName>
    <definedName name="Oxigen">#REF!</definedName>
    <definedName name="Oyan_">#REF!</definedName>
    <definedName name="p">#REF!</definedName>
    <definedName name="P.01">#REF!</definedName>
    <definedName name="P.02">#REF!</definedName>
    <definedName name="P.03">#REF!</definedName>
    <definedName name="P.04">#REF!</definedName>
    <definedName name="P.05">#REF!</definedName>
    <definedName name="P.06">#REF!</definedName>
    <definedName name="P.07">#REF!</definedName>
    <definedName name="P.1">#REF!</definedName>
    <definedName name="P.10">#REF!</definedName>
    <definedName name="P.10\10aksen">#REF!</definedName>
    <definedName name="P.11">#REF!</definedName>
    <definedName name="P.12">#REF!</definedName>
    <definedName name="P.13">#REF!</definedName>
    <definedName name="P.14">#REF!</definedName>
    <definedName name="P.15">#REF!</definedName>
    <definedName name="P.16">#REF!</definedName>
    <definedName name="P.17">#REF!</definedName>
    <definedName name="P.18">#REF!</definedName>
    <definedName name="P.19">#REF!</definedName>
    <definedName name="P.2">#REF!</definedName>
    <definedName name="P.20">#REF!</definedName>
    <definedName name="P.21">#REF!</definedName>
    <definedName name="P.22">#REF!</definedName>
    <definedName name="P.23">#REF!</definedName>
    <definedName name="P.24">#REF!</definedName>
    <definedName name="P.25">#REF!</definedName>
    <definedName name="P.26">#REF!</definedName>
    <definedName name="P.27">#REF!</definedName>
    <definedName name="P.28">#REF!</definedName>
    <definedName name="P.2aksen">#REF!</definedName>
    <definedName name="P.3">#REF!</definedName>
    <definedName name="P.3aksen">#REF!</definedName>
    <definedName name="p.4">#REF!</definedName>
    <definedName name="p.4aksen">#REF!</definedName>
    <definedName name="P.5">#REF!</definedName>
    <definedName name="P.6">#REF!</definedName>
    <definedName name="P.6aksen">#REF!</definedName>
    <definedName name="P.7">#REF!</definedName>
    <definedName name="P.8">#REF!</definedName>
    <definedName name="P.9">#REF!</definedName>
    <definedName name="P.9aksen">#REF!</definedName>
    <definedName name="P.aksen">#REF!</definedName>
    <definedName name="P.BAJAHOL">#REF!</definedName>
    <definedName name="P.BAJASIKU">#REF!</definedName>
    <definedName name="p.bI">#REF!</definedName>
    <definedName name="P.KACAALUM">#REF!</definedName>
    <definedName name="P.KACAKAYU">#REF!</definedName>
    <definedName name="p.klas1">#REF!</definedName>
    <definedName name="p.klas2">#REF!</definedName>
    <definedName name="p.klas3">#REF!</definedName>
    <definedName name="p.kmp.smrd.3.20">#REF!</definedName>
    <definedName name="p.l">#REF!</definedName>
    <definedName name="p.meka">#REF!</definedName>
    <definedName name="p.opr">#REF!</definedName>
    <definedName name="p.petir">#REF!</definedName>
    <definedName name="P.PS">#REF!</definedName>
    <definedName name="P.PSaksen">#REF!</definedName>
    <definedName name="P.S4">#REF!</definedName>
    <definedName name="p.triplek">#REF!</definedName>
    <definedName name="p_15">#REF!</definedName>
    <definedName name="p_150">#REF!</definedName>
    <definedName name="p_200">#REF!</definedName>
    <definedName name="p_300">#REF!</definedName>
    <definedName name="p_40">"'file://SERVER3/har-data/STRUCTURE PRICE OF BQ KOMPAS GRAMEDIA.xls'#$analisa.$#REF!$#REF!"</definedName>
    <definedName name="p_500">#REF!</definedName>
    <definedName name="p_b">#REF!</definedName>
    <definedName name="p_ba">#REF!</definedName>
    <definedName name="p_bkl">#REF!</definedName>
    <definedName name="p_blh">#REF!</definedName>
    <definedName name="p_cc">#REF!</definedName>
    <definedName name="p_d">#REF!</definedName>
    <definedName name="p_d1">#REF!</definedName>
    <definedName name="p_lks">#REF!</definedName>
    <definedName name="p_m_rk">#REF!</definedName>
    <definedName name="p_trafo">#REF!</definedName>
    <definedName name="p1_g">#REF!</definedName>
    <definedName name="p1_h">#REF!</definedName>
    <definedName name="p1_i">#REF!</definedName>
    <definedName name="p1_j">#REF!</definedName>
    <definedName name="p1_k">#REF!</definedName>
    <definedName name="p1_l">#REF!</definedName>
    <definedName name="p1_m">#REF!</definedName>
    <definedName name="p1_n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_4">#REF!</definedName>
    <definedName name="pa_5">#REF!</definedName>
    <definedName name="pa_7a">#REF!</definedName>
    <definedName name="pa6.240">#REF!</definedName>
    <definedName name="Paanstm">#REF!</definedName>
    <definedName name="pab125___0">"$#REF!.$N$226"</definedName>
    <definedName name="pab15___0">"$#REF!.$W$147"</definedName>
    <definedName name="pab150___0">"$#REF!.$W$134"</definedName>
    <definedName name="pab2___0">"$#REF!.$W$136"</definedName>
    <definedName name="pab20___0">"$#REF!.$W$146"</definedName>
    <definedName name="pab25___0">"$#REF!.$W$145"</definedName>
    <definedName name="pab32___0">"$#REF!.$W$144"</definedName>
    <definedName name="pab4___0">"$#REF!.$W$135"</definedName>
    <definedName name="pab40___0">"$#REF!.$W$143"</definedName>
    <definedName name="pab50___0">"$#REF!.$W$136"</definedName>
    <definedName name="pab6___0">"$#REF!.$W$134"</definedName>
    <definedName name="pab65___0">"$#REF!.$N$229"</definedName>
    <definedName name="pab80___0">"$#REF!.$W$209"</definedName>
    <definedName name="PABE">#REF!</definedName>
    <definedName name="pabet">#REF!</definedName>
    <definedName name="pabet_6">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L_1">#REF!</definedName>
    <definedName name="PABL_2">#REF!</definedName>
    <definedName name="PABL_3">#REF!</definedName>
    <definedName name="pabl2a">#REF!</definedName>
    <definedName name="pabl2a1">#REF!</definedName>
    <definedName name="pabx">#REF!</definedName>
    <definedName name="PAC">#REF!</definedName>
    <definedName name="PAC0Q2">#REF!</definedName>
    <definedName name="PAciDd">#REF!</definedName>
    <definedName name="pacr">#REF!</definedName>
    <definedName name="padat">#REF!</definedName>
    <definedName name="pagar">#REF!</definedName>
    <definedName name="pagaraman">#REF!</definedName>
    <definedName name="pagarproyek">#REF!</definedName>
    <definedName name="paglasblock1.3">#REF!</definedName>
    <definedName name="pagyp">#REF!</definedName>
    <definedName name="PAIN">#REF!</definedName>
    <definedName name="painter">#REF!</definedName>
    <definedName name="pak150___0">"$#REF!.$W$151"</definedName>
    <definedName name="pak50___0">"$#REF!.$W$154"</definedName>
    <definedName name="pak80___0">"$#REF!.$W$153"</definedName>
    <definedName name="Pakb5">#REF!</definedName>
    <definedName name="PakCc">#REF!</definedName>
    <definedName name="Paket">#REF!</definedName>
    <definedName name="paket1">#REF!</definedName>
    <definedName name="paket2">#REF!</definedName>
    <definedName name="pakf100">#REF!</definedName>
    <definedName name="pakf150">#REF!</definedName>
    <definedName name="pakf80">#REF!</definedName>
    <definedName name="PaKit">#REF!</definedName>
    <definedName name="Paku">#REF!</definedName>
    <definedName name="paku.1">#REF!</definedName>
    <definedName name="paku.4">#REF!</definedName>
    <definedName name="paku.5">#REF!</definedName>
    <definedName name="paku.as">#REF!</definedName>
    <definedName name="paku.k">#REF!</definedName>
    <definedName name="paku.kal">#REF!</definedName>
    <definedName name="paku.mtl">#REF!</definedName>
    <definedName name="paku.s">#REF!</definedName>
    <definedName name="Paku_payung">#REF!</definedName>
    <definedName name="Paku1">#REF!</definedName>
    <definedName name="Paku4">#REF!</definedName>
    <definedName name="paku5.7.10">#REF!</definedName>
    <definedName name="Paku8">#REF!</definedName>
    <definedName name="PAKUDUA">#REF!</definedName>
    <definedName name="Pakui">NA()</definedName>
    <definedName name="PAKUPANCING">#REF!</definedName>
    <definedName name="PAKUSATU">#REF!</definedName>
    <definedName name="PAKUSEKRUP">#REF!</definedName>
    <definedName name="palatlisplank">#REF!</definedName>
    <definedName name="pali">#REF!</definedName>
    <definedName name="palm">#REF!</definedName>
    <definedName name="pamf">#REF!</definedName>
    <definedName name="PAN">#REF!</definedName>
    <definedName name="panama">#REF!</definedName>
    <definedName name="pancang3030">#REF!</definedName>
    <definedName name="pancang4040">#REF!</definedName>
    <definedName name="pancang450">#REF!</definedName>
    <definedName name="pancang600">#REF!</definedName>
    <definedName name="Pancangsheet">#REF!</definedName>
    <definedName name="panel">#REF!</definedName>
    <definedName name="panjang">#REF!</definedName>
    <definedName name="panjang_10">#REF!</definedName>
    <definedName name="PAPA">#REF!</definedName>
    <definedName name="papan">#REF!</definedName>
    <definedName name="papan.1">#REF!</definedName>
    <definedName name="papan.klas1">#REF!</definedName>
    <definedName name="papan.m.3.20">#REF!</definedName>
    <definedName name="Papan_Kayu_kls._II">#REF!</definedName>
    <definedName name="papanbegesting">#REF!</definedName>
    <definedName name="papankam">#REF!</definedName>
    <definedName name="papanklas1">#REF!</definedName>
    <definedName name="papanklas3">#REF!</definedName>
    <definedName name="papannama">#REF!</definedName>
    <definedName name="Papannama\m2">#REF!</definedName>
    <definedName name="Papannamaunit">#REF!</definedName>
    <definedName name="PapanRuiter">#REF!</definedName>
    <definedName name="papas">#REF!</definedName>
    <definedName name="papas_6">#REF!</definedName>
    <definedName name="Papbor">#REF!</definedName>
    <definedName name="paper">#REF!</definedName>
    <definedName name="PaperholderTOT703AC">#REF!</definedName>
    <definedName name="PaperholderTS116R">#REF!</definedName>
    <definedName name="para">#REF!</definedName>
    <definedName name="para1">#REF!</definedName>
    <definedName name="para2">#REF!</definedName>
    <definedName name="para3">#REF!</definedName>
    <definedName name="para4">#REF!</definedName>
    <definedName name="para5">#REF!</definedName>
    <definedName name="paras">#REF!</definedName>
    <definedName name="parquetjati">#REF!</definedName>
    <definedName name="parquette">#REF!</definedName>
    <definedName name="PARS">#REF!</definedName>
    <definedName name="PART">#REF!</definedName>
    <definedName name="PARTISI">#REF!</definedName>
    <definedName name="parts">#REF!</definedName>
    <definedName name="parug">"$#REF!.$H$100"</definedName>
    <definedName name="pas">pas</definedName>
    <definedName name="pasang">#REF!</definedName>
    <definedName name="pasbamer3">#REF!</definedName>
    <definedName name="pasbamer5">#REF!</definedName>
    <definedName name="pasbat1.5">#REF!</definedName>
    <definedName name="pasbata1.3">#REF!</definedName>
    <definedName name="pasbata13">#REF!</definedName>
    <definedName name="pasbata15">#REF!</definedName>
    <definedName name="pasbatu">#REF!</definedName>
    <definedName name="PASBATU_PLESTER">#REF!</definedName>
    <definedName name="pasbatukali">"'file://SERVER3/har-data/STRUCTURE PRICE OF BQ KOMPAS GRAMEDIA.xls'#$analisa.$#REF!$#REF!"</definedName>
    <definedName name="pasbet">#REF!</definedName>
    <definedName name="PasBouwp">#REF!</definedName>
    <definedName name="pasbs4">#REF!</definedName>
    <definedName name="pasbt12">#REF!</definedName>
    <definedName name="pasbtempel">#REF!</definedName>
    <definedName name="PasBtKl">#REF!</definedName>
    <definedName name="pasdingran">#REF!</definedName>
    <definedName name="pasgran30">#REF!</definedName>
    <definedName name="pasgran40">#REF!</definedName>
    <definedName name="PASIR">#REF!</definedName>
    <definedName name="pasir.pasang">#REF!</definedName>
    <definedName name="pasir.u">#REF!</definedName>
    <definedName name="Pasir_beton_I">#REF!</definedName>
    <definedName name="pasirbeton">#REF!</definedName>
    <definedName name="pasircor">#REF!</definedName>
    <definedName name="PASIRHALUS">#REF!</definedName>
    <definedName name="pasirp">#REF!</definedName>
    <definedName name="pasirpasang">#REF!</definedName>
    <definedName name="PASIRTIMBUN">#REF!</definedName>
    <definedName name="pasiru">#REF!</definedName>
    <definedName name="pasiru_6">#REF!</definedName>
    <definedName name="pasirurug">#REF!</definedName>
    <definedName name="paskeramik30x30">#REF!</definedName>
    <definedName name="paspas">#REF!</definedName>
    <definedName name="PasPk">#REF!</definedName>
    <definedName name="Pasput">#REF!</definedName>
    <definedName name="Pasrug">#REF!</definedName>
    <definedName name="Pastih">#REF!</definedName>
    <definedName name="pasur">#REF!</definedName>
    <definedName name="Pasurug">#REF!</definedName>
    <definedName name="PATUNG">#REF!</definedName>
    <definedName name="PAUR">#REF!</definedName>
    <definedName name="paur_6">#REF!</definedName>
    <definedName name="pav">#REF!</definedName>
    <definedName name="pav_9">#REF!</definedName>
    <definedName name="pav_hek">#REF!</definedName>
    <definedName name="pavblock6">#REF!</definedName>
    <definedName name="pavblock8">#REF!</definedName>
    <definedName name="paving">#REF!</definedName>
    <definedName name="paving.b">#REF!</definedName>
    <definedName name="Paving_tebal_8_cm">#REF!</definedName>
    <definedName name="pavingblock">#REF!</definedName>
    <definedName name="Pavn6">#REF!</definedName>
    <definedName name="Pavn8">#REF!</definedName>
    <definedName name="pavnat6">#REF!</definedName>
    <definedName name="pavnat8">#REF!</definedName>
    <definedName name="Pavw6">#REF!</definedName>
    <definedName name="Pavw8">#REF!</definedName>
    <definedName name="pavwr6">#REF!</definedName>
    <definedName name="pavwr8">#REF!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B">#REF!</definedName>
    <definedName name="pb.125">#REF!</definedName>
    <definedName name="pb.125_9">#REF!</definedName>
    <definedName name="pb.200hp">#REF!</definedName>
    <definedName name="pb.200hp_9">#REF!</definedName>
    <definedName name="pb.500">#REF!</definedName>
    <definedName name="pb.500_9">#REF!</definedName>
    <definedName name="pb_1">#REF!</definedName>
    <definedName name="pb_1.5">#REF!</definedName>
    <definedName name="pb_10">#REF!</definedName>
    <definedName name="pb_13">#REF!</definedName>
    <definedName name="pb_131">#REF!</definedName>
    <definedName name="pb_3">#REF!</definedName>
    <definedName name="pb_4">#REF!</definedName>
    <definedName name="pb_40">#REF!</definedName>
    <definedName name="pb_5">#REF!</definedName>
    <definedName name="pb_8">#REF!</definedName>
    <definedName name="pb_af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ata3">#REF!</definedName>
    <definedName name="pbb">#REF!</definedName>
    <definedName name="PBBu24">#REF!</definedName>
    <definedName name="PBBU39">#REF!</definedName>
    <definedName name="PBekM">#REF!</definedName>
    <definedName name="PBekP">#REF!</definedName>
    <definedName name="PBetBks">#REF!</definedName>
    <definedName name="PBetFun">#REF!</definedName>
    <definedName name="PBetPl">#REF!</definedName>
    <definedName name="PBetPr">#REF!</definedName>
    <definedName name="PBetStr">#REF!</definedName>
    <definedName name="pbi">#REF!</definedName>
    <definedName name="pbk">#REF!</definedName>
    <definedName name="pbkp">#REF!</definedName>
    <definedName name="pbnatural">#REF!</definedName>
    <definedName name="pbondek">#REF!</definedName>
    <definedName name="PBouwp">#REF!</definedName>
    <definedName name="pBRC150">#REF!</definedName>
    <definedName name="pbs15___0">"$#REF!.$N$173"</definedName>
    <definedName name="pbs150___0">"$#REF!.$N$171"</definedName>
    <definedName name="pbs40___0">"$#REF!.$N$216"</definedName>
    <definedName name="pbs50___0">"$#REF!.$N$197"</definedName>
    <definedName name="pbs65___0">"$#REF!.$N$172"</definedName>
    <definedName name="pbs80___0">"$#REF!.$N$214"</definedName>
    <definedName name="pbsf100">#REF!</definedName>
    <definedName name="pbsf150">#REF!</definedName>
    <definedName name="pbsf65">#REF!</definedName>
    <definedName name="pbsf80">#REF!</definedName>
    <definedName name="PBSiku">#REF!</definedName>
    <definedName name="PBTempel">#REF!</definedName>
    <definedName name="pbtk14">#REF!</definedName>
    <definedName name="pbtki14">#REF!</definedName>
    <definedName name="PBtKl14">#REF!</definedName>
    <definedName name="PBtKl15">#REF!</definedName>
    <definedName name="PBtM2">#REF!</definedName>
    <definedName name="PBtM2K">#REF!</definedName>
    <definedName name="PBtM3">#REF!</definedName>
    <definedName name="PBtM3K">#REF!</definedName>
    <definedName name="PBtM4">#REF!</definedName>
    <definedName name="PBtM4K">#REF!</definedName>
    <definedName name="PBtX4">#REF!</definedName>
    <definedName name="pbwarna">#REF!</definedName>
    <definedName name="PC">#REF!</definedName>
    <definedName name="pc.50">#REF!</definedName>
    <definedName name="Pc.G">#REF!</definedName>
    <definedName name="pc.wr">#REF!</definedName>
    <definedName name="pc_35">#REF!</definedName>
    <definedName name="pc_40">#REF!</definedName>
    <definedName name="pc_9">#REF!</definedName>
    <definedName name="PC1Av2">"$#REF!.$M$2"</definedName>
    <definedName name="PC1Bv2">"$#REF!.$M$3"</definedName>
    <definedName name="PC1Dv2">"$#REF!.$M$4"</definedName>
    <definedName name="PC1h2">"$#REF!.$N$1"</definedName>
    <definedName name="PC1v2">"$#REF!.$M$1"</definedName>
    <definedName name="PC450B">#REF!</definedName>
    <definedName name="PC450U">#REF!</definedName>
    <definedName name="pc50___0">"$#REF!.$W$302"</definedName>
    <definedName name="PC600B">#REF!</definedName>
    <definedName name="PC600U">#REF!</definedName>
    <definedName name="pc80___0">"$#REF!.$W$165"</definedName>
    <definedName name="PCatIC">#REF!</definedName>
    <definedName name="PCatKy">#REF!</definedName>
    <definedName name="PCatVn">#REF!</definedName>
    <definedName name="pcb_3">#REF!</definedName>
    <definedName name="pcb10b85">#REF!</definedName>
    <definedName name="PCcurb">#REF!</definedName>
    <definedName name="pcf80___0">"$#REF!.$W$167"</definedName>
    <definedName name="pcg">#REF!</definedName>
    <definedName name="PCGR">#REF!</definedName>
    <definedName name="PCMEET">#REF!</definedName>
    <definedName name="Pcmpt">#REF!</definedName>
    <definedName name="Pcmrh">#REF!</definedName>
    <definedName name="Pcmtr">#REF!</definedName>
    <definedName name="Pcmwr">#REF!</definedName>
    <definedName name="pcputih">#REF!</definedName>
    <definedName name="PCWARNA">#REF!</definedName>
    <definedName name="pcwrn">#REF!</definedName>
    <definedName name="PD">#REF!</definedName>
    <definedName name="PD.PR.101">#REF!</definedName>
    <definedName name="PD.PR.101B">#REF!</definedName>
    <definedName name="PD.PR.101E">#REF!</definedName>
    <definedName name="PD.PR.102">#REF!</definedName>
    <definedName name="PD.PR.102B">#REF!</definedName>
    <definedName name="PD.PR.102E">#REF!</definedName>
    <definedName name="PD.PR.103">#REF!</definedName>
    <definedName name="PD.PR.103B">#REF!</definedName>
    <definedName name="PD.PR.103E">#REF!</definedName>
    <definedName name="PD.PR.104">#REF!</definedName>
    <definedName name="PD.PR.104B">#REF!</definedName>
    <definedName name="PD.PR.104E">#REF!</definedName>
    <definedName name="PD.PR.105">#REF!</definedName>
    <definedName name="PD.PR.105B">#REF!</definedName>
    <definedName name="PD.PR.105E">#REF!</definedName>
    <definedName name="PD.PR.106">#REF!</definedName>
    <definedName name="PD.PR.106B">#REF!</definedName>
    <definedName name="PD.PR.106E">#REF!</definedName>
    <definedName name="pd_22">#REF!</definedName>
    <definedName name="pd_35">#REF!</definedName>
    <definedName name="pd_40">#REF!</definedName>
    <definedName name="PDnKc">#REF!</definedName>
    <definedName name="PDnKcJt">#REF!</definedName>
    <definedName name="PDrA">#REF!</definedName>
    <definedName name="PDrT">#REF!</definedName>
    <definedName name="PDU">#REF!</definedName>
    <definedName name="PE">#REF!</definedName>
    <definedName name="PECAHDUA">#REF!</definedName>
    <definedName name="PECAHSATU">#REF!</definedName>
    <definedName name="PECF">#REF!</definedName>
    <definedName name="PECL">#REF!</definedName>
    <definedName name="PEDESTRIANROLLER">#REF!</definedName>
    <definedName name="pek">#REF!</definedName>
    <definedName name="PEK_BAJA">#REF!</definedName>
    <definedName name="pekcatdalam">#REF!</definedName>
    <definedName name="pekcatluar">#REF!</definedName>
    <definedName name="PEKE">#REF!</definedName>
    <definedName name="PEKERATLT">#REF!</definedName>
    <definedName name="Pekerja">#REF!</definedName>
    <definedName name="Pekerja.1">#REF!</definedName>
    <definedName name="Pekerja.b">#REF!</definedName>
    <definedName name="Pekerja.t">#REF!</definedName>
    <definedName name="PEKERJA_23">#REF!</definedName>
    <definedName name="PEKERJA_25">#REF!</definedName>
    <definedName name="PEKERJA_SETENGAH_TERAMPIL">#REF!</definedName>
    <definedName name="PEKERJA_SETENGAH_TERAMPIL_23">#REF!</definedName>
    <definedName name="PEKERJA_SETENGAH_TERAMPIL_25">#REF!</definedName>
    <definedName name="Pekerja_T">#REF!</definedName>
    <definedName name="PEKERJA_TERAMPIL">#REF!</definedName>
    <definedName name="PEKERJA_TERAMPIL_23">#REF!</definedName>
    <definedName name="PEKERJA_TERAMPIL_25">#REF!</definedName>
    <definedName name="Pekerja_terlatih">#REF!</definedName>
    <definedName name="Pekerjaan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erjaanluarbanmgunan">#REF!</definedName>
    <definedName name="PekerjaanME.luarbanguan">#REF!</definedName>
    <definedName name="peklas">#REF!</definedName>
    <definedName name="peksalur">#REF!</definedName>
    <definedName name="PEL">#REF!</definedName>
    <definedName name="Pelaksana">#REF!</definedName>
    <definedName name="Pelat">"$#REF!.$D$13"</definedName>
    <definedName name="Pelat_13">"$#REF!.$D$13"</definedName>
    <definedName name="pelatddg\W1.1GWT">#REF!</definedName>
    <definedName name="pelatddg\W1.2GWT">#REF!</definedName>
    <definedName name="pelatddg\W2.1GWT">#REF!</definedName>
    <definedName name="pelatddg\W2.2GWT">#REF!</definedName>
    <definedName name="pelatddg200">#REF!</definedName>
    <definedName name="pelatddg250">#REF!</definedName>
    <definedName name="pelatddg300">#REF!</definedName>
    <definedName name="pelatlab">#REF!</definedName>
    <definedName name="PELATRAMP">#REF!</definedName>
    <definedName name="pelats.7">#REF!</definedName>
    <definedName name="pelatS1">#REF!</definedName>
    <definedName name="pelats120">#REF!</definedName>
    <definedName name="pelats120.7">#REF!</definedName>
    <definedName name="pelatS2">#REF!</definedName>
    <definedName name="pelatS3">#REF!</definedName>
    <definedName name="pelatS4">#REF!</definedName>
    <definedName name="pelats5">#REF!</definedName>
    <definedName name="pelats6">#REF!</definedName>
    <definedName name="pelats7">#REF!</definedName>
    <definedName name="pelats8">#REF!</definedName>
    <definedName name="pelatvoly">#REF!</definedName>
    <definedName name="Pelesteran">#REF!</definedName>
    <definedName name="pelumas">#REF!</definedName>
    <definedName name="pemacangan">#REF!</definedName>
    <definedName name="pemadatansirtu">#REF!</definedName>
    <definedName name="pemadatantanah">#REF!</definedName>
    <definedName name="peman30">#REF!</definedName>
    <definedName name="peman40">#REF!</definedName>
    <definedName name="pemancangan30">#REF!</definedName>
    <definedName name="pemb.sop">#REF!</definedName>
    <definedName name="pemb24">#REF!</definedName>
    <definedName name="pemb39">#REF!</definedName>
    <definedName name="PEMBAGI">#REF!</definedName>
    <definedName name="PEMBANTU_OPERATOR___MEKANIK">#REF!</definedName>
    <definedName name="PEMBANTU_OPERATOR___MEKANIK_23">#REF!</definedName>
    <definedName name="PEMBANTU_OPERATOR___MEKANIK_25">#REF!</definedName>
    <definedName name="pembersihan">#REF!</definedName>
    <definedName name="pembesian">"$#REF!.$I$119"</definedName>
    <definedName name="Pembongkaran">#REF!</definedName>
    <definedName name="pembsian">#REF!</definedName>
    <definedName name="Pembulatan">#REF!</definedName>
    <definedName name="Pembulatan_US">#REF!</definedName>
    <definedName name="pemisah">#REF!</definedName>
    <definedName name="pemmek">#REF!</definedName>
    <definedName name="pemmekanik">#REF!</definedName>
    <definedName name="pemop">#REF!</definedName>
    <definedName name="pemoperator">#REF!</definedName>
    <definedName name="pemsopir">#REF!</definedName>
    <definedName name="pemsupir">#REF!</definedName>
    <definedName name="PEN">#REF!</definedName>
    <definedName name="pen_exppn">#REF!</definedName>
    <definedName name="Penawaran">#REF!</definedName>
    <definedName name="penetrasi">#REF!</definedName>
    <definedName name="PENGECATAN1">#REF!</definedName>
    <definedName name="Pengk">#REF!</definedName>
    <definedName name="pengki">#REF!</definedName>
    <definedName name="PENJAGA_MALAM">#REF!</definedName>
    <definedName name="PENJAGA_MALAM_23">#REF!</definedName>
    <definedName name="PENJAGA_MALAM_25">#REF!</definedName>
    <definedName name="PENJUMLAHAN">HAJIME:OWARI</definedName>
    <definedName name="peno" hidden="1">{#N/A,#N/A,FALSE,"REK";#N/A,#N/A,FALSE,"Bq-ARS"}</definedName>
    <definedName name="pentin">#REF!</definedName>
    <definedName name="pentin_6">#REF!</definedName>
    <definedName name="pentul" hidden="1">{#N/A,#N/A,FALSE,"REK-S-TPL";#N/A,#N/A,FALSE,"REK-TPML";#N/A,#N/A,FALSE,"RAB-TEMPEL"}</definedName>
    <definedName name="penyekata100">#REF!</definedName>
    <definedName name="per">#REF!</definedName>
    <definedName name="perancah">#REF!</definedName>
    <definedName name="PErcB">#REF!</definedName>
    <definedName name="PERCENT">"$#REF!.$#REF!$#REF!:$#REF!$#REF!"</definedName>
    <definedName name="Perduoleander">#REF!</definedName>
    <definedName name="perekat">#REF!</definedName>
    <definedName name="PERHITSEWA">#REF!</definedName>
    <definedName name="PERLENGKAPAN1">#REF!</definedName>
    <definedName name="perpus">#REF!</definedName>
    <definedName name="persiapan" hidden="1">#REF!</definedName>
    <definedName name="persiapansmp">#REF!</definedName>
    <definedName name="persiapansmu">#REF!</definedName>
    <definedName name="PERTAMINA">"$#REF!.$H$4:$H$693"</definedName>
    <definedName name="pesd">#REF!</definedName>
    <definedName name="PETC">#REF!</definedName>
    <definedName name="peter">#REF!</definedName>
    <definedName name="peter_6">#REF!</definedName>
    <definedName name="pf">#REF!</definedName>
    <definedName name="PF_S">#REF!</definedName>
    <definedName name="PFM">#REF!</definedName>
    <definedName name="PFRP">#REF!</definedName>
    <definedName name="PFU">#REF!</definedName>
    <definedName name="PFUS">#REF!</definedName>
    <definedName name="pg">#REF!</definedName>
    <definedName name="PG.1">#REF!</definedName>
    <definedName name="PG.2">#REF!</definedName>
    <definedName name="pg_12d">#REF!</definedName>
    <definedName name="pg_12h">#REF!</definedName>
    <definedName name="pg_rmf_9">#REF!</definedName>
    <definedName name="PGaliB">#REF!</definedName>
    <definedName name="PGaliD">#REF!</definedName>
    <definedName name="pgc">#REF!</definedName>
    <definedName name="pgrab">#REF!</definedName>
    <definedName name="Pgravel">#REF!</definedName>
    <definedName name="ph">#REF!</definedName>
    <definedName name="ph_35">#REF!</definedName>
    <definedName name="ph_40">#REF!</definedName>
    <definedName name="ph_4040">#REF!</definedName>
    <definedName name="ph_tx">#REF!</definedName>
    <definedName name="ph150___0">"$#REF!.$#REF!$#REF!"</definedName>
    <definedName name="Pheno">#REF!</definedName>
    <definedName name="Pheno12">#REF!</definedName>
    <definedName name="phf150___0">"$#REF!.$#REF!$#REF!"</definedName>
    <definedName name="Phil">#REF!</definedName>
    <definedName name="Philip" hidden="1">{#N/A,#N/A,FALSE,"REK-S-TPL";#N/A,#N/A,FALSE,"REK-TPML";#N/A,#N/A,FALSE,"RAB-TEMPEL"}</definedName>
    <definedName name="pibrator">#REF!</definedName>
    <definedName name="PIDET">#REF!</definedName>
    <definedName name="Pikup">#REF!</definedName>
    <definedName name="PIL">#REF!</definedName>
    <definedName name="PIL_NEW">#REF!</definedName>
    <definedName name="pile32">#REF!</definedName>
    <definedName name="piles">#REF!</definedName>
    <definedName name="Pilihan">#REF!</definedName>
    <definedName name="PILIHSTATUS">#REF!</definedName>
    <definedName name="Pin">#REF!</definedName>
    <definedName name="pinpan">"$#REF!.$O$771"</definedName>
    <definedName name="pintac">#REF!</definedName>
    <definedName name="pintu">#REF!</definedName>
    <definedName name="pintu_10">#REF!</definedName>
    <definedName name="pintu_2">#REF!</definedName>
    <definedName name="pintu_5">#REF!</definedName>
    <definedName name="pintu_8">#REF!</definedName>
    <definedName name="pintu_9">#REF!</definedName>
    <definedName name="PINTU_A">#REF!</definedName>
    <definedName name="PINTU_B">#REF!</definedName>
    <definedName name="PINTU_BASE">#REF!</definedName>
    <definedName name="PINTU_C">#REF!</definedName>
    <definedName name="Pintu_Card_Lock">"$#REF!.$F$37"</definedName>
    <definedName name="Pintu_Kmr_Mandi_Sliding">"$#REF!.$F$74"</definedName>
    <definedName name="Pintu_Kmr_Mandi_Swing">"$#REF!.$F$66"</definedName>
    <definedName name="Pintu_Shaft_Double_non_Security">"$#REF!.$F$88"</definedName>
    <definedName name="Pintu_Shaft_Double_Security">"$#REF!.$F$109"</definedName>
    <definedName name="Pintu_Shaft_Single_non_Security">"$#REF!.$F$88"</definedName>
    <definedName name="Pintu_Shaft_Single_Security">"$#REF!.$F$102"</definedName>
    <definedName name="Pintu_Teakwood">"$#REF!.$F$45"</definedName>
    <definedName name="Pintu_Teakwood_Sliding">"$#REF!.$F$59"</definedName>
    <definedName name="Pintu_Utama">"$#REF!.$F$29"</definedName>
    <definedName name="pintualum.rkaca">#REF!</definedName>
    <definedName name="pintualumrangkakaca\nonjasa">#REF!</definedName>
    <definedName name="pintudorong">#REF!</definedName>
    <definedName name="pintudouble">#REF!</definedName>
    <definedName name="pintudouble0.85">#REF!</definedName>
    <definedName name="pintudouble1.4">#REF!</definedName>
    <definedName name="pintuengkel">#REF!</definedName>
    <definedName name="PINTUKACA">#REF!</definedName>
    <definedName name="PINTUKACAALUM">#REF!</definedName>
    <definedName name="PINTUKACAKAYU">#REF!</definedName>
    <definedName name="pintuplywood">#REF!</definedName>
    <definedName name="pintupvc">#REF!</definedName>
    <definedName name="pinturangkakacakayu\nonjasa">#REF!</definedName>
    <definedName name="pintushaft">#REF!</definedName>
    <definedName name="PINTUTRIPLEK">#REF!</definedName>
    <definedName name="pintutriplek\nonjasa">#REF!</definedName>
    <definedName name="pintutriplekmelamin\nonjasa">#REF!</definedName>
    <definedName name="PINTUTRIPLEMELAMINTO">#REF!</definedName>
    <definedName name="PINTUUKIR">#REF!</definedName>
    <definedName name="PIP">#REF!</definedName>
    <definedName name="PIPA">#REF!</definedName>
    <definedName name="Pipa.l">#REF!</definedName>
    <definedName name="Pipa__pvc_maspion_D_ø_2">#REF!</definedName>
    <definedName name="Pipa__pvc_maspion_ø_4">#REF!</definedName>
    <definedName name="Pipa_GI_ø_1">#REF!</definedName>
    <definedName name="Pipa_GI_ø_1_1_2">#REF!</definedName>
    <definedName name="Pipa_GI_ø_1_1_4">#REF!</definedName>
    <definedName name="Pipa_GI_ø_1_2">#REF!</definedName>
    <definedName name="Pipa_GI_ø_2">#REF!</definedName>
    <definedName name="Pipa_GI_ø_2_1_2">#REF!</definedName>
    <definedName name="Pipa_GI_ø_3">#REF!</definedName>
    <definedName name="Pipa_GI_ø_3_4">#REF!</definedName>
    <definedName name="Pipa_GIP_ø_1__medium_class">#REF!</definedName>
    <definedName name="Pipa_GIP_ø_1_1_2__medium_class">#REF!</definedName>
    <definedName name="Pipa_GIP_ø_1_1_4__medium_class">#REF!</definedName>
    <definedName name="Pipa_GIP_ø_3_4__medium_class">#REF!</definedName>
    <definedName name="Pipa_rilling_steinles_steel_ø_2">#REF!</definedName>
    <definedName name="Pipa_variasi_rilling_steinles_steel_ø_3_4">#REF!</definedName>
    <definedName name="PIPE">#REF!</definedName>
    <definedName name="PIPE_SMLS_CS_A106_B_SCH80_T_C_SRL">#REF!</definedName>
    <definedName name="PIUTANGHOTMIX">#REF!</definedName>
    <definedName name="pj">#REF!</definedName>
    <definedName name="PJ.1">#REF!</definedName>
    <definedName name="PJ.2">#REF!</definedName>
    <definedName name="PJ.3">#REF!</definedName>
    <definedName name="PJ.4">#REF!</definedName>
    <definedName name="PJ.5">#REF!</definedName>
    <definedName name="PJ.6">#REF!</definedName>
    <definedName name="pj_9">#REF!</definedName>
    <definedName name="pj_a1">#REF!</definedName>
    <definedName name="pja_1a">#REF!</definedName>
    <definedName name="pja_4">#REF!</definedName>
    <definedName name="pja_5">#REF!</definedName>
    <definedName name="pja_6">#REF!</definedName>
    <definedName name="pja_7a">#REF!</definedName>
    <definedName name="PJG">#REF!</definedName>
    <definedName name="PJT">#REF!</definedName>
    <definedName name="pk">#REF!</definedName>
    <definedName name="PK.01">#REF!</definedName>
    <definedName name="PK.01B">#REF!</definedName>
    <definedName name="PK.01G">#REF!</definedName>
    <definedName name="PK.02">#REF!</definedName>
    <definedName name="PK.02B">#REF!</definedName>
    <definedName name="PK.02G">#REF!</definedName>
    <definedName name="PK.03">#REF!</definedName>
    <definedName name="PK.03B">#REF!</definedName>
    <definedName name="PK.03G">#REF!</definedName>
    <definedName name="PK.04">#REF!</definedName>
    <definedName name="PK.04B">#REF!</definedName>
    <definedName name="PK.04G">#REF!</definedName>
    <definedName name="PK.05">#REF!</definedName>
    <definedName name="PK.05B">#REF!</definedName>
    <definedName name="PK.05G">#REF!</definedName>
    <definedName name="PK.06">#REF!</definedName>
    <definedName name="PK.06B">#REF!</definedName>
    <definedName name="PK.06G">#REF!</definedName>
    <definedName name="PK.07">#REF!</definedName>
    <definedName name="PK.07B">#REF!</definedName>
    <definedName name="PK.07G">#REF!</definedName>
    <definedName name="PK.08">#REF!</definedName>
    <definedName name="PK.08B">#REF!</definedName>
    <definedName name="PK.08G">#REF!</definedName>
    <definedName name="PK.09">#REF!</definedName>
    <definedName name="PK.09B">#REF!</definedName>
    <definedName name="PK.09G">#REF!</definedName>
    <definedName name="PK.10">#REF!</definedName>
    <definedName name="PK.10B">#REF!</definedName>
    <definedName name="PK.10G">#REF!</definedName>
    <definedName name="PK.11">#REF!</definedName>
    <definedName name="PK.11B">#REF!</definedName>
    <definedName name="PK.11G">#REF!</definedName>
    <definedName name="PK.12">#REF!</definedName>
    <definedName name="PK.12B">#REF!</definedName>
    <definedName name="PK.12G">#REF!</definedName>
    <definedName name="PK.13">#REF!</definedName>
    <definedName name="PK.13B">#REF!</definedName>
    <definedName name="PK.13G">#REF!</definedName>
    <definedName name="PK.14">#REF!</definedName>
    <definedName name="PK.14B">#REF!</definedName>
    <definedName name="PK.14G">#REF!</definedName>
    <definedName name="PK.15">#REF!</definedName>
    <definedName name="PK.15B">#REF!</definedName>
    <definedName name="PK.15G">#REF!</definedName>
    <definedName name="PK.16">#REF!</definedName>
    <definedName name="PK.16B">#REF!</definedName>
    <definedName name="PK.16G">#REF!</definedName>
    <definedName name="PK.17">#REF!</definedName>
    <definedName name="PK.17B">#REF!</definedName>
    <definedName name="PK.17G">#REF!</definedName>
    <definedName name="PK.18">#REF!</definedName>
    <definedName name="PK.18B">#REF!</definedName>
    <definedName name="PK.18G">#REF!</definedName>
    <definedName name="PK.19">#REF!</definedName>
    <definedName name="PK.19B">#REF!</definedName>
    <definedName name="PK.19G">#REF!</definedName>
    <definedName name="PK.20">#REF!</definedName>
    <definedName name="PK.20B">#REF!</definedName>
    <definedName name="PK.20G">#REF!</definedName>
    <definedName name="PK.21">#REF!</definedName>
    <definedName name="PK.21B">#REF!</definedName>
    <definedName name="PK.21G">#REF!</definedName>
    <definedName name="PK.22">#REF!</definedName>
    <definedName name="PK.22B">#REF!</definedName>
    <definedName name="PK.22G">#REF!</definedName>
    <definedName name="PK.23">#REF!</definedName>
    <definedName name="PK.23B">#REF!</definedName>
    <definedName name="PK.23G">#REF!</definedName>
    <definedName name="PK.24">#REF!</definedName>
    <definedName name="PK.24B">#REF!</definedName>
    <definedName name="PK.24G">#REF!</definedName>
    <definedName name="PK.25">#REF!</definedName>
    <definedName name="PK.25B">#REF!</definedName>
    <definedName name="PK.25G">#REF!</definedName>
    <definedName name="PK.26">#REF!</definedName>
    <definedName name="PK.26B">#REF!</definedName>
    <definedName name="PK.26G">#REF!</definedName>
    <definedName name="PK.27">#REF!</definedName>
    <definedName name="PK.27B">#REF!</definedName>
    <definedName name="PK.27G">#REF!</definedName>
    <definedName name="PK.28">#REF!</definedName>
    <definedName name="PK.28B">#REF!</definedName>
    <definedName name="PK.28G">#REF!</definedName>
    <definedName name="pk_1a">#REF!</definedName>
    <definedName name="pk_2">#REF!</definedName>
    <definedName name="pk_3">#REF!</definedName>
    <definedName name="pk_4">#REF!</definedName>
    <definedName name="pk_5">#REF!</definedName>
    <definedName name="pk_5a">#REF!</definedName>
    <definedName name="pk_6">#REF!</definedName>
    <definedName name="pk_7">#REF!</definedName>
    <definedName name="pk_7a">#REF!</definedName>
    <definedName name="PK_FE">#REF!</definedName>
    <definedName name="PK_GIP_40">#REF!</definedName>
    <definedName name="PK_HEAD">#REF!</definedName>
    <definedName name="pkb_1020">#REF!</definedName>
    <definedName name="pkb_10202">#REF!</definedName>
    <definedName name="pkb_1030">#REF!</definedName>
    <definedName name="PKC">#REF!</definedName>
    <definedName name="pkd_2020">#REF!</definedName>
    <definedName name="pkd_3030">#REF!</definedName>
    <definedName name="PKD12p">#REF!</definedName>
    <definedName name="PKD12w">#REF!</definedName>
    <definedName name="pkhak">#REF!</definedName>
    <definedName name="pkl_2020">#REF!</definedName>
    <definedName name="pkl_3030">#REF!</definedName>
    <definedName name="pkl_3333">#REF!</definedName>
    <definedName name="pkl_4040">#REF!</definedName>
    <definedName name="pkl_6060">#REF!</definedName>
    <definedName name="PKL33p">#REF!</definedName>
    <definedName name="PKL33w">#REF!</definedName>
    <definedName name="PKmpS">#REF!</definedName>
    <definedName name="pkp">#REF!</definedName>
    <definedName name="PL">#REF!</definedName>
    <definedName name="pl_13">#REF!</definedName>
    <definedName name="plafgrc6">#REF!</definedName>
    <definedName name="plafgyp9">#REF!</definedName>
    <definedName name="PLAFOND1">#REF!</definedName>
    <definedName name="plafond9">#REF!</definedName>
    <definedName name="plafondcalsium">#REF!</definedName>
    <definedName name="PlafondGRC4mm">#REF!</definedName>
    <definedName name="plafondgrcmotif">#REF!</definedName>
    <definedName name="plafondgyp10">#REF!</definedName>
    <definedName name="plafondgyp9">#REF!</definedName>
    <definedName name="plafondgypsum9mm">#REF!</definedName>
    <definedName name="PlafondGypsumRHollow">#REF!</definedName>
    <definedName name="plafondgypwp9">#REF!</definedName>
    <definedName name="plagyp">#REF!</definedName>
    <definedName name="PlAl1">#REF!</definedName>
    <definedName name="PlAl2">#REF!</definedName>
    <definedName name="PlAl3">#REF!</definedName>
    <definedName name="PlAl4">#REF!</definedName>
    <definedName name="PlAl5">#REF!</definedName>
    <definedName name="PlAl6">#REF!</definedName>
    <definedName name="PLAM">#REF!</definedName>
    <definedName name="plamir">#REF!</definedName>
    <definedName name="plamir.k">#REF!</definedName>
    <definedName name="plamir.t">#REF!</definedName>
    <definedName name="plamur">#REF!</definedName>
    <definedName name="plamur.matex">#REF!</definedName>
    <definedName name="PLAMURKAYU">#REF!</definedName>
    <definedName name="PLAMURT">#REF!</definedName>
    <definedName name="plantshurb">#REF!</definedName>
    <definedName name="planttree">#REF!</definedName>
    <definedName name="Plap">#REF!</definedName>
    <definedName name="plaponcalci">#REF!</definedName>
    <definedName name="plapondsuspen">#REF!</definedName>
    <definedName name="plapongrc">#REF!</definedName>
    <definedName name="plapongyf">#REF!</definedName>
    <definedName name="PLas">#REF!</definedName>
    <definedName name="plaster14">#REF!</definedName>
    <definedName name="plaster15">#REF!</definedName>
    <definedName name="plastik">#REF!</definedName>
    <definedName name="plat">#REF!</definedName>
    <definedName name="Plat_lantai______t_20_cm">#REF!</definedName>
    <definedName name="platbaja">#REF!</definedName>
    <definedName name="platkopel">#REF!</definedName>
    <definedName name="PLATSAMBUNGANT10MM">#REF!</definedName>
    <definedName name="platseng60">#REF!</definedName>
    <definedName name="plaza">#REF!</definedName>
    <definedName name="plbs">#REF!</definedName>
    <definedName name="PLBSM">NA()</definedName>
    <definedName name="PLD">#REF!</definedName>
    <definedName name="plds">#REF!</definedName>
    <definedName name="Pleated">#REF!</definedName>
    <definedName name="plent5">#REF!</definedName>
    <definedName name="Ples13_15cm">#REF!</definedName>
    <definedName name="Ples16_15cm">#REF!</definedName>
    <definedName name="PlesDD14">#REF!</definedName>
    <definedName name="Plest_Screet13_35cm">#REF!</definedName>
    <definedName name="plest3">#REF!</definedName>
    <definedName name="plest5">#REF!</definedName>
    <definedName name="plester12">#REF!</definedName>
    <definedName name="plester13">#REF!</definedName>
    <definedName name="plester14">#REF!</definedName>
    <definedName name="plester15">#REF!</definedName>
    <definedName name="plester3">#REF!</definedName>
    <definedName name="plester4">#REF!</definedName>
    <definedName name="plester5">#REF!</definedName>
    <definedName name="plesteran1.3">#REF!</definedName>
    <definedName name="plesteran1.5">#REF!</definedName>
    <definedName name="plesterbeton">#REF!</definedName>
    <definedName name="PLIN">#REF!</definedName>
    <definedName name="plin10x40">#REF!</definedName>
    <definedName name="plinkeramik10x40">#REF!</definedName>
    <definedName name="plint">#REF!</definedName>
    <definedName name="plint1020">#REF!</definedName>
    <definedName name="Plint1030">#REF!</definedName>
    <definedName name="plint1040">#REF!</definedName>
    <definedName name="plint20">#REF!</definedName>
    <definedName name="plint30">#REF!</definedName>
    <definedName name="plint30polis">#REF!</definedName>
    <definedName name="plint40">#REF!</definedName>
    <definedName name="plintessenza1040">#REF!</definedName>
    <definedName name="plintgranit1060">#REF!</definedName>
    <definedName name="plintk">#REF!</definedName>
    <definedName name="plintkayujati">#REF!</definedName>
    <definedName name="plintkeramik1030">#REF!</definedName>
    <definedName name="plintkr">#REF!</definedName>
    <definedName name="plintvinyl">#REF!</definedName>
    <definedName name="plit">#REF!</definedName>
    <definedName name="PLITUR">#REF!</definedName>
    <definedName name="Pliturjadi">#REF!</definedName>
    <definedName name="PLK">#REF!</definedName>
    <definedName name="PLKerja">#REF!</definedName>
    <definedName name="plm_1560">#REF!</definedName>
    <definedName name="plm_d">#REF!</definedName>
    <definedName name="plmb">#REF!</definedName>
    <definedName name="Plmbismarkia">#REF!</definedName>
    <definedName name="Plmraja">#REF!</definedName>
    <definedName name="Plmraja100">#REF!</definedName>
    <definedName name="Plmtb">#REF!</definedName>
    <definedName name="Plnco">#REF!</definedName>
    <definedName name="PlOil">#REF!</definedName>
    <definedName name="PLP">#REF!</definedName>
    <definedName name="PLT">#REF!</definedName>
    <definedName name="PLT.LT.101">#REF!</definedName>
    <definedName name="PLT.LT.101B">#REF!</definedName>
    <definedName name="PLT.LT.101E">#REF!</definedName>
    <definedName name="PLT.LT.102">#REF!</definedName>
    <definedName name="PLT.LT.102B">#REF!</definedName>
    <definedName name="PLT.LT.102E">#REF!</definedName>
    <definedName name="PLT.LT.103">#REF!</definedName>
    <definedName name="PLT.LT.103B">#REF!</definedName>
    <definedName name="PLT.LT.103E">#REF!</definedName>
    <definedName name="PLT.LT.104">#REF!</definedName>
    <definedName name="PLT.LT.104B">#REF!</definedName>
    <definedName name="PLT.LT.104E">#REF!</definedName>
    <definedName name="pltg">#REF!</definedName>
    <definedName name="pltgkb">#REF!</definedName>
    <definedName name="pltgls">#REF!</definedName>
    <definedName name="pltgwr10">#REF!</definedName>
    <definedName name="pltgwr15">#REF!</definedName>
    <definedName name="plum">#REF!</definedName>
    <definedName name="plus">"$#REF!.$Y$2"</definedName>
    <definedName name="ply18_4x8_1">#REF!</definedName>
    <definedName name="ply18_4x8_2">#REF!</definedName>
    <definedName name="ply4_4x8">#REF!</definedName>
    <definedName name="plyw18">#REF!</definedName>
    <definedName name="Plywood15">#REF!</definedName>
    <definedName name="pm">#REF!</definedName>
    <definedName name="pmalam">#REF!</definedName>
    <definedName name="pml_6060">#REF!</definedName>
    <definedName name="Pmlm">#REF!</definedName>
    <definedName name="pmunding">#REF!</definedName>
    <definedName name="PMUP">#REF!</definedName>
    <definedName name="pn">#REF!</definedName>
    <definedName name="pnc_1030">#REF!</definedName>
    <definedName name="pnepiezo">#REF!</definedName>
    <definedName name="PNL">#REF!</definedName>
    <definedName name="Pnyatoh">#REF!</definedName>
    <definedName name="po">#REF!</definedName>
    <definedName name="PO_9">#REF!</definedName>
    <definedName name="POCE">#REF!</definedName>
    <definedName name="PODetail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honbambukuning\unit">#REF!</definedName>
    <definedName name="pohoncemara\unit">#REF!</definedName>
    <definedName name="pohonketapang\unit">#REF!</definedName>
    <definedName name="pohonlantana\unit">#REF!</definedName>
    <definedName name="pohonmanggis\unit">#REF!</definedName>
    <definedName name="pohonpalemraja\unit">#REF!</definedName>
    <definedName name="pohonthetehan\unit">#REF!</definedName>
    <definedName name="pol">#REF!</definedName>
    <definedName name="pol.clr">#REF!</definedName>
    <definedName name="polised33x33">#REF!</definedName>
    <definedName name="polol">#REF!</definedName>
    <definedName name="poly">#REF!</definedName>
    <definedName name="poly_r">#REF!</definedName>
    <definedName name="Polytur">#REF!</definedName>
    <definedName name="pom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pompa</definedName>
    <definedName name="Pompa_zet_pump_ex._sanyo">#REF!</definedName>
    <definedName name="pompabeton">#REF!</definedName>
    <definedName name="pond13">#REF!</definedName>
    <definedName name="pond14">#REF!</definedName>
    <definedName name="pond15">#REF!</definedName>
    <definedName name="pondasi225">#REF!</definedName>
    <definedName name="pondasiKSLL">#REF!</definedName>
    <definedName name="pondgenset">#REF!</definedName>
    <definedName name="pondljr">#REF!</definedName>
    <definedName name="pondstp">#REF!</definedName>
    <definedName name="pop">#REF!</definedName>
    <definedName name="PORS">#REF!</definedName>
    <definedName name="Porselin_11_x_11_cm_kw._I">#REF!</definedName>
    <definedName name="POS">#REF!</definedName>
    <definedName name="POSISI">#REF!</definedName>
    <definedName name="pot">#REF!</definedName>
    <definedName name="poto">#REF!</definedName>
    <definedName name="potong">#REF!</definedName>
    <definedName name="potongpnc45">#REF!</definedName>
    <definedName name="potongtiang">#REF!</definedName>
    <definedName name="Pout">#REF!</definedName>
    <definedName name="POW">"$#REF!.$G$3946"</definedName>
    <definedName name="POWDER">#REF!</definedName>
    <definedName name="PP" hidden="1">{"'Sheet1'!$A$1"}</definedName>
    <definedName name="PPA">#REF!</definedName>
    <definedName name="Ppadat">#REF!</definedName>
    <definedName name="pph">#REF!</definedName>
    <definedName name="PPI">#REF!</definedName>
    <definedName name="PpKdk">#REF!</definedName>
    <definedName name="PPlaB">#REF!</definedName>
    <definedName name="PPlaf6">#REF!</definedName>
    <definedName name="PPlGyp">#REF!</definedName>
    <definedName name="PPls2">#REF!</definedName>
    <definedName name="PPls3">#REF!</definedName>
    <definedName name="PPls4">#REF!</definedName>
    <definedName name="ppn">#REF!</definedName>
    <definedName name="ppn.m.3.20.serut">#REF!</definedName>
    <definedName name="ppn2.30">#REF!</definedName>
    <definedName name="ppn3.30">#REF!</definedName>
    <definedName name="ppnbjr">#REF!</definedName>
    <definedName name="ppnbor">#REF!</definedName>
    <definedName name="ppnborneo">#REF!</definedName>
    <definedName name="PpnBr">#REF!</definedName>
    <definedName name="ppnht1">#REF!</definedName>
    <definedName name="ppnht2">#REF!</definedName>
    <definedName name="PpnKb">#REF!</definedName>
    <definedName name="PpnKm">#REF!</definedName>
    <definedName name="ppnkmp">#REF!</definedName>
    <definedName name="PpnKs">#REF!</definedName>
    <definedName name="ppnras">#REF!</definedName>
    <definedName name="ppnsam">#REF!</definedName>
    <definedName name="PPntDt">#REF!</definedName>
    <definedName name="PPntJt">#REF!</definedName>
    <definedName name="PPntKS">#REF!</definedName>
    <definedName name="PPntPJt">#REF!</definedName>
    <definedName name="PPntPt">#REF!</definedName>
    <definedName name="PPO">#REF!</definedName>
    <definedName name="PPR_PN10">#REF!</definedName>
    <definedName name="PPR_PN16">#REF!</definedName>
    <definedName name="PPR_PN20">#REF!</definedName>
    <definedName name="pr">#REF!</definedName>
    <definedName name="PR.01">#REF!</definedName>
    <definedName name="PR.01B">#REF!</definedName>
    <definedName name="PR.01G">#REF!</definedName>
    <definedName name="PR.02">#REF!</definedName>
    <definedName name="PR.02B">#REF!</definedName>
    <definedName name="PR.02G">#REF!</definedName>
    <definedName name="PR.03">#REF!</definedName>
    <definedName name="PR.03B">#REF!</definedName>
    <definedName name="PR.03G">#REF!</definedName>
    <definedName name="PR.04">#REF!</definedName>
    <definedName name="PR.04B">#REF!</definedName>
    <definedName name="PR.04G">#REF!</definedName>
    <definedName name="PR.05">#REF!</definedName>
    <definedName name="PR.05B">#REF!</definedName>
    <definedName name="PR.05G">#REF!</definedName>
    <definedName name="PR.06">#REF!</definedName>
    <definedName name="PR.06B">#REF!</definedName>
    <definedName name="PR.06G">#REF!</definedName>
    <definedName name="PR.07">#REF!</definedName>
    <definedName name="PR.07B">#REF!</definedName>
    <definedName name="PR.07G">#REF!</definedName>
    <definedName name="PR.08">#REF!</definedName>
    <definedName name="PR.08B">#REF!</definedName>
    <definedName name="PR.08G">#REF!</definedName>
    <definedName name="PR.09">#REF!</definedName>
    <definedName name="PR.09B">#REF!</definedName>
    <definedName name="PR.09G">#REF!</definedName>
    <definedName name="PR.10">#REF!</definedName>
    <definedName name="PR.10B">#REF!</definedName>
    <definedName name="PR.10G">#REF!</definedName>
    <definedName name="PR.11">#REF!</definedName>
    <definedName name="PR.11B">#REF!</definedName>
    <definedName name="PR.11G">#REF!</definedName>
    <definedName name="PR.12">#REF!</definedName>
    <definedName name="PR.12B">#REF!</definedName>
    <definedName name="PR.12G">#REF!</definedName>
    <definedName name="PR.13">#REF!</definedName>
    <definedName name="PR.13B">#REF!</definedName>
    <definedName name="PR.13G">#REF!</definedName>
    <definedName name="PR.14">#REF!</definedName>
    <definedName name="PR.14B">#REF!</definedName>
    <definedName name="PR.14G">#REF!</definedName>
    <definedName name="PR.15">#REF!</definedName>
    <definedName name="PR.15B">#REF!</definedName>
    <definedName name="PR.15G">#REF!</definedName>
    <definedName name="PR.16">#REF!</definedName>
    <definedName name="PR.16B">#REF!</definedName>
    <definedName name="PR.16G">#REF!</definedName>
    <definedName name="PR.17">#REF!</definedName>
    <definedName name="PR.17B">#REF!</definedName>
    <definedName name="PR.17G">#REF!</definedName>
    <definedName name="PR.18">#REF!</definedName>
    <definedName name="PR.18B">#REF!</definedName>
    <definedName name="PR.18G">#REF!</definedName>
    <definedName name="PR.19">#REF!</definedName>
    <definedName name="PR.19B">#REF!</definedName>
    <definedName name="PR.19G">#REF!</definedName>
    <definedName name="PR.20">#REF!</definedName>
    <definedName name="PR.20B">#REF!</definedName>
    <definedName name="PR.20G">#REF!</definedName>
    <definedName name="PR.21">#REF!</definedName>
    <definedName name="PR.21B">#REF!</definedName>
    <definedName name="PR.21G">#REF!</definedName>
    <definedName name="PR.22">#REF!</definedName>
    <definedName name="PR.22B">#REF!</definedName>
    <definedName name="PR.22G">#REF!</definedName>
    <definedName name="PR.23">#REF!</definedName>
    <definedName name="PR.23B">#REF!</definedName>
    <definedName name="PR.23G">#REF!</definedName>
    <definedName name="PR.24">#REF!</definedName>
    <definedName name="PR.24B">#REF!</definedName>
    <definedName name="PR.24G">#REF!</definedName>
    <definedName name="PR.25">#REF!</definedName>
    <definedName name="PR.25B">#REF!</definedName>
    <definedName name="PR.25G">#REF!</definedName>
    <definedName name="PR.26">#REF!</definedName>
    <definedName name="PR.26B">#REF!</definedName>
    <definedName name="PR.26G">#REF!</definedName>
    <definedName name="PR.27">#REF!</definedName>
    <definedName name="PR.27B">#REF!</definedName>
    <definedName name="PR.27G">#REF!</definedName>
    <definedName name="PR.28">#REF!</definedName>
    <definedName name="PR.28B">#REF!</definedName>
    <definedName name="PR.28G">#REF!</definedName>
    <definedName name="PR.29">#REF!</definedName>
    <definedName name="PR.29B">#REF!</definedName>
    <definedName name="PR.29G">#REF!</definedName>
    <definedName name="PR.30">#REF!</definedName>
    <definedName name="PR.30B">#REF!</definedName>
    <definedName name="PR.30G">#REF!</definedName>
    <definedName name="PR.31">#REF!</definedName>
    <definedName name="PR.31B">#REF!</definedName>
    <definedName name="PR.31G">#REF!</definedName>
    <definedName name="PR.32">#REF!</definedName>
    <definedName name="PR.32B">#REF!</definedName>
    <definedName name="PR.32G">#REF!</definedName>
    <definedName name="PR.33">#REF!</definedName>
    <definedName name="PR.33B">#REF!</definedName>
    <definedName name="PR.33G">#REF!</definedName>
    <definedName name="PR.34">#REF!</definedName>
    <definedName name="PR.34B">#REF!</definedName>
    <definedName name="PR.34G">#REF!</definedName>
    <definedName name="PR.35">#REF!</definedName>
    <definedName name="PR.35B">#REF!</definedName>
    <definedName name="PR.35G">#REF!</definedName>
    <definedName name="PR.36">#REF!</definedName>
    <definedName name="PR.36B">#REF!</definedName>
    <definedName name="PR.36G">#REF!</definedName>
    <definedName name="PR.37">#REF!</definedName>
    <definedName name="PR.37B">#REF!</definedName>
    <definedName name="PR.37G">#REF!</definedName>
    <definedName name="PR.38">#REF!</definedName>
    <definedName name="PR.38B">#REF!</definedName>
    <definedName name="PR.38G">#REF!</definedName>
    <definedName name="PR.39">#REF!</definedName>
    <definedName name="PR.39B">#REF!</definedName>
    <definedName name="PR.39G">#REF!</definedName>
    <definedName name="PR.40">#REF!</definedName>
    <definedName name="PR.40B">#REF!</definedName>
    <definedName name="PR.40G">#REF!</definedName>
    <definedName name="PR.41">#REF!</definedName>
    <definedName name="PR.41B">#REF!</definedName>
    <definedName name="PR.41G">#REF!</definedName>
    <definedName name="PR.42">#REF!</definedName>
    <definedName name="PR.42B">#REF!</definedName>
    <definedName name="PR.42G">#REF!</definedName>
    <definedName name="PR.43">#REF!</definedName>
    <definedName name="PR.43B">#REF!</definedName>
    <definedName name="PR.43G">#REF!</definedName>
    <definedName name="PR.44">#REF!</definedName>
    <definedName name="PR.44B">#REF!</definedName>
    <definedName name="PR.44G">#REF!</definedName>
    <definedName name="PR.45">#REF!</definedName>
    <definedName name="PR.45B">#REF!</definedName>
    <definedName name="PR.45G">#REF!</definedName>
    <definedName name="Pralon">#REF!</definedName>
    <definedName name="PRangP">#REF!</definedName>
    <definedName name="PRECAST_A">#REF!</definedName>
    <definedName name="PRECAST_B">#REF!</definedName>
    <definedName name="PRECAST_C">#REF!</definedName>
    <definedName name="PREL">"$#REF!.$W$11"</definedName>
    <definedName name="PRELIEM">#REF!</definedName>
    <definedName name="prelim" hidden="1">#REF!</definedName>
    <definedName name="prelimi">#REF!</definedName>
    <definedName name="PRELIMJURUUKUR">#REF!</definedName>
    <definedName name="Prem" hidden="1">#REF!</definedName>
    <definedName name="Prem.1">#REF!</definedName>
    <definedName name="prembes">#REF!</definedName>
    <definedName name="Premi">#REF!</definedName>
    <definedName name="PREPD">#REF!</definedName>
    <definedName name="presming">#REF!,#REF!,#REF!,#REF!,#REF!,#REF!,#REF!,#REF!,#REF!</definedName>
    <definedName name="PrfDn">#REF!</definedName>
    <definedName name="PrfLn">#REF!</definedName>
    <definedName name="prg">#REF!</definedName>
    <definedName name="Primacon10">#REF!</definedName>
    <definedName name="Primacon75">#REF!</definedName>
    <definedName name="primcoat">#REF!</definedName>
    <definedName name="PRIME_COAT">#REF!</definedName>
    <definedName name="Primecoat">#REF!</definedName>
    <definedName name="PrinCIV.16">#REF!,#REF!,#REF!,#REF!,#REF!,#REF!,#REF!,#REF!,#REF!</definedName>
    <definedName name="print">#REF!</definedName>
    <definedName name="Print_Are">#REF!</definedName>
    <definedName name="_xlnm.Print_Area" localSheetId="0">'BOQ (Non Cbl Chiler Exis) (1)'!$A$1:$O$352</definedName>
    <definedName name="_xlnm.Print_Area">#REF!</definedName>
    <definedName name="Print_Area_MI">#REF!</definedName>
    <definedName name="Print_Area_MI___0">#REF!</definedName>
    <definedName name="Print_Area_MI___4">"$LAMP_C.$#REF!$#REF!:$#REF!$#REF!"</definedName>
    <definedName name="PRINT_AREA_MI_1">#REF!</definedName>
    <definedName name="Print_Area_MI_11">#REF!</definedName>
    <definedName name="Print_Area_MI_11_6">#REF!</definedName>
    <definedName name="PRINT_AREA_MI_12">#REF!</definedName>
    <definedName name="Print_Area_MI_13">#REF!</definedName>
    <definedName name="Print_Area_MI_13_6">#REF!</definedName>
    <definedName name="Print_Area_MI_14">#REF!</definedName>
    <definedName name="Print_Area_MI_14_6">#REF!</definedName>
    <definedName name="Print_Area_MI_15">#REF!</definedName>
    <definedName name="Print_Area_MI_15_6">#REF!</definedName>
    <definedName name="PRINT_AREA_MI_19">#REF!</definedName>
    <definedName name="PRINT_AREA_MI_19_1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23">#REF!</definedName>
    <definedName name="Print_Area_MI_3">#REF!</definedName>
    <definedName name="Print_Area_MI_3_6">#REF!</definedName>
    <definedName name="PRINT_AREA_MI_32">#REF!</definedName>
    <definedName name="Print_Area_MI_4">#REF!</definedName>
    <definedName name="Print_Area_MI_5">#REF!</definedName>
    <definedName name="PRINT_AREA_MI_52">#REF!</definedName>
    <definedName name="Print_Area_MI_6">#REF!</definedName>
    <definedName name="Print_Area_MI_6_1">#REF!</definedName>
    <definedName name="Print_Area_MI_6_6">#REF!</definedName>
    <definedName name="Print_Area_MI_7">#REF!</definedName>
    <definedName name="Print_Area_MI_7_6">#REF!</definedName>
    <definedName name="Print_Area_MI_8">#REF!</definedName>
    <definedName name="Print_Area_MI_8_6">#REF!</definedName>
    <definedName name="Print_Area_MI_9">#REF!</definedName>
    <definedName name="Print_Area_MI_9_6">#REF!</definedName>
    <definedName name="Print_Area_MI1">#REF!</definedName>
    <definedName name="Print_Area_Reset" localSheetId="0">OFFSET(Full_Print,0,0,'BOQ (Non Cbl Chiler Exis) (1)'!Last_Row)</definedName>
    <definedName name="Print_Area_Reset">OFFSET(Full_Print,0,0,Last_Row)</definedName>
    <definedName name="PRINT_TILTES">#REF!</definedName>
    <definedName name="PRINT_TITILES">#REF!</definedName>
    <definedName name="PRINT_TITLE">#REF!</definedName>
    <definedName name="PRINT_TITLE_MI">#REF!</definedName>
    <definedName name="_xlnm.Print_Titles">#REF!</definedName>
    <definedName name="Print_Titles_MI">#REF!</definedName>
    <definedName name="Print_Titles_MI___0">#REF!</definedName>
    <definedName name="Print_Titles_MI_1">#REF!</definedName>
    <definedName name="Print_Titles_MI_1_2">#REF!</definedName>
    <definedName name="Print_Titles_MI_1_4">#REF!</definedName>
    <definedName name="Print_Titles_MI_1_5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">#REF!</definedName>
    <definedName name="Print_Titles_MI_6">#REF!</definedName>
    <definedName name="Print_Titles_MI_6_6">#REF!</definedName>
    <definedName name="Print_Titles_MI_7">#REF!</definedName>
    <definedName name="Print_Titles_MI_7_6">#REF!</definedName>
    <definedName name="Print_Titles_MI_9">#REF!</definedName>
    <definedName name="Print2">#REF!,#REF!,#REF!,#REF!,#REF!,#REF!,#REF!,#REF!,#REF!</definedName>
    <definedName name="PRITN_TITLES">#REF!</definedName>
    <definedName name="Pro">#REF!</definedName>
    <definedName name="pro_15">#REF!</definedName>
    <definedName name="ProdForm" hidden="1">#REF!</definedName>
    <definedName name="PRODO">#REF!</definedName>
    <definedName name="Product" hidden="1">#REF!</definedName>
    <definedName name="prof">#REF!</definedName>
    <definedName name="prof1a">"$analis.$#REF!$#REF!"</definedName>
    <definedName name="profil">#REF!</definedName>
    <definedName name="profil2">#REF!</definedName>
    <definedName name="profil3">#REF!</definedName>
    <definedName name="profil4">#REF!</definedName>
    <definedName name="profil5">#REF!</definedName>
    <definedName name="profilkayujati3cm">#REF!</definedName>
    <definedName name="profit">#REF!</definedName>
    <definedName name="Profit1">#REF!</definedName>
    <definedName name="proofingnopy">#REF!</definedName>
    <definedName name="proofit">#REF!</definedName>
    <definedName name="proses">#REF!</definedName>
    <definedName name="proyek">#REF!</definedName>
    <definedName name="prs">#REF!</definedName>
    <definedName name="PS">#REF!</definedName>
    <definedName name="PS.1">#REF!</definedName>
    <definedName name="ps.b">#REF!</definedName>
    <definedName name="Ps.beton">#REF!</definedName>
    <definedName name="Ps.cor">#REF!</definedName>
    <definedName name="ps.p">#REF!</definedName>
    <definedName name="Ps.pasang">#REF!</definedName>
    <definedName name="ps.ps">#REF!</definedName>
    <definedName name="ps.u">#REF!</definedName>
    <definedName name="ps.urg">#REF!</definedName>
    <definedName name="Ps.Urug">#REF!</definedName>
    <definedName name="PSA">NA()</definedName>
    <definedName name="psaub">#REF!</definedName>
    <definedName name="psaub_9">#REF!</definedName>
    <definedName name="PSB">#REF!</definedName>
    <definedName name="psbet">#REF!</definedName>
    <definedName name="PSBI">NA()</definedName>
    <definedName name="PSBII">NA()</definedName>
    <definedName name="PSBIII">NA()</definedName>
    <definedName name="PSBIV">NA()</definedName>
    <definedName name="PsBt1">#REF!</definedName>
    <definedName name="psbtn">#REF!</definedName>
    <definedName name="PSBV">NA()</definedName>
    <definedName name="PSCI">NA()</definedName>
    <definedName name="PSCII">NA()</definedName>
    <definedName name="PSCIII">NA()</definedName>
    <definedName name="PSDI">NA()</definedName>
    <definedName name="PSDII">NA()</definedName>
    <definedName name="PSDIII">NA()</definedName>
    <definedName name="PSDIV">NA()</definedName>
    <definedName name="PSDV">NA()</definedName>
    <definedName name="PSEI">NA()</definedName>
    <definedName name="PSEII">NA()</definedName>
    <definedName name="PSEIII">NA()</definedName>
    <definedName name="PSEIV">NA()</definedName>
    <definedName name="PSENGON">#REF!</definedName>
    <definedName name="PSFI">NA()</definedName>
    <definedName name="PSFII">NA()</definedName>
    <definedName name="PSFIII">NA()</definedName>
    <definedName name="PSFIV">NA()</definedName>
    <definedName name="PSFVA">NA()</definedName>
    <definedName name="PSFVB">NA()</definedName>
    <definedName name="PSFVI">NA()</definedName>
    <definedName name="PSGI">NA()</definedName>
    <definedName name="PSGII">NA()</definedName>
    <definedName name="PSGIII">NA()</definedName>
    <definedName name="PSGIV">NA()</definedName>
    <definedName name="PSH">NA()</definedName>
    <definedName name="psk_1020">#REF!</definedName>
    <definedName name="psk_1030">#REF!</definedName>
    <definedName name="psk_1040">#REF!</definedName>
    <definedName name="PsKran">#REF!</definedName>
    <definedName name="PslP1">#REF!</definedName>
    <definedName name="psp">#REF!</definedName>
    <definedName name="psp_6">#REF!</definedName>
    <definedName name="psp_9">#REF!</definedName>
    <definedName name="pspsg">#REF!</definedName>
    <definedName name="Psr.psg">#REF!</definedName>
    <definedName name="psr.trs">#REF!</definedName>
    <definedName name="psrbton">#REF!</definedName>
    <definedName name="PSREKAP">NA()</definedName>
    <definedName name="psrpsg">#REF!</definedName>
    <definedName name="psrpsng">#REF!</definedName>
    <definedName name="psrsbol">#REF!</definedName>
    <definedName name="psrurug">#REF!</definedName>
    <definedName name="pst">#REF!</definedName>
    <definedName name="PStoot">#REF!</definedName>
    <definedName name="PSTOTA">NA()</definedName>
    <definedName name="PSTOTB">NA()</definedName>
    <definedName name="PSTOTC">NA()</definedName>
    <definedName name="PSTOTD">NA()</definedName>
    <definedName name="PSTOTE">NA()</definedName>
    <definedName name="PSTOTF">NA()</definedName>
    <definedName name="PSTOTG">NA()</definedName>
    <definedName name="PSTOTH">NA()</definedName>
    <definedName name="PSTR">#REF!</definedName>
    <definedName name="PsTrs">#REF!</definedName>
    <definedName name="psu">#REF!</definedName>
    <definedName name="psu_9">#REF!</definedName>
    <definedName name="PsUrg">#REF!</definedName>
    <definedName name="pt">#REF!</definedName>
    <definedName name="pt_1">#REF!</definedName>
    <definedName name="pt_2">#REF!</definedName>
    <definedName name="pt_3">#REF!</definedName>
    <definedName name="pt_4">#REF!</definedName>
    <definedName name="pt_6">#REF!</definedName>
    <definedName name="pt1_a">#REF!</definedName>
    <definedName name="pt1_b">#REF!</definedName>
    <definedName name="pt1_c">#REF!</definedName>
    <definedName name="pt1_d">#REF!</definedName>
    <definedName name="pt1_e">#REF!</definedName>
    <definedName name="pt1_f">#REF!</definedName>
    <definedName name="pt1_g">#REF!</definedName>
    <definedName name="pt2_a">#REF!</definedName>
    <definedName name="pt2_b">#REF!</definedName>
    <definedName name="pt2_c">#REF!</definedName>
    <definedName name="pt2_d">#REF!</definedName>
    <definedName name="ptdll">#REF!</definedName>
    <definedName name="ptdll_9">#REF!</definedName>
    <definedName name="PTJW">#REF!</definedName>
    <definedName name="ptm">#REF!</definedName>
    <definedName name="PTNC">"'file:///d:/project/energyhouse2/energyhouse2-mainkontraktor/energyhouse2-mainkontraktor-tender/energyhouse2-mainkontraktor-tender-boq/misc/congviec/tam.xls'#$'don gia'.$g$227"</definedName>
    <definedName name="ptp_40">#REF!</definedName>
    <definedName name="ptp_45">#REF!</definedName>
    <definedName name="ptr">#REF!</definedName>
    <definedName name="PTump">#REF!</definedName>
    <definedName name="PU">#REF!</definedName>
    <definedName name="pu_6">#REF!</definedName>
    <definedName name="Puk">#REF!</definedName>
    <definedName name="PUkur">#REF!</definedName>
    <definedName name="Pukurk">#REF!</definedName>
    <definedName name="PULOGADUNG">"$#REF!.$B$4:$B$705"</definedName>
    <definedName name="PUP">#REF!</definedName>
    <definedName name="PUPasir">#REF!</definedName>
    <definedName name="PUPS">#REF!</definedName>
    <definedName name="PUPSL1">#REF!</definedName>
    <definedName name="PUPSL2">#REF!</definedName>
    <definedName name="PUPSL3">#REF!</definedName>
    <definedName name="purug">#REF!</definedName>
    <definedName name="PUrugK">#REF!</definedName>
    <definedName name="PUSAT">#REF!</definedName>
    <definedName name="Pv">#REF!</definedName>
    <definedName name="pv40___0">"$#REF!.$W$161"</definedName>
    <definedName name="pv50___0">"$#REF!.$#REF!$#REF!"</definedName>
    <definedName name="pv80___0">"$#REF!.$#REF!$#REF!"</definedName>
    <definedName name="PVB">#REF!</definedName>
    <definedName name="pvc">#REF!</definedName>
    <definedName name="pvc.0.5.mas.d">#REF!</definedName>
    <definedName name="pvc.0.7.5.Mas.d">#REF!</definedName>
    <definedName name="pvc.1">#REF!</definedName>
    <definedName name="pvc.1.M.abu">#REF!</definedName>
    <definedName name="pvc.2">#REF!</definedName>
    <definedName name="pvc.2.5.Mas.d">#REF!</definedName>
    <definedName name="pvc.2.mas.d">#REF!</definedName>
    <definedName name="pvc.3">#REF!</definedName>
    <definedName name="pvc.3.mas.d">#REF!</definedName>
    <definedName name="pvc.4">#REF!</definedName>
    <definedName name="pvc.4.mas.d">#REF!</definedName>
    <definedName name="pvc.6">#REF!</definedName>
    <definedName name="pvc_1">#REF!</definedName>
    <definedName name="PVC_10">#REF!</definedName>
    <definedName name="pvc_4">#REF!</definedName>
    <definedName name="PVC_8">#REF!</definedName>
    <definedName name="pvc_aw">#REF!</definedName>
    <definedName name="PVC_AZ">#REF!</definedName>
    <definedName name="PVC_D">#REF!</definedName>
    <definedName name="pvc1.2">#REF!</definedName>
    <definedName name="pvc1.2.aw">#REF!</definedName>
    <definedName name="pvc1.2.wav.aw">#REF!</definedName>
    <definedName name="PVC1\2">#REF!</definedName>
    <definedName name="PVC11\2">#REF!</definedName>
    <definedName name="PVC11\4">#REF!</definedName>
    <definedName name="PVC21\2">#REF!</definedName>
    <definedName name="pvc2d">#REF!</definedName>
    <definedName name="pvc3.4">#REF!</definedName>
    <definedName name="pvc3.4.aw">#REF!</definedName>
    <definedName name="PVC3\4">#REF!</definedName>
    <definedName name="pvc3d">#REF!</definedName>
    <definedName name="pvc4d">#REF!</definedName>
    <definedName name="PVCconduit">#REF!</definedName>
    <definedName name="pvcf100">#REF!</definedName>
    <definedName name="pvcf150">#REF!</definedName>
    <definedName name="pvcf200">#REF!</definedName>
    <definedName name="pvcf65">#REF!</definedName>
    <definedName name="pvcf80">#REF!</definedName>
    <definedName name="pvent">#REF!</definedName>
    <definedName name="pvf80___0">"$#REF!.$#REF!$#REF!"</definedName>
    <definedName name="PWFDn">#REF!</definedName>
    <definedName name="PWFLn">#REF!</definedName>
    <definedName name="pwmesh">#REF!</definedName>
    <definedName name="px">"$Estimasi.$#REF!$1148"</definedName>
    <definedName name="Q">#REF!</definedName>
    <definedName name="Q_9">#REF!</definedName>
    <definedName name="QA">#REF!</definedName>
    <definedName name="QE">#REF!</definedName>
    <definedName name="qegtegt" hidden="1">{#N/A,#N/A,FALSE,"REK-S-TPL";#N/A,#N/A,FALSE,"REK-TPML";#N/A,#N/A,FALSE,"RAB-TEMPEL"}</definedName>
    <definedName name="qegtqegt" hidden="1">{#N/A,#N/A,FALSE,"REK";#N/A,#N/A,FALSE,"rab"}</definedName>
    <definedName name="qegtqgt" hidden="1">{#N/A,#N/A,FALSE,"REK";#N/A,#N/A,FALSE,"rab"}</definedName>
    <definedName name="QEWYTGq" hidden="1">{#N/A,#N/A,FALSE,"REK";#N/A,#N/A,FALSE,"rab"}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QQ">#REF!</definedName>
    <definedName name="QR">#REF!</definedName>
    <definedName name="QRESG">HAJIME:OWARI</definedName>
    <definedName name="QRESG_10">#REF!:#REF!</definedName>
    <definedName name="QRESG_11">#REF!:#REF!</definedName>
    <definedName name="QRESG_12">#REF!:#REF!</definedName>
    <definedName name="QRESG_14">#REF!:#REF!</definedName>
    <definedName name="QRESG_15">#REF!:#REF!</definedName>
    <definedName name="QRESG_16">#REF!:#REF!</definedName>
    <definedName name="QRESG_17">#REF!:#REF!</definedName>
    <definedName name="QRESG_18">#REF!:#REF!</definedName>
    <definedName name="QRESG_19">#REF!:#REF!</definedName>
    <definedName name="QRESG_20">#REF!:#REF!</definedName>
    <definedName name="QRESG_22">#REF!:#REF!</definedName>
    <definedName name="QRESG_23">#REF!:#REF!</definedName>
    <definedName name="QRESG_24">#REF!:#REF!</definedName>
    <definedName name="QRESG_25">#REF!:#REF!</definedName>
    <definedName name="QRESG_5">#REF!:#REF!</definedName>
    <definedName name="QRESG_6">#REF!:#REF!</definedName>
    <definedName name="QRESG_7">#REF!:#REF!</definedName>
    <definedName name="QRESG_8">#REF!:#REF!</definedName>
    <definedName name="QRY.3" hidden="1">#REF!</definedName>
    <definedName name="qsfdq">#REF!</definedName>
    <definedName name="Qtegt" hidden="1">{#N/A,#N/A,FALSE,"REK";#N/A,#N/A,FALSE,"rab"}</definedName>
    <definedName name="qtyconc">#REF!</definedName>
    <definedName name="qtyfw">#REF!</definedName>
    <definedName name="qtyrebar">#REF!</definedName>
    <definedName name="QW">#REF!</definedName>
    <definedName name="qwegtqwegt" hidden="1">{#N/A,#N/A,FALSE,"REK";#N/A,#N/A,FALSE,"rab"}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 hidden="1">{#N/A,#N/A,FALSE,"REK";#N/A,#N/A,FALSE,"rab"}</definedName>
    <definedName name="QWWWWW">#REF!</definedName>
    <definedName name="QWYGH" hidden="1">{#N/A,#N/A,FALSE,"REK-S-TPL";#N/A,#N/A,FALSE,"REK-TPML";#N/A,#N/A,FALSE,"RAB-TEMPEL"}</definedName>
    <definedName name="R_">#REF!</definedName>
    <definedName name="R__1">#REF!</definedName>
    <definedName name="R__13">#REF!</definedName>
    <definedName name="R__14">#REF!</definedName>
    <definedName name="R__22">#REF!</definedName>
    <definedName name="r_3300">#REF!</definedName>
    <definedName name="r_6700">#REF!</definedName>
    <definedName name="r_6800">#REF!</definedName>
    <definedName name="RA">#REF!</definedName>
    <definedName name="ra11p">"$#REF!.$AE$290"</definedName>
    <definedName name="ra13p">"$#REF!.$AD$110"</definedName>
    <definedName name="RAB">#REF!</definedName>
    <definedName name="RAB_1">#REF!</definedName>
    <definedName name="RAB_ASLI">#REF!</definedName>
    <definedName name="rabat">#REF!</definedName>
    <definedName name="rabEL">#REF!</definedName>
    <definedName name="RABME">#REF!</definedName>
    <definedName name="rack1">NA()</definedName>
    <definedName name="rack2">NA()</definedName>
    <definedName name="rack3">NA()</definedName>
    <definedName name="rack4">NA()</definedName>
    <definedName name="rahayu">#REF!</definedName>
    <definedName name="raiillingtanggaBSP">#REF!</definedName>
    <definedName name="rail_balkon">#REF!</definedName>
    <definedName name="rail_tangga">#REF!</definedName>
    <definedName name="railing">#REF!</definedName>
    <definedName name="RAILING1">#REF!</definedName>
    <definedName name="RAILING2">#REF!</definedName>
    <definedName name="RAILING3">#REF!</definedName>
    <definedName name="railingpipagip">#REF!</definedName>
    <definedName name="railingtanggaBSP\nonjasa">#REF!</definedName>
    <definedName name="Railling">#REF!</definedName>
    <definedName name="raillingkabelst">#REF!</definedName>
    <definedName name="raillingstornamen">#REF!</definedName>
    <definedName name="RAILLINGTANGGAUTAMA">#REF!</definedName>
    <definedName name="rakkabinmatv">#REF!</definedName>
    <definedName name="ram">#REF!</definedName>
    <definedName name="rambucis\nonjasa">#REF!</definedName>
    <definedName name="Rambucis411RHS">#REF!</definedName>
    <definedName name="Ramkawat">#REF!</definedName>
    <definedName name="RamNy">#REF!</definedName>
    <definedName name="ramset10">#REF!</definedName>
    <definedName name="ramset8">#REF!</definedName>
    <definedName name="Rangka_Pipa_rilling_steinles_steel_ø_2">#REF!</definedName>
    <definedName name="rangkahollow">#REF!</definedName>
    <definedName name="rangkametal">#REF!</definedName>
    <definedName name="RAP">#REF!</definedName>
    <definedName name="raq">#REF!</definedName>
    <definedName name="rataantnh">#REF!</definedName>
    <definedName name="RATE">"$#REF!.$#REF!$#REF!:$#REF!$#REF!"</definedName>
    <definedName name="raw">#REF!</definedName>
    <definedName name="rb">#REF!</definedName>
    <definedName name="RBC">#REF!</definedName>
    <definedName name="RCArea" hidden="1">#REF!</definedName>
    <definedName name="rd_0.5">#REF!</definedName>
    <definedName name="rd_3">#REF!</definedName>
    <definedName name="rd_4">#REF!</definedName>
    <definedName name="rdoor">#REF!</definedName>
    <definedName name="rdsh" hidden="1">{#N/A,#N/A,FALSE,"REK";#N/A,#N/A,FALSE,"rab"}</definedName>
    <definedName name="RDU">#REF!</definedName>
    <definedName name="RE">#REF!</definedName>
    <definedName name="ready">FST:(FSB)</definedName>
    <definedName name="Ready175">#REF!</definedName>
    <definedName name="Ready225">#REF!</definedName>
    <definedName name="readymixk250">#REF!</definedName>
    <definedName name="readymixk300">#REF!</definedName>
    <definedName name="readymixk350">#REF!</definedName>
    <definedName name="REAL">#REF!</definedName>
    <definedName name="realcost">#REF!</definedName>
    <definedName name="Rebar_ratio">#REF!</definedName>
    <definedName name="Rebar_ratio_2">#REF!</definedName>
    <definedName name="REC">#REF!</definedName>
    <definedName name="RECAP">#REF!</definedName>
    <definedName name="RECAP1">#REF!</definedName>
    <definedName name="recap2">#REF!</definedName>
    <definedName name="RECORD">RECORD</definedName>
    <definedName name="Record1">Record1</definedName>
    <definedName name="Record10">Record10</definedName>
    <definedName name="Record11">Record11</definedName>
    <definedName name="Record12">Record12</definedName>
    <definedName name="Record13">Record13</definedName>
    <definedName name="Record14">Record14</definedName>
    <definedName name="Record15">Record15</definedName>
    <definedName name="Record16">Record16</definedName>
    <definedName name="Record17">Record17</definedName>
    <definedName name="Record18">Record18</definedName>
    <definedName name="Record19">Record19</definedName>
    <definedName name="Record2">Record2</definedName>
    <definedName name="Record20">Record20</definedName>
    <definedName name="Record21">Record21</definedName>
    <definedName name="Record22">Record22</definedName>
    <definedName name="Record23">Record23</definedName>
    <definedName name="Record3">Record3</definedName>
    <definedName name="Record4">Record4</definedName>
    <definedName name="Record5">Record5</definedName>
    <definedName name="Record6">Record6</definedName>
    <definedName name="Record7">Record7</definedName>
    <definedName name="Record8">Record8</definedName>
    <definedName name="Record9">Record9</definedName>
    <definedName name="_xlnm.Recorder">#REF!</definedName>
    <definedName name="red">red</definedName>
    <definedName name="redoxideprimer">#REF!</definedName>
    <definedName name="REK">#REF!</definedName>
    <definedName name="REK_AN">#REF!</definedName>
    <definedName name="REKAN">#REF!</definedName>
    <definedName name="REKAP">"$#REF!.$A$2318:$L$2379"</definedName>
    <definedName name="REKAP_TOTAL">NA()</definedName>
    <definedName name="REKAPITULASI_10">#REF!:#REF!</definedName>
    <definedName name="REKAPITULASI_11">#REF!:#REF!</definedName>
    <definedName name="REKAPITULASI_12">#REF!:#REF!</definedName>
    <definedName name="REKAPITULASI_14">#REF!:#REF!</definedName>
    <definedName name="REKAPITULASI_15">#REF!:#REF!</definedName>
    <definedName name="REKAPITULASI_16">#REF!:#REF!</definedName>
    <definedName name="REKAPITULASI_17">#REF!:#REF!</definedName>
    <definedName name="REKAPITULASI_18">#REF!:#REF!</definedName>
    <definedName name="REKAPITULASI_19">#REF!:#REF!</definedName>
    <definedName name="REKAPITULASI_20">#REF!:#REF!</definedName>
    <definedName name="REKAPITULASI_22">#REF!:#REF!</definedName>
    <definedName name="REKAPITULASI_23">#REF!:#REF!</definedName>
    <definedName name="REKAPITULASI_24">#REF!:#REF!</definedName>
    <definedName name="REKAPITULASI_25">#REF!:#REF!</definedName>
    <definedName name="REKAPITULASI_5">#REF!:#REF!</definedName>
    <definedName name="REKAPITULASI_6">#REF!:#REF!</definedName>
    <definedName name="REKAPITULASI_7">#REF!:#REF!</definedName>
    <definedName name="REKAPITULASI_8">#REF!:#REF!</definedName>
    <definedName name="REKAPPDP">#REF!</definedName>
    <definedName name="remic">#REF!</definedName>
    <definedName name="reng">#REF!</definedName>
    <definedName name="reng23bs">#REF!</definedName>
    <definedName name="reng23kb">#REF!</definedName>
    <definedName name="reng23ras">#REF!</definedName>
    <definedName name="reng34km">#REF!</definedName>
    <definedName name="reng34ras">#REF!</definedName>
    <definedName name="RENGJT">#REF!</definedName>
    <definedName name="rengusuk">#REF!</definedName>
    <definedName name="RENTAL">#REF!</definedName>
    <definedName name="REQUEST_FOR_APPROVAL_OF_CONTRACT">#REF!</definedName>
    <definedName name="RESD">RESD</definedName>
    <definedName name="residu.antirayap">#REF!</definedName>
    <definedName name="RESULT">#REF!</definedName>
    <definedName name="ret">#N/A</definedName>
    <definedName name="retromp">#REF!</definedName>
    <definedName name="retrosil">#REF!</definedName>
    <definedName name="REV">#REF!</definedName>
    <definedName name="RFSL">#REF!</definedName>
    <definedName name="rg">#REF!</definedName>
    <definedName name="rgajah">#REF!</definedName>
    <definedName name="RGB">#REF!</definedName>
    <definedName name="RH">#REF!</definedName>
    <definedName name="Rhend">#REF!</definedName>
    <definedName name="RHT">#REF!</definedName>
    <definedName name="riben.3">#REF!</definedName>
    <definedName name="riben.5">#REF!</definedName>
    <definedName name="rigid">#REF!</definedName>
    <definedName name="RINCIANSEWA">#REF!</definedName>
    <definedName name="RINCIANSEWA2">#REF!</definedName>
    <definedName name="ring1520">#REF!</definedName>
    <definedName name="ringbalk">#REF!</definedName>
    <definedName name="RINSU">#REF!</definedName>
    <definedName name="risermatv">#REF!</definedName>
    <definedName name="rjtrj" hidden="1">{"'Sheet1'!$A$1"}</definedName>
    <definedName name="rk">#REF!</definedName>
    <definedName name="rkbesi">#REF!</definedName>
    <definedName name="RLABO">#REF!</definedName>
    <definedName name="RltJt">#REF!</definedName>
    <definedName name="RltKp">#REF!</definedName>
    <definedName name="Rmart">#REF!</definedName>
    <definedName name="RMISC">#REF!</definedName>
    <definedName name="robehook">#REF!</definedName>
    <definedName name="Rodb">"$#REF!.$D$13"</definedName>
    <definedName name="rol">#REF!</definedName>
    <definedName name="rolagbata">#REF!</definedName>
    <definedName name="rolcat">#REF!</definedName>
    <definedName name="rolcat_6">#REF!</definedName>
    <definedName name="Rolct">#REF!</definedName>
    <definedName name="ROLL">#REF!</definedName>
    <definedName name="Roll3">#REF!</definedName>
    <definedName name="Roll8">#REF!</definedName>
    <definedName name="rollag">#REF!</definedName>
    <definedName name="Roman">#REF!</definedName>
    <definedName name="romangress">#REF!</definedName>
    <definedName name="roof_4">#REF!</definedName>
    <definedName name="rool">#REF!</definedName>
    <definedName name="Room">#REF!</definedName>
    <definedName name="roos">#REF!</definedName>
    <definedName name="rope">#REF!</definedName>
    <definedName name="ror">#REF!</definedName>
    <definedName name="Rosb2">#REF!</definedName>
    <definedName name="Rosb3">#REF!</definedName>
    <definedName name="roster">#REF!</definedName>
    <definedName name="Roster_Pejaten">#REF!</definedName>
    <definedName name="rosterbetoncetak10x20">#REF!</definedName>
    <definedName name="rosterbetoncetak20x20">#REF!</definedName>
    <definedName name="rosterkeramik20x20">#REF!</definedName>
    <definedName name="rosterterawang10x20">#REF!</definedName>
    <definedName name="ROUND">#REF!</definedName>
    <definedName name="round1">#REF!</definedName>
    <definedName name="Round1_6">#REF!</definedName>
    <definedName name="round2">#REF!</definedName>
    <definedName name="Round2_6">#REF!</definedName>
    <definedName name="ROUNDDOL">NA()</definedName>
    <definedName name="ROUNDED">NA()</definedName>
    <definedName name="ROUNDL">#REF!</definedName>
    <definedName name="ROUNDM">#REF!</definedName>
    <definedName name="ROWpost">#REF!</definedName>
    <definedName name="RP">"$#REF!.$H$2357"</definedName>
    <definedName name="Rp.">#REF!</definedName>
    <definedName name="Rp_Yen">#REF!</definedName>
    <definedName name="RPAIN">#REF!</definedName>
    <definedName name="rpm">#REF!</definedName>
    <definedName name="RPRATE">#REF!</definedName>
    <definedName name="RR">#REF!</definedName>
    <definedName name="rrrrr">#REF!</definedName>
    <definedName name="rsd">#REF!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">#REF!</definedName>
    <definedName name="rtejhv" hidden="1">{#N/A,#N/A,FALSE,"REK";#N/A,#N/A,FALSE,"rab"}</definedName>
    <definedName name="RTEST">#REF!</definedName>
    <definedName name="rty" hidden="1">{#N/A,#N/A,FALSE,"REK";#N/A,#N/A,FALSE,"Bq-ARS"}</definedName>
    <definedName name="rtyu" hidden="1">{"'Sheet1'!$A$1"}</definedName>
    <definedName name="rubber">#REF!</definedName>
    <definedName name="Rucika">#REF!</definedName>
    <definedName name="Rucika_Wavin">#REF!</definedName>
    <definedName name="rukan_a">#REF!</definedName>
    <definedName name="rukan_aa">#REF!</definedName>
    <definedName name="rukan_b">#REF!</definedName>
    <definedName name="rukan_c">#REF!</definedName>
    <definedName name="rukan_cc">#REF!</definedName>
    <definedName name="rukan_d">#REF!</definedName>
    <definedName name="rukan_dd">#REF!</definedName>
    <definedName name="rukan_e">#REF!</definedName>
    <definedName name="rukan_ee">#REF!</definedName>
    <definedName name="Ruko">#REF!</definedName>
    <definedName name="RUMPUT">"$#REF!.$AQ$4:$AQ$688"</definedName>
    <definedName name="rumputgajah">#REF!</definedName>
    <definedName name="rumputgajah\m2">#REF!</definedName>
    <definedName name="Rumputjepang">#REF!</definedName>
    <definedName name="Rumputpeking">#REF!</definedName>
    <definedName name="rumus">#REF!</definedName>
    <definedName name="RUMUS1">#REF!</definedName>
    <definedName name="rumus2">#REF!</definedName>
    <definedName name="RUPA">#REF!</definedName>
    <definedName name="RUPIAH">#REF!</definedName>
    <definedName name="RUTIN">#REF!</definedName>
    <definedName name="rytj" hidden="1">{#N/A,#N/A,FALSE,"REK";#N/A,#N/A,FALSE,"rab"}</definedName>
    <definedName name="ryyy" hidden="1">{"'Sheet1'!$A$1"}</definedName>
    <definedName name="S">#REF!</definedName>
    <definedName name="S.1">#REF!</definedName>
    <definedName name="S.10">#REF!</definedName>
    <definedName name="s.100">#REF!</definedName>
    <definedName name="s.100_9">#REF!</definedName>
    <definedName name="S.11">#REF!</definedName>
    <definedName name="S.12">#REF!</definedName>
    <definedName name="S.13">#REF!</definedName>
    <definedName name="S.14">#REF!</definedName>
    <definedName name="S.15">#REF!</definedName>
    <definedName name="S.16">#REF!</definedName>
    <definedName name="S.17">#REF!</definedName>
    <definedName name="S.2">#REF!</definedName>
    <definedName name="S.21">#REF!</definedName>
    <definedName name="S.21_23">#REF!</definedName>
    <definedName name="S.21_25">#REF!</definedName>
    <definedName name="S.23">#REF!</definedName>
    <definedName name="S.23_23">#REF!</definedName>
    <definedName name="S.23_25">#REF!</definedName>
    <definedName name="S.24">#REF!</definedName>
    <definedName name="S.24_23">#REF!</definedName>
    <definedName name="S.24_25">#REF!</definedName>
    <definedName name="S.25">#REF!</definedName>
    <definedName name="S.25_23">#REF!</definedName>
    <definedName name="S.25_25">#REF!</definedName>
    <definedName name="S.26">#REF!</definedName>
    <definedName name="S.26_23">#REF!</definedName>
    <definedName name="S.26_25">#REF!</definedName>
    <definedName name="S.3">#REF!</definedName>
    <definedName name="S.3\STP">#REF!</definedName>
    <definedName name="S.4">#REF!</definedName>
    <definedName name="S.5">#REF!</definedName>
    <definedName name="S.5A">#REF!</definedName>
    <definedName name="S.6">#REF!</definedName>
    <definedName name="s.60">#REF!</definedName>
    <definedName name="s.60_9">#REF!</definedName>
    <definedName name="S.7">#REF!</definedName>
    <definedName name="S.8">#REF!</definedName>
    <definedName name="s.80">#REF!</definedName>
    <definedName name="s.80_9">#REF!</definedName>
    <definedName name="S.8A">#REF!</definedName>
    <definedName name="S.9">#REF!</definedName>
    <definedName name="S.BARU">#REF!</definedName>
    <definedName name="S.BARU_23">#REF!</definedName>
    <definedName name="S.BARU_25">#REF!</definedName>
    <definedName name="S.LAMA.A">#REF!</definedName>
    <definedName name="S.LAMA.A_23">#REF!</definedName>
    <definedName name="S.LAMA.A_25">#REF!</definedName>
    <definedName name="S.LAMA.B">#REF!</definedName>
    <definedName name="S.LAMA.B_23">#REF!</definedName>
    <definedName name="S.LAMA.B_25">#REF!</definedName>
    <definedName name="S.LAMA.C">#REF!</definedName>
    <definedName name="S.LAMA.C_23">#REF!</definedName>
    <definedName name="S.LAMA.C_25">#REF!</definedName>
    <definedName name="s.tukang">#REF!</definedName>
    <definedName name="s.warna">#REF!</definedName>
    <definedName name="s_0.3">#REF!</definedName>
    <definedName name="S1\GWT">#REF!</definedName>
    <definedName name="s11n">#REF!</definedName>
    <definedName name="S1X">"$Plat.$R$#REF!"</definedName>
    <definedName name="S2\GWT">#REF!</definedName>
    <definedName name="S2X">"$Plat.$R$#REF!"</definedName>
    <definedName name="S3X">"$Plat.$R$#REF!"</definedName>
    <definedName name="S4X">"$Plat.$R$#REF!"</definedName>
    <definedName name="s5x">"$Plat.$R$#REF!"</definedName>
    <definedName name="S6\GWT">#REF!</definedName>
    <definedName name="sa">#REF!</definedName>
    <definedName name="SA.1">#REF!</definedName>
    <definedName name="SA.1_23">#REF!</definedName>
    <definedName name="SA.1_25">#REF!</definedName>
    <definedName name="SA.10">#REF!</definedName>
    <definedName name="SA.10_23">#REF!</definedName>
    <definedName name="SA.10_25">#REF!</definedName>
    <definedName name="SA.11">#REF!</definedName>
    <definedName name="SA.11_23">#REF!</definedName>
    <definedName name="SA.11_25">#REF!</definedName>
    <definedName name="SA.12">#REF!</definedName>
    <definedName name="SA.12_23">#REF!</definedName>
    <definedName name="SA.12_25">#REF!</definedName>
    <definedName name="SA.13">#REF!</definedName>
    <definedName name="SA.13_23">#REF!</definedName>
    <definedName name="SA.13_25">#REF!</definedName>
    <definedName name="SA.14">#REF!</definedName>
    <definedName name="SA.14_23">#REF!</definedName>
    <definedName name="SA.14_25">#REF!</definedName>
    <definedName name="SA.2">#REF!</definedName>
    <definedName name="SA.2_23">#REF!</definedName>
    <definedName name="SA.2_25">#REF!</definedName>
    <definedName name="SA.3">#REF!</definedName>
    <definedName name="SA.3_23">#REF!</definedName>
    <definedName name="SA.3_25">#REF!</definedName>
    <definedName name="SA.4">#REF!</definedName>
    <definedName name="SA.4_23">#REF!</definedName>
    <definedName name="SA.4_25">#REF!</definedName>
    <definedName name="SA.5">#REF!</definedName>
    <definedName name="SA.5_23">#REF!</definedName>
    <definedName name="SA.5_25">#REF!</definedName>
    <definedName name="SA.6">#REF!</definedName>
    <definedName name="SA.6_23">#REF!</definedName>
    <definedName name="SA.6_25">#REF!</definedName>
    <definedName name="SA.7">#REF!</definedName>
    <definedName name="SA.7_23">#REF!</definedName>
    <definedName name="SA.7_25">#REF!</definedName>
    <definedName name="SA.8">#REF!</definedName>
    <definedName name="SA.8_23">#REF!</definedName>
    <definedName name="SA.8_25">#REF!</definedName>
    <definedName name="SA.9">#REF!</definedName>
    <definedName name="SA.9_23">#REF!</definedName>
    <definedName name="SA.9_25">#REF!</definedName>
    <definedName name="sab">#REF!</definedName>
    <definedName name="sab_9">#REF!</definedName>
    <definedName name="sabantu">#REF!</definedName>
    <definedName name="sabantu_9">#REF!</definedName>
    <definedName name="sabub">#REF!</definedName>
    <definedName name="sabub_9">#REF!</definedName>
    <definedName name="sabun">#REF!</definedName>
    <definedName name="sac">#REF!</definedName>
    <definedName name="sac_9">#REF!</definedName>
    <definedName name="SAFETY_CONTROL">#REF!</definedName>
    <definedName name="sag">#REF!</definedName>
    <definedName name="sak.1">#REF!</definedName>
    <definedName name="sak.2">#REF!</definedName>
    <definedName name="Saklar_doble_sekualitas_broco">#REF!</definedName>
    <definedName name="Saklar_tunggal_sekualitas_broco">#REF!</definedName>
    <definedName name="sal">#REF!</definedName>
    <definedName name="sal_2020">#REF!</definedName>
    <definedName name="sal_k">#REF!</definedName>
    <definedName name="SALARY">#REF!</definedName>
    <definedName name="SALARY___WAGE">#REF!</definedName>
    <definedName name="SALES">#REF!</definedName>
    <definedName name="salhujan">#REF!</definedName>
    <definedName name="salt">#REF!</definedName>
    <definedName name="saluran">#REF!</definedName>
    <definedName name="saluranU.40batu">#REF!</definedName>
    <definedName name="saluraU.60batu">#REF!</definedName>
    <definedName name="sambung">#REF!</definedName>
    <definedName name="sambung450">#REF!</definedName>
    <definedName name="sambung600">#REF!</definedName>
    <definedName name="San">#REF!</definedName>
    <definedName name="sandstone">#REF!</definedName>
    <definedName name="SANITAIR1">#REF!</definedName>
    <definedName name="sanlek">#REF!</definedName>
    <definedName name="sanlex">#REF!</definedName>
    <definedName name="sanlex_6">#REF!</definedName>
    <definedName name="sanyo">#REF!</definedName>
    <definedName name="sap">#REF!</definedName>
    <definedName name="sarogol">#REF!</definedName>
    <definedName name="sasb">#REF!</definedName>
    <definedName name="sasb_9">#REF!</definedName>
    <definedName name="SASE">#REF!</definedName>
    <definedName name="sat">#REF!</definedName>
    <definedName name="satb">#REF!</definedName>
    <definedName name="satb_9">#REF!</definedName>
    <definedName name="satrev">#REF!</definedName>
    <definedName name="Satu">#REF!</definedName>
    <definedName name="Satuan">#REF!</definedName>
    <definedName name="sb">#REF!</definedName>
    <definedName name="SB.1">#REF!</definedName>
    <definedName name="SB.1_23">#REF!</definedName>
    <definedName name="SB.1_25">#REF!</definedName>
    <definedName name="SB.2">#REF!</definedName>
    <definedName name="SB.2_23">#REF!</definedName>
    <definedName name="SB.2_25">#REF!</definedName>
    <definedName name="SB.3">#REF!</definedName>
    <definedName name="SB.3_23">#REF!</definedName>
    <definedName name="SB.3_25">#REF!</definedName>
    <definedName name="SB.4">#REF!</definedName>
    <definedName name="SB.4_23">#REF!</definedName>
    <definedName name="SB.4_25">#REF!</definedName>
    <definedName name="SB.5">#REF!</definedName>
    <definedName name="SB.5_23">#REF!</definedName>
    <definedName name="SB.5_25">#REF!</definedName>
    <definedName name="SB1X">#REF!</definedName>
    <definedName name="SB2X">#REF!</definedName>
    <definedName name="SB3X">#REF!</definedName>
    <definedName name="SBASE">#REF!</definedName>
    <definedName name="sbb">#REF!</definedName>
    <definedName name="sbb.05">#REF!</definedName>
    <definedName name="sbb.05_9">#REF!</definedName>
    <definedName name="sbb.1">#REF!</definedName>
    <definedName name="sbb.1_9">#REF!</definedName>
    <definedName name="sbb.10">#REF!</definedName>
    <definedName name="sbb.10_9">#REF!</definedName>
    <definedName name="sbb.2">#REF!</definedName>
    <definedName name="sbb.2_9">#REF!</definedName>
    <definedName name="sbb.3">#REF!</definedName>
    <definedName name="sbb.3_9">#REF!</definedName>
    <definedName name="sbb.5">#REF!</definedName>
    <definedName name="sbb.5_9">#REF!</definedName>
    <definedName name="sbb.7">#REF!</definedName>
    <definedName name="sbb.7_9">#REF!</definedName>
    <definedName name="sbb_9">#REF!</definedName>
    <definedName name="sbensin">#REF!</definedName>
    <definedName name="sbensin_9">#REF!</definedName>
    <definedName name="sbg">#REF!</definedName>
    <definedName name="sbg_9">#REF!</definedName>
    <definedName name="sbk">#REF!</definedName>
    <definedName name="sbk_9">#REF!</definedName>
    <definedName name="sbkp">#REF!</definedName>
    <definedName name="sbkp_9">#REF!</definedName>
    <definedName name="SBO">#REF!</definedName>
    <definedName name="sbt">#REF!</definedName>
    <definedName name="sbt_9">#REF!</definedName>
    <definedName name="sbtb">#REF!</definedName>
    <definedName name="sbtb_9">#REF!</definedName>
    <definedName name="sbtk">#REF!</definedName>
    <definedName name="sbtk_9">#REF!</definedName>
    <definedName name="sbtp">#REF!</definedName>
    <definedName name="sbtp_9">#REF!</definedName>
    <definedName name="sbtpb">#REF!</definedName>
    <definedName name="sbtpb_9">#REF!</definedName>
    <definedName name="sc">#REF!</definedName>
    <definedName name="SC.1">#REF!</definedName>
    <definedName name="SC.1_23">#REF!</definedName>
    <definedName name="SC.1_25">#REF!</definedName>
    <definedName name="sc_0.03">#REF!</definedName>
    <definedName name="sc_0.05">#REF!</definedName>
    <definedName name="sc_0.51">#REF!</definedName>
    <definedName name="scab">#REF!</definedName>
    <definedName name="scab_9">#REF!</definedName>
    <definedName name="SCAFFOLDING">#REF!</definedName>
    <definedName name="scafolding">#REF!</definedName>
    <definedName name="scc">#REF!</definedName>
    <definedName name="sced">#N/A</definedName>
    <definedName name="scedu">#REF!</definedName>
    <definedName name="SCEDULE">#REF!</definedName>
    <definedName name="scfold">#REF!</definedName>
    <definedName name="sch">#REF!</definedName>
    <definedName name="Schedule">#REF!</definedName>
    <definedName name="SCHEDULLE">#REF!</definedName>
    <definedName name="scj">#REF!</definedName>
    <definedName name="scj_9">#REF!</definedName>
    <definedName name="SCJUL">#REF!</definedName>
    <definedName name="scred">#REF!</definedName>
    <definedName name="screed">#REF!</definedName>
    <definedName name="screed5cm">#REF!</definedName>
    <definedName name="screening">#REF!</definedName>
    <definedName name="sd">#REF!</definedName>
    <definedName name="sd_1">#REF!</definedName>
    <definedName name="sd_12">#REF!</definedName>
    <definedName name="sd_2">#REF!</definedName>
    <definedName name="sd_3">#REF!</definedName>
    <definedName name="sd_4">#REF!</definedName>
    <definedName name="sd_5">#REF!</definedName>
    <definedName name="sd_6">#REF!</definedName>
    <definedName name="sd1_1">#REF!</definedName>
    <definedName name="sd1_2">#REF!</definedName>
    <definedName name="sd1_3">#REF!</definedName>
    <definedName name="sd1_5">#REF!</definedName>
    <definedName name="sd1_6">#REF!</definedName>
    <definedName name="sd1_7">#REF!</definedName>
    <definedName name="sd1_8">#REF!</definedName>
    <definedName name="sd1_9">#REF!</definedName>
    <definedName name="sd2_1">#REF!</definedName>
    <definedName name="sd2_2">#REF!</definedName>
    <definedName name="sd2_3">#REF!</definedName>
    <definedName name="sd2_4">#REF!</definedName>
    <definedName name="sd2_5">#REF!</definedName>
    <definedName name="sd2_6">#REF!</definedName>
    <definedName name="sd2_7">#REF!</definedName>
    <definedName name="sd2_8">#REF!</definedName>
    <definedName name="sd3_1">#REF!</definedName>
    <definedName name="sd3_3">#REF!</definedName>
    <definedName name="sd3_4">#REF!</definedName>
    <definedName name="sd3_5">#REF!</definedName>
    <definedName name="sd3_6">#REF!</definedName>
    <definedName name="sd3_7">#REF!</definedName>
    <definedName name="sd3p">NA()</definedName>
    <definedName name="sd4_1">#REF!</definedName>
    <definedName name="sd4_2">#REF!</definedName>
    <definedName name="sd4_3">#REF!</definedName>
    <definedName name="sd4_4">#REF!</definedName>
    <definedName name="sd4_5">#REF!</definedName>
    <definedName name="sd4_6">#REF!</definedName>
    <definedName name="sd4_7">#REF!</definedName>
    <definedName name="sd4_8">#REF!</definedName>
    <definedName name="sd5_a">#REF!</definedName>
    <definedName name="sd5_b">#REF!</definedName>
    <definedName name="sd5_c">#REF!</definedName>
    <definedName name="sd5_d">#REF!</definedName>
    <definedName name="sd5_f">#REF!</definedName>
    <definedName name="sd5_g">#REF!</definedName>
    <definedName name="sd5_h">#REF!</definedName>
    <definedName name="sd5_i">#REF!</definedName>
    <definedName name="sda" hidden="1">#REF!</definedName>
    <definedName name="SDD">#REF!</definedName>
    <definedName name="sdf" hidden="1">{"'Sheet1'!$A$1"}</definedName>
    <definedName name="sdfgfhjkj">#REF!</definedName>
    <definedName name="sdfwrg" hidden="1">{"'Sheet1'!$A$1"}</definedName>
    <definedName name="SDMONG">"$#REF!.$AB$8:$AG$28"</definedName>
    <definedName name="sdree">#REF!</definedName>
    <definedName name="sdtbk">#REF!</definedName>
    <definedName name="sdtg" hidden="1">{"'Sheet1'!$A$1"}</definedName>
    <definedName name="sdu_1">#REF!</definedName>
    <definedName name="sdu_2">#REF!</definedName>
    <definedName name="sdu1_a">#REF!</definedName>
    <definedName name="sdu1_b">#REF!</definedName>
    <definedName name="sdu1_c">#REF!</definedName>
    <definedName name="sdu1_d">#REF!</definedName>
    <definedName name="sdu1_f">#REF!</definedName>
    <definedName name="sdu1_h">#REF!</definedName>
    <definedName name="sdu1_j">#REF!</definedName>
    <definedName name="sdu2_a">#REF!</definedName>
    <definedName name="sdu2_b">#REF!</definedName>
    <definedName name="sdu2_c">#REF!</definedName>
    <definedName name="sdu2_d">#REF!</definedName>
    <definedName name="sdu2_f">#REF!</definedName>
    <definedName name="sdu2_h">#REF!</definedName>
    <definedName name="sdu2_k">#REF!</definedName>
    <definedName name="sdvfv" hidden="1">{"'Sheet1'!$A$1"}</definedName>
    <definedName name="SE">#REF!</definedName>
    <definedName name="Sealbond">#REF!</definedName>
    <definedName name="sealent">#REF!</definedName>
    <definedName name="sealer">#REF!</definedName>
    <definedName name="sealer.mowi">#REF!</definedName>
    <definedName name="sealer.vini">#REF!</definedName>
    <definedName name="Sealtp">#REF!</definedName>
    <definedName name="SEC.C1" hidden="1">#REF!</definedName>
    <definedName name="sedia">#REF!</definedName>
    <definedName name="seiv">#REF!</definedName>
    <definedName name="sekat">#REF!</definedName>
    <definedName name="Sekro">#REF!</definedName>
    <definedName name="sekruphakpanjang">#REF!</definedName>
    <definedName name="Selimut">#REF!</definedName>
    <definedName name="selisih">#REF!</definedName>
    <definedName name="selo">#REF!</definedName>
    <definedName name="Selot.1">#REF!</definedName>
    <definedName name="Selot.2">#REF!</definedName>
    <definedName name="selotip">#REF!</definedName>
    <definedName name="sembilanbelas">#REF!</definedName>
    <definedName name="Semen">#REF!</definedName>
    <definedName name="semen.g">#REF!</definedName>
    <definedName name="Semen_PC">#REF!</definedName>
    <definedName name="Semen_PC_9">#REF!</definedName>
    <definedName name="SEMENPC">#REF!</definedName>
    <definedName name="semenwar">#REF!</definedName>
    <definedName name="SEMENWARNA">#REF!</definedName>
    <definedName name="semeton">#REF!</definedName>
    <definedName name="seminar_l">#REF!</definedName>
    <definedName name="seminar_u">#REF!</definedName>
    <definedName name="senayan">#REF!</definedName>
    <definedName name="send.s">#REF!</definedName>
    <definedName name="Sendingsealer">#REF!</definedName>
    <definedName name="seng">#REF!</definedName>
    <definedName name="Seng_Spandek">#REF!</definedName>
    <definedName name="senggel">#REF!</definedName>
    <definedName name="senggelombang">#REF!</definedName>
    <definedName name="senggelombang0.20mm">#REF!</definedName>
    <definedName name="senggelombang0.30mm">#REF!</definedName>
    <definedName name="senggol">#REF!</definedName>
    <definedName name="sengkanganB10.4">#REF!</definedName>
    <definedName name="sengkangB1.1">#REF!</definedName>
    <definedName name="sengkangB1.2">#REF!</definedName>
    <definedName name="sengkangB1.3">#REF!</definedName>
    <definedName name="sengkangB1.4">#REF!</definedName>
    <definedName name="sengkangB1.5">#REF!</definedName>
    <definedName name="sengkangB10.1">#REF!</definedName>
    <definedName name="sengkangB10.2">#REF!</definedName>
    <definedName name="sengkangB10.3">#REF!</definedName>
    <definedName name="sengkangB10.5">#REF!</definedName>
    <definedName name="sengkangB2.1">#REF!</definedName>
    <definedName name="sengkangB2.2">#REF!</definedName>
    <definedName name="sengkangB2.3">#REF!</definedName>
    <definedName name="sengkangB2.4">#REF!</definedName>
    <definedName name="sengkangB2.5">#REF!</definedName>
    <definedName name="sengkangB3.1">#REF!</definedName>
    <definedName name="sengkangB3.2">#REF!</definedName>
    <definedName name="sengkangB3.3">#REF!</definedName>
    <definedName name="sengkangB3.4">#REF!</definedName>
    <definedName name="sengkangB3.5">#REF!</definedName>
    <definedName name="sengkangB4.1">#REF!</definedName>
    <definedName name="sengkangB4.2">#REF!</definedName>
    <definedName name="sengkangB4.3">#REF!</definedName>
    <definedName name="sengkangB4.4">#REF!</definedName>
    <definedName name="sengkangB4.5">#REF!</definedName>
    <definedName name="sengkangB5.1">#REF!</definedName>
    <definedName name="sengkangB5.2">#REF!</definedName>
    <definedName name="sengkangB5.3">#REF!</definedName>
    <definedName name="sengkangB5.4">#REF!</definedName>
    <definedName name="sengkangB5.5">#REF!</definedName>
    <definedName name="sengkangB6.1">#REF!</definedName>
    <definedName name="sengkangB6.2">#REF!</definedName>
    <definedName name="sengkangB6.3">#REF!</definedName>
    <definedName name="sengkangB6.4">#REF!</definedName>
    <definedName name="sengkangB6.5">#REF!</definedName>
    <definedName name="sengkangB6.6">#REF!</definedName>
    <definedName name="sengkangB6.7">#REF!</definedName>
    <definedName name="sengkangB7.1">#REF!</definedName>
    <definedName name="sengkangB7.2">#REF!</definedName>
    <definedName name="sengkangB7.3">#REF!</definedName>
    <definedName name="sengkangB7.4">#REF!</definedName>
    <definedName name="sengkangB7.5">#REF!</definedName>
    <definedName name="sengkangB7.6">#REF!</definedName>
    <definedName name="sengkangB7.7">#REF!</definedName>
    <definedName name="sengkangB8.1">#REF!</definedName>
    <definedName name="sengkangB8.2">#REF!</definedName>
    <definedName name="sengkangB8.3">#REF!</definedName>
    <definedName name="sengkangB8.4">#REF!</definedName>
    <definedName name="sengkangB8.5">#REF!</definedName>
    <definedName name="sengkangB9.1">#REF!</definedName>
    <definedName name="sengkangB9.2">#REF!</definedName>
    <definedName name="sengkangB9.3">#REF!</definedName>
    <definedName name="sengkangB9.4">#REF!</definedName>
    <definedName name="sengkangB9.5">#REF!</definedName>
    <definedName name="sengkangBR.1">#REF!</definedName>
    <definedName name="sengkangBTG.1">#REF!</definedName>
    <definedName name="sengkangBTG.1A">#REF!</definedName>
    <definedName name="sengkangBTG.2">#REF!</definedName>
    <definedName name="sengkangBTG.2A">#REF!</definedName>
    <definedName name="sengkangBTG.2B">#REF!</definedName>
    <definedName name="sengkangBTG.3">#REF!</definedName>
    <definedName name="sengkangK1.lt.1">#REF!</definedName>
    <definedName name="sengkangK1.lt.2">#REF!</definedName>
    <definedName name="sengkangK1.lt.3">#REF!</definedName>
    <definedName name="sengkangK1.lt.dsr">#REF!</definedName>
    <definedName name="sengkangK10.lt.1">#REF!</definedName>
    <definedName name="sengkangK10.lt.2">#REF!</definedName>
    <definedName name="sengkangK10.lt.3">#REF!</definedName>
    <definedName name="sengkangK10.lt.dsr">#REF!</definedName>
    <definedName name="sengkangK2.lt.1">#REF!</definedName>
    <definedName name="sengkangK2.lt.2">#REF!</definedName>
    <definedName name="sengkangK2.lt.3">#REF!</definedName>
    <definedName name="sengkangK2.lt.dsr">#REF!</definedName>
    <definedName name="sengkangK3.lt.1">#REF!</definedName>
    <definedName name="sengkangK3.lt.2">#REF!</definedName>
    <definedName name="sengkangK3.lt.3">#REF!</definedName>
    <definedName name="sengkangK3.lt.dsr">#REF!</definedName>
    <definedName name="sengkangK4.lt.1">#REF!</definedName>
    <definedName name="sengkangK4.lt.2">#REF!</definedName>
    <definedName name="sengkangK4.lt.dsr">#REF!</definedName>
    <definedName name="sengkangK4.lt3">#REF!</definedName>
    <definedName name="sengkangK5.lt.1">#REF!</definedName>
    <definedName name="sengkangK5.lt.2">#REF!</definedName>
    <definedName name="sengkangK5.lt.3">#REF!</definedName>
    <definedName name="sengkangK5.lt.dsr">#REF!</definedName>
    <definedName name="sengkangK6.lt.1">#REF!</definedName>
    <definedName name="sengkangK6.lt.2">#REF!</definedName>
    <definedName name="sengkangK6.lt.3">#REF!</definedName>
    <definedName name="sengkangK6.lt.dsr">#REF!</definedName>
    <definedName name="sengkangK7.lt.1">#REF!</definedName>
    <definedName name="sengkangK7.lt.2">#REF!</definedName>
    <definedName name="sengkangK7.lt.3">#REF!</definedName>
    <definedName name="sengkangK7.lt.dsr">#REF!</definedName>
    <definedName name="sengkangK8.lt.1">#REF!</definedName>
    <definedName name="sengkangK8.lt.2">#REF!</definedName>
    <definedName name="sengkangK8.lt.3">#REF!</definedName>
    <definedName name="sengkangK8.lt.dsr">#REF!</definedName>
    <definedName name="sengkangK9.lt.1">#REF!</definedName>
    <definedName name="sengkangK9.lt.2">#REF!</definedName>
    <definedName name="sengkangK9.lt.3">#REF!</definedName>
    <definedName name="sengkangK9.lt.dsr">#REF!</definedName>
    <definedName name="sengkangKL">#REF!</definedName>
    <definedName name="sengkangKR1">#REF!</definedName>
    <definedName name="sengkangKTG1">#REF!</definedName>
    <definedName name="sengkangKTG1A">#REF!</definedName>
    <definedName name="sengkangKTG2">#REF!</definedName>
    <definedName name="sengkangTB.1">#REF!</definedName>
    <definedName name="SengkangTB.2">#REF!</definedName>
    <definedName name="sengkangTB.3">#REF!</definedName>
    <definedName name="sengkangTB.4">#REF!</definedName>
    <definedName name="sengkangTB.5">#REF!</definedName>
    <definedName name="sengkangTB.6">#REF!</definedName>
    <definedName name="SENGPL">#REF!</definedName>
    <definedName name="sengplatbjls40">#REF!</definedName>
    <definedName name="sept.1">#REF!</definedName>
    <definedName name="sept.2">#REF!</definedName>
    <definedName name="septick1.5">#REF!</definedName>
    <definedName name="septick2">#REF!</definedName>
    <definedName name="septick4">#REF!</definedName>
    <definedName name="septick5">#REF!</definedName>
    <definedName name="serbaguna">#REF!</definedName>
    <definedName name="servlist">#REF!</definedName>
    <definedName name="SET">#REF!</definedName>
    <definedName name="setengah">#REF!</definedName>
    <definedName name="SetPlate">#REF!</definedName>
    <definedName name="sewalift">#REF!</definedName>
    <definedName name="sewapompa">#REF!</definedName>
    <definedName name="sewar">#REF!</definedName>
    <definedName name="SFAG">STOP:STOPE</definedName>
    <definedName name="SFAG_10">#REF!:#REF!</definedName>
    <definedName name="SFAG_11">#REF!:#REF!</definedName>
    <definedName name="SFAG_12">#REF!:#REF!</definedName>
    <definedName name="SFAG_14">#REF!:#REF!</definedName>
    <definedName name="SFAG_15">#REF!:#REF!</definedName>
    <definedName name="SFAG_16">#REF!:#REF!</definedName>
    <definedName name="SFAG_17">#REF!:#REF!</definedName>
    <definedName name="SFAG_18">#REF!:#REF!</definedName>
    <definedName name="SFAG_19">#REF!:#REF!</definedName>
    <definedName name="SFAG_20">#REF!:#REF!</definedName>
    <definedName name="SFAG_22">#REF!:#REF!</definedName>
    <definedName name="SFAG_23">#REF!:#REF!</definedName>
    <definedName name="SFAG_24">#REF!:#REF!</definedName>
    <definedName name="SFAG_25">#REF!:#REF!</definedName>
    <definedName name="SFAG_5">#REF!:#REF!</definedName>
    <definedName name="SFAG_6">#REF!:#REF!</definedName>
    <definedName name="SFAG_7">#REF!:#REF!</definedName>
    <definedName name="SFAG_8">#REF!:#REF!</definedName>
    <definedName name="SFL">#REF!</definedName>
    <definedName name="sfsav">STOP:STOPE</definedName>
    <definedName name="sfsav_10">#REF!:#REF!</definedName>
    <definedName name="sfsav_11">#REF!:#REF!</definedName>
    <definedName name="sfsav_12">#REF!:#REF!</definedName>
    <definedName name="sfsav_14">#REF!:#REF!</definedName>
    <definedName name="sfsav_15">#REF!:#REF!</definedName>
    <definedName name="sfsav_16">#REF!:#REF!</definedName>
    <definedName name="sfsav_17">#REF!:#REF!</definedName>
    <definedName name="sfsav_18">#REF!:#REF!</definedName>
    <definedName name="sfsav_19">#REF!:#REF!</definedName>
    <definedName name="sfsav_20">#REF!:#REF!</definedName>
    <definedName name="sfsav_22">#REF!:#REF!</definedName>
    <definedName name="sfsav_23">#REF!:#REF!</definedName>
    <definedName name="sfsav_24">#REF!:#REF!</definedName>
    <definedName name="sfsav_25">#REF!:#REF!</definedName>
    <definedName name="sfsav_5">#REF!:#REF!</definedName>
    <definedName name="sfsav_6">#REF!:#REF!</definedName>
    <definedName name="sfsav_7">#REF!:#REF!</definedName>
    <definedName name="sfsav_8">#REF!:#REF!</definedName>
    <definedName name="sfvd100">#REF!</definedName>
    <definedName name="sg">#REF!</definedName>
    <definedName name="SGD">#REF!</definedName>
    <definedName name="sgel">#REF!</definedName>
    <definedName name="sgnc">NA()</definedName>
    <definedName name="sgvl">NA()</definedName>
    <definedName name="sgyf">#REF!</definedName>
    <definedName name="sh_4040">#REF!</definedName>
    <definedName name="sh_s6">#REF!</definedName>
    <definedName name="sheet.doublecylinder">#REF!</definedName>
    <definedName name="Sheetpile">#REF!</definedName>
    <definedName name="SHF">#REF!</definedName>
    <definedName name="shower">#REF!</definedName>
    <definedName name="showermixer">#REF!</definedName>
    <definedName name="showerspray">#REF!</definedName>
    <definedName name="ShowersprayTX403SN5">#REF!</definedName>
    <definedName name="showertray">#REF!</definedName>
    <definedName name="shrs">#REF!</definedName>
    <definedName name="shrs_9">#REF!</definedName>
    <definedName name="sht">NA()</definedName>
    <definedName name="sht3p">NA()</definedName>
    <definedName name="SI">#REF!</definedName>
    <definedName name="SIAP">#REF!</definedName>
    <definedName name="SIGNATURE">#REF!</definedName>
    <definedName name="sikat">#REF!</definedName>
    <definedName name="sikp">#REF!</definedName>
    <definedName name="siku">#REF!</definedName>
    <definedName name="siku50.50.5">#REF!</definedName>
    <definedName name="siku60.60.6">#REF!</definedName>
    <definedName name="siltip">#REF!</definedName>
    <definedName name="SIM">#REF!</definedName>
    <definedName name="simpang">#REF!</definedName>
    <definedName name="sin">#REF!</definedName>
    <definedName name="sinfchannelamp">#REF!</definedName>
    <definedName name="Singk">#REF!</definedName>
    <definedName name="sinkmixer">#REF!</definedName>
    <definedName name="sinkstrainer">#REF!</definedName>
    <definedName name="SIPIL">#REF!</definedName>
    <definedName name="SIPIL_6">#REF!</definedName>
    <definedName name="SIPIL_8">#REF!</definedName>
    <definedName name="SIPIL_8_6">#REF!</definedName>
    <definedName name="Sirap">#REF!</definedName>
    <definedName name="sirbatu">#REF!</definedName>
    <definedName name="Sirdam">#REF!</definedName>
    <definedName name="SIRIP">#REF!</definedName>
    <definedName name="SIRIP10">#REF!</definedName>
    <definedName name="Sirlak">#REF!</definedName>
    <definedName name="Sirlk">#REF!</definedName>
    <definedName name="sirsang">#REF!</definedName>
    <definedName name="SIRT">#REF!</definedName>
    <definedName name="sirton">#REF!</definedName>
    <definedName name="Sirtu">#REF!</definedName>
    <definedName name="sirtu_6">#REF!</definedName>
    <definedName name="sirurug">#REF!</definedName>
    <definedName name="SISA">#REF!</definedName>
    <definedName name="SITE">#REF!</definedName>
    <definedName name="SK">#REF!</definedName>
    <definedName name="skat">#REF!</definedName>
    <definedName name="skb">#REF!</definedName>
    <definedName name="skb_9">#REF!</definedName>
    <definedName name="skbaja">#REF!</definedName>
    <definedName name="skbaja_9">#REF!</definedName>
    <definedName name="SkBrS">#REF!</definedName>
    <definedName name="Skg.umum">"$#REF!.$D$20"</definedName>
    <definedName name="Skg.umum_13">"$#REF!.$D$20"</definedName>
    <definedName name="skgb">#REF!</definedName>
    <definedName name="skgb_9">#REF!</definedName>
    <definedName name="skh">#REF!</definedName>
    <definedName name="skhd">#REF!</definedName>
    <definedName name="skhds">#REF!</definedName>
    <definedName name="skilledlabor">#REF!</definedName>
    <definedName name="skim">#REF!</definedName>
    <definedName name="skk">#REF!</definedName>
    <definedName name="skl">#REF!</definedName>
    <definedName name="skp">#REF!</definedName>
    <definedName name="skpb">#REF!</definedName>
    <definedName name="skpb_9">#REF!</definedName>
    <definedName name="skrup">#REF!</definedName>
    <definedName name="sks">#REF!</definedName>
    <definedName name="sks_9">#REF!</definedName>
    <definedName name="sksatp">#REF!</definedName>
    <definedName name="sksatp_9">#REF!</definedName>
    <definedName name="skukj">#REF!</definedName>
    <definedName name="skukj_9">#REF!</definedName>
    <definedName name="skup">#REF!</definedName>
    <definedName name="skup_9">#REF!</definedName>
    <definedName name="skyb">#REF!</definedName>
    <definedName name="skyb_9">#REF!</definedName>
    <definedName name="sl">#REF!</definedName>
    <definedName name="sl_5">#REF!</definedName>
    <definedName name="SL_CRD">"$#REF!.$P$5:$P$619"</definedName>
    <definedName name="SL_CRS">"$#REF!.$R$5:$R$619"</definedName>
    <definedName name="SL_CS">"$#REF!.$N$5:$N$619"</definedName>
    <definedName name="SL_DD">"$#REF!.$L$5:$L$619"</definedName>
    <definedName name="sl2030b210">#REF!</definedName>
    <definedName name="sl2540b220">#REF!</definedName>
    <definedName name="sl3050b200">#REF!</definedName>
    <definedName name="sladd">#REF!</definedName>
    <definedName name="Slate">#REF!</definedName>
    <definedName name="slb">"$#REF!.$S$12"</definedName>
    <definedName name="SLEE">#REF!</definedName>
    <definedName name="sloof">#REF!</definedName>
    <definedName name="sloof\tb.1.1GWT">#REF!</definedName>
    <definedName name="sloof\tb.1.2GWT">#REF!</definedName>
    <definedName name="sloof\tb.2.1GWT">#REF!</definedName>
    <definedName name="sloof\tb.2.2GWT">#REF!</definedName>
    <definedName name="sloof\tb2.2GWT">#REF!</definedName>
    <definedName name="sloof\tb2.3GWT">#REF!</definedName>
    <definedName name="sloof\tb2.4Gwt">#REF!</definedName>
    <definedName name="sloof\tb3.1GWT">#REF!</definedName>
    <definedName name="sloof1">#REF!</definedName>
    <definedName name="sloof1520">#REF!</definedName>
    <definedName name="sloof175">#REF!</definedName>
    <definedName name="sloof2">#REF!</definedName>
    <definedName name="sloof2030">#REF!</definedName>
    <definedName name="sloof2540">#REF!</definedName>
    <definedName name="sloof3">#REF!</definedName>
    <definedName name="sloof3050">#REF!</definedName>
    <definedName name="slooftb1">#REF!</definedName>
    <definedName name="slooftb10">#REF!</definedName>
    <definedName name="slooftb11">#REF!</definedName>
    <definedName name="slooftb2">#REF!</definedName>
    <definedName name="slooftb3">#REF!</definedName>
    <definedName name="slooftb4">#REF!</definedName>
    <definedName name="slooftb5">#REF!</definedName>
    <definedName name="slooftb6">#REF!</definedName>
    <definedName name="slooftb7">#REF!</definedName>
    <definedName name="slooftb8">#REF!</definedName>
    <definedName name="slooftb9">#REF!</definedName>
    <definedName name="slot">#REF!</definedName>
    <definedName name="sm">#REF!</definedName>
    <definedName name="sma">#REF!</definedName>
    <definedName name="sma_9">#REF!</definedName>
    <definedName name="smf">#REF!</definedName>
    <definedName name="smf_9">#REF!</definedName>
    <definedName name="SMOF">#REF!</definedName>
    <definedName name="SMOL">#REF!</definedName>
    <definedName name="smp">#REF!</definedName>
    <definedName name="smr">#REF!</definedName>
    <definedName name="smt">#REF!</definedName>
    <definedName name="smt_9">#REF!</definedName>
    <definedName name="smu">#REF!</definedName>
    <definedName name="sn">#REF!</definedName>
    <definedName name="sn_1040">#REF!</definedName>
    <definedName name="sn10x33">#REF!</definedName>
    <definedName name="snj">#REF!</definedName>
    <definedName name="snkeramik10x20">#REF!</definedName>
    <definedName name="snkeramik10x25">#REF!</definedName>
    <definedName name="snkeramik10x30">#REF!</definedName>
    <definedName name="snkeramiktangga10x20">#REF!</definedName>
    <definedName name="snkeramiktangga10x25">#REF!</definedName>
    <definedName name="snkeramiktangga10x30">#REF!</definedName>
    <definedName name="snkeramiktangga10x33">#REF!</definedName>
    <definedName name="SO">#REF!</definedName>
    <definedName name="soap">#REF!</definedName>
    <definedName name="SoapbasketTX2BV1B">#REF!</definedName>
    <definedName name="SoapdispencerTS125R">#REF!</definedName>
    <definedName name="SoapholderS6N">#REF!</definedName>
    <definedName name="SOARE_PARTS">#REF!</definedName>
    <definedName name="soc3p">"$#REF!.$T$10"</definedName>
    <definedName name="SOCK">#REF!</definedName>
    <definedName name="Socket_gip_ø_1_2">#REF!</definedName>
    <definedName name="Socket_gip_ø_3_4">#REF!</definedName>
    <definedName name="SOCKET_OUTLET">#REF!</definedName>
    <definedName name="Socket_pvc_ø_2__maspion_D">#REF!</definedName>
    <definedName name="Socket_pvc_ø_4__maspion_D">#REF!</definedName>
    <definedName name="SOH">#REF!</definedName>
    <definedName name="sol">#REF!</definedName>
    <definedName name="Solar">#REF!</definedName>
    <definedName name="solar_9">#REF!</definedName>
    <definedName name="soldier">#REF!</definedName>
    <definedName name="soli">#REF!</definedName>
    <definedName name="soli_9">#REF!</definedName>
    <definedName name="solid">#REF!</definedName>
    <definedName name="Solig">#REF!</definedName>
    <definedName name="solignum">#REF!</definedName>
    <definedName name="Solo">#REF!</definedName>
    <definedName name="Sondr">#REF!</definedName>
    <definedName name="sop">#REF!</definedName>
    <definedName name="sopir">#REF!</definedName>
    <definedName name="Sopr">#REF!</definedName>
    <definedName name="sort" hidden="1">#REF!</definedName>
    <definedName name="soso">#REF!</definedName>
    <definedName name="Sound">#REF!</definedName>
    <definedName name="Sound_car">#REF!</definedName>
    <definedName name="SOUND_SYSTEM">#REF!</definedName>
    <definedName name="Sound_utama">#REF!</definedName>
    <definedName name="SOUNDP">#REF!</definedName>
    <definedName name="SP">#REF!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0">#REF!</definedName>
    <definedName name="Sp.21">#REF!</definedName>
    <definedName name="sp.25">#REF!</definedName>
    <definedName name="Sp.3">#REF!</definedName>
    <definedName name="sp.30">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h">#REF!</definedName>
    <definedName name="Sp.I">#REF!</definedName>
    <definedName name="Sp.II">#REF!</definedName>
    <definedName name="Sp.III">#REF!</definedName>
    <definedName name="Sp.III.16">#REF!</definedName>
    <definedName name="Sp.III.16.a">#REF!</definedName>
    <definedName name="Sp.III.16.b">#REF!</definedName>
    <definedName name="Sp.IIIa">#REF!</definedName>
    <definedName name="Sp.IIIb">#REF!</definedName>
    <definedName name="Sp.IIIc">#REF!</definedName>
    <definedName name="Sp.IIId">#REF!</definedName>
    <definedName name="Sp.IV">#REF!</definedName>
    <definedName name="Sp.IV.16a">#REF!</definedName>
    <definedName name="Sp.IX">#REF!</definedName>
    <definedName name="Sp.IX.a">#REF!</definedName>
    <definedName name="Sp.IX.c">#REF!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pc">#REF!</definedName>
    <definedName name="Sp.V">#REF!</definedName>
    <definedName name="Sp.Va">#REF!</definedName>
    <definedName name="Sp.Vb">#REF!</definedName>
    <definedName name="Sp.vb1">#REF!</definedName>
    <definedName name="Sp.vb2">#REF!</definedName>
    <definedName name="Sp.vc">#REF!</definedName>
    <definedName name="Sp.vc1">#REF!</definedName>
    <definedName name="Sp.vc2">#REF!</definedName>
    <definedName name="Sp.vc3">#REF!</definedName>
    <definedName name="Sp.vc4">#REF!</definedName>
    <definedName name="Sp.vd">#REF!</definedName>
    <definedName name="Sp.vd.1">#REF!</definedName>
    <definedName name="Sp.vd.1a">#REF!</definedName>
    <definedName name="Sp.vd.1b">#REF!</definedName>
    <definedName name="Sp.vd.1c">#REF!</definedName>
    <definedName name="Sp.vd.1d">#REF!</definedName>
    <definedName name="Sp.vd.2">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">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">#REF!</definedName>
    <definedName name="Sp.vf.1">#REF!</definedName>
    <definedName name="Sp.vf.2">#REF!</definedName>
    <definedName name="Sp.vf.3">#REF!</definedName>
    <definedName name="Sp.vf.4">#REF!</definedName>
    <definedName name="Sp.vf.5">#REF!</definedName>
    <definedName name="Sp.vf.6">#REF!</definedName>
    <definedName name="Sp.vf.7">#REF!</definedName>
    <definedName name="Sp.vf.8">#REF!</definedName>
    <definedName name="Sp.vf2">#REF!</definedName>
    <definedName name="Sp.vf4">#REF!</definedName>
    <definedName name="Sp.vg">#REF!</definedName>
    <definedName name="Sp.vg.1">#REF!</definedName>
    <definedName name="Sp.vg.10">#REF!</definedName>
    <definedName name="Sp.vg.11">#REF!</definedName>
    <definedName name="Sp.vg.12">#REF!</definedName>
    <definedName name="Sp.vg.1a">#REF!</definedName>
    <definedName name="Sp.vg.1b">#REF!</definedName>
    <definedName name="Sp.vg.1c">#REF!</definedName>
    <definedName name="Sp.vg.2">#REF!</definedName>
    <definedName name="Sp.vg.2a">#REF!</definedName>
    <definedName name="Sp.vg.2b">#REF!</definedName>
    <definedName name="Sp.vg.3">#REF!</definedName>
    <definedName name="Sp.vg.4">#REF!</definedName>
    <definedName name="Sp.vg.5">#REF!</definedName>
    <definedName name="Sp.vg.6">#REF!</definedName>
    <definedName name="Sp.vg.7">#REF!</definedName>
    <definedName name="Sp.vg.8">#REF!</definedName>
    <definedName name="Sp.vg.9">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7">#REF!</definedName>
    <definedName name="Sp.vg8">#REF!</definedName>
    <definedName name="Sp.vg9">#REF!</definedName>
    <definedName name="Sp.vh">#REF!</definedName>
    <definedName name="Sp.vh.1">#REF!</definedName>
    <definedName name="Sp.vi">#REF!</definedName>
    <definedName name="Sp.VIIb">#REF!</definedName>
    <definedName name="Sp.VIII">#REF!</definedName>
    <definedName name="Sp.VIII.a">#REF!</definedName>
    <definedName name="Sp.VIII.b">#REF!</definedName>
    <definedName name="Sp.VIII.c">#REF!</definedName>
    <definedName name="Sp.VIIIa">#REF!</definedName>
    <definedName name="Sp.VIIIq">#REF!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_1000">#REF!</definedName>
    <definedName name="sp_11">#REF!</definedName>
    <definedName name="sp_4">#REF!</definedName>
    <definedName name="SP_9">#REF!</definedName>
    <definedName name="sp_hr">#REF!</definedName>
    <definedName name="spa">#REF!</definedName>
    <definedName name="spacer">#REF!</definedName>
    <definedName name="spandek">#REF!</definedName>
    <definedName name="sparingPVC2.1\2">#REF!</definedName>
    <definedName name="sparingPVC3">#REF!</definedName>
    <definedName name="sparingPVC4">#REF!</definedName>
    <definedName name="spav">#REF!</definedName>
    <definedName name="spav_9">#REF!</definedName>
    <definedName name="spb">#REF!</definedName>
    <definedName name="spc">#REF!</definedName>
    <definedName name="spc_9">#REF!</definedName>
    <definedName name="Spcon">#REF!</definedName>
    <definedName name="SPEC">#REF!</definedName>
    <definedName name="SpecialPrice" hidden="1">#REF!</definedName>
    <definedName name="SPESIFIK">NA()</definedName>
    <definedName name="spf">#REF!</definedName>
    <definedName name="SPHUBJLS">#REF!</definedName>
    <definedName name="Spirt">#REF!</definedName>
    <definedName name="Spirtus">#REF!</definedName>
    <definedName name="spj">#REF!</definedName>
    <definedName name="spj_9">#REF!</definedName>
    <definedName name="spk1p">NA()</definedName>
    <definedName name="spk3p">NA()</definedName>
    <definedName name="SPL">#REF!</definedName>
    <definedName name="SPL_6">#REF!</definedName>
    <definedName name="SPL_8">#REF!</definedName>
    <definedName name="SPL_8_6">#REF!</definedName>
    <definedName name="Spl5m">#REF!</definedName>
    <definedName name="splat">#REF!</definedName>
    <definedName name="Split">#REF!</definedName>
    <definedName name="split1.2">#REF!</definedName>
    <definedName name="split1x2">#REF!</definedName>
    <definedName name="split2">#REF!</definedName>
    <definedName name="split2.3">#REF!</definedName>
    <definedName name="split23">#REF!</definedName>
    <definedName name="split2x3">#REF!</definedName>
    <definedName name="split3x5">#REF!</definedName>
    <definedName name="split4">#REF!</definedName>
    <definedName name="split5x7">#REF!</definedName>
    <definedName name="spoon">#REF!</definedName>
    <definedName name="spp" hidden="1">#REF!</definedName>
    <definedName name="SPRAYER">#REF!</definedName>
    <definedName name="spritus">#REF!</definedName>
    <definedName name="SprSP">#REF!</definedName>
    <definedName name="sps">#REF!</definedName>
    <definedName name="spsaub">#REF!</definedName>
    <definedName name="spsaub_9">#REF!</definedName>
    <definedName name="spsp">#REF!</definedName>
    <definedName name="spsp_9">#REF!</definedName>
    <definedName name="spsu">#REF!</definedName>
    <definedName name="spsu_9">#REF!</definedName>
    <definedName name="sQ">#REF!</definedName>
    <definedName name="sQ_9">#REF!</definedName>
    <definedName name="SR">#REF!</definedName>
    <definedName name="SRant">#REF!</definedName>
    <definedName name="srl_l">#REF!</definedName>
    <definedName name="ss">#REF!</definedName>
    <definedName name="ss_1">#REF!</definedName>
    <definedName name="SSE">#REF!</definedName>
    <definedName name="ssolar">#REF!</definedName>
    <definedName name="ssolar_9">#REF!</definedName>
    <definedName name="sspray">#REF!</definedName>
    <definedName name="sss">#REF!</definedName>
    <definedName name="ssss">#REF!</definedName>
    <definedName name="ssssssssssss">#REF!</definedName>
    <definedName name="sstpb">#REF!</definedName>
    <definedName name="sstpb_9">#REF!</definedName>
    <definedName name="ssw">#REF!</definedName>
    <definedName name="ST">#REF!</definedName>
    <definedName name="st.30x30">#REF!</definedName>
    <definedName name="st.30x30_9">#REF!</definedName>
    <definedName name="ST_9">#REF!</definedName>
    <definedName name="st3p">NA()</definedName>
    <definedName name="STAFF_MESS">#REF!</definedName>
    <definedName name="stairnzing">#REF!</definedName>
    <definedName name="stam">#REF!</definedName>
    <definedName name="stam_9">#REF!</definedName>
    <definedName name="Stamp">#REF!</definedName>
    <definedName name="Stamper">#REF!</definedName>
    <definedName name="stanlagh">#REF!</definedName>
    <definedName name="Start">#REF!</definedName>
    <definedName name="Startup">#REF!</definedName>
    <definedName name="stater">#REF!</definedName>
    <definedName name="StayCMT75.016US32D">#REF!</definedName>
    <definedName name="stayjendela\nonjasa">#REF!</definedName>
    <definedName name="STC">#REF!</definedName>
    <definedName name="std100___0">"$#REF!.$N$297"</definedName>
    <definedName name="std150___0">"$#REF!.$N$275"</definedName>
    <definedName name="std65___0">"$#REF!.$N$276"</definedName>
    <definedName name="STDBX">#REF!</definedName>
    <definedName name="STDE">#REF!</definedName>
    <definedName name="stde1">#REF!</definedName>
    <definedName name="stde11">#REF!</definedName>
    <definedName name="steel">#REF!</definedName>
    <definedName name="steelformwork">#REF!</definedName>
    <definedName name="steelrailing">#REF!</definedName>
    <definedName name="steelworker">#REF!</definedName>
    <definedName name="steiger">#REF!</definedName>
    <definedName name="Stemb">#REF!</definedName>
    <definedName name="step">#REF!</definedName>
    <definedName name="step1040">#REF!</definedName>
    <definedName name="stepnos">#REF!</definedName>
    <definedName name="stepnos_kerampolis">#REF!</definedName>
    <definedName name="Stero">#REF!</definedName>
    <definedName name="stmix175">#REF!</definedName>
    <definedName name="stmix225">#REF!</definedName>
    <definedName name="StnCr">#REF!</definedName>
    <definedName name="stnh">#REF!</definedName>
    <definedName name="stnh_9">#REF!</definedName>
    <definedName name="STONECRUSHER">#REF!</definedName>
    <definedName name="Stonework">#REF!</definedName>
    <definedName name="stoot">#REF!</definedName>
    <definedName name="stootW">#REF!</definedName>
    <definedName name="STOP">#REF!</definedName>
    <definedName name="stop.ac">#REF!</definedName>
    <definedName name="stop.k">#REF!</definedName>
    <definedName name="Stop_kontak_sekualitas_broco">#REF!</definedName>
    <definedName name="Stop_kran_wasfhtafel">#REF!</definedName>
    <definedName name="STOP2">#REF!</definedName>
    <definedName name="STOP2E">#REF!</definedName>
    <definedName name="STOPE">#REF!</definedName>
    <definedName name="STP_10">#REF!:#REF!</definedName>
    <definedName name="STP_11">#REF!:#REF!</definedName>
    <definedName name="STP_12">#REF!:#REF!</definedName>
    <definedName name="STP_14">#REF!:#REF!</definedName>
    <definedName name="STP_15">#REF!:#REF!</definedName>
    <definedName name="STP_16">#REF!:#REF!</definedName>
    <definedName name="STP_17">#REF!:#REF!</definedName>
    <definedName name="STP_18">#REF!:#REF!</definedName>
    <definedName name="STP_19">#REF!:#REF!</definedName>
    <definedName name="STP_20">#REF!:#REF!</definedName>
    <definedName name="STP_22">#REF!:#REF!</definedName>
    <definedName name="STP_23">#REF!:#REF!</definedName>
    <definedName name="STP_24">#REF!:#REF!</definedName>
    <definedName name="STP_25">#REF!:#REF!</definedName>
    <definedName name="STP_5">#REF!:#REF!</definedName>
    <definedName name="STP_6">#REF!:#REF!</definedName>
    <definedName name="STP_7">#REF!:#REF!</definedName>
    <definedName name="STP_8">#REF!:#REF!</definedName>
    <definedName name="stpb">#REF!</definedName>
    <definedName name="stpb_9">#REF!</definedName>
    <definedName name="stpiezo">#REF!</definedName>
    <definedName name="stpkrn">#REF!</definedName>
    <definedName name="str">#REF!</definedName>
    <definedName name="STR_23">#REF!</definedName>
    <definedName name="STR_25">#REF!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IP">#REF!</definedName>
    <definedName name="striping">#REF!</definedName>
    <definedName name="STRUKTUR">#REF!</definedName>
    <definedName name="struktur1">#REF!</definedName>
    <definedName name="STRUKTUR2">#REF!</definedName>
    <definedName name="struktursma">#REF!</definedName>
    <definedName name="struktursmp">#REF!</definedName>
    <definedName name="Stum8">#REF!</definedName>
    <definedName name="Styropoam">#REF!</definedName>
    <definedName name="SUB_TOTAL__VII">#REF!</definedName>
    <definedName name="substrsmp">#REF!</definedName>
    <definedName name="substrsmu">#REF!</definedName>
    <definedName name="SUBT">#REF!</definedName>
    <definedName name="SUBT.FIELD_EXP">#REF!</definedName>
    <definedName name="SUBT.TEMP._WORK">#REF!</definedName>
    <definedName name="SUGENG">SUGENG</definedName>
    <definedName name="sukamandi">#REF!</definedName>
    <definedName name="sukatani">#REF!</definedName>
    <definedName name="Sukun">#REF!</definedName>
    <definedName name="sum">#REF!</definedName>
    <definedName name="SUM_G52_G83">#REF!</definedName>
    <definedName name="SUM2A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I">#REF!</definedName>
    <definedName name="Sumur__peresapan_air_kotor_dan_kotoran">#REF!</definedName>
    <definedName name="Sumurgali">#REF!</definedName>
    <definedName name="SUNAN_GIRI">"$#REF!.$R$4:$R$354"</definedName>
    <definedName name="sungkai">"$#REF!.$F$3280"</definedName>
    <definedName name="sunloid">#REF!</definedName>
    <definedName name="SUP">#REF!</definedName>
    <definedName name="super">#REF!</definedName>
    <definedName name="supergloss">#REF!</definedName>
    <definedName name="SUPFS">#REF!</definedName>
    <definedName name="supir">#REF!</definedName>
    <definedName name="SUPIR_TRUK">#REF!</definedName>
    <definedName name="SUPIR_TRUK_23">#REF!</definedName>
    <definedName name="SUPIR_TRUK_25">#REF!</definedName>
    <definedName name="Supl">#REF!</definedName>
    <definedName name="Supl.I">#REF!</definedName>
    <definedName name="Supl.II">#REF!</definedName>
    <definedName name="Supl.III">#REF!</definedName>
    <definedName name="Supl.IV">#REF!</definedName>
    <definedName name="SUPL.IX">#REF!</definedName>
    <definedName name="Supl.IXa">#REF!</definedName>
    <definedName name="Supl.IXb">#REF!</definedName>
    <definedName name="Supl.V">#REF!</definedName>
    <definedName name="Supl.VI">#REF!</definedName>
    <definedName name="Supl.VII">#REF!</definedName>
    <definedName name="SUPL.X">#REF!</definedName>
    <definedName name="SUPL.XI">#REF!</definedName>
    <definedName name="SUPL.XII">#REF!</definedName>
    <definedName name="Supl.XIII">#REF!</definedName>
    <definedName name="Supl_XII">#REF!</definedName>
    <definedName name="SuplIX.b">#REF!</definedName>
    <definedName name="SuplXI">#REF!</definedName>
    <definedName name="SUPT">#REF!</definedName>
    <definedName name="SUTARJO">NA()</definedName>
    <definedName name="svsd_10">#REF!:#REF!</definedName>
    <definedName name="svsd_11">#REF!:#REF!</definedName>
    <definedName name="svsd_12">#REF!:#REF!</definedName>
    <definedName name="svsd_14">#REF!:#REF!</definedName>
    <definedName name="svsd_15">#REF!:#REF!</definedName>
    <definedName name="svsd_16">#REF!:#REF!</definedName>
    <definedName name="svsd_17">#REF!:#REF!</definedName>
    <definedName name="svsd_18">#REF!:#REF!</definedName>
    <definedName name="svsd_19">#REF!:#REF!</definedName>
    <definedName name="svsd_20">#REF!:#REF!</definedName>
    <definedName name="svsd_22">#REF!:#REF!</definedName>
    <definedName name="svsd_23">#REF!:#REF!</definedName>
    <definedName name="svsd_24">#REF!:#REF!</definedName>
    <definedName name="svsd_25">#REF!:#REF!</definedName>
    <definedName name="svsd_5">#REF!:#REF!</definedName>
    <definedName name="svsd_6">#REF!:#REF!</definedName>
    <definedName name="svsd_7">#REF!:#REF!</definedName>
    <definedName name="svsd_8">#REF!:#REF!</definedName>
    <definedName name="sw">#REF!</definedName>
    <definedName name="sw35besi">#REF!</definedName>
    <definedName name="sw45besi">#REF!</definedName>
    <definedName name="swarna">#REF!</definedName>
    <definedName name="SWIM">#REF!</definedName>
    <definedName name="swnat">#REF!</definedName>
    <definedName name="swqerrd">#REF!</definedName>
    <definedName name="T">#REF!</definedName>
    <definedName name="t.30x30">#REF!</definedName>
    <definedName name="t.30x30_9">#REF!</definedName>
    <definedName name="t.dos">#REF!</definedName>
    <definedName name="t.sabun">#REF!</definedName>
    <definedName name="T_0_">#REF!</definedName>
    <definedName name="t_015020">#REF!</definedName>
    <definedName name="t_2">#REF!</definedName>
    <definedName name="t_gw">#REF!</definedName>
    <definedName name="t101p">"$#REF!.$#REF!$#REF!"</definedName>
    <definedName name="t103p">"$#REF!.$#REF!$#REF!"</definedName>
    <definedName name="t105mnc">NA()</definedName>
    <definedName name="t10m">NA()</definedName>
    <definedName name="t10nc">NA()</definedName>
    <definedName name="t10nc1p">"$#REF!.$G$129"</definedName>
    <definedName name="t10ncm">NA()</definedName>
    <definedName name="t10vl">NA()</definedName>
    <definedName name="t10vl1p">"$#REF!.$G$125"</definedName>
    <definedName name="t121p">"$#REF!.$#REF!$#REF!"</definedName>
    <definedName name="t123p">"$#REF!.$#REF!$#REF!"</definedName>
    <definedName name="t12m">NA()</definedName>
    <definedName name="t12mnc">NA()</definedName>
    <definedName name="t12nc">NA()</definedName>
    <definedName name="t12nc3p">"'file:///d:/project/energyhouse2/energyhouse2-mainkontraktor/energyhouse2-mainkontraktor-tender/energyhouse2-mainkontraktor-tender-boq/misc/congviec/tam.xls'#$'chitiet vl-nc'.$g$38"</definedName>
    <definedName name="t12ncm">NA()</definedName>
    <definedName name="t12vl">NA()</definedName>
    <definedName name="t12vl3p">"'file:///d:/project/energyhouse2/energyhouse2-mainkontraktor/energyhouse2-mainkontraktor-tender/energyhouse2-mainkontraktor-tender-boq/misc/congviec/tam.xls'#$'chitiet vl-nc'.$g$34"</definedName>
    <definedName name="t141p">"$#REF!.$#REF!$#REF!"</definedName>
    <definedName name="t143p">"$#REF!.$#REF!$#REF!"</definedName>
    <definedName name="t14m">NA()</definedName>
    <definedName name="t14mnc">NA()</definedName>
    <definedName name="t14nc">NA()</definedName>
    <definedName name="t14nc3p">"$#REF!.$G$102"</definedName>
    <definedName name="t14ncm">NA()</definedName>
    <definedName name="T14vc">NA()</definedName>
    <definedName name="t14vl">NA()</definedName>
    <definedName name="t14vl3p">"$#REF!.$G$99"</definedName>
    <definedName name="T203P">NA()</definedName>
    <definedName name="t20m">NA()</definedName>
    <definedName name="t20ncm">NA()</definedName>
    <definedName name="T60S">#REF!</definedName>
    <definedName name="T62.16">#REF!</definedName>
    <definedName name="T64CW">#REF!</definedName>
    <definedName name="t6r" hidden="1">{"'Sheet1'!$A$1"}</definedName>
    <definedName name="t7m">NA()</definedName>
    <definedName name="t7nc">NA()</definedName>
    <definedName name="t7vl">NA()</definedName>
    <definedName name="t84mnc">NA()</definedName>
    <definedName name="t8m">NA()</definedName>
    <definedName name="t8nc">NA()</definedName>
    <definedName name="t8vl">NA()</definedName>
    <definedName name="ta">#REF!</definedName>
    <definedName name="TAB">#REF!</definedName>
    <definedName name="tabel">#REF!</definedName>
    <definedName name="Tabel_1">#REF!</definedName>
    <definedName name="table" hidden="1">#REF!</definedName>
    <definedName name="TACK_COAT">#REF!</definedName>
    <definedName name="Tackcoat">#REF!</definedName>
    <definedName name="Tacon">#REF!</definedName>
    <definedName name="TAGLIST">#REF!</definedName>
    <definedName name="tahap2" hidden="1">{#N/A,#N/A,FALSE,"REK";#N/A,#N/A,FALSE,"rab"}</definedName>
    <definedName name="TAHAP21" hidden="1">{#N/A,#N/A,FALSE,"REK";#N/A,#N/A,FALSE,"rab"}</definedName>
    <definedName name="tahap22" hidden="1">{#N/A,#N/A,FALSE,"REK";#N/A,#N/A,FALSE,"rab"}</definedName>
    <definedName name="TAHAP221" hidden="1">{#N/A,#N/A,FALSE,"REK";#N/A,#N/A,FALSE,"rab"}</definedName>
    <definedName name="tahap222" hidden="1">{#N/A,#N/A,FALSE,"REK";#N/A,#N/A,FALSE,"rab"}</definedName>
    <definedName name="tahap3" hidden="1">{#N/A,#N/A,FALSE,"REK";#N/A,#N/A,FALSE,"rab"}</definedName>
    <definedName name="TAHUN_ANGGARAN">#REF!</definedName>
    <definedName name="tai" hidden="1">{"'Sheet1'!$A$1"}</definedName>
    <definedName name="tal">#REF!</definedName>
    <definedName name="talangdatar">#REF!</definedName>
    <definedName name="talangdatarzincalume">#REF!</definedName>
    <definedName name="talangdtr\jr.zincalume">#REF!</definedName>
    <definedName name="TALANGPVC4">#REF!</definedName>
    <definedName name="talangseng">#REF!</definedName>
    <definedName name="TALANGTRITISANLEBAR25CM">#REF!</definedName>
    <definedName name="talangvertikalPVC21\2">#REF!</definedName>
    <definedName name="talangvertikalPVC3">#REF!</definedName>
    <definedName name="talangvertikalPVC4">#REF!</definedName>
    <definedName name="TALIIJUK">#REF!</definedName>
    <definedName name="TAMBAH">#REF!</definedName>
    <definedName name="TAMPER">#REF!</definedName>
    <definedName name="tan.urg">#REF!</definedName>
    <definedName name="TANAH">#REF!</definedName>
    <definedName name="tanahsmp">#REF!</definedName>
    <definedName name="tanahsmu">#REF!</definedName>
    <definedName name="TANAHURUG">#REF!</definedName>
    <definedName name="tandem">#REF!</definedName>
    <definedName name="TandemRoller">#REF!</definedName>
    <definedName name="TANGGA">#REF!</definedName>
    <definedName name="tangga1">#REF!</definedName>
    <definedName name="tangga2">#REF!</definedName>
    <definedName name="tangga3">#REF!</definedName>
    <definedName name="tanggulbeton">#REF!</definedName>
    <definedName name="tangki">#REF!</definedName>
    <definedName name="tanjd" hidden="1">#REF!</definedName>
    <definedName name="tanker">#REF!</definedName>
    <definedName name="tankfb05">#REF!</definedName>
    <definedName name="tankfb1">#REF!</definedName>
    <definedName name="tankfb2">#REF!</definedName>
    <definedName name="tanki">#REF!</definedName>
    <definedName name="tanki_9">#REF!</definedName>
    <definedName name="tansubur">#REF!</definedName>
    <definedName name="tanurug">#REF!</definedName>
    <definedName name="TARAKANITA">"$#REF!.$M$4:$M$701"</definedName>
    <definedName name="TarAl">#REF!</definedName>
    <definedName name="TAUR">#REF!</definedName>
    <definedName name="taur_6">#REF!</definedName>
    <definedName name="tawg16">#REF!</definedName>
    <definedName name="tb">#REF!</definedName>
    <definedName name="tbasket">#REF!</definedName>
    <definedName name="tbb4000.10000">#REF!</definedName>
    <definedName name="tbbst">#REF!</definedName>
    <definedName name="tbbt">#REF!</definedName>
    <definedName name="tbdd1p">NA()</definedName>
    <definedName name="tbdd3p">NA()</definedName>
    <definedName name="tbddsdl">NA()</definedName>
    <definedName name="tbendera">#REF!</definedName>
    <definedName name="tbesi">#REF!</definedName>
    <definedName name="tbhhj" hidden="1">{"'Sheet1'!$A$1"}</definedName>
    <definedName name="TBI">NA()</definedName>
    <definedName name="TBK.1\selasar">#REF!</definedName>
    <definedName name="TBK.2\selasar">#REF!</definedName>
    <definedName name="tbl_ProdInfo" hidden="1">#REF!</definedName>
    <definedName name="tbpst">#REF!</definedName>
    <definedName name="tbpt">#REF!</definedName>
    <definedName name="tbr_s">#REF!</definedName>
    <definedName name="tbs">#REF!</definedName>
    <definedName name="TBS.1\selasar">#REF!</definedName>
    <definedName name="tbset">#REF!</definedName>
    <definedName name="tbset_6">#REF!</definedName>
    <definedName name="tbsm5tl2x36">#REF!</definedName>
    <definedName name="tbsm5tl2x36nb">#REF!</definedName>
    <definedName name="tbst">#REF!</definedName>
    <definedName name="tbstu">#REF!</definedName>
    <definedName name="tbt">#REF!</definedName>
    <definedName name="tbter">#REF!</definedName>
    <definedName name="tbter_6">#REF!</definedName>
    <definedName name="tbtr">NA()</definedName>
    <definedName name="tbtram">"$#REF!.$F$12"</definedName>
    <definedName name="TC">"$#REF!.$#REF!$#REF!:$#REF!$#REF!"</definedName>
    <definedName name="TC_NHANH1">"$#REF!.$A$96:$AH$96"</definedName>
    <definedName name="tcat">#REF!</definedName>
    <definedName name="tcset">#REF!</definedName>
    <definedName name="tcset_6">#REF!</definedName>
    <definedName name="tcst">#REF!</definedName>
    <definedName name="tct">#REF!</definedName>
    <definedName name="tcter">#REF!</definedName>
    <definedName name="tcter_6">#REF!</definedName>
    <definedName name="tcxxnc">NA()</definedName>
    <definedName name="td">NA()</definedName>
    <definedName name="td_5050">#REF!</definedName>
    <definedName name="td10vl">NA()</definedName>
    <definedName name="td12nc">NA()</definedName>
    <definedName name="td1cnc">NA()</definedName>
    <definedName name="td1cvl">NA()</definedName>
    <definedName name="td1p">"$#REF!.$#REF!$#REF!"</definedName>
    <definedName name="TD1pnc">NA()</definedName>
    <definedName name="TD1pvl">NA()</definedName>
    <definedName name="td3p">"$#REF!.$#REF!$#REF!"</definedName>
    <definedName name="tdc84nc">NA()</definedName>
    <definedName name="tdcnc">NA()</definedName>
    <definedName name="tdf">#REF!</definedName>
    <definedName name="tdgnc">NA()</definedName>
    <definedName name="tdgvl">NA()</definedName>
    <definedName name="tdhtnc">NA()</definedName>
    <definedName name="tdhtvl">NA()</definedName>
    <definedName name="Tdin">"$#REF!.$M$11"</definedName>
    <definedName name="Tdin2">#REF!</definedName>
    <definedName name="Tdin3">"$#REF!.$M$12"</definedName>
    <definedName name="Tdin4">#REF!</definedName>
    <definedName name="tdl">#REF!</definedName>
    <definedName name="tdnc">NA()</definedName>
    <definedName name="tdnc1p">"$#REF!.$G$72"</definedName>
    <definedName name="tdnc3p">"'file:///d:/project/energyhouse2/energyhouse2-mainkontraktor/energyhouse2-mainkontraktor-tender/energyhouse2-mainkontraktor-tender-boq/misc/congviec/tam.xls'#$'chitiet vl-nc'.$g$28"</definedName>
    <definedName name="tds_1060">#REF!</definedName>
    <definedName name="tdt1pnc">NA()</definedName>
    <definedName name="tdt1pvl">NA()</definedName>
    <definedName name="tdt2cnc">NA()</definedName>
    <definedName name="tdt2cvl">NA()</definedName>
    <definedName name="tdtr2cnc">"$#REF!.$H$19"</definedName>
    <definedName name="tdtr2cvl">"$#REF!.$H$12"</definedName>
    <definedName name="tdtrnc">NA()</definedName>
    <definedName name="tdtrvl">NA()</definedName>
    <definedName name="tdvl">NA()</definedName>
    <definedName name="tdvl1p">"$#REF!.$G$66"</definedName>
    <definedName name="tdvl3p">"'file:///d:/project/energyhouse2/energyhouse2-mainkontraktor/energyhouse2-mainkontraktor-tender/energyhouse2-mainkontraktor-tender-boq/misc/congviec/tam.xls'#$'chitiet vl-nc'.$g$23"</definedName>
    <definedName name="teak">#REF!</definedName>
    <definedName name="teak.o">#REF!</definedName>
    <definedName name="teak4_3x7">#REF!</definedName>
    <definedName name="teak4_4x8">#REF!</definedName>
    <definedName name="teakoil">#REF!</definedName>
    <definedName name="teakw3">#REF!</definedName>
    <definedName name="teakw4">#REF!</definedName>
    <definedName name="teakwood">#REF!</definedName>
    <definedName name="teakwoodnormal">#REF!</definedName>
    <definedName name="teakwpt">#REF!</definedName>
    <definedName name="teco12">#REF!</definedName>
    <definedName name="teco15">#REF!</definedName>
    <definedName name="Tee__gip__ø_3_4">#REF!</definedName>
    <definedName name="Tee__pvc__ø_2___maspion_D">#REF!</definedName>
    <definedName name="Tee_gip__ø_1_2">#REF!</definedName>
    <definedName name="Tee_pvc__ø_4___maspion_D">#REF!</definedName>
    <definedName name="teer">#REF!</definedName>
    <definedName name="Tegel_abu___abu_20_x_20_cm">#REF!</definedName>
    <definedName name="tegel20">#REF!</definedName>
    <definedName name="tegel30">#REF!</definedName>
    <definedName name="tegelabu20">#REF!</definedName>
    <definedName name="tegelabu30">#REF!</definedName>
    <definedName name="Tegol">#REF!</definedName>
    <definedName name="tei" hidden="1">{"'Sheet1'!$A$1"}</definedName>
    <definedName name="TELEPHONE">#REF!</definedName>
    <definedName name="Telford">#REF!</definedName>
    <definedName name="Telp">#REF!</definedName>
    <definedName name="TEMBAGA">#REF!</definedName>
    <definedName name="TEMP._BUILDING">#REF!</definedName>
    <definedName name="TEMP.ELEC_WATER">#REF!</definedName>
    <definedName name="temp.work">NA()</definedName>
    <definedName name="temp10">#REF!</definedName>
    <definedName name="TempatSabun">#REF!</definedName>
    <definedName name="TempatsabunS6N">#REF!</definedName>
    <definedName name="tempel">#REF!</definedName>
    <definedName name="TEMPORARY_WORK">#REF!</definedName>
    <definedName name="ter" hidden="1">#REF!</definedName>
    <definedName name="teracota">#REF!</definedName>
    <definedName name="terasso">#REF!</definedName>
    <definedName name="Termisidaantirayap">#REF!</definedName>
    <definedName name="terntang">#REF!</definedName>
    <definedName name="Terpn">#REF!</definedName>
    <definedName name="terpt">#REF!</definedName>
    <definedName name="TES">#REF!</definedName>
    <definedName name="TEST">#REF!</definedName>
    <definedName name="testpile">#REF!</definedName>
    <definedName name="tf">"'file://SERVER3/har-data/STRUCTURE PRICE OF BQ KOMPAS GRAMEDIA.xls'#$analisa.$#REF!$#REF!"</definedName>
    <definedName name="Tfuso">#REF!</definedName>
    <definedName name="tg">#REF!</definedName>
    <definedName name="TG.BTN.101">#REF!</definedName>
    <definedName name="TG.BTN.101B">#REF!</definedName>
    <definedName name="TG.BTN.101E">#REF!</definedName>
    <definedName name="tgali">#REF!</definedName>
    <definedName name="tgbdk30">#REF!</definedName>
    <definedName name="tgblk">#REF!</definedName>
    <definedName name="tgbsh20">#REF!</definedName>
    <definedName name="tgbsh30">#REF!</definedName>
    <definedName name="TGH" hidden="1">{#N/A,#N/A,FALSE,"REK-S-TPL";#N/A,#N/A,FALSE,"REK-TPML";#N/A,#N/A,FALSE,"RAB-TEMPEL"}</definedName>
    <definedName name="tgl">#REF!</definedName>
    <definedName name="tgl_15">#REF!</definedName>
    <definedName name="tgl_16">#REF!</definedName>
    <definedName name="tgl_2">#REF!</definedName>
    <definedName name="tgl_20">#REF!</definedName>
    <definedName name="tgl_3">#REF!</definedName>
    <definedName name="TGL_9">#REF!</definedName>
    <definedName name="tgpi">#REF!</definedName>
    <definedName name="tgwafel20">#REF!</definedName>
    <definedName name="tgwafel30">#REF!</definedName>
    <definedName name="tgwrn20">#REF!</definedName>
    <definedName name="tgwrn30">#REF!</definedName>
    <definedName name="tgyf">#REF!</definedName>
    <definedName name="th" hidden="1">{"'Sheet1'!$A$1"}</definedName>
    <definedName name="th3x15">NA()</definedName>
    <definedName name="ThanhXuan110">NA()</definedName>
    <definedName name="Thetehan">#REF!</definedName>
    <definedName name="THGO1pnc">"$#REF!.$F$6"</definedName>
    <definedName name="thhj" hidden="1">{"'Sheet1'!$A$1"}</definedName>
    <definedName name="thht">"$#REF!.$A$36:$D$61"</definedName>
    <definedName name="THIN">#REF!</definedName>
    <definedName name="thin_6">#REF!</definedName>
    <definedName name="Thina">#REF!</definedName>
    <definedName name="Thinb">#REF!</definedName>
    <definedName name="thinerA">#REF!</definedName>
    <definedName name="thinner">#REF!</definedName>
    <definedName name="THKP160">NA()</definedName>
    <definedName name="thkp3">"$#REF!.$#REF!$#REF!:$#REF!$#REF!"</definedName>
    <definedName name="THREEWHEELROLLER">#REF!</definedName>
    <definedName name="thtr15">NA()</definedName>
    <definedName name="thtrj" hidden="1">{"'Sheet1'!$A$1"}</definedName>
    <definedName name="thtt">"$#REF!.$A$2:$D$20"</definedName>
    <definedName name="TI">#REF!</definedName>
    <definedName name="tiang">#REF!</definedName>
    <definedName name="tiang_pancang">"$#REF!.$#REF!$#REF!"</definedName>
    <definedName name="tidak">#REF!</definedName>
    <definedName name="tidf10">#REF!</definedName>
    <definedName name="tidf100">#REF!</definedName>
    <definedName name="tidf350">#REF!</definedName>
    <definedName name="TIE.BM.101">#REF!</definedName>
    <definedName name="TIE.BM.101B">#REF!</definedName>
    <definedName name="TIE.BM.101E">#REF!</definedName>
    <definedName name="TIE.BM.102">#REF!</definedName>
    <definedName name="TIE.BM.102B">#REF!</definedName>
    <definedName name="TIE.BM.102E">#REF!</definedName>
    <definedName name="TIE.BM.103">#REF!</definedName>
    <definedName name="TIE.BM.103B">#REF!</definedName>
    <definedName name="TIE.BM.103E">#REF!</definedName>
    <definedName name="TIE.BM.104">#REF!</definedName>
    <definedName name="TIE.BM.104B">#REF!</definedName>
    <definedName name="TIE.BM.104E">#REF!</definedName>
    <definedName name="TIE.BM.105">#REF!</definedName>
    <definedName name="TIE.BM.105B">#REF!</definedName>
    <definedName name="TIE.BM.105E">#REF!</definedName>
    <definedName name="Tiepdia">#REF!</definedName>
    <definedName name="Tigaroda">#REF!</definedName>
    <definedName name="tigrod">#REF!</definedName>
    <definedName name="TIKET">#REF!</definedName>
    <definedName name="Timap">#REF!</definedName>
    <definedName name="timbdat">#REF!</definedName>
    <definedName name="TIMBUN">#REF!</definedName>
    <definedName name="timbunantanahluar">#REF!</definedName>
    <definedName name="timdat">#REF!</definedName>
    <definedName name="TIME">#REF!</definedName>
    <definedName name="Timhh">#REF!</definedName>
    <definedName name="tin">#REF!</definedName>
    <definedName name="tiner">#REF!</definedName>
    <definedName name="tiner.sg">#REF!</definedName>
    <definedName name="tinggi">#REF!</definedName>
    <definedName name="tinggi_10">#REF!</definedName>
    <definedName name="tinggilantai1">#REF!</definedName>
    <definedName name="tipar">#REF!</definedName>
    <definedName name="tire">#REF!</definedName>
    <definedName name="Tire_Roller">#REF!</definedName>
    <definedName name="TireRoller">#REF!</definedName>
    <definedName name="TISSUEDISPENCERtx8">#REF!</definedName>
    <definedName name="Titik_lampu">#REF!</definedName>
    <definedName name="title">#REF!</definedName>
    <definedName name="tj" hidden="1">{#N/A,#N/A,FALSE,"REK";#N/A,#N/A,FALSE,"Bq-ARS"}</definedName>
    <definedName name="tjj" hidden="1">{"'Sheet1'!$A$1"}</definedName>
    <definedName name="tjuu" hidden="1">{"'Sheet1'!$A$1"}</definedName>
    <definedName name="tk">#REF!</definedName>
    <definedName name="Tk.Batu">#REF!</definedName>
    <definedName name="tk.bs">#REF!</definedName>
    <definedName name="tk.bt">#REF!</definedName>
    <definedName name="tk.c">#REF!</definedName>
    <definedName name="Tk.Gali">#REF!</definedName>
    <definedName name="Tk.Kayu">#REF!</definedName>
    <definedName name="tk.ky">#REF!</definedName>
    <definedName name="tk.l">#REF!</definedName>
    <definedName name="tk.Ls">#REF!</definedName>
    <definedName name="TK_01">#REF!</definedName>
    <definedName name="TK_01A">#REF!</definedName>
    <definedName name="TK_03">#REF!</definedName>
    <definedName name="TK_03A">#REF!</definedName>
    <definedName name="TK_03B">#REF!</definedName>
    <definedName name="TK_04">#REF!</definedName>
    <definedName name="TK_04A">#REF!</definedName>
    <definedName name="TK_04B">#REF!</definedName>
    <definedName name="TK_04C">#REF!</definedName>
    <definedName name="TK_05">#REF!</definedName>
    <definedName name="TK_05A">#REF!</definedName>
    <definedName name="TK_06">#REF!</definedName>
    <definedName name="TK_07">#REF!</definedName>
    <definedName name="TK_13">#REF!</definedName>
    <definedName name="TK_9">#REF!</definedName>
    <definedName name="tk_batu">#REF!</definedName>
    <definedName name="Tk_Batu_T">#REF!</definedName>
    <definedName name="tk_besi">#REF!</definedName>
    <definedName name="tk_bobokan">#REF!</definedName>
    <definedName name="Tk_Cat_ST">#REF!</definedName>
    <definedName name="tk_cor">#REF!</definedName>
    <definedName name="tk_gali">#REF!</definedName>
    <definedName name="tk_kayu">#REF!</definedName>
    <definedName name="tkaspal">#REF!</definedName>
    <definedName name="tkayu">#REF!</definedName>
    <definedName name="tkb">#REF!</definedName>
    <definedName name="TKBATU">#REF!</definedName>
    <definedName name="tkbesi">#REF!</definedName>
    <definedName name="TKBS">#REF!</definedName>
    <definedName name="tkc">#REF!</definedName>
    <definedName name="tkcat">#REF!</definedName>
    <definedName name="tkg">#REF!</definedName>
    <definedName name="tkgali">#REF!</definedName>
    <definedName name="tki">#REF!</definedName>
    <definedName name="tkitc10x2x0.6">#REF!</definedName>
    <definedName name="TKK">#REF!</definedName>
    <definedName name="tkkayu">#REF!</definedName>
    <definedName name="TKPOLI">#REF!</definedName>
    <definedName name="TKR">#REF!</definedName>
    <definedName name="TKRK">#REF!</definedName>
    <definedName name="tkset">#REF!</definedName>
    <definedName name="tkset_6">#REF!</definedName>
    <definedName name="tkst">#REF!</definedName>
    <definedName name="tkt">#REF!</definedName>
    <definedName name="tktembok">#REF!</definedName>
    <definedName name="tky">#REF!</definedName>
    <definedName name="tl">#REF!</definedName>
    <definedName name="tl.2x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x18tbsm2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bimc">#REF!</definedName>
    <definedName name="TLAC120">"$#REF!.$B$32"</definedName>
    <definedName name="TLAC35">"$#REF!.$B$28"</definedName>
    <definedName name="TLAC50">"$#REF!.$B$29"</definedName>
    <definedName name="TLAC70">"$#REF!.$B$30"</definedName>
    <definedName name="TLAC95">"$#REF!.$B$31"</definedName>
    <definedName name="TLAMP_DO3">#N/A</definedName>
    <definedName name="tlas">#REF!</definedName>
    <definedName name="tlb1x18">#REF!</definedName>
    <definedName name="tlb1x36">#REF!</definedName>
    <definedName name="tlb1x36bimc">#REF!</definedName>
    <definedName name="tlb1x36w">#REF!</definedName>
    <definedName name="tlbjls40">#REF!</definedName>
    <definedName name="tlbk1x36">#REF!</definedName>
    <definedName name="TlBnd">#REF!</definedName>
    <definedName name="tlbvs2x18">#REF!</definedName>
    <definedName name="tlbvs2x18bimc">#REF!</definedName>
    <definedName name="tlc20bimc">#REF!</definedName>
    <definedName name="tlidf250p">#REF!</definedName>
    <definedName name="TlIjk">#REF!</definedName>
    <definedName name="tlistrik">#REF!</definedName>
    <definedName name="TLP">#REF!</definedName>
    <definedName name="tltko2x36">#REF!</definedName>
    <definedName name="tltko2x36bimc">#REF!</definedName>
    <definedName name="tltl20nb">#REF!</definedName>
    <definedName name="TLUAS">#REF!</definedName>
    <definedName name="tm">#REF!</definedName>
    <definedName name="TmpSb">#REF!</definedName>
    <definedName name="TN">#REF!</definedName>
    <definedName name="tn1pinnc">NA()</definedName>
    <definedName name="tn2mhnnc">NA()</definedName>
    <definedName name="tnahurug">#REF!</definedName>
    <definedName name="TNCM">NA()</definedName>
    <definedName name="TNG">#REF!</definedName>
    <definedName name="tnh">#REF!</definedName>
    <definedName name="tnh_9">#REF!</definedName>
    <definedName name="tnhbiasa">#REF!</definedName>
    <definedName name="tnhnnc">NA()</definedName>
    <definedName name="tnignc">NA()</definedName>
    <definedName name="tnin190nc">NA()</definedName>
    <definedName name="tnlnc">NA()</definedName>
    <definedName name="tnnnc">NA()</definedName>
    <definedName name="TO">#REF!</definedName>
    <definedName name="TOA">#REF!</definedName>
    <definedName name="toko">#REF!</definedName>
    <definedName name="tombol1">"Picture 27"</definedName>
    <definedName name="tombol2">"Picture 28"</definedName>
    <definedName name="TOOLS">#REF!</definedName>
    <definedName name="top">#REF!</definedName>
    <definedName name="Toping">#REF!</definedName>
    <definedName name="TOTAL">"$#REF!.$N$2532"</definedName>
    <definedName name="TOTAL_TEMP.__FE">#REF!</definedName>
    <definedName name="TotalCOST">#REF!</definedName>
    <definedName name="TotalCOSTLocal">#REF!</definedName>
    <definedName name="TotalINSTALL">#REF!</definedName>
    <definedName name="TOTI1">NA()</definedName>
    <definedName name="TOTII1">NA()</definedName>
    <definedName name="TOTIII1">NA()</definedName>
    <definedName name="TOTIVA">NA()</definedName>
    <definedName name="TOTIVB">NA()</definedName>
    <definedName name="TOTIVC">"$#REF!.$N$1180"</definedName>
    <definedName name="TOTIVD">NA()</definedName>
    <definedName name="TOTIVE">NA()</definedName>
    <definedName name="TOTIVF">NA()</definedName>
    <definedName name="TOTIVG">NA()</definedName>
    <definedName name="toto">#REF!</definedName>
    <definedName name="totTAlt5minplatTAlt6">#REF!</definedName>
    <definedName name="TOTVA">"$#REF!.$N$2152"</definedName>
    <definedName name="TOTVC">"$#REF!.$L$2213"</definedName>
    <definedName name="TOTVD">"$#REF!.$L$2237"</definedName>
    <definedName name="TOTVE">"$#REF!.$N$2354"</definedName>
    <definedName name="TOTVF">"$#REF!.$N$2367"</definedName>
    <definedName name="TOTVG">"$#REF!.$N$2378"</definedName>
    <definedName name="TOTVI">"$#REF!.$N$2383"</definedName>
    <definedName name="TOTVII">"$#REF!.$N$2395"</definedName>
    <definedName name="TOTVIII">"$#REF!.$N$2397"</definedName>
    <definedName name="TOW">#REF!</definedName>
    <definedName name="TOW_2">#REF!</definedName>
    <definedName name="towelbar">#REF!</definedName>
    <definedName name="towelring">#REF!</definedName>
    <definedName name="TowerbarTX5B">#REF!</definedName>
    <definedName name="TowerringTS115S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.1">#REF!</definedName>
    <definedName name="TP.30x30">#REF!</definedName>
    <definedName name="TP.40x40">#REF!</definedName>
    <definedName name="tp30.30">#REF!</definedName>
    <definedName name="tp40.40">#REF!</definedName>
    <definedName name="Tpan0">#REF!</definedName>
    <definedName name="Tpan1">#REF!</definedName>
    <definedName name="Tpk4k">#REF!</definedName>
    <definedName name="tplambing">#REF!</definedName>
    <definedName name="tpm">#REF!</definedName>
    <definedName name="tr">#REF!</definedName>
    <definedName name="TR.HOLLOW">#REF!</definedName>
    <definedName name="TR15HT">NA()</definedName>
    <definedName name="TR16HT">NA()</definedName>
    <definedName name="TR19HT">NA()</definedName>
    <definedName name="tr1x15">NA()</definedName>
    <definedName name="TR20HT">NA()</definedName>
    <definedName name="tr3x100">NA()</definedName>
    <definedName name="TRACKLOADER">#REF!</definedName>
    <definedName name="tractor2">#REF!</definedName>
    <definedName name="trafo">#REF!</definedName>
    <definedName name="trailer">#REF!</definedName>
    <definedName name="trailer_9">#REF!</definedName>
    <definedName name="Traill">#REF!</definedName>
    <definedName name="TRAILLER">#REF!</definedName>
    <definedName name="tralishollow40\nonjasa">#REF!</definedName>
    <definedName name="tram100">NA()</definedName>
    <definedName name="tram1x25">NA()</definedName>
    <definedName name="trampil">#REF!</definedName>
    <definedName name="Tran">#REF!</definedName>
    <definedName name="Trap1">#REF!</definedName>
    <definedName name="Trap2">#REF!</definedName>
    <definedName name="Trap3">#REF!</definedName>
    <definedName name="TRAY">#REF!</definedName>
    <definedName name="trd">#REF!</definedName>
    <definedName name="trekstank12mm">#REF!</definedName>
    <definedName name="trhh" hidden="1">{"'Sheet1'!$A$1"}</definedName>
    <definedName name="tri.9">#REF!</definedName>
    <definedName name="TRIP">#REF!</definedName>
    <definedName name="trip10">#REF!</definedName>
    <definedName name="Trip12">#REF!</definedName>
    <definedName name="trip12_4x8">#REF!</definedName>
    <definedName name="trip15_4x8">#REF!</definedName>
    <definedName name="trip3">#REF!</definedName>
    <definedName name="trip3_6">#REF!</definedName>
    <definedName name="trip4_3x7">#REF!</definedName>
    <definedName name="trip6">#REF!</definedName>
    <definedName name="trip6_3x7">#REF!</definedName>
    <definedName name="Trip9">#REF!</definedName>
    <definedName name="trip9_4x8">#REF!</definedName>
    <definedName name="triplek">#REF!</definedName>
    <definedName name="triplek3mm">#REF!</definedName>
    <definedName name="triplek6mm">#REF!</definedName>
    <definedName name="triplek9">#REF!</definedName>
    <definedName name="TRIPLEKS">#REF!</definedName>
    <definedName name="TRIX">"$#REF!.$I$141"</definedName>
    <definedName name="TRIX_13">"$#REF!.$I$141"</definedName>
    <definedName name="TrkAl">#REF!</definedName>
    <definedName name="TrkTb">#REF!</definedName>
    <definedName name="TrkTp">#REF!</definedName>
    <definedName name="TRL">#REF!</definedName>
    <definedName name="tro">#REF!</definedName>
    <definedName name="TrRol">#REF!</definedName>
    <definedName name="TrsK3">#REF!</definedName>
    <definedName name="TrsPl">#REF!</definedName>
    <definedName name="trtrtr">#REF!</definedName>
    <definedName name="tru10mtc">NA()</definedName>
    <definedName name="tru8mtc">NA()</definedName>
    <definedName name="truck">#REF!</definedName>
    <definedName name="TRUNKING">#REF!</definedName>
    <definedName name="Try">#REF!</definedName>
    <definedName name="tryr" hidden="1">{"'Sheet1'!$A$1"}</definedName>
    <definedName name="ts">#REF!</definedName>
    <definedName name="TS251F">#REF!</definedName>
    <definedName name="tsabun">#REF!</definedName>
    <definedName name="tscb">#REF!</definedName>
    <definedName name="tscs3w">#REF!</definedName>
    <definedName name="tscs6w">#REF!</definedName>
    <definedName name="tservice">#REF!</definedName>
    <definedName name="tshs15">#REF!</definedName>
    <definedName name="tshs6w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ss_kr">#REF!</definedName>
    <definedName name="tst">#REF!</definedName>
    <definedName name="Tsuara">#REF!</definedName>
    <definedName name="tsubur">#REF!</definedName>
    <definedName name="TT" hidden="1">{"'Sheet1'!$A$1"}</definedName>
    <definedName name="TT_1P">"$#REF!.$E$4:$AH$18"</definedName>
    <definedName name="TT_3p">"$#REF!.$E$4:$AG$15"</definedName>
    <definedName name="tt1pnc">NA()</definedName>
    <definedName name="tt1pvl">NA()</definedName>
    <definedName name="tt3pnc">NA()</definedName>
    <definedName name="tt3pvl">NA()</definedName>
    <definedName name="TTDD">"'file:///d:/project/energyhouse2/energyhouse2-mainkontraktor/energyhouse2-mainkontraktor-tender/energyhouse2-mainkontraktor-tender-boq/misc/congviec/tam.xls'#$tdtkp.$e$44"+"'file:///d:/project/energyhouse2/energyhouse2-mainkontraktor/energyhouse2-mainkontraktor-tender/energyhouse2-mainkontraktor-tender-boq/misc/congviec/tam.xls'#$tdtkp.$f$44"+"'file:///d:/project/energyhouse2/energyhouse2-mainkontraktor/energyhouse2-mainkontraktor-tender/energyhouse2-mainkontraktor-tender-boq/misc/congviec/tam.xls'#$tdtkp.$g$44"</definedName>
    <definedName name="TTDD3P">NA()</definedName>
    <definedName name="TTDDCT3p">NA()</definedName>
    <definedName name="ttk.lam">#REF!</definedName>
    <definedName name="TTK3p">"'file:///d:/project/energyhouse2/energyhouse2-mainkontraktor/energyhouse2-mainkontraktor-tender/energyhouse2-mainkontraktor-tender-boq/misc/congviec/tam.xls'#$'tongke3p '.$c$295"</definedName>
    <definedName name="ttronmk">"$#REF!.$E$211"</definedName>
    <definedName name="TTTT">#REF!</definedName>
    <definedName name="ttttey" hidden="1">{"'Sheet1'!$A$1"}</definedName>
    <definedName name="tttttttttttttttttttttttttttttt">#REF!</definedName>
    <definedName name="tu">#REF!</definedName>
    <definedName name="TU37D">#REF!</definedName>
    <definedName name="TUAL">#REF!</definedName>
    <definedName name="TUBA">#REF!</definedName>
    <definedName name="TUBAJ">#REF!</definedName>
    <definedName name="TUBE">#REF!</definedName>
    <definedName name="TUCA">#REF!</definedName>
    <definedName name="TUKA">#REF!</definedName>
    <definedName name="tukang">#REF!</definedName>
    <definedName name="Tukang.b">#REF!</definedName>
    <definedName name="Tukang.kayu">#REF!</definedName>
    <definedName name="TUKANG_BATU_SETENGAH_TERAMPIL">#REF!</definedName>
    <definedName name="TUKANG_BATU_SETENGAH_TERAMPIL_23">#REF!</definedName>
    <definedName name="TUKANG_BATU_SETENGAH_TERAMPIL_25">#REF!</definedName>
    <definedName name="TUKANG_BATU_TERAMPIL">#REF!</definedName>
    <definedName name="TUKANG_BATU_TERAMPIL_23">#REF!</definedName>
    <definedName name="TUKANG_BATU_TERAMPIL_25">#REF!</definedName>
    <definedName name="TUKANG_BESI_BETON_SETENGAH_TERAMPIL">#REF!</definedName>
    <definedName name="TUKANG_BESI_BETON_SETENGAH_TERAMPIL_23">#REF!</definedName>
    <definedName name="TUKANG_BESI_BETON_SETENGAH_TERAMPIL_25">#REF!</definedName>
    <definedName name="TUKANG_BESI_BETON_TERAMPIL">#REF!</definedName>
    <definedName name="TUKANG_BESI_BETON_TERAMPIL_23">#REF!</definedName>
    <definedName name="TUKANG_BESI_BETON_TERAMPIL_25">#REF!</definedName>
    <definedName name="TUKANG_BESI_PROFIL_SETENGAH_TERAMPIL">#REF!</definedName>
    <definedName name="TUKANG_BESI_PROFIL_SETENGAH_TERAMPIL_23">#REF!</definedName>
    <definedName name="TUKANG_BESI_PROFIL_SETENGAH_TERAMPIL_25">#REF!</definedName>
    <definedName name="TUKANG_BESI_PROFIL_TERAMPIL">#REF!</definedName>
    <definedName name="TUKANG_BESI_PROFIL_TERAMPIL_23">#REF!</definedName>
    <definedName name="TUKANG_BESI_PROFIL_TERAMPIL_25">#REF!</definedName>
    <definedName name="TUKANG_CAT___PELITUR_SETENGAH_TERAMPIL">#REF!</definedName>
    <definedName name="TUKANG_CAT___PELITUR_SETENGAH_TERAMPIL_23">#REF!</definedName>
    <definedName name="TUKANG_CAT___PELITUR_SETENGAH_TERAMPIL_25">#REF!</definedName>
    <definedName name="TUKANG_CAT___PELITUR_TERAMPIL">#REF!</definedName>
    <definedName name="TUKANG_CAT___PELITUR_TERAMPIL_23">#REF!</definedName>
    <definedName name="TUKANG_CAT___PELITUR_TERAMPIL_25">#REF!</definedName>
    <definedName name="TUKANG_GALI">#REF!</definedName>
    <definedName name="TUKANG_GALI_23">#REF!</definedName>
    <definedName name="TUKANG_GALI_25">#REF!</definedName>
    <definedName name="Tukang_kayu">#REF!</definedName>
    <definedName name="TUKANG_KAYU_SETENGAH_TERAMPIL">#REF!</definedName>
    <definedName name="TUKANG_KAYU_SETENGAH_TERAMPIL_23">#REF!</definedName>
    <definedName name="TUKANG_KAYU_SETENGAH_TERAMPIL_25">#REF!</definedName>
    <definedName name="TUKANG_KAYU_TERAMPIL">#REF!</definedName>
    <definedName name="TUKANG_KAYU_TERAMPIL_23">#REF!</definedName>
    <definedName name="TUKANG_KAYU_TERAMPIL_25">#REF!</definedName>
    <definedName name="Tukang_las">#REF!</definedName>
    <definedName name="TUKANG_MEUBELAIR">#REF!</definedName>
    <definedName name="TUKANG_MEUBELAIR_23">#REF!</definedName>
    <definedName name="TUKANG_MEUBELAIR_25">#REF!</definedName>
    <definedName name="TUKANG_TAMAN">#REF!</definedName>
    <definedName name="TUKANG_TAMAN_23">#REF!</definedName>
    <definedName name="TUKANG_TAMAN_25">#REF!</definedName>
    <definedName name="tukgal">#REF!</definedName>
    <definedName name="tukng">#REF!</definedName>
    <definedName name="tulang">#REF!</definedName>
    <definedName name="tulang24">#REF!</definedName>
    <definedName name="tulang39">#REF!</definedName>
    <definedName name="tulanganB1.1">#REF!</definedName>
    <definedName name="tulanganB1.2">#REF!</definedName>
    <definedName name="tulanganB1.3">#REF!</definedName>
    <definedName name="tulanganB1.4">#REF!</definedName>
    <definedName name="tulanganB1.5">#REF!</definedName>
    <definedName name="tulanganB10.1">#REF!</definedName>
    <definedName name="tulanganB10.2">#REF!</definedName>
    <definedName name="tulanganB10.3">#REF!</definedName>
    <definedName name="tulanganB10.4">#REF!</definedName>
    <definedName name="tulanganB10.5">#REF!</definedName>
    <definedName name="tulanganB2.1">#REF!</definedName>
    <definedName name="tulanganB2.2">#REF!</definedName>
    <definedName name="tulanganB2.3">#REF!</definedName>
    <definedName name="tulanganB2.4">#REF!</definedName>
    <definedName name="tulanganB2.5">#REF!</definedName>
    <definedName name="tulanganB3.1">#REF!</definedName>
    <definedName name="tulanganB3.2">#REF!</definedName>
    <definedName name="tulanganB3.3">#REF!</definedName>
    <definedName name="tulanganB3.4">#REF!</definedName>
    <definedName name="tulanganB3.5">#REF!</definedName>
    <definedName name="tulanganB4.1">#REF!</definedName>
    <definedName name="tulanganB4.2">#REF!</definedName>
    <definedName name="tulanganB4.3">#REF!</definedName>
    <definedName name="tulanganB4.4">#REF!</definedName>
    <definedName name="tulanganB4.5">#REF!</definedName>
    <definedName name="tulanganB5.1">#REF!</definedName>
    <definedName name="tulanganB5.2">#REF!</definedName>
    <definedName name="tulanganB5.3">#REF!</definedName>
    <definedName name="tulanganB5.4">#REF!</definedName>
    <definedName name="tulanganB5.5">#REF!</definedName>
    <definedName name="tulanganB6.1">#REF!</definedName>
    <definedName name="tulanganB6.2">#REF!</definedName>
    <definedName name="tulanganB6.3">#REF!</definedName>
    <definedName name="tulanganB6.4">#REF!</definedName>
    <definedName name="tulanganB6.5">#REF!</definedName>
    <definedName name="tulanganB6.6">#REF!</definedName>
    <definedName name="tulanganB6.7">#REF!</definedName>
    <definedName name="tulanganB7.1">#REF!</definedName>
    <definedName name="tulanganB7.2">#REF!</definedName>
    <definedName name="tulanganB7.3">#REF!</definedName>
    <definedName name="tulanganB7.4">#REF!</definedName>
    <definedName name="tulanganB7.5">#REF!</definedName>
    <definedName name="tulanganB7.6">#REF!</definedName>
    <definedName name="tulanganB7.7">#REF!</definedName>
    <definedName name="tulanganB8.1">#REF!</definedName>
    <definedName name="tulanganB8.2">#REF!</definedName>
    <definedName name="tulanganB8.3">#REF!</definedName>
    <definedName name="tulanganB8.4">#REF!</definedName>
    <definedName name="tulanganB8.5">#REF!</definedName>
    <definedName name="tulanganB9.1">#REF!</definedName>
    <definedName name="tulanganB9.2">#REF!</definedName>
    <definedName name="tulanganB9.3">#REF!</definedName>
    <definedName name="tulanganB9.4">#REF!</definedName>
    <definedName name="tulanganB9.5">#REF!</definedName>
    <definedName name="TULANGANBESIPOLOS">#REF!</definedName>
    <definedName name="TULANGANBESIULIR">#REF!</definedName>
    <definedName name="tulanganBR.1">#REF!</definedName>
    <definedName name="tulanganBTG.1">#REF!</definedName>
    <definedName name="tulanganBTG.1A">#REF!</definedName>
    <definedName name="tulanganBTG.2">#REF!</definedName>
    <definedName name="tulanganBTG.2A">#REF!</definedName>
    <definedName name="tulanganBTG.2B">#REF!</definedName>
    <definedName name="tulanganBTG.3">#REF!</definedName>
    <definedName name="tulanganK1.lt.1">#REF!</definedName>
    <definedName name="tulanganK1.lt.2">#REF!</definedName>
    <definedName name="tulanganK1.lt.3">#REF!</definedName>
    <definedName name="tulanganK1.lt.dsr">#REF!</definedName>
    <definedName name="tulanganK10.lt.1">#REF!</definedName>
    <definedName name="tulanganK10.lt.2">#REF!</definedName>
    <definedName name="tulanganK10.lt.3">#REF!</definedName>
    <definedName name="tulanganK10.lt.dsr">#REF!</definedName>
    <definedName name="tulanganK2.lt.1">#REF!</definedName>
    <definedName name="tulanganK2.lt.2">#REF!</definedName>
    <definedName name="tulanganK2.lt.3">#REF!</definedName>
    <definedName name="tulanganK2.lt.dsr">#REF!</definedName>
    <definedName name="tulanganK3.lt.1">#REF!</definedName>
    <definedName name="tulanganK3.lt.2">#REF!</definedName>
    <definedName name="tulanganK3.lt.3">#REF!</definedName>
    <definedName name="tulanganK3.lt.dsr">#REF!</definedName>
    <definedName name="tulanganK4.lt.1">#REF!</definedName>
    <definedName name="tulanganK4.lt.2">#REF!</definedName>
    <definedName name="tulanganK4.lt.3">#REF!</definedName>
    <definedName name="tulanganK4.lt.dsr">#REF!</definedName>
    <definedName name="tulanganK5.lt.1">#REF!</definedName>
    <definedName name="tulanganK5.lt.2">#REF!</definedName>
    <definedName name="tulanganK5.lt.3">#REF!</definedName>
    <definedName name="tulanganK5.lt.dsr">#REF!</definedName>
    <definedName name="tulanganK6.lt.1">#REF!</definedName>
    <definedName name="tulanganK6.lt.2">#REF!</definedName>
    <definedName name="tulanganK6.lt.3">#REF!</definedName>
    <definedName name="tulanganK6.lt.dsr">#REF!</definedName>
    <definedName name="tulanganK7.lt.1">#REF!</definedName>
    <definedName name="tulanganK7.lt.2">#REF!</definedName>
    <definedName name="tulanganK7.lt.3">#REF!</definedName>
    <definedName name="tulanganK7.lt.dsr">#REF!</definedName>
    <definedName name="tulanganK8.lt.1">#REF!</definedName>
    <definedName name="tulanganK8.lt.2">#REF!</definedName>
    <definedName name="tulanganK8.lt.3">#REF!</definedName>
    <definedName name="tulanganK8.lt.dsr">#REF!</definedName>
    <definedName name="tulanganK9.lt.1">#REF!</definedName>
    <definedName name="tulanganK9.lt.2">#REF!</definedName>
    <definedName name="tulanganK9.lt.3">#REF!</definedName>
    <definedName name="tulanganK9.lt.dsr">#REF!</definedName>
    <definedName name="tulanganKL">#REF!</definedName>
    <definedName name="tulanganKR1">#REF!</definedName>
    <definedName name="tulanganKTG1">#REF!</definedName>
    <definedName name="tulanganKTG1A">#REF!</definedName>
    <definedName name="tulanganKTG2">#REF!</definedName>
    <definedName name="tulanganTB.1">#REF!</definedName>
    <definedName name="tulanganTB.2">#REF!</definedName>
    <definedName name="tulanganTB.3">#REF!</definedName>
    <definedName name="tulanganTB.4">#REF!</definedName>
    <definedName name="tulanganTB.5">#REF!</definedName>
    <definedName name="tulanganTB.6">#REF!</definedName>
    <definedName name="turbo">#REF!</definedName>
    <definedName name="turbogls">#REF!</definedName>
    <definedName name="Turr05">#REF!</definedName>
    <definedName name="Turr10">#REF!</definedName>
    <definedName name="Turr20">#REF!</definedName>
    <definedName name="tusiter">#REF!</definedName>
    <definedName name="tusiter_6">#REF!</definedName>
    <definedName name="tutupatapgenteng">#REF!</definedName>
    <definedName name="tutupmhsiku">#REF!</definedName>
    <definedName name="tutupu30x30">#REF!</definedName>
    <definedName name="tutupu40x40">#REF!</definedName>
    <definedName name="tutupu60x60">#REF!</definedName>
    <definedName name="tutupu80x80">#REF!</definedName>
    <definedName name="tv">#REF!</definedName>
    <definedName name="TV.Nas">#REF!</definedName>
    <definedName name="TV.Phil">#REF!</definedName>
    <definedName name="tv75nc">"$#REF!.$H$113"</definedName>
    <definedName name="tv75vl">"$#REF!.$H$110"</definedName>
    <definedName name="tvoly">#REF!</definedName>
    <definedName name="Twd4k">#REF!</definedName>
    <definedName name="twlk">#N/A</definedName>
    <definedName name="tx1pignc">NA()</definedName>
    <definedName name="tx1pindnc">NA()</definedName>
    <definedName name="tx1pingnc">NA()</definedName>
    <definedName name="tx1pintnc">NA()</definedName>
    <definedName name="tx1pitnc">NA()</definedName>
    <definedName name="tx2mhnnc">NA()</definedName>
    <definedName name="tx2mitnc">NA()</definedName>
    <definedName name="txhnnc">NA()</definedName>
    <definedName name="txig1nc">NA()</definedName>
    <definedName name="txin190nc">NA()</definedName>
    <definedName name="txinnc">NA()</definedName>
    <definedName name="txit1nc">NA()</definedName>
    <definedName name="ty">#REF!</definedName>
    <definedName name="Tyler">#REF!</definedName>
    <definedName name="Type">#REF!</definedName>
    <definedName name="TYPICAL_FLOOR___7_LEVEL">#REF!</definedName>
    <definedName name="tytu" hidden="1">{"'Sheet1'!$A$1"}</definedName>
    <definedName name="tyyy" hidden="1">{"'Sheet1'!$A$1"}</definedName>
    <definedName name="u">#REF!</definedName>
    <definedName name="U.1">#REF!</definedName>
    <definedName name="U.2">#REF!</definedName>
    <definedName name="U.2a">#REF!</definedName>
    <definedName name="U.Angkutbesi">#REF!</definedName>
    <definedName name="U.Batu">#REF!</definedName>
    <definedName name="U.Bekisting">#REF!</definedName>
    <definedName name="u.besi">#REF!</definedName>
    <definedName name="U.BongkarBkst">#REF!</definedName>
    <definedName name="U.Conduit">#REF!</definedName>
    <definedName name="u.cor">#REF!</definedName>
    <definedName name="U.Cor1">#REF!</definedName>
    <definedName name="U.Cor2">#REF!</definedName>
    <definedName name="U.Curing">#REF!</definedName>
    <definedName name="U.Gelarbase">#REF!</definedName>
    <definedName name="U.Gelarps">#REF!</definedName>
    <definedName name="U.pabrikasibesi">#REF!</definedName>
    <definedName name="U.Siapcor">#REF!</definedName>
    <definedName name="U.Stelbesi">#REF!</definedName>
    <definedName name="U_1">#REF!</definedName>
    <definedName name="u_57M">#REF!</definedName>
    <definedName name="u_cip">#REF!</definedName>
    <definedName name="u_mrtr">#REF!</definedName>
    <definedName name="u_pvc">#REF!</definedName>
    <definedName name="u_scred">#REF!</definedName>
    <definedName name="u30x30">#REF!</definedName>
    <definedName name="u40x40">#REF!</definedName>
    <definedName name="u60x60">#REF!</definedName>
    <definedName name="u80x80">#REF!</definedName>
    <definedName name="ub">#REF!</definedName>
    <definedName name="ubak">#REF!</definedName>
    <definedName name="ubatu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esi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bl">#REF!</definedName>
    <definedName name="UBLKT">#REF!</definedName>
    <definedName name="UBLKT_9">#REF!</definedName>
    <definedName name="UBLT">#REF!</definedName>
    <definedName name="UBLT_9">#REF!</definedName>
    <definedName name="UBLTT">#REF!</definedName>
    <definedName name="UBLTT_9">#REF!</definedName>
    <definedName name="ubol150">#REF!</definedName>
    <definedName name="ubol200">#REF!</definedName>
    <definedName name="ubol250">#REF!</definedName>
    <definedName name="ubol300">#REF!</definedName>
    <definedName name="ubowplank">#REF!</definedName>
    <definedName name="ubrav">#REF!</definedName>
    <definedName name="ubs">#REF!</definedName>
    <definedName name="ubttemp">#REF!</definedName>
    <definedName name="ucat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ian">#REF!</definedName>
    <definedName name="ucor">#REF!</definedName>
    <definedName name="udo" hidden="1">{#N/A,#N/A,FALSE,"REK";#N/A,#N/A,FALSE,"rab"}</definedName>
    <definedName name="ugal">#REF!</definedName>
    <definedName name="uhf">#REF!</definedName>
    <definedName name="UINSTKTAG">#N/A</definedName>
    <definedName name="UINSTPEN">#N/A</definedName>
    <definedName name="UINSTSK">#N/A</definedName>
    <definedName name="UjBet">#REF!</definedName>
    <definedName name="UjBhn">#REF!</definedName>
    <definedName name="UjJln">#REF!</definedName>
    <definedName name="UjLst">#REF!</definedName>
    <definedName name="UK">#REF!</definedName>
    <definedName name="UK_9">#REF!</definedName>
    <definedName name="ukayu">#REF!</definedName>
    <definedName name="ukembali">#REF!</definedName>
    <definedName name="ukepala">#REF!</definedName>
    <definedName name="uker20">#REF!</definedName>
    <definedName name="uker30">#REF!</definedName>
    <definedName name="ukir">#REF!</definedName>
    <definedName name="UKK">#REF!</definedName>
    <definedName name="ukol15">#REF!</definedName>
    <definedName name="UKT">#REF!</definedName>
    <definedName name="UKT_9">#REF!</definedName>
    <definedName name="ukur">#REF!</definedName>
    <definedName name="ukuran">#REF!</definedName>
    <definedName name="UkurP">#REF!</definedName>
    <definedName name="ulaker">#REF!</definedName>
    <definedName name="ulwp60">#REF!</definedName>
    <definedName name="umadat">#REF!</definedName>
    <definedName name="UMAN">#REF!</definedName>
    <definedName name="umandor">#REF!</definedName>
    <definedName name="UMK">#REF!</definedName>
    <definedName name="UMK_9">#REF!</definedName>
    <definedName name="UML">#REF!</definedName>
    <definedName name="UML_9">#REF!</definedName>
    <definedName name="UMP">#REF!</definedName>
    <definedName name="UMP_9">#REF!</definedName>
    <definedName name="umum">umum</definedName>
    <definedName name="UMUM01">#REF!</definedName>
    <definedName name="UMUM02">#REF!</definedName>
    <definedName name="UMUM03">#REF!</definedName>
    <definedName name="UMUM04">#REF!</definedName>
    <definedName name="UMUM05">#REF!</definedName>
    <definedName name="UMUM95">#REF!</definedName>
    <definedName name="undercoat">#REF!</definedName>
    <definedName name="UNIT">NA()</definedName>
    <definedName name="UNME">#REF!</definedName>
    <definedName name="unp">#REF!</definedName>
    <definedName name="Untitled">"$#REF!.$A$5:$C$1517"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KT">#REF!</definedName>
    <definedName name="UOKT_9">#REF!</definedName>
    <definedName name="UOT">#REF!</definedName>
    <definedName name="UOT_9">#REF!</definedName>
    <definedName name="up">#REF!</definedName>
    <definedName name="up20d">#N/A</definedName>
    <definedName name="UPAH">#REF!</definedName>
    <definedName name="UPAH?">#REF!</definedName>
    <definedName name="UPAH?_9">#REF!</definedName>
    <definedName name="UPAH_BAHAN_CK">#REF!</definedName>
    <definedName name="Upah_List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175">#REF!</definedName>
    <definedName name="upah225">#REF!</definedName>
    <definedName name="upahbesi">#REF!</definedName>
    <definedName name="upahborfile">#REF!</definedName>
    <definedName name="upahcerocok">#REF!</definedName>
    <definedName name="upahfabrikasibegi">#REF!</definedName>
    <definedName name="UPAHMELETAKKAN100KG">#REF!</definedName>
    <definedName name="upahpapan">#REF!</definedName>
    <definedName name="upahpasangkusen">#REF!</definedName>
    <definedName name="upahstoot">#REF!</definedName>
    <definedName name="upahwf">#REF!</definedName>
    <definedName name="upasbk5">#REF!</definedName>
    <definedName name="upasbm3">#REF!</definedName>
    <definedName name="upasbm5">#REF!</definedName>
    <definedName name="upasbt">#REF!</definedName>
    <definedName name="upasbtkl">#REF!</definedName>
    <definedName name="upasir">#REF!</definedName>
    <definedName name="upasirPC">#REF!</definedName>
    <definedName name="upasirsloof">#REF!</definedName>
    <definedName name="upekerja">#REF!</definedName>
    <definedName name="Uph">#REF!</definedName>
    <definedName name="uphbatcopondsi">#REF!</definedName>
    <definedName name="uphbesi">#REF!</definedName>
    <definedName name="uphlantkrj">#REF!</definedName>
    <definedName name="UPL">#REF!</definedName>
    <definedName name="uplest3">#REF!</definedName>
    <definedName name="uplest5">#REF!</definedName>
    <definedName name="uplesteran">#REF!</definedName>
    <definedName name="UPO">#REF!</definedName>
    <definedName name="UPO_9">#REF!</definedName>
    <definedName name="upto">#REF!</definedName>
    <definedName name="upurug">#REF!</definedName>
    <definedName name="upvc">#REF!</definedName>
    <definedName name="upvol">#REF!</definedName>
    <definedName name="UR">#REF!</definedName>
    <definedName name="urabat">#REF!</definedName>
    <definedName name="URAI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2E">#REF!</definedName>
    <definedName name="URAIAN22L">#REF!</definedName>
    <definedName name="URAIAN231">#REF!</definedName>
    <definedName name="URAIAN232">#REF!</definedName>
    <definedName name="URAIAN233">#REF!</definedName>
    <definedName name="Uraian234">#REF!</definedName>
    <definedName name="URAIAN234L">#REF!</definedName>
    <definedName name="Uraian235">#REF!</definedName>
    <definedName name="Uraian236">#REF!</definedName>
    <definedName name="URAIAN241">#REF!</definedName>
    <definedName name="URAIAN242">#REF!</definedName>
    <definedName name="URAIAN243">#REF!</definedName>
    <definedName name="Uraian311">#REF!</definedName>
    <definedName name="Uraian312">#REF!</definedName>
    <definedName name="Uraian313">#REF!</definedName>
    <definedName name="Uraian314">#REF!</definedName>
    <definedName name="Uraian315">#REF!</definedName>
    <definedName name="URAIAN316">#REF!</definedName>
    <definedName name="Uraian319">#REF!</definedName>
    <definedName name="URAIAN321">#REF!</definedName>
    <definedName name="Uraian322">#REF!</definedName>
    <definedName name="Uraian323">#REF!</definedName>
    <definedName name="URAIAN323L">#REF!</definedName>
    <definedName name="Uraian324">#REF!</definedName>
    <definedName name="URAIAN33">#REF!</definedName>
    <definedName name="Uraian331">#REF!</definedName>
    <definedName name="Uraian346">#REF!</definedName>
    <definedName name="URAIAN421">#REF!</definedName>
    <definedName name="URAIAN422">#REF!</definedName>
    <definedName name="URAIAN423">#REF!</definedName>
    <definedName name="URAIAN424">#REF!</definedName>
    <definedName name="URAIAN425">#REF!</definedName>
    <definedName name="URAIAN426">#REF!</definedName>
    <definedName name="URAIAN427">#REF!</definedName>
    <definedName name="URAIAN511">#REF!</definedName>
    <definedName name="URAIAN512">#REF!</definedName>
    <definedName name="URAIAN521">#REF!</definedName>
    <definedName name="URAIAN522">#REF!</definedName>
    <definedName name="URAIAN541">#REF!</definedName>
    <definedName name="URAIAN542">#REF!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#REF!</definedName>
    <definedName name="URAIAN79">#REF!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eserv">#REF!</definedName>
    <definedName name="urgkmb">#REF!</definedName>
    <definedName name="urgpsr10">#REF!</definedName>
    <definedName name="urgpsr5">#REF!</definedName>
    <definedName name="urin">#REF!</definedName>
    <definedName name="urinalu370">#REF!</definedName>
    <definedName name="URINALU370M">#REF!</definedName>
    <definedName name="urinar">#REF!</definedName>
    <definedName name="Urinoir">#REF!</definedName>
    <definedName name="urkemb">#REF!</definedName>
    <definedName name="UrnSk">#REF!</definedName>
    <definedName name="UrnTP">#REF!</definedName>
    <definedName name="urpadat">#REF!</definedName>
    <definedName name="urpas">#REF!</definedName>
    <definedName name="urpasir">#REF!</definedName>
    <definedName name="urpasir10">#REF!</definedName>
    <definedName name="urpasir5">#REF!</definedName>
    <definedName name="urr">#REF!</definedName>
    <definedName name="urug">#REF!</definedName>
    <definedName name="urugan">#REF!</definedName>
    <definedName name="uruganpasir">#REF!</definedName>
    <definedName name="URUGANSIRTU">#REF!</definedName>
    <definedName name="urugantanah">#REF!</definedName>
    <definedName name="URUGANTANAHBEKASGALIAN">#REF!</definedName>
    <definedName name="URUGANTNH">#REF!</definedName>
    <definedName name="urugpasir">"$#REF!.$I$33"</definedName>
    <definedName name="urugpdt">#REF!</definedName>
    <definedName name="urugpsr">#REF!</definedName>
    <definedName name="urugtanah">"'file://SERVER3/har-data/STRUCTURE PRICE OF BQ KOMPAS GRAMEDIA.xls'#$analisa.$#REF!$#REF!"</definedName>
    <definedName name="us">#REF!</definedName>
    <definedName name="usa">#REF!</definedName>
    <definedName name="usd">#REF!</definedName>
    <definedName name="USD_RP_RATE">#REF!</definedName>
    <definedName name="USDA">#REF!</definedName>
    <definedName name="useptick">#REF!</definedName>
    <definedName name="usirtu">#REF!</definedName>
    <definedName name="USP">#REF!</definedName>
    <definedName name="USP_9">#REF!</definedName>
    <definedName name="UST">#REF!</definedName>
    <definedName name="UST_9">#REF!</definedName>
    <definedName name="ustamp">#REF!</definedName>
    <definedName name="USUKKRUINGRENGBANGKIRAI">#REF!</definedName>
    <definedName name="ut">#REF!</definedName>
    <definedName name="UTAIAN7614c">#REF!</definedName>
    <definedName name="utanah">#REF!</definedName>
    <definedName name="UTK">#REF!</definedName>
    <definedName name="UTK_9">#REF!</definedName>
    <definedName name="utl">#REF!</definedName>
    <definedName name="uts">#REF!</definedName>
    <definedName name="utul24">#REF!</definedName>
    <definedName name="utul39">#REF!</definedName>
    <definedName name="UU" hidden="1">{"'Sheet1'!$A$1"}</definedName>
    <definedName name="uurugkbl">#REF!</definedName>
    <definedName name="uurugsrt">#REF!</definedName>
    <definedName name="uv">#REF!</definedName>
    <definedName name="uwater">#REF!</definedName>
    <definedName name="uws">#REF!</definedName>
    <definedName name="V">NA()</definedName>
    <definedName name="V_2">#REF!</definedName>
    <definedName name="V_2_23">#REF!</definedName>
    <definedName name="V_2_25">#REF!</definedName>
    <definedName name="V_23">#REF!</definedName>
    <definedName name="V_25">#REF!</definedName>
    <definedName name="V_A">#REF!</definedName>
    <definedName name="V_B">#REF!</definedName>
    <definedName name="V_C">#REF!</definedName>
    <definedName name="V_D">#REF!</definedName>
    <definedName name="Va">#REF!</definedName>
    <definedName name="VAC">#REF!</definedName>
    <definedName name="vadg">STOP:STOPE</definedName>
    <definedName name="vadg_10">#REF!:#REF!</definedName>
    <definedName name="vadg_11">#REF!:#REF!</definedName>
    <definedName name="vadg_12">#REF!:#REF!</definedName>
    <definedName name="vadg_14">#REF!:#REF!</definedName>
    <definedName name="vadg_15">#REF!:#REF!</definedName>
    <definedName name="vadg_16">#REF!:#REF!</definedName>
    <definedName name="vadg_17">#REF!:#REF!</definedName>
    <definedName name="vadg_18">#REF!:#REF!</definedName>
    <definedName name="vadg_19">#REF!:#REF!</definedName>
    <definedName name="vadg_20">#REF!:#REF!</definedName>
    <definedName name="vadg_22">#REF!:#REF!</definedName>
    <definedName name="vadg_23">#REF!:#REF!</definedName>
    <definedName name="vadg_24">#REF!:#REF!</definedName>
    <definedName name="vadg_25">#REF!:#REF!</definedName>
    <definedName name="vadg_5">#REF!:#REF!</definedName>
    <definedName name="vadg_6">#REF!:#REF!</definedName>
    <definedName name="vadg_7">#REF!:#REF!</definedName>
    <definedName name="vadg_8">#REF!:#REF!</definedName>
    <definedName name="val">#REF!</definedName>
    <definedName name="val_23">#REF!</definedName>
    <definedName name="val_25">#REF!</definedName>
    <definedName name="VALUE">NA()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alues_Entered_13">IF(#NAME?*#NAME?*#NAME?*#NAME?&gt;0,1,0)</definedName>
    <definedName name="VALVE">#REF!</definedName>
    <definedName name="vc">#REF!</definedName>
    <definedName name="vc_2">#REF!</definedName>
    <definedName name="vc_3">#REF!</definedName>
    <definedName name="vc_4">#REF!</definedName>
    <definedName name="vc_5">#REF!</definedName>
    <definedName name="vc_c">#REF!</definedName>
    <definedName name="vcd">#REF!</definedName>
    <definedName name="VCDD3p">NA()</definedName>
    <definedName name="VCHT">"$#REF!.$H$127"</definedName>
    <definedName name="VCTT">"$#REF!.$H$30"</definedName>
    <definedName name="VCVBT1">"'file:///d:/project/energyhouse2/energyhouse2-mainkontraktor/energyhouse2-mainkontraktor-tender/energyhouse2-mainkontraktor-tender-boq/misc/congviec/tam.xls'#$'vcv-be-tong'.$g$11"</definedName>
    <definedName name="VCVBT2">"'file:///d:/project/energyhouse2/energyhouse2-mainkontraktor/energyhouse2-mainkontraktor-tender/energyhouse2-mainkontraktor-tender-boq/misc/congviec/tam.xls'#$'vcv-be-tong'.$g$17"</definedName>
    <definedName name="vd">#REF!</definedName>
    <definedName name="vd3p">"$#REF!.$X$10"</definedName>
    <definedName name="VDrain">#REF!</definedName>
    <definedName name="vegetation">#REF!</definedName>
    <definedName name="VEHICLES">#REF!</definedName>
    <definedName name="Ventilating_Fan_23">#REF!</definedName>
    <definedName name="Ventilating_Fan_25">#REF!</definedName>
    <definedName name="ver">#REF!</definedName>
    <definedName name="vgfhh" hidden="1">{"'Sheet1'!$A$1"}</definedName>
    <definedName name="vhf">#REF!</definedName>
    <definedName name="VI">#REF!</definedName>
    <definedName name="VibPl">#REF!</definedName>
    <definedName name="Vibr00">#REF!</definedName>
    <definedName name="Vibrator">#REF!</definedName>
    <definedName name="Vibro">#REF!</definedName>
    <definedName name="VIBROROLLER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niltajima">#REF!</definedName>
    <definedName name="vinyl">#REF!</definedName>
    <definedName name="vinylacrylic">#REF!</definedName>
    <definedName name="Vitri">#REF!</definedName>
    <definedName name="Vitri1">#REF!</definedName>
    <definedName name="Vitri2">#REF!</definedName>
    <definedName name="vl">#REF!</definedName>
    <definedName name="vl1p">"$#REF!.$H$25"</definedName>
    <definedName name="vl3p">"$#REF!.$#REF!$#REF!"</definedName>
    <definedName name="vlam">#REF!</definedName>
    <definedName name="vldd">NA()</definedName>
    <definedName name="vldn400">"$#REF!.$F$41"</definedName>
    <definedName name="vldn600">"$#REF!.$F$27"</definedName>
    <definedName name="VLF">#REF!</definedName>
    <definedName name="VLHC">"'file:///d:/project/energyhouse2/energyhouse2-mainkontraktor/energyhouse2-mainkontraktor-tender/energyhouse2-mainkontraktor-tender-boq/misc/congviec/tam.xls'#$tnhchinh.$i$38"</definedName>
    <definedName name="vltr">NA()</definedName>
    <definedName name="vltram">"$#REF!.$F$11"</definedName>
    <definedName name="VLV">#REF!</definedName>
    <definedName name="Vm">#REF!</definedName>
    <definedName name="vnt40___0">"$#REF!.$W$161"</definedName>
    <definedName name="vnt50___0">"$#REF!.$#REF!$#REF!"</definedName>
    <definedName name="vnt80___0">"$#REF!.$#REF!$#REF!"</definedName>
    <definedName name="vntf100">#REF!</definedName>
    <definedName name="vntf80">#REF!</definedName>
    <definedName name="vol">#REF!</definedName>
    <definedName name="vol.K1.lt.dasar">#REF!</definedName>
    <definedName name="vol.K10.lt.dasar">#REF!</definedName>
    <definedName name="vol.K2.lt.dasar">#REF!</definedName>
    <definedName name="vol.K3.lt.dasar">#REF!</definedName>
    <definedName name="vol.K4.lt.dasar">#REF!</definedName>
    <definedName name="vol.K5.lt.dasar">#REF!</definedName>
    <definedName name="vol.K6.lt.dasar">#REF!</definedName>
    <definedName name="vol.K7.lt.dasar">#REF!</definedName>
    <definedName name="vol.K8.lt.dasar">#REF!</definedName>
    <definedName name="vol.K9.lt.dasar">#REF!</definedName>
    <definedName name="vol.KP.lt.dsr">#REF!</definedName>
    <definedName name="vol.KR1">#REF!</definedName>
    <definedName name="vol.KTG.1">#REF!</definedName>
    <definedName name="vol.KTG.1A">#REF!</definedName>
    <definedName name="vol.KTG.2">#REF!</definedName>
    <definedName name="vol.mejabeton.lt.1">#REF!</definedName>
    <definedName name="vol.mejabeton.lt.3">#REF!</definedName>
    <definedName name="vol.S1.lt.1">#REF!</definedName>
    <definedName name="vol.S1.lt.2">#REF!</definedName>
    <definedName name="vol.S1.lt.3">#REF!</definedName>
    <definedName name="vol.S1.lt.atap">#REF!</definedName>
    <definedName name="vol.S2.3">#REF!</definedName>
    <definedName name="vol.S2.lt.1">#REF!</definedName>
    <definedName name="vol.S2.lt.2">#REF!</definedName>
    <definedName name="vol.S2.lt.atap">#REF!</definedName>
    <definedName name="vol.S3.3">#REF!</definedName>
    <definedName name="vol.S3.lt.1">#REF!</definedName>
    <definedName name="vol.S3.lt.2">#REF!</definedName>
    <definedName name="vol.S3.lt.atap">#REF!</definedName>
    <definedName name="vol.S3.lt.dsr">#REF!</definedName>
    <definedName name="vol.S4.3">#REF!</definedName>
    <definedName name="vol.S4.lt.1">#REF!</definedName>
    <definedName name="vol.S4.lt.2">#REF!</definedName>
    <definedName name="vol.S4.lt.atap">#REF!</definedName>
    <definedName name="vol.S4.lt.dsr">#REF!</definedName>
    <definedName name="vol.S5.lt.1">#REF!</definedName>
    <definedName name="vol.S5.lt.2">#REF!</definedName>
    <definedName name="vol.S5.lt.3">#REF!</definedName>
    <definedName name="vol.S5.lt.atap">#REF!</definedName>
    <definedName name="vol.S5.lt.dsr">#REF!</definedName>
    <definedName name="vol.S5.lt2">#REF!</definedName>
    <definedName name="vol.S5.lt3">#REF!</definedName>
    <definedName name="vol.S6.lt.1">#REF!</definedName>
    <definedName name="vol.S6.lt.2">#REF!</definedName>
    <definedName name="vol.S6.lt.3">#REF!</definedName>
    <definedName name="vol.S6.lt.atap">#REF!</definedName>
    <definedName name="vol.S6.lt.dsr">#REF!</definedName>
    <definedName name="vol.S6.lt2">#REF!</definedName>
    <definedName name="vol.S7.lt.1">#REF!</definedName>
    <definedName name="vol.S7.lt.2">#REF!</definedName>
    <definedName name="vol.S7.lt.3">#REF!</definedName>
    <definedName name="vol.S7.lt.atap">#REF!</definedName>
    <definedName name="vol.S7.lt.dsr">#REF!</definedName>
    <definedName name="vol.tangga1">#REF!</definedName>
    <definedName name="vol.tangga2">#REF!</definedName>
    <definedName name="vol.tangga3">#REF!</definedName>
    <definedName name="volbahanahs">#REF!</definedName>
    <definedName name="volbhn">#REF!</definedName>
    <definedName name="volbhnid">#REF!</definedName>
    <definedName name="VOLBPKP">"$#REF!.$AE$3:$AE$655"</definedName>
    <definedName name="volcbm">#REF!</definedName>
    <definedName name="VolExt">#REF!</definedName>
    <definedName name="VOLGENJING">"$#REF!.$AJ$3:$AJ$592"</definedName>
    <definedName name="VOLGIRI">"$#REF!.$U$3:$U$354"</definedName>
    <definedName name="VOLHALIMUN">"$#REF!.$AY$3:$AY$349"</definedName>
    <definedName name="VOLIKIP">"$#REF!.$Z$3:$Z$592"</definedName>
    <definedName name="volkora">#REF!</definedName>
    <definedName name="VOLMANGGARAI">"$#REF!.$AO$3:$AO$347"</definedName>
    <definedName name="VOLPERTAMINA">"$#REF!.$K$3:$K$693"</definedName>
    <definedName name="VOLPULO">"$#REF!.$E$3:$E$705"</definedName>
    <definedName name="volqs">#REF!</definedName>
    <definedName name="VOLRUMPUT">"$#REF!.$AT$3:$AT$688"</definedName>
    <definedName name="volS6.lt.2">#REF!</definedName>
    <definedName name="VOLTARAKANITA">"$#REF!.$P$3:$P$701"</definedName>
    <definedName name="Volume">#REF!</definedName>
    <definedName name="volume.K6.lt.2">#REF!</definedName>
    <definedName name="volumeB1.1.lt.2">#REF!</definedName>
    <definedName name="volumeB1.1.lt.3">#REF!</definedName>
    <definedName name="volumeB1.1.lt.atap">#REF!</definedName>
    <definedName name="volumeB1.1lt.1">#REF!</definedName>
    <definedName name="volumeB1.2.lt.1">#REF!</definedName>
    <definedName name="volumeB1.2.lt.2">#REF!</definedName>
    <definedName name="volumeB1.2.lt.3">#REF!</definedName>
    <definedName name="volumeB1.2.lt.atap">#REF!</definedName>
    <definedName name="volumeB1.3.lt.1">#REF!</definedName>
    <definedName name="volumeB1.3.lt.2">#REF!</definedName>
    <definedName name="volumeB1.3.lt.3">#REF!</definedName>
    <definedName name="volumeB1.3.lt.atap">#REF!</definedName>
    <definedName name="volumeB1.4.lt.1">#REF!</definedName>
    <definedName name="volumeB1.4.lt.2">#REF!</definedName>
    <definedName name="volumeB1.4.lt.3">#REF!</definedName>
    <definedName name="volumeB1.4.lt.atap">#REF!</definedName>
    <definedName name="volumeB1.5.lt.1">#REF!</definedName>
    <definedName name="volumeB1.5.lt.2">#REF!</definedName>
    <definedName name="volumeB1.5.lt.3">#REF!</definedName>
    <definedName name="volumeB1.5.lt.atap">#REF!</definedName>
    <definedName name="volumeB10.1.lt.2">#REF!</definedName>
    <definedName name="volumeB10.1.lt.3">#REF!</definedName>
    <definedName name="volumeB10.1.lt.atap">#REF!</definedName>
    <definedName name="volumeB10.2.lt.1">#REF!</definedName>
    <definedName name="volumeB10.2.lt.2">#REF!</definedName>
    <definedName name="volumeB10.2.lt.3">#REF!</definedName>
    <definedName name="volumeB10.2.lt.atap">#REF!</definedName>
    <definedName name="volumeB10.3.lt.1">#REF!</definedName>
    <definedName name="volumeB10.3.lt.2">#REF!</definedName>
    <definedName name="volumeB10.3.lt.3">#REF!</definedName>
    <definedName name="volumeB10.3.lt.atap">#REF!</definedName>
    <definedName name="volumeB10.4.lt.1">#REF!</definedName>
    <definedName name="volumeB10.4.lt.2">#REF!</definedName>
    <definedName name="volumeB10.4.lt.3">#REF!</definedName>
    <definedName name="volumeB10.4.lt.atap">#REF!</definedName>
    <definedName name="volumeB10.5.klt.1">#REF!</definedName>
    <definedName name="volumeB10.5.lt.2">#REF!</definedName>
    <definedName name="volumeB10.5.lt.3">#REF!</definedName>
    <definedName name="volumeB10.5.lt.atap">#REF!</definedName>
    <definedName name="volumeB10.lt.1">#REF!</definedName>
    <definedName name="volumeB2.1.lt.1">#REF!</definedName>
    <definedName name="volumeB2.1.lt.2">#REF!</definedName>
    <definedName name="volumeB2.1.lt.3">#REF!</definedName>
    <definedName name="volumeB2.1.lt.atap">#REF!</definedName>
    <definedName name="volumeB2.2.lt.1">#REF!</definedName>
    <definedName name="volumeB2.2.lt.2">#REF!</definedName>
    <definedName name="volumeB2.2.lt.3">#REF!</definedName>
    <definedName name="volumeB2.2.lt.atap">#REF!</definedName>
    <definedName name="volumeB2.3.lt.1">#REF!</definedName>
    <definedName name="volumeB2.3.lt.2">#REF!</definedName>
    <definedName name="volumeB2.3.lt.3">#REF!</definedName>
    <definedName name="volumeB2.3.lt.atap">#REF!</definedName>
    <definedName name="volumeB2.4.lt.1">#REF!</definedName>
    <definedName name="volumeB2.4.lt.2">#REF!</definedName>
    <definedName name="volumeB2.4.lt.3">#REF!</definedName>
    <definedName name="volumeB2.4.lt.atap">#REF!</definedName>
    <definedName name="volumeB2.5.lt.1">#REF!</definedName>
    <definedName name="volumeB2.5.lt.2">#REF!</definedName>
    <definedName name="volumeB2.5.lt.3">#REF!</definedName>
    <definedName name="volumeB2.5.lt.atap">#REF!</definedName>
    <definedName name="volumeB3.1.lt.1">#REF!</definedName>
    <definedName name="volumeB3.1.lt.2">#REF!</definedName>
    <definedName name="volumeB3.1.lt.3">#REF!</definedName>
    <definedName name="volumeB3.1.lt.atap">#REF!</definedName>
    <definedName name="volumeB3.2.lt.1">#REF!</definedName>
    <definedName name="volumeB3.2.lt.2">#REF!</definedName>
    <definedName name="volumeB3.2.lt.3">#REF!</definedName>
    <definedName name="volumeB3.2.lt.atap">#REF!</definedName>
    <definedName name="volumeB3.3.lt.1">#REF!</definedName>
    <definedName name="volumeB3.3.lt.2">#REF!</definedName>
    <definedName name="volumeB3.3.lt.3">#REF!</definedName>
    <definedName name="volumeB3.3.lt.atap">#REF!</definedName>
    <definedName name="volumeB3.4.lt.1">#REF!</definedName>
    <definedName name="volumeB3.4.lt.2">#REF!</definedName>
    <definedName name="volumeB3.4.lt.3">#REF!</definedName>
    <definedName name="volumeB3.4.lt.atap">#REF!</definedName>
    <definedName name="volumeB3.5.lt.1">#REF!</definedName>
    <definedName name="volumeB3.5.lt.2">#REF!</definedName>
    <definedName name="volumeB3.5.lt.3">#REF!</definedName>
    <definedName name="volumeB3.5.lt.atap">#REF!</definedName>
    <definedName name="volumeB4.1.lt.1">#REF!</definedName>
    <definedName name="volumeB4.1.lt.2">#REF!</definedName>
    <definedName name="volumeB4.1.lt.3">#REF!</definedName>
    <definedName name="volumeB4.1.lt.atap">#REF!</definedName>
    <definedName name="volumeB4.2.lt.1">#REF!</definedName>
    <definedName name="volumeB4.2.lt.2">#REF!</definedName>
    <definedName name="volumeB4.2.lt.3">#REF!</definedName>
    <definedName name="volumeB4.2.lt.atap">#REF!</definedName>
    <definedName name="volumeB4.3.lt.1">#REF!</definedName>
    <definedName name="volumeB4.3.lt.2">#REF!</definedName>
    <definedName name="volumeB4.3.lt.3">#REF!</definedName>
    <definedName name="volumeB4.3.lt.atap">#REF!</definedName>
    <definedName name="volumeB4.4.lt.1">#REF!</definedName>
    <definedName name="volumeB4.4.lt.2">#REF!</definedName>
    <definedName name="volumeB4.4.lt.3">#REF!</definedName>
    <definedName name="volumeB4.4.lt.atap">#REF!</definedName>
    <definedName name="volumeB4.5.lt.1">#REF!</definedName>
    <definedName name="volumeB4.5.lt.2">#REF!</definedName>
    <definedName name="volumeB4.5.lt.3">#REF!</definedName>
    <definedName name="volumeB4.5.lt.atap">#REF!</definedName>
    <definedName name="volumeB5.1.lt.1">#REF!</definedName>
    <definedName name="volumeB5.1.lt.2">#REF!</definedName>
    <definedName name="volumeB5.1.lt.3">#REF!</definedName>
    <definedName name="volumeB5.1.lt.atap">#REF!</definedName>
    <definedName name="volumeB5.2.lt.1">#REF!</definedName>
    <definedName name="volumeB5.2.lt.2">#REF!</definedName>
    <definedName name="volumeB5.2.lt.3">#REF!</definedName>
    <definedName name="volumeB5.2.lt.atap">#REF!</definedName>
    <definedName name="volumeB5.3.lt.1">#REF!</definedName>
    <definedName name="volumeB5.3.lt.2">#REF!</definedName>
    <definedName name="volumeB5.3.lt.3">#REF!</definedName>
    <definedName name="volumeB5.3.lt.atap">#REF!</definedName>
    <definedName name="volumeB5.4.lt.1">#REF!</definedName>
    <definedName name="volumeB5.4.lt.2">#REF!</definedName>
    <definedName name="volumeB5.4.lt.3">#REF!</definedName>
    <definedName name="volumeB5.4.lt.atap">#REF!</definedName>
    <definedName name="volumeB5.5.lt.1">#REF!</definedName>
    <definedName name="volumeB5.5.lt.2">#REF!</definedName>
    <definedName name="volumeB5.5.lt.3">#REF!</definedName>
    <definedName name="volumeB5.5.lt.atap">#REF!</definedName>
    <definedName name="volumeB6.1.lt.1">#REF!</definedName>
    <definedName name="volumeB6.1.lt.2">#REF!</definedName>
    <definedName name="volumeB6.1.lt.3">#REF!</definedName>
    <definedName name="volumeB6.1.lt.atap">#REF!</definedName>
    <definedName name="volumeB6.2">#REF!</definedName>
    <definedName name="volumeB6.2.lt.2">#REF!</definedName>
    <definedName name="volumeB6.2.lt.3">#REF!</definedName>
    <definedName name="volumeB6.2.lt.atap">#REF!</definedName>
    <definedName name="volumeB6.3.lt.1">#REF!</definedName>
    <definedName name="volumeB6.3.lt.2">#REF!</definedName>
    <definedName name="volumeB6.3.lt.3">#REF!</definedName>
    <definedName name="volumeB6.3.lt.atap">#REF!</definedName>
    <definedName name="volumeB6.4.lt.1">#REF!</definedName>
    <definedName name="volumeB6.4.lt.2">#REF!</definedName>
    <definedName name="volumeB6.4.lt.3">#REF!</definedName>
    <definedName name="volumeB6.4.lt.atap">#REF!</definedName>
    <definedName name="volumeB6.5.lt.1">#REF!</definedName>
    <definedName name="volumeB6.5.lt.2">#REF!</definedName>
    <definedName name="volumeB6.5.lt.3">#REF!</definedName>
    <definedName name="volumeB6.5.lt.atap">#REF!</definedName>
    <definedName name="volumeB6.6.lt.1">#REF!</definedName>
    <definedName name="volumeB6.6.lt.2">#REF!</definedName>
    <definedName name="volumeB6.6.lt.3">#REF!</definedName>
    <definedName name="volumeB6.6.lt.atap">#REF!</definedName>
    <definedName name="volumeB6.7.lt.1">#REF!</definedName>
    <definedName name="volumeB6.7.lt.2">#REF!</definedName>
    <definedName name="volumeB6.7.lt.3">#REF!</definedName>
    <definedName name="volumeB6.7.lt.atap">#REF!</definedName>
    <definedName name="volumeB7.1.lt.1">#REF!</definedName>
    <definedName name="volumeB7.1.lt.2">#REF!</definedName>
    <definedName name="volumeB7.1.lt.3">#REF!</definedName>
    <definedName name="volumeB7.1.lt.atap">#REF!</definedName>
    <definedName name="volumeB7.2.lt.1">#REF!</definedName>
    <definedName name="volumeB7.2.lt.2">#REF!</definedName>
    <definedName name="volumeB7.2.lt.3">#REF!</definedName>
    <definedName name="volumeB7.2.lt.atap">#REF!</definedName>
    <definedName name="volumeB7.3.lt.1">#REF!</definedName>
    <definedName name="volumeB7.3.lt.2">#REF!</definedName>
    <definedName name="volumeB7.3.lt.3">#REF!</definedName>
    <definedName name="volumeB7.3.lt.atap">#REF!</definedName>
    <definedName name="volumeB7.4.lt.1">#REF!</definedName>
    <definedName name="volumeB7.4.lt.2">#REF!</definedName>
    <definedName name="volumeB7.4.lt.3">#REF!</definedName>
    <definedName name="volumeB7.4.lt.atap">#REF!</definedName>
    <definedName name="volumeB7.5.lt.1">#REF!</definedName>
    <definedName name="volumeB7.5.lt.2">#REF!</definedName>
    <definedName name="volumeB7.5.lt.3">#REF!</definedName>
    <definedName name="volumeB7.5.lt.atap">#REF!</definedName>
    <definedName name="volumeB7.6.lt.1">#REF!</definedName>
    <definedName name="volumeB7.6.lt.2">#REF!</definedName>
    <definedName name="volumeB7.6.lt.3">#REF!</definedName>
    <definedName name="volumeB7.6.lt.atap">#REF!</definedName>
    <definedName name="volumeB7.7.lt.1">#REF!</definedName>
    <definedName name="volumeB7.7.lt.2">#REF!</definedName>
    <definedName name="volumeB7.7.lt.3">#REF!</definedName>
    <definedName name="volumeB7.7.lt.atap">#REF!</definedName>
    <definedName name="volumeB8.1.lt.1">#REF!</definedName>
    <definedName name="volumeB8.1.lt.2">#REF!</definedName>
    <definedName name="volumeB8.1.lt.3">#REF!</definedName>
    <definedName name="volumeB8.1.lt.atap">#REF!</definedName>
    <definedName name="volumeB8.2.lt.1">#REF!</definedName>
    <definedName name="volumeB8.2.lt.2">#REF!</definedName>
    <definedName name="volumeB8.2.lt.3">#REF!</definedName>
    <definedName name="volumeB8.2.lt.atap">#REF!</definedName>
    <definedName name="volumeB8.3.lt.1">#REF!</definedName>
    <definedName name="volumeB8.3.lt.2">#REF!</definedName>
    <definedName name="volumeB8.3.lt.3">#REF!</definedName>
    <definedName name="volumeB8.3.lt.atap">#REF!</definedName>
    <definedName name="volumeB8.4.lt.1">#REF!</definedName>
    <definedName name="volumeB8.4.lt.2">#REF!</definedName>
    <definedName name="volumeB8.4.lt.3">#REF!</definedName>
    <definedName name="volumeB8.4.lt.atap">#REF!</definedName>
    <definedName name="volumeB8.5.lt.1">#REF!</definedName>
    <definedName name="volumeB8.5.lt.2">#REF!</definedName>
    <definedName name="volumeB8.5.lt.3">#REF!</definedName>
    <definedName name="volumeB8.5.lt.atap">#REF!</definedName>
    <definedName name="volumeB9.1.lt.1">#REF!</definedName>
    <definedName name="volumeB9.1.lt.2">#REF!</definedName>
    <definedName name="volumeB9.1.lt.3">#REF!</definedName>
    <definedName name="volumeB9.1.lt.atap">#REF!</definedName>
    <definedName name="volumeB9.2.lt.1">#REF!</definedName>
    <definedName name="volumeB9.2.lt.2">#REF!</definedName>
    <definedName name="volumeB9.2.lt.3">#REF!</definedName>
    <definedName name="volumeB9.2.lt.atap">#REF!</definedName>
    <definedName name="volumeB9.3.lt.1">#REF!</definedName>
    <definedName name="volumeB9.3.lt.2">#REF!</definedName>
    <definedName name="volumeB9.3.lt.3">#REF!</definedName>
    <definedName name="volumeB9.3.lt.atap">#REF!</definedName>
    <definedName name="volumeB9.4.lt.1">#REF!</definedName>
    <definedName name="volumeB9.4.lt.2">#REF!</definedName>
    <definedName name="volumeB9.4.lt.3">#REF!</definedName>
    <definedName name="volumeB9.4.lt.atap">#REF!</definedName>
    <definedName name="volumeB9.5..lt.atap">#REF!</definedName>
    <definedName name="volumeB9.5.lt.1">#REF!</definedName>
    <definedName name="volumeB9.5.lt.2">#REF!</definedName>
    <definedName name="volumeB9.5.lt.3">#REF!</definedName>
    <definedName name="volumeBR.1.ramp">#REF!</definedName>
    <definedName name="volumeBTG.1">#REF!</definedName>
    <definedName name="volumeBTG.1A">#REF!</definedName>
    <definedName name="volumeBTG.2">#REF!</definedName>
    <definedName name="volumeBTG.2A">#REF!</definedName>
    <definedName name="volumeBTG.2B">#REF!</definedName>
    <definedName name="volumeBTG.3">#REF!</definedName>
    <definedName name="volumecatdindingdalam.ltdasar">#REF!</definedName>
    <definedName name="volumecatdindingluar.ltdasar">#REF!</definedName>
    <definedName name="volumeGS">#REF!</definedName>
    <definedName name="volumeK1.lt.1">#REF!</definedName>
    <definedName name="volumeK1.lt.2">#REF!</definedName>
    <definedName name="volumeK1.lt.3">#REF!</definedName>
    <definedName name="volumeK10.lt.1">#REF!</definedName>
    <definedName name="volumeK10.lt.2">#REF!</definedName>
    <definedName name="volumeK10.lt.3">#REF!</definedName>
    <definedName name="volumeK2.lt.1">#REF!</definedName>
    <definedName name="volumeK2.lt.2">#REF!</definedName>
    <definedName name="volumeK2.lt.3">#REF!</definedName>
    <definedName name="volumeK3.lt.1">#REF!</definedName>
    <definedName name="volumeK3.lt.2">#REF!</definedName>
    <definedName name="volumeK3.lt.3">#REF!</definedName>
    <definedName name="volumeK4.lt.1">#REF!</definedName>
    <definedName name="volumeK4.lt.2">#REF!</definedName>
    <definedName name="volumeK4.lt.3">#REF!</definedName>
    <definedName name="volumeK5.lt.1">#REF!</definedName>
    <definedName name="volumeK5.lt.2">#REF!</definedName>
    <definedName name="volumeK5.lt.3">#REF!</definedName>
    <definedName name="volumeK6.lt.1">#REF!</definedName>
    <definedName name="volumeK6.lt.3">#REF!</definedName>
    <definedName name="volumeK7.lt.1">#REF!</definedName>
    <definedName name="volumeK7.lt.2">#REF!</definedName>
    <definedName name="volumeK7.lt.3">#REF!</definedName>
    <definedName name="volumeK8.lt.1">#REF!</definedName>
    <definedName name="volumeK8.lt.2">#REF!</definedName>
    <definedName name="volumeK8.lt.3">#REF!</definedName>
    <definedName name="volumeK9.lt.1">#REF!</definedName>
    <definedName name="volumeK9.lt.2">#REF!</definedName>
    <definedName name="volumeK9.lt.3">#REF!</definedName>
    <definedName name="volumeKL">#REF!</definedName>
    <definedName name="volumemejabeton">#REF!</definedName>
    <definedName name="volumemejabetonlt.1">#REF!</definedName>
    <definedName name="volumeP.1">#REF!</definedName>
    <definedName name="volumeP.2B">#REF!</definedName>
    <definedName name="volumeP.3A">#REF!</definedName>
    <definedName name="volumeP.3B">#REF!</definedName>
    <definedName name="volumeP.4A">#REF!</definedName>
    <definedName name="volumeP.TG.1">#REF!</definedName>
    <definedName name="volumeP.TG.2">#REF!</definedName>
    <definedName name="volumepasanganbata1.3ltdasar">#REF!</definedName>
    <definedName name="volumepasanganbata1.5ltdasar">#REF!</definedName>
    <definedName name="volumeplesteran1.3.ltdasar">#REF!</definedName>
    <definedName name="volumeplesteran1.5.ltdasar">#REF!</definedName>
    <definedName name="volumePR.1">#REF!</definedName>
    <definedName name="volumeS1.lt.dsr">#REF!</definedName>
    <definedName name="volumeS2.lt.dsr">#REF!</definedName>
    <definedName name="volumeS3.lt.1">#REF!</definedName>
    <definedName name="volumeS3.lt.dsr">#REF!</definedName>
    <definedName name="volumeS4.lt.1">#REF!</definedName>
    <definedName name="volumeS4.lt.dsr">#REF!</definedName>
    <definedName name="volumeS5.lt.1">#REF!</definedName>
    <definedName name="volumeS5.lt.dsr">#REF!</definedName>
    <definedName name="volumeS8.lt.dsr">#REF!</definedName>
    <definedName name="volumetangga1">#REF!</definedName>
    <definedName name="volumetangga2">#REF!</definedName>
    <definedName name="volumetangga3">#REF!</definedName>
    <definedName name="volumeTB.1">#REF!</definedName>
    <definedName name="volumeTB.2">#REF!</definedName>
    <definedName name="volumeTB.3">#REF!</definedName>
    <definedName name="volumeTB.4">#REF!</definedName>
    <definedName name="volumeTB.5">#REF!</definedName>
    <definedName name="volumeTB.6">#REF!</definedName>
    <definedName name="vr3p">"$#REF!.$Y$10"</definedName>
    <definedName name="vs">#REF!</definedName>
    <definedName name="VSV_10">#REF!:#REF!</definedName>
    <definedName name="VSV_11">#REF!:#REF!</definedName>
    <definedName name="VSV_12">#REF!:#REF!</definedName>
    <definedName name="VSV_14">#REF!:#REF!</definedName>
    <definedName name="VSV_15">#REF!:#REF!</definedName>
    <definedName name="VSV_16">#REF!:#REF!</definedName>
    <definedName name="VSV_17">#REF!:#REF!</definedName>
    <definedName name="VSV_18">#REF!:#REF!</definedName>
    <definedName name="VSV_19">#REF!:#REF!</definedName>
    <definedName name="VSV_20">#REF!:#REF!</definedName>
    <definedName name="VSV_22">#REF!:#REF!</definedName>
    <definedName name="VSV_23">#REF!:#REF!</definedName>
    <definedName name="VSV_24">#REF!:#REF!</definedName>
    <definedName name="VSV_25">#REF!:#REF!</definedName>
    <definedName name="VSV_5">#REF!:#REF!</definedName>
    <definedName name="VSV_6">#REF!:#REF!</definedName>
    <definedName name="VSV_7">#REF!:#REF!</definedName>
    <definedName name="VSV_8">#REF!:#REF!</definedName>
    <definedName name="Vt">#REF!</definedName>
    <definedName name="vt1pbs">NA()</definedName>
    <definedName name="vtbs">NA()</definedName>
    <definedName name="VUP">#REF!</definedName>
    <definedName name="vv">#REF!</definedName>
    <definedName name="VVV" hidden="1">#REF!</definedName>
    <definedName name="w">#REF!</definedName>
    <definedName name="w.m">#REF!</definedName>
    <definedName name="w.stain">#REF!</definedName>
    <definedName name="w_1">#REF!</definedName>
    <definedName name="w_10">"$#REF!.$I$162"</definedName>
    <definedName name="w_12">#REF!</definedName>
    <definedName name="w_13">#REF!</definedName>
    <definedName name="w_16">#REF!</definedName>
    <definedName name="w_17">#REF!</definedName>
    <definedName name="w_20">#REF!</definedName>
    <definedName name="w_21">#REF!</definedName>
    <definedName name="w_22">#REF!</definedName>
    <definedName name="w_26">#REF!</definedName>
    <definedName name="w_27">#REF!</definedName>
    <definedName name="w_28">#REF!</definedName>
    <definedName name="w_29">#REF!</definedName>
    <definedName name="w_3">#REF!</definedName>
    <definedName name="w_30">#REF!</definedName>
    <definedName name="w_36">#REF!</definedName>
    <definedName name="w_37">#REF!</definedName>
    <definedName name="w_38">#REF!</definedName>
    <definedName name="w_39">#REF!</definedName>
    <definedName name="w_3a">#REF!</definedName>
    <definedName name="w_4">#REF!</definedName>
    <definedName name="w_40">#REF!</definedName>
    <definedName name="w_41">#REF!</definedName>
    <definedName name="w_42">#REF!</definedName>
    <definedName name="w_44">#REF!</definedName>
    <definedName name="w_45">#REF!</definedName>
    <definedName name="w_46">#REF!</definedName>
    <definedName name="w_47">#REF!</definedName>
    <definedName name="w_48">#REF!</definedName>
    <definedName name="w_49">#REF!</definedName>
    <definedName name="w_5">#REF!</definedName>
    <definedName name="w_50">#REF!</definedName>
    <definedName name="w_51">#REF!</definedName>
    <definedName name="w_52">#REF!</definedName>
    <definedName name="w_53">#REF!</definedName>
    <definedName name="w_7">"$#REF!.$I$154"</definedName>
    <definedName name="w_lw">#REF!</definedName>
    <definedName name="w_tx">#REF!</definedName>
    <definedName name="W10x19">"$#REF!.$D$14"</definedName>
    <definedName name="W12x26">"$#REF!.$D$16"</definedName>
    <definedName name="W12x35">"$#REF!.$D$15"</definedName>
    <definedName name="W14x53">"$#REF!.$D$17"</definedName>
    <definedName name="W14x68">"$#REF!.$D$18"</definedName>
    <definedName name="w20_b">#REF!</definedName>
    <definedName name="W4x13">"$#REF!.$D$19"</definedName>
    <definedName name="W8x31">"$#REF!.$D$20"</definedName>
    <definedName name="WA">#REF!</definedName>
    <definedName name="Wahyu">#REF!</definedName>
    <definedName name="wal">#REF!</definedName>
    <definedName name="wallpaper">#REF!</definedName>
    <definedName name="waltermoor">#REF!</definedName>
    <definedName name="waltrmoor">#REF!</definedName>
    <definedName name="warna">#REF!</definedName>
    <definedName name="WasBw">#REF!</definedName>
    <definedName name="washtafel">#REF!</definedName>
    <definedName name="wast">#REF!</definedName>
    <definedName name="Wastafel">#REF!</definedName>
    <definedName name="WasTp">#REF!</definedName>
    <definedName name="WasTw">#REF!</definedName>
    <definedName name="WATE">#REF!</definedName>
    <definedName name="water.prof">#REF!</definedName>
    <definedName name="Water_Tank_Truck">#REF!</definedName>
    <definedName name="waterprof">#REF!</definedName>
    <definedName name="Waterprofingliquid">#REF!</definedName>
    <definedName name="Waterprofingmembrane">#REF!</definedName>
    <definedName name="waterproof">"'file://SERVER3/har-data/STRUCTURE PRICE OF BQ KOMPAS GRAMEDIA.xls'#$analisa.$#REF!$#REF!"</definedName>
    <definedName name="waterproofig">#REF!</definedName>
    <definedName name="waterproofing">#REF!</definedName>
    <definedName name="waterproofingnituthene">#REF!</definedName>
    <definedName name="Waterproofliquit">#REF!</definedName>
    <definedName name="WATERPUMP">#REF!</definedName>
    <definedName name="waterscredd">"'file://SERVER3/har-data/STRUCTURE PRICE OF BQ KOMPAS GRAMEDIA.xls'#$analisa.$#REF!$#REF!"</definedName>
    <definedName name="waterstop">"'file://SERVER3/har-data/STRUCTURE PRICE OF BQ KOMPAS GRAMEDIA.xls'#$analisa.$#REF!$#REF!"</definedName>
    <definedName name="waterstop150">#REF!</definedName>
    <definedName name="Watertank">#REF!</definedName>
    <definedName name="WATERTANKER">#REF!</definedName>
    <definedName name="watproof">#REF!</definedName>
    <definedName name="Wavin">#REF!</definedName>
    <definedName name="wc_2000">#REF!</definedName>
    <definedName name="wd">#REF!</definedName>
    <definedName name="wd.k">#REF!</definedName>
    <definedName name="wd_1">#REF!</definedName>
    <definedName name="wd_2">#REF!</definedName>
    <definedName name="wd_3">#REF!</definedName>
    <definedName name="wd_4">#REF!</definedName>
    <definedName name="wd_5">#REF!</definedName>
    <definedName name="wd_6">#REF!</definedName>
    <definedName name="wd_7">#REF!</definedName>
    <definedName name="wd_8">#REF!</definedName>
    <definedName name="WE">#REF!</definedName>
    <definedName name="WEAR">#REF!</definedName>
    <definedName name="weath">#REF!</definedName>
    <definedName name="weath_6">#REF!</definedName>
    <definedName name="weathershield">#REF!</definedName>
    <definedName name="wedus" hidden="1">#REF!</definedName>
    <definedName name="week">#REF!</definedName>
    <definedName name="WEFA">#REF!</definedName>
    <definedName name="wefb">#REF!</definedName>
    <definedName name="wefger" hidden="1">{"'Sheet1'!$A$1"}</definedName>
    <definedName name="wegtgty" hidden="1">{#N/A,#N/A,FALSE,"REK";#N/A,#N/A,FALSE,"rab"}</definedName>
    <definedName name="werg" hidden="1">{#N/A,#N/A,FALSE,"REK";#N/A,#N/A,FALSE,"rab"}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sgantung">#REF!</definedName>
    <definedName name="wesmeja">#REF!</definedName>
    <definedName name="westafell548">#REF!</definedName>
    <definedName name="wet" hidden="1">{#N/A,#N/A,FALSE,"REK";#N/A,#N/A,FALSE,"Bq-ARS"}</definedName>
    <definedName name="wetwerg" hidden="1">{#N/A,#N/A,FALSE,"REK";#N/A,#N/A,FALSE,"rab"}</definedName>
    <definedName name="weygt" hidden="1">{#N/A,#N/A,FALSE,"REK";#N/A,#N/A,FALSE,"Bq-ARS"}</definedName>
    <definedName name="wf">#REF!</definedName>
    <definedName name="wf_400">#REF!</definedName>
    <definedName name="Wf_Dn">#REF!</definedName>
    <definedName name="Wf_Jp">#REF!</definedName>
    <definedName name="WFL237V1B">#REF!</definedName>
    <definedName name="WFL521V1A">#REF!</definedName>
    <definedName name="wfprof">#REF!</definedName>
    <definedName name="Wg">#REF!</definedName>
    <definedName name="WHEELLOADER">#REF!</definedName>
    <definedName name="wheephole">#REF!</definedName>
    <definedName name="Whell_Roller">#REF!</definedName>
    <definedName name="Whelodr">#REF!</definedName>
    <definedName name="WIDA" hidden="1">{#N/A,#N/A,FALSE,"WP [10]"}</definedName>
    <definedName name="Width">#REF!</definedName>
    <definedName name="Wilka">#REF!</definedName>
    <definedName name="WIN">#REF!</definedName>
    <definedName name="wire6">#REF!</definedName>
    <definedName name="wire8">#REF!</definedName>
    <definedName name="WIRSBO">#REF!</definedName>
    <definedName name="wis">#REF!</definedName>
    <definedName name="wisma">#REF!</definedName>
    <definedName name="wl">#REF!</definedName>
    <definedName name="wl.80hp">#REF!</definedName>
    <definedName name="wl.80hp_9">#REF!</definedName>
    <definedName name="Wlppr">#REF!</definedName>
    <definedName name="wls">#REF!</definedName>
    <definedName name="wm">#REF!</definedName>
    <definedName name="wm_6">#REF!</definedName>
    <definedName name="wmt">#REF!</definedName>
    <definedName name="WOFI">#REF!</definedName>
    <definedName name="wood.f">#REF!</definedName>
    <definedName name="wood.s">#REF!</definedName>
    <definedName name="woodfiler">#REF!</definedName>
    <definedName name="woodstand">#REF!</definedName>
    <definedName name="wp">#REF!</definedName>
    <definedName name="Wp.5">#REF!</definedName>
    <definedName name="Wp.5_9">#REF!</definedName>
    <definedName name="wp_1">#REF!</definedName>
    <definedName name="wp_c">#REF!</definedName>
    <definedName name="wpatap">"'file://SERVER3/har-data/STRUCTURE PRICE OF BQ KOMPAS GRAMEDIA.xls'#$analisa.$#REF!$#REF!"</definedName>
    <definedName name="wpc_bmbt">#REF!</definedName>
    <definedName name="wpc_ml">#REF!</definedName>
    <definedName name="wpc_p">#REF!</definedName>
    <definedName name="WpEml">#REF!</definedName>
    <definedName name="wpliquid">#REF!</definedName>
    <definedName name="wpm">#REF!</definedName>
    <definedName name="wpm_15">#REF!</definedName>
    <definedName name="wpm_mbt">#REF!</definedName>
    <definedName name="wpm_ml">#REF!</definedName>
    <definedName name="wpm_ml1">#REF!</definedName>
    <definedName name="wpm_r">#REF!</definedName>
    <definedName name="wpm_sc">"$#REF!.$H$13"</definedName>
    <definedName name="Wpmbr">#REF!</definedName>
    <definedName name="Wpump">#REF!</definedName>
    <definedName name="WQEYGT" hidden="1">{#N/A,#N/A,FALSE,"REK";#N/A,#N/A,FALSE,"rab"}</definedName>
    <definedName name="wqeygtQWET" hidden="1">{#N/A,#N/A,FALSE,"REK";#N/A,#N/A,FALSE,"rab"}</definedName>
    <definedName name="WR">#REF!</definedName>
    <definedName name="wr_23">#REF!</definedName>
    <definedName name="wr_25">#REF!</definedName>
    <definedName name="wrg" hidden="1">{#N/A,#N/A,FALSE,"REK";#N/A,#N/A,FALSE,"rab"}</definedName>
    <definedName name="Wrms8">#REF!</definedName>
    <definedName name="wrn.AAA." hidden="1">{#N/A,#N/A,FALSE,"REK";#N/A,#N/A,FALSE,"Bq-ARS"}</definedName>
    <definedName name="wrn.chi._.tiÆt." hidden="1">{#N/A,#N/A,FALSE,"Chi tiÆt"}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esume._.Progress." hidden="1">{#N/A,#N/A,FALSE,"WP [10]"}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s">#REF!</definedName>
    <definedName name="ws_105">#REF!</definedName>
    <definedName name="ws_153">#REF!</definedName>
    <definedName name="ws_1530">#REF!</definedName>
    <definedName name="ws_d">"$#REF!.$H$31"</definedName>
    <definedName name="wstop">#REF!</definedName>
    <definedName name="wstpt">#REF!</definedName>
    <definedName name="wstwr">#REF!</definedName>
    <definedName name="Wsubm">#REF!</definedName>
    <definedName name="wt">#REF!</definedName>
    <definedName name="wt.60hp">#REF!</definedName>
    <definedName name="wt.60hp_9">#REF!</definedName>
    <definedName name="Wtank">#REF!</definedName>
    <definedName name="wtc">#REF!</definedName>
    <definedName name="wterprofbahan">#REF!</definedName>
    <definedName name="wterstop">#REF!</definedName>
    <definedName name="wterstopbahan">#REF!</definedName>
    <definedName name="WTP">#REF!</definedName>
    <definedName name="wtrpr">#REF!</definedName>
    <definedName name="wtrst">#REF!</definedName>
    <definedName name="WW" hidden="1">{"'Sheet1'!$A$1"}</definedName>
    <definedName name="WWW">#REF!</definedName>
    <definedName name="wwww">"$#REF!.$#REF!$#REF!"</definedName>
    <definedName name="x">"$#REF!.$#REF!$#REF!:$#REF!$#REF!"</definedName>
    <definedName name="X.1">#REF!</definedName>
    <definedName name="X.2">#REF!</definedName>
    <definedName name="X.3">#REF!</definedName>
    <definedName name="X.4">#REF!</definedName>
    <definedName name="X.5">#REF!</definedName>
    <definedName name="x17dnc">NA()</definedName>
    <definedName name="x17dvl">NA()</definedName>
    <definedName name="x17knc">NA()</definedName>
    <definedName name="x17kvl">NA()</definedName>
    <definedName name="X1pFCOnc">NA()</definedName>
    <definedName name="X1pFCOvc">NA()</definedName>
    <definedName name="X1pFCOvl">NA()</definedName>
    <definedName name="x1pignc">NA()</definedName>
    <definedName name="X1pIGvc">NA()</definedName>
    <definedName name="x1pigvl">NA()</definedName>
    <definedName name="x1pind">"$#REF!.$#REF!$#REF!"</definedName>
    <definedName name="x1pindnc">NA()</definedName>
    <definedName name="x1pindvl">NA()</definedName>
    <definedName name="x1ping">"$#REF!.$#REF!$#REF!"</definedName>
    <definedName name="x1pingnc">NA()</definedName>
    <definedName name="x1pingvl">NA()</definedName>
    <definedName name="x1pint">"$#REF!.$#REF!$#REF!"</definedName>
    <definedName name="x1pintnc">NA()</definedName>
    <definedName name="X1pINTvc">NA()</definedName>
    <definedName name="x1pintvl">NA()</definedName>
    <definedName name="x1pitnc">NA()</definedName>
    <definedName name="X1pITvc">NA()</definedName>
    <definedName name="x1pitvl">NA()</definedName>
    <definedName name="x20knc">NA()</definedName>
    <definedName name="x20kvl">NA()</definedName>
    <definedName name="x22knc">NA()</definedName>
    <definedName name="x22kvl">NA()</definedName>
    <definedName name="x2mig1nc">NA()</definedName>
    <definedName name="x2mig1vl">NA()</definedName>
    <definedName name="x2min1nc">NA()</definedName>
    <definedName name="x2min1vl">NA()</definedName>
    <definedName name="x2mit1vl">NA()</definedName>
    <definedName name="x2mitnc">NA()</definedName>
    <definedName name="XC_16">#REF!</definedName>
    <definedName name="XCCT">0.5</definedName>
    <definedName name="xcx">#REF!</definedName>
    <definedName name="xdsnc">NA()</definedName>
    <definedName name="xdsvl">NA()</definedName>
    <definedName name="xfco">"$#REF!.$#REF!$#REF!"</definedName>
    <definedName name="xfco3p">"$#REF!.$W$10"</definedName>
    <definedName name="xfconc">NA()</definedName>
    <definedName name="xfconc3p">"'file:///d:/project/energyhouse2/energyhouse2-mainkontraktor/energyhouse2-mainkontraktor-tender/energyhouse2-mainkontraktor-tender-boq/misc/congviec/tam.xls'#$'chitiet vl-nc'.$g$94"</definedName>
    <definedName name="xfcotnc">"$#REF!.$H$31"</definedName>
    <definedName name="xfcotvl">"$#REF!.$H$26"</definedName>
    <definedName name="xfcovl">NA()</definedName>
    <definedName name="xfcovl3p">"'file:///d:/project/energyhouse2/energyhouse2-mainkontraktor/energyhouse2-mainkontraktor-tender/energyhouse2-mainkontraktor-tender-boq/misc/congviec/tam.xls'#$'chitiet vl-nc'.$g$90"</definedName>
    <definedName name="xfnc">NA()</definedName>
    <definedName name="xfvl">NA()</definedName>
    <definedName name="xhn">"$#REF!.$#REF!$#REF!"</definedName>
    <definedName name="xhnnc">NA()</definedName>
    <definedName name="xhnvl">NA()</definedName>
    <definedName name="xig">"$#REF!.$#REF!$#REF!"</definedName>
    <definedName name="xig1">"$#REF!.$#REF!$#REF!"</definedName>
    <definedName name="xig1nc">NA()</definedName>
    <definedName name="xig1p">"$#REF!.$N$290"</definedName>
    <definedName name="xig1pnc">NA()</definedName>
    <definedName name="xig1pvl">NA()</definedName>
    <definedName name="xig1vl">NA()</definedName>
    <definedName name="xig2nc">NA()</definedName>
    <definedName name="xig2vl">NA()</definedName>
    <definedName name="xig3p">"$#REF!.$O$110"</definedName>
    <definedName name="xiggnc">"'file:///d:/project/energyhouse2/energyhouse2-mainkontraktor/energyhouse2-mainkontraktor-tender/energyhouse2-mainkontraktor-tender-boq/misc/congviec/tam.xls'#$'chitiet vl-nc'.$g$57"</definedName>
    <definedName name="xiggvl">"'file:///d:/project/energyhouse2/energyhouse2-mainkontraktor/energyhouse2-mainkontraktor-tender/energyhouse2-mainkontraktor-tender-boq/misc/congviec/tam.xls'#$'chitiet vl-nc'.$g$53"</definedName>
    <definedName name="xignc">NA()</definedName>
    <definedName name="xignc3p">"$#REF!.$#REF!#REF!"</definedName>
    <definedName name="xigvl">NA()</definedName>
    <definedName name="xigvl3p">"$#REF!.$#REF!#REF!"</definedName>
    <definedName name="xin">"$#REF!.$#REF!$#REF!"</definedName>
    <definedName name="xin190">"$#REF!.$#REF!$#REF!"</definedName>
    <definedName name="xin1903p">"$#REF!.$Q$110"</definedName>
    <definedName name="xin190nc">NA()</definedName>
    <definedName name="xin190nc3p">"'file:///d:/project/energyhouse2/energyhouse2-mainkontraktor/energyhouse2-mainkontraktor-tender/energyhouse2-mainkontraktor-tender-boq/misc/congviec/tam.xls'#$'chitiet vl-nc'.$g$76"</definedName>
    <definedName name="xin190vl">NA()</definedName>
    <definedName name="xin190vl3p">"'file:///d:/project/energyhouse2/energyhouse2-mainkontraktor/energyhouse2-mainkontraktor-tender/energyhouse2-mainkontraktor-tender-boq/misc/congviec/tam.xls'#$'chitiet vl-nc'.$g$72"</definedName>
    <definedName name="xin2903p">"$#REF!.$R$110"</definedName>
    <definedName name="xin290nc3p">"$#REF!.#REF!#REF!"</definedName>
    <definedName name="xin290vl3p">"$#REF!.#REF!#REF!"</definedName>
    <definedName name="xin3p">"$#REF!.$P$110"</definedName>
    <definedName name="xin901nc">NA()</definedName>
    <definedName name="xin901vl">NA()</definedName>
    <definedName name="xind">"$#REF!.$#REF!$#REF!"</definedName>
    <definedName name="xind1p">"$#REF!.$R$290"</definedName>
    <definedName name="xind1pnc">NA()</definedName>
    <definedName name="xind1pvl">NA()</definedName>
    <definedName name="xind3p">"$#REF!.$S$110"</definedName>
    <definedName name="xindnc">NA()</definedName>
    <definedName name="xindnc1p">"$#REF!.$G$153"</definedName>
    <definedName name="xindnc3p">"'file:///d:/project/energyhouse2/energyhouse2-mainkontraktor/energyhouse2-mainkontraktor-tender/energyhouse2-mainkontraktor-tender-boq/misc/congviec/tam.xls'#$'chitiet vl-nc'.$g$85"</definedName>
    <definedName name="xindvl">NA()</definedName>
    <definedName name="xindvl1p">"$#REF!.$G$147"</definedName>
    <definedName name="xindvl3p">"'file:///d:/project/energyhouse2/energyhouse2-mainkontraktor/energyhouse2-mainkontraktor-tender/energyhouse2-mainkontraktor-tender-boq/misc/congviec/tam.xls'#$'chitiet vl-nc'.$g$80"</definedName>
    <definedName name="xing1p">"$#REF!.$P$290"</definedName>
    <definedName name="xing1pnc">NA()</definedName>
    <definedName name="xing1pvl">NA()</definedName>
    <definedName name="xingnc1p">"$#REF!.$G$141"</definedName>
    <definedName name="xingvl1p">"$#REF!.$G$135"</definedName>
    <definedName name="xinnc">NA()</definedName>
    <definedName name="xinnc3p">"$#REF!.#REF!#REF!"</definedName>
    <definedName name="xint1p">"$#REF!.$Q$290"</definedName>
    <definedName name="xinvl">NA()</definedName>
    <definedName name="xinvl3p">"$#REF!.#REF!#REF!"</definedName>
    <definedName name="xit">"$#REF!.$#REF!$#REF!"</definedName>
    <definedName name="xit1">"$#REF!.$#REF!$#REF!"</definedName>
    <definedName name="xit1nc">NA()</definedName>
    <definedName name="xit1p">"$#REF!.$M$290"</definedName>
    <definedName name="xit1pnc">NA()</definedName>
    <definedName name="xit1pvl">NA()</definedName>
    <definedName name="xit1vl">NA()</definedName>
    <definedName name="xit23p">"$#REF!.$N$110"</definedName>
    <definedName name="xit2nc">NA()</definedName>
    <definedName name="xit2nc3p">"$#REF!.$#REF!#REF!"</definedName>
    <definedName name="xit2vl">NA()</definedName>
    <definedName name="xit2vl3p">"$#REF!.$#REF!#REF!"</definedName>
    <definedName name="xit3p">"$#REF!.$M$110"</definedName>
    <definedName name="xitnc">NA()</definedName>
    <definedName name="xitnc3p">"$#REF!.$#REF!#REF!"</definedName>
    <definedName name="xittnc">"'file:///d:/project/energyhouse2/energyhouse2-mainkontraktor/energyhouse2-mainkontraktor-tender/energyhouse2-mainkontraktor-tender-boq/misc/congviec/tam.xls'#$'chitiet vl-nc'.$g$48"</definedName>
    <definedName name="xittvl">"'file:///d:/project/energyhouse2/energyhouse2-mainkontraktor/energyhouse2-mainkontraktor-tender/energyhouse2-mainkontraktor-tender-boq/misc/congviec/tam.xls'#$'chitiet vl-nc'.$g$44"</definedName>
    <definedName name="xitvl">NA()</definedName>
    <definedName name="xitvl3p">"$#REF!.$#REF!#REF!"</definedName>
    <definedName name="xm">"'file:///d:/project/energyhouse2/energyhouse2-mainkontraktor/energyhouse2-mainkontraktor-tender/energyhouse2-mainkontraktor-tender-boq/misc/do-huong/gt-bo/tktc10-8/phong%20nen/dt-thl7.xls'#$gvl.$n$16"</definedName>
    <definedName name="xr1nc">NA()</definedName>
    <definedName name="xr1vl">NA()</definedName>
    <definedName name="xsddd">#REF!</definedName>
    <definedName name="Xt">#REF!</definedName>
    <definedName name="xtr3pnc">NA()</definedName>
    <definedName name="xtr3pvl">NA()</definedName>
    <definedName name="XX">#REF!</definedName>
    <definedName name="XXA">STOP:STOPE</definedName>
    <definedName name="XXA_10">#REF!:#REF!</definedName>
    <definedName name="XXA_11">#REF!:#REF!</definedName>
    <definedName name="XXA_12">#REF!:#REF!</definedName>
    <definedName name="XXA_14">#REF!:#REF!</definedName>
    <definedName name="XXA_15">#REF!:#REF!</definedName>
    <definedName name="XXA_16">#REF!:#REF!</definedName>
    <definedName name="XXA_17">#REF!:#REF!</definedName>
    <definedName name="XXA_18">#REF!:#REF!</definedName>
    <definedName name="XXA_19">#REF!:#REF!</definedName>
    <definedName name="XXA_20">#REF!:#REF!</definedName>
    <definedName name="XXA_22">#REF!:#REF!</definedName>
    <definedName name="XXA_23">#REF!:#REF!</definedName>
    <definedName name="XXA_24">#REF!:#REF!</definedName>
    <definedName name="XXA_25">#REF!:#REF!</definedName>
    <definedName name="XXA_5">#REF!:#REF!</definedName>
    <definedName name="XXA_6">#REF!:#REF!</definedName>
    <definedName name="XXA_7">#REF!:#REF!</definedName>
    <definedName name="XXA_8">#REF!:#REF!</definedName>
    <definedName name="xxx">#REF!</definedName>
    <definedName name="xxxx">#REF!</definedName>
    <definedName name="xxxxxxxxxxxxxxxxxxxxxxx">#REF!</definedName>
    <definedName name="y">#REF!</definedName>
    <definedName name="Y.1">#REF!</definedName>
    <definedName name="Y.2">#REF!</definedName>
    <definedName name="Y.4">#REF!</definedName>
    <definedName name="Y.Q">#REF!</definedName>
    <definedName name="Y_R">#REF!</definedName>
    <definedName name="yayuk" hidden="1">#REF!</definedName>
    <definedName name="yen">#REF!</definedName>
    <definedName name="Yen_USD">#REF!</definedName>
    <definedName name="YH">#REF!</definedName>
    <definedName name="YI">#REF!</definedName>
    <definedName name="yiy">#REF!</definedName>
    <definedName name="ykk" hidden="1">{"'Sheet1'!$A$1"}</definedName>
    <definedName name="yky" hidden="1">{"'Sheet1'!$A$1"}</definedName>
    <definedName name="yu5u" hidden="1">{"'Sheet1'!$A$1"}</definedName>
    <definedName name="YUIKO">#REF!</definedName>
    <definedName name="YY">#REF!</definedName>
    <definedName name="yyy">#REF!</definedName>
    <definedName name="yyyy">#REF!</definedName>
    <definedName name="Z">NA()</definedName>
    <definedName name="Z.1">#REF!</definedName>
    <definedName name="Z.2">#REF!</definedName>
    <definedName name="Z.3">#REF!</definedName>
    <definedName name="Z.4">#REF!</definedName>
    <definedName name="Z.5">#REF!</definedName>
    <definedName name="Z.6">#REF!</definedName>
    <definedName name="Z_1">#REF!</definedName>
    <definedName name="Z_C5F07B99_5B9B_4D7E_8E51_7715CFFC23CA_.wvu.Rows" hidden="1">#REF!,#REF!,#REF!,#REF!,#REF!,#REF!,#REF!,#REF!,#REF!,#REF!,#REF!,#REF!,#REF!,#REF!,#REF!,#REF!</definedName>
    <definedName name="ZAHRA">#REF!</definedName>
    <definedName name="ZAZ_TT">#REF!</definedName>
    <definedName name="ZBox2">#REF!</definedName>
    <definedName name="ZBox3">#REF!</definedName>
    <definedName name="ZBox5">#REF!</definedName>
    <definedName name="zebo.1">#REF!</definedName>
    <definedName name="zebo.2">#REF!</definedName>
    <definedName name="zebo.3">#REF!</definedName>
    <definedName name="zenk">#REF!</definedName>
    <definedName name="zin">#REF!</definedName>
    <definedName name="zincalum">#REF!</definedName>
    <definedName name="zink">#REF!</definedName>
    <definedName name="zinkdp">#REF!</definedName>
    <definedName name="zinklab">#REF!</definedName>
    <definedName name="ZinkSK508">#REF!</definedName>
    <definedName name="Zncro">#REF!</definedName>
    <definedName name="zx">#REF!</definedName>
    <definedName name="zxf" hidden="1">{"'Sheet1'!$A$1"}</definedName>
    <definedName name="ZZ">#REF!</definedName>
    <definedName name="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430" i="1" l="1"/>
  <c r="S351" i="1"/>
  <c r="S349" i="1"/>
  <c r="S347" i="1"/>
  <c r="S345" i="1"/>
  <c r="S343" i="1"/>
  <c r="T338" i="1"/>
  <c r="L338" i="1"/>
  <c r="T337" i="1"/>
  <c r="T336" i="1"/>
  <c r="L336" i="1"/>
  <c r="T335" i="1"/>
  <c r="L335" i="1"/>
  <c r="T330" i="1"/>
  <c r="L330" i="1"/>
  <c r="T329" i="1"/>
  <c r="J329" i="1"/>
  <c r="T326" i="1"/>
  <c r="L326" i="1"/>
  <c r="T321" i="1"/>
  <c r="T320" i="1"/>
  <c r="L320" i="1"/>
  <c r="T317" i="1"/>
  <c r="T308" i="1"/>
  <c r="T302" i="1"/>
  <c r="Y287" i="1"/>
  <c r="T287" i="1"/>
  <c r="T286" i="1"/>
  <c r="L286" i="1"/>
  <c r="T285" i="1"/>
  <c r="L285" i="1"/>
  <c r="V281" i="1"/>
  <c r="U281" i="1"/>
  <c r="M281" i="1"/>
  <c r="L281" i="1"/>
  <c r="V278" i="1"/>
  <c r="U278" i="1"/>
  <c r="L278" i="1"/>
  <c r="V277" i="1"/>
  <c r="U277" i="1"/>
  <c r="M277" i="1"/>
  <c r="L277" i="1"/>
  <c r="V276" i="1"/>
  <c r="U276" i="1"/>
  <c r="M276" i="1"/>
  <c r="L276" i="1"/>
  <c r="V275" i="1"/>
  <c r="U275" i="1"/>
  <c r="M275" i="1"/>
  <c r="L275" i="1"/>
  <c r="V274" i="1"/>
  <c r="U274" i="1"/>
  <c r="M274" i="1"/>
  <c r="L274" i="1"/>
  <c r="T266" i="1"/>
  <c r="L266" i="1"/>
  <c r="V265" i="1"/>
  <c r="U265" i="1"/>
  <c r="M265" i="1"/>
  <c r="L265" i="1"/>
  <c r="T263" i="1"/>
  <c r="L263" i="1"/>
  <c r="T262" i="1"/>
  <c r="L262" i="1"/>
  <c r="T261" i="1"/>
  <c r="L261" i="1"/>
  <c r="T260" i="1"/>
  <c r="L260" i="1"/>
  <c r="T253" i="1"/>
  <c r="L253" i="1"/>
  <c r="T252" i="1"/>
  <c r="L252" i="1"/>
  <c r="T251" i="1"/>
  <c r="L251" i="1"/>
  <c r="T250" i="1"/>
  <c r="L250" i="1"/>
  <c r="T244" i="1"/>
  <c r="L244" i="1"/>
  <c r="T243" i="1"/>
  <c r="L243" i="1"/>
  <c r="T242" i="1"/>
  <c r="T241" i="1"/>
  <c r="L241" i="1"/>
  <c r="U240" i="1"/>
  <c r="U239" i="1"/>
  <c r="T235" i="1"/>
  <c r="L235" i="1"/>
  <c r="T234" i="1"/>
  <c r="L234" i="1"/>
  <c r="T233" i="1"/>
  <c r="N233" i="1"/>
  <c r="L233" i="1"/>
  <c r="T232" i="1"/>
  <c r="L232" i="1"/>
  <c r="J232" i="1"/>
  <c r="T229" i="1"/>
  <c r="L229" i="1"/>
  <c r="T228" i="1"/>
  <c r="J228" i="1"/>
  <c r="T227" i="1"/>
  <c r="L227" i="1"/>
  <c r="T226" i="1"/>
  <c r="T225" i="1"/>
  <c r="N225" i="1"/>
  <c r="L225" i="1"/>
  <c r="T224" i="1"/>
  <c r="L224" i="1"/>
  <c r="T223" i="1"/>
  <c r="L223" i="1"/>
  <c r="T222" i="1"/>
  <c r="T221" i="1"/>
  <c r="L221" i="1"/>
  <c r="V220" i="1"/>
  <c r="U220" i="1"/>
  <c r="M220" i="1"/>
  <c r="L220" i="1"/>
  <c r="T216" i="1"/>
  <c r="L216" i="1"/>
  <c r="T215" i="1"/>
  <c r="L215" i="1"/>
  <c r="T214" i="1"/>
  <c r="L214" i="1"/>
  <c r="T213" i="1"/>
  <c r="L213" i="1"/>
  <c r="T212" i="1"/>
  <c r="L212" i="1"/>
  <c r="T211" i="1"/>
  <c r="L211" i="1"/>
  <c r="T210" i="1"/>
  <c r="L210" i="1"/>
  <c r="T209" i="1"/>
  <c r="L209" i="1"/>
  <c r="J208" i="1"/>
  <c r="T207" i="1"/>
  <c r="L207" i="1"/>
  <c r="J207" i="1"/>
  <c r="T206" i="1"/>
  <c r="L206" i="1"/>
  <c r="T205" i="1"/>
  <c r="L205" i="1"/>
  <c r="T204" i="1"/>
  <c r="L204" i="1"/>
  <c r="T203" i="1"/>
  <c r="L203" i="1"/>
  <c r="T202" i="1"/>
  <c r="L202" i="1"/>
  <c r="T201" i="1"/>
  <c r="L201" i="1"/>
  <c r="T200" i="1"/>
  <c r="L200" i="1"/>
  <c r="T199" i="1"/>
  <c r="L199" i="1"/>
  <c r="T198" i="1"/>
  <c r="L198" i="1"/>
  <c r="T197" i="1"/>
  <c r="L197" i="1"/>
  <c r="T196" i="1"/>
  <c r="L196" i="1"/>
  <c r="T195" i="1"/>
  <c r="L195" i="1"/>
  <c r="T194" i="1"/>
  <c r="L194" i="1"/>
  <c r="T193" i="1"/>
  <c r="L193" i="1"/>
  <c r="T192" i="1"/>
  <c r="L192" i="1"/>
  <c r="T191" i="1"/>
  <c r="L191" i="1"/>
  <c r="T190" i="1"/>
  <c r="L190" i="1"/>
  <c r="T189" i="1"/>
  <c r="L189" i="1"/>
  <c r="T188" i="1"/>
  <c r="L188" i="1"/>
  <c r="T187" i="1"/>
  <c r="L187" i="1"/>
  <c r="V186" i="1"/>
  <c r="U186" i="1"/>
  <c r="M186" i="1"/>
  <c r="L186" i="1"/>
  <c r="V185" i="1"/>
  <c r="U185" i="1"/>
  <c r="M185" i="1"/>
  <c r="L185" i="1"/>
  <c r="V184" i="1"/>
  <c r="U184" i="1"/>
  <c r="M184" i="1"/>
  <c r="L184" i="1"/>
  <c r="T183" i="1"/>
  <c r="L183" i="1"/>
  <c r="T182" i="1"/>
  <c r="L182" i="1"/>
  <c r="T181" i="1"/>
  <c r="L181" i="1"/>
  <c r="T180" i="1"/>
  <c r="L180" i="1"/>
  <c r="T179" i="1"/>
  <c r="L179" i="1"/>
  <c r="T178" i="1"/>
  <c r="L178" i="1"/>
  <c r="T177" i="1"/>
  <c r="L177" i="1"/>
  <c r="T176" i="1"/>
  <c r="L176" i="1"/>
  <c r="T175" i="1"/>
  <c r="L175" i="1"/>
  <c r="T174" i="1"/>
  <c r="L174" i="1"/>
  <c r="T173" i="1"/>
  <c r="L173" i="1"/>
  <c r="T170" i="1"/>
  <c r="L170" i="1"/>
  <c r="J170" i="1"/>
  <c r="T169" i="1"/>
  <c r="L169" i="1"/>
  <c r="J169" i="1"/>
  <c r="T168" i="1"/>
  <c r="L168" i="1"/>
  <c r="J168" i="1"/>
  <c r="T167" i="1"/>
  <c r="L167" i="1"/>
  <c r="T166" i="1"/>
  <c r="L166" i="1"/>
  <c r="T165" i="1"/>
  <c r="L165" i="1"/>
  <c r="J165" i="1"/>
  <c r="T164" i="1"/>
  <c r="L164" i="1"/>
  <c r="J164" i="1"/>
  <c r="T163" i="1"/>
  <c r="L163" i="1"/>
  <c r="T162" i="1"/>
  <c r="L162" i="1"/>
  <c r="T161" i="1"/>
  <c r="L161" i="1"/>
  <c r="T160" i="1"/>
  <c r="L160" i="1"/>
  <c r="T159" i="1"/>
  <c r="L159" i="1"/>
  <c r="T158" i="1"/>
  <c r="L158" i="1"/>
  <c r="T157" i="1"/>
  <c r="L157" i="1"/>
  <c r="T156" i="1"/>
  <c r="L156" i="1"/>
  <c r="T155" i="1"/>
  <c r="L155" i="1"/>
  <c r="T154" i="1"/>
  <c r="L154" i="1"/>
  <c r="T153" i="1"/>
  <c r="L153" i="1"/>
  <c r="T152" i="1"/>
  <c r="L152" i="1"/>
  <c r="T151" i="1"/>
  <c r="L151" i="1"/>
  <c r="T150" i="1"/>
  <c r="L150" i="1"/>
  <c r="T149" i="1"/>
  <c r="L149" i="1"/>
  <c r="T148" i="1"/>
  <c r="T147" i="1"/>
  <c r="L147" i="1"/>
  <c r="J147" i="1"/>
  <c r="T146" i="1"/>
  <c r="L146" i="1"/>
  <c r="T145" i="1"/>
  <c r="L145" i="1"/>
  <c r="T144" i="1"/>
  <c r="L144" i="1"/>
  <c r="T143" i="1"/>
  <c r="L143" i="1"/>
  <c r="T142" i="1"/>
  <c r="L142" i="1"/>
  <c r="T141" i="1"/>
  <c r="L141" i="1"/>
  <c r="T140" i="1"/>
  <c r="L140" i="1"/>
  <c r="T139" i="1"/>
  <c r="L139" i="1"/>
  <c r="V125" i="1"/>
  <c r="U125" i="1"/>
  <c r="M125" i="1"/>
  <c r="L125" i="1"/>
  <c r="V118" i="1"/>
  <c r="U118" i="1"/>
  <c r="L118" i="1"/>
  <c r="W105" i="1"/>
  <c r="V105" i="1"/>
  <c r="O105" i="1"/>
  <c r="M105" i="1"/>
  <c r="L105" i="1"/>
  <c r="W92" i="1"/>
  <c r="V92" i="1"/>
  <c r="M92" i="1"/>
  <c r="L92" i="1"/>
  <c r="W77" i="1"/>
  <c r="V77" i="1"/>
  <c r="M77" i="1"/>
  <c r="L77" i="1"/>
  <c r="H51" i="1"/>
  <c r="W43" i="1"/>
  <c r="V43" i="1"/>
  <c r="M43" i="1"/>
  <c r="L43" i="1"/>
  <c r="F27" i="1"/>
  <c r="F25" i="1"/>
  <c r="W21" i="1"/>
  <c r="V21" i="1"/>
  <c r="N21" i="1"/>
  <c r="M21" i="1"/>
  <c r="W13" i="1"/>
  <c r="V13" i="1"/>
  <c r="M13" i="1"/>
  <c r="L13" i="1"/>
  <c r="W12" i="1"/>
  <c r="V12" i="1"/>
  <c r="M12" i="1"/>
  <c r="L12" i="1"/>
  <c r="A12" i="1"/>
  <c r="W11" i="1"/>
  <c r="V11" i="1"/>
  <c r="M11" i="1"/>
  <c r="L11" i="1"/>
  <c r="D4" i="1"/>
  <c r="V338" i="1" l="1"/>
  <c r="V337" i="1"/>
  <c r="U337" i="1"/>
  <c r="U335" i="1"/>
  <c r="W335" i="1" s="1"/>
  <c r="M335" i="1"/>
  <c r="O335" i="1" s="1"/>
  <c r="N330" i="1"/>
  <c r="L329" i="1"/>
  <c r="N329" i="1" s="1"/>
  <c r="N326" i="1"/>
  <c r="T322" i="1"/>
  <c r="U321" i="1"/>
  <c r="L321" i="1"/>
  <c r="N321" i="1" s="1"/>
  <c r="V320" i="1"/>
  <c r="U320" i="1"/>
  <c r="N320" i="1"/>
  <c r="T318" i="1"/>
  <c r="V317" i="1"/>
  <c r="U317" i="1"/>
  <c r="V308" i="1"/>
  <c r="L308" i="1"/>
  <c r="N308" i="1" s="1"/>
  <c r="U302" i="1"/>
  <c r="L302" i="1"/>
  <c r="N302" i="1" s="1"/>
  <c r="T293" i="1"/>
  <c r="V287" i="1"/>
  <c r="U287" i="1"/>
  <c r="L287" i="1"/>
  <c r="N287" i="1" s="1"/>
  <c r="V286" i="1"/>
  <c r="U286" i="1"/>
  <c r="O281" i="1"/>
  <c r="W278" i="1"/>
  <c r="V242" i="1"/>
  <c r="T238" i="1"/>
  <c r="T237" i="1"/>
  <c r="T236" i="1"/>
  <c r="V235" i="1"/>
  <c r="U235" i="1"/>
  <c r="N235" i="1"/>
  <c r="V234" i="1"/>
  <c r="U234" i="1"/>
  <c r="N234" i="1"/>
  <c r="N278" i="1"/>
  <c r="M278" i="1"/>
  <c r="O278" i="1" s="1"/>
  <c r="W277" i="1"/>
  <c r="O277" i="1"/>
  <c r="N277" i="1"/>
  <c r="W276" i="1"/>
  <c r="O276" i="1"/>
  <c r="N276" i="1"/>
  <c r="W275" i="1"/>
  <c r="O275" i="1"/>
  <c r="N275" i="1"/>
  <c r="W274" i="1"/>
  <c r="O274" i="1"/>
  <c r="N274" i="1"/>
  <c r="V266" i="1"/>
  <c r="U266" i="1"/>
  <c r="N266" i="1"/>
  <c r="W265" i="1"/>
  <c r="O265" i="1"/>
  <c r="N265" i="1"/>
  <c r="V263" i="1"/>
  <c r="U263" i="1"/>
  <c r="N263" i="1"/>
  <c r="V262" i="1"/>
  <c r="U262" i="1"/>
  <c r="N262" i="1"/>
  <c r="V261" i="1"/>
  <c r="U261" i="1"/>
  <c r="N261" i="1"/>
  <c r="V260" i="1"/>
  <c r="U260" i="1"/>
  <c r="N260" i="1"/>
  <c r="T259" i="1"/>
  <c r="V253" i="1"/>
  <c r="U253" i="1"/>
  <c r="N253" i="1"/>
  <c r="V252" i="1"/>
  <c r="U252" i="1"/>
  <c r="N252" i="1"/>
  <c r="V251" i="1"/>
  <c r="U251" i="1"/>
  <c r="N251" i="1"/>
  <c r="V250" i="1"/>
  <c r="U250" i="1"/>
  <c r="N250" i="1"/>
  <c r="V244" i="1"/>
  <c r="U244" i="1"/>
  <c r="N244" i="1"/>
  <c r="V243" i="1"/>
  <c r="U243" i="1"/>
  <c r="N243" i="1"/>
  <c r="U242" i="1"/>
  <c r="L242" i="1"/>
  <c r="N242" i="1" s="1"/>
  <c r="V241" i="1"/>
  <c r="U241" i="1"/>
  <c r="N241" i="1"/>
  <c r="L222" i="1"/>
  <c r="N222" i="1" s="1"/>
  <c r="V221" i="1"/>
  <c r="U221" i="1"/>
  <c r="N221" i="1"/>
  <c r="W220" i="1"/>
  <c r="O220" i="1"/>
  <c r="N220" i="1"/>
  <c r="T217" i="1"/>
  <c r="V216" i="1"/>
  <c r="U216" i="1"/>
  <c r="N216" i="1"/>
  <c r="V215" i="1"/>
  <c r="U215" i="1"/>
  <c r="N215" i="1"/>
  <c r="V214" i="1"/>
  <c r="U214" i="1"/>
  <c r="N214" i="1"/>
  <c r="V213" i="1"/>
  <c r="U213" i="1"/>
  <c r="N213" i="1"/>
  <c r="V212" i="1"/>
  <c r="U212" i="1"/>
  <c r="N212" i="1"/>
  <c r="V211" i="1"/>
  <c r="U211" i="1"/>
  <c r="N211" i="1"/>
  <c r="V210" i="1"/>
  <c r="U210" i="1"/>
  <c r="N210" i="1"/>
  <c r="V209" i="1"/>
  <c r="U209" i="1"/>
  <c r="N209" i="1"/>
  <c r="T208" i="1"/>
  <c r="V207" i="1"/>
  <c r="U207" i="1"/>
  <c r="N207" i="1"/>
  <c r="V206" i="1"/>
  <c r="U206" i="1"/>
  <c r="N206" i="1"/>
  <c r="V205" i="1"/>
  <c r="U205" i="1"/>
  <c r="N205" i="1"/>
  <c r="V204" i="1"/>
  <c r="U204" i="1"/>
  <c r="N204" i="1"/>
  <c r="V203" i="1"/>
  <c r="U203" i="1"/>
  <c r="N203" i="1"/>
  <c r="V202" i="1"/>
  <c r="U202" i="1"/>
  <c r="N202" i="1"/>
  <c r="V201" i="1"/>
  <c r="U201" i="1"/>
  <c r="N201" i="1"/>
  <c r="V200" i="1"/>
  <c r="U200" i="1"/>
  <c r="N200" i="1"/>
  <c r="V199" i="1"/>
  <c r="U199" i="1"/>
  <c r="N199" i="1"/>
  <c r="V198" i="1"/>
  <c r="U198" i="1"/>
  <c r="N198" i="1"/>
  <c r="V197" i="1"/>
  <c r="U197" i="1"/>
  <c r="N197" i="1"/>
  <c r="V196" i="1"/>
  <c r="U196" i="1"/>
  <c r="N196" i="1"/>
  <c r="V195" i="1"/>
  <c r="U195" i="1"/>
  <c r="N195" i="1"/>
  <c r="V194" i="1"/>
  <c r="U194" i="1"/>
  <c r="N194" i="1"/>
  <c r="V193" i="1"/>
  <c r="U193" i="1"/>
  <c r="N193" i="1"/>
  <c r="V192" i="1"/>
  <c r="U192" i="1"/>
  <c r="N192" i="1"/>
  <c r="V191" i="1"/>
  <c r="U191" i="1"/>
  <c r="N191" i="1"/>
  <c r="V190" i="1"/>
  <c r="U190" i="1"/>
  <c r="N190" i="1"/>
  <c r="V189" i="1"/>
  <c r="U189" i="1"/>
  <c r="N189" i="1"/>
  <c r="V188" i="1"/>
  <c r="U188" i="1"/>
  <c r="N188" i="1"/>
  <c r="V187" i="1"/>
  <c r="U187" i="1"/>
  <c r="N187" i="1"/>
  <c r="W186" i="1"/>
  <c r="O186" i="1"/>
  <c r="N186" i="1"/>
  <c r="W185" i="1"/>
  <c r="O185" i="1"/>
  <c r="N185" i="1"/>
  <c r="W184" i="1"/>
  <c r="O184" i="1"/>
  <c r="N184" i="1"/>
  <c r="V183" i="1"/>
  <c r="U183" i="1"/>
  <c r="N183" i="1"/>
  <c r="V182" i="1"/>
  <c r="U182" i="1"/>
  <c r="N182" i="1"/>
  <c r="V181" i="1"/>
  <c r="U181" i="1"/>
  <c r="N181" i="1"/>
  <c r="V180" i="1"/>
  <c r="U180" i="1"/>
  <c r="N180" i="1"/>
  <c r="V179" i="1"/>
  <c r="U179" i="1"/>
  <c r="N179" i="1"/>
  <c r="L148" i="1"/>
  <c r="N148" i="1" s="1"/>
  <c r="V147" i="1"/>
  <c r="U147" i="1"/>
  <c r="N147" i="1"/>
  <c r="V146" i="1"/>
  <c r="U146" i="1"/>
  <c r="N146" i="1"/>
  <c r="V145" i="1"/>
  <c r="U145" i="1"/>
  <c r="N145" i="1"/>
  <c r="V144" i="1"/>
  <c r="U144" i="1"/>
  <c r="N144" i="1"/>
  <c r="V143" i="1"/>
  <c r="U143" i="1"/>
  <c r="N143" i="1"/>
  <c r="V142" i="1"/>
  <c r="U142" i="1"/>
  <c r="N142" i="1"/>
  <c r="V141" i="1"/>
  <c r="U141" i="1"/>
  <c r="N141" i="1"/>
  <c r="V140" i="1"/>
  <c r="U140" i="1"/>
  <c r="N140" i="1"/>
  <c r="V178" i="1"/>
  <c r="U178" i="1"/>
  <c r="N178" i="1"/>
  <c r="V177" i="1"/>
  <c r="U177" i="1"/>
  <c r="N177" i="1"/>
  <c r="V176" i="1"/>
  <c r="U176" i="1"/>
  <c r="N176" i="1"/>
  <c r="V175" i="1"/>
  <c r="U175" i="1"/>
  <c r="N175" i="1"/>
  <c r="V174" i="1"/>
  <c r="U174" i="1"/>
  <c r="N174" i="1"/>
  <c r="V173" i="1"/>
  <c r="U173" i="1"/>
  <c r="N173" i="1"/>
  <c r="V170" i="1"/>
  <c r="U170" i="1"/>
  <c r="N170" i="1"/>
  <c r="V169" i="1"/>
  <c r="U169" i="1"/>
  <c r="N169" i="1"/>
  <c r="V168" i="1"/>
  <c r="U168" i="1"/>
  <c r="N168" i="1"/>
  <c r="V167" i="1"/>
  <c r="U167" i="1"/>
  <c r="N167" i="1"/>
  <c r="V166" i="1"/>
  <c r="U166" i="1"/>
  <c r="N166" i="1"/>
  <c r="V165" i="1"/>
  <c r="U165" i="1"/>
  <c r="N165" i="1"/>
  <c r="V164" i="1"/>
  <c r="U164" i="1"/>
  <c r="N164" i="1"/>
  <c r="V163" i="1"/>
  <c r="U163" i="1"/>
  <c r="N163" i="1"/>
  <c r="V162" i="1"/>
  <c r="U162" i="1"/>
  <c r="N162" i="1"/>
  <c r="V161" i="1"/>
  <c r="U161" i="1"/>
  <c r="N161" i="1"/>
  <c r="V160" i="1"/>
  <c r="U160" i="1"/>
  <c r="N160" i="1"/>
  <c r="V159" i="1"/>
  <c r="U159" i="1"/>
  <c r="N159" i="1"/>
  <c r="V158" i="1"/>
  <c r="U158" i="1"/>
  <c r="N158" i="1"/>
  <c r="V157" i="1"/>
  <c r="U157" i="1"/>
  <c r="N157" i="1"/>
  <c r="V156" i="1"/>
  <c r="U156" i="1"/>
  <c r="N156" i="1"/>
  <c r="V155" i="1"/>
  <c r="U155" i="1"/>
  <c r="N155" i="1"/>
  <c r="V154" i="1"/>
  <c r="U154" i="1"/>
  <c r="N154" i="1"/>
  <c r="V153" i="1"/>
  <c r="U153" i="1"/>
  <c r="N153" i="1"/>
  <c r="V152" i="1"/>
  <c r="U152" i="1"/>
  <c r="N152" i="1"/>
  <c r="V151" i="1"/>
  <c r="U151" i="1"/>
  <c r="N151" i="1"/>
  <c r="V150" i="1"/>
  <c r="U150" i="1"/>
  <c r="N150" i="1"/>
  <c r="V149" i="1"/>
  <c r="U149" i="1"/>
  <c r="N149" i="1"/>
  <c r="V148" i="1"/>
  <c r="U148" i="1"/>
  <c r="V139" i="1"/>
  <c r="U139" i="1"/>
  <c r="N139" i="1"/>
  <c r="N105" i="1"/>
  <c r="O92" i="1"/>
  <c r="N92" i="1"/>
  <c r="O77" i="1"/>
  <c r="N77" i="1"/>
  <c r="O43" i="1"/>
  <c r="N43" i="1"/>
  <c r="O21" i="1"/>
  <c r="W15" i="1"/>
  <c r="W343" i="1" s="1"/>
  <c r="V15" i="1"/>
  <c r="V343" i="1" s="1"/>
  <c r="O13" i="1"/>
  <c r="N13" i="1"/>
  <c r="A13" i="1"/>
  <c r="O12" i="1"/>
  <c r="N12" i="1"/>
  <c r="O11" i="1"/>
  <c r="O15" i="1" s="1"/>
  <c r="O343" i="1" s="1"/>
  <c r="N11" i="1"/>
  <c r="N15" i="1" s="1"/>
  <c r="N343" i="1" s="1"/>
  <c r="U338" i="1"/>
  <c r="N338" i="1"/>
  <c r="L337" i="1"/>
  <c r="N337" i="1" s="1"/>
  <c r="V336" i="1"/>
  <c r="U336" i="1"/>
  <c r="N336" i="1"/>
  <c r="V335" i="1"/>
  <c r="V340" i="1" s="1"/>
  <c r="V351" i="1" s="1"/>
  <c r="N335" i="1"/>
  <c r="N340" i="1" s="1"/>
  <c r="N351" i="1" s="1"/>
  <c r="V330" i="1"/>
  <c r="U330" i="1"/>
  <c r="V329" i="1"/>
  <c r="U329" i="1"/>
  <c r="V326" i="1"/>
  <c r="U326" i="1"/>
  <c r="T323" i="1"/>
  <c r="V321" i="1"/>
  <c r="L317" i="1"/>
  <c r="N317" i="1" s="1"/>
  <c r="T311" i="1"/>
  <c r="U308" i="1"/>
  <c r="T303" i="1"/>
  <c r="V302" i="1"/>
  <c r="T292" i="1"/>
  <c r="T291" i="1"/>
  <c r="T288" i="1"/>
  <c r="N286" i="1"/>
  <c r="V285" i="1"/>
  <c r="U285" i="1"/>
  <c r="N285" i="1"/>
  <c r="W281" i="1"/>
  <c r="N281" i="1"/>
  <c r="V228" i="1"/>
  <c r="U228" i="1"/>
  <c r="V226" i="1"/>
  <c r="L226" i="1"/>
  <c r="N226" i="1" s="1"/>
  <c r="U225" i="1"/>
  <c r="M118" i="1"/>
  <c r="O118" i="1" s="1"/>
  <c r="V233" i="1"/>
  <c r="U233" i="1"/>
  <c r="V232" i="1"/>
  <c r="U232" i="1"/>
  <c r="N232" i="1"/>
  <c r="V229" i="1"/>
  <c r="U229" i="1"/>
  <c r="L228" i="1"/>
  <c r="N228" i="1" s="1"/>
  <c r="V227" i="1"/>
  <c r="U227" i="1"/>
  <c r="N227" i="1"/>
  <c r="U226" i="1"/>
  <c r="V225" i="1"/>
  <c r="V224" i="1"/>
  <c r="U224" i="1"/>
  <c r="N224" i="1"/>
  <c r="V223" i="1"/>
  <c r="U223" i="1"/>
  <c r="N223" i="1"/>
  <c r="V222" i="1"/>
  <c r="U222" i="1"/>
  <c r="V131" i="1"/>
  <c r="V345" i="1" s="1"/>
  <c r="W118" i="1"/>
  <c r="N118" i="1"/>
  <c r="N229" i="1"/>
  <c r="W125" i="1"/>
  <c r="O125" i="1"/>
  <c r="N125" i="1"/>
  <c r="W337" i="1" l="1"/>
  <c r="M337" i="1"/>
  <c r="O337" i="1" s="1"/>
  <c r="V322" i="1"/>
  <c r="U322" i="1"/>
  <c r="L322" i="1"/>
  <c r="N322" i="1" s="1"/>
  <c r="W321" i="1"/>
  <c r="M321" i="1"/>
  <c r="O321" i="1" s="1"/>
  <c r="W320" i="1"/>
  <c r="M320" i="1"/>
  <c r="O320" i="1" s="1"/>
  <c r="U318" i="1"/>
  <c r="V318" i="1"/>
  <c r="T319" i="1"/>
  <c r="L318" i="1"/>
  <c r="N318" i="1" s="1"/>
  <c r="M317" i="1"/>
  <c r="O317" i="1" s="1"/>
  <c r="W317" i="1"/>
  <c r="W302" i="1"/>
  <c r="M302" i="1"/>
  <c r="O302" i="1" s="1"/>
  <c r="U293" i="1"/>
  <c r="T299" i="1"/>
  <c r="L293" i="1"/>
  <c r="N293" i="1" s="1"/>
  <c r="V293" i="1"/>
  <c r="W287" i="1"/>
  <c r="M287" i="1"/>
  <c r="O287" i="1" s="1"/>
  <c r="W286" i="1"/>
  <c r="M286" i="1"/>
  <c r="O286" i="1" s="1"/>
  <c r="U238" i="1"/>
  <c r="V238" i="1"/>
  <c r="T247" i="1"/>
  <c r="L238" i="1"/>
  <c r="N238" i="1" s="1"/>
  <c r="U237" i="1"/>
  <c r="V237" i="1"/>
  <c r="T246" i="1"/>
  <c r="L237" i="1"/>
  <c r="N237" i="1" s="1"/>
  <c r="U236" i="1"/>
  <c r="V236" i="1"/>
  <c r="T245" i="1"/>
  <c r="L236" i="1"/>
  <c r="N236" i="1" s="1"/>
  <c r="W235" i="1"/>
  <c r="M235" i="1"/>
  <c r="O235" i="1" s="1"/>
  <c r="W234" i="1"/>
  <c r="M234" i="1"/>
  <c r="O234" i="1" s="1"/>
  <c r="W266" i="1"/>
  <c r="M266" i="1"/>
  <c r="O266" i="1" s="1"/>
  <c r="W263" i="1"/>
  <c r="M263" i="1"/>
  <c r="O263" i="1" s="1"/>
  <c r="W262" i="1"/>
  <c r="M262" i="1"/>
  <c r="O262" i="1" s="1"/>
  <c r="W261" i="1"/>
  <c r="M261" i="1"/>
  <c r="O261" i="1" s="1"/>
  <c r="W260" i="1"/>
  <c r="M260" i="1"/>
  <c r="O260" i="1" s="1"/>
  <c r="U259" i="1"/>
  <c r="V259" i="1"/>
  <c r="L259" i="1"/>
  <c r="N259" i="1" s="1"/>
  <c r="W253" i="1"/>
  <c r="M253" i="1"/>
  <c r="O253" i="1" s="1"/>
  <c r="W252" i="1"/>
  <c r="M252" i="1"/>
  <c r="O252" i="1" s="1"/>
  <c r="W251" i="1"/>
  <c r="M251" i="1"/>
  <c r="O251" i="1" s="1"/>
  <c r="W250" i="1"/>
  <c r="M250" i="1"/>
  <c r="O250" i="1" s="1"/>
  <c r="W244" i="1"/>
  <c r="M244" i="1"/>
  <c r="O244" i="1" s="1"/>
  <c r="W243" i="1"/>
  <c r="M243" i="1"/>
  <c r="O243" i="1" s="1"/>
  <c r="W242" i="1"/>
  <c r="M242" i="1"/>
  <c r="O242" i="1" s="1"/>
  <c r="W241" i="1"/>
  <c r="M241" i="1"/>
  <c r="O241" i="1" s="1"/>
  <c r="W221" i="1"/>
  <c r="M221" i="1"/>
  <c r="O221" i="1" s="1"/>
  <c r="U217" i="1"/>
  <c r="V217" i="1"/>
  <c r="L217" i="1"/>
  <c r="N217" i="1" s="1"/>
  <c r="W216" i="1"/>
  <c r="M216" i="1"/>
  <c r="O216" i="1" s="1"/>
  <c r="W215" i="1"/>
  <c r="M215" i="1"/>
  <c r="O215" i="1" s="1"/>
  <c r="W214" i="1"/>
  <c r="M214" i="1"/>
  <c r="O214" i="1" s="1"/>
  <c r="W213" i="1"/>
  <c r="M213" i="1"/>
  <c r="O213" i="1" s="1"/>
  <c r="W212" i="1"/>
  <c r="M212" i="1"/>
  <c r="O212" i="1" s="1"/>
  <c r="W211" i="1"/>
  <c r="M211" i="1"/>
  <c r="O211" i="1" s="1"/>
  <c r="W210" i="1"/>
  <c r="M210" i="1"/>
  <c r="O210" i="1" s="1"/>
  <c r="W209" i="1"/>
  <c r="M209" i="1"/>
  <c r="O209" i="1" s="1"/>
  <c r="U208" i="1"/>
  <c r="V208" i="1"/>
  <c r="L208" i="1"/>
  <c r="N208" i="1" s="1"/>
  <c r="W207" i="1"/>
  <c r="M207" i="1"/>
  <c r="O207" i="1" s="1"/>
  <c r="W206" i="1"/>
  <c r="M206" i="1"/>
  <c r="O206" i="1" s="1"/>
  <c r="W205" i="1"/>
  <c r="M205" i="1"/>
  <c r="O205" i="1" s="1"/>
  <c r="W204" i="1"/>
  <c r="M204" i="1"/>
  <c r="O204" i="1" s="1"/>
  <c r="W203" i="1"/>
  <c r="M203" i="1"/>
  <c r="O203" i="1" s="1"/>
  <c r="W202" i="1"/>
  <c r="M202" i="1"/>
  <c r="O202" i="1" s="1"/>
  <c r="W201" i="1"/>
  <c r="M201" i="1"/>
  <c r="O201" i="1" s="1"/>
  <c r="W200" i="1"/>
  <c r="M200" i="1"/>
  <c r="O200" i="1" s="1"/>
  <c r="W199" i="1"/>
  <c r="M199" i="1"/>
  <c r="O199" i="1" s="1"/>
  <c r="W198" i="1"/>
  <c r="M198" i="1"/>
  <c r="O198" i="1" s="1"/>
  <c r="W197" i="1"/>
  <c r="M197" i="1"/>
  <c r="O197" i="1" s="1"/>
  <c r="W196" i="1"/>
  <c r="M196" i="1"/>
  <c r="O196" i="1" s="1"/>
  <c r="W195" i="1"/>
  <c r="M195" i="1"/>
  <c r="O195" i="1" s="1"/>
  <c r="W194" i="1"/>
  <c r="M194" i="1"/>
  <c r="O194" i="1" s="1"/>
  <c r="W193" i="1"/>
  <c r="M193" i="1"/>
  <c r="O193" i="1" s="1"/>
  <c r="W192" i="1"/>
  <c r="M192" i="1"/>
  <c r="O192" i="1" s="1"/>
  <c r="W191" i="1"/>
  <c r="M191" i="1"/>
  <c r="O191" i="1" s="1"/>
  <c r="W190" i="1"/>
  <c r="M190" i="1"/>
  <c r="O190" i="1" s="1"/>
  <c r="W189" i="1"/>
  <c r="M189" i="1"/>
  <c r="O189" i="1" s="1"/>
  <c r="W188" i="1"/>
  <c r="M188" i="1"/>
  <c r="O188" i="1" s="1"/>
  <c r="W187" i="1"/>
  <c r="M187" i="1"/>
  <c r="O187" i="1" s="1"/>
  <c r="W183" i="1"/>
  <c r="M183" i="1"/>
  <c r="O183" i="1" s="1"/>
  <c r="W182" i="1"/>
  <c r="M182" i="1"/>
  <c r="O182" i="1" s="1"/>
  <c r="W181" i="1"/>
  <c r="M181" i="1"/>
  <c r="O181" i="1" s="1"/>
  <c r="W180" i="1"/>
  <c r="M180" i="1"/>
  <c r="O180" i="1" s="1"/>
  <c r="W179" i="1"/>
  <c r="M179" i="1"/>
  <c r="O179" i="1" s="1"/>
  <c r="W147" i="1"/>
  <c r="M147" i="1"/>
  <c r="O147" i="1" s="1"/>
  <c r="W146" i="1"/>
  <c r="M146" i="1"/>
  <c r="O146" i="1" s="1"/>
  <c r="W145" i="1"/>
  <c r="M145" i="1"/>
  <c r="O145" i="1" s="1"/>
  <c r="W144" i="1"/>
  <c r="M144" i="1"/>
  <c r="O144" i="1" s="1"/>
  <c r="W143" i="1"/>
  <c r="M143" i="1"/>
  <c r="O143" i="1" s="1"/>
  <c r="W142" i="1"/>
  <c r="M142" i="1"/>
  <c r="O142" i="1" s="1"/>
  <c r="W141" i="1"/>
  <c r="M141" i="1"/>
  <c r="O141" i="1" s="1"/>
  <c r="W140" i="1"/>
  <c r="M140" i="1"/>
  <c r="O140" i="1" s="1"/>
  <c r="W178" i="1"/>
  <c r="M178" i="1"/>
  <c r="O178" i="1" s="1"/>
  <c r="W177" i="1"/>
  <c r="M177" i="1"/>
  <c r="O177" i="1" s="1"/>
  <c r="W176" i="1"/>
  <c r="M176" i="1"/>
  <c r="O176" i="1" s="1"/>
  <c r="W175" i="1"/>
  <c r="M175" i="1"/>
  <c r="O175" i="1" s="1"/>
  <c r="W174" i="1"/>
  <c r="M174" i="1"/>
  <c r="O174" i="1" s="1"/>
  <c r="W173" i="1"/>
  <c r="M173" i="1"/>
  <c r="O173" i="1" s="1"/>
  <c r="W170" i="1"/>
  <c r="M170" i="1"/>
  <c r="O170" i="1" s="1"/>
  <c r="W169" i="1"/>
  <c r="M169" i="1"/>
  <c r="O169" i="1" s="1"/>
  <c r="W168" i="1"/>
  <c r="M168" i="1"/>
  <c r="O168" i="1" s="1"/>
  <c r="W167" i="1"/>
  <c r="M167" i="1"/>
  <c r="O167" i="1" s="1"/>
  <c r="W166" i="1"/>
  <c r="M166" i="1"/>
  <c r="O166" i="1" s="1"/>
  <c r="W165" i="1"/>
  <c r="M165" i="1"/>
  <c r="O165" i="1" s="1"/>
  <c r="W164" i="1"/>
  <c r="M164" i="1"/>
  <c r="O164" i="1" s="1"/>
  <c r="W163" i="1"/>
  <c r="M163" i="1"/>
  <c r="O163" i="1" s="1"/>
  <c r="W162" i="1"/>
  <c r="M162" i="1"/>
  <c r="O162" i="1" s="1"/>
  <c r="W161" i="1"/>
  <c r="M161" i="1"/>
  <c r="O161" i="1" s="1"/>
  <c r="W160" i="1"/>
  <c r="M160" i="1"/>
  <c r="O160" i="1" s="1"/>
  <c r="W159" i="1"/>
  <c r="M159" i="1"/>
  <c r="O159" i="1" s="1"/>
  <c r="W158" i="1"/>
  <c r="M158" i="1"/>
  <c r="O158" i="1" s="1"/>
  <c r="W157" i="1"/>
  <c r="M157" i="1"/>
  <c r="O157" i="1" s="1"/>
  <c r="W156" i="1"/>
  <c r="M156" i="1"/>
  <c r="O156" i="1" s="1"/>
  <c r="W155" i="1"/>
  <c r="M155" i="1"/>
  <c r="O155" i="1" s="1"/>
  <c r="W154" i="1"/>
  <c r="M154" i="1"/>
  <c r="O154" i="1" s="1"/>
  <c r="W153" i="1"/>
  <c r="M153" i="1"/>
  <c r="O153" i="1" s="1"/>
  <c r="W152" i="1"/>
  <c r="M152" i="1"/>
  <c r="O152" i="1" s="1"/>
  <c r="W151" i="1"/>
  <c r="M151" i="1"/>
  <c r="O151" i="1" s="1"/>
  <c r="W150" i="1"/>
  <c r="M150" i="1"/>
  <c r="O150" i="1" s="1"/>
  <c r="W149" i="1"/>
  <c r="M149" i="1"/>
  <c r="O149" i="1" s="1"/>
  <c r="W148" i="1"/>
  <c r="M148" i="1"/>
  <c r="O148" i="1" s="1"/>
  <c r="W139" i="1"/>
  <c r="M139" i="1"/>
  <c r="O139" i="1" s="1"/>
  <c r="W338" i="1"/>
  <c r="M338" i="1"/>
  <c r="O338" i="1" s="1"/>
  <c r="W336" i="1"/>
  <c r="M336" i="1"/>
  <c r="O336" i="1" s="1"/>
  <c r="O340" i="1" s="1"/>
  <c r="O351" i="1" s="1"/>
  <c r="W330" i="1"/>
  <c r="M330" i="1"/>
  <c r="O330" i="1" s="1"/>
  <c r="W329" i="1"/>
  <c r="M329" i="1"/>
  <c r="O329" i="1" s="1"/>
  <c r="W326" i="1"/>
  <c r="M326" i="1"/>
  <c r="O326" i="1" s="1"/>
  <c r="U323" i="1"/>
  <c r="V323" i="1"/>
  <c r="L323" i="1"/>
  <c r="N323" i="1" s="1"/>
  <c r="U311" i="1"/>
  <c r="V311" i="1"/>
  <c r="T314" i="1"/>
  <c r="L311" i="1"/>
  <c r="N311" i="1" s="1"/>
  <c r="W308" i="1"/>
  <c r="M308" i="1"/>
  <c r="O308" i="1" s="1"/>
  <c r="U303" i="1"/>
  <c r="V303" i="1"/>
  <c r="T304" i="1"/>
  <c r="L303" i="1"/>
  <c r="N303" i="1" s="1"/>
  <c r="T298" i="1"/>
  <c r="U292" i="1"/>
  <c r="V292" i="1"/>
  <c r="L292" i="1"/>
  <c r="N292" i="1" s="1"/>
  <c r="V291" i="1"/>
  <c r="U291" i="1"/>
  <c r="T297" i="1"/>
  <c r="L291" i="1"/>
  <c r="N291" i="1" s="1"/>
  <c r="V288" i="1"/>
  <c r="T327" i="1"/>
  <c r="U288" i="1"/>
  <c r="T294" i="1"/>
  <c r="L288" i="1"/>
  <c r="N288" i="1" s="1"/>
  <c r="W285" i="1"/>
  <c r="M285" i="1"/>
  <c r="O285" i="1" s="1"/>
  <c r="W228" i="1"/>
  <c r="M228" i="1"/>
  <c r="O228" i="1" s="1"/>
  <c r="W225" i="1"/>
  <c r="M225" i="1"/>
  <c r="O225" i="1" s="1"/>
  <c r="W233" i="1"/>
  <c r="M233" i="1"/>
  <c r="O233" i="1" s="1"/>
  <c r="W232" i="1"/>
  <c r="M232" i="1"/>
  <c r="O232" i="1" s="1"/>
  <c r="W229" i="1"/>
  <c r="M229" i="1"/>
  <c r="O229" i="1" s="1"/>
  <c r="W227" i="1"/>
  <c r="M227" i="1"/>
  <c r="O227" i="1" s="1"/>
  <c r="W226" i="1"/>
  <c r="M226" i="1"/>
  <c r="O226" i="1" s="1"/>
  <c r="W224" i="1"/>
  <c r="M224" i="1"/>
  <c r="O224" i="1" s="1"/>
  <c r="M223" i="1"/>
  <c r="O223" i="1" s="1"/>
  <c r="W223" i="1"/>
  <c r="W222" i="1"/>
  <c r="M222" i="1"/>
  <c r="O222" i="1" s="1"/>
  <c r="W131" i="1"/>
  <c r="W345" i="1" s="1"/>
  <c r="N131" i="1"/>
  <c r="N345" i="1" s="1"/>
  <c r="O131" i="1"/>
  <c r="O345" i="1" s="1"/>
  <c r="W322" i="1" l="1"/>
  <c r="M322" i="1"/>
  <c r="O322" i="1" s="1"/>
  <c r="W318" i="1"/>
  <c r="M318" i="1"/>
  <c r="O318" i="1" s="1"/>
  <c r="U319" i="1"/>
  <c r="V319" i="1"/>
  <c r="L319" i="1"/>
  <c r="N319" i="1" s="1"/>
  <c r="W293" i="1"/>
  <c r="M293" i="1"/>
  <c r="O293" i="1" s="1"/>
  <c r="V299" i="1"/>
  <c r="L299" i="1"/>
  <c r="N299" i="1" s="1"/>
  <c r="U299" i="1"/>
  <c r="T305" i="1"/>
  <c r="M238" i="1"/>
  <c r="O238" i="1" s="1"/>
  <c r="W238" i="1"/>
  <c r="U247" i="1"/>
  <c r="V247" i="1"/>
  <c r="T256" i="1"/>
  <c r="L247" i="1"/>
  <c r="N247" i="1" s="1"/>
  <c r="W237" i="1"/>
  <c r="M237" i="1"/>
  <c r="O237" i="1" s="1"/>
  <c r="U246" i="1"/>
  <c r="V246" i="1"/>
  <c r="T255" i="1"/>
  <c r="L246" i="1"/>
  <c r="N246" i="1" s="1"/>
  <c r="W236" i="1"/>
  <c r="M236" i="1"/>
  <c r="O236" i="1" s="1"/>
  <c r="U245" i="1"/>
  <c r="V245" i="1"/>
  <c r="T254" i="1"/>
  <c r="L245" i="1"/>
  <c r="N245" i="1" s="1"/>
  <c r="W259" i="1"/>
  <c r="M259" i="1"/>
  <c r="O259" i="1" s="1"/>
  <c r="W217" i="1"/>
  <c r="M217" i="1"/>
  <c r="O217" i="1" s="1"/>
  <c r="W208" i="1"/>
  <c r="M208" i="1"/>
  <c r="O208" i="1" s="1"/>
  <c r="W323" i="1"/>
  <c r="M323" i="1"/>
  <c r="O323" i="1" s="1"/>
  <c r="W311" i="1"/>
  <c r="M311" i="1"/>
  <c r="O311" i="1" s="1"/>
  <c r="U314" i="1"/>
  <c r="V314" i="1"/>
  <c r="L314" i="1"/>
  <c r="N314" i="1" s="1"/>
  <c r="M303" i="1"/>
  <c r="O303" i="1" s="1"/>
  <c r="W303" i="1"/>
  <c r="V304" i="1"/>
  <c r="L304" i="1"/>
  <c r="N304" i="1" s="1"/>
  <c r="U304" i="1"/>
  <c r="V298" i="1"/>
  <c r="U298" i="1"/>
  <c r="L298" i="1"/>
  <c r="N298" i="1" s="1"/>
  <c r="W292" i="1"/>
  <c r="M292" i="1"/>
  <c r="O292" i="1" s="1"/>
  <c r="M291" i="1"/>
  <c r="O291" i="1" s="1"/>
  <c r="W291" i="1"/>
  <c r="V297" i="1"/>
  <c r="L297" i="1"/>
  <c r="N297" i="1" s="1"/>
  <c r="U297" i="1"/>
  <c r="U327" i="1"/>
  <c r="V327" i="1"/>
  <c r="L327" i="1"/>
  <c r="N327" i="1" s="1"/>
  <c r="W288" i="1"/>
  <c r="M288" i="1"/>
  <c r="O288" i="1" s="1"/>
  <c r="T300" i="1"/>
  <c r="U294" i="1"/>
  <c r="V294" i="1"/>
  <c r="L294" i="1"/>
  <c r="N294" i="1" s="1"/>
  <c r="W340" i="1"/>
  <c r="W351" i="1" s="1"/>
  <c r="W319" i="1" l="1"/>
  <c r="M319" i="1"/>
  <c r="O319" i="1" s="1"/>
  <c r="W299" i="1"/>
  <c r="M299" i="1"/>
  <c r="O299" i="1" s="1"/>
  <c r="U305" i="1"/>
  <c r="V305" i="1"/>
  <c r="L305" i="1"/>
  <c r="N305" i="1" s="1"/>
  <c r="W247" i="1"/>
  <c r="M247" i="1"/>
  <c r="O247" i="1" s="1"/>
  <c r="U256" i="1"/>
  <c r="V256" i="1"/>
  <c r="L256" i="1"/>
  <c r="N256" i="1" s="1"/>
  <c r="W246" i="1"/>
  <c r="M246" i="1"/>
  <c r="O246" i="1" s="1"/>
  <c r="U255" i="1"/>
  <c r="V255" i="1"/>
  <c r="T264" i="1"/>
  <c r="L255" i="1"/>
  <c r="N255" i="1" s="1"/>
  <c r="W245" i="1"/>
  <c r="M245" i="1"/>
  <c r="O245" i="1" s="1"/>
  <c r="U254" i="1"/>
  <c r="V254" i="1"/>
  <c r="L254" i="1"/>
  <c r="N254" i="1" s="1"/>
  <c r="W314" i="1"/>
  <c r="M314" i="1"/>
  <c r="O314" i="1" s="1"/>
  <c r="W304" i="1"/>
  <c r="M304" i="1"/>
  <c r="O304" i="1" s="1"/>
  <c r="W298" i="1"/>
  <c r="M298" i="1"/>
  <c r="O298" i="1" s="1"/>
  <c r="W297" i="1"/>
  <c r="M297" i="1"/>
  <c r="O297" i="1" s="1"/>
  <c r="W327" i="1"/>
  <c r="M327" i="1"/>
  <c r="O327" i="1" s="1"/>
  <c r="U300" i="1"/>
  <c r="V300" i="1"/>
  <c r="V332" i="1" s="1"/>
  <c r="V349" i="1" s="1"/>
  <c r="L300" i="1"/>
  <c r="N300" i="1" s="1"/>
  <c r="N332" i="1" s="1"/>
  <c r="N349" i="1" s="1"/>
  <c r="W294" i="1"/>
  <c r="M294" i="1"/>
  <c r="O294" i="1" s="1"/>
  <c r="M305" i="1" l="1"/>
  <c r="O305" i="1" s="1"/>
  <c r="W305" i="1"/>
  <c r="W256" i="1"/>
  <c r="M256" i="1"/>
  <c r="O256" i="1" s="1"/>
  <c r="W255" i="1"/>
  <c r="M255" i="1"/>
  <c r="O255" i="1" s="1"/>
  <c r="U264" i="1"/>
  <c r="V264" i="1"/>
  <c r="V268" i="1" s="1"/>
  <c r="V347" i="1" s="1"/>
  <c r="V352" i="1" s="1"/>
  <c r="L264" i="1"/>
  <c r="N264" i="1" s="1"/>
  <c r="N268" i="1" s="1"/>
  <c r="N347" i="1" s="1"/>
  <c r="N352" i="1" s="1"/>
  <c r="W254" i="1"/>
  <c r="M254" i="1"/>
  <c r="O254" i="1" s="1"/>
  <c r="W300" i="1"/>
  <c r="M300" i="1"/>
  <c r="O300" i="1" s="1"/>
  <c r="W264" i="1" l="1"/>
  <c r="W268" i="1" s="1"/>
  <c r="W347" i="1" s="1"/>
  <c r="M264" i="1"/>
  <c r="O264" i="1" s="1"/>
  <c r="O268" i="1" s="1"/>
  <c r="O347" i="1" s="1"/>
  <c r="O362" i="1"/>
  <c r="O363" i="1" s="1"/>
  <c r="O332" i="1"/>
  <c r="O349" i="1" s="1"/>
  <c r="W332" i="1"/>
  <c r="W349" i="1" s="1"/>
  <c r="W352" i="1" l="1"/>
  <c r="W354" i="1" s="1"/>
  <c r="O352" i="1"/>
  <c r="Q352" i="1" l="1"/>
  <c r="O354" i="1"/>
  <c r="T357" i="1" s="1"/>
  <c r="T358" i="1" s="1"/>
</calcChain>
</file>

<file path=xl/sharedStrings.xml><?xml version="1.0" encoding="utf-8"?>
<sst xmlns="http://schemas.openxmlformats.org/spreadsheetml/2006/main" count="1215" uniqueCount="308">
  <si>
    <t>BILL OF QUANTITY</t>
  </si>
  <si>
    <t>Factor</t>
  </si>
  <si>
    <t>Proyek</t>
  </si>
  <si>
    <t>:</t>
  </si>
  <si>
    <t>PT. VISION EASE</t>
  </si>
  <si>
    <t>Material</t>
  </si>
  <si>
    <t>Pekerjaan</t>
  </si>
  <si>
    <t>Renewall Chiller Plant</t>
  </si>
  <si>
    <t>Upah</t>
  </si>
  <si>
    <t xml:space="preserve">Tanggal </t>
  </si>
  <si>
    <t>Prelim</t>
  </si>
  <si>
    <t>NO</t>
  </si>
  <si>
    <t>DESCRIPTION</t>
  </si>
  <si>
    <t>QTY</t>
  </si>
  <si>
    <t>SATUAN</t>
  </si>
  <si>
    <t>UNIT PRICE</t>
  </si>
  <si>
    <t>TOTAL PRICE</t>
  </si>
  <si>
    <t>MATERIAL</t>
  </si>
  <si>
    <t>LABOUR</t>
  </si>
  <si>
    <t>REFF</t>
  </si>
  <si>
    <t>I</t>
  </si>
  <si>
    <t>PRELIMENARY</t>
  </si>
  <si>
    <t>Management Project</t>
  </si>
  <si>
    <t>lot</t>
  </si>
  <si>
    <t>Pre-1</t>
  </si>
  <si>
    <t>Alat Kerja &amp; Safety</t>
  </si>
  <si>
    <t>Pre-2</t>
  </si>
  <si>
    <t>Test Commmsioning</t>
  </si>
  <si>
    <t>PRE-13</t>
  </si>
  <si>
    <t>SS3</t>
  </si>
  <si>
    <t>HXE</t>
  </si>
  <si>
    <t>SUB TOTAL PRELIMENARY</t>
  </si>
  <si>
    <t>II</t>
  </si>
  <si>
    <t>SUPPLY MAIN EQUIPMENT</t>
  </si>
  <si>
    <t>Supply Main Equipment</t>
  </si>
  <si>
    <t>Water Cooled Chiller</t>
  </si>
  <si>
    <t>unit</t>
  </si>
  <si>
    <t>Model</t>
  </si>
  <si>
    <t>Single Screw Water Cooled Chiller</t>
  </si>
  <si>
    <t>Type</t>
  </si>
  <si>
    <t>HTS100MAZ59F/E3012-PH-2/C3012-EK-2</t>
  </si>
  <si>
    <t>Evap Waterflow</t>
  </si>
  <si>
    <t>Gpm</t>
  </si>
  <si>
    <t>m3/hr</t>
  </si>
  <si>
    <t>Cond Waterflow</t>
  </si>
  <si>
    <t>Power input</t>
  </si>
  <si>
    <t>kW</t>
  </si>
  <si>
    <t>Cooling Capacity</t>
  </si>
  <si>
    <t>TR</t>
  </si>
  <si>
    <t>Evap Connection Pipe</t>
  </si>
  <si>
    <t>Evap Inlet</t>
  </si>
  <si>
    <t>inch</t>
  </si>
  <si>
    <t>Evap Outlet</t>
  </si>
  <si>
    <t>Cond Connection Pipe</t>
  </si>
  <si>
    <t>Cond Inlet</t>
  </si>
  <si>
    <t>Inch</t>
  </si>
  <si>
    <t>Cond Outlet</t>
  </si>
  <si>
    <t>Evap EWT/LWT</t>
  </si>
  <si>
    <t>11/6</t>
  </si>
  <si>
    <r>
      <rPr>
        <sz val="11"/>
        <color theme="1"/>
        <rFont val="Aptos Narrow"/>
        <family val="2"/>
      </rPr>
      <t>°</t>
    </r>
    <r>
      <rPr>
        <sz val="11"/>
        <color theme="1"/>
        <rFont val="Times New Roman"/>
        <family val="1"/>
      </rPr>
      <t>C</t>
    </r>
  </si>
  <si>
    <t>Cond EWT/LWT</t>
  </si>
  <si>
    <t>30/35</t>
  </si>
  <si>
    <t>Power Source</t>
  </si>
  <si>
    <t>380/3N/50Hz</t>
  </si>
  <si>
    <t xml:space="preserve">Starter Type </t>
  </si>
  <si>
    <t>Y-Delta</t>
  </si>
  <si>
    <t>Dimension (L x W x H)</t>
  </si>
  <si>
    <t>4420mm x1821mm x 2336 mm</t>
  </si>
  <si>
    <t xml:space="preserve">Operation Weight </t>
  </si>
  <si>
    <t>7260 Kg</t>
  </si>
  <si>
    <t>Cooling Tower</t>
  </si>
  <si>
    <t>65-SKB-450R</t>
  </si>
  <si>
    <t>Open-Circuit Cooling Tower</t>
  </si>
  <si>
    <t>Ambient Temp.</t>
  </si>
  <si>
    <t>°C WB</t>
  </si>
  <si>
    <t>Entering Water Temp.</t>
  </si>
  <si>
    <t>°C</t>
  </si>
  <si>
    <t>Leaving Water Temp.</t>
  </si>
  <si>
    <t>Water Flow Rate</t>
  </si>
  <si>
    <t>L/min</t>
  </si>
  <si>
    <t>Connection Pipe</t>
  </si>
  <si>
    <t>Water Inlet</t>
  </si>
  <si>
    <t>x 2</t>
  </si>
  <si>
    <t>Water Outlet</t>
  </si>
  <si>
    <t>Overflow</t>
  </si>
  <si>
    <t>Drain</t>
  </si>
  <si>
    <t>Make Up Water</t>
  </si>
  <si>
    <t>Include Floating Valve</t>
  </si>
  <si>
    <t>Equalizer</t>
  </si>
  <si>
    <t>3530mm x 4500mm x 2630mm</t>
  </si>
  <si>
    <t>6120 Kg</t>
  </si>
  <si>
    <t>4070 mm x  6930 mm x 5970 mm</t>
  </si>
  <si>
    <t>12890 Kg</t>
  </si>
  <si>
    <t>Primary Chilled Water Pump for Chiller</t>
  </si>
  <si>
    <t>Tag Number</t>
  </si>
  <si>
    <t>CWP-1-1-3</t>
  </si>
  <si>
    <t>Model Pump</t>
  </si>
  <si>
    <t>300 x 250 CNFA 5 55</t>
  </si>
  <si>
    <t>Horizontal Split Casing</t>
  </si>
  <si>
    <t>Entering Temp</t>
  </si>
  <si>
    <t>6°C</t>
  </si>
  <si>
    <t>Flow Rate</t>
  </si>
  <si>
    <t>12420 l/min</t>
  </si>
  <si>
    <t>Head</t>
  </si>
  <si>
    <t>20 m</t>
  </si>
  <si>
    <t>Size Suction Pipe</t>
  </si>
  <si>
    <t>12 inch</t>
  </si>
  <si>
    <t>Size Discharge Pipe</t>
  </si>
  <si>
    <t>10 inch</t>
  </si>
  <si>
    <t>Power</t>
  </si>
  <si>
    <t>55 kW</t>
  </si>
  <si>
    <t>Speed</t>
  </si>
  <si>
    <t>1450 rpm</t>
  </si>
  <si>
    <t>Remarks</t>
  </si>
  <si>
    <t>2 Running 1 Stand By</t>
  </si>
  <si>
    <t>Secondary Chilled Water Pump</t>
  </si>
  <si>
    <t>CWP-2-1-3</t>
  </si>
  <si>
    <t>End Suction Volute Pump</t>
  </si>
  <si>
    <t>6 °C</t>
  </si>
  <si>
    <t>12422 l/min</t>
  </si>
  <si>
    <t>35 m</t>
  </si>
  <si>
    <t>8 inch</t>
  </si>
  <si>
    <t>110 kW</t>
  </si>
  <si>
    <t>Condenser Water Pump for Chiller</t>
  </si>
  <si>
    <t>CDP-1-2</t>
  </si>
  <si>
    <t>30°C</t>
  </si>
  <si>
    <t>14537.6 l/min</t>
  </si>
  <si>
    <t>1 Running 1 Stand By</t>
  </si>
  <si>
    <t>90 kW</t>
  </si>
  <si>
    <t>Expansion water Tank</t>
  </si>
  <si>
    <t>Volume</t>
  </si>
  <si>
    <t>Liter</t>
  </si>
  <si>
    <t>Stainless Steel</t>
  </si>
  <si>
    <t>Insulation</t>
  </si>
  <si>
    <t>ArmaFlex　50mm + Almunium Sheet 0.6 mm</t>
  </si>
  <si>
    <t>Panel Power &amp; Power Control</t>
  </si>
  <si>
    <t>Type/Model</t>
  </si>
  <si>
    <t>Outdoor Floor Standing</t>
  </si>
  <si>
    <t>380 V /3N/50 Hz</t>
  </si>
  <si>
    <t>SUB TOTAL MAIN EQUIPMENT</t>
  </si>
  <si>
    <t>III</t>
  </si>
  <si>
    <t>SCOPE OF WORK INSTALLATION</t>
  </si>
  <si>
    <t>Working for supply and Installation Pipe, Electrical, Insulation, Jacketing</t>
  </si>
  <si>
    <t>A</t>
  </si>
  <si>
    <t>INSTALLATION PIPE</t>
  </si>
  <si>
    <t>PIPE CHILLER WATER SUPPLY</t>
  </si>
  <si>
    <t>-</t>
  </si>
  <si>
    <t>Pipe Blacksteel Sch 40 size</t>
  </si>
  <si>
    <t>18 inch</t>
  </si>
  <si>
    <t>m'</t>
  </si>
  <si>
    <t>BS.ISO.SCH40.8</t>
  </si>
  <si>
    <t>14 inch</t>
  </si>
  <si>
    <t>2 inch</t>
  </si>
  <si>
    <t>Tee Weld Blacksteel Sch 40 size</t>
  </si>
  <si>
    <t>18 x 18 inch</t>
  </si>
  <si>
    <t>pcs</t>
  </si>
  <si>
    <t>14x 14 inch</t>
  </si>
  <si>
    <t>Tee Screw Blacksteel Sch 40 size</t>
  </si>
  <si>
    <t>1/2 inch</t>
  </si>
  <si>
    <t>Reducer Weld Blacksteel Sch 40 size</t>
  </si>
  <si>
    <t>18 x 14 inch</t>
  </si>
  <si>
    <t>18 x 8 inch</t>
  </si>
  <si>
    <t>14 x 10 inch</t>
  </si>
  <si>
    <t>14 x 8 inch</t>
  </si>
  <si>
    <t>10 x 8 inch</t>
  </si>
  <si>
    <t>10 x 5 inch</t>
  </si>
  <si>
    <t>8 x 6 inch</t>
  </si>
  <si>
    <t>Elbow Weld Blacksteel Sch 40 size</t>
  </si>
  <si>
    <t>Elbow Screw Blacksteel Sch 40 size</t>
  </si>
  <si>
    <t>Flange Blacksteel JIS 10K size</t>
  </si>
  <si>
    <t>Flange Blacksteel PN 16 size</t>
  </si>
  <si>
    <t>Blind Flange Blacksteel JIS 10K size</t>
  </si>
  <si>
    <t>Shock Weld Blacksteel size</t>
  </si>
  <si>
    <t>3/4 inch</t>
  </si>
  <si>
    <t>D-Nipple Blacksteel size</t>
  </si>
  <si>
    <t>PIPE CONDENSER WATER SUPPLY</t>
  </si>
  <si>
    <t>Pipe Galvanize Medium size</t>
  </si>
  <si>
    <t>20 inch</t>
  </si>
  <si>
    <t>16 inch</t>
  </si>
  <si>
    <t>3 inch</t>
  </si>
  <si>
    <t>2 1/2 inch</t>
  </si>
  <si>
    <t>Pipe PVC Class AW size</t>
  </si>
  <si>
    <t>1 1/4 inch</t>
  </si>
  <si>
    <t>Tee Weld Galvanize size</t>
  </si>
  <si>
    <t>20 x 16 inch</t>
  </si>
  <si>
    <t>20 x 12 inch</t>
  </si>
  <si>
    <t>20 x 10 inch</t>
  </si>
  <si>
    <t>16 x 10 inch</t>
  </si>
  <si>
    <t>10 x 10 Inch</t>
  </si>
  <si>
    <t>3 x 2 inch</t>
  </si>
  <si>
    <t>Tee Screw Galvanize size</t>
  </si>
  <si>
    <t>3 x  1  inch</t>
  </si>
  <si>
    <t>3/4 x  3/4 inch</t>
  </si>
  <si>
    <t>Tee PVC Class AW size</t>
  </si>
  <si>
    <t>2 x 2 inch</t>
  </si>
  <si>
    <t>Reducer Weld Galvanize size</t>
  </si>
  <si>
    <t>10 x 6 inch</t>
  </si>
  <si>
    <t>Reducer Screw Galvanize size</t>
  </si>
  <si>
    <t>1 x 3/4 inch</t>
  </si>
  <si>
    <t>Elbow Weld Galvanize size</t>
  </si>
  <si>
    <t xml:space="preserve"> </t>
  </si>
  <si>
    <t>Elbow Screw Galvanize size</t>
  </si>
  <si>
    <t>Elbow PVC Class AW size</t>
  </si>
  <si>
    <t>Flange Galvanize JIS 10K size</t>
  </si>
  <si>
    <t>Flange Galvanize PN16 size</t>
  </si>
  <si>
    <t>2.5 inch</t>
  </si>
  <si>
    <t>Blind Flange Galvanize JIS 10K size</t>
  </si>
  <si>
    <t>Shock Drat Luar PVC Class AW size</t>
  </si>
  <si>
    <t>Shock Weld Galvanize size</t>
  </si>
  <si>
    <t>Accessories Chiller</t>
  </si>
  <si>
    <t>Butterfly Valve Handle Gear</t>
  </si>
  <si>
    <t>Brand : Kitz</t>
  </si>
  <si>
    <t>Butterfly Motorized Valve [On/Off]</t>
  </si>
  <si>
    <t>Brand : Honeywell</t>
  </si>
  <si>
    <t>Flexible Rubber [O-Flex]</t>
  </si>
  <si>
    <t>Brand : Tozen</t>
  </si>
  <si>
    <r>
      <t>Pressure Gauge [ 0 - 10 kgf/cm</t>
    </r>
    <r>
      <rPr>
        <sz val="11"/>
        <color theme="1"/>
        <rFont val="Aptos Narrow"/>
        <family val="2"/>
      </rPr>
      <t>²</t>
    </r>
    <r>
      <rPr>
        <sz val="12.65"/>
        <color theme="1"/>
        <rFont val="Times New Roman"/>
        <family val="1"/>
      </rPr>
      <t>]</t>
    </r>
  </si>
  <si>
    <t>Brand : Wika include Glyserin</t>
  </si>
  <si>
    <r>
      <t>Thermometer  [ 0 - 50</t>
    </r>
    <r>
      <rPr>
        <sz val="11"/>
        <color theme="1"/>
        <rFont val="Aptos Narrow"/>
        <family val="2"/>
        <charset val="1"/>
      </rPr>
      <t>°</t>
    </r>
    <r>
      <rPr>
        <sz val="12.65"/>
        <color theme="1"/>
        <rFont val="Times New Roman"/>
        <family val="1"/>
      </rPr>
      <t>C ]</t>
    </r>
  </si>
  <si>
    <t>Brand : Sika</t>
  </si>
  <si>
    <t xml:space="preserve">Gate Valve </t>
  </si>
  <si>
    <t xml:space="preserve">1/2 </t>
  </si>
  <si>
    <t>Automatic Airvent</t>
  </si>
  <si>
    <t>Accessories Primary Chiller Water Pump</t>
  </si>
  <si>
    <t>Strainer</t>
  </si>
  <si>
    <t>Check Valve</t>
  </si>
  <si>
    <t>Accessories Secondary Chiller Water Pump</t>
  </si>
  <si>
    <r>
      <t>Pressure Gauge [ 0 - 16 kgf/cm</t>
    </r>
    <r>
      <rPr>
        <sz val="11"/>
        <color theme="1"/>
        <rFont val="Aptos Narrow"/>
        <family val="2"/>
      </rPr>
      <t>²</t>
    </r>
    <r>
      <rPr>
        <sz val="12.65"/>
        <color theme="1"/>
        <rFont val="Times New Roman"/>
        <family val="1"/>
      </rPr>
      <t>]</t>
    </r>
  </si>
  <si>
    <t>Accessories Condenser Water Pump</t>
  </si>
  <si>
    <t>Accessories Cooling Tower</t>
  </si>
  <si>
    <t>`</t>
  </si>
  <si>
    <t xml:space="preserve">Check Valve </t>
  </si>
  <si>
    <t>3/4</t>
  </si>
  <si>
    <t>Ball Valve</t>
  </si>
  <si>
    <t>SUB TOTAL INSTALLATION PIPE</t>
  </si>
  <si>
    <t>B</t>
  </si>
  <si>
    <t>INSTALLATION ELECTRICAL</t>
  </si>
  <si>
    <t>Cable Power Incoming New Panel Operationa By Owner</t>
  </si>
  <si>
    <t>Sensor &amp; Controling</t>
  </si>
  <si>
    <t>Pressure Sensor</t>
  </si>
  <si>
    <t>PTG60B-G5C1AG4-M-1H [Azbil]</t>
  </si>
  <si>
    <t>Pressure Controller</t>
  </si>
  <si>
    <t>SDC35TCOUA2400 [Azbil]</t>
  </si>
  <si>
    <t>Temperature Indicator</t>
  </si>
  <si>
    <t>SDC15TC0RA0300 [Azbil]</t>
  </si>
  <si>
    <t>Temperature Sensor</t>
  </si>
  <si>
    <t>SPC625B [Azbil]</t>
  </si>
  <si>
    <t>Cond Temperature Thermostat</t>
  </si>
  <si>
    <t>TY6800Z7010 [Azbil]</t>
  </si>
  <si>
    <t>Inverter For Water Pump</t>
  </si>
  <si>
    <t>ACH580-01-293A IP55</t>
  </si>
  <si>
    <t>160 kW</t>
  </si>
  <si>
    <t>Watercooled Chiller -1 [CH-1]</t>
  </si>
  <si>
    <t xml:space="preserve">Cable Power CH-1 NYY  9x (1C x 150 mm²) </t>
  </si>
  <si>
    <t>mtr</t>
  </si>
  <si>
    <r>
      <t>Cabel Control CH-1 Shielded (10C x 1.5 mm</t>
    </r>
    <r>
      <rPr>
        <sz val="11"/>
        <rFont val="Calibri"/>
        <family val="2"/>
      </rPr>
      <t>²</t>
    </r>
    <r>
      <rPr>
        <sz val="9.35"/>
        <rFont val="Times New Roman"/>
        <family val="1"/>
      </rPr>
      <t xml:space="preserve">) </t>
    </r>
  </si>
  <si>
    <r>
      <t>Cabel Control Motorized Valve Pipe CWP1 Shielded  (8C x 1.5 mm</t>
    </r>
    <r>
      <rPr>
        <sz val="11"/>
        <color rgb="FFFF0000"/>
        <rFont val="Calibri"/>
        <family val="2"/>
      </rPr>
      <t>²</t>
    </r>
    <r>
      <rPr>
        <sz val="9.35"/>
        <color rgb="FFFF0000"/>
        <rFont val="Times New Roman"/>
        <family val="1"/>
      </rPr>
      <t xml:space="preserve">) </t>
    </r>
  </si>
  <si>
    <r>
      <t>Cabel Control Motorized Valve Pipe CDP1 Shielded (8C x 1.5 mm</t>
    </r>
    <r>
      <rPr>
        <sz val="11"/>
        <color rgb="FFFF0000"/>
        <rFont val="Calibri"/>
        <family val="2"/>
      </rPr>
      <t>²</t>
    </r>
    <r>
      <rPr>
        <sz val="9.35"/>
        <color rgb="FFFF0000"/>
        <rFont val="Times New Roman"/>
        <family val="1"/>
      </rPr>
      <t xml:space="preserve">) </t>
    </r>
  </si>
  <si>
    <t>Watercooled Chiller -2 [CH-2]</t>
  </si>
  <si>
    <r>
      <t>Cabel Control CH-2 Shielded (10C x 1.5 mm</t>
    </r>
    <r>
      <rPr>
        <sz val="11"/>
        <rFont val="Calibri"/>
        <family val="2"/>
      </rPr>
      <t>²</t>
    </r>
    <r>
      <rPr>
        <sz val="9.35"/>
        <rFont val="Times New Roman"/>
        <family val="1"/>
      </rPr>
      <t xml:space="preserve">) </t>
    </r>
  </si>
  <si>
    <r>
      <t>Cabel Control Motorized Valve Pipe CWP2 Shielded (8C x 1.5 mm</t>
    </r>
    <r>
      <rPr>
        <sz val="11"/>
        <color rgb="FFFF0000"/>
        <rFont val="Calibri"/>
        <family val="2"/>
      </rPr>
      <t>²</t>
    </r>
    <r>
      <rPr>
        <sz val="9.35"/>
        <color rgb="FFFF0000"/>
        <rFont val="Times New Roman"/>
        <family val="1"/>
      </rPr>
      <t xml:space="preserve">) </t>
    </r>
  </si>
  <si>
    <r>
      <t>Cabel Control Motorized Valve Pipe CDP2 Shielded (8C x 1.5 mm</t>
    </r>
    <r>
      <rPr>
        <sz val="11"/>
        <color rgb="FFFF0000"/>
        <rFont val="Calibri"/>
        <family val="2"/>
      </rPr>
      <t>²</t>
    </r>
    <r>
      <rPr>
        <sz val="9.35"/>
        <color rgb="FFFF0000"/>
        <rFont val="Times New Roman"/>
        <family val="1"/>
      </rPr>
      <t xml:space="preserve">) </t>
    </r>
  </si>
  <si>
    <t>Watercooled Chiller -3 [CH-3]</t>
  </si>
  <si>
    <r>
      <t>Cabel Control CH-3 Shielded AWG24   (10C x 1.5 mm</t>
    </r>
    <r>
      <rPr>
        <sz val="11"/>
        <rFont val="Calibri"/>
        <family val="2"/>
      </rPr>
      <t>²</t>
    </r>
    <r>
      <rPr>
        <sz val="9.35"/>
        <rFont val="Times New Roman"/>
        <family val="1"/>
      </rPr>
      <t xml:space="preserve">) </t>
    </r>
  </si>
  <si>
    <r>
      <t>Cabel Control Motorized Valve Pipe CWP3 Shielded (8C x 1.5 mm</t>
    </r>
    <r>
      <rPr>
        <sz val="11"/>
        <color rgb="FFFF0000"/>
        <rFont val="Calibri"/>
        <family val="2"/>
      </rPr>
      <t>²</t>
    </r>
    <r>
      <rPr>
        <sz val="9.35"/>
        <color rgb="FFFF0000"/>
        <rFont val="Times New Roman"/>
        <family val="1"/>
      </rPr>
      <t xml:space="preserve">) </t>
    </r>
  </si>
  <si>
    <r>
      <t>Cabel Control Motorized Valve Pipe CDP3 Shielded (8C x 1.5 mm</t>
    </r>
    <r>
      <rPr>
        <sz val="11"/>
        <color rgb="FFFF0000"/>
        <rFont val="Calibri"/>
        <family val="2"/>
      </rPr>
      <t>²</t>
    </r>
    <r>
      <rPr>
        <sz val="9.35"/>
        <color rgb="FFFF0000"/>
        <rFont val="Times New Roman"/>
        <family val="1"/>
      </rPr>
      <t xml:space="preserve">) </t>
    </r>
  </si>
  <si>
    <r>
      <t>Cabel Control Pressure Sensor PE2 Shielded (2C x 1.5 mm</t>
    </r>
    <r>
      <rPr>
        <sz val="11"/>
        <rFont val="Calibri"/>
        <family val="2"/>
      </rPr>
      <t>²</t>
    </r>
    <r>
      <rPr>
        <sz val="9.35"/>
        <rFont val="Times New Roman"/>
        <family val="1"/>
      </rPr>
      <t xml:space="preserve">) </t>
    </r>
  </si>
  <si>
    <r>
      <t>Cabel Control Sensor Temperature T1  D Shielded (2C x 1.5 mm</t>
    </r>
    <r>
      <rPr>
        <sz val="11"/>
        <rFont val="Calibri"/>
        <family val="2"/>
      </rPr>
      <t>²</t>
    </r>
    <r>
      <rPr>
        <sz val="9.35"/>
        <rFont val="Times New Roman"/>
        <family val="1"/>
      </rPr>
      <t xml:space="preserve">) </t>
    </r>
  </si>
  <si>
    <r>
      <t>Cabel Control Sensor Temperature T2  D Shielded (2C x 1.5 mm</t>
    </r>
    <r>
      <rPr>
        <sz val="11"/>
        <rFont val="Calibri"/>
        <family val="2"/>
      </rPr>
      <t>²</t>
    </r>
    <r>
      <rPr>
        <sz val="9.35"/>
        <rFont val="Times New Roman"/>
        <family val="1"/>
      </rPr>
      <t xml:space="preserve">) </t>
    </r>
  </si>
  <si>
    <r>
      <t>Cabel Control Sensor Temperature TC 1~3  D Shielded 3x(8C x 1.5 mm</t>
    </r>
    <r>
      <rPr>
        <sz val="11"/>
        <rFont val="Calibri"/>
        <family val="2"/>
      </rPr>
      <t>²</t>
    </r>
    <r>
      <rPr>
        <sz val="9.35"/>
        <rFont val="Times New Roman"/>
        <family val="1"/>
      </rPr>
      <t xml:space="preserve">) </t>
    </r>
  </si>
  <si>
    <t>Cooling Tower-1 [CT-1]</t>
  </si>
  <si>
    <r>
      <t>Cable Power Fan-1 CT-1 NYY 2x(3C x 4 mm²) + NYA (1C x 16 mm</t>
    </r>
    <r>
      <rPr>
        <sz val="11"/>
        <color theme="1"/>
        <rFont val="Aptos Narrow"/>
        <family val="2"/>
      </rPr>
      <t>²)</t>
    </r>
  </si>
  <si>
    <t>Cooling Tower-2 [CT-2]</t>
  </si>
  <si>
    <t>Cable Power Fan-1 CT-1 NYY 2x(3C x 4 mm²)+ NYA (1C x 16 mm²)</t>
  </si>
  <si>
    <t>Cooling Tower-3 [CT-3]</t>
  </si>
  <si>
    <t xml:space="preserve">Water Pump </t>
  </si>
  <si>
    <r>
      <t>Cable Power Primary Chiller Water Pump [CWP 1-1] NYY 2x(3C x 6 mm²) + NYA (1C x 25 mm</t>
    </r>
    <r>
      <rPr>
        <sz val="11"/>
        <color theme="1"/>
        <rFont val="Aptos Narrow"/>
        <family val="2"/>
      </rPr>
      <t>²</t>
    </r>
    <r>
      <rPr>
        <sz val="11"/>
        <color theme="1"/>
        <rFont val="Times New Roman"/>
        <family val="1"/>
      </rPr>
      <t>)</t>
    </r>
  </si>
  <si>
    <t>Cable Power Primary Chiller Water Pump [CWP 1-2] NYY 2x(3C x 6 mm²)+ NYA (1C x 25 mm²)</t>
  </si>
  <si>
    <t>Cable Power Primary Chiller Water Pump [CWP 1-3] NYY 2x(3C x 6 mm²)+ NYA (1C x 25 mm²)</t>
  </si>
  <si>
    <r>
      <t>Cable Power Secondary Chiller Water Pump [CWP 2-1] NYY 2x(3C x 150 mm²) +NYA (1C x 70mm</t>
    </r>
    <r>
      <rPr>
        <sz val="11"/>
        <color theme="1"/>
        <rFont val="Aptos Narrow"/>
        <family val="2"/>
      </rPr>
      <t>²</t>
    </r>
    <r>
      <rPr>
        <sz val="11"/>
        <color theme="1"/>
        <rFont val="Times New Roman"/>
        <family val="1"/>
      </rPr>
      <t>)</t>
    </r>
  </si>
  <si>
    <r>
      <t>Cable Power Condenser Water Pump [CDP 1] NYY 2x(3C x 16 mm²) + (NYA 1C x 25 mm</t>
    </r>
    <r>
      <rPr>
        <sz val="11"/>
        <color theme="1"/>
        <rFont val="Aptos Narrow"/>
        <family val="2"/>
      </rPr>
      <t>²</t>
    </r>
    <r>
      <rPr>
        <sz val="11"/>
        <color theme="1"/>
        <rFont val="Times New Roman"/>
        <family val="1"/>
      </rPr>
      <t>)</t>
    </r>
  </si>
  <si>
    <t>Cable Power Condenser Water Pump [CDP 2] NYY 2x(3C x 16 mm²) + (NYA 1C x 25 mm²)</t>
  </si>
  <si>
    <t>Cable Power Condenser Water Pump [CDP 2] NYY 2x(3C x 16 mm²)+ (NYA 1C x 25 mm²)</t>
  </si>
  <si>
    <t>Inverter Water Pump</t>
  </si>
  <si>
    <r>
      <t>Cable Power Inverter Water Pump [VFD 1-1] NYY (3C x 150 mm²) + (NYA 1C x 70 mm</t>
    </r>
    <r>
      <rPr>
        <sz val="11"/>
        <color theme="1"/>
        <rFont val="Aptos Narrow"/>
        <family val="2"/>
      </rPr>
      <t>²)</t>
    </r>
  </si>
  <si>
    <r>
      <t>Cabel Control Sensor Temperature T 1 Shielded (8C x 1.5 mm</t>
    </r>
    <r>
      <rPr>
        <sz val="11"/>
        <rFont val="Calibri"/>
        <family val="2"/>
      </rPr>
      <t>²</t>
    </r>
    <r>
      <rPr>
        <sz val="9.35"/>
        <rFont val="Times New Roman"/>
        <family val="1"/>
      </rPr>
      <t xml:space="preserve">) </t>
    </r>
  </si>
  <si>
    <t xml:space="preserve">Cable Ladder ( 1000 mm x 100 mm ) include with cover </t>
  </si>
  <si>
    <r>
      <t>Cable Incoming Chiller 12x(1C x 150 mm</t>
    </r>
    <r>
      <rPr>
        <sz val="11"/>
        <color rgb="FFFF0000"/>
        <rFont val="Aptos Narrow"/>
        <family val="2"/>
      </rPr>
      <t>²</t>
    </r>
    <r>
      <rPr>
        <sz val="11"/>
        <color rgb="FFFF0000"/>
        <rFont val="Times New Roman"/>
        <family val="1"/>
      </rPr>
      <t>) (Material By User)</t>
    </r>
  </si>
  <si>
    <t>SUB TOTAL INSTALLATION ELECTRICAL</t>
  </si>
  <si>
    <t>C</t>
  </si>
  <si>
    <t>Lifting &amp; Civil Installation</t>
  </si>
  <si>
    <t>Lifting</t>
  </si>
  <si>
    <t>Lifting Unit Chiller Watercooled</t>
  </si>
  <si>
    <t>Unit</t>
  </si>
  <si>
    <t>Lifting Unit Cooling Tower</t>
  </si>
  <si>
    <t>Lifting Unit Water Pump</t>
  </si>
  <si>
    <t>Lifting Unit Panel Operational</t>
  </si>
  <si>
    <t>SUB TOTAL PEKERJAAN LIFTING</t>
  </si>
  <si>
    <t>Noted : Tambah Valve 8"x2</t>
  </si>
  <si>
    <t>SUMMARY :</t>
  </si>
  <si>
    <t>Pompa Head to 50 Meter</t>
  </si>
  <si>
    <t>PRILEMINARY</t>
  </si>
  <si>
    <t>MAIN EQUIPMENT</t>
  </si>
  <si>
    <t>PIPE INSTALLATION</t>
  </si>
  <si>
    <t>ELECTRICAL INSTALLATION</t>
  </si>
  <si>
    <t>LIFTING &amp; CIVIL INSTALLATION</t>
  </si>
  <si>
    <t>TOTAL</t>
  </si>
  <si>
    <t>Margine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</si>
</sst>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_-[$Rp-421]* #,##0_-;\-[$Rp-421]* #,##0_-;_-[$Rp-421]* &quot;-&quot;_-;_-@_-"/>
    <numFmt numFmtId="167" formatCode="_([$IDR]\ * #,##0.00_);_([$IDR]\ * \(#,##0.00\);_([$IDR]\ 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charset val="1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12.65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sz val="11"/>
      <name val="Calibri"/>
      <family val="2"/>
    </font>
    <font>
      <sz val="9.35"/>
      <name val="Times New Roman"/>
      <family val="1"/>
    </font>
    <font>
      <sz val="11"/>
      <color rgb="FFFF0000"/>
      <name val="Calibri"/>
      <family val="2"/>
    </font>
    <font>
      <sz val="9.35"/>
      <color rgb="FFFF0000"/>
      <name val="Times New Roman"/>
      <family val="1"/>
    </font>
    <font>
      <sz val="11"/>
      <color rgb="FFFF0000"/>
      <name val="Aptos Narrow"/>
      <family val="2"/>
    </font>
  </fonts>
  <fills count="9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rgb="FFFFFF00"/>
        </stop>
      </gradient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2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1" applyNumberFormat="1" applyFont="1"/>
    <xf numFmtId="0" fontId="4" fillId="0" borderId="0" xfId="0" applyFont="1"/>
    <xf numFmtId="0" fontId="5" fillId="3" borderId="0" xfId="0" applyFont="1" applyFill="1"/>
    <xf numFmtId="0" fontId="6" fillId="3" borderId="0" xfId="0" applyFont="1" applyFill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9" fontId="6" fillId="3" borderId="0" xfId="2" applyFont="1" applyFill="1"/>
    <xf numFmtId="15" fontId="3" fillId="0" borderId="0" xfId="0" quotePrefix="1" applyNumberFormat="1" applyFont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4" fontId="6" fillId="4" borderId="5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164" fontId="6" fillId="4" borderId="5" xfId="1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5" xfId="1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/>
    <xf numFmtId="0" fontId="4" fillId="0" borderId="1" xfId="0" applyFont="1" applyBorder="1"/>
    <xf numFmtId="0" fontId="6" fillId="0" borderId="13" xfId="0" applyFont="1" applyBorder="1" applyAlignment="1">
      <alignment horizontal="center"/>
    </xf>
    <xf numFmtId="0" fontId="6" fillId="0" borderId="14" xfId="0" applyFont="1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15" xfId="0" applyFont="1" applyBorder="1"/>
    <xf numFmtId="164" fontId="6" fillId="0" borderId="13" xfId="1" applyNumberFormat="1" applyFont="1" applyBorder="1"/>
    <xf numFmtId="0" fontId="7" fillId="0" borderId="13" xfId="0" applyFont="1" applyBorder="1"/>
    <xf numFmtId="0" fontId="6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164" fontId="3" fillId="0" borderId="13" xfId="1" applyNumberFormat="1" applyFont="1" applyBorder="1"/>
    <xf numFmtId="0" fontId="4" fillId="0" borderId="13" xfId="0" applyFont="1" applyBorder="1"/>
    <xf numFmtId="164" fontId="3" fillId="0" borderId="13" xfId="0" applyNumberFormat="1" applyFont="1" applyBorder="1"/>
    <xf numFmtId="0" fontId="3" fillId="0" borderId="13" xfId="0" applyFont="1" applyBorder="1"/>
    <xf numFmtId="164" fontId="3" fillId="0" borderId="0" xfId="0" applyNumberFormat="1" applyFont="1"/>
    <xf numFmtId="0" fontId="6" fillId="6" borderId="5" xfId="0" applyFont="1" applyFill="1" applyBorder="1"/>
    <xf numFmtId="0" fontId="6" fillId="6" borderId="10" xfId="0" applyFont="1" applyFill="1" applyBorder="1"/>
    <xf numFmtId="0" fontId="6" fillId="6" borderId="11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wrapText="1"/>
    </xf>
    <xf numFmtId="0" fontId="6" fillId="6" borderId="11" xfId="0" applyFont="1" applyFill="1" applyBorder="1" applyAlignment="1">
      <alignment horizontal="right"/>
    </xf>
    <xf numFmtId="0" fontId="6" fillId="6" borderId="12" xfId="0" applyFont="1" applyFill="1" applyBorder="1"/>
    <xf numFmtId="0" fontId="6" fillId="6" borderId="5" xfId="0" applyFont="1" applyFill="1" applyBorder="1" applyAlignment="1">
      <alignment horizontal="center"/>
    </xf>
    <xf numFmtId="164" fontId="6" fillId="6" borderId="5" xfId="1" applyNumberFormat="1" applyFont="1" applyFill="1" applyBorder="1"/>
    <xf numFmtId="164" fontId="6" fillId="6" borderId="0" xfId="1" applyNumberFormat="1" applyFont="1" applyFill="1" applyBorder="1"/>
    <xf numFmtId="164" fontId="6" fillId="0" borderId="0" xfId="0" applyNumberFormat="1" applyFont="1"/>
    <xf numFmtId="0" fontId="3" fillId="0" borderId="0" xfId="0" applyFont="1" applyAlignment="1">
      <alignment horizontal="left" wrapText="1"/>
    </xf>
    <xf numFmtId="9" fontId="3" fillId="0" borderId="0" xfId="0" applyNumberFormat="1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" fontId="3" fillId="0" borderId="0" xfId="0" quotePrefix="1" applyNumberFormat="1" applyFont="1" applyAlignment="1">
      <alignment horizontal="right" vertical="center"/>
    </xf>
    <xf numFmtId="0" fontId="3" fillId="0" borderId="0" xfId="0" quotePrefix="1" applyFont="1" applyAlignment="1">
      <alignment horizontal="right" vertical="center"/>
    </xf>
    <xf numFmtId="0" fontId="8" fillId="0" borderId="0" xfId="0" applyFont="1" applyAlignment="1">
      <alignment horizontal="left"/>
    </xf>
    <xf numFmtId="0" fontId="3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/>
    </xf>
    <xf numFmtId="164" fontId="3" fillId="0" borderId="13" xfId="0" applyNumberFormat="1" applyFont="1" applyBorder="1" applyAlignment="1">
      <alignment wrapText="1"/>
    </xf>
    <xf numFmtId="0" fontId="10" fillId="0" borderId="0" xfId="0" applyFont="1" applyAlignment="1">
      <alignment horizontal="left"/>
    </xf>
    <xf numFmtId="165" fontId="3" fillId="0" borderId="0" xfId="0" applyNumberFormat="1" applyFont="1" applyAlignment="1">
      <alignment horizontal="right" wrapText="1"/>
    </xf>
    <xf numFmtId="0" fontId="3" fillId="0" borderId="0" xfId="0" quotePrefix="1" applyFont="1" applyAlignment="1">
      <alignment horizontal="center" vertical="center"/>
    </xf>
    <xf numFmtId="12" fontId="3" fillId="0" borderId="0" xfId="0" quotePrefix="1" applyNumberFormat="1" applyFont="1" applyAlignment="1">
      <alignment horizontal="center" vertical="center"/>
    </xf>
    <xf numFmtId="166" fontId="3" fillId="0" borderId="13" xfId="0" applyNumberFormat="1" applyFont="1" applyBorder="1"/>
    <xf numFmtId="16" fontId="3" fillId="0" borderId="0" xfId="0" quotePrefix="1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6" fontId="3" fillId="0" borderId="0" xfId="0" quotePrefix="1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9" fillId="0" borderId="0" xfId="0" applyFont="1" applyAlignment="1">
      <alignment horizontal="left"/>
    </xf>
    <xf numFmtId="0" fontId="11" fillId="0" borderId="13" xfId="0" applyFont="1" applyBorder="1"/>
    <xf numFmtId="0" fontId="11" fillId="0" borderId="14" xfId="0" applyFont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15" xfId="0" applyFont="1" applyBorder="1"/>
    <xf numFmtId="0" fontId="11" fillId="0" borderId="13" xfId="0" applyFont="1" applyBorder="1" applyAlignment="1">
      <alignment horizontal="center"/>
    </xf>
    <xf numFmtId="164" fontId="11" fillId="0" borderId="13" xfId="1" applyNumberFormat="1" applyFont="1" applyBorder="1"/>
    <xf numFmtId="0" fontId="12" fillId="0" borderId="13" xfId="0" applyFont="1" applyBorder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14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3" fillId="7" borderId="15" xfId="0" applyFont="1" applyFill="1" applyBorder="1"/>
    <xf numFmtId="1" fontId="3" fillId="7" borderId="13" xfId="0" applyNumberFormat="1" applyFont="1" applyFill="1" applyBorder="1" applyAlignment="1">
      <alignment horizontal="center"/>
    </xf>
    <xf numFmtId="164" fontId="3" fillId="7" borderId="13" xfId="1" applyNumberFormat="1" applyFont="1" applyFill="1" applyBorder="1"/>
    <xf numFmtId="0" fontId="4" fillId="7" borderId="13" xfId="0" applyFont="1" applyFill="1" applyBorder="1"/>
    <xf numFmtId="164" fontId="3" fillId="7" borderId="13" xfId="0" applyNumberFormat="1" applyFont="1" applyFill="1" applyBorder="1"/>
    <xf numFmtId="0" fontId="6" fillId="7" borderId="14" xfId="0" applyFont="1" applyFill="1" applyBorder="1" applyAlignment="1">
      <alignment horizontal="left"/>
    </xf>
    <xf numFmtId="0" fontId="6" fillId="7" borderId="0" xfId="0" applyFont="1" applyFill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0" xfId="0" applyFont="1" applyAlignment="1">
      <alignment horizontal="left"/>
    </xf>
    <xf numFmtId="9" fontId="4" fillId="0" borderId="13" xfId="0" applyNumberFormat="1" applyFont="1" applyBorder="1"/>
    <xf numFmtId="0" fontId="11" fillId="0" borderId="14" xfId="0" applyFont="1" applyBorder="1" applyAlignment="1">
      <alignment horizontal="center"/>
    </xf>
    <xf numFmtId="0" fontId="11" fillId="0" borderId="0" xfId="0" applyFont="1" applyAlignment="1">
      <alignment horizontal="left" vertical="center"/>
    </xf>
    <xf numFmtId="164" fontId="11" fillId="0" borderId="13" xfId="0" applyNumberFormat="1" applyFont="1" applyBorder="1"/>
    <xf numFmtId="1" fontId="3" fillId="0" borderId="0" xfId="0" quotePrefix="1" applyNumberFormat="1" applyFont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16" fontId="3" fillId="0" borderId="0" xfId="0" quotePrefix="1" applyNumberFormat="1" applyFont="1" applyAlignment="1">
      <alignment horizontal="center" vertical="center"/>
    </xf>
    <xf numFmtId="0" fontId="3" fillId="0" borderId="14" xfId="0" quotePrefix="1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5" fillId="0" borderId="14" xfId="0" applyFont="1" applyBorder="1"/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15" xfId="0" applyFont="1" applyBorder="1"/>
    <xf numFmtId="0" fontId="16" fillId="0" borderId="13" xfId="0" applyFont="1" applyBorder="1"/>
    <xf numFmtId="164" fontId="14" fillId="0" borderId="13" xfId="1" applyNumberFormat="1" applyFont="1" applyFill="1" applyBorder="1"/>
    <xf numFmtId="167" fontId="4" fillId="8" borderId="0" xfId="0" applyNumberFormat="1" applyFont="1" applyFill="1"/>
    <xf numFmtId="164" fontId="3" fillId="8" borderId="0" xfId="1" applyNumberFormat="1" applyFont="1" applyFill="1" applyBorder="1"/>
    <xf numFmtId="0" fontId="4" fillId="8" borderId="0" xfId="0" applyFont="1" applyFill="1"/>
    <xf numFmtId="164" fontId="11" fillId="0" borderId="13" xfId="1" applyNumberFormat="1" applyFont="1" applyFill="1" applyBorder="1"/>
    <xf numFmtId="2" fontId="12" fillId="8" borderId="0" xfId="0" applyNumberFormat="1" applyFont="1" applyFill="1"/>
    <xf numFmtId="164" fontId="11" fillId="8" borderId="0" xfId="1" applyNumberFormat="1" applyFont="1" applyFill="1" applyBorder="1"/>
    <xf numFmtId="0" fontId="12" fillId="8" borderId="0" xfId="0" applyFont="1" applyFill="1"/>
    <xf numFmtId="164" fontId="3" fillId="0" borderId="13" xfId="1" applyNumberFormat="1" applyFont="1" applyFill="1" applyBorder="1"/>
    <xf numFmtId="0" fontId="6" fillId="6" borderId="11" xfId="0" applyFont="1" applyFill="1" applyBorder="1"/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6" fillId="6" borderId="10" xfId="1" applyNumberFormat="1" applyFont="1" applyFill="1" applyBorder="1"/>
    <xf numFmtId="0" fontId="6" fillId="0" borderId="0" xfId="0" applyFont="1" applyAlignment="1">
      <alignment horizontal="left"/>
    </xf>
    <xf numFmtId="164" fontId="3" fillId="0" borderId="0" xfId="1" applyNumberFormat="1" applyFont="1" applyBorder="1"/>
    <xf numFmtId="164" fontId="3" fillId="0" borderId="15" xfId="1" applyNumberFormat="1" applyFont="1" applyBorder="1"/>
    <xf numFmtId="0" fontId="6" fillId="0" borderId="14" xfId="0" applyFont="1" applyBorder="1" applyAlignment="1">
      <alignment horizontal="left"/>
    </xf>
    <xf numFmtId="164" fontId="3" fillId="0" borderId="14" xfId="1" applyNumberFormat="1" applyFont="1" applyBorder="1"/>
    <xf numFmtId="0" fontId="3" fillId="0" borderId="14" xfId="0" applyFont="1" applyBorder="1" applyAlignment="1">
      <alignment horizontal="left"/>
    </xf>
    <xf numFmtId="0" fontId="6" fillId="6" borderId="5" xfId="0" applyFont="1" applyFill="1" applyBorder="1" applyAlignment="1">
      <alignment vertical="center"/>
    </xf>
    <xf numFmtId="0" fontId="6" fillId="6" borderId="10" xfId="0" applyFont="1" applyFill="1" applyBorder="1" applyAlignment="1">
      <alignment vertical="center"/>
    </xf>
    <xf numFmtId="0" fontId="6" fillId="6" borderId="11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 wrapText="1"/>
    </xf>
    <xf numFmtId="0" fontId="6" fillId="6" borderId="11" xfId="0" applyFont="1" applyFill="1" applyBorder="1" applyAlignment="1">
      <alignment horizontal="right" vertical="center"/>
    </xf>
    <xf numFmtId="0" fontId="6" fillId="6" borderId="11" xfId="0" applyFont="1" applyFill="1" applyBorder="1" applyAlignment="1">
      <alignment vertical="center"/>
    </xf>
    <xf numFmtId="164" fontId="6" fillId="6" borderId="11" xfId="1" applyNumberFormat="1" applyFont="1" applyFill="1" applyBorder="1" applyAlignment="1">
      <alignment vertical="center"/>
    </xf>
    <xf numFmtId="164" fontId="6" fillId="6" borderId="12" xfId="1" applyNumberFormat="1" applyFont="1" applyFill="1" applyBorder="1" applyAlignment="1">
      <alignment vertical="center"/>
    </xf>
    <xf numFmtId="164" fontId="6" fillId="6" borderId="5" xfId="1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9" fontId="6" fillId="0" borderId="0" xfId="2" applyFont="1" applyAlignment="1">
      <alignment vertical="center"/>
    </xf>
    <xf numFmtId="0" fontId="6" fillId="6" borderId="10" xfId="0" applyFont="1" applyFill="1" applyBorder="1" applyAlignment="1">
      <alignment horizontal="center" vertical="center"/>
    </xf>
    <xf numFmtId="164" fontId="6" fillId="6" borderId="10" xfId="1" applyNumberFormat="1" applyFont="1" applyFill="1" applyBorder="1" applyAlignment="1">
      <alignment vertical="center"/>
    </xf>
    <xf numFmtId="9" fontId="11" fillId="0" borderId="0" xfId="2" applyFont="1"/>
    <xf numFmtId="9" fontId="3" fillId="0" borderId="0" xfId="2" applyFont="1"/>
    <xf numFmtId="3" fontId="3" fillId="0" borderId="0" xfId="0" applyNumberFormat="1" applyFont="1"/>
    <xf numFmtId="43" fontId="3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666750</xdr:colOff>
      <xdr:row>0</xdr:row>
      <xdr:rowOff>0</xdr:rowOff>
    </xdr:from>
    <xdr:to>
      <xdr:col>14</xdr:col>
      <xdr:colOff>892597</xdr:colOff>
      <xdr:row>5</xdr:row>
      <xdr:rowOff>63400</xdr:rowOff>
    </xdr:to>
    <xdr:pic>
      <xdr:nvPicPr>
        <xdr:cNvPr id="2" name="Picture 23">
          <a:extLst>
            <a:ext uri="{FF2B5EF4-FFF2-40B4-BE49-F238E27FC236}">
              <a16:creationId xmlns:a16="http://schemas.microsoft.com/office/drawing/2014/main" id="{286F784D-9B64-4E02-ABFE-D0415003B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0730" y="0"/>
          <a:ext cx="2237527" cy="10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22AGRI-EPL\Downloads\01.%20BOQ_Installation%20Chiller(R6).xlsx" TargetMode="External"/><Relationship Id="rId1" Type="http://schemas.openxmlformats.org/officeDocument/2006/relationships/externalLinkPath" Target="file:///C:\Users\D22AGRI-EPL\Downloads\01.%20BOQ_Installation%20Chiller(R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outation RC Opsi 1"/>
      <sheetName val="BOQ Replace VEA Opsi1"/>
      <sheetName val="BOQ (Non Cbl Chiler Exis)"/>
      <sheetName val="Qout (Non Cbl Chiler Exis)"/>
      <sheetName val="BOQ (Non Cbl Chiler Exis) (1)"/>
      <sheetName val="Qoutation RC Opsi 2"/>
      <sheetName val="BOQ Replace VEA Opsi 2"/>
      <sheetName val="New Pricelist"/>
      <sheetName val="Sheet2"/>
      <sheetName val="Prileminar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M4">
            <v>1413000</v>
          </cell>
        </row>
        <row r="5">
          <cell r="AW5">
            <v>36000</v>
          </cell>
        </row>
        <row r="6">
          <cell r="BT6">
            <v>5308000</v>
          </cell>
          <cell r="CA6">
            <v>1263000</v>
          </cell>
        </row>
        <row r="9">
          <cell r="AJ9">
            <v>26000</v>
          </cell>
        </row>
        <row r="10">
          <cell r="BM10">
            <v>6273000</v>
          </cell>
        </row>
        <row r="12">
          <cell r="BM12">
            <v>15744000</v>
          </cell>
        </row>
        <row r="24">
          <cell r="AV24">
            <v>268200</v>
          </cell>
        </row>
        <row r="27">
          <cell r="AV27">
            <v>268200</v>
          </cell>
        </row>
        <row r="32">
          <cell r="BT32">
            <v>1037000</v>
          </cell>
        </row>
        <row r="36">
          <cell r="DG36">
            <v>283000</v>
          </cell>
        </row>
        <row r="47">
          <cell r="BM47">
            <v>5826000</v>
          </cell>
        </row>
        <row r="50">
          <cell r="AI50">
            <v>657700</v>
          </cell>
        </row>
        <row r="51">
          <cell r="AI51">
            <v>814100</v>
          </cell>
          <cell r="AW51">
            <v>1978000</v>
          </cell>
        </row>
        <row r="53">
          <cell r="BM53">
            <v>46736000</v>
          </cell>
        </row>
        <row r="54">
          <cell r="BM54">
            <v>73192000</v>
          </cell>
        </row>
        <row r="55">
          <cell r="AI55">
            <v>957100</v>
          </cell>
          <cell r="BM55">
            <v>131599000</v>
          </cell>
        </row>
        <row r="56">
          <cell r="AI56">
            <v>1154300</v>
          </cell>
          <cell r="AJ56">
            <v>1213000</v>
          </cell>
        </row>
        <row r="65">
          <cell r="AI65">
            <v>2751700</v>
          </cell>
        </row>
        <row r="66">
          <cell r="AI66">
            <v>2163200</v>
          </cell>
          <cell r="BM66">
            <v>30397000</v>
          </cell>
        </row>
        <row r="67">
          <cell r="BM67">
            <v>52254000</v>
          </cell>
        </row>
        <row r="69">
          <cell r="BM69">
            <v>198916000</v>
          </cell>
        </row>
        <row r="70">
          <cell r="AV70">
            <v>9754400</v>
          </cell>
        </row>
        <row r="71">
          <cell r="DP71">
            <v>23000</v>
          </cell>
        </row>
        <row r="73">
          <cell r="AJ73">
            <v>4401000</v>
          </cell>
        </row>
        <row r="76">
          <cell r="E76">
            <v>2085000</v>
          </cell>
          <cell r="F76">
            <v>1799000</v>
          </cell>
          <cell r="L76">
            <v>246000</v>
          </cell>
          <cell r="AJ76">
            <v>5364000</v>
          </cell>
        </row>
        <row r="80">
          <cell r="BT80">
            <v>198000</v>
          </cell>
          <cell r="BZ80">
            <v>3485000</v>
          </cell>
          <cell r="CA80">
            <v>4259000</v>
          </cell>
        </row>
        <row r="82">
          <cell r="AI82">
            <v>8250500</v>
          </cell>
        </row>
        <row r="84">
          <cell r="BF84">
            <v>386000</v>
          </cell>
        </row>
        <row r="85">
          <cell r="G85">
            <v>7135000</v>
          </cell>
          <cell r="H85">
            <v>6410000</v>
          </cell>
          <cell r="I85">
            <v>3884000</v>
          </cell>
          <cell r="J85">
            <v>3891000</v>
          </cell>
          <cell r="K85">
            <v>3612000</v>
          </cell>
          <cell r="L85">
            <v>2592000</v>
          </cell>
          <cell r="M85">
            <v>1731000</v>
          </cell>
          <cell r="S85">
            <v>57000</v>
          </cell>
          <cell r="W85">
            <v>15000</v>
          </cell>
        </row>
        <row r="86">
          <cell r="L86">
            <v>2098000</v>
          </cell>
          <cell r="AW86">
            <v>166620</v>
          </cell>
        </row>
        <row r="94">
          <cell r="G94">
            <v>1496000</v>
          </cell>
          <cell r="H94">
            <v>1291000</v>
          </cell>
          <cell r="I94">
            <v>1010000</v>
          </cell>
          <cell r="J94">
            <v>796000</v>
          </cell>
          <cell r="K94">
            <v>580000</v>
          </cell>
          <cell r="L94">
            <v>561000</v>
          </cell>
          <cell r="M94">
            <v>372000</v>
          </cell>
          <cell r="R94">
            <v>117000</v>
          </cell>
          <cell r="S94">
            <v>94000</v>
          </cell>
        </row>
        <row r="97">
          <cell r="BM97">
            <v>627000</v>
          </cell>
        </row>
        <row r="99">
          <cell r="AW99">
            <v>82260</v>
          </cell>
        </row>
        <row r="102">
          <cell r="G102">
            <v>4080000</v>
          </cell>
          <cell r="I102">
            <v>2295000</v>
          </cell>
        </row>
        <row r="103">
          <cell r="H103">
            <v>3086000</v>
          </cell>
        </row>
        <row r="113">
          <cell r="AW113">
            <v>21180</v>
          </cell>
        </row>
        <row r="114">
          <cell r="AW114">
            <v>28440</v>
          </cell>
        </row>
        <row r="117">
          <cell r="DE117">
            <v>33000</v>
          </cell>
        </row>
        <row r="124">
          <cell r="DP124">
            <v>456549.99999999994</v>
          </cell>
        </row>
        <row r="126">
          <cell r="DP126">
            <v>906774.99999999988</v>
          </cell>
        </row>
        <row r="128">
          <cell r="DP128">
            <v>1421400</v>
          </cell>
        </row>
        <row r="129">
          <cell r="AW129">
            <v>50340</v>
          </cell>
          <cell r="AX129">
            <v>35640</v>
          </cell>
          <cell r="DO129">
            <v>1576000</v>
          </cell>
        </row>
        <row r="130">
          <cell r="AW130">
            <v>68160</v>
          </cell>
          <cell r="AX130">
            <v>48260</v>
          </cell>
          <cell r="DO130">
            <v>2036000</v>
          </cell>
        </row>
        <row r="134">
          <cell r="DO134">
            <v>8355000</v>
          </cell>
        </row>
        <row r="147">
          <cell r="DW147">
            <v>7395000</v>
          </cell>
        </row>
        <row r="148">
          <cell r="DW148">
            <v>8801000</v>
          </cell>
        </row>
        <row r="150">
          <cell r="DW150">
            <v>11091000</v>
          </cell>
        </row>
        <row r="152">
          <cell r="DX152">
            <v>30568500</v>
          </cell>
        </row>
        <row r="155">
          <cell r="AJ155">
            <v>32000</v>
          </cell>
        </row>
        <row r="197">
          <cell r="CL197">
            <v>34182838.049999997</v>
          </cell>
        </row>
        <row r="198">
          <cell r="CL198">
            <v>46075578</v>
          </cell>
        </row>
        <row r="337">
          <cell r="AJ337">
            <v>6983000</v>
          </cell>
        </row>
        <row r="340">
          <cell r="AJ340">
            <v>10554000</v>
          </cell>
        </row>
        <row r="346">
          <cell r="AI346">
            <v>19763000</v>
          </cell>
        </row>
        <row r="401">
          <cell r="H401">
            <v>31000</v>
          </cell>
        </row>
        <row r="541">
          <cell r="G541">
            <v>106000</v>
          </cell>
        </row>
        <row r="551">
          <cell r="G551">
            <v>147000</v>
          </cell>
        </row>
        <row r="571">
          <cell r="G571">
            <v>365000</v>
          </cell>
        </row>
        <row r="871">
          <cell r="G871">
            <v>44000</v>
          </cell>
        </row>
        <row r="881">
          <cell r="G881">
            <v>73000</v>
          </cell>
        </row>
        <row r="1009">
          <cell r="C1009">
            <v>915000</v>
          </cell>
        </row>
        <row r="1117">
          <cell r="C1117">
            <v>673000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99D1-0A6C-429D-B319-2741811000DF}">
  <sheetPr>
    <tabColor theme="9" tint="0.39997558519241921"/>
  </sheetPr>
  <dimension ref="A1:AD430"/>
  <sheetViews>
    <sheetView tabSelected="1" view="pageBreakPreview" topLeftCell="A5" zoomScaleNormal="100" zoomScaleSheetLayoutView="100" workbookViewId="0">
      <selection activeCell="N1" sqref="N1:O1048576"/>
    </sheetView>
  </sheetViews>
  <sheetFormatPr defaultColWidth="9.109375" defaultRowHeight="13.8" x14ac:dyDescent="0.25"/>
  <cols>
    <col min="1" max="1" width="9.44140625" style="2" bestFit="1" customWidth="1"/>
    <col min="2" max="2" width="3.6640625" style="2" customWidth="1"/>
    <col min="3" max="3" width="1.6640625" style="2" customWidth="1"/>
    <col min="4" max="4" width="29.6640625" style="2" customWidth="1"/>
    <col min="5" max="5" width="2" style="9" customWidth="1"/>
    <col min="6" max="6" width="6.5546875" style="9" customWidth="1"/>
    <col min="7" max="7" width="6.109375" style="2" bestFit="1" customWidth="1"/>
    <col min="8" max="8" width="42.33203125" style="2" bestFit="1" customWidth="1"/>
    <col min="9" max="9" width="1.88671875" style="2" hidden="1" customWidth="1"/>
    <col min="10" max="10" width="5.109375" style="3" bestFit="1" customWidth="1"/>
    <col min="11" max="11" width="10.33203125" style="3" customWidth="1"/>
    <col min="12" max="12" width="14.109375" style="4" bestFit="1" customWidth="1"/>
    <col min="13" max="13" width="12.44140625" style="4" bestFit="1" customWidth="1"/>
    <col min="14" max="14" width="16.88671875" style="4" bestFit="1" customWidth="1"/>
    <col min="15" max="15" width="15.6640625" style="4" bestFit="1" customWidth="1"/>
    <col min="16" max="16" width="3.88671875" style="2" customWidth="1"/>
    <col min="17" max="17" width="5.44140625" style="2" bestFit="1" customWidth="1"/>
    <col min="18" max="18" width="3.88671875" style="2" customWidth="1"/>
    <col min="19" max="19" width="14.44140625" style="5" hidden="1" customWidth="1"/>
    <col min="20" max="20" width="17.44140625" style="2" bestFit="1" customWidth="1"/>
    <col min="21" max="21" width="15.88671875" style="2" bestFit="1" customWidth="1"/>
    <col min="22" max="22" width="21" style="2" bestFit="1" customWidth="1"/>
    <col min="23" max="23" width="18.109375" style="2" bestFit="1" customWidth="1"/>
    <col min="24" max="24" width="15.6640625" style="2" bestFit="1" customWidth="1"/>
    <col min="25" max="25" width="16.88671875" style="2" bestFit="1" customWidth="1"/>
    <col min="26" max="26" width="13.6640625" style="2" customWidth="1"/>
    <col min="27" max="27" width="9.109375" style="2"/>
    <col min="28" max="28" width="12.33203125" style="2" customWidth="1"/>
    <col min="29" max="29" width="18.44140625" style="2" bestFit="1" customWidth="1"/>
    <col min="30" max="16384" width="9.109375" style="2"/>
  </cols>
  <sheetData>
    <row r="1" spans="1:29" ht="22.8" x14ac:dyDescent="0.4">
      <c r="A1" s="1" t="s">
        <v>0</v>
      </c>
      <c r="B1" s="1"/>
      <c r="C1" s="1"/>
      <c r="D1" s="1"/>
      <c r="E1" s="1"/>
      <c r="F1" s="1"/>
      <c r="G1" s="1"/>
      <c r="T1" s="6" t="s">
        <v>1</v>
      </c>
      <c r="U1" s="7"/>
    </row>
    <row r="2" spans="1:29" x14ac:dyDescent="0.25">
      <c r="A2" s="2" t="s">
        <v>2</v>
      </c>
      <c r="C2" s="8" t="s">
        <v>3</v>
      </c>
      <c r="D2" s="2" t="s">
        <v>4</v>
      </c>
      <c r="T2" s="7" t="s">
        <v>5</v>
      </c>
      <c r="U2" s="10">
        <v>0.28000000000000003</v>
      </c>
    </row>
    <row r="3" spans="1:29" x14ac:dyDescent="0.25">
      <c r="A3" s="2" t="s">
        <v>6</v>
      </c>
      <c r="C3" s="8" t="s">
        <v>3</v>
      </c>
      <c r="D3" s="2" t="s">
        <v>7</v>
      </c>
      <c r="T3" s="7" t="s">
        <v>8</v>
      </c>
      <c r="U3" s="10">
        <v>0.28000000000000003</v>
      </c>
    </row>
    <row r="4" spans="1:29" x14ac:dyDescent="0.25">
      <c r="A4" s="2" t="s">
        <v>9</v>
      </c>
      <c r="C4" s="8" t="s">
        <v>3</v>
      </c>
      <c r="D4" s="11">
        <f ca="1">TODAY()</f>
        <v>46198</v>
      </c>
      <c r="T4" s="7" t="s">
        <v>10</v>
      </c>
      <c r="U4" s="10">
        <v>0.2</v>
      </c>
    </row>
    <row r="6" spans="1:29" s="18" customFormat="1" x14ac:dyDescent="0.25">
      <c r="A6" s="12" t="s">
        <v>11</v>
      </c>
      <c r="B6" s="13" t="s">
        <v>12</v>
      </c>
      <c r="C6" s="14"/>
      <c r="D6" s="14"/>
      <c r="E6" s="14"/>
      <c r="F6" s="14"/>
      <c r="G6" s="14"/>
      <c r="H6" s="14"/>
      <c r="I6" s="15"/>
      <c r="J6" s="16" t="s">
        <v>13</v>
      </c>
      <c r="K6" s="12" t="s">
        <v>14</v>
      </c>
      <c r="L6" s="17" t="s">
        <v>15</v>
      </c>
      <c r="M6" s="17"/>
      <c r="N6" s="17" t="s">
        <v>16</v>
      </c>
      <c r="O6" s="17"/>
      <c r="S6" s="19"/>
      <c r="T6" s="17" t="s">
        <v>15</v>
      </c>
      <c r="U6" s="17"/>
      <c r="V6" s="17" t="s">
        <v>16</v>
      </c>
      <c r="W6" s="17"/>
    </row>
    <row r="7" spans="1:29" s="18" customFormat="1" x14ac:dyDescent="0.25">
      <c r="A7" s="20"/>
      <c r="B7" s="21"/>
      <c r="C7" s="22"/>
      <c r="D7" s="22"/>
      <c r="E7" s="22"/>
      <c r="F7" s="22"/>
      <c r="G7" s="22"/>
      <c r="H7" s="22"/>
      <c r="I7" s="23"/>
      <c r="J7" s="24"/>
      <c r="K7" s="20"/>
      <c r="L7" s="25" t="s">
        <v>17</v>
      </c>
      <c r="M7" s="25" t="s">
        <v>18</v>
      </c>
      <c r="N7" s="25" t="s">
        <v>17</v>
      </c>
      <c r="O7" s="25" t="s">
        <v>18</v>
      </c>
      <c r="S7" s="26" t="s">
        <v>19</v>
      </c>
      <c r="T7" s="25" t="s">
        <v>17</v>
      </c>
      <c r="U7" s="25" t="s">
        <v>18</v>
      </c>
      <c r="V7" s="25" t="s">
        <v>17</v>
      </c>
      <c r="W7" s="25" t="s">
        <v>18</v>
      </c>
    </row>
    <row r="8" spans="1:29" s="3" customFormat="1" x14ac:dyDescent="0.25">
      <c r="A8" s="27">
        <v>1</v>
      </c>
      <c r="B8" s="28">
        <v>2</v>
      </c>
      <c r="C8" s="29"/>
      <c r="D8" s="29"/>
      <c r="E8" s="29"/>
      <c r="F8" s="29"/>
      <c r="G8" s="29"/>
      <c r="H8" s="29"/>
      <c r="I8" s="30"/>
      <c r="J8" s="27">
        <v>3</v>
      </c>
      <c r="K8" s="27">
        <v>4</v>
      </c>
      <c r="L8" s="31">
        <v>5</v>
      </c>
      <c r="M8" s="31">
        <v>6</v>
      </c>
      <c r="N8" s="31">
        <v>7</v>
      </c>
      <c r="O8" s="31">
        <v>8</v>
      </c>
      <c r="S8" s="32"/>
      <c r="T8" s="27"/>
      <c r="U8" s="27"/>
      <c r="V8" s="27"/>
      <c r="W8" s="27"/>
    </row>
    <row r="9" spans="1:29" x14ac:dyDescent="0.25">
      <c r="A9" s="33"/>
      <c r="B9" s="34"/>
      <c r="C9" s="35"/>
      <c r="D9" s="35"/>
      <c r="E9" s="36"/>
      <c r="F9" s="36"/>
      <c r="G9" s="35"/>
      <c r="H9" s="35"/>
      <c r="I9" s="37"/>
      <c r="J9" s="38"/>
      <c r="K9" s="38"/>
      <c r="L9" s="39"/>
      <c r="M9" s="39"/>
      <c r="N9" s="39"/>
      <c r="O9" s="39"/>
      <c r="S9" s="40"/>
      <c r="T9" s="33"/>
      <c r="U9" s="33"/>
      <c r="V9" s="33"/>
      <c r="W9" s="33"/>
    </row>
    <row r="10" spans="1:29" s="43" customFormat="1" x14ac:dyDescent="0.25">
      <c r="A10" s="41" t="s">
        <v>20</v>
      </c>
      <c r="B10" s="42" t="s">
        <v>21</v>
      </c>
      <c r="E10" s="44"/>
      <c r="F10" s="44"/>
      <c r="I10" s="45"/>
      <c r="J10" s="41"/>
      <c r="K10" s="41"/>
      <c r="L10" s="46"/>
      <c r="M10" s="46"/>
      <c r="N10" s="46"/>
      <c r="O10" s="46"/>
      <c r="S10" s="47"/>
      <c r="T10" s="48"/>
      <c r="U10" s="48"/>
      <c r="V10" s="48"/>
      <c r="W10" s="48"/>
    </row>
    <row r="11" spans="1:29" x14ac:dyDescent="0.25">
      <c r="A11" s="49">
        <v>1</v>
      </c>
      <c r="B11" s="50"/>
      <c r="C11" s="2" t="s">
        <v>22</v>
      </c>
      <c r="I11" s="51"/>
      <c r="J11" s="49">
        <v>1</v>
      </c>
      <c r="K11" s="49" t="s">
        <v>23</v>
      </c>
      <c r="L11" s="52">
        <f t="shared" ref="L11:M13" si="0">ROUNDUP((T11/(1-$U$4)),-2)</f>
        <v>0</v>
      </c>
      <c r="M11" s="52">
        <f t="shared" si="0"/>
        <v>62500000</v>
      </c>
      <c r="N11" s="52">
        <f>L11*J11</f>
        <v>0</v>
      </c>
      <c r="O11" s="52">
        <f>M11*J11</f>
        <v>62500000</v>
      </c>
      <c r="S11" s="53" t="s">
        <v>24</v>
      </c>
      <c r="T11" s="52">
        <v>0</v>
      </c>
      <c r="U11" s="52">
        <v>50000000</v>
      </c>
      <c r="V11" s="54">
        <f>T11*J11</f>
        <v>0</v>
      </c>
      <c r="W11" s="54">
        <f>U11*J11</f>
        <v>50000000</v>
      </c>
    </row>
    <row r="12" spans="1:29" x14ac:dyDescent="0.25">
      <c r="A12" s="49">
        <f>A11+1</f>
        <v>2</v>
      </c>
      <c r="B12" s="50"/>
      <c r="C12" s="2" t="s">
        <v>25</v>
      </c>
      <c r="I12" s="51"/>
      <c r="J12" s="49">
        <v>1</v>
      </c>
      <c r="K12" s="49" t="s">
        <v>23</v>
      </c>
      <c r="L12" s="52">
        <f t="shared" si="0"/>
        <v>0</v>
      </c>
      <c r="M12" s="52">
        <f t="shared" si="0"/>
        <v>25000000</v>
      </c>
      <c r="N12" s="52">
        <f>L12*J12</f>
        <v>0</v>
      </c>
      <c r="O12" s="52">
        <f>M12*J12</f>
        <v>25000000</v>
      </c>
      <c r="S12" s="53" t="s">
        <v>26</v>
      </c>
      <c r="T12" s="52">
        <v>0</v>
      </c>
      <c r="U12" s="52">
        <v>20000000</v>
      </c>
      <c r="V12" s="54">
        <f>T12*J12</f>
        <v>0</v>
      </c>
      <c r="W12" s="54">
        <f>U12*J12</f>
        <v>20000000</v>
      </c>
    </row>
    <row r="13" spans="1:29" x14ac:dyDescent="0.25">
      <c r="A13" s="49">
        <f>A12+1</f>
        <v>3</v>
      </c>
      <c r="B13" s="50"/>
      <c r="C13" s="2" t="s">
        <v>27</v>
      </c>
      <c r="I13" s="51"/>
      <c r="J13" s="49">
        <v>1</v>
      </c>
      <c r="K13" s="49" t="s">
        <v>23</v>
      </c>
      <c r="L13" s="52">
        <f t="shared" si="0"/>
        <v>0</v>
      </c>
      <c r="M13" s="52">
        <f t="shared" si="0"/>
        <v>9375000</v>
      </c>
      <c r="N13" s="52">
        <f>L13*J13</f>
        <v>0</v>
      </c>
      <c r="O13" s="52">
        <f>M13*J13</f>
        <v>9375000</v>
      </c>
      <c r="S13" s="53" t="s">
        <v>28</v>
      </c>
      <c r="T13" s="52">
        <v>0</v>
      </c>
      <c r="U13" s="52">
        <v>7500000</v>
      </c>
      <c r="V13" s="54">
        <f>T13*J13</f>
        <v>0</v>
      </c>
      <c r="W13" s="54">
        <f>U13*J13</f>
        <v>7500000</v>
      </c>
      <c r="AB13" s="2" t="s">
        <v>29</v>
      </c>
    </row>
    <row r="14" spans="1:29" x14ac:dyDescent="0.25">
      <c r="A14" s="49"/>
      <c r="B14" s="50"/>
      <c r="I14" s="51"/>
      <c r="J14" s="49"/>
      <c r="K14" s="49"/>
      <c r="L14" s="52"/>
      <c r="M14" s="52"/>
      <c r="N14" s="52"/>
      <c r="O14" s="52"/>
      <c r="S14" s="53"/>
      <c r="T14" s="55"/>
      <c r="U14" s="55"/>
      <c r="V14" s="55"/>
      <c r="W14" s="55"/>
      <c r="AB14" s="2" t="s">
        <v>30</v>
      </c>
      <c r="AC14" s="56">
        <v>7725000000</v>
      </c>
    </row>
    <row r="15" spans="1:29" s="43" customFormat="1" x14ac:dyDescent="0.25">
      <c r="A15" s="57"/>
      <c r="B15" s="58"/>
      <c r="C15" s="59"/>
      <c r="D15" s="59"/>
      <c r="E15" s="60"/>
      <c r="F15" s="60"/>
      <c r="G15" s="61"/>
      <c r="H15" s="62" t="s">
        <v>31</v>
      </c>
      <c r="I15" s="63"/>
      <c r="J15" s="64"/>
      <c r="K15" s="64"/>
      <c r="L15" s="65"/>
      <c r="M15" s="65"/>
      <c r="N15" s="65">
        <f>SUM(N10:N14)</f>
        <v>0</v>
      </c>
      <c r="O15" s="65">
        <f>SUM(O10:O14)</f>
        <v>96875000</v>
      </c>
      <c r="S15" s="47"/>
      <c r="T15" s="48"/>
      <c r="U15" s="48"/>
      <c r="V15" s="65">
        <f>SUM(V10:V14)</f>
        <v>0</v>
      </c>
      <c r="W15" s="65">
        <f>SUM(W10:W14)</f>
        <v>77500000</v>
      </c>
      <c r="Y15" s="66"/>
    </row>
    <row r="16" spans="1:29" x14ac:dyDescent="0.25">
      <c r="A16" s="49"/>
      <c r="B16" s="50"/>
      <c r="I16" s="51"/>
      <c r="J16" s="49"/>
      <c r="K16" s="49"/>
      <c r="L16" s="52"/>
      <c r="M16" s="52"/>
      <c r="N16" s="52"/>
      <c r="O16" s="52"/>
      <c r="S16" s="53"/>
      <c r="T16" s="55"/>
      <c r="U16" s="55"/>
      <c r="V16" s="55"/>
      <c r="W16" s="55"/>
      <c r="Y16" s="66"/>
    </row>
    <row r="17" spans="1:26" s="43" customFormat="1" x14ac:dyDescent="0.25">
      <c r="A17" s="41" t="s">
        <v>32</v>
      </c>
      <c r="B17" s="42" t="s">
        <v>33</v>
      </c>
      <c r="E17" s="44"/>
      <c r="F17" s="44"/>
      <c r="I17" s="45"/>
      <c r="J17" s="41"/>
      <c r="K17" s="41"/>
      <c r="L17" s="46"/>
      <c r="M17" s="46"/>
      <c r="N17" s="46"/>
      <c r="O17" s="46"/>
      <c r="S17" s="47"/>
      <c r="T17" s="48"/>
      <c r="U17" s="48"/>
      <c r="V17" s="48"/>
      <c r="W17" s="48"/>
      <c r="Y17" s="67"/>
    </row>
    <row r="18" spans="1:26" x14ac:dyDescent="0.25">
      <c r="A18" s="49"/>
      <c r="B18" s="50"/>
      <c r="C18" s="68" t="s">
        <v>34</v>
      </c>
      <c r="D18" s="68"/>
      <c r="E18" s="68"/>
      <c r="F18" s="68"/>
      <c r="G18" s="68"/>
      <c r="H18" s="68"/>
      <c r="I18" s="51"/>
      <c r="J18" s="49"/>
      <c r="K18" s="49"/>
      <c r="L18" s="52"/>
      <c r="M18" s="52"/>
      <c r="N18" s="52"/>
      <c r="O18" s="52"/>
      <c r="S18" s="53"/>
      <c r="T18" s="55"/>
      <c r="U18" s="55"/>
      <c r="V18" s="55"/>
      <c r="W18" s="55"/>
      <c r="Y18" s="56"/>
      <c r="Z18" s="69"/>
    </row>
    <row r="19" spans="1:26" x14ac:dyDescent="0.25">
      <c r="A19" s="55"/>
      <c r="B19" s="50"/>
      <c r="C19" s="68"/>
      <c r="D19" s="68"/>
      <c r="E19" s="68"/>
      <c r="F19" s="68"/>
      <c r="G19" s="68"/>
      <c r="H19" s="68"/>
      <c r="I19" s="51"/>
      <c r="J19" s="49"/>
      <c r="K19" s="49"/>
      <c r="L19" s="52"/>
      <c r="M19" s="52"/>
      <c r="N19" s="52"/>
      <c r="O19" s="52"/>
      <c r="S19" s="53"/>
      <c r="T19" s="55"/>
      <c r="U19" s="55"/>
      <c r="V19" s="55"/>
      <c r="W19" s="55"/>
      <c r="Y19" s="67"/>
    </row>
    <row r="20" spans="1:26" x14ac:dyDescent="0.25">
      <c r="A20" s="55"/>
      <c r="B20" s="50"/>
      <c r="C20" s="70"/>
      <c r="D20" s="70"/>
      <c r="E20" s="71"/>
      <c r="F20" s="71"/>
      <c r="G20" s="70"/>
      <c r="H20" s="70"/>
      <c r="I20" s="51"/>
      <c r="J20" s="49"/>
      <c r="K20" s="49"/>
      <c r="L20" s="52"/>
      <c r="M20" s="52"/>
      <c r="N20" s="52"/>
      <c r="O20" s="52"/>
      <c r="S20" s="53"/>
      <c r="T20" s="55"/>
      <c r="U20" s="55"/>
      <c r="V20" s="55"/>
      <c r="W20" s="55"/>
      <c r="Y20" s="56"/>
      <c r="Z20" s="69"/>
    </row>
    <row r="21" spans="1:26" x14ac:dyDescent="0.25">
      <c r="A21" s="49">
        <v>1</v>
      </c>
      <c r="B21" s="50" t="s">
        <v>35</v>
      </c>
      <c r="H21" s="70"/>
      <c r="I21" s="51"/>
      <c r="J21" s="49">
        <v>3</v>
      </c>
      <c r="K21" s="49" t="s">
        <v>36</v>
      </c>
      <c r="L21" s="52">
        <v>4000000000</v>
      </c>
      <c r="M21" s="52">
        <f t="shared" ref="M21" si="1">ROUNDUP((U21/(1-$U$4)),-2)</f>
        <v>18750000</v>
      </c>
      <c r="N21" s="52">
        <f>L21*J21</f>
        <v>12000000000</v>
      </c>
      <c r="O21" s="52">
        <f>M21*J21</f>
        <v>56250000</v>
      </c>
      <c r="S21" s="53"/>
      <c r="T21" s="54"/>
      <c r="U21" s="52">
        <v>15000000</v>
      </c>
      <c r="V21" s="54">
        <f>T21*J21</f>
        <v>0</v>
      </c>
      <c r="W21" s="54">
        <f>U21*J21</f>
        <v>45000000</v>
      </c>
    </row>
    <row r="22" spans="1:26" x14ac:dyDescent="0.25">
      <c r="A22" s="55"/>
      <c r="B22" s="50"/>
      <c r="C22" s="72" t="s">
        <v>37</v>
      </c>
      <c r="E22" s="9" t="s">
        <v>3</v>
      </c>
      <c r="F22" s="73" t="s">
        <v>38</v>
      </c>
      <c r="G22" s="72"/>
      <c r="H22" s="70"/>
      <c r="I22" s="51"/>
      <c r="J22" s="49"/>
      <c r="K22" s="49"/>
      <c r="L22" s="52"/>
      <c r="M22" s="52"/>
      <c r="N22" s="52"/>
      <c r="O22" s="52"/>
      <c r="S22" s="53"/>
      <c r="T22" s="55"/>
      <c r="U22" s="55"/>
      <c r="V22" s="55"/>
      <c r="W22" s="55"/>
    </row>
    <row r="23" spans="1:26" x14ac:dyDescent="0.25">
      <c r="A23" s="55"/>
      <c r="B23" s="50"/>
      <c r="C23" s="72" t="s">
        <v>39</v>
      </c>
      <c r="E23" s="9" t="s">
        <v>3</v>
      </c>
      <c r="F23" s="73" t="s">
        <v>40</v>
      </c>
      <c r="G23" s="72"/>
      <c r="H23" s="70"/>
      <c r="I23" s="51"/>
      <c r="J23" s="49"/>
      <c r="K23" s="49"/>
      <c r="L23" s="52"/>
      <c r="M23" s="52"/>
      <c r="N23" s="52"/>
      <c r="O23" s="52"/>
      <c r="S23" s="53"/>
      <c r="T23" s="55"/>
      <c r="U23" s="55"/>
      <c r="V23" s="55"/>
      <c r="W23" s="55"/>
    </row>
    <row r="24" spans="1:26" hidden="1" x14ac:dyDescent="0.25">
      <c r="A24" s="55"/>
      <c r="B24" s="50"/>
      <c r="C24" s="72" t="s">
        <v>41</v>
      </c>
      <c r="E24" s="9" t="s">
        <v>3</v>
      </c>
      <c r="F24" s="74">
        <v>820</v>
      </c>
      <c r="G24" s="72" t="s">
        <v>42</v>
      </c>
      <c r="H24" s="70"/>
      <c r="I24" s="51"/>
      <c r="J24" s="49"/>
      <c r="K24" s="49"/>
      <c r="L24" s="52"/>
      <c r="M24" s="52"/>
      <c r="N24" s="52"/>
      <c r="O24" s="52"/>
      <c r="S24" s="53"/>
      <c r="T24" s="55"/>
      <c r="U24" s="55"/>
      <c r="V24" s="55"/>
      <c r="W24" s="55"/>
    </row>
    <row r="25" spans="1:26" hidden="1" x14ac:dyDescent="0.25">
      <c r="A25" s="55"/>
      <c r="B25" s="50"/>
      <c r="C25" s="72"/>
      <c r="F25" s="74">
        <f>F24/4.4</f>
        <v>186.36363636363635</v>
      </c>
      <c r="G25" s="72" t="s">
        <v>43</v>
      </c>
      <c r="H25" s="70"/>
      <c r="I25" s="51"/>
      <c r="J25" s="49"/>
      <c r="K25" s="49"/>
      <c r="L25" s="52"/>
      <c r="M25" s="52"/>
      <c r="N25" s="52"/>
      <c r="O25" s="52"/>
      <c r="S25" s="53"/>
      <c r="T25" s="55"/>
      <c r="U25" s="55"/>
      <c r="V25" s="55"/>
      <c r="W25" s="55"/>
    </row>
    <row r="26" spans="1:26" hidden="1" x14ac:dyDescent="0.25">
      <c r="A26" s="55"/>
      <c r="B26" s="50"/>
      <c r="C26" s="72" t="s">
        <v>44</v>
      </c>
      <c r="E26" s="9" t="s">
        <v>3</v>
      </c>
      <c r="F26" s="74">
        <v>960.2</v>
      </c>
      <c r="G26" s="72" t="s">
        <v>42</v>
      </c>
      <c r="H26" s="70"/>
      <c r="I26" s="51"/>
      <c r="J26" s="49"/>
      <c r="K26" s="49"/>
      <c r="L26" s="52"/>
      <c r="M26" s="52"/>
      <c r="N26" s="52"/>
      <c r="O26" s="52"/>
      <c r="S26" s="53"/>
      <c r="T26" s="55"/>
      <c r="U26" s="55"/>
      <c r="V26" s="55"/>
      <c r="W26" s="55"/>
    </row>
    <row r="27" spans="1:26" hidden="1" x14ac:dyDescent="0.25">
      <c r="A27" s="55"/>
      <c r="B27" s="50"/>
      <c r="C27" s="72"/>
      <c r="F27" s="74">
        <f>F26/4.4</f>
        <v>218.22727272727272</v>
      </c>
      <c r="G27" s="72" t="s">
        <v>43</v>
      </c>
      <c r="H27" s="70"/>
      <c r="I27" s="51"/>
      <c r="J27" s="49"/>
      <c r="K27" s="49"/>
      <c r="L27" s="52"/>
      <c r="M27" s="52"/>
      <c r="N27" s="52"/>
      <c r="O27" s="52"/>
      <c r="S27" s="53"/>
      <c r="T27" s="55"/>
      <c r="U27" s="55"/>
      <c r="V27" s="55"/>
      <c r="W27" s="55"/>
    </row>
    <row r="28" spans="1:26" hidden="1" x14ac:dyDescent="0.25">
      <c r="A28" s="55"/>
      <c r="B28" s="50"/>
      <c r="C28" s="72" t="s">
        <v>45</v>
      </c>
      <c r="E28" s="9" t="s">
        <v>3</v>
      </c>
      <c r="F28" s="75">
        <v>173.2</v>
      </c>
      <c r="G28" s="72" t="s">
        <v>46</v>
      </c>
      <c r="H28" s="70"/>
      <c r="I28" s="51"/>
      <c r="J28" s="49"/>
      <c r="K28" s="49"/>
      <c r="L28" s="52"/>
      <c r="M28" s="52"/>
      <c r="N28" s="52"/>
      <c r="O28" s="52"/>
      <c r="S28" s="53"/>
      <c r="T28" s="55"/>
      <c r="U28" s="55"/>
      <c r="V28" s="55"/>
      <c r="W28" s="55"/>
    </row>
    <row r="29" spans="1:26" x14ac:dyDescent="0.25">
      <c r="A29" s="55"/>
      <c r="B29" s="50"/>
      <c r="C29" s="72" t="s">
        <v>47</v>
      </c>
      <c r="E29" s="9" t="s">
        <v>3</v>
      </c>
      <c r="F29" s="75">
        <v>600</v>
      </c>
      <c r="G29" s="72" t="s">
        <v>48</v>
      </c>
      <c r="H29" s="70"/>
      <c r="I29" s="51"/>
      <c r="J29" s="49"/>
      <c r="K29" s="49"/>
      <c r="L29" s="52"/>
      <c r="M29" s="52"/>
      <c r="N29" s="52"/>
      <c r="O29" s="52"/>
      <c r="S29" s="53"/>
      <c r="T29" s="55"/>
      <c r="U29" s="55"/>
      <c r="V29" s="55"/>
      <c r="W29" s="55"/>
    </row>
    <row r="30" spans="1:26" hidden="1" x14ac:dyDescent="0.25">
      <c r="A30" s="55"/>
      <c r="B30" s="50"/>
      <c r="C30" s="72" t="s">
        <v>49</v>
      </c>
      <c r="E30" s="9" t="s">
        <v>3</v>
      </c>
      <c r="F30" s="76"/>
      <c r="G30" s="72"/>
      <c r="H30" s="70"/>
      <c r="I30" s="51"/>
      <c r="J30" s="49"/>
      <c r="K30" s="49"/>
      <c r="L30" s="52"/>
      <c r="M30" s="52"/>
      <c r="N30" s="52"/>
      <c r="O30" s="52"/>
      <c r="S30" s="53"/>
      <c r="T30" s="55"/>
      <c r="U30" s="55"/>
      <c r="V30" s="55"/>
      <c r="W30" s="55"/>
    </row>
    <row r="31" spans="1:26" hidden="1" x14ac:dyDescent="0.25">
      <c r="A31" s="55"/>
      <c r="B31" s="50"/>
      <c r="C31" s="72" t="s">
        <v>50</v>
      </c>
      <c r="E31" s="9" t="s">
        <v>3</v>
      </c>
      <c r="F31" s="77">
        <v>8</v>
      </c>
      <c r="G31" s="72" t="s">
        <v>51</v>
      </c>
      <c r="H31" s="70"/>
      <c r="I31" s="51"/>
      <c r="J31" s="49"/>
      <c r="K31" s="49"/>
      <c r="L31" s="52"/>
      <c r="M31" s="52"/>
      <c r="N31" s="52"/>
      <c r="O31" s="52"/>
      <c r="S31" s="53"/>
      <c r="T31" s="55"/>
      <c r="U31" s="55"/>
      <c r="V31" s="55"/>
      <c r="W31" s="55"/>
    </row>
    <row r="32" spans="1:26" hidden="1" x14ac:dyDescent="0.25">
      <c r="A32" s="55"/>
      <c r="B32" s="50"/>
      <c r="C32" s="72" t="s">
        <v>52</v>
      </c>
      <c r="E32" s="9" t="s">
        <v>3</v>
      </c>
      <c r="F32" s="77">
        <v>8</v>
      </c>
      <c r="G32" s="72" t="s">
        <v>51</v>
      </c>
      <c r="H32" s="70"/>
      <c r="I32" s="51"/>
      <c r="J32" s="49"/>
      <c r="K32" s="49"/>
      <c r="L32" s="52"/>
      <c r="M32" s="52"/>
      <c r="N32" s="52"/>
      <c r="O32" s="52"/>
      <c r="S32" s="53"/>
      <c r="T32" s="55"/>
      <c r="U32" s="55"/>
      <c r="V32" s="55"/>
      <c r="W32" s="55"/>
    </row>
    <row r="33" spans="1:23" hidden="1" x14ac:dyDescent="0.25">
      <c r="A33" s="55"/>
      <c r="B33" s="50"/>
      <c r="C33" s="72" t="s">
        <v>53</v>
      </c>
      <c r="E33" s="9" t="s">
        <v>3</v>
      </c>
      <c r="F33" s="76"/>
      <c r="G33" s="72"/>
      <c r="H33" s="70"/>
      <c r="I33" s="51"/>
      <c r="J33" s="49"/>
      <c r="K33" s="49"/>
      <c r="L33" s="52"/>
      <c r="M33" s="52"/>
      <c r="N33" s="52"/>
      <c r="O33" s="52"/>
      <c r="S33" s="53"/>
      <c r="T33" s="55"/>
      <c r="U33" s="55"/>
      <c r="V33" s="55"/>
      <c r="W33" s="55"/>
    </row>
    <row r="34" spans="1:23" hidden="1" x14ac:dyDescent="0.25">
      <c r="A34" s="55"/>
      <c r="B34" s="50"/>
      <c r="C34" s="72" t="s">
        <v>54</v>
      </c>
      <c r="E34" s="9" t="s">
        <v>3</v>
      </c>
      <c r="F34" s="77">
        <v>8</v>
      </c>
      <c r="G34" s="72" t="s">
        <v>55</v>
      </c>
      <c r="H34" s="70"/>
      <c r="I34" s="51"/>
      <c r="J34" s="49"/>
      <c r="K34" s="49"/>
      <c r="L34" s="52"/>
      <c r="M34" s="52"/>
      <c r="N34" s="52"/>
      <c r="O34" s="52"/>
      <c r="S34" s="53"/>
      <c r="T34" s="55"/>
      <c r="U34" s="55"/>
      <c r="V34" s="55"/>
      <c r="W34" s="55"/>
    </row>
    <row r="35" spans="1:23" hidden="1" x14ac:dyDescent="0.25">
      <c r="A35" s="55"/>
      <c r="B35" s="50"/>
      <c r="C35" s="72" t="s">
        <v>56</v>
      </c>
      <c r="E35" s="9" t="s">
        <v>3</v>
      </c>
      <c r="F35" s="77">
        <v>8</v>
      </c>
      <c r="G35" s="72" t="s">
        <v>55</v>
      </c>
      <c r="H35" s="70"/>
      <c r="I35" s="51"/>
      <c r="J35" s="49"/>
      <c r="K35" s="49"/>
      <c r="L35" s="52"/>
      <c r="M35" s="52"/>
      <c r="N35" s="52"/>
      <c r="O35" s="52"/>
      <c r="S35" s="53"/>
      <c r="T35" s="55"/>
      <c r="U35" s="55"/>
      <c r="V35" s="55"/>
      <c r="W35" s="55"/>
    </row>
    <row r="36" spans="1:23" ht="14.4" hidden="1" x14ac:dyDescent="0.3">
      <c r="A36" s="55"/>
      <c r="B36" s="50"/>
      <c r="C36" s="72" t="s">
        <v>57</v>
      </c>
      <c r="E36" s="9" t="s">
        <v>3</v>
      </c>
      <c r="F36" s="76" t="s">
        <v>58</v>
      </c>
      <c r="G36" s="78" t="s">
        <v>59</v>
      </c>
      <c r="H36" s="70"/>
      <c r="I36" s="51"/>
      <c r="J36" s="49"/>
      <c r="K36" s="49"/>
      <c r="L36" s="52"/>
      <c r="M36" s="52"/>
      <c r="N36" s="52"/>
      <c r="O36" s="52"/>
      <c r="S36" s="53"/>
      <c r="T36" s="55"/>
      <c r="U36" s="55"/>
      <c r="V36" s="55"/>
      <c r="W36" s="55"/>
    </row>
    <row r="37" spans="1:23" ht="14.4" hidden="1" x14ac:dyDescent="0.3">
      <c r="A37" s="55"/>
      <c r="B37" s="50"/>
      <c r="C37" s="72" t="s">
        <v>60</v>
      </c>
      <c r="E37" s="9" t="s">
        <v>3</v>
      </c>
      <c r="F37" s="76" t="s">
        <v>61</v>
      </c>
      <c r="G37" s="78" t="s">
        <v>59</v>
      </c>
      <c r="H37" s="70"/>
      <c r="I37" s="51"/>
      <c r="J37" s="49"/>
      <c r="K37" s="49"/>
      <c r="L37" s="52"/>
      <c r="M37" s="52"/>
      <c r="N37" s="52"/>
      <c r="O37" s="52"/>
      <c r="S37" s="53"/>
      <c r="T37" s="55"/>
      <c r="U37" s="55"/>
      <c r="V37" s="55"/>
      <c r="W37" s="55"/>
    </row>
    <row r="38" spans="1:23" hidden="1" x14ac:dyDescent="0.25">
      <c r="A38" s="55"/>
      <c r="B38" s="50"/>
      <c r="C38" s="72" t="s">
        <v>62</v>
      </c>
      <c r="E38" s="9" t="s">
        <v>3</v>
      </c>
      <c r="F38" s="79" t="s">
        <v>63</v>
      </c>
      <c r="G38" s="72"/>
      <c r="H38" s="70"/>
      <c r="I38" s="51"/>
      <c r="J38" s="49"/>
      <c r="K38" s="49"/>
      <c r="L38" s="52"/>
      <c r="M38" s="52"/>
      <c r="N38" s="52"/>
      <c r="O38" s="52"/>
      <c r="S38" s="53"/>
      <c r="T38" s="55"/>
      <c r="U38" s="55"/>
      <c r="V38" s="55"/>
      <c r="W38" s="55"/>
    </row>
    <row r="39" spans="1:23" hidden="1" x14ac:dyDescent="0.25">
      <c r="A39" s="55"/>
      <c r="B39" s="50"/>
      <c r="C39" s="72" t="s">
        <v>64</v>
      </c>
      <c r="E39" s="9" t="s">
        <v>3</v>
      </c>
      <c r="F39" s="73" t="s">
        <v>65</v>
      </c>
      <c r="G39" s="72"/>
      <c r="H39" s="70"/>
      <c r="I39" s="51"/>
      <c r="J39" s="49"/>
      <c r="K39" s="49"/>
      <c r="L39" s="52"/>
      <c r="M39" s="52"/>
      <c r="N39" s="52"/>
      <c r="O39" s="52"/>
      <c r="S39" s="53"/>
      <c r="T39" s="55"/>
      <c r="U39" s="55"/>
      <c r="V39" s="55"/>
      <c r="W39" s="55"/>
    </row>
    <row r="40" spans="1:23" hidden="1" x14ac:dyDescent="0.25">
      <c r="A40" s="55"/>
      <c r="B40" s="50"/>
      <c r="C40" s="72" t="s">
        <v>66</v>
      </c>
      <c r="E40" s="9" t="s">
        <v>3</v>
      </c>
      <c r="F40" s="73" t="s">
        <v>67</v>
      </c>
      <c r="G40" s="72"/>
      <c r="H40" s="70"/>
      <c r="I40" s="51"/>
      <c r="J40" s="49"/>
      <c r="K40" s="49"/>
      <c r="L40" s="52"/>
      <c r="M40" s="52"/>
      <c r="N40" s="52"/>
      <c r="O40" s="52"/>
      <c r="S40" s="53"/>
      <c r="T40" s="55"/>
      <c r="U40" s="55"/>
      <c r="V40" s="55"/>
      <c r="W40" s="55"/>
    </row>
    <row r="41" spans="1:23" hidden="1" x14ac:dyDescent="0.25">
      <c r="A41" s="55"/>
      <c r="B41" s="50"/>
      <c r="C41" s="72" t="s">
        <v>68</v>
      </c>
      <c r="E41" s="9" t="s">
        <v>3</v>
      </c>
      <c r="F41" s="80" t="s">
        <v>69</v>
      </c>
      <c r="G41" s="80"/>
      <c r="H41" s="70"/>
      <c r="I41" s="51"/>
      <c r="J41" s="49"/>
      <c r="K41" s="49"/>
      <c r="L41" s="52"/>
      <c r="M41" s="52"/>
      <c r="N41" s="52"/>
      <c r="O41" s="52"/>
      <c r="S41" s="53"/>
      <c r="T41" s="55"/>
      <c r="U41" s="55"/>
      <c r="V41" s="55"/>
      <c r="W41" s="55"/>
    </row>
    <row r="42" spans="1:23" x14ac:dyDescent="0.25">
      <c r="A42" s="55"/>
      <c r="B42" s="50"/>
      <c r="C42" s="72"/>
      <c r="G42" s="72"/>
      <c r="H42" s="70"/>
      <c r="I42" s="51"/>
      <c r="J42" s="49"/>
      <c r="K42" s="49"/>
      <c r="L42" s="52"/>
      <c r="M42" s="52"/>
      <c r="N42" s="52"/>
      <c r="O42" s="52"/>
      <c r="S42" s="53"/>
      <c r="T42" s="55"/>
      <c r="U42" s="55"/>
      <c r="V42" s="55"/>
      <c r="W42" s="55"/>
    </row>
    <row r="43" spans="1:23" x14ac:dyDescent="0.25">
      <c r="A43" s="49">
        <v>2</v>
      </c>
      <c r="B43" s="50" t="s">
        <v>70</v>
      </c>
      <c r="H43" s="70"/>
      <c r="I43" s="51"/>
      <c r="J43" s="49">
        <v>3</v>
      </c>
      <c r="K43" s="49" t="s">
        <v>36</v>
      </c>
      <c r="L43" s="52">
        <f t="shared" ref="L43" si="2">ROUNDUP((T43/(1-$U$2)),-2)</f>
        <v>613426000</v>
      </c>
      <c r="M43" s="52">
        <f t="shared" ref="M43" si="3">ROUNDUP((U43/(1-$U$4)),-2)</f>
        <v>18750000</v>
      </c>
      <c r="N43" s="52">
        <f>L43*J43</f>
        <v>1840278000</v>
      </c>
      <c r="O43" s="52">
        <f>M43*J43</f>
        <v>56250000</v>
      </c>
      <c r="S43" s="53"/>
      <c r="T43" s="81">
        <v>441666667</v>
      </c>
      <c r="U43" s="52">
        <v>15000000</v>
      </c>
      <c r="V43" s="54">
        <f>T43*J43</f>
        <v>1325000001</v>
      </c>
      <c r="W43" s="54">
        <f>U43*J43</f>
        <v>45000000</v>
      </c>
    </row>
    <row r="44" spans="1:23" hidden="1" x14ac:dyDescent="0.25">
      <c r="A44" s="55"/>
      <c r="B44" s="50"/>
      <c r="C44" s="72" t="s">
        <v>37</v>
      </c>
      <c r="E44" s="9" t="s">
        <v>3</v>
      </c>
      <c r="F44" s="73" t="s">
        <v>71</v>
      </c>
      <c r="G44" s="72"/>
      <c r="H44" s="70"/>
      <c r="I44" s="51"/>
      <c r="J44" s="49"/>
      <c r="K44" s="49"/>
      <c r="L44" s="52"/>
      <c r="M44" s="52"/>
      <c r="N44" s="52"/>
      <c r="O44" s="52"/>
      <c r="S44" s="53"/>
      <c r="T44" s="55"/>
      <c r="U44" s="55"/>
      <c r="V44" s="55"/>
      <c r="W44" s="55"/>
    </row>
    <row r="45" spans="1:23" x14ac:dyDescent="0.25">
      <c r="A45" s="55"/>
      <c r="B45" s="50"/>
      <c r="C45" s="72" t="s">
        <v>39</v>
      </c>
      <c r="E45" s="9" t="s">
        <v>3</v>
      </c>
      <c r="F45" s="73" t="s">
        <v>72</v>
      </c>
      <c r="G45" s="72"/>
      <c r="H45" s="70"/>
      <c r="I45" s="51"/>
      <c r="J45" s="49"/>
      <c r="K45" s="49"/>
      <c r="L45" s="52"/>
      <c r="M45" s="52"/>
      <c r="N45" s="52"/>
      <c r="O45" s="52"/>
      <c r="S45" s="53"/>
      <c r="T45" s="55"/>
      <c r="U45" s="55"/>
      <c r="V45" s="55"/>
      <c r="W45" s="55"/>
    </row>
    <row r="46" spans="1:23" x14ac:dyDescent="0.25">
      <c r="A46" s="55"/>
      <c r="B46" s="50"/>
      <c r="C46" s="72" t="s">
        <v>45</v>
      </c>
      <c r="E46" s="9" t="s">
        <v>3</v>
      </c>
      <c r="F46" s="75">
        <v>18.5</v>
      </c>
      <c r="G46" s="72" t="s">
        <v>46</v>
      </c>
      <c r="H46" s="70"/>
      <c r="I46" s="51"/>
      <c r="J46" s="49"/>
      <c r="K46" s="49"/>
      <c r="L46" s="52"/>
      <c r="M46" s="52"/>
      <c r="N46" s="52"/>
      <c r="O46" s="52"/>
      <c r="S46" s="53"/>
      <c r="T46" s="55"/>
      <c r="U46" s="55"/>
      <c r="V46" s="55"/>
      <c r="W46" s="55"/>
    </row>
    <row r="47" spans="1:23" x14ac:dyDescent="0.25">
      <c r="A47" s="55"/>
      <c r="B47" s="50"/>
      <c r="C47" s="72" t="s">
        <v>62</v>
      </c>
      <c r="E47" s="9" t="s">
        <v>3</v>
      </c>
      <c r="F47" s="79" t="s">
        <v>63</v>
      </c>
      <c r="G47" s="72"/>
      <c r="H47" s="70"/>
      <c r="I47" s="51"/>
      <c r="J47" s="49"/>
      <c r="K47" s="49"/>
      <c r="L47" s="52"/>
      <c r="M47" s="52"/>
      <c r="N47" s="52"/>
      <c r="O47" s="52"/>
      <c r="S47" s="53"/>
      <c r="T47" s="55"/>
      <c r="U47" s="55"/>
      <c r="V47" s="55"/>
      <c r="W47" s="55"/>
    </row>
    <row r="48" spans="1:23" ht="14.4" hidden="1" x14ac:dyDescent="0.3">
      <c r="A48" s="55"/>
      <c r="B48" s="50"/>
      <c r="C48" s="72" t="s">
        <v>73</v>
      </c>
      <c r="E48" s="9" t="s">
        <v>3</v>
      </c>
      <c r="F48" s="75">
        <v>27</v>
      </c>
      <c r="G48" s="82" t="s">
        <v>74</v>
      </c>
      <c r="H48" s="70"/>
      <c r="I48" s="51"/>
      <c r="J48" s="49"/>
      <c r="K48" s="49"/>
      <c r="L48" s="52"/>
      <c r="M48" s="52"/>
      <c r="N48" s="52"/>
      <c r="O48" s="52"/>
      <c r="S48" s="53"/>
      <c r="T48" s="55"/>
      <c r="U48" s="55"/>
      <c r="V48" s="55"/>
      <c r="W48" s="55"/>
    </row>
    <row r="49" spans="1:23" ht="14.4" hidden="1" x14ac:dyDescent="0.3">
      <c r="A49" s="55"/>
      <c r="B49" s="50"/>
      <c r="C49" s="72" t="s">
        <v>75</v>
      </c>
      <c r="E49" s="9" t="s">
        <v>3</v>
      </c>
      <c r="F49" s="75">
        <v>35</v>
      </c>
      <c r="G49" s="82" t="s">
        <v>76</v>
      </c>
      <c r="H49" s="70"/>
      <c r="I49" s="51"/>
      <c r="J49" s="49"/>
      <c r="K49" s="49"/>
      <c r="L49" s="52"/>
      <c r="M49" s="52"/>
      <c r="N49" s="52"/>
      <c r="O49" s="52"/>
      <c r="S49" s="53"/>
      <c r="T49" s="55"/>
      <c r="U49" s="55"/>
      <c r="V49" s="55"/>
      <c r="W49" s="55"/>
    </row>
    <row r="50" spans="1:23" ht="14.4" hidden="1" x14ac:dyDescent="0.3">
      <c r="A50" s="55"/>
      <c r="B50" s="50"/>
      <c r="C50" s="72" t="s">
        <v>77</v>
      </c>
      <c r="E50" s="9" t="s">
        <v>3</v>
      </c>
      <c r="F50" s="75">
        <v>30</v>
      </c>
      <c r="G50" s="82" t="s">
        <v>76</v>
      </c>
      <c r="H50" s="70"/>
      <c r="I50" s="51"/>
      <c r="J50" s="49"/>
      <c r="K50" s="49"/>
      <c r="L50" s="52"/>
      <c r="M50" s="52"/>
      <c r="N50" s="52"/>
      <c r="O50" s="52"/>
      <c r="S50" s="53"/>
      <c r="T50" s="55"/>
      <c r="U50" s="55"/>
      <c r="V50" s="55"/>
      <c r="W50" s="55"/>
    </row>
    <row r="51" spans="1:23" hidden="1" x14ac:dyDescent="0.25">
      <c r="A51" s="55"/>
      <c r="B51" s="50"/>
      <c r="C51" s="72" t="s">
        <v>78</v>
      </c>
      <c r="E51" s="9" t="s">
        <v>3</v>
      </c>
      <c r="F51" s="77">
        <v>3634.4</v>
      </c>
      <c r="G51" s="72" t="s">
        <v>79</v>
      </c>
      <c r="H51" s="70">
        <f>F51*0.06</f>
        <v>218.06399999999999</v>
      </c>
      <c r="I51" s="51"/>
      <c r="J51" s="49"/>
      <c r="K51" s="49"/>
      <c r="L51" s="52"/>
      <c r="M51" s="52"/>
      <c r="N51" s="52"/>
      <c r="O51" s="52"/>
      <c r="S51" s="53"/>
      <c r="T51" s="55"/>
      <c r="U51" s="55"/>
      <c r="V51" s="55"/>
      <c r="W51" s="55"/>
    </row>
    <row r="52" spans="1:23" hidden="1" x14ac:dyDescent="0.25">
      <c r="A52" s="55"/>
      <c r="B52" s="50"/>
      <c r="C52" s="72"/>
      <c r="F52" s="83">
        <v>219</v>
      </c>
      <c r="G52" s="72" t="s">
        <v>43</v>
      </c>
      <c r="H52" s="70"/>
      <c r="I52" s="51"/>
      <c r="J52" s="49"/>
      <c r="K52" s="49"/>
      <c r="L52" s="52"/>
      <c r="M52" s="52"/>
      <c r="N52" s="52"/>
      <c r="O52" s="52"/>
      <c r="S52" s="53"/>
      <c r="T52" s="55"/>
      <c r="U52" s="55"/>
      <c r="V52" s="55"/>
      <c r="W52" s="55"/>
    </row>
    <row r="53" spans="1:23" hidden="1" x14ac:dyDescent="0.25">
      <c r="A53" s="55"/>
      <c r="B53" s="50"/>
      <c r="C53" s="72" t="s">
        <v>80</v>
      </c>
      <c r="E53" s="9" t="s">
        <v>3</v>
      </c>
      <c r="F53" s="76"/>
      <c r="G53" s="72"/>
      <c r="H53" s="70"/>
      <c r="I53" s="51"/>
      <c r="J53" s="49"/>
      <c r="K53" s="49"/>
      <c r="L53" s="52"/>
      <c r="M53" s="52"/>
      <c r="N53" s="52"/>
      <c r="O53" s="52"/>
      <c r="S53" s="53"/>
      <c r="T53" s="55"/>
      <c r="U53" s="55"/>
      <c r="V53" s="55"/>
      <c r="W53" s="55"/>
    </row>
    <row r="54" spans="1:23" hidden="1" x14ac:dyDescent="0.25">
      <c r="A54" s="55"/>
      <c r="B54" s="50"/>
      <c r="C54" s="72" t="s">
        <v>81</v>
      </c>
      <c r="E54" s="9" t="s">
        <v>3</v>
      </c>
      <c r="F54" s="84">
        <v>5</v>
      </c>
      <c r="G54" s="72" t="s">
        <v>55</v>
      </c>
      <c r="H54" s="70" t="s">
        <v>82</v>
      </c>
      <c r="I54" s="51"/>
      <c r="J54" s="49"/>
      <c r="K54" s="49"/>
      <c r="L54" s="52"/>
      <c r="M54" s="52"/>
      <c r="N54" s="52"/>
      <c r="O54" s="52"/>
      <c r="S54" s="53"/>
      <c r="T54" s="55"/>
      <c r="U54" s="55"/>
      <c r="V54" s="55"/>
      <c r="W54" s="55"/>
    </row>
    <row r="55" spans="1:23" hidden="1" x14ac:dyDescent="0.25">
      <c r="A55" s="55"/>
      <c r="B55" s="50"/>
      <c r="C55" s="72" t="s">
        <v>83</v>
      </c>
      <c r="E55" s="9" t="s">
        <v>3</v>
      </c>
      <c r="F55" s="84">
        <v>5</v>
      </c>
      <c r="G55" s="72" t="s">
        <v>55</v>
      </c>
      <c r="H55" s="70" t="s">
        <v>82</v>
      </c>
      <c r="I55" s="51"/>
      <c r="J55" s="49"/>
      <c r="K55" s="49"/>
      <c r="L55" s="52"/>
      <c r="M55" s="52"/>
      <c r="N55" s="52"/>
      <c r="O55" s="52"/>
      <c r="S55" s="53"/>
      <c r="T55" s="55"/>
      <c r="U55" s="55"/>
      <c r="V55" s="55"/>
      <c r="W55" s="55"/>
    </row>
    <row r="56" spans="1:23" hidden="1" x14ac:dyDescent="0.25">
      <c r="A56" s="55"/>
      <c r="B56" s="50"/>
      <c r="C56" s="72" t="s">
        <v>84</v>
      </c>
      <c r="E56" s="9" t="s">
        <v>3</v>
      </c>
      <c r="F56" s="84">
        <v>2</v>
      </c>
      <c r="G56" s="72" t="s">
        <v>55</v>
      </c>
      <c r="H56" s="70" t="s">
        <v>82</v>
      </c>
      <c r="I56" s="51"/>
      <c r="J56" s="49"/>
      <c r="K56" s="49"/>
      <c r="L56" s="52"/>
      <c r="M56" s="52"/>
      <c r="N56" s="52"/>
      <c r="O56" s="52"/>
      <c r="S56" s="53"/>
      <c r="T56" s="55"/>
      <c r="U56" s="55"/>
      <c r="V56" s="55"/>
      <c r="W56" s="55"/>
    </row>
    <row r="57" spans="1:23" hidden="1" x14ac:dyDescent="0.25">
      <c r="A57" s="55"/>
      <c r="B57" s="50"/>
      <c r="C57" s="72" t="s">
        <v>85</v>
      </c>
      <c r="E57" s="9" t="s">
        <v>3</v>
      </c>
      <c r="F57" s="85">
        <v>1.25</v>
      </c>
      <c r="G57" s="72" t="s">
        <v>55</v>
      </c>
      <c r="H57" s="70"/>
      <c r="I57" s="51"/>
      <c r="J57" s="49"/>
      <c r="K57" s="49"/>
      <c r="L57" s="52"/>
      <c r="M57" s="52"/>
      <c r="N57" s="52"/>
      <c r="O57" s="52"/>
      <c r="S57" s="53"/>
      <c r="T57" s="55"/>
      <c r="U57" s="55"/>
      <c r="V57" s="55"/>
      <c r="W57" s="55"/>
    </row>
    <row r="58" spans="1:23" hidden="1" x14ac:dyDescent="0.25">
      <c r="A58" s="55"/>
      <c r="B58" s="50"/>
      <c r="C58" s="72" t="s">
        <v>86</v>
      </c>
      <c r="E58" s="9" t="s">
        <v>3</v>
      </c>
      <c r="F58" s="85">
        <v>1.25</v>
      </c>
      <c r="G58" s="72" t="s">
        <v>55</v>
      </c>
      <c r="H58" s="70" t="s">
        <v>87</v>
      </c>
      <c r="I58" s="51"/>
      <c r="J58" s="49"/>
      <c r="K58" s="49"/>
      <c r="L58" s="52"/>
      <c r="M58" s="52"/>
      <c r="N58" s="52"/>
      <c r="O58" s="52"/>
      <c r="S58" s="53"/>
      <c r="T58" s="55"/>
      <c r="U58" s="55"/>
      <c r="V58" s="55"/>
      <c r="W58" s="55"/>
    </row>
    <row r="59" spans="1:23" hidden="1" x14ac:dyDescent="0.25">
      <c r="A59" s="55"/>
      <c r="B59" s="50"/>
      <c r="C59" s="72" t="s">
        <v>88</v>
      </c>
      <c r="E59" s="9" t="s">
        <v>3</v>
      </c>
      <c r="F59" s="85">
        <v>5</v>
      </c>
      <c r="G59" s="72" t="s">
        <v>55</v>
      </c>
      <c r="H59" s="70"/>
      <c r="I59" s="51"/>
      <c r="J59" s="49"/>
      <c r="K59" s="49"/>
      <c r="L59" s="52"/>
      <c r="M59" s="52"/>
      <c r="N59" s="52"/>
      <c r="O59" s="52"/>
      <c r="S59" s="53"/>
      <c r="T59" s="55"/>
      <c r="U59" s="55"/>
      <c r="V59" s="55"/>
      <c r="W59" s="55"/>
    </row>
    <row r="60" spans="1:23" hidden="1" x14ac:dyDescent="0.25">
      <c r="A60" s="55"/>
      <c r="B60" s="50"/>
      <c r="C60" s="72" t="s">
        <v>66</v>
      </c>
      <c r="E60" s="9" t="s">
        <v>3</v>
      </c>
      <c r="F60" s="73" t="s">
        <v>89</v>
      </c>
      <c r="G60" s="72"/>
      <c r="H60" s="70"/>
      <c r="I60" s="51"/>
      <c r="J60" s="49"/>
      <c r="K60" s="49"/>
      <c r="L60" s="52"/>
      <c r="M60" s="52"/>
      <c r="N60" s="52"/>
      <c r="O60" s="52"/>
      <c r="S60" s="53"/>
      <c r="T60" s="55"/>
      <c r="U60" s="55"/>
      <c r="V60" s="55"/>
      <c r="W60" s="55"/>
    </row>
    <row r="61" spans="1:23" hidden="1" x14ac:dyDescent="0.25">
      <c r="A61" s="55"/>
      <c r="B61" s="50"/>
      <c r="C61" s="72" t="s">
        <v>68</v>
      </c>
      <c r="E61" s="9" t="s">
        <v>3</v>
      </c>
      <c r="F61" s="80" t="s">
        <v>90</v>
      </c>
      <c r="G61" s="80"/>
      <c r="H61" s="70"/>
      <c r="I61" s="51"/>
      <c r="J61" s="49"/>
      <c r="K61" s="49"/>
      <c r="L61" s="52"/>
      <c r="M61" s="52"/>
      <c r="N61" s="52"/>
      <c r="O61" s="52"/>
      <c r="S61" s="53"/>
      <c r="T61" s="55"/>
      <c r="U61" s="55"/>
      <c r="V61" s="55"/>
      <c r="W61" s="55"/>
    </row>
    <row r="62" spans="1:23" x14ac:dyDescent="0.25">
      <c r="A62" s="55"/>
      <c r="B62" s="50"/>
      <c r="C62" s="72" t="s">
        <v>39</v>
      </c>
      <c r="E62" s="9" t="s">
        <v>3</v>
      </c>
      <c r="F62" s="73" t="s">
        <v>72</v>
      </c>
      <c r="G62" s="72"/>
      <c r="H62" s="70"/>
      <c r="I62" s="51"/>
      <c r="J62" s="49"/>
      <c r="K62" s="49"/>
      <c r="L62" s="52"/>
      <c r="M62" s="52"/>
      <c r="N62" s="52"/>
      <c r="O62" s="52"/>
      <c r="S62" s="53"/>
      <c r="T62" s="55"/>
      <c r="U62" s="55"/>
      <c r="V62" s="55"/>
      <c r="W62" s="55"/>
    </row>
    <row r="63" spans="1:23" ht="14.4" x14ac:dyDescent="0.3">
      <c r="A63" s="55"/>
      <c r="B63" s="50"/>
      <c r="C63" s="72" t="s">
        <v>73</v>
      </c>
      <c r="E63" s="9" t="s">
        <v>3</v>
      </c>
      <c r="F63" s="75">
        <v>27</v>
      </c>
      <c r="G63" s="82" t="s">
        <v>74</v>
      </c>
      <c r="H63" s="70"/>
      <c r="I63" s="51"/>
      <c r="J63" s="49"/>
      <c r="K63" s="49"/>
      <c r="L63" s="52"/>
      <c r="M63" s="52"/>
      <c r="N63" s="52"/>
      <c r="O63" s="52"/>
      <c r="S63" s="53"/>
      <c r="T63" s="55"/>
      <c r="U63" s="55"/>
      <c r="V63" s="55"/>
      <c r="W63" s="55"/>
    </row>
    <row r="64" spans="1:23" ht="14.4" x14ac:dyDescent="0.3">
      <c r="A64" s="55"/>
      <c r="B64" s="50"/>
      <c r="C64" s="72" t="s">
        <v>75</v>
      </c>
      <c r="E64" s="9" t="s">
        <v>3</v>
      </c>
      <c r="F64" s="75">
        <v>35</v>
      </c>
      <c r="G64" s="82" t="s">
        <v>76</v>
      </c>
      <c r="H64" s="70"/>
      <c r="I64" s="51"/>
      <c r="J64" s="49"/>
      <c r="K64" s="49"/>
      <c r="L64" s="52"/>
      <c r="M64" s="52"/>
      <c r="N64" s="52"/>
      <c r="O64" s="52"/>
      <c r="S64" s="53"/>
      <c r="T64" s="55"/>
      <c r="U64" s="55"/>
      <c r="V64" s="55"/>
      <c r="W64" s="55"/>
    </row>
    <row r="65" spans="1:23" ht="14.4" x14ac:dyDescent="0.3">
      <c r="A65" s="55"/>
      <c r="B65" s="50"/>
      <c r="C65" s="72" t="s">
        <v>77</v>
      </c>
      <c r="E65" s="9" t="s">
        <v>3</v>
      </c>
      <c r="F65" s="75">
        <v>30</v>
      </c>
      <c r="G65" s="82" t="s">
        <v>76</v>
      </c>
      <c r="H65" s="70"/>
      <c r="I65" s="51"/>
      <c r="J65" s="49"/>
      <c r="K65" s="49"/>
      <c r="L65" s="52"/>
      <c r="M65" s="52"/>
      <c r="N65" s="52"/>
      <c r="O65" s="52"/>
      <c r="S65" s="53"/>
      <c r="T65" s="55"/>
      <c r="U65" s="55"/>
      <c r="V65" s="55"/>
      <c r="W65" s="55"/>
    </row>
    <row r="66" spans="1:23" x14ac:dyDescent="0.25">
      <c r="A66" s="55"/>
      <c r="B66" s="50"/>
      <c r="C66" s="72" t="s">
        <v>78</v>
      </c>
      <c r="E66" s="9" t="s">
        <v>3</v>
      </c>
      <c r="F66" s="77">
        <v>468</v>
      </c>
      <c r="G66" s="72" t="s">
        <v>43</v>
      </c>
      <c r="H66" s="70"/>
      <c r="I66" s="51"/>
      <c r="J66" s="49"/>
      <c r="K66" s="49"/>
      <c r="L66" s="52"/>
      <c r="M66" s="52"/>
      <c r="N66" s="52"/>
      <c r="O66" s="52"/>
      <c r="S66" s="53"/>
      <c r="T66" s="55"/>
      <c r="U66" s="55"/>
      <c r="V66" s="55"/>
      <c r="W66" s="55"/>
    </row>
    <row r="67" spans="1:23" x14ac:dyDescent="0.25">
      <c r="A67" s="55"/>
      <c r="B67" s="50"/>
      <c r="C67" s="72" t="s">
        <v>80</v>
      </c>
      <c r="E67" s="9" t="s">
        <v>3</v>
      </c>
      <c r="F67" s="76"/>
      <c r="G67" s="72"/>
      <c r="H67" s="70"/>
      <c r="I67" s="51"/>
      <c r="J67" s="49"/>
      <c r="K67" s="49"/>
      <c r="L67" s="52"/>
      <c r="M67" s="52"/>
      <c r="N67" s="52"/>
      <c r="O67" s="52"/>
      <c r="S67" s="53"/>
      <c r="T67" s="55"/>
      <c r="U67" s="55"/>
      <c r="V67" s="55"/>
      <c r="W67" s="55"/>
    </row>
    <row r="68" spans="1:23" x14ac:dyDescent="0.25">
      <c r="A68" s="55"/>
      <c r="B68" s="50"/>
      <c r="C68" s="72" t="s">
        <v>81</v>
      </c>
      <c r="E68" s="9" t="s">
        <v>3</v>
      </c>
      <c r="F68" s="84">
        <v>8</v>
      </c>
      <c r="G68" s="72" t="s">
        <v>55</v>
      </c>
      <c r="H68" s="70" t="s">
        <v>82</v>
      </c>
      <c r="I68" s="51"/>
      <c r="J68" s="49"/>
      <c r="K68" s="49"/>
      <c r="L68" s="52"/>
      <c r="M68" s="52"/>
      <c r="N68" s="52"/>
      <c r="O68" s="52"/>
      <c r="S68" s="53"/>
      <c r="T68" s="55"/>
      <c r="U68" s="55"/>
      <c r="V68" s="55"/>
      <c r="W68" s="55"/>
    </row>
    <row r="69" spans="1:23" x14ac:dyDescent="0.25">
      <c r="A69" s="55"/>
      <c r="B69" s="50"/>
      <c r="C69" s="72" t="s">
        <v>83</v>
      </c>
      <c r="E69" s="9" t="s">
        <v>3</v>
      </c>
      <c r="F69" s="84">
        <v>12</v>
      </c>
      <c r="G69" s="72" t="s">
        <v>55</v>
      </c>
      <c r="H69" s="70"/>
      <c r="I69" s="51"/>
      <c r="J69" s="49"/>
      <c r="K69" s="49"/>
      <c r="L69" s="52"/>
      <c r="M69" s="52"/>
      <c r="N69" s="52"/>
      <c r="O69" s="52"/>
      <c r="S69" s="53"/>
      <c r="T69" s="55"/>
      <c r="U69" s="55"/>
      <c r="V69" s="55"/>
      <c r="W69" s="55"/>
    </row>
    <row r="70" spans="1:23" x14ac:dyDescent="0.25">
      <c r="A70" s="55"/>
      <c r="B70" s="50"/>
      <c r="C70" s="72" t="s">
        <v>84</v>
      </c>
      <c r="E70" s="9" t="s">
        <v>3</v>
      </c>
      <c r="F70" s="84">
        <v>4</v>
      </c>
      <c r="G70" s="72" t="s">
        <v>55</v>
      </c>
      <c r="H70" s="70"/>
      <c r="I70" s="51"/>
      <c r="J70" s="49"/>
      <c r="K70" s="49"/>
      <c r="L70" s="52"/>
      <c r="M70" s="52"/>
      <c r="N70" s="52"/>
      <c r="O70" s="52"/>
      <c r="S70" s="53"/>
      <c r="T70" s="55"/>
      <c r="U70" s="55"/>
      <c r="V70" s="55"/>
      <c r="W70" s="55"/>
    </row>
    <row r="71" spans="1:23" x14ac:dyDescent="0.25">
      <c r="A71" s="55"/>
      <c r="B71" s="50"/>
      <c r="C71" s="72" t="s">
        <v>85</v>
      </c>
      <c r="E71" s="9" t="s">
        <v>3</v>
      </c>
      <c r="F71" s="85">
        <v>2</v>
      </c>
      <c r="G71" s="72" t="s">
        <v>55</v>
      </c>
      <c r="H71" s="70"/>
      <c r="I71" s="51"/>
      <c r="J71" s="49"/>
      <c r="K71" s="49"/>
      <c r="L71" s="52"/>
      <c r="M71" s="52"/>
      <c r="N71" s="52"/>
      <c r="O71" s="52"/>
      <c r="S71" s="53"/>
      <c r="T71" s="55"/>
      <c r="U71" s="55"/>
      <c r="V71" s="55"/>
      <c r="W71" s="55"/>
    </row>
    <row r="72" spans="1:23" x14ac:dyDescent="0.25">
      <c r="A72" s="55"/>
      <c r="B72" s="50"/>
      <c r="C72" s="72" t="s">
        <v>86</v>
      </c>
      <c r="E72" s="9" t="s">
        <v>3</v>
      </c>
      <c r="F72" s="85">
        <v>2</v>
      </c>
      <c r="G72" s="72" t="s">
        <v>55</v>
      </c>
      <c r="H72" s="70" t="s">
        <v>87</v>
      </c>
      <c r="I72" s="51"/>
      <c r="J72" s="49"/>
      <c r="K72" s="49"/>
      <c r="L72" s="52"/>
      <c r="M72" s="52"/>
      <c r="N72" s="52"/>
      <c r="O72" s="52"/>
      <c r="S72" s="53"/>
      <c r="T72" s="55"/>
      <c r="U72" s="55"/>
      <c r="V72" s="55"/>
      <c r="W72" s="55"/>
    </row>
    <row r="73" spans="1:23" x14ac:dyDescent="0.25">
      <c r="A73" s="55"/>
      <c r="B73" s="50"/>
      <c r="C73" s="72" t="s">
        <v>88</v>
      </c>
      <c r="E73" s="9" t="s">
        <v>3</v>
      </c>
      <c r="F73" s="85">
        <v>5</v>
      </c>
      <c r="G73" s="72" t="s">
        <v>55</v>
      </c>
      <c r="H73" s="70"/>
      <c r="I73" s="51"/>
      <c r="J73" s="49"/>
      <c r="K73" s="49"/>
      <c r="L73" s="52"/>
      <c r="M73" s="52"/>
      <c r="N73" s="52"/>
      <c r="O73" s="52"/>
      <c r="S73" s="53"/>
      <c r="T73" s="55"/>
      <c r="U73" s="55"/>
      <c r="V73" s="55"/>
      <c r="W73" s="55"/>
    </row>
    <row r="74" spans="1:23" x14ac:dyDescent="0.25">
      <c r="A74" s="55"/>
      <c r="B74" s="50"/>
      <c r="C74" s="72" t="s">
        <v>66</v>
      </c>
      <c r="E74" s="9" t="s">
        <v>3</v>
      </c>
      <c r="F74" s="73" t="s">
        <v>91</v>
      </c>
      <c r="G74" s="72"/>
      <c r="H74" s="70"/>
      <c r="I74" s="51"/>
      <c r="J74" s="49"/>
      <c r="K74" s="49"/>
      <c r="L74" s="52"/>
      <c r="M74" s="52"/>
      <c r="N74" s="52"/>
      <c r="O74" s="52"/>
      <c r="S74" s="53"/>
      <c r="T74" s="55"/>
      <c r="U74" s="55"/>
      <c r="V74" s="55"/>
      <c r="W74" s="55"/>
    </row>
    <row r="75" spans="1:23" x14ac:dyDescent="0.25">
      <c r="A75" s="55"/>
      <c r="B75" s="50"/>
      <c r="C75" s="72" t="s">
        <v>68</v>
      </c>
      <c r="E75" s="9" t="s">
        <v>3</v>
      </c>
      <c r="F75" s="80" t="s">
        <v>92</v>
      </c>
      <c r="G75" s="80"/>
      <c r="H75" s="70"/>
      <c r="I75" s="51"/>
      <c r="J75" s="49"/>
      <c r="K75" s="49"/>
      <c r="L75" s="52"/>
      <c r="M75" s="52"/>
      <c r="N75" s="52"/>
      <c r="O75" s="52"/>
      <c r="S75" s="53"/>
      <c r="T75" s="55"/>
      <c r="U75" s="55"/>
      <c r="V75" s="55"/>
      <c r="W75" s="55"/>
    </row>
    <row r="76" spans="1:23" x14ac:dyDescent="0.25">
      <c r="A76" s="55"/>
      <c r="B76" s="50"/>
      <c r="C76" s="72"/>
      <c r="G76" s="72"/>
      <c r="H76" s="70"/>
      <c r="I76" s="51"/>
      <c r="J76" s="49"/>
      <c r="K76" s="49"/>
      <c r="L76" s="52"/>
      <c r="M76" s="52"/>
      <c r="N76" s="52"/>
      <c r="O76" s="52"/>
      <c r="S76" s="53"/>
      <c r="T76" s="55"/>
      <c r="U76" s="55"/>
      <c r="V76" s="55"/>
      <c r="W76" s="55"/>
    </row>
    <row r="77" spans="1:23" x14ac:dyDescent="0.25">
      <c r="A77" s="49">
        <v>3</v>
      </c>
      <c r="B77" s="50" t="s">
        <v>93</v>
      </c>
      <c r="H77" s="70"/>
      <c r="I77" s="51"/>
      <c r="J77" s="49">
        <v>3</v>
      </c>
      <c r="K77" s="49" t="s">
        <v>36</v>
      </c>
      <c r="L77" s="52">
        <f t="shared" ref="L77:M77" si="4">ROUNDUP((T77/(1-$U$4)),-2)</f>
        <v>126862500</v>
      </c>
      <c r="M77" s="52">
        <f t="shared" si="4"/>
        <v>9375000</v>
      </c>
      <c r="N77" s="52">
        <f>L77*J77</f>
        <v>380587500</v>
      </c>
      <c r="O77" s="52">
        <f>M77*J77</f>
        <v>28125000</v>
      </c>
      <c r="S77" s="53"/>
      <c r="T77" s="54">
        <v>101490000</v>
      </c>
      <c r="U77" s="52">
        <v>7500000</v>
      </c>
      <c r="V77" s="54">
        <f>T77*J77</f>
        <v>304470000</v>
      </c>
      <c r="W77" s="54">
        <f>U77*J77</f>
        <v>22500000</v>
      </c>
    </row>
    <row r="78" spans="1:23" x14ac:dyDescent="0.25">
      <c r="A78" s="49"/>
      <c r="B78" s="50"/>
      <c r="C78" s="2" t="s">
        <v>94</v>
      </c>
      <c r="E78" s="9" t="s">
        <v>3</v>
      </c>
      <c r="F78" s="73" t="s">
        <v>95</v>
      </c>
      <c r="H78" s="70"/>
      <c r="I78" s="51"/>
      <c r="J78" s="49"/>
      <c r="K78" s="49"/>
      <c r="L78" s="52"/>
      <c r="M78" s="52"/>
      <c r="N78" s="52"/>
      <c r="O78" s="52"/>
      <c r="S78" s="53"/>
      <c r="T78" s="54"/>
      <c r="U78" s="52"/>
      <c r="V78" s="54"/>
      <c r="W78" s="54"/>
    </row>
    <row r="79" spans="1:23" hidden="1" x14ac:dyDescent="0.25">
      <c r="A79" s="49"/>
      <c r="B79" s="50"/>
      <c r="C79" s="2" t="s">
        <v>96</v>
      </c>
      <c r="E79" s="9" t="s">
        <v>3</v>
      </c>
      <c r="F79" s="73" t="s">
        <v>97</v>
      </c>
      <c r="H79" s="70"/>
      <c r="I79" s="51"/>
      <c r="J79" s="49"/>
      <c r="K79" s="49"/>
      <c r="L79" s="52"/>
      <c r="M79" s="52"/>
      <c r="N79" s="52"/>
      <c r="O79" s="52"/>
      <c r="S79" s="53"/>
      <c r="T79" s="54"/>
      <c r="U79" s="52"/>
      <c r="V79" s="54"/>
      <c r="W79" s="54"/>
    </row>
    <row r="80" spans="1:23" x14ac:dyDescent="0.25">
      <c r="A80" s="55"/>
      <c r="B80" s="50"/>
      <c r="C80" s="72" t="s">
        <v>39</v>
      </c>
      <c r="E80" s="9" t="s">
        <v>3</v>
      </c>
      <c r="F80" s="73" t="s">
        <v>98</v>
      </c>
      <c r="G80" s="72"/>
      <c r="H80" s="70"/>
      <c r="I80" s="51"/>
      <c r="J80" s="49"/>
      <c r="K80" s="49"/>
      <c r="L80" s="52"/>
      <c r="M80" s="52"/>
      <c r="N80" s="52"/>
      <c r="O80" s="52"/>
      <c r="S80" s="53"/>
      <c r="T80" s="86"/>
      <c r="U80" s="55"/>
      <c r="V80" s="55"/>
      <c r="W80" s="55"/>
    </row>
    <row r="81" spans="1:23" hidden="1" x14ac:dyDescent="0.25">
      <c r="A81" s="55"/>
      <c r="B81" s="50"/>
      <c r="C81" s="72" t="s">
        <v>99</v>
      </c>
      <c r="E81" s="9" t="s">
        <v>3</v>
      </c>
      <c r="F81" s="73" t="s">
        <v>100</v>
      </c>
      <c r="G81" s="78"/>
      <c r="H81" s="70"/>
      <c r="I81" s="51"/>
      <c r="J81" s="49"/>
      <c r="K81" s="49"/>
      <c r="L81" s="52"/>
      <c r="M81" s="52"/>
      <c r="N81" s="52"/>
      <c r="O81" s="52"/>
      <c r="S81" s="53"/>
      <c r="T81" s="55"/>
      <c r="U81" s="55"/>
      <c r="V81" s="55"/>
      <c r="W81" s="55"/>
    </row>
    <row r="82" spans="1:23" hidden="1" x14ac:dyDescent="0.25">
      <c r="A82" s="55"/>
      <c r="B82" s="50"/>
      <c r="C82" s="72" t="s">
        <v>101</v>
      </c>
      <c r="E82" s="9" t="s">
        <v>3</v>
      </c>
      <c r="F82" s="73" t="s">
        <v>102</v>
      </c>
      <c r="G82" s="72"/>
      <c r="H82" s="70"/>
      <c r="I82" s="51"/>
      <c r="J82" s="49"/>
      <c r="K82" s="49"/>
      <c r="L82" s="52"/>
      <c r="M82" s="52"/>
      <c r="N82" s="52"/>
      <c r="O82" s="52"/>
      <c r="S82" s="53"/>
      <c r="T82" s="55"/>
      <c r="U82" s="55"/>
      <c r="V82" s="55"/>
      <c r="W82" s="55"/>
    </row>
    <row r="83" spans="1:23" hidden="1" x14ac:dyDescent="0.25">
      <c r="A83" s="55"/>
      <c r="B83" s="50"/>
      <c r="C83" s="72" t="s">
        <v>103</v>
      </c>
      <c r="E83" s="9" t="s">
        <v>3</v>
      </c>
      <c r="F83" s="73" t="s">
        <v>104</v>
      </c>
      <c r="G83" s="72"/>
      <c r="H83" s="70"/>
      <c r="I83" s="51"/>
      <c r="J83" s="49"/>
      <c r="K83" s="49"/>
      <c r="L83" s="52"/>
      <c r="M83" s="52"/>
      <c r="N83" s="52"/>
      <c r="O83" s="52"/>
      <c r="S83" s="53"/>
      <c r="T83" s="55"/>
      <c r="U83" s="55"/>
      <c r="V83" s="55"/>
      <c r="W83" s="55"/>
    </row>
    <row r="84" spans="1:23" hidden="1" x14ac:dyDescent="0.25">
      <c r="A84" s="55"/>
      <c r="B84" s="50"/>
      <c r="C84" s="72" t="s">
        <v>80</v>
      </c>
      <c r="E84" s="9" t="s">
        <v>3</v>
      </c>
      <c r="F84" s="75"/>
      <c r="G84" s="72"/>
      <c r="H84" s="70"/>
      <c r="I84" s="51"/>
      <c r="J84" s="49"/>
      <c r="K84" s="49"/>
      <c r="L84" s="52"/>
      <c r="M84" s="52"/>
      <c r="N84" s="52"/>
      <c r="O84" s="52"/>
      <c r="S84" s="53"/>
      <c r="T84" s="55"/>
      <c r="U84" s="55"/>
      <c r="V84" s="55"/>
      <c r="W84" s="55"/>
    </row>
    <row r="85" spans="1:23" hidden="1" x14ac:dyDescent="0.25">
      <c r="A85" s="55"/>
      <c r="B85" s="50"/>
      <c r="C85" s="72"/>
      <c r="D85" s="2" t="s">
        <v>105</v>
      </c>
      <c r="E85" s="9" t="s">
        <v>3</v>
      </c>
      <c r="F85" s="73" t="s">
        <v>106</v>
      </c>
      <c r="G85" s="72"/>
      <c r="H85" s="70"/>
      <c r="I85" s="51"/>
      <c r="J85" s="49"/>
      <c r="K85" s="49"/>
      <c r="L85" s="52"/>
      <c r="M85" s="52"/>
      <c r="N85" s="52"/>
      <c r="O85" s="52"/>
      <c r="S85" s="53"/>
      <c r="T85" s="55"/>
      <c r="U85" s="55"/>
      <c r="V85" s="55"/>
      <c r="W85" s="55"/>
    </row>
    <row r="86" spans="1:23" hidden="1" x14ac:dyDescent="0.25">
      <c r="A86" s="55"/>
      <c r="B86" s="50"/>
      <c r="C86" s="72"/>
      <c r="D86" s="2" t="s">
        <v>107</v>
      </c>
      <c r="E86" s="9" t="s">
        <v>3</v>
      </c>
      <c r="F86" s="73" t="s">
        <v>108</v>
      </c>
      <c r="G86" s="72"/>
      <c r="H86" s="70"/>
      <c r="I86" s="51"/>
      <c r="J86" s="49"/>
      <c r="K86" s="49"/>
      <c r="L86" s="52"/>
      <c r="M86" s="52"/>
      <c r="N86" s="52"/>
      <c r="O86" s="52"/>
      <c r="S86" s="53"/>
      <c r="T86" s="55"/>
      <c r="U86" s="55"/>
      <c r="V86" s="55"/>
      <c r="W86" s="55"/>
    </row>
    <row r="87" spans="1:23" hidden="1" x14ac:dyDescent="0.25">
      <c r="A87" s="55"/>
      <c r="B87" s="50"/>
      <c r="C87" s="72" t="s">
        <v>109</v>
      </c>
      <c r="E87" s="9" t="s">
        <v>3</v>
      </c>
      <c r="F87" s="73" t="s">
        <v>110</v>
      </c>
      <c r="G87" s="72"/>
      <c r="H87" s="70"/>
      <c r="I87" s="51"/>
      <c r="J87" s="49"/>
      <c r="K87" s="49"/>
      <c r="L87" s="52"/>
      <c r="M87" s="52"/>
      <c r="N87" s="52"/>
      <c r="O87" s="52"/>
      <c r="S87" s="53"/>
      <c r="T87" s="55"/>
      <c r="U87" s="55"/>
      <c r="V87" s="55"/>
      <c r="W87" s="55"/>
    </row>
    <row r="88" spans="1:23" hidden="1" x14ac:dyDescent="0.25">
      <c r="A88" s="55"/>
      <c r="B88" s="50"/>
      <c r="C88" s="72" t="s">
        <v>111</v>
      </c>
      <c r="E88" s="9" t="s">
        <v>3</v>
      </c>
      <c r="F88" s="73" t="s">
        <v>112</v>
      </c>
      <c r="G88" s="72"/>
      <c r="H88" s="70"/>
      <c r="I88" s="51"/>
      <c r="J88" s="49"/>
      <c r="K88" s="49"/>
      <c r="L88" s="52"/>
      <c r="M88" s="52"/>
      <c r="N88" s="52"/>
      <c r="O88" s="52"/>
      <c r="S88" s="53"/>
      <c r="T88" s="55"/>
      <c r="U88" s="55"/>
      <c r="V88" s="55"/>
      <c r="W88" s="55"/>
    </row>
    <row r="89" spans="1:23" hidden="1" x14ac:dyDescent="0.25">
      <c r="A89" s="55"/>
      <c r="B89" s="50"/>
      <c r="C89" s="72" t="s">
        <v>62</v>
      </c>
      <c r="E89" s="9" t="s">
        <v>3</v>
      </c>
      <c r="F89" s="79" t="s">
        <v>63</v>
      </c>
      <c r="G89" s="72"/>
      <c r="H89" s="70"/>
      <c r="I89" s="51"/>
      <c r="J89" s="49"/>
      <c r="K89" s="49"/>
      <c r="L89" s="52"/>
      <c r="M89" s="52"/>
      <c r="N89" s="52"/>
      <c r="O89" s="52"/>
      <c r="S89" s="53"/>
      <c r="T89" s="55"/>
      <c r="U89" s="55"/>
      <c r="V89" s="55"/>
      <c r="W89" s="55"/>
    </row>
    <row r="90" spans="1:23" hidden="1" x14ac:dyDescent="0.25">
      <c r="A90" s="55"/>
      <c r="B90" s="50"/>
      <c r="C90" s="72" t="s">
        <v>113</v>
      </c>
      <c r="E90" s="9" t="s">
        <v>3</v>
      </c>
      <c r="F90" s="87" t="s">
        <v>114</v>
      </c>
      <c r="G90" s="72"/>
      <c r="H90" s="70"/>
      <c r="I90" s="51"/>
      <c r="J90" s="49"/>
      <c r="K90" s="49"/>
      <c r="L90" s="52"/>
      <c r="M90" s="52"/>
      <c r="N90" s="52"/>
      <c r="O90" s="52"/>
      <c r="S90" s="53"/>
      <c r="T90" s="55"/>
      <c r="U90" s="55"/>
      <c r="V90" s="55"/>
      <c r="W90" s="55"/>
    </row>
    <row r="91" spans="1:23" x14ac:dyDescent="0.25">
      <c r="A91" s="55"/>
      <c r="B91" s="50"/>
      <c r="C91" s="72"/>
      <c r="F91" s="79"/>
      <c r="G91" s="72"/>
      <c r="H91" s="70"/>
      <c r="I91" s="51"/>
      <c r="J91" s="49"/>
      <c r="K91" s="49"/>
      <c r="L91" s="52"/>
      <c r="M91" s="52"/>
      <c r="N91" s="52"/>
      <c r="O91" s="52"/>
      <c r="S91" s="53"/>
      <c r="T91" s="55"/>
      <c r="U91" s="55"/>
      <c r="V91" s="55"/>
      <c r="W91" s="55"/>
    </row>
    <row r="92" spans="1:23" x14ac:dyDescent="0.25">
      <c r="A92" s="49">
        <v>4</v>
      </c>
      <c r="B92" s="50" t="s">
        <v>115</v>
      </c>
      <c r="F92" s="73"/>
      <c r="H92" s="70"/>
      <c r="I92" s="51"/>
      <c r="J92" s="49">
        <v>1</v>
      </c>
      <c r="K92" s="49" t="s">
        <v>36</v>
      </c>
      <c r="L92" s="52">
        <f t="shared" ref="L92:M92" si="5">ROUNDUP((T92/(1-$U$4)),-2)</f>
        <v>680200000</v>
      </c>
      <c r="M92" s="52">
        <f t="shared" si="5"/>
        <v>9375000</v>
      </c>
      <c r="N92" s="52">
        <f>L92*J92</f>
        <v>680200000</v>
      </c>
      <c r="O92" s="52">
        <f>M92*J92</f>
        <v>9375000</v>
      </c>
      <c r="S92" s="53"/>
      <c r="T92" s="54">
        <v>544160000</v>
      </c>
      <c r="U92" s="52">
        <v>7500000</v>
      </c>
      <c r="V92" s="54">
        <f>T92*J92</f>
        <v>544160000</v>
      </c>
      <c r="W92" s="54">
        <f>U92*J92</f>
        <v>7500000</v>
      </c>
    </row>
    <row r="93" spans="1:23" x14ac:dyDescent="0.25">
      <c r="A93" s="49"/>
      <c r="B93" s="50"/>
      <c r="C93" s="2" t="s">
        <v>94</v>
      </c>
      <c r="E93" s="9" t="s">
        <v>3</v>
      </c>
      <c r="F93" s="73" t="s">
        <v>116</v>
      </c>
      <c r="H93" s="70"/>
      <c r="I93" s="51"/>
      <c r="J93" s="49"/>
      <c r="K93" s="49"/>
      <c r="L93" s="52"/>
      <c r="M93" s="52"/>
      <c r="N93" s="52"/>
      <c r="O93" s="52"/>
      <c r="S93" s="53"/>
      <c r="T93" s="54"/>
      <c r="U93" s="52"/>
      <c r="V93" s="54"/>
      <c r="W93" s="54"/>
    </row>
    <row r="94" spans="1:23" x14ac:dyDescent="0.25">
      <c r="A94" s="55"/>
      <c r="B94" s="50"/>
      <c r="C94" s="72" t="s">
        <v>39</v>
      </c>
      <c r="E94" s="9" t="s">
        <v>3</v>
      </c>
      <c r="F94" s="73" t="s">
        <v>117</v>
      </c>
      <c r="G94" s="72"/>
      <c r="H94" s="70"/>
      <c r="I94" s="51"/>
      <c r="J94" s="49"/>
      <c r="K94" s="49"/>
      <c r="L94" s="52"/>
      <c r="M94" s="52"/>
      <c r="N94" s="52"/>
      <c r="O94" s="52"/>
      <c r="S94" s="53"/>
      <c r="T94" s="55"/>
      <c r="U94" s="55"/>
      <c r="V94" s="55"/>
      <c r="W94" s="55"/>
    </row>
    <row r="95" spans="1:23" hidden="1" x14ac:dyDescent="0.25">
      <c r="A95" s="55"/>
      <c r="B95" s="50"/>
      <c r="C95" s="72" t="s">
        <v>99</v>
      </c>
      <c r="E95" s="9" t="s">
        <v>3</v>
      </c>
      <c r="F95" s="73" t="s">
        <v>118</v>
      </c>
      <c r="G95" s="78"/>
      <c r="H95" s="70"/>
      <c r="I95" s="51"/>
      <c r="J95" s="49"/>
      <c r="K95" s="49"/>
      <c r="L95" s="52"/>
      <c r="M95" s="52"/>
      <c r="N95" s="52"/>
      <c r="O95" s="52"/>
      <c r="S95" s="53"/>
      <c r="T95" s="55"/>
      <c r="U95" s="55"/>
      <c r="V95" s="55"/>
      <c r="W95" s="55"/>
    </row>
    <row r="96" spans="1:23" hidden="1" x14ac:dyDescent="0.25">
      <c r="A96" s="55"/>
      <c r="B96" s="50"/>
      <c r="C96" s="72" t="s">
        <v>101</v>
      </c>
      <c r="E96" s="9" t="s">
        <v>3</v>
      </c>
      <c r="F96" s="73" t="s">
        <v>119</v>
      </c>
      <c r="G96" s="72"/>
      <c r="H96" s="70"/>
      <c r="I96" s="51"/>
      <c r="J96" s="49"/>
      <c r="K96" s="49"/>
      <c r="L96" s="52"/>
      <c r="M96" s="52"/>
      <c r="N96" s="52"/>
      <c r="O96" s="52"/>
      <c r="S96" s="53"/>
      <c r="T96" s="55"/>
      <c r="U96" s="55"/>
      <c r="V96" s="55"/>
      <c r="W96" s="55"/>
    </row>
    <row r="97" spans="1:23" hidden="1" x14ac:dyDescent="0.25">
      <c r="A97" s="55"/>
      <c r="B97" s="50"/>
      <c r="C97" s="72" t="s">
        <v>103</v>
      </c>
      <c r="E97" s="9" t="s">
        <v>3</v>
      </c>
      <c r="F97" s="73" t="s">
        <v>120</v>
      </c>
      <c r="G97" s="72"/>
      <c r="H97" s="70"/>
      <c r="I97" s="51"/>
      <c r="J97" s="49"/>
      <c r="K97" s="49"/>
      <c r="L97" s="52"/>
      <c r="M97" s="52"/>
      <c r="N97" s="52"/>
      <c r="O97" s="52"/>
      <c r="S97" s="53"/>
      <c r="T97" s="55"/>
      <c r="U97" s="55"/>
      <c r="V97" s="55"/>
      <c r="W97" s="55"/>
    </row>
    <row r="98" spans="1:23" hidden="1" x14ac:dyDescent="0.25">
      <c r="A98" s="55"/>
      <c r="B98" s="50"/>
      <c r="C98" s="72" t="s">
        <v>80</v>
      </c>
      <c r="E98" s="9" t="s">
        <v>3</v>
      </c>
      <c r="F98" s="75"/>
      <c r="G98" s="72"/>
      <c r="H98" s="70"/>
      <c r="I98" s="51"/>
      <c r="J98" s="49"/>
      <c r="K98" s="49"/>
      <c r="L98" s="52"/>
      <c r="M98" s="52"/>
      <c r="N98" s="52"/>
      <c r="O98" s="52"/>
      <c r="S98" s="53"/>
      <c r="T98" s="55"/>
      <c r="U98" s="55"/>
      <c r="V98" s="55"/>
      <c r="W98" s="55"/>
    </row>
    <row r="99" spans="1:23" hidden="1" x14ac:dyDescent="0.25">
      <c r="A99" s="55"/>
      <c r="B99" s="50"/>
      <c r="C99" s="72"/>
      <c r="D99" s="2" t="s">
        <v>105</v>
      </c>
      <c r="E99" s="9" t="s">
        <v>3</v>
      </c>
      <c r="F99" s="73" t="s">
        <v>108</v>
      </c>
      <c r="G99" s="72"/>
      <c r="H99" s="70"/>
      <c r="I99" s="51"/>
      <c r="J99" s="49"/>
      <c r="K99" s="49"/>
      <c r="L99" s="52"/>
      <c r="M99" s="52"/>
      <c r="N99" s="52"/>
      <c r="O99" s="52"/>
      <c r="S99" s="53"/>
      <c r="T99" s="55"/>
      <c r="U99" s="55"/>
      <c r="V99" s="55"/>
      <c r="W99" s="55"/>
    </row>
    <row r="100" spans="1:23" hidden="1" x14ac:dyDescent="0.25">
      <c r="A100" s="55"/>
      <c r="B100" s="50"/>
      <c r="C100" s="72"/>
      <c r="D100" s="2" t="s">
        <v>107</v>
      </c>
      <c r="E100" s="9" t="s">
        <v>3</v>
      </c>
      <c r="F100" s="73" t="s">
        <v>121</v>
      </c>
      <c r="G100" s="72"/>
      <c r="H100" s="70"/>
      <c r="I100" s="51"/>
      <c r="J100" s="49"/>
      <c r="K100" s="49"/>
      <c r="L100" s="52"/>
      <c r="M100" s="52"/>
      <c r="N100" s="52"/>
      <c r="O100" s="52"/>
      <c r="S100" s="53"/>
      <c r="T100" s="55"/>
      <c r="U100" s="55"/>
      <c r="V100" s="55"/>
      <c r="W100" s="55"/>
    </row>
    <row r="101" spans="1:23" hidden="1" x14ac:dyDescent="0.25">
      <c r="A101" s="55"/>
      <c r="B101" s="50"/>
      <c r="C101" s="72" t="s">
        <v>109</v>
      </c>
      <c r="E101" s="9" t="s">
        <v>3</v>
      </c>
      <c r="F101" s="73" t="s">
        <v>122</v>
      </c>
      <c r="G101" s="72"/>
      <c r="H101" s="70"/>
      <c r="I101" s="51"/>
      <c r="J101" s="49"/>
      <c r="K101" s="49"/>
      <c r="L101" s="52"/>
      <c r="M101" s="52"/>
      <c r="N101" s="52"/>
      <c r="O101" s="52"/>
      <c r="S101" s="53"/>
      <c r="T101" s="55"/>
      <c r="U101" s="55"/>
      <c r="V101" s="55"/>
      <c r="W101" s="55"/>
    </row>
    <row r="102" spans="1:23" ht="15.75" hidden="1" customHeight="1" x14ac:dyDescent="0.25">
      <c r="A102" s="55"/>
      <c r="B102" s="50"/>
      <c r="C102" s="72" t="s">
        <v>62</v>
      </c>
      <c r="E102" s="9" t="s">
        <v>3</v>
      </c>
      <c r="F102" s="79" t="s">
        <v>63</v>
      </c>
      <c r="G102" s="72"/>
      <c r="H102" s="70"/>
      <c r="I102" s="51"/>
      <c r="J102" s="49"/>
      <c r="K102" s="49"/>
      <c r="L102" s="52"/>
      <c r="M102" s="52"/>
      <c r="N102" s="52"/>
      <c r="O102" s="52"/>
      <c r="S102" s="53"/>
      <c r="T102" s="55"/>
      <c r="U102" s="55"/>
      <c r="V102" s="55"/>
      <c r="W102" s="55"/>
    </row>
    <row r="103" spans="1:23" hidden="1" x14ac:dyDescent="0.25">
      <c r="A103" s="55"/>
      <c r="B103" s="50"/>
      <c r="C103" s="72" t="s">
        <v>113</v>
      </c>
      <c r="E103" s="9" t="s">
        <v>3</v>
      </c>
      <c r="F103" s="87" t="s">
        <v>114</v>
      </c>
      <c r="G103" s="72"/>
      <c r="H103" s="70"/>
      <c r="I103" s="51"/>
      <c r="J103" s="49"/>
      <c r="K103" s="49"/>
      <c r="L103" s="52"/>
      <c r="M103" s="52"/>
      <c r="N103" s="52"/>
      <c r="O103" s="52"/>
      <c r="S103" s="53"/>
      <c r="T103" s="55"/>
      <c r="U103" s="55"/>
      <c r="V103" s="55"/>
      <c r="W103" s="55"/>
    </row>
    <row r="104" spans="1:23" x14ac:dyDescent="0.25">
      <c r="A104" s="55"/>
      <c r="B104" s="50"/>
      <c r="C104" s="72"/>
      <c r="F104" s="79"/>
      <c r="G104" s="72"/>
      <c r="H104" s="70"/>
      <c r="I104" s="51"/>
      <c r="J104" s="49"/>
      <c r="K104" s="49"/>
      <c r="L104" s="52"/>
      <c r="M104" s="52"/>
      <c r="N104" s="52"/>
      <c r="O104" s="52"/>
      <c r="S104" s="53"/>
      <c r="T104" s="55"/>
      <c r="U104" s="55"/>
      <c r="V104" s="55"/>
      <c r="W104" s="55"/>
    </row>
    <row r="105" spans="1:23" x14ac:dyDescent="0.25">
      <c r="A105" s="49">
        <v>5</v>
      </c>
      <c r="B105" s="50" t="s">
        <v>123</v>
      </c>
      <c r="H105" s="70"/>
      <c r="I105" s="51"/>
      <c r="J105" s="49">
        <v>3</v>
      </c>
      <c r="K105" s="49" t="s">
        <v>36</v>
      </c>
      <c r="L105" s="52">
        <f t="shared" ref="L105:M105" si="6">ROUNDUP((T105/(1-$U$4)),-2)</f>
        <v>195062500</v>
      </c>
      <c r="M105" s="52">
        <f t="shared" si="6"/>
        <v>9375000</v>
      </c>
      <c r="N105" s="52">
        <f>L105*J105</f>
        <v>585187500</v>
      </c>
      <c r="O105" s="52">
        <f>M105*J105</f>
        <v>28125000</v>
      </c>
      <c r="S105" s="53"/>
      <c r="T105" s="54">
        <v>156050000</v>
      </c>
      <c r="U105" s="52">
        <v>7500000</v>
      </c>
      <c r="V105" s="54">
        <f>T105*J105</f>
        <v>468150000</v>
      </c>
      <c r="W105" s="54">
        <f>U105*J105</f>
        <v>22500000</v>
      </c>
    </row>
    <row r="106" spans="1:23" x14ac:dyDescent="0.25">
      <c r="A106" s="49"/>
      <c r="B106" s="50"/>
      <c r="C106" s="2" t="s">
        <v>94</v>
      </c>
      <c r="E106" s="9" t="s">
        <v>3</v>
      </c>
      <c r="F106" s="88" t="s">
        <v>124</v>
      </c>
      <c r="H106" s="70"/>
      <c r="I106" s="51"/>
      <c r="J106" s="49"/>
      <c r="K106" s="49"/>
      <c r="L106" s="52"/>
      <c r="M106" s="52"/>
      <c r="N106" s="52"/>
      <c r="O106" s="52"/>
      <c r="S106" s="53"/>
      <c r="T106" s="54"/>
      <c r="U106" s="52"/>
      <c r="V106" s="54"/>
      <c r="W106" s="54"/>
    </row>
    <row r="107" spans="1:23" x14ac:dyDescent="0.25">
      <c r="A107" s="55"/>
      <c r="B107" s="50"/>
      <c r="C107" s="72" t="s">
        <v>39</v>
      </c>
      <c r="E107" s="9" t="s">
        <v>3</v>
      </c>
      <c r="F107" s="88" t="s">
        <v>117</v>
      </c>
      <c r="G107" s="72"/>
      <c r="H107" s="70"/>
      <c r="I107" s="51"/>
      <c r="J107" s="49"/>
      <c r="K107" s="49"/>
      <c r="L107" s="52"/>
      <c r="M107" s="52"/>
      <c r="N107" s="52"/>
      <c r="O107" s="52"/>
      <c r="S107" s="53"/>
      <c r="T107" s="55"/>
      <c r="U107" s="55"/>
      <c r="V107" s="55"/>
      <c r="W107" s="55"/>
    </row>
    <row r="108" spans="1:23" hidden="1" x14ac:dyDescent="0.25">
      <c r="A108" s="55"/>
      <c r="B108" s="50"/>
      <c r="C108" s="72" t="s">
        <v>99</v>
      </c>
      <c r="E108" s="9" t="s">
        <v>3</v>
      </c>
      <c r="F108" s="88" t="s">
        <v>125</v>
      </c>
      <c r="G108" s="78"/>
      <c r="H108" s="70"/>
      <c r="I108" s="51"/>
      <c r="J108" s="49"/>
      <c r="K108" s="49"/>
      <c r="L108" s="52"/>
      <c r="M108" s="52"/>
      <c r="N108" s="52"/>
      <c r="O108" s="52"/>
      <c r="S108" s="53"/>
      <c r="T108" s="55"/>
      <c r="U108" s="55"/>
      <c r="V108" s="55"/>
      <c r="W108" s="55"/>
    </row>
    <row r="109" spans="1:23" hidden="1" x14ac:dyDescent="0.25">
      <c r="A109" s="55"/>
      <c r="B109" s="50"/>
      <c r="C109" s="72" t="s">
        <v>101</v>
      </c>
      <c r="E109" s="9" t="s">
        <v>3</v>
      </c>
      <c r="F109" s="88" t="s">
        <v>126</v>
      </c>
      <c r="G109" s="72"/>
      <c r="H109" s="70"/>
      <c r="I109" s="51"/>
      <c r="J109" s="49"/>
      <c r="K109" s="49"/>
      <c r="L109" s="52"/>
      <c r="M109" s="52"/>
      <c r="N109" s="52"/>
      <c r="O109" s="52"/>
      <c r="S109" s="53"/>
      <c r="T109" s="55"/>
      <c r="U109" s="55"/>
      <c r="V109" s="55"/>
      <c r="W109" s="55"/>
    </row>
    <row r="110" spans="1:23" hidden="1" x14ac:dyDescent="0.25">
      <c r="A110" s="55"/>
      <c r="B110" s="50"/>
      <c r="C110" s="72" t="s">
        <v>103</v>
      </c>
      <c r="E110" s="9" t="s">
        <v>3</v>
      </c>
      <c r="F110" s="88" t="s">
        <v>104</v>
      </c>
      <c r="G110" s="72"/>
      <c r="H110" s="70"/>
      <c r="I110" s="51"/>
      <c r="J110" s="49"/>
      <c r="K110" s="49"/>
      <c r="L110" s="52"/>
      <c r="M110" s="52"/>
      <c r="N110" s="52"/>
      <c r="O110" s="52"/>
      <c r="S110" s="53"/>
      <c r="T110" s="55"/>
      <c r="U110" s="55"/>
      <c r="V110" s="55"/>
      <c r="W110" s="55"/>
    </row>
    <row r="111" spans="1:23" hidden="1" x14ac:dyDescent="0.25">
      <c r="A111" s="55"/>
      <c r="B111" s="50"/>
      <c r="C111" s="72" t="s">
        <v>80</v>
      </c>
      <c r="E111" s="9" t="s">
        <v>3</v>
      </c>
      <c r="F111" s="88"/>
      <c r="G111" s="72"/>
      <c r="H111" s="70"/>
      <c r="I111" s="51"/>
      <c r="J111" s="49"/>
      <c r="K111" s="49"/>
      <c r="L111" s="52"/>
      <c r="M111" s="52"/>
      <c r="N111" s="52"/>
      <c r="O111" s="52"/>
      <c r="S111" s="53"/>
      <c r="T111" s="55"/>
      <c r="U111" s="55"/>
      <c r="V111" s="55"/>
      <c r="W111" s="55"/>
    </row>
    <row r="112" spans="1:23" hidden="1" x14ac:dyDescent="0.25">
      <c r="A112" s="55"/>
      <c r="B112" s="50"/>
      <c r="C112" s="72"/>
      <c r="D112" s="2" t="s">
        <v>105</v>
      </c>
      <c r="E112" s="9" t="s">
        <v>3</v>
      </c>
      <c r="F112" s="88" t="s">
        <v>108</v>
      </c>
      <c r="G112" s="72"/>
      <c r="H112" s="70"/>
      <c r="I112" s="51"/>
      <c r="J112" s="49"/>
      <c r="K112" s="49"/>
      <c r="L112" s="52"/>
      <c r="M112" s="52"/>
      <c r="N112" s="52"/>
      <c r="O112" s="52"/>
      <c r="S112" s="53"/>
      <c r="T112" s="55"/>
      <c r="U112" s="55"/>
      <c r="V112" s="55"/>
      <c r="W112" s="55"/>
    </row>
    <row r="113" spans="1:23" hidden="1" x14ac:dyDescent="0.25">
      <c r="A113" s="55"/>
      <c r="B113" s="50"/>
      <c r="C113" s="72"/>
      <c r="D113" s="2" t="s">
        <v>107</v>
      </c>
      <c r="E113" s="9" t="s">
        <v>3</v>
      </c>
      <c r="F113" s="88" t="s">
        <v>121</v>
      </c>
      <c r="G113" s="72"/>
      <c r="H113" s="70"/>
      <c r="I113" s="51"/>
      <c r="J113" s="49"/>
      <c r="K113" s="49"/>
      <c r="L113" s="52"/>
      <c r="M113" s="52"/>
      <c r="N113" s="52"/>
      <c r="O113" s="52"/>
      <c r="S113" s="53"/>
      <c r="T113" s="55"/>
      <c r="U113" s="55"/>
      <c r="V113" s="55"/>
      <c r="W113" s="55"/>
    </row>
    <row r="114" spans="1:23" hidden="1" x14ac:dyDescent="0.25">
      <c r="A114" s="55"/>
      <c r="B114" s="50"/>
      <c r="C114" s="72" t="s">
        <v>113</v>
      </c>
      <c r="E114" s="9" t="s">
        <v>3</v>
      </c>
      <c r="F114" s="89" t="s">
        <v>127</v>
      </c>
      <c r="G114" s="72"/>
      <c r="H114" s="70"/>
      <c r="I114" s="51"/>
      <c r="J114" s="49"/>
      <c r="K114" s="49"/>
      <c r="L114" s="52"/>
      <c r="M114" s="52"/>
      <c r="N114" s="52"/>
      <c r="O114" s="52"/>
      <c r="S114" s="53"/>
      <c r="T114" s="55"/>
      <c r="U114" s="55"/>
      <c r="V114" s="55"/>
      <c r="W114" s="55"/>
    </row>
    <row r="115" spans="1:23" hidden="1" x14ac:dyDescent="0.25">
      <c r="A115" s="55"/>
      <c r="B115" s="50"/>
      <c r="C115" s="72" t="s">
        <v>109</v>
      </c>
      <c r="E115" s="9" t="s">
        <v>3</v>
      </c>
      <c r="F115" s="88" t="s">
        <v>128</v>
      </c>
      <c r="G115" s="72"/>
      <c r="H115" s="70"/>
      <c r="I115" s="51"/>
      <c r="J115" s="49"/>
      <c r="K115" s="49"/>
      <c r="L115" s="52"/>
      <c r="M115" s="52"/>
      <c r="N115" s="52"/>
      <c r="O115" s="52"/>
      <c r="S115" s="53"/>
      <c r="T115" s="55"/>
      <c r="U115" s="55"/>
      <c r="V115" s="55"/>
      <c r="W115" s="55"/>
    </row>
    <row r="116" spans="1:23" hidden="1" x14ac:dyDescent="0.25">
      <c r="A116" s="55"/>
      <c r="B116" s="50"/>
      <c r="C116" s="72" t="s">
        <v>62</v>
      </c>
      <c r="E116" s="9" t="s">
        <v>3</v>
      </c>
      <c r="F116" s="90" t="s">
        <v>63</v>
      </c>
      <c r="G116" s="72"/>
      <c r="H116" s="70"/>
      <c r="I116" s="51"/>
      <c r="J116" s="49"/>
      <c r="K116" s="49"/>
      <c r="L116" s="52"/>
      <c r="M116" s="52"/>
      <c r="N116" s="52"/>
      <c r="O116" s="52"/>
      <c r="S116" s="53"/>
      <c r="T116" s="55"/>
      <c r="U116" s="55"/>
      <c r="V116" s="55"/>
      <c r="W116" s="55"/>
    </row>
    <row r="117" spans="1:23" x14ac:dyDescent="0.25">
      <c r="A117" s="55"/>
      <c r="B117" s="50"/>
      <c r="C117" s="72"/>
      <c r="F117" s="84"/>
      <c r="G117" s="72"/>
      <c r="H117" s="70"/>
      <c r="I117" s="51"/>
      <c r="J117" s="49"/>
      <c r="K117" s="49"/>
      <c r="L117" s="52"/>
      <c r="M117" s="52"/>
      <c r="N117" s="52"/>
      <c r="O117" s="52"/>
      <c r="S117" s="53"/>
      <c r="T117" s="55"/>
      <c r="U117" s="55"/>
      <c r="V117" s="55"/>
      <c r="W117" s="55"/>
    </row>
    <row r="118" spans="1:23" x14ac:dyDescent="0.25">
      <c r="A118" s="49">
        <v>6</v>
      </c>
      <c r="B118" s="50" t="s">
        <v>129</v>
      </c>
      <c r="H118" s="70"/>
      <c r="I118" s="51"/>
      <c r="J118" s="49">
        <v>1</v>
      </c>
      <c r="K118" s="49" t="s">
        <v>36</v>
      </c>
      <c r="L118" s="52">
        <f t="shared" ref="L118" si="7">ROUNDUP((T118/(1-$U$2)),-2)</f>
        <v>55555600</v>
      </c>
      <c r="M118" s="52">
        <f t="shared" ref="M118" si="8">ROUNDUP((U118/(1-$U$4)),-2)</f>
        <v>17500000</v>
      </c>
      <c r="N118" s="52">
        <f>L118*J118</f>
        <v>55555600</v>
      </c>
      <c r="O118" s="52">
        <f>M118*J118</f>
        <v>17500000</v>
      </c>
      <c r="S118" s="53"/>
      <c r="T118" s="54">
        <v>40000000</v>
      </c>
      <c r="U118" s="52">
        <f>T118*35%</f>
        <v>14000000</v>
      </c>
      <c r="V118" s="54">
        <f>T118*J118</f>
        <v>40000000</v>
      </c>
      <c r="W118" s="54">
        <f>U118*J118</f>
        <v>14000000</v>
      </c>
    </row>
    <row r="119" spans="1:23" x14ac:dyDescent="0.25">
      <c r="A119" s="55"/>
      <c r="B119" s="50"/>
      <c r="C119" s="72" t="s">
        <v>39</v>
      </c>
      <c r="E119" s="9" t="s">
        <v>3</v>
      </c>
      <c r="F119" s="73" t="s">
        <v>129</v>
      </c>
      <c r="G119" s="72"/>
      <c r="H119" s="70"/>
      <c r="I119" s="51"/>
      <c r="J119" s="49"/>
      <c r="K119" s="49"/>
      <c r="L119" s="52"/>
      <c r="M119" s="52"/>
      <c r="N119" s="52"/>
      <c r="O119" s="52"/>
      <c r="S119" s="53"/>
      <c r="T119" s="55"/>
      <c r="U119" s="55"/>
      <c r="V119" s="55"/>
      <c r="W119" s="55"/>
    </row>
    <row r="120" spans="1:23" ht="14.4" x14ac:dyDescent="0.3">
      <c r="A120" s="55"/>
      <c r="B120" s="50"/>
      <c r="C120" s="72" t="s">
        <v>130</v>
      </c>
      <c r="E120" s="9" t="s">
        <v>3</v>
      </c>
      <c r="F120" s="73">
        <v>1000</v>
      </c>
      <c r="G120" s="91" t="s">
        <v>131</v>
      </c>
      <c r="H120" s="70"/>
      <c r="I120" s="51"/>
      <c r="J120" s="49"/>
      <c r="K120" s="49"/>
      <c r="L120" s="52"/>
      <c r="M120" s="52"/>
      <c r="N120" s="52"/>
      <c r="O120" s="52"/>
      <c r="S120" s="53"/>
      <c r="T120" s="55"/>
      <c r="U120" s="55"/>
      <c r="V120" s="55"/>
      <c r="W120" s="55"/>
    </row>
    <row r="121" spans="1:23" hidden="1" x14ac:dyDescent="0.25">
      <c r="A121" s="55"/>
      <c r="B121" s="50"/>
      <c r="C121" s="72" t="s">
        <v>5</v>
      </c>
      <c r="E121" s="9" t="s">
        <v>3</v>
      </c>
      <c r="F121" s="73" t="s">
        <v>132</v>
      </c>
      <c r="G121" s="78"/>
      <c r="H121" s="70"/>
      <c r="I121" s="51"/>
      <c r="J121" s="49"/>
      <c r="K121" s="49"/>
      <c r="L121" s="52"/>
      <c r="M121" s="52"/>
      <c r="N121" s="52"/>
      <c r="O121" s="52"/>
      <c r="S121" s="53"/>
      <c r="T121" s="55"/>
      <c r="U121" s="55"/>
      <c r="V121" s="55"/>
      <c r="W121" s="55"/>
    </row>
    <row r="122" spans="1:23" hidden="1" x14ac:dyDescent="0.25">
      <c r="A122" s="55"/>
      <c r="B122" s="50"/>
      <c r="C122" s="72" t="s">
        <v>133</v>
      </c>
      <c r="E122" s="9" t="s">
        <v>3</v>
      </c>
      <c r="F122" s="73" t="s">
        <v>134</v>
      </c>
      <c r="G122" s="72"/>
      <c r="H122" s="70"/>
      <c r="I122" s="51"/>
      <c r="J122" s="49"/>
      <c r="K122" s="49"/>
      <c r="L122" s="52"/>
      <c r="M122" s="52"/>
      <c r="N122" s="52"/>
      <c r="O122" s="52"/>
      <c r="S122" s="53"/>
      <c r="T122" s="55"/>
      <c r="U122" s="55"/>
      <c r="V122" s="55"/>
      <c r="W122" s="55"/>
    </row>
    <row r="123" spans="1:23" hidden="1" x14ac:dyDescent="0.25">
      <c r="A123" s="55"/>
      <c r="B123" s="50"/>
      <c r="C123" s="72" t="s">
        <v>86</v>
      </c>
      <c r="E123" s="9" t="s">
        <v>3</v>
      </c>
      <c r="F123" s="85">
        <v>0.75</v>
      </c>
      <c r="G123" s="72" t="s">
        <v>55</v>
      </c>
      <c r="H123" s="70" t="s">
        <v>87</v>
      </c>
      <c r="I123" s="51"/>
      <c r="J123" s="49"/>
      <c r="K123" s="49"/>
      <c r="L123" s="52"/>
      <c r="M123" s="52"/>
      <c r="N123" s="52"/>
      <c r="O123" s="52"/>
      <c r="S123" s="53"/>
      <c r="T123" s="55"/>
      <c r="U123" s="55"/>
      <c r="V123" s="55"/>
      <c r="W123" s="55"/>
    </row>
    <row r="124" spans="1:23" x14ac:dyDescent="0.25">
      <c r="A124" s="55"/>
      <c r="B124" s="50"/>
      <c r="C124" s="72"/>
      <c r="F124" s="73"/>
      <c r="G124" s="72"/>
      <c r="H124" s="70"/>
      <c r="I124" s="51"/>
      <c r="J124" s="49"/>
      <c r="K124" s="49"/>
      <c r="L124" s="52"/>
      <c r="M124" s="52"/>
      <c r="N124" s="52"/>
      <c r="O124" s="52"/>
      <c r="S124" s="53"/>
      <c r="T124" s="55"/>
      <c r="U124" s="55"/>
      <c r="V124" s="55"/>
      <c r="W124" s="55"/>
    </row>
    <row r="125" spans="1:23" x14ac:dyDescent="0.25">
      <c r="A125" s="49">
        <v>7</v>
      </c>
      <c r="B125" s="50" t="s">
        <v>135</v>
      </c>
      <c r="H125" s="70"/>
      <c r="I125" s="51"/>
      <c r="J125" s="49">
        <v>1</v>
      </c>
      <c r="K125" s="49" t="s">
        <v>36</v>
      </c>
      <c r="L125" s="52">
        <f t="shared" ref="L125" si="9">ROUNDUP((T125/(1-$U$2)),-2)</f>
        <v>2083333400</v>
      </c>
      <c r="M125" s="52">
        <f t="shared" ref="M125" si="10">ROUNDUP((U125/(1-$U$4)),-2)</f>
        <v>28125000</v>
      </c>
      <c r="N125" s="52">
        <f>L125*J125</f>
        <v>2083333400</v>
      </c>
      <c r="O125" s="52">
        <f>M125*J125</f>
        <v>28125000</v>
      </c>
      <c r="S125" s="53"/>
      <c r="T125" s="54">
        <v>1500000000</v>
      </c>
      <c r="U125" s="52">
        <f>T125*1.5%</f>
        <v>22500000</v>
      </c>
      <c r="V125" s="54">
        <f>T125*J125</f>
        <v>1500000000</v>
      </c>
      <c r="W125" s="54">
        <f>U125*J125</f>
        <v>22500000</v>
      </c>
    </row>
    <row r="126" spans="1:23" x14ac:dyDescent="0.25">
      <c r="A126" s="55"/>
      <c r="B126" s="50"/>
      <c r="C126" s="72" t="s">
        <v>136</v>
      </c>
      <c r="E126" s="9" t="s">
        <v>3</v>
      </c>
      <c r="F126" s="73" t="s">
        <v>137</v>
      </c>
      <c r="G126" s="72"/>
      <c r="H126" s="70"/>
      <c r="I126" s="51"/>
      <c r="J126" s="49"/>
      <c r="K126" s="49"/>
      <c r="L126" s="52"/>
      <c r="M126" s="52"/>
      <c r="N126" s="52"/>
      <c r="O126" s="52"/>
      <c r="S126" s="53"/>
      <c r="T126" s="55"/>
      <c r="U126" s="55"/>
      <c r="V126" s="55"/>
      <c r="W126" s="55"/>
    </row>
    <row r="127" spans="1:23" ht="14.4" x14ac:dyDescent="0.3">
      <c r="A127" s="55"/>
      <c r="B127" s="50"/>
      <c r="C127" s="72" t="s">
        <v>109</v>
      </c>
      <c r="E127" s="9" t="s">
        <v>3</v>
      </c>
      <c r="F127" s="73">
        <v>1520</v>
      </c>
      <c r="G127" s="91" t="s">
        <v>46</v>
      </c>
      <c r="H127" s="70"/>
      <c r="I127" s="51"/>
      <c r="J127" s="49"/>
      <c r="K127" s="49"/>
      <c r="L127" s="52"/>
      <c r="M127" s="52"/>
      <c r="N127" s="52"/>
      <c r="O127" s="52"/>
      <c r="S127" s="53"/>
      <c r="T127" s="55"/>
      <c r="U127" s="55"/>
      <c r="V127" s="55"/>
      <c r="W127" s="55"/>
    </row>
    <row r="128" spans="1:23" x14ac:dyDescent="0.25">
      <c r="A128" s="55"/>
      <c r="B128" s="50"/>
      <c r="C128" s="72" t="s">
        <v>62</v>
      </c>
      <c r="E128" s="9" t="s">
        <v>3</v>
      </c>
      <c r="F128" s="73" t="s">
        <v>138</v>
      </c>
      <c r="G128" s="78"/>
      <c r="H128" s="70"/>
      <c r="I128" s="51"/>
      <c r="J128" s="49"/>
      <c r="K128" s="49"/>
      <c r="L128" s="52"/>
      <c r="M128" s="52"/>
      <c r="N128" s="52"/>
      <c r="O128" s="52"/>
      <c r="S128" s="53"/>
      <c r="T128" s="55"/>
      <c r="U128" s="55"/>
      <c r="V128" s="55"/>
      <c r="W128" s="55"/>
    </row>
    <row r="129" spans="1:23" s="94" customFormat="1" x14ac:dyDescent="0.25">
      <c r="A129" s="92"/>
      <c r="B129" s="93"/>
      <c r="E129" s="95"/>
      <c r="F129" s="95"/>
      <c r="I129" s="96"/>
      <c r="J129" s="97"/>
      <c r="K129" s="97"/>
      <c r="L129" s="98"/>
      <c r="M129" s="98"/>
      <c r="N129" s="98"/>
      <c r="O129" s="98"/>
      <c r="S129" s="99"/>
      <c r="T129" s="92"/>
      <c r="U129" s="92"/>
      <c r="V129" s="92"/>
      <c r="W129" s="92"/>
    </row>
    <row r="130" spans="1:23" hidden="1" x14ac:dyDescent="0.25">
      <c r="A130" s="55"/>
      <c r="B130" s="50"/>
      <c r="I130" s="51"/>
      <c r="J130" s="49"/>
      <c r="K130" s="49"/>
      <c r="L130" s="52"/>
      <c r="M130" s="52"/>
      <c r="N130" s="52"/>
      <c r="O130" s="52"/>
      <c r="S130" s="53"/>
      <c r="T130" s="55"/>
      <c r="U130" s="55"/>
      <c r="V130" s="55"/>
      <c r="W130" s="55"/>
    </row>
    <row r="131" spans="1:23" s="43" customFormat="1" x14ac:dyDescent="0.25">
      <c r="A131" s="57"/>
      <c r="B131" s="58"/>
      <c r="C131" s="59"/>
      <c r="D131" s="59"/>
      <c r="E131" s="60"/>
      <c r="F131" s="60"/>
      <c r="G131" s="61"/>
      <c r="H131" s="62" t="s">
        <v>139</v>
      </c>
      <c r="I131" s="63"/>
      <c r="J131" s="64"/>
      <c r="K131" s="64"/>
      <c r="L131" s="65"/>
      <c r="M131" s="65"/>
      <c r="N131" s="65">
        <f>SUM(N21:N128)</f>
        <v>17625142000</v>
      </c>
      <c r="O131" s="65">
        <f>SUM(O21:O128)</f>
        <v>223750000</v>
      </c>
      <c r="S131" s="47"/>
      <c r="T131" s="48"/>
      <c r="U131" s="48"/>
      <c r="V131" s="65">
        <f>SUM(V21:V128)</f>
        <v>4181780001</v>
      </c>
      <c r="W131" s="65">
        <f>SUM(W21:W128)</f>
        <v>179000000</v>
      </c>
    </row>
    <row r="132" spans="1:23" x14ac:dyDescent="0.25">
      <c r="A132" s="55"/>
      <c r="B132" s="50"/>
      <c r="I132" s="51"/>
      <c r="J132" s="49"/>
      <c r="K132" s="49"/>
      <c r="L132" s="52"/>
      <c r="M132" s="52"/>
      <c r="N132" s="52"/>
      <c r="O132" s="52"/>
      <c r="S132" s="53"/>
      <c r="T132" s="55"/>
      <c r="U132" s="55"/>
      <c r="V132" s="55"/>
      <c r="W132" s="55"/>
    </row>
    <row r="133" spans="1:23" s="43" customFormat="1" x14ac:dyDescent="0.25">
      <c r="A133" s="41" t="s">
        <v>140</v>
      </c>
      <c r="B133" s="42" t="s">
        <v>141</v>
      </c>
      <c r="E133" s="44"/>
      <c r="F133" s="44"/>
      <c r="I133" s="45"/>
      <c r="J133" s="41"/>
      <c r="K133" s="41"/>
      <c r="L133" s="46"/>
      <c r="M133" s="46"/>
      <c r="N133" s="46"/>
      <c r="O133" s="46"/>
      <c r="S133" s="47"/>
      <c r="T133" s="48"/>
      <c r="U133" s="48"/>
      <c r="V133" s="48"/>
      <c r="W133" s="48"/>
    </row>
    <row r="134" spans="1:23" x14ac:dyDescent="0.25">
      <c r="A134" s="55"/>
      <c r="B134" s="50"/>
      <c r="C134" s="100" t="s">
        <v>142</v>
      </c>
      <c r="D134" s="100"/>
      <c r="E134" s="100"/>
      <c r="F134" s="100"/>
      <c r="G134" s="100"/>
      <c r="H134" s="100"/>
      <c r="I134" s="51"/>
      <c r="J134" s="49"/>
      <c r="K134" s="49"/>
      <c r="L134" s="52"/>
      <c r="M134" s="52"/>
      <c r="N134" s="52"/>
      <c r="O134" s="52"/>
      <c r="S134" s="53"/>
      <c r="T134" s="55"/>
      <c r="U134" s="55"/>
      <c r="V134" s="55"/>
      <c r="W134" s="55"/>
    </row>
    <row r="135" spans="1:23" x14ac:dyDescent="0.25">
      <c r="A135" s="55"/>
      <c r="B135" s="50"/>
      <c r="C135" s="100"/>
      <c r="D135" s="100"/>
      <c r="E135" s="100"/>
      <c r="F135" s="100"/>
      <c r="G135" s="100"/>
      <c r="H135" s="100"/>
      <c r="I135" s="51"/>
      <c r="J135" s="49"/>
      <c r="K135" s="49"/>
      <c r="L135" s="52"/>
      <c r="M135" s="52"/>
      <c r="N135" s="52"/>
      <c r="O135" s="52"/>
      <c r="S135" s="53"/>
      <c r="T135" s="55"/>
      <c r="U135" s="55"/>
      <c r="V135" s="55"/>
      <c r="W135" s="55"/>
    </row>
    <row r="136" spans="1:23" x14ac:dyDescent="0.25">
      <c r="A136" s="55"/>
      <c r="B136" s="50"/>
      <c r="C136" s="101"/>
      <c r="D136" s="101"/>
      <c r="E136" s="71"/>
      <c r="F136" s="71"/>
      <c r="G136" s="101"/>
      <c r="H136" s="101"/>
      <c r="I136" s="51"/>
      <c r="J136" s="49"/>
      <c r="K136" s="49"/>
      <c r="L136" s="52"/>
      <c r="M136" s="52"/>
      <c r="N136" s="52"/>
      <c r="O136" s="52"/>
      <c r="S136" s="53"/>
      <c r="T136" s="55"/>
      <c r="U136" s="55"/>
      <c r="V136" s="55"/>
      <c r="W136" s="55"/>
    </row>
    <row r="137" spans="1:23" x14ac:dyDescent="0.25">
      <c r="A137" s="41" t="s">
        <v>143</v>
      </c>
      <c r="B137" s="42" t="s">
        <v>144</v>
      </c>
      <c r="C137" s="102"/>
      <c r="D137" s="102"/>
      <c r="E137" s="71"/>
      <c r="F137" s="71"/>
      <c r="G137" s="101"/>
      <c r="H137" s="101"/>
      <c r="I137" s="51"/>
      <c r="J137" s="49"/>
      <c r="K137" s="49"/>
      <c r="L137" s="52"/>
      <c r="M137" s="52"/>
      <c r="N137" s="52"/>
      <c r="O137" s="52"/>
      <c r="S137" s="53"/>
      <c r="T137" s="55"/>
      <c r="U137" s="55"/>
      <c r="V137" s="55"/>
      <c r="W137" s="55"/>
    </row>
    <row r="138" spans="1:23" ht="15.75" customHeight="1" x14ac:dyDescent="0.25">
      <c r="A138" s="49">
        <v>1</v>
      </c>
      <c r="B138" s="42" t="s">
        <v>145</v>
      </c>
      <c r="C138" s="43"/>
      <c r="I138" s="51"/>
      <c r="J138" s="49"/>
      <c r="K138" s="49"/>
      <c r="L138" s="52"/>
      <c r="M138" s="52"/>
      <c r="N138" s="52"/>
      <c r="O138" s="52"/>
      <c r="S138" s="53"/>
      <c r="T138" s="55"/>
      <c r="U138" s="55"/>
      <c r="V138" s="55"/>
      <c r="W138" s="55"/>
    </row>
    <row r="139" spans="1:23" ht="15" customHeight="1" x14ac:dyDescent="0.25">
      <c r="A139" s="49"/>
      <c r="B139" s="103" t="s">
        <v>146</v>
      </c>
      <c r="C139" s="2" t="s">
        <v>147</v>
      </c>
      <c r="E139" s="9" t="s">
        <v>3</v>
      </c>
      <c r="F139" s="73" t="s">
        <v>148</v>
      </c>
      <c r="G139" s="73"/>
      <c r="H139" s="73"/>
      <c r="I139" s="51"/>
      <c r="J139" s="104">
        <v>120</v>
      </c>
      <c r="K139" s="49" t="s">
        <v>149</v>
      </c>
      <c r="L139" s="52">
        <f t="shared" ref="L139:L170" si="11">ROUNDUP((T139/(1-$U$2)),-2)</f>
        <v>5791700</v>
      </c>
      <c r="M139" s="52">
        <f t="shared" ref="M139:M170" si="12">ROUNDUP((U139/(1-$U$3)),-2)</f>
        <v>2027100</v>
      </c>
      <c r="N139" s="52">
        <f t="shared" ref="N139:N170" si="13">L139*J139</f>
        <v>695004000</v>
      </c>
      <c r="O139" s="52">
        <f t="shared" ref="O139:O170" si="14">M139*J139</f>
        <v>243252000</v>
      </c>
      <c r="S139" s="53" t="s">
        <v>150</v>
      </c>
      <c r="T139" s="54">
        <f>'[1]New Pricelist'!E76*2</f>
        <v>4170000</v>
      </c>
      <c r="U139" s="52">
        <f>T139*35%</f>
        <v>1459500</v>
      </c>
      <c r="V139" s="54">
        <f>T139*J139</f>
        <v>500400000</v>
      </c>
      <c r="W139" s="54">
        <f>U139*J139</f>
        <v>175140000</v>
      </c>
    </row>
    <row r="140" spans="1:23" ht="15" customHeight="1" x14ac:dyDescent="0.25">
      <c r="A140" s="49"/>
      <c r="B140" s="103" t="s">
        <v>146</v>
      </c>
      <c r="C140" s="2" t="s">
        <v>147</v>
      </c>
      <c r="E140" s="9" t="s">
        <v>3</v>
      </c>
      <c r="F140" s="73" t="s">
        <v>151</v>
      </c>
      <c r="G140" s="73"/>
      <c r="H140" s="73"/>
      <c r="I140" s="51"/>
      <c r="J140" s="104">
        <v>40</v>
      </c>
      <c r="K140" s="49" t="s">
        <v>149</v>
      </c>
      <c r="L140" s="52">
        <f t="shared" si="11"/>
        <v>4997300</v>
      </c>
      <c r="M140" s="52">
        <f t="shared" si="12"/>
        <v>1749100</v>
      </c>
      <c r="N140" s="52">
        <f t="shared" si="13"/>
        <v>199892000</v>
      </c>
      <c r="O140" s="52">
        <f t="shared" si="14"/>
        <v>69964000</v>
      </c>
      <c r="S140" s="53" t="s">
        <v>150</v>
      </c>
      <c r="T140" s="54">
        <f>'[1]New Pricelist'!F76*2</f>
        <v>3598000</v>
      </c>
      <c r="U140" s="52">
        <f t="shared" ref="U140:U203" si="15">T140*35%</f>
        <v>1259300</v>
      </c>
      <c r="V140" s="54">
        <f t="shared" ref="V140:V170" si="16">T140*J140</f>
        <v>143920000</v>
      </c>
      <c r="W140" s="54">
        <f t="shared" ref="W140:W170" si="17">U140*J140</f>
        <v>50372000</v>
      </c>
    </row>
    <row r="141" spans="1:23" ht="15" customHeight="1" x14ac:dyDescent="0.25">
      <c r="A141" s="49"/>
      <c r="B141" s="103" t="s">
        <v>146</v>
      </c>
      <c r="C141" s="2" t="s">
        <v>147</v>
      </c>
      <c r="E141" s="9" t="s">
        <v>3</v>
      </c>
      <c r="F141" s="73" t="s">
        <v>108</v>
      </c>
      <c r="G141" s="73"/>
      <c r="H141" s="73"/>
      <c r="I141" s="51"/>
      <c r="J141" s="104">
        <v>18</v>
      </c>
      <c r="K141" s="49" t="s">
        <v>149</v>
      </c>
      <c r="L141" s="52">
        <f t="shared" si="11"/>
        <v>2895900</v>
      </c>
      <c r="M141" s="52">
        <f t="shared" si="12"/>
        <v>1013600</v>
      </c>
      <c r="N141" s="52">
        <f t="shared" si="13"/>
        <v>52126200</v>
      </c>
      <c r="O141" s="52">
        <f t="shared" si="14"/>
        <v>18244800</v>
      </c>
      <c r="S141" s="53" t="s">
        <v>150</v>
      </c>
      <c r="T141" s="54">
        <f>'[1]New Pricelist'!E76</f>
        <v>2085000</v>
      </c>
      <c r="U141" s="52">
        <f t="shared" si="15"/>
        <v>729750</v>
      </c>
      <c r="V141" s="54">
        <f t="shared" si="16"/>
        <v>37530000</v>
      </c>
      <c r="W141" s="54">
        <f t="shared" si="17"/>
        <v>13135500</v>
      </c>
    </row>
    <row r="142" spans="1:23" ht="15" customHeight="1" x14ac:dyDescent="0.25">
      <c r="A142" s="49"/>
      <c r="B142" s="103" t="s">
        <v>146</v>
      </c>
      <c r="C142" s="2" t="s">
        <v>147</v>
      </c>
      <c r="E142" s="9" t="s">
        <v>3</v>
      </c>
      <c r="F142" s="73" t="s">
        <v>121</v>
      </c>
      <c r="G142" s="73"/>
      <c r="H142" s="73"/>
      <c r="I142" s="51"/>
      <c r="J142" s="104">
        <v>58</v>
      </c>
      <c r="K142" s="49" t="s">
        <v>149</v>
      </c>
      <c r="L142" s="52">
        <f t="shared" si="11"/>
        <v>2498700</v>
      </c>
      <c r="M142" s="52">
        <f t="shared" si="12"/>
        <v>874600</v>
      </c>
      <c r="N142" s="52">
        <f t="shared" si="13"/>
        <v>144924600</v>
      </c>
      <c r="O142" s="52">
        <f t="shared" si="14"/>
        <v>50726800</v>
      </c>
      <c r="S142" s="53" t="s">
        <v>150</v>
      </c>
      <c r="T142" s="54">
        <f>'[1]New Pricelist'!F76</f>
        <v>1799000</v>
      </c>
      <c r="U142" s="52">
        <f t="shared" si="15"/>
        <v>629650</v>
      </c>
      <c r="V142" s="54">
        <f t="shared" si="16"/>
        <v>104342000</v>
      </c>
      <c r="W142" s="54">
        <f t="shared" si="17"/>
        <v>36519700</v>
      </c>
    </row>
    <row r="143" spans="1:23" ht="15" customHeight="1" x14ac:dyDescent="0.25">
      <c r="A143" s="49"/>
      <c r="B143" s="103" t="s">
        <v>146</v>
      </c>
      <c r="C143" s="2" t="s">
        <v>147</v>
      </c>
      <c r="E143" s="9" t="s">
        <v>3</v>
      </c>
      <c r="F143" s="73" t="s">
        <v>152</v>
      </c>
      <c r="G143" s="73"/>
      <c r="H143" s="73"/>
      <c r="I143" s="51"/>
      <c r="J143" s="104">
        <v>25</v>
      </c>
      <c r="K143" s="49" t="s">
        <v>149</v>
      </c>
      <c r="L143" s="52">
        <f t="shared" si="11"/>
        <v>341700</v>
      </c>
      <c r="M143" s="52">
        <f t="shared" si="12"/>
        <v>119600</v>
      </c>
      <c r="N143" s="52">
        <f t="shared" si="13"/>
        <v>8542500</v>
      </c>
      <c r="O143" s="52">
        <f t="shared" si="14"/>
        <v>2990000</v>
      </c>
      <c r="S143" s="53" t="s">
        <v>150</v>
      </c>
      <c r="T143" s="54">
        <f>'[1]New Pricelist'!L76</f>
        <v>246000</v>
      </c>
      <c r="U143" s="52">
        <f t="shared" si="15"/>
        <v>86100</v>
      </c>
      <c r="V143" s="54">
        <f t="shared" si="16"/>
        <v>6150000</v>
      </c>
      <c r="W143" s="54">
        <f t="shared" si="17"/>
        <v>2152500</v>
      </c>
    </row>
    <row r="144" spans="1:23" ht="15" customHeight="1" x14ac:dyDescent="0.25">
      <c r="A144" s="49"/>
      <c r="B144" s="103" t="s">
        <v>146</v>
      </c>
      <c r="C144" s="2" t="s">
        <v>153</v>
      </c>
      <c r="E144" s="9" t="s">
        <v>3</v>
      </c>
      <c r="F144" s="73" t="s">
        <v>154</v>
      </c>
      <c r="G144" s="73"/>
      <c r="H144" s="73"/>
      <c r="I144" s="51"/>
      <c r="J144" s="104">
        <v>12</v>
      </c>
      <c r="K144" s="49" t="s">
        <v>155</v>
      </c>
      <c r="L144" s="52">
        <f t="shared" si="11"/>
        <v>5494500</v>
      </c>
      <c r="M144" s="52">
        <f t="shared" si="12"/>
        <v>1923100</v>
      </c>
      <c r="N144" s="52">
        <f t="shared" si="13"/>
        <v>65934000</v>
      </c>
      <c r="O144" s="52">
        <f t="shared" si="14"/>
        <v>23077200</v>
      </c>
      <c r="S144" s="53" t="s">
        <v>150</v>
      </c>
      <c r="T144" s="54">
        <f>'[1]New Pricelist'!AW51*2</f>
        <v>3956000</v>
      </c>
      <c r="U144" s="52">
        <f t="shared" si="15"/>
        <v>1384600</v>
      </c>
      <c r="V144" s="54">
        <f t="shared" si="16"/>
        <v>47472000</v>
      </c>
      <c r="W144" s="54">
        <f t="shared" si="17"/>
        <v>16615200</v>
      </c>
    </row>
    <row r="145" spans="1:23" ht="15" customHeight="1" x14ac:dyDescent="0.25">
      <c r="A145" s="49"/>
      <c r="B145" s="103" t="s">
        <v>146</v>
      </c>
      <c r="C145" s="2" t="s">
        <v>153</v>
      </c>
      <c r="E145" s="9" t="s">
        <v>3</v>
      </c>
      <c r="F145" s="73" t="s">
        <v>156</v>
      </c>
      <c r="G145" s="73"/>
      <c r="H145" s="73"/>
      <c r="I145" s="51"/>
      <c r="J145" s="104">
        <v>2</v>
      </c>
      <c r="K145" s="49" t="s">
        <v>155</v>
      </c>
      <c r="L145" s="52">
        <f t="shared" si="11"/>
        <v>6190300</v>
      </c>
      <c r="M145" s="52">
        <f t="shared" si="12"/>
        <v>2166600</v>
      </c>
      <c r="N145" s="52">
        <f t="shared" si="13"/>
        <v>12380600</v>
      </c>
      <c r="O145" s="52">
        <f t="shared" si="14"/>
        <v>4333200</v>
      </c>
      <c r="S145" s="53" t="s">
        <v>150</v>
      </c>
      <c r="T145" s="54">
        <f>'[1]New Pricelist'!CA80+'[1]New Pricelist'!BT80</f>
        <v>4457000</v>
      </c>
      <c r="U145" s="52">
        <f t="shared" si="15"/>
        <v>1559950</v>
      </c>
      <c r="V145" s="54">
        <f t="shared" si="16"/>
        <v>8914000</v>
      </c>
      <c r="W145" s="54">
        <f t="shared" si="17"/>
        <v>3119900</v>
      </c>
    </row>
    <row r="146" spans="1:23" ht="15" customHeight="1" x14ac:dyDescent="0.25">
      <c r="A146" s="49"/>
      <c r="B146" s="103" t="s">
        <v>146</v>
      </c>
      <c r="C146" s="2" t="s">
        <v>157</v>
      </c>
      <c r="E146" s="9" t="s">
        <v>3</v>
      </c>
      <c r="F146" s="73" t="s">
        <v>158</v>
      </c>
      <c r="G146" s="73"/>
      <c r="H146" s="73"/>
      <c r="I146" s="51"/>
      <c r="J146" s="104">
        <v>4</v>
      </c>
      <c r="K146" s="49" t="s">
        <v>155</v>
      </c>
      <c r="L146" s="52">
        <f t="shared" si="11"/>
        <v>114300</v>
      </c>
      <c r="M146" s="52">
        <f t="shared" si="12"/>
        <v>40000</v>
      </c>
      <c r="N146" s="52">
        <f t="shared" si="13"/>
        <v>457200</v>
      </c>
      <c r="O146" s="52">
        <f t="shared" si="14"/>
        <v>160000</v>
      </c>
      <c r="S146" s="53" t="s">
        <v>150</v>
      </c>
      <c r="T146" s="54">
        <f>'[1]New Pricelist'!AW99</f>
        <v>82260</v>
      </c>
      <c r="U146" s="52">
        <f t="shared" si="15"/>
        <v>28790.999999999996</v>
      </c>
      <c r="V146" s="54">
        <f t="shared" si="16"/>
        <v>329040</v>
      </c>
      <c r="W146" s="54">
        <f t="shared" si="17"/>
        <v>115163.99999999999</v>
      </c>
    </row>
    <row r="147" spans="1:23" ht="15" customHeight="1" x14ac:dyDescent="0.25">
      <c r="A147" s="49"/>
      <c r="B147" s="103" t="s">
        <v>146</v>
      </c>
      <c r="C147" s="2" t="s">
        <v>159</v>
      </c>
      <c r="E147" s="9" t="s">
        <v>3</v>
      </c>
      <c r="F147" s="73" t="s">
        <v>160</v>
      </c>
      <c r="G147" s="73"/>
      <c r="H147" s="73"/>
      <c r="I147" s="51"/>
      <c r="J147" s="104">
        <f>1+1</f>
        <v>2</v>
      </c>
      <c r="K147" s="49" t="s">
        <v>155</v>
      </c>
      <c r="L147" s="52">
        <f t="shared" si="11"/>
        <v>7450000</v>
      </c>
      <c r="M147" s="52">
        <f t="shared" si="12"/>
        <v>2607500</v>
      </c>
      <c r="N147" s="52">
        <f t="shared" si="13"/>
        <v>14900000</v>
      </c>
      <c r="O147" s="52">
        <f t="shared" si="14"/>
        <v>5215000</v>
      </c>
      <c r="S147" s="53" t="s">
        <v>150</v>
      </c>
      <c r="T147" s="54">
        <f>'[1]New Pricelist'!AJ76</f>
        <v>5364000</v>
      </c>
      <c r="U147" s="52">
        <f t="shared" si="15"/>
        <v>1877399.9999999998</v>
      </c>
      <c r="V147" s="54">
        <f t="shared" si="16"/>
        <v>10728000</v>
      </c>
      <c r="W147" s="54">
        <f t="shared" si="17"/>
        <v>3754799.9999999995</v>
      </c>
    </row>
    <row r="148" spans="1:23" ht="15" customHeight="1" x14ac:dyDescent="0.25">
      <c r="A148" s="49"/>
      <c r="B148" s="103" t="s">
        <v>146</v>
      </c>
      <c r="C148" s="2" t="s">
        <v>159</v>
      </c>
      <c r="E148" s="9" t="s">
        <v>3</v>
      </c>
      <c r="F148" s="73" t="s">
        <v>161</v>
      </c>
      <c r="G148" s="73"/>
      <c r="H148" s="73"/>
      <c r="I148" s="51"/>
      <c r="J148" s="104">
        <v>12</v>
      </c>
      <c r="K148" s="49" t="s">
        <v>155</v>
      </c>
      <c r="L148" s="52">
        <f t="shared" si="11"/>
        <v>6112500</v>
      </c>
      <c r="M148" s="52">
        <f t="shared" si="12"/>
        <v>2139400</v>
      </c>
      <c r="N148" s="52">
        <f t="shared" si="13"/>
        <v>73350000</v>
      </c>
      <c r="O148" s="52">
        <f t="shared" si="14"/>
        <v>25672800</v>
      </c>
      <c r="S148" s="53" t="s">
        <v>150</v>
      </c>
      <c r="T148" s="54">
        <f>'[1]New Pricelist'!AJ73</f>
        <v>4401000</v>
      </c>
      <c r="U148" s="52">
        <f t="shared" si="15"/>
        <v>1540350</v>
      </c>
      <c r="V148" s="54">
        <f t="shared" si="16"/>
        <v>52812000</v>
      </c>
      <c r="W148" s="54">
        <f t="shared" si="17"/>
        <v>18484200</v>
      </c>
    </row>
    <row r="149" spans="1:23" ht="15" customHeight="1" x14ac:dyDescent="0.25">
      <c r="A149" s="49"/>
      <c r="B149" s="103" t="s">
        <v>146</v>
      </c>
      <c r="C149" s="2" t="s">
        <v>159</v>
      </c>
      <c r="E149" s="9" t="s">
        <v>3</v>
      </c>
      <c r="F149" s="73" t="s">
        <v>162</v>
      </c>
      <c r="G149" s="73"/>
      <c r="H149" s="73"/>
      <c r="I149" s="51"/>
      <c r="J149" s="104">
        <v>1</v>
      </c>
      <c r="K149" s="49" t="s">
        <v>155</v>
      </c>
      <c r="L149" s="52">
        <f t="shared" si="11"/>
        <v>3004500</v>
      </c>
      <c r="M149" s="52">
        <f t="shared" si="12"/>
        <v>1051600</v>
      </c>
      <c r="N149" s="52">
        <f t="shared" si="13"/>
        <v>3004500</v>
      </c>
      <c r="O149" s="52">
        <f t="shared" si="14"/>
        <v>1051600</v>
      </c>
      <c r="S149" s="53" t="s">
        <v>150</v>
      </c>
      <c r="T149" s="54">
        <f>'[1]New Pricelist'!AI66</f>
        <v>2163200</v>
      </c>
      <c r="U149" s="52">
        <f t="shared" si="15"/>
        <v>757120</v>
      </c>
      <c r="V149" s="54">
        <f t="shared" si="16"/>
        <v>2163200</v>
      </c>
      <c r="W149" s="54">
        <f t="shared" si="17"/>
        <v>757120</v>
      </c>
    </row>
    <row r="150" spans="1:23" ht="15" customHeight="1" x14ac:dyDescent="0.25">
      <c r="A150" s="49"/>
      <c r="B150" s="103" t="s">
        <v>146</v>
      </c>
      <c r="C150" s="2" t="s">
        <v>159</v>
      </c>
      <c r="E150" s="9" t="s">
        <v>3</v>
      </c>
      <c r="F150" s="73" t="s">
        <v>163</v>
      </c>
      <c r="G150" s="73"/>
      <c r="H150" s="73"/>
      <c r="I150" s="51"/>
      <c r="J150" s="104">
        <v>3</v>
      </c>
      <c r="K150" s="49" t="s">
        <v>155</v>
      </c>
      <c r="L150" s="52">
        <f t="shared" si="11"/>
        <v>3821900</v>
      </c>
      <c r="M150" s="52">
        <f t="shared" si="12"/>
        <v>1337700</v>
      </c>
      <c r="N150" s="52">
        <f t="shared" si="13"/>
        <v>11465700</v>
      </c>
      <c r="O150" s="52">
        <f t="shared" si="14"/>
        <v>4013100</v>
      </c>
      <c r="S150" s="53" t="s">
        <v>150</v>
      </c>
      <c r="T150" s="54">
        <f>'[1]New Pricelist'!AI65</f>
        <v>2751700</v>
      </c>
      <c r="U150" s="52">
        <f t="shared" si="15"/>
        <v>963094.99999999988</v>
      </c>
      <c r="V150" s="54">
        <f t="shared" si="16"/>
        <v>8255100</v>
      </c>
      <c r="W150" s="54">
        <f t="shared" si="17"/>
        <v>2889284.9999999995</v>
      </c>
    </row>
    <row r="151" spans="1:23" ht="15" customHeight="1" x14ac:dyDescent="0.25">
      <c r="A151" s="49"/>
      <c r="B151" s="103" t="s">
        <v>146</v>
      </c>
      <c r="C151" s="2" t="s">
        <v>159</v>
      </c>
      <c r="E151" s="9" t="s">
        <v>3</v>
      </c>
      <c r="F151" s="73" t="s">
        <v>164</v>
      </c>
      <c r="G151" s="73"/>
      <c r="H151" s="73"/>
      <c r="I151" s="51"/>
      <c r="J151" s="104">
        <v>3</v>
      </c>
      <c r="K151" s="49" t="s">
        <v>155</v>
      </c>
      <c r="L151" s="52">
        <f t="shared" si="11"/>
        <v>1684800</v>
      </c>
      <c r="M151" s="52">
        <f t="shared" si="12"/>
        <v>589700</v>
      </c>
      <c r="N151" s="52">
        <f t="shared" si="13"/>
        <v>5054400</v>
      </c>
      <c r="O151" s="52">
        <f t="shared" si="14"/>
        <v>1769100</v>
      </c>
      <c r="S151" s="53" t="s">
        <v>150</v>
      </c>
      <c r="T151" s="54">
        <f>'[1]New Pricelist'!AJ56</f>
        <v>1213000</v>
      </c>
      <c r="U151" s="52">
        <f t="shared" si="15"/>
        <v>424550</v>
      </c>
      <c r="V151" s="54">
        <f t="shared" si="16"/>
        <v>3639000</v>
      </c>
      <c r="W151" s="54">
        <f t="shared" si="17"/>
        <v>1273650</v>
      </c>
    </row>
    <row r="152" spans="1:23" ht="15" customHeight="1" x14ac:dyDescent="0.25">
      <c r="A152" s="49"/>
      <c r="B152" s="103" t="s">
        <v>146</v>
      </c>
      <c r="C152" s="2" t="s">
        <v>159</v>
      </c>
      <c r="E152" s="9" t="s">
        <v>3</v>
      </c>
      <c r="F152" s="73" t="s">
        <v>165</v>
      </c>
      <c r="G152" s="73"/>
      <c r="H152" s="73"/>
      <c r="I152" s="51"/>
      <c r="J152" s="104">
        <v>3</v>
      </c>
      <c r="K152" s="49" t="s">
        <v>155</v>
      </c>
      <c r="L152" s="52">
        <f t="shared" si="11"/>
        <v>913500</v>
      </c>
      <c r="M152" s="52">
        <f t="shared" si="12"/>
        <v>319800</v>
      </c>
      <c r="N152" s="52">
        <f t="shared" si="13"/>
        <v>2740500</v>
      </c>
      <c r="O152" s="52">
        <f t="shared" si="14"/>
        <v>959400</v>
      </c>
      <c r="S152" s="53" t="s">
        <v>150</v>
      </c>
      <c r="T152" s="54">
        <f>'[1]New Pricelist'!AI50</f>
        <v>657700</v>
      </c>
      <c r="U152" s="52">
        <f t="shared" si="15"/>
        <v>230194.99999999997</v>
      </c>
      <c r="V152" s="54">
        <f t="shared" si="16"/>
        <v>1973100</v>
      </c>
      <c r="W152" s="54">
        <f t="shared" si="17"/>
        <v>690584.99999999988</v>
      </c>
    </row>
    <row r="153" spans="1:23" ht="15" customHeight="1" x14ac:dyDescent="0.25">
      <c r="A153" s="49"/>
      <c r="B153" s="103" t="s">
        <v>146</v>
      </c>
      <c r="C153" s="2" t="s">
        <v>159</v>
      </c>
      <c r="E153" s="9" t="s">
        <v>3</v>
      </c>
      <c r="F153" s="73" t="s">
        <v>166</v>
      </c>
      <c r="G153" s="73"/>
      <c r="H153" s="73"/>
      <c r="I153" s="51"/>
      <c r="J153" s="104">
        <v>3</v>
      </c>
      <c r="K153" s="49" t="s">
        <v>155</v>
      </c>
      <c r="L153" s="52">
        <f t="shared" si="11"/>
        <v>1130700</v>
      </c>
      <c r="M153" s="52">
        <f t="shared" si="12"/>
        <v>395800</v>
      </c>
      <c r="N153" s="52">
        <f t="shared" si="13"/>
        <v>3392100</v>
      </c>
      <c r="O153" s="52">
        <f t="shared" si="14"/>
        <v>1187400</v>
      </c>
      <c r="S153" s="53" t="s">
        <v>150</v>
      </c>
      <c r="T153" s="54">
        <f>'[1]New Pricelist'!AI51</f>
        <v>814100</v>
      </c>
      <c r="U153" s="52">
        <f t="shared" si="15"/>
        <v>284935</v>
      </c>
      <c r="V153" s="54">
        <f t="shared" si="16"/>
        <v>2442300</v>
      </c>
      <c r="W153" s="54">
        <f t="shared" si="17"/>
        <v>854805</v>
      </c>
    </row>
    <row r="154" spans="1:23" s="107" customFormat="1" ht="15" customHeight="1" x14ac:dyDescent="0.25">
      <c r="A154" s="105"/>
      <c r="B154" s="106" t="s">
        <v>146</v>
      </c>
      <c r="C154" s="107" t="s">
        <v>167</v>
      </c>
      <c r="E154" s="108" t="s">
        <v>3</v>
      </c>
      <c r="F154" s="109" t="s">
        <v>148</v>
      </c>
      <c r="G154" s="109"/>
      <c r="H154" s="109"/>
      <c r="I154" s="110"/>
      <c r="J154" s="111">
        <v>10</v>
      </c>
      <c r="K154" s="105" t="s">
        <v>155</v>
      </c>
      <c r="L154" s="112">
        <f t="shared" si="11"/>
        <v>8902800</v>
      </c>
      <c r="M154" s="112">
        <f t="shared" si="12"/>
        <v>3116000</v>
      </c>
      <c r="N154" s="112">
        <f t="shared" si="13"/>
        <v>89028000</v>
      </c>
      <c r="O154" s="112">
        <f t="shared" si="14"/>
        <v>31160000</v>
      </c>
      <c r="S154" s="113" t="s">
        <v>150</v>
      </c>
      <c r="T154" s="114">
        <f>'[1]New Pricelist'!H85</f>
        <v>6410000</v>
      </c>
      <c r="U154" s="112">
        <f t="shared" si="15"/>
        <v>2243500</v>
      </c>
      <c r="V154" s="114">
        <f t="shared" si="16"/>
        <v>64100000</v>
      </c>
      <c r="W154" s="114">
        <f t="shared" si="17"/>
        <v>22435000</v>
      </c>
    </row>
    <row r="155" spans="1:23" ht="15" customHeight="1" x14ac:dyDescent="0.25">
      <c r="A155" s="49"/>
      <c r="B155" s="103" t="s">
        <v>146</v>
      </c>
      <c r="C155" s="2" t="s">
        <v>167</v>
      </c>
      <c r="E155" s="9" t="s">
        <v>3</v>
      </c>
      <c r="F155" s="73" t="s">
        <v>151</v>
      </c>
      <c r="G155" s="73"/>
      <c r="H155" s="73"/>
      <c r="I155" s="51"/>
      <c r="J155" s="104">
        <v>10</v>
      </c>
      <c r="K155" s="49" t="s">
        <v>155</v>
      </c>
      <c r="L155" s="52">
        <f t="shared" si="11"/>
        <v>5404200</v>
      </c>
      <c r="M155" s="52">
        <f t="shared" si="12"/>
        <v>1891500</v>
      </c>
      <c r="N155" s="52">
        <f t="shared" si="13"/>
        <v>54042000</v>
      </c>
      <c r="O155" s="52">
        <f t="shared" si="14"/>
        <v>18915000</v>
      </c>
      <c r="S155" s="53" t="s">
        <v>150</v>
      </c>
      <c r="T155" s="54">
        <f>'[1]New Pricelist'!J85</f>
        <v>3891000</v>
      </c>
      <c r="U155" s="52">
        <f t="shared" si="15"/>
        <v>1361850</v>
      </c>
      <c r="V155" s="54">
        <f t="shared" si="16"/>
        <v>38910000</v>
      </c>
      <c r="W155" s="54">
        <f t="shared" si="17"/>
        <v>13618500</v>
      </c>
    </row>
    <row r="156" spans="1:23" ht="15" customHeight="1" x14ac:dyDescent="0.25">
      <c r="A156" s="49"/>
      <c r="B156" s="103" t="s">
        <v>146</v>
      </c>
      <c r="C156" s="2" t="s">
        <v>167</v>
      </c>
      <c r="E156" s="9" t="s">
        <v>3</v>
      </c>
      <c r="F156" s="73" t="s">
        <v>108</v>
      </c>
      <c r="G156" s="73"/>
      <c r="H156" s="73"/>
      <c r="I156" s="51"/>
      <c r="J156" s="104">
        <v>8</v>
      </c>
      <c r="K156" s="49" t="s">
        <v>155</v>
      </c>
      <c r="L156" s="52">
        <f t="shared" si="11"/>
        <v>3600000</v>
      </c>
      <c r="M156" s="52">
        <f t="shared" si="12"/>
        <v>1260000</v>
      </c>
      <c r="N156" s="52">
        <f t="shared" si="13"/>
        <v>28800000</v>
      </c>
      <c r="O156" s="52">
        <f t="shared" si="14"/>
        <v>10080000</v>
      </c>
      <c r="S156" s="53" t="s">
        <v>150</v>
      </c>
      <c r="T156" s="54">
        <f>'[1]New Pricelist'!L85</f>
        <v>2592000</v>
      </c>
      <c r="U156" s="52">
        <f t="shared" si="15"/>
        <v>907200</v>
      </c>
      <c r="V156" s="54">
        <f t="shared" si="16"/>
        <v>20736000</v>
      </c>
      <c r="W156" s="54">
        <f t="shared" si="17"/>
        <v>7257600</v>
      </c>
    </row>
    <row r="157" spans="1:23" ht="15" customHeight="1" x14ac:dyDescent="0.25">
      <c r="A157" s="49"/>
      <c r="B157" s="103" t="s">
        <v>146</v>
      </c>
      <c r="C157" s="2" t="s">
        <v>167</v>
      </c>
      <c r="E157" s="9" t="s">
        <v>3</v>
      </c>
      <c r="F157" s="73" t="s">
        <v>121</v>
      </c>
      <c r="G157" s="73"/>
      <c r="H157" s="73"/>
      <c r="I157" s="51"/>
      <c r="J157" s="104">
        <v>14</v>
      </c>
      <c r="K157" s="49" t="s">
        <v>155</v>
      </c>
      <c r="L157" s="52">
        <f t="shared" si="11"/>
        <v>2404200</v>
      </c>
      <c r="M157" s="52">
        <f t="shared" si="12"/>
        <v>841500</v>
      </c>
      <c r="N157" s="52">
        <f t="shared" si="13"/>
        <v>33658800</v>
      </c>
      <c r="O157" s="52">
        <f t="shared" si="14"/>
        <v>11781000</v>
      </c>
      <c r="S157" s="53" t="s">
        <v>150</v>
      </c>
      <c r="T157" s="54">
        <f>'[1]New Pricelist'!M85</f>
        <v>1731000</v>
      </c>
      <c r="U157" s="52">
        <f t="shared" si="15"/>
        <v>605850</v>
      </c>
      <c r="V157" s="54">
        <f t="shared" si="16"/>
        <v>24234000</v>
      </c>
      <c r="W157" s="54">
        <f t="shared" si="17"/>
        <v>8481900</v>
      </c>
    </row>
    <row r="158" spans="1:23" ht="15" customHeight="1" x14ac:dyDescent="0.25">
      <c r="A158" s="49"/>
      <c r="B158" s="103" t="s">
        <v>146</v>
      </c>
      <c r="C158" s="2" t="s">
        <v>167</v>
      </c>
      <c r="E158" s="9" t="s">
        <v>3</v>
      </c>
      <c r="F158" s="73" t="s">
        <v>152</v>
      </c>
      <c r="G158" s="73"/>
      <c r="H158" s="73"/>
      <c r="I158" s="51"/>
      <c r="J158" s="104">
        <v>4</v>
      </c>
      <c r="K158" s="49" t="s">
        <v>155</v>
      </c>
      <c r="L158" s="52">
        <f t="shared" si="11"/>
        <v>79200</v>
      </c>
      <c r="M158" s="52">
        <f t="shared" si="12"/>
        <v>27800</v>
      </c>
      <c r="N158" s="52">
        <f t="shared" si="13"/>
        <v>316800</v>
      </c>
      <c r="O158" s="52">
        <f t="shared" si="14"/>
        <v>111200</v>
      </c>
      <c r="S158" s="53" t="s">
        <v>150</v>
      </c>
      <c r="T158" s="54">
        <f>'[1]New Pricelist'!S85</f>
        <v>57000</v>
      </c>
      <c r="U158" s="52">
        <f t="shared" si="15"/>
        <v>19950</v>
      </c>
      <c r="V158" s="54">
        <f t="shared" si="16"/>
        <v>228000</v>
      </c>
      <c r="W158" s="54">
        <f t="shared" si="17"/>
        <v>79800</v>
      </c>
    </row>
    <row r="159" spans="1:23" ht="15" customHeight="1" x14ac:dyDescent="0.25">
      <c r="A159" s="49"/>
      <c r="B159" s="103" t="s">
        <v>146</v>
      </c>
      <c r="C159" s="2" t="s">
        <v>168</v>
      </c>
      <c r="E159" s="9" t="s">
        <v>3</v>
      </c>
      <c r="F159" s="73" t="s">
        <v>158</v>
      </c>
      <c r="G159" s="73"/>
      <c r="H159" s="73"/>
      <c r="I159" s="51"/>
      <c r="J159" s="104">
        <v>2</v>
      </c>
      <c r="K159" s="49" t="s">
        <v>155</v>
      </c>
      <c r="L159" s="52">
        <f t="shared" si="11"/>
        <v>231500</v>
      </c>
      <c r="M159" s="52">
        <f t="shared" si="12"/>
        <v>81000</v>
      </c>
      <c r="N159" s="52">
        <f t="shared" si="13"/>
        <v>463000</v>
      </c>
      <c r="O159" s="52">
        <f t="shared" si="14"/>
        <v>162000</v>
      </c>
      <c r="S159" s="53" t="s">
        <v>150</v>
      </c>
      <c r="T159" s="54">
        <f>'[1]New Pricelist'!AW86</f>
        <v>166620</v>
      </c>
      <c r="U159" s="52">
        <f t="shared" si="15"/>
        <v>58316.999999999993</v>
      </c>
      <c r="V159" s="54">
        <f t="shared" si="16"/>
        <v>333240</v>
      </c>
      <c r="W159" s="54">
        <f t="shared" si="17"/>
        <v>116633.99999999999</v>
      </c>
    </row>
    <row r="160" spans="1:23" ht="15" customHeight="1" x14ac:dyDescent="0.25">
      <c r="A160" s="49"/>
      <c r="B160" s="103" t="s">
        <v>146</v>
      </c>
      <c r="C160" s="2" t="s">
        <v>169</v>
      </c>
      <c r="E160" s="9" t="s">
        <v>3</v>
      </c>
      <c r="F160" s="73" t="s">
        <v>148</v>
      </c>
      <c r="G160" s="73"/>
      <c r="H160" s="73"/>
      <c r="I160" s="51"/>
      <c r="J160" s="104">
        <v>6</v>
      </c>
      <c r="K160" s="49" t="s">
        <v>155</v>
      </c>
      <c r="L160" s="52">
        <f t="shared" si="11"/>
        <v>1793100</v>
      </c>
      <c r="M160" s="52">
        <f t="shared" si="12"/>
        <v>627600</v>
      </c>
      <c r="N160" s="52">
        <f t="shared" si="13"/>
        <v>10758600</v>
      </c>
      <c r="O160" s="52">
        <f t="shared" si="14"/>
        <v>3765600</v>
      </c>
      <c r="S160" s="53" t="s">
        <v>150</v>
      </c>
      <c r="T160" s="54">
        <f>'[1]New Pricelist'!H94</f>
        <v>1291000</v>
      </c>
      <c r="U160" s="52">
        <f t="shared" si="15"/>
        <v>451850</v>
      </c>
      <c r="V160" s="54">
        <f t="shared" si="16"/>
        <v>7746000</v>
      </c>
      <c r="W160" s="54">
        <f t="shared" si="17"/>
        <v>2711100</v>
      </c>
    </row>
    <row r="161" spans="1:23" ht="15" customHeight="1" x14ac:dyDescent="0.25">
      <c r="A161" s="49"/>
      <c r="B161" s="103" t="s">
        <v>146</v>
      </c>
      <c r="C161" s="2" t="s">
        <v>169</v>
      </c>
      <c r="E161" s="9" t="s">
        <v>3</v>
      </c>
      <c r="F161" s="73" t="s">
        <v>151</v>
      </c>
      <c r="G161" s="73"/>
      <c r="H161" s="73"/>
      <c r="I161" s="51"/>
      <c r="J161" s="104">
        <v>14</v>
      </c>
      <c r="K161" s="49" t="s">
        <v>155</v>
      </c>
      <c r="L161" s="52">
        <f t="shared" si="11"/>
        <v>1105600</v>
      </c>
      <c r="M161" s="52">
        <f t="shared" si="12"/>
        <v>387000</v>
      </c>
      <c r="N161" s="52">
        <f t="shared" si="13"/>
        <v>15478400</v>
      </c>
      <c r="O161" s="52">
        <f t="shared" si="14"/>
        <v>5418000</v>
      </c>
      <c r="S161" s="53" t="s">
        <v>150</v>
      </c>
      <c r="T161" s="54">
        <f>'[1]New Pricelist'!J94</f>
        <v>796000</v>
      </c>
      <c r="U161" s="52">
        <f t="shared" si="15"/>
        <v>278600</v>
      </c>
      <c r="V161" s="54">
        <f t="shared" si="16"/>
        <v>11144000</v>
      </c>
      <c r="W161" s="54">
        <f t="shared" si="17"/>
        <v>3900400</v>
      </c>
    </row>
    <row r="162" spans="1:23" ht="15" customHeight="1" x14ac:dyDescent="0.25">
      <c r="A162" s="49"/>
      <c r="B162" s="103" t="s">
        <v>146</v>
      </c>
      <c r="C162" s="2" t="s">
        <v>169</v>
      </c>
      <c r="E162" s="9" t="s">
        <v>3</v>
      </c>
      <c r="F162" s="73" t="s">
        <v>106</v>
      </c>
      <c r="G162" s="73"/>
      <c r="H162" s="73"/>
      <c r="I162" s="51"/>
      <c r="J162" s="104">
        <v>8</v>
      </c>
      <c r="K162" s="49" t="s">
        <v>155</v>
      </c>
      <c r="L162" s="52">
        <f t="shared" si="11"/>
        <v>805600</v>
      </c>
      <c r="M162" s="52">
        <f t="shared" si="12"/>
        <v>282000</v>
      </c>
      <c r="N162" s="52">
        <f t="shared" si="13"/>
        <v>6444800</v>
      </c>
      <c r="O162" s="52">
        <f t="shared" si="14"/>
        <v>2256000</v>
      </c>
      <c r="S162" s="53" t="s">
        <v>150</v>
      </c>
      <c r="T162" s="54">
        <f>'[1]New Pricelist'!K94</f>
        <v>580000</v>
      </c>
      <c r="U162" s="52">
        <f t="shared" si="15"/>
        <v>203000</v>
      </c>
      <c r="V162" s="54">
        <f t="shared" si="16"/>
        <v>4640000</v>
      </c>
      <c r="W162" s="54">
        <f t="shared" si="17"/>
        <v>1624000</v>
      </c>
    </row>
    <row r="163" spans="1:23" ht="15" customHeight="1" x14ac:dyDescent="0.25">
      <c r="A163" s="49"/>
      <c r="B163" s="103" t="s">
        <v>146</v>
      </c>
      <c r="C163" s="2" t="s">
        <v>169</v>
      </c>
      <c r="E163" s="9" t="s">
        <v>3</v>
      </c>
      <c r="F163" s="73" t="s">
        <v>108</v>
      </c>
      <c r="G163" s="73"/>
      <c r="H163" s="73"/>
      <c r="I163" s="51"/>
      <c r="J163" s="104">
        <v>12</v>
      </c>
      <c r="K163" s="49" t="s">
        <v>155</v>
      </c>
      <c r="L163" s="52">
        <f t="shared" si="11"/>
        <v>779200</v>
      </c>
      <c r="M163" s="52">
        <f t="shared" si="12"/>
        <v>272800</v>
      </c>
      <c r="N163" s="52">
        <f t="shared" si="13"/>
        <v>9350400</v>
      </c>
      <c r="O163" s="52">
        <f t="shared" si="14"/>
        <v>3273600</v>
      </c>
      <c r="S163" s="53" t="s">
        <v>150</v>
      </c>
      <c r="T163" s="54">
        <f>'[1]New Pricelist'!L94</f>
        <v>561000</v>
      </c>
      <c r="U163" s="52">
        <f t="shared" si="15"/>
        <v>196350</v>
      </c>
      <c r="V163" s="54">
        <f t="shared" si="16"/>
        <v>6732000</v>
      </c>
      <c r="W163" s="54">
        <f t="shared" si="17"/>
        <v>2356200</v>
      </c>
    </row>
    <row r="164" spans="1:23" ht="15" customHeight="1" x14ac:dyDescent="0.25">
      <c r="A164" s="49"/>
      <c r="B164" s="103" t="s">
        <v>146</v>
      </c>
      <c r="C164" s="2" t="s">
        <v>169</v>
      </c>
      <c r="E164" s="9" t="s">
        <v>3</v>
      </c>
      <c r="F164" s="73" t="s">
        <v>121</v>
      </c>
      <c r="G164" s="73"/>
      <c r="H164" s="73"/>
      <c r="I164" s="51"/>
      <c r="J164" s="104">
        <f>48-6</f>
        <v>42</v>
      </c>
      <c r="K164" s="49" t="s">
        <v>155</v>
      </c>
      <c r="L164" s="52">
        <f t="shared" si="11"/>
        <v>516700</v>
      </c>
      <c r="M164" s="52">
        <f t="shared" si="12"/>
        <v>180900</v>
      </c>
      <c r="N164" s="52">
        <f t="shared" si="13"/>
        <v>21701400</v>
      </c>
      <c r="O164" s="52">
        <f t="shared" si="14"/>
        <v>7597800</v>
      </c>
      <c r="S164" s="53" t="s">
        <v>150</v>
      </c>
      <c r="T164" s="54">
        <f>'[1]New Pricelist'!M94</f>
        <v>372000</v>
      </c>
      <c r="U164" s="52">
        <f t="shared" si="15"/>
        <v>130199.99999999999</v>
      </c>
      <c r="V164" s="54">
        <f t="shared" si="16"/>
        <v>15624000</v>
      </c>
      <c r="W164" s="54">
        <f t="shared" si="17"/>
        <v>5468399.9999999991</v>
      </c>
    </row>
    <row r="165" spans="1:23" ht="15" customHeight="1" x14ac:dyDescent="0.25">
      <c r="A165" s="49"/>
      <c r="B165" s="103" t="s">
        <v>146</v>
      </c>
      <c r="C165" s="2" t="s">
        <v>170</v>
      </c>
      <c r="E165" s="9" t="s">
        <v>3</v>
      </c>
      <c r="F165" s="73" t="s">
        <v>121</v>
      </c>
      <c r="G165" s="73"/>
      <c r="H165" s="73"/>
      <c r="I165" s="51"/>
      <c r="J165" s="104">
        <f>(2*4)</f>
        <v>8</v>
      </c>
      <c r="K165" s="49" t="s">
        <v>155</v>
      </c>
      <c r="L165" s="52">
        <f t="shared" si="11"/>
        <v>516700</v>
      </c>
      <c r="M165" s="52">
        <f t="shared" si="12"/>
        <v>180900</v>
      </c>
      <c r="N165" s="52">
        <f t="shared" si="13"/>
        <v>4133600</v>
      </c>
      <c r="O165" s="52">
        <f t="shared" si="14"/>
        <v>1447200</v>
      </c>
      <c r="S165" s="53" t="s">
        <v>150</v>
      </c>
      <c r="T165" s="54">
        <f>'[1]New Pricelist'!M94</f>
        <v>372000</v>
      </c>
      <c r="U165" s="52">
        <f t="shared" si="15"/>
        <v>130199.99999999999</v>
      </c>
      <c r="V165" s="54">
        <f t="shared" si="16"/>
        <v>2976000</v>
      </c>
      <c r="W165" s="54">
        <f t="shared" si="17"/>
        <v>1041599.9999999999</v>
      </c>
    </row>
    <row r="166" spans="1:23" ht="15" customHeight="1" x14ac:dyDescent="0.25">
      <c r="A166" s="49"/>
      <c r="B166" s="103" t="s">
        <v>146</v>
      </c>
      <c r="C166" s="2" t="s">
        <v>171</v>
      </c>
      <c r="E166" s="9" t="s">
        <v>3</v>
      </c>
      <c r="F166" s="73" t="s">
        <v>148</v>
      </c>
      <c r="G166" s="73"/>
      <c r="H166" s="73"/>
      <c r="I166" s="51"/>
      <c r="J166" s="104">
        <v>5</v>
      </c>
      <c r="K166" s="49" t="s">
        <v>155</v>
      </c>
      <c r="L166" s="52">
        <f t="shared" si="11"/>
        <v>4286200</v>
      </c>
      <c r="M166" s="52">
        <f t="shared" si="12"/>
        <v>1500200</v>
      </c>
      <c r="N166" s="52">
        <f t="shared" si="13"/>
        <v>21431000</v>
      </c>
      <c r="O166" s="52">
        <f t="shared" si="14"/>
        <v>7501000</v>
      </c>
      <c r="S166" s="53" t="s">
        <v>150</v>
      </c>
      <c r="T166" s="54">
        <f>'[1]New Pricelist'!H103</f>
        <v>3086000</v>
      </c>
      <c r="U166" s="52">
        <f t="shared" si="15"/>
        <v>1080100</v>
      </c>
      <c r="V166" s="54">
        <f t="shared" si="16"/>
        <v>15430000</v>
      </c>
      <c r="W166" s="54">
        <f t="shared" si="17"/>
        <v>5400500</v>
      </c>
    </row>
    <row r="167" spans="1:23" ht="15" customHeight="1" x14ac:dyDescent="0.25">
      <c r="A167" s="49"/>
      <c r="B167" s="103" t="s">
        <v>146</v>
      </c>
      <c r="C167" s="2" t="s">
        <v>172</v>
      </c>
      <c r="E167" s="9" t="s">
        <v>3</v>
      </c>
      <c r="F167" s="73" t="s">
        <v>173</v>
      </c>
      <c r="G167" s="73"/>
      <c r="H167" s="73"/>
      <c r="I167" s="51"/>
      <c r="J167" s="104">
        <v>2</v>
      </c>
      <c r="K167" s="49" t="s">
        <v>155</v>
      </c>
      <c r="L167" s="52">
        <f t="shared" si="11"/>
        <v>94700</v>
      </c>
      <c r="M167" s="52">
        <f t="shared" si="12"/>
        <v>33200</v>
      </c>
      <c r="N167" s="52">
        <f t="shared" si="13"/>
        <v>189400</v>
      </c>
      <c r="O167" s="52">
        <f t="shared" si="14"/>
        <v>66400</v>
      </c>
      <c r="S167" s="53" t="s">
        <v>150</v>
      </c>
      <c r="T167" s="54">
        <f>'[1]New Pricelist'!AW130</f>
        <v>68160</v>
      </c>
      <c r="U167" s="52">
        <f t="shared" si="15"/>
        <v>23856</v>
      </c>
      <c r="V167" s="54">
        <f t="shared" si="16"/>
        <v>136320</v>
      </c>
      <c r="W167" s="54">
        <f t="shared" si="17"/>
        <v>47712</v>
      </c>
    </row>
    <row r="168" spans="1:23" ht="15" customHeight="1" x14ac:dyDescent="0.25">
      <c r="A168" s="49"/>
      <c r="B168" s="103" t="s">
        <v>146</v>
      </c>
      <c r="C168" s="2" t="s">
        <v>172</v>
      </c>
      <c r="E168" s="9" t="s">
        <v>3</v>
      </c>
      <c r="F168" s="73" t="s">
        <v>158</v>
      </c>
      <c r="G168" s="73"/>
      <c r="H168" s="73"/>
      <c r="I168" s="51"/>
      <c r="J168" s="104">
        <f>(2+(3*5)+6)</f>
        <v>23</v>
      </c>
      <c r="K168" s="49" t="s">
        <v>155</v>
      </c>
      <c r="L168" s="52">
        <f t="shared" si="11"/>
        <v>70000</v>
      </c>
      <c r="M168" s="52">
        <f t="shared" si="12"/>
        <v>24500</v>
      </c>
      <c r="N168" s="52">
        <f t="shared" si="13"/>
        <v>1610000</v>
      </c>
      <c r="O168" s="52">
        <f t="shared" si="14"/>
        <v>563500</v>
      </c>
      <c r="S168" s="53" t="s">
        <v>150</v>
      </c>
      <c r="T168" s="54">
        <f>'[1]New Pricelist'!AW129</f>
        <v>50340</v>
      </c>
      <c r="U168" s="52">
        <f t="shared" si="15"/>
        <v>17619</v>
      </c>
      <c r="V168" s="54">
        <f t="shared" si="16"/>
        <v>1157820</v>
      </c>
      <c r="W168" s="54">
        <f t="shared" si="17"/>
        <v>405237</v>
      </c>
    </row>
    <row r="169" spans="1:23" ht="15" customHeight="1" x14ac:dyDescent="0.25">
      <c r="A169" s="49"/>
      <c r="B169" s="103" t="s">
        <v>146</v>
      </c>
      <c r="C169" s="2" t="s">
        <v>174</v>
      </c>
      <c r="E169" s="9" t="s">
        <v>3</v>
      </c>
      <c r="F169" s="73" t="s">
        <v>173</v>
      </c>
      <c r="G169" s="73"/>
      <c r="H169" s="73"/>
      <c r="I169" s="51"/>
      <c r="J169" s="104">
        <f>(3+(2*5))</f>
        <v>13</v>
      </c>
      <c r="K169" s="49" t="s">
        <v>155</v>
      </c>
      <c r="L169" s="52">
        <f t="shared" si="11"/>
        <v>39500</v>
      </c>
      <c r="M169" s="52">
        <f t="shared" si="12"/>
        <v>13900</v>
      </c>
      <c r="N169" s="52">
        <f t="shared" si="13"/>
        <v>513500</v>
      </c>
      <c r="O169" s="52">
        <f t="shared" si="14"/>
        <v>180700</v>
      </c>
      <c r="S169" s="53" t="s">
        <v>150</v>
      </c>
      <c r="T169" s="54">
        <f>'[1]New Pricelist'!AW114</f>
        <v>28440</v>
      </c>
      <c r="U169" s="52">
        <f t="shared" si="15"/>
        <v>9954</v>
      </c>
      <c r="V169" s="54">
        <f t="shared" si="16"/>
        <v>369720</v>
      </c>
      <c r="W169" s="54">
        <f t="shared" si="17"/>
        <v>129402</v>
      </c>
    </row>
    <row r="170" spans="1:23" ht="15" customHeight="1" x14ac:dyDescent="0.25">
      <c r="A170" s="49"/>
      <c r="B170" s="103" t="s">
        <v>146</v>
      </c>
      <c r="C170" s="2" t="s">
        <v>174</v>
      </c>
      <c r="E170" s="9" t="s">
        <v>3</v>
      </c>
      <c r="F170" s="73" t="s">
        <v>158</v>
      </c>
      <c r="G170" s="73"/>
      <c r="H170" s="73"/>
      <c r="I170" s="51"/>
      <c r="J170" s="104">
        <f>(3+(2*5)+6)</f>
        <v>19</v>
      </c>
      <c r="K170" s="49" t="s">
        <v>155</v>
      </c>
      <c r="L170" s="52">
        <f t="shared" si="11"/>
        <v>29500</v>
      </c>
      <c r="M170" s="52">
        <f t="shared" si="12"/>
        <v>10300</v>
      </c>
      <c r="N170" s="52">
        <f t="shared" si="13"/>
        <v>560500</v>
      </c>
      <c r="O170" s="52">
        <f t="shared" si="14"/>
        <v>195700</v>
      </c>
      <c r="S170" s="53" t="s">
        <v>150</v>
      </c>
      <c r="T170" s="54">
        <f>'[1]New Pricelist'!AW113</f>
        <v>21180</v>
      </c>
      <c r="U170" s="52">
        <f t="shared" si="15"/>
        <v>7412.9999999999991</v>
      </c>
      <c r="V170" s="54">
        <f t="shared" si="16"/>
        <v>402420</v>
      </c>
      <c r="W170" s="54">
        <f t="shared" si="17"/>
        <v>140846.99999999997</v>
      </c>
    </row>
    <row r="171" spans="1:23" ht="15" customHeight="1" x14ac:dyDescent="0.25">
      <c r="A171" s="49"/>
      <c r="B171" s="103"/>
      <c r="F171" s="73"/>
      <c r="G171" s="73"/>
      <c r="H171" s="73"/>
      <c r="I171" s="51"/>
      <c r="J171" s="104"/>
      <c r="K171" s="49"/>
      <c r="L171" s="52"/>
      <c r="M171" s="52"/>
      <c r="N171" s="52"/>
      <c r="O171" s="52"/>
      <c r="S171" s="53"/>
      <c r="T171" s="54"/>
      <c r="U171" s="52"/>
      <c r="V171" s="54"/>
      <c r="W171" s="54"/>
    </row>
    <row r="172" spans="1:23" s="107" customFormat="1" ht="15" customHeight="1" x14ac:dyDescent="0.25">
      <c r="A172" s="105">
        <v>2</v>
      </c>
      <c r="B172" s="115" t="s">
        <v>175</v>
      </c>
      <c r="C172" s="116"/>
      <c r="D172" s="116"/>
      <c r="E172" s="116"/>
      <c r="F172" s="116"/>
      <c r="G172" s="116"/>
      <c r="H172" s="116"/>
      <c r="I172" s="110"/>
      <c r="J172" s="111"/>
      <c r="K172" s="105"/>
      <c r="L172" s="112"/>
      <c r="M172" s="112"/>
      <c r="N172" s="112"/>
      <c r="O172" s="112"/>
      <c r="S172" s="113"/>
      <c r="T172" s="114"/>
      <c r="U172" s="112"/>
      <c r="V172" s="114"/>
      <c r="W172" s="114"/>
    </row>
    <row r="173" spans="1:23" ht="15" customHeight="1" x14ac:dyDescent="0.25">
      <c r="A173" s="49"/>
      <c r="B173" s="103" t="s">
        <v>146</v>
      </c>
      <c r="C173" s="2" t="s">
        <v>176</v>
      </c>
      <c r="E173" s="9" t="s">
        <v>3</v>
      </c>
      <c r="F173" s="73" t="s">
        <v>177</v>
      </c>
      <c r="G173" s="73"/>
      <c r="H173" s="73"/>
      <c r="I173" s="51"/>
      <c r="J173" s="104">
        <v>85</v>
      </c>
      <c r="K173" s="49" t="s">
        <v>149</v>
      </c>
      <c r="L173" s="52">
        <f t="shared" ref="L173:L217" si="18">ROUNDUP((T173/(1-$U$2)),-2)</f>
        <v>7076100</v>
      </c>
      <c r="M173" s="52">
        <f t="shared" ref="M173:M217" si="19">ROUNDUP((U173/(1-$U$3)),-2)</f>
        <v>2476700</v>
      </c>
      <c r="N173" s="52">
        <f t="shared" ref="N173:N215" si="20">L173*J173</f>
        <v>601468500</v>
      </c>
      <c r="O173" s="52">
        <f t="shared" ref="O173:O215" si="21">M173*J173</f>
        <v>210519500</v>
      </c>
      <c r="S173" s="53" t="s">
        <v>150</v>
      </c>
      <c r="T173" s="54">
        <f>'[1]New Pricelist'!DX152/6</f>
        <v>5094750</v>
      </c>
      <c r="U173" s="52">
        <f t="shared" si="15"/>
        <v>1783162.5</v>
      </c>
      <c r="V173" s="54">
        <f t="shared" ref="V173:V215" si="22">T173*J173</f>
        <v>433053750</v>
      </c>
      <c r="W173" s="54">
        <f t="shared" ref="W173:W215" si="23">U173*J173</f>
        <v>151568812.5</v>
      </c>
    </row>
    <row r="174" spans="1:23" s="107" customFormat="1" ht="15" customHeight="1" x14ac:dyDescent="0.25">
      <c r="A174" s="105"/>
      <c r="B174" s="106" t="s">
        <v>146</v>
      </c>
      <c r="C174" s="107" t="s">
        <v>176</v>
      </c>
      <c r="E174" s="108" t="s">
        <v>3</v>
      </c>
      <c r="F174" s="109" t="s">
        <v>178</v>
      </c>
      <c r="G174" s="109"/>
      <c r="H174" s="109"/>
      <c r="I174" s="110"/>
      <c r="J174" s="111">
        <v>60</v>
      </c>
      <c r="K174" s="105" t="s">
        <v>149</v>
      </c>
      <c r="L174" s="112">
        <f t="shared" si="18"/>
        <v>2567400</v>
      </c>
      <c r="M174" s="112">
        <f t="shared" si="19"/>
        <v>898600</v>
      </c>
      <c r="N174" s="112">
        <f t="shared" si="20"/>
        <v>154044000</v>
      </c>
      <c r="O174" s="112">
        <f t="shared" si="21"/>
        <v>53916000</v>
      </c>
      <c r="S174" s="113" t="s">
        <v>150</v>
      </c>
      <c r="T174" s="114">
        <f>'[1]New Pricelist'!DW150/6</f>
        <v>1848500</v>
      </c>
      <c r="U174" s="112">
        <f t="shared" si="15"/>
        <v>646975</v>
      </c>
      <c r="V174" s="114">
        <f t="shared" si="22"/>
        <v>110910000</v>
      </c>
      <c r="W174" s="114">
        <f t="shared" si="23"/>
        <v>38818500</v>
      </c>
    </row>
    <row r="175" spans="1:23" ht="15" customHeight="1" x14ac:dyDescent="0.25">
      <c r="A175" s="49"/>
      <c r="B175" s="103" t="s">
        <v>146</v>
      </c>
      <c r="C175" s="2" t="s">
        <v>176</v>
      </c>
      <c r="E175" s="9" t="s">
        <v>3</v>
      </c>
      <c r="F175" s="73" t="s">
        <v>106</v>
      </c>
      <c r="G175" s="73"/>
      <c r="H175" s="73"/>
      <c r="I175" s="51"/>
      <c r="J175" s="104">
        <v>6</v>
      </c>
      <c r="K175" s="49" t="s">
        <v>149</v>
      </c>
      <c r="L175" s="52">
        <f t="shared" si="18"/>
        <v>2037300</v>
      </c>
      <c r="M175" s="52">
        <f t="shared" si="19"/>
        <v>713100</v>
      </c>
      <c r="N175" s="52">
        <f t="shared" si="20"/>
        <v>12223800</v>
      </c>
      <c r="O175" s="52">
        <f t="shared" si="21"/>
        <v>4278600</v>
      </c>
      <c r="S175" s="53" t="s">
        <v>150</v>
      </c>
      <c r="T175" s="54">
        <f>'[1]New Pricelist'!DW148/6</f>
        <v>1466833.3333333333</v>
      </c>
      <c r="U175" s="52">
        <f t="shared" si="15"/>
        <v>513391.66666666663</v>
      </c>
      <c r="V175" s="54">
        <f t="shared" si="22"/>
        <v>8801000</v>
      </c>
      <c r="W175" s="54">
        <f t="shared" si="23"/>
        <v>3080350</v>
      </c>
    </row>
    <row r="176" spans="1:23" ht="15" customHeight="1" x14ac:dyDescent="0.25">
      <c r="A176" s="49"/>
      <c r="B176" s="103" t="s">
        <v>146</v>
      </c>
      <c r="C176" s="2" t="s">
        <v>176</v>
      </c>
      <c r="E176" s="9" t="s">
        <v>3</v>
      </c>
      <c r="F176" s="73" t="s">
        <v>108</v>
      </c>
      <c r="G176" s="73"/>
      <c r="H176" s="73"/>
      <c r="I176" s="51"/>
      <c r="J176" s="104">
        <v>65</v>
      </c>
      <c r="K176" s="49" t="s">
        <v>149</v>
      </c>
      <c r="L176" s="52">
        <f t="shared" si="18"/>
        <v>1711900</v>
      </c>
      <c r="M176" s="52">
        <f t="shared" si="19"/>
        <v>599200</v>
      </c>
      <c r="N176" s="52">
        <f t="shared" si="20"/>
        <v>111273500</v>
      </c>
      <c r="O176" s="52">
        <f t="shared" si="21"/>
        <v>38948000</v>
      </c>
      <c r="S176" s="53" t="s">
        <v>150</v>
      </c>
      <c r="T176" s="54">
        <f>'[1]New Pricelist'!DW147/6</f>
        <v>1232500</v>
      </c>
      <c r="U176" s="52">
        <f t="shared" si="15"/>
        <v>431375</v>
      </c>
      <c r="V176" s="54">
        <f t="shared" si="22"/>
        <v>80112500</v>
      </c>
      <c r="W176" s="54">
        <f t="shared" si="23"/>
        <v>28039375</v>
      </c>
    </row>
    <row r="177" spans="1:23" ht="15" customHeight="1" x14ac:dyDescent="0.25">
      <c r="A177" s="49"/>
      <c r="B177" s="103" t="s">
        <v>146</v>
      </c>
      <c r="C177" s="2" t="s">
        <v>176</v>
      </c>
      <c r="E177" s="9" t="s">
        <v>3</v>
      </c>
      <c r="F177" s="73" t="s">
        <v>121</v>
      </c>
      <c r="G177" s="73"/>
      <c r="H177" s="73"/>
      <c r="I177" s="51"/>
      <c r="J177" s="104">
        <v>45</v>
      </c>
      <c r="K177" s="49" t="s">
        <v>149</v>
      </c>
      <c r="L177" s="52">
        <f t="shared" si="18"/>
        <v>1934100</v>
      </c>
      <c r="M177" s="52">
        <f t="shared" si="19"/>
        <v>677000</v>
      </c>
      <c r="N177" s="52">
        <f t="shared" si="20"/>
        <v>87034500</v>
      </c>
      <c r="O177" s="52">
        <f t="shared" si="21"/>
        <v>30465000</v>
      </c>
      <c r="S177" s="53" t="s">
        <v>150</v>
      </c>
      <c r="T177" s="54">
        <f>'[1]New Pricelist'!DO134/6</f>
        <v>1392500</v>
      </c>
      <c r="U177" s="52">
        <f t="shared" si="15"/>
        <v>487374.99999999994</v>
      </c>
      <c r="V177" s="54">
        <f t="shared" si="22"/>
        <v>62662500</v>
      </c>
      <c r="W177" s="54">
        <f t="shared" si="23"/>
        <v>21931874.999999996</v>
      </c>
    </row>
    <row r="178" spans="1:23" ht="15" customHeight="1" x14ac:dyDescent="0.25">
      <c r="A178" s="49"/>
      <c r="B178" s="103" t="s">
        <v>146</v>
      </c>
      <c r="C178" s="2" t="s">
        <v>176</v>
      </c>
      <c r="E178" s="9" t="s">
        <v>3</v>
      </c>
      <c r="F178" s="73" t="s">
        <v>179</v>
      </c>
      <c r="G178" s="73"/>
      <c r="H178" s="73"/>
      <c r="I178" s="51"/>
      <c r="J178" s="104">
        <v>6</v>
      </c>
      <c r="K178" s="49" t="s">
        <v>149</v>
      </c>
      <c r="L178" s="52">
        <f t="shared" si="18"/>
        <v>471300</v>
      </c>
      <c r="M178" s="52">
        <f t="shared" si="19"/>
        <v>165000</v>
      </c>
      <c r="N178" s="52">
        <f t="shared" si="20"/>
        <v>2827800</v>
      </c>
      <c r="O178" s="52">
        <f t="shared" si="21"/>
        <v>990000</v>
      </c>
      <c r="S178" s="53" t="s">
        <v>150</v>
      </c>
      <c r="T178" s="54">
        <f>'[1]New Pricelist'!DO130/6</f>
        <v>339333.33333333331</v>
      </c>
      <c r="U178" s="52">
        <f t="shared" si="15"/>
        <v>118766.66666666666</v>
      </c>
      <c r="V178" s="54">
        <f t="shared" si="22"/>
        <v>2036000</v>
      </c>
      <c r="W178" s="54">
        <f t="shared" si="23"/>
        <v>712600</v>
      </c>
    </row>
    <row r="179" spans="1:23" ht="15" customHeight="1" x14ac:dyDescent="0.25">
      <c r="A179" s="49"/>
      <c r="B179" s="103" t="s">
        <v>146</v>
      </c>
      <c r="C179" s="2" t="s">
        <v>176</v>
      </c>
      <c r="E179" s="9" t="s">
        <v>3</v>
      </c>
      <c r="F179" s="73" t="s">
        <v>180</v>
      </c>
      <c r="G179" s="73"/>
      <c r="H179" s="73"/>
      <c r="I179" s="51"/>
      <c r="J179" s="104">
        <v>18</v>
      </c>
      <c r="K179" s="49" t="s">
        <v>149</v>
      </c>
      <c r="L179" s="52">
        <f t="shared" si="18"/>
        <v>364900</v>
      </c>
      <c r="M179" s="52">
        <f t="shared" si="19"/>
        <v>127700</v>
      </c>
      <c r="N179" s="52">
        <f t="shared" si="20"/>
        <v>6568200</v>
      </c>
      <c r="O179" s="52">
        <f t="shared" si="21"/>
        <v>2298600</v>
      </c>
      <c r="S179" s="53" t="s">
        <v>150</v>
      </c>
      <c r="T179" s="54">
        <f>'[1]New Pricelist'!DO129/6</f>
        <v>262666.66666666669</v>
      </c>
      <c r="U179" s="52">
        <f t="shared" si="15"/>
        <v>91933.333333333328</v>
      </c>
      <c r="V179" s="54">
        <f t="shared" si="22"/>
        <v>4728000</v>
      </c>
      <c r="W179" s="54">
        <f t="shared" si="23"/>
        <v>1654800</v>
      </c>
    </row>
    <row r="180" spans="1:23" ht="15" customHeight="1" x14ac:dyDescent="0.25">
      <c r="A180" s="49"/>
      <c r="B180" s="103" t="s">
        <v>146</v>
      </c>
      <c r="C180" s="2" t="s">
        <v>176</v>
      </c>
      <c r="E180" s="9" t="s">
        <v>3</v>
      </c>
      <c r="F180" s="73" t="s">
        <v>152</v>
      </c>
      <c r="G180" s="73"/>
      <c r="H180" s="73"/>
      <c r="I180" s="51"/>
      <c r="J180" s="104">
        <v>18</v>
      </c>
      <c r="K180" s="49" t="s">
        <v>149</v>
      </c>
      <c r="L180" s="52">
        <f t="shared" si="18"/>
        <v>329100</v>
      </c>
      <c r="M180" s="52">
        <f t="shared" si="19"/>
        <v>115200</v>
      </c>
      <c r="N180" s="52">
        <f t="shared" si="20"/>
        <v>5923800</v>
      </c>
      <c r="O180" s="52">
        <f t="shared" si="21"/>
        <v>2073600</v>
      </c>
      <c r="S180" s="53" t="s">
        <v>150</v>
      </c>
      <c r="T180" s="54">
        <f>'[1]New Pricelist'!DP128/6</f>
        <v>236900</v>
      </c>
      <c r="U180" s="52">
        <f t="shared" si="15"/>
        <v>82915</v>
      </c>
      <c r="V180" s="54">
        <f t="shared" si="22"/>
        <v>4264200</v>
      </c>
      <c r="W180" s="54">
        <f t="shared" si="23"/>
        <v>1492470</v>
      </c>
    </row>
    <row r="181" spans="1:23" ht="15" customHeight="1" x14ac:dyDescent="0.25">
      <c r="A181" s="49"/>
      <c r="B181" s="103" t="s">
        <v>146</v>
      </c>
      <c r="C181" s="2" t="s">
        <v>181</v>
      </c>
      <c r="E181" s="9" t="s">
        <v>3</v>
      </c>
      <c r="F181" s="73" t="s">
        <v>152</v>
      </c>
      <c r="G181" s="73"/>
      <c r="H181" s="73"/>
      <c r="I181" s="51"/>
      <c r="J181" s="104">
        <v>30</v>
      </c>
      <c r="K181" s="49" t="s">
        <v>149</v>
      </c>
      <c r="L181" s="52">
        <f t="shared" si="18"/>
        <v>98300</v>
      </c>
      <c r="M181" s="52">
        <f t="shared" si="19"/>
        <v>34400</v>
      </c>
      <c r="N181" s="52">
        <f t="shared" si="20"/>
        <v>2949000</v>
      </c>
      <c r="O181" s="52">
        <f t="shared" si="21"/>
        <v>1032000</v>
      </c>
      <c r="S181" s="53" t="s">
        <v>150</v>
      </c>
      <c r="T181" s="54">
        <f>'[1]New Pricelist'!DG36/4</f>
        <v>70750</v>
      </c>
      <c r="U181" s="52">
        <f t="shared" si="15"/>
        <v>24762.5</v>
      </c>
      <c r="V181" s="54">
        <f t="shared" si="22"/>
        <v>2122500</v>
      </c>
      <c r="W181" s="54">
        <f t="shared" si="23"/>
        <v>742875</v>
      </c>
    </row>
    <row r="182" spans="1:23" ht="15" customHeight="1" x14ac:dyDescent="0.25">
      <c r="A182" s="49"/>
      <c r="B182" s="103" t="s">
        <v>146</v>
      </c>
      <c r="C182" s="2" t="s">
        <v>176</v>
      </c>
      <c r="E182" s="9" t="s">
        <v>3</v>
      </c>
      <c r="F182" s="73" t="s">
        <v>182</v>
      </c>
      <c r="G182" s="73"/>
      <c r="H182" s="73"/>
      <c r="I182" s="51"/>
      <c r="J182" s="104">
        <v>24</v>
      </c>
      <c r="K182" s="49" t="s">
        <v>149</v>
      </c>
      <c r="L182" s="52">
        <f t="shared" si="18"/>
        <v>210000</v>
      </c>
      <c r="M182" s="52">
        <f t="shared" si="19"/>
        <v>73500</v>
      </c>
      <c r="N182" s="52">
        <f t="shared" si="20"/>
        <v>5040000</v>
      </c>
      <c r="O182" s="52">
        <f t="shared" si="21"/>
        <v>1764000</v>
      </c>
      <c r="S182" s="53" t="s">
        <v>150</v>
      </c>
      <c r="T182" s="54">
        <f>'[1]New Pricelist'!DP126/6</f>
        <v>151129.16666666666</v>
      </c>
      <c r="U182" s="52">
        <f t="shared" si="15"/>
        <v>52895.208333333328</v>
      </c>
      <c r="V182" s="54">
        <f t="shared" si="22"/>
        <v>3627100</v>
      </c>
      <c r="W182" s="54">
        <f t="shared" si="23"/>
        <v>1269485</v>
      </c>
    </row>
    <row r="183" spans="1:23" ht="15" customHeight="1" x14ac:dyDescent="0.25">
      <c r="A183" s="49"/>
      <c r="B183" s="103" t="s">
        <v>146</v>
      </c>
      <c r="C183" s="2" t="s">
        <v>176</v>
      </c>
      <c r="E183" s="9" t="s">
        <v>3</v>
      </c>
      <c r="F183" s="73" t="s">
        <v>173</v>
      </c>
      <c r="G183" s="73"/>
      <c r="H183" s="73"/>
      <c r="I183" s="51"/>
      <c r="J183" s="104">
        <v>18</v>
      </c>
      <c r="K183" s="49" t="s">
        <v>149</v>
      </c>
      <c r="L183" s="52">
        <f t="shared" si="18"/>
        <v>158600</v>
      </c>
      <c r="M183" s="52">
        <f t="shared" si="19"/>
        <v>55500</v>
      </c>
      <c r="N183" s="52">
        <f t="shared" si="20"/>
        <v>2854800</v>
      </c>
      <c r="O183" s="52">
        <f t="shared" si="21"/>
        <v>999000</v>
      </c>
      <c r="S183" s="53" t="s">
        <v>150</v>
      </c>
      <c r="T183" s="54">
        <f>'[1]New Pricelist'!DP124/4</f>
        <v>114137.49999999999</v>
      </c>
      <c r="U183" s="52">
        <f t="shared" si="15"/>
        <v>39948.124999999993</v>
      </c>
      <c r="V183" s="54">
        <f t="shared" si="22"/>
        <v>2054474.9999999998</v>
      </c>
      <c r="W183" s="54">
        <f t="shared" si="23"/>
        <v>719066.24999999988</v>
      </c>
    </row>
    <row r="184" spans="1:23" ht="15" customHeight="1" x14ac:dyDescent="0.25">
      <c r="A184" s="49"/>
      <c r="B184" s="103" t="s">
        <v>146</v>
      </c>
      <c r="C184" s="2" t="s">
        <v>183</v>
      </c>
      <c r="E184" s="9" t="s">
        <v>3</v>
      </c>
      <c r="F184" s="73" t="s">
        <v>184</v>
      </c>
      <c r="G184" s="73"/>
      <c r="H184" s="73"/>
      <c r="I184" s="51"/>
      <c r="J184" s="104">
        <v>1</v>
      </c>
      <c r="K184" s="49" t="s">
        <v>155</v>
      </c>
      <c r="L184" s="52">
        <f t="shared" si="18"/>
        <v>11180600</v>
      </c>
      <c r="M184" s="52">
        <f t="shared" si="19"/>
        <v>3913200</v>
      </c>
      <c r="N184" s="52">
        <f t="shared" si="20"/>
        <v>11180600</v>
      </c>
      <c r="O184" s="52">
        <f t="shared" si="21"/>
        <v>3913200</v>
      </c>
      <c r="S184" s="53" t="s">
        <v>150</v>
      </c>
      <c r="T184" s="54">
        <v>8050000</v>
      </c>
      <c r="U184" s="52">
        <f t="shared" si="15"/>
        <v>2817500</v>
      </c>
      <c r="V184" s="54">
        <f t="shared" si="22"/>
        <v>8050000</v>
      </c>
      <c r="W184" s="54">
        <f t="shared" si="23"/>
        <v>2817500</v>
      </c>
    </row>
    <row r="185" spans="1:23" ht="15" customHeight="1" x14ac:dyDescent="0.25">
      <c r="A185" s="49"/>
      <c r="B185" s="103" t="s">
        <v>146</v>
      </c>
      <c r="C185" s="2" t="s">
        <v>183</v>
      </c>
      <c r="E185" s="9" t="s">
        <v>3</v>
      </c>
      <c r="F185" s="73" t="s">
        <v>185</v>
      </c>
      <c r="G185" s="73"/>
      <c r="H185" s="73"/>
      <c r="I185" s="51"/>
      <c r="J185" s="104">
        <v>3</v>
      </c>
      <c r="K185" s="49" t="s">
        <v>155</v>
      </c>
      <c r="L185" s="52">
        <f t="shared" si="18"/>
        <v>12218800</v>
      </c>
      <c r="M185" s="52">
        <f t="shared" si="19"/>
        <v>4276600</v>
      </c>
      <c r="N185" s="52">
        <f t="shared" si="20"/>
        <v>36656400</v>
      </c>
      <c r="O185" s="52">
        <f t="shared" si="21"/>
        <v>12829800</v>
      </c>
      <c r="S185" s="53" t="s">
        <v>150</v>
      </c>
      <c r="T185" s="54">
        <v>8797500</v>
      </c>
      <c r="U185" s="52">
        <f t="shared" si="15"/>
        <v>3079125</v>
      </c>
      <c r="V185" s="54">
        <f t="shared" si="22"/>
        <v>26392500</v>
      </c>
      <c r="W185" s="54">
        <f t="shared" si="23"/>
        <v>9237375</v>
      </c>
    </row>
    <row r="186" spans="1:23" ht="15" customHeight="1" x14ac:dyDescent="0.25">
      <c r="A186" s="49"/>
      <c r="B186" s="103" t="s">
        <v>146</v>
      </c>
      <c r="C186" s="2" t="s">
        <v>183</v>
      </c>
      <c r="E186" s="9" t="s">
        <v>3</v>
      </c>
      <c r="F186" s="73" t="s">
        <v>186</v>
      </c>
      <c r="G186" s="73"/>
      <c r="H186" s="73"/>
      <c r="I186" s="51"/>
      <c r="J186" s="104">
        <v>15</v>
      </c>
      <c r="K186" s="49" t="s">
        <v>155</v>
      </c>
      <c r="L186" s="52">
        <f t="shared" si="18"/>
        <v>13304900</v>
      </c>
      <c r="M186" s="52">
        <f t="shared" si="19"/>
        <v>4656800</v>
      </c>
      <c r="N186" s="52">
        <f t="shared" si="20"/>
        <v>199573500</v>
      </c>
      <c r="O186" s="52">
        <f t="shared" si="21"/>
        <v>69852000</v>
      </c>
      <c r="S186" s="53" t="s">
        <v>150</v>
      </c>
      <c r="T186" s="54">
        <v>9579500</v>
      </c>
      <c r="U186" s="52">
        <f t="shared" si="15"/>
        <v>3352825</v>
      </c>
      <c r="V186" s="54">
        <f t="shared" si="22"/>
        <v>143692500</v>
      </c>
      <c r="W186" s="54">
        <f t="shared" si="23"/>
        <v>50292375</v>
      </c>
    </row>
    <row r="187" spans="1:23" ht="14.25" customHeight="1" x14ac:dyDescent="0.25">
      <c r="A187" s="49"/>
      <c r="B187" s="103" t="s">
        <v>146</v>
      </c>
      <c r="C187" s="2" t="s">
        <v>183</v>
      </c>
      <c r="E187" s="9" t="s">
        <v>3</v>
      </c>
      <c r="F187" s="73" t="s">
        <v>187</v>
      </c>
      <c r="G187" s="73"/>
      <c r="H187" s="73"/>
      <c r="I187" s="51"/>
      <c r="J187" s="104">
        <v>3</v>
      </c>
      <c r="K187" s="49" t="s">
        <v>155</v>
      </c>
      <c r="L187" s="52">
        <f t="shared" si="18"/>
        <v>13547800</v>
      </c>
      <c r="M187" s="52">
        <f t="shared" si="19"/>
        <v>4741800</v>
      </c>
      <c r="N187" s="52">
        <f t="shared" si="20"/>
        <v>40643400</v>
      </c>
      <c r="O187" s="52">
        <f t="shared" si="21"/>
        <v>14225400</v>
      </c>
      <c r="S187" s="53" t="s">
        <v>150</v>
      </c>
      <c r="T187" s="54">
        <f>'[1]New Pricelist'!AV70</f>
        <v>9754400</v>
      </c>
      <c r="U187" s="52">
        <f t="shared" si="15"/>
        <v>3414040</v>
      </c>
      <c r="V187" s="54">
        <f t="shared" si="22"/>
        <v>29263200</v>
      </c>
      <c r="W187" s="54">
        <f t="shared" si="23"/>
        <v>10242120</v>
      </c>
    </row>
    <row r="188" spans="1:23" ht="14.25" customHeight="1" x14ac:dyDescent="0.25">
      <c r="A188" s="49"/>
      <c r="B188" s="103" t="s">
        <v>146</v>
      </c>
      <c r="C188" s="2" t="s">
        <v>183</v>
      </c>
      <c r="E188" s="9" t="s">
        <v>3</v>
      </c>
      <c r="F188" s="73" t="s">
        <v>188</v>
      </c>
      <c r="G188" s="73"/>
      <c r="H188" s="73"/>
      <c r="I188" s="51"/>
      <c r="J188" s="104">
        <v>3</v>
      </c>
      <c r="K188" s="49" t="s">
        <v>155</v>
      </c>
      <c r="L188" s="52">
        <f t="shared" si="18"/>
        <v>4840300</v>
      </c>
      <c r="M188" s="52">
        <f t="shared" si="19"/>
        <v>1694100</v>
      </c>
      <c r="N188" s="52">
        <f t="shared" si="20"/>
        <v>14520900</v>
      </c>
      <c r="O188" s="52">
        <f t="shared" si="21"/>
        <v>5082300</v>
      </c>
      <c r="S188" s="53" t="s">
        <v>150</v>
      </c>
      <c r="T188" s="54">
        <f>'[1]New Pricelist'!BZ80</f>
        <v>3485000</v>
      </c>
      <c r="U188" s="52">
        <f t="shared" si="15"/>
        <v>1219750</v>
      </c>
      <c r="V188" s="54">
        <f t="shared" si="22"/>
        <v>10455000</v>
      </c>
      <c r="W188" s="54">
        <f t="shared" si="23"/>
        <v>3659250</v>
      </c>
    </row>
    <row r="189" spans="1:23" ht="15" customHeight="1" x14ac:dyDescent="0.25">
      <c r="A189" s="49"/>
      <c r="B189" s="103" t="s">
        <v>146</v>
      </c>
      <c r="C189" s="2" t="s">
        <v>183</v>
      </c>
      <c r="E189" s="9" t="s">
        <v>3</v>
      </c>
      <c r="F189" s="73" t="s">
        <v>189</v>
      </c>
      <c r="G189" s="73"/>
      <c r="H189" s="73"/>
      <c r="I189" s="51"/>
      <c r="J189" s="104">
        <v>3</v>
      </c>
      <c r="K189" s="49" t="s">
        <v>155</v>
      </c>
      <c r="L189" s="52">
        <f t="shared" si="18"/>
        <v>372500</v>
      </c>
      <c r="M189" s="52">
        <f t="shared" si="19"/>
        <v>130400</v>
      </c>
      <c r="N189" s="52">
        <f t="shared" si="20"/>
        <v>1117500</v>
      </c>
      <c r="O189" s="52">
        <f t="shared" si="21"/>
        <v>391200</v>
      </c>
      <c r="S189" s="53" t="s">
        <v>150</v>
      </c>
      <c r="T189" s="54">
        <f>'[1]New Pricelist'!AV27</f>
        <v>268200</v>
      </c>
      <c r="U189" s="52">
        <f t="shared" si="15"/>
        <v>93870</v>
      </c>
      <c r="V189" s="54">
        <f t="shared" si="22"/>
        <v>804600</v>
      </c>
      <c r="W189" s="54">
        <f t="shared" si="23"/>
        <v>281610</v>
      </c>
    </row>
    <row r="190" spans="1:23" ht="15" customHeight="1" x14ac:dyDescent="0.25">
      <c r="A190" s="49"/>
      <c r="B190" s="103" t="s">
        <v>146</v>
      </c>
      <c r="C190" s="2" t="s">
        <v>190</v>
      </c>
      <c r="E190" s="9" t="s">
        <v>3</v>
      </c>
      <c r="F190" s="73" t="s">
        <v>191</v>
      </c>
      <c r="G190" s="73"/>
      <c r="H190" s="73"/>
      <c r="I190" s="51"/>
      <c r="J190" s="104">
        <v>1</v>
      </c>
      <c r="K190" s="49" t="s">
        <v>155</v>
      </c>
      <c r="L190" s="52">
        <f t="shared" si="18"/>
        <v>372500</v>
      </c>
      <c r="M190" s="52">
        <f t="shared" si="19"/>
        <v>130400</v>
      </c>
      <c r="N190" s="52">
        <f t="shared" si="20"/>
        <v>372500</v>
      </c>
      <c r="O190" s="52">
        <f t="shared" si="21"/>
        <v>130400</v>
      </c>
      <c r="S190" s="53" t="s">
        <v>150</v>
      </c>
      <c r="T190" s="54">
        <f>'[1]New Pricelist'!AV24</f>
        <v>268200</v>
      </c>
      <c r="U190" s="52">
        <f t="shared" si="15"/>
        <v>93870</v>
      </c>
      <c r="V190" s="54">
        <f t="shared" si="22"/>
        <v>268200</v>
      </c>
      <c r="W190" s="54">
        <f t="shared" si="23"/>
        <v>93870</v>
      </c>
    </row>
    <row r="191" spans="1:23" ht="15" customHeight="1" x14ac:dyDescent="0.25">
      <c r="A191" s="49"/>
      <c r="B191" s="103" t="s">
        <v>146</v>
      </c>
      <c r="C191" s="2" t="s">
        <v>190</v>
      </c>
      <c r="E191" s="9" t="s">
        <v>3</v>
      </c>
      <c r="F191" s="73" t="s">
        <v>192</v>
      </c>
      <c r="G191" s="73"/>
      <c r="H191" s="73"/>
      <c r="I191" s="51"/>
      <c r="J191" s="104">
        <v>1</v>
      </c>
      <c r="K191" s="49" t="s">
        <v>155</v>
      </c>
      <c r="L191" s="52">
        <f t="shared" si="18"/>
        <v>50000</v>
      </c>
      <c r="M191" s="52">
        <f t="shared" si="19"/>
        <v>17500</v>
      </c>
      <c r="N191" s="52">
        <f t="shared" si="20"/>
        <v>50000</v>
      </c>
      <c r="O191" s="52">
        <f t="shared" si="21"/>
        <v>17500</v>
      </c>
      <c r="S191" s="53" t="s">
        <v>150</v>
      </c>
      <c r="T191" s="54">
        <f>'[1]New Pricelist'!AW5</f>
        <v>36000</v>
      </c>
      <c r="U191" s="52">
        <f t="shared" si="15"/>
        <v>12600</v>
      </c>
      <c r="V191" s="54">
        <f t="shared" si="22"/>
        <v>36000</v>
      </c>
      <c r="W191" s="54">
        <f t="shared" si="23"/>
        <v>12600</v>
      </c>
    </row>
    <row r="192" spans="1:23" ht="15" customHeight="1" x14ac:dyDescent="0.25">
      <c r="A192" s="49"/>
      <c r="B192" s="103" t="s">
        <v>146</v>
      </c>
      <c r="C192" s="2" t="s">
        <v>193</v>
      </c>
      <c r="E192" s="9" t="s">
        <v>3</v>
      </c>
      <c r="F192" s="73" t="s">
        <v>194</v>
      </c>
      <c r="G192" s="73"/>
      <c r="H192" s="73"/>
      <c r="I192" s="51"/>
      <c r="J192" s="104">
        <v>20</v>
      </c>
      <c r="K192" s="49" t="s">
        <v>155</v>
      </c>
      <c r="L192" s="52">
        <f t="shared" si="18"/>
        <v>45900</v>
      </c>
      <c r="M192" s="52">
        <f t="shared" si="19"/>
        <v>16100</v>
      </c>
      <c r="N192" s="52">
        <f t="shared" si="20"/>
        <v>918000</v>
      </c>
      <c r="O192" s="52">
        <f t="shared" si="21"/>
        <v>322000</v>
      </c>
      <c r="S192" s="53" t="s">
        <v>150</v>
      </c>
      <c r="T192" s="54">
        <f>'[1]New Pricelist'!DE117</f>
        <v>33000</v>
      </c>
      <c r="U192" s="52">
        <f t="shared" si="15"/>
        <v>11550</v>
      </c>
      <c r="V192" s="54">
        <f t="shared" si="22"/>
        <v>660000</v>
      </c>
      <c r="W192" s="54">
        <f t="shared" si="23"/>
        <v>231000</v>
      </c>
    </row>
    <row r="193" spans="1:23" ht="15" customHeight="1" x14ac:dyDescent="0.25">
      <c r="A193" s="49"/>
      <c r="B193" s="103" t="s">
        <v>146</v>
      </c>
      <c r="C193" s="2" t="s">
        <v>195</v>
      </c>
      <c r="E193" s="9" t="s">
        <v>3</v>
      </c>
      <c r="F193" s="73" t="s">
        <v>184</v>
      </c>
      <c r="G193" s="73"/>
      <c r="H193" s="73"/>
      <c r="I193" s="51"/>
      <c r="J193" s="104">
        <v>5</v>
      </c>
      <c r="K193" s="49" t="s">
        <v>155</v>
      </c>
      <c r="L193" s="52">
        <f t="shared" si="18"/>
        <v>11459100</v>
      </c>
      <c r="M193" s="52">
        <f t="shared" si="19"/>
        <v>4010700</v>
      </c>
      <c r="N193" s="52">
        <f t="shared" si="20"/>
        <v>57295500</v>
      </c>
      <c r="O193" s="52">
        <f t="shared" si="21"/>
        <v>20053500</v>
      </c>
      <c r="S193" s="53" t="s">
        <v>150</v>
      </c>
      <c r="T193" s="54">
        <f>'[1]New Pricelist'!AI82</f>
        <v>8250500</v>
      </c>
      <c r="U193" s="52">
        <f t="shared" si="15"/>
        <v>2887675</v>
      </c>
      <c r="V193" s="54">
        <f t="shared" si="22"/>
        <v>41252500</v>
      </c>
      <c r="W193" s="54">
        <f t="shared" si="23"/>
        <v>14438375</v>
      </c>
    </row>
    <row r="194" spans="1:23" ht="15" customHeight="1" x14ac:dyDescent="0.25">
      <c r="A194" s="49"/>
      <c r="B194" s="103" t="s">
        <v>146</v>
      </c>
      <c r="C194" s="2" t="s">
        <v>195</v>
      </c>
      <c r="E194" s="9" t="s">
        <v>3</v>
      </c>
      <c r="F194" s="73" t="s">
        <v>164</v>
      </c>
      <c r="G194" s="73"/>
      <c r="H194" s="73"/>
      <c r="I194" s="51"/>
      <c r="J194" s="104">
        <v>9</v>
      </c>
      <c r="K194" s="49" t="s">
        <v>155</v>
      </c>
      <c r="L194" s="52">
        <f t="shared" si="18"/>
        <v>1603200</v>
      </c>
      <c r="M194" s="52">
        <f t="shared" si="19"/>
        <v>561200</v>
      </c>
      <c r="N194" s="52">
        <f t="shared" si="20"/>
        <v>14428800</v>
      </c>
      <c r="O194" s="52">
        <f t="shared" si="21"/>
        <v>5050800</v>
      </c>
      <c r="S194" s="53" t="s">
        <v>150</v>
      </c>
      <c r="T194" s="54">
        <f>'[1]New Pricelist'!AI56</f>
        <v>1154300</v>
      </c>
      <c r="U194" s="52">
        <f t="shared" si="15"/>
        <v>404005</v>
      </c>
      <c r="V194" s="54">
        <f t="shared" si="22"/>
        <v>10388700</v>
      </c>
      <c r="W194" s="54">
        <f t="shared" si="23"/>
        <v>3636045</v>
      </c>
    </row>
    <row r="195" spans="1:23" ht="15" customHeight="1" x14ac:dyDescent="0.25">
      <c r="A195" s="49"/>
      <c r="B195" s="103" t="s">
        <v>146</v>
      </c>
      <c r="C195" s="2" t="s">
        <v>195</v>
      </c>
      <c r="E195" s="9" t="s">
        <v>3</v>
      </c>
      <c r="F195" s="73" t="s">
        <v>196</v>
      </c>
      <c r="G195" s="73"/>
      <c r="H195" s="73"/>
      <c r="I195" s="51"/>
      <c r="J195" s="104">
        <v>3</v>
      </c>
      <c r="K195" s="49" t="s">
        <v>155</v>
      </c>
      <c r="L195" s="52">
        <f t="shared" si="18"/>
        <v>1329400</v>
      </c>
      <c r="M195" s="52">
        <f t="shared" si="19"/>
        <v>465300</v>
      </c>
      <c r="N195" s="52">
        <f t="shared" si="20"/>
        <v>3988200</v>
      </c>
      <c r="O195" s="52">
        <f t="shared" si="21"/>
        <v>1395900</v>
      </c>
      <c r="S195" s="53" t="s">
        <v>150</v>
      </c>
      <c r="T195" s="54">
        <f>'[1]New Pricelist'!AI55</f>
        <v>957100</v>
      </c>
      <c r="U195" s="52">
        <f t="shared" si="15"/>
        <v>334985</v>
      </c>
      <c r="V195" s="54">
        <f t="shared" si="22"/>
        <v>2871300</v>
      </c>
      <c r="W195" s="54">
        <f t="shared" si="23"/>
        <v>1004955</v>
      </c>
    </row>
    <row r="196" spans="1:23" ht="15" customHeight="1" x14ac:dyDescent="0.25">
      <c r="A196" s="49"/>
      <c r="B196" s="103" t="s">
        <v>146</v>
      </c>
      <c r="C196" s="2" t="s">
        <v>197</v>
      </c>
      <c r="E196" s="9" t="s">
        <v>3</v>
      </c>
      <c r="F196" s="73" t="s">
        <v>198</v>
      </c>
      <c r="G196" s="73"/>
      <c r="H196" s="73"/>
      <c r="I196" s="51"/>
      <c r="J196" s="104">
        <v>1</v>
      </c>
      <c r="K196" s="49" t="s">
        <v>155</v>
      </c>
      <c r="L196" s="52">
        <f t="shared" si="18"/>
        <v>36200</v>
      </c>
      <c r="M196" s="52">
        <f t="shared" si="19"/>
        <v>12700</v>
      </c>
      <c r="N196" s="52">
        <f t="shared" si="20"/>
        <v>36200</v>
      </c>
      <c r="O196" s="52">
        <f t="shared" si="21"/>
        <v>12700</v>
      </c>
      <c r="S196" s="53" t="s">
        <v>150</v>
      </c>
      <c r="T196" s="54">
        <f>'[1]New Pricelist'!AJ9</f>
        <v>26000</v>
      </c>
      <c r="U196" s="52">
        <f t="shared" si="15"/>
        <v>9100</v>
      </c>
      <c r="V196" s="54">
        <f t="shared" si="22"/>
        <v>26000</v>
      </c>
      <c r="W196" s="54">
        <f t="shared" si="23"/>
        <v>9100</v>
      </c>
    </row>
    <row r="197" spans="1:23" ht="15" customHeight="1" x14ac:dyDescent="0.25">
      <c r="A197" s="49"/>
      <c r="B197" s="103" t="s">
        <v>146</v>
      </c>
      <c r="C197" s="2" t="s">
        <v>199</v>
      </c>
      <c r="E197" s="9" t="s">
        <v>3</v>
      </c>
      <c r="F197" s="73" t="s">
        <v>177</v>
      </c>
      <c r="G197" s="73"/>
      <c r="H197" s="73"/>
      <c r="I197" s="51"/>
      <c r="J197" s="104">
        <v>4</v>
      </c>
      <c r="K197" s="49" t="s">
        <v>155</v>
      </c>
      <c r="L197" s="52">
        <f t="shared" si="18"/>
        <v>9909800</v>
      </c>
      <c r="M197" s="52">
        <f t="shared" si="19"/>
        <v>3468500</v>
      </c>
      <c r="N197" s="52">
        <f t="shared" si="20"/>
        <v>39639200</v>
      </c>
      <c r="O197" s="52">
        <f t="shared" si="21"/>
        <v>13874000</v>
      </c>
      <c r="S197" s="53" t="s">
        <v>150</v>
      </c>
      <c r="T197" s="54">
        <f>'[1]New Pricelist'!G85</f>
        <v>7135000</v>
      </c>
      <c r="U197" s="52">
        <f t="shared" si="15"/>
        <v>2497250</v>
      </c>
      <c r="V197" s="54">
        <f t="shared" si="22"/>
        <v>28540000</v>
      </c>
      <c r="W197" s="54">
        <f t="shared" si="23"/>
        <v>9989000</v>
      </c>
    </row>
    <row r="198" spans="1:23" ht="16.2" customHeight="1" x14ac:dyDescent="0.25">
      <c r="A198" s="49"/>
      <c r="B198" s="103" t="s">
        <v>146</v>
      </c>
      <c r="C198" s="2" t="s">
        <v>199</v>
      </c>
      <c r="E198" s="9" t="s">
        <v>3</v>
      </c>
      <c r="F198" s="73" t="s">
        <v>178</v>
      </c>
      <c r="G198" s="73"/>
      <c r="H198" s="73"/>
      <c r="I198" s="51"/>
      <c r="J198" s="104">
        <v>4</v>
      </c>
      <c r="K198" s="49" t="s">
        <v>155</v>
      </c>
      <c r="L198" s="52">
        <f t="shared" si="18"/>
        <v>5394500</v>
      </c>
      <c r="M198" s="52">
        <f t="shared" si="19"/>
        <v>1888100</v>
      </c>
      <c r="N198" s="52">
        <f t="shared" si="20"/>
        <v>21578000</v>
      </c>
      <c r="O198" s="52">
        <f t="shared" si="21"/>
        <v>7552400</v>
      </c>
      <c r="S198" s="53" t="s">
        <v>150</v>
      </c>
      <c r="T198" s="54">
        <f>'[1]New Pricelist'!I85</f>
        <v>3884000</v>
      </c>
      <c r="U198" s="52">
        <f t="shared" si="15"/>
        <v>1359400</v>
      </c>
      <c r="V198" s="54">
        <f t="shared" si="22"/>
        <v>15536000</v>
      </c>
      <c r="W198" s="54">
        <f t="shared" si="23"/>
        <v>5437600</v>
      </c>
    </row>
    <row r="199" spans="1:23" ht="15" customHeight="1" x14ac:dyDescent="0.25">
      <c r="A199" s="49"/>
      <c r="B199" s="103" t="s">
        <v>146</v>
      </c>
      <c r="C199" s="2" t="s">
        <v>199</v>
      </c>
      <c r="E199" s="9" t="s">
        <v>3</v>
      </c>
      <c r="F199" s="73" t="s">
        <v>106</v>
      </c>
      <c r="G199" s="73"/>
      <c r="H199" s="73"/>
      <c r="I199" s="51"/>
      <c r="J199" s="104">
        <v>4</v>
      </c>
      <c r="K199" s="49" t="s">
        <v>155</v>
      </c>
      <c r="L199" s="52">
        <f t="shared" si="18"/>
        <v>5016700</v>
      </c>
      <c r="M199" s="52">
        <f t="shared" si="19"/>
        <v>1755900</v>
      </c>
      <c r="N199" s="52">
        <f t="shared" si="20"/>
        <v>20066800</v>
      </c>
      <c r="O199" s="52">
        <f t="shared" si="21"/>
        <v>7023600</v>
      </c>
      <c r="S199" s="53" t="s">
        <v>150</v>
      </c>
      <c r="T199" s="54">
        <f>'[1]New Pricelist'!K85</f>
        <v>3612000</v>
      </c>
      <c r="U199" s="52">
        <f t="shared" si="15"/>
        <v>1264200</v>
      </c>
      <c r="V199" s="54">
        <f t="shared" si="22"/>
        <v>14448000</v>
      </c>
      <c r="W199" s="54">
        <f t="shared" si="23"/>
        <v>5056800</v>
      </c>
    </row>
    <row r="200" spans="1:23" ht="15" customHeight="1" x14ac:dyDescent="0.25">
      <c r="A200" s="49"/>
      <c r="B200" s="103" t="s">
        <v>146</v>
      </c>
      <c r="C200" s="2" t="s">
        <v>199</v>
      </c>
      <c r="E200" s="9" t="s">
        <v>3</v>
      </c>
      <c r="F200" s="73" t="s">
        <v>108</v>
      </c>
      <c r="G200" s="73"/>
      <c r="H200" s="73"/>
      <c r="I200" s="51"/>
      <c r="J200" s="104">
        <v>23</v>
      </c>
      <c r="K200" s="49" t="s">
        <v>155</v>
      </c>
      <c r="L200" s="52">
        <f t="shared" si="18"/>
        <v>2913900</v>
      </c>
      <c r="M200" s="52">
        <f t="shared" si="19"/>
        <v>1019900</v>
      </c>
      <c r="N200" s="52">
        <f t="shared" si="20"/>
        <v>67019700</v>
      </c>
      <c r="O200" s="52">
        <f t="shared" si="21"/>
        <v>23457700</v>
      </c>
      <c r="S200" s="53" t="s">
        <v>150</v>
      </c>
      <c r="T200" s="54">
        <f>'[1]New Pricelist'!L86</f>
        <v>2098000</v>
      </c>
      <c r="U200" s="52">
        <f t="shared" si="15"/>
        <v>734300</v>
      </c>
      <c r="V200" s="54">
        <f t="shared" si="22"/>
        <v>48254000</v>
      </c>
      <c r="W200" s="54">
        <f t="shared" si="23"/>
        <v>16888900</v>
      </c>
    </row>
    <row r="201" spans="1:23" ht="15" customHeight="1" x14ac:dyDescent="0.25">
      <c r="A201" s="49" t="s">
        <v>200</v>
      </c>
      <c r="B201" s="103" t="s">
        <v>146</v>
      </c>
      <c r="C201" s="2" t="s">
        <v>199</v>
      </c>
      <c r="E201" s="9" t="s">
        <v>3</v>
      </c>
      <c r="F201" s="73" t="s">
        <v>121</v>
      </c>
      <c r="G201" s="73"/>
      <c r="H201" s="73"/>
      <c r="I201" s="51"/>
      <c r="J201" s="104">
        <v>12</v>
      </c>
      <c r="K201" s="49" t="s">
        <v>155</v>
      </c>
      <c r="L201" s="52">
        <f t="shared" si="18"/>
        <v>2404200</v>
      </c>
      <c r="M201" s="52">
        <f t="shared" si="19"/>
        <v>841500</v>
      </c>
      <c r="N201" s="52">
        <f t="shared" si="20"/>
        <v>28850400</v>
      </c>
      <c r="O201" s="52">
        <f t="shared" si="21"/>
        <v>10098000</v>
      </c>
      <c r="S201" s="53" t="s">
        <v>150</v>
      </c>
      <c r="T201" s="54">
        <f>'[1]New Pricelist'!M85</f>
        <v>1731000</v>
      </c>
      <c r="U201" s="52">
        <f t="shared" si="15"/>
        <v>605850</v>
      </c>
      <c r="V201" s="54">
        <f t="shared" si="22"/>
        <v>20772000</v>
      </c>
      <c r="W201" s="54">
        <f t="shared" si="23"/>
        <v>7270200</v>
      </c>
    </row>
    <row r="202" spans="1:23" ht="15" customHeight="1" x14ac:dyDescent="0.25">
      <c r="A202" s="49"/>
      <c r="B202" s="103" t="s">
        <v>146</v>
      </c>
      <c r="C202" s="2" t="s">
        <v>201</v>
      </c>
      <c r="E202" s="9" t="s">
        <v>3</v>
      </c>
      <c r="F202" s="73" t="s">
        <v>173</v>
      </c>
      <c r="G202" s="73"/>
      <c r="H202" s="73"/>
      <c r="I202" s="51"/>
      <c r="J202" s="104">
        <v>3</v>
      </c>
      <c r="K202" s="49" t="s">
        <v>155</v>
      </c>
      <c r="L202" s="52">
        <f t="shared" si="18"/>
        <v>20900</v>
      </c>
      <c r="M202" s="52">
        <f t="shared" si="19"/>
        <v>7300</v>
      </c>
      <c r="N202" s="52">
        <f t="shared" si="20"/>
        <v>62700</v>
      </c>
      <c r="O202" s="52">
        <f t="shared" si="21"/>
        <v>21900</v>
      </c>
      <c r="S202" s="53" t="s">
        <v>150</v>
      </c>
      <c r="T202" s="54">
        <f>'[1]New Pricelist'!W85</f>
        <v>15000</v>
      </c>
      <c r="U202" s="52">
        <f t="shared" si="15"/>
        <v>5250</v>
      </c>
      <c r="V202" s="54">
        <f t="shared" si="22"/>
        <v>45000</v>
      </c>
      <c r="W202" s="54">
        <f t="shared" si="23"/>
        <v>15750</v>
      </c>
    </row>
    <row r="203" spans="1:23" ht="15" customHeight="1" x14ac:dyDescent="0.25">
      <c r="A203" s="49"/>
      <c r="B203" s="103" t="s">
        <v>146</v>
      </c>
      <c r="C203" s="2" t="s">
        <v>202</v>
      </c>
      <c r="E203" s="9" t="s">
        <v>3</v>
      </c>
      <c r="F203" s="73" t="s">
        <v>152</v>
      </c>
      <c r="G203" s="73"/>
      <c r="H203" s="73"/>
      <c r="I203" s="51"/>
      <c r="J203" s="104">
        <v>20</v>
      </c>
      <c r="K203" s="49" t="s">
        <v>155</v>
      </c>
      <c r="L203" s="52">
        <f t="shared" si="18"/>
        <v>32000</v>
      </c>
      <c r="M203" s="52">
        <f t="shared" si="19"/>
        <v>11200</v>
      </c>
      <c r="N203" s="52">
        <f t="shared" si="20"/>
        <v>640000</v>
      </c>
      <c r="O203" s="52">
        <f t="shared" si="21"/>
        <v>224000</v>
      </c>
      <c r="S203" s="53" t="s">
        <v>150</v>
      </c>
      <c r="T203" s="54">
        <f>'[1]New Pricelist'!DP71</f>
        <v>23000</v>
      </c>
      <c r="U203" s="52">
        <f t="shared" si="15"/>
        <v>8049.9999999999991</v>
      </c>
      <c r="V203" s="54">
        <f t="shared" si="22"/>
        <v>460000</v>
      </c>
      <c r="W203" s="54">
        <f t="shared" si="23"/>
        <v>160999.99999999997</v>
      </c>
    </row>
    <row r="204" spans="1:23" ht="15" customHeight="1" x14ac:dyDescent="0.25">
      <c r="A204" s="49"/>
      <c r="B204" s="103" t="s">
        <v>146</v>
      </c>
      <c r="C204" s="2" t="s">
        <v>203</v>
      </c>
      <c r="E204" s="9" t="s">
        <v>3</v>
      </c>
      <c r="F204" s="73" t="s">
        <v>177</v>
      </c>
      <c r="G204" s="73"/>
      <c r="H204" s="73"/>
      <c r="I204" s="51"/>
      <c r="J204" s="104">
        <v>7</v>
      </c>
      <c r="K204" s="49" t="s">
        <v>155</v>
      </c>
      <c r="L204" s="52">
        <f t="shared" si="18"/>
        <v>2077800</v>
      </c>
      <c r="M204" s="52">
        <f t="shared" si="19"/>
        <v>727300</v>
      </c>
      <c r="N204" s="52">
        <f t="shared" si="20"/>
        <v>14544600</v>
      </c>
      <c r="O204" s="52">
        <f t="shared" si="21"/>
        <v>5091100</v>
      </c>
      <c r="S204" s="53" t="s">
        <v>150</v>
      </c>
      <c r="T204" s="54">
        <f>'[1]New Pricelist'!G94</f>
        <v>1496000</v>
      </c>
      <c r="U204" s="52">
        <f t="shared" ref="U204:U268" si="24">T204*35%</f>
        <v>523599.99999999994</v>
      </c>
      <c r="V204" s="54">
        <f t="shared" si="22"/>
        <v>10472000</v>
      </c>
      <c r="W204" s="54">
        <f t="shared" si="23"/>
        <v>3665199.9999999995</v>
      </c>
    </row>
    <row r="205" spans="1:23" ht="15" customHeight="1" x14ac:dyDescent="0.25">
      <c r="A205" s="49"/>
      <c r="B205" s="103" t="s">
        <v>146</v>
      </c>
      <c r="C205" s="2" t="s">
        <v>203</v>
      </c>
      <c r="E205" s="9" t="s">
        <v>3</v>
      </c>
      <c r="F205" s="73" t="s">
        <v>178</v>
      </c>
      <c r="G205" s="73"/>
      <c r="H205" s="73"/>
      <c r="I205" s="51"/>
      <c r="J205" s="104">
        <v>2</v>
      </c>
      <c r="K205" s="49" t="s">
        <v>155</v>
      </c>
      <c r="L205" s="52">
        <f t="shared" si="18"/>
        <v>1402800</v>
      </c>
      <c r="M205" s="52">
        <f t="shared" si="19"/>
        <v>491000</v>
      </c>
      <c r="N205" s="52">
        <f t="shared" si="20"/>
        <v>2805600</v>
      </c>
      <c r="O205" s="52">
        <f t="shared" si="21"/>
        <v>982000</v>
      </c>
      <c r="S205" s="53" t="s">
        <v>150</v>
      </c>
      <c r="T205" s="54">
        <f>'[1]New Pricelist'!I94</f>
        <v>1010000</v>
      </c>
      <c r="U205" s="52">
        <f t="shared" si="24"/>
        <v>353500</v>
      </c>
      <c r="V205" s="54">
        <f t="shared" si="22"/>
        <v>2020000</v>
      </c>
      <c r="W205" s="54">
        <f t="shared" si="23"/>
        <v>707000</v>
      </c>
    </row>
    <row r="206" spans="1:23" ht="15" customHeight="1" x14ac:dyDescent="0.25">
      <c r="A206" s="49"/>
      <c r="B206" s="103" t="s">
        <v>146</v>
      </c>
      <c r="C206" s="2" t="s">
        <v>203</v>
      </c>
      <c r="E206" s="9" t="s">
        <v>3</v>
      </c>
      <c r="F206" s="73" t="s">
        <v>106</v>
      </c>
      <c r="G206" s="73"/>
      <c r="H206" s="73"/>
      <c r="I206" s="51"/>
      <c r="J206" s="104">
        <v>6</v>
      </c>
      <c r="K206" s="49" t="s">
        <v>155</v>
      </c>
      <c r="L206" s="52">
        <f t="shared" si="18"/>
        <v>805600</v>
      </c>
      <c r="M206" s="52">
        <f t="shared" si="19"/>
        <v>282000</v>
      </c>
      <c r="N206" s="52">
        <f t="shared" si="20"/>
        <v>4833600</v>
      </c>
      <c r="O206" s="52">
        <f t="shared" si="21"/>
        <v>1692000</v>
      </c>
      <c r="S206" s="53" t="s">
        <v>150</v>
      </c>
      <c r="T206" s="54">
        <f>'[1]New Pricelist'!K94</f>
        <v>580000</v>
      </c>
      <c r="U206" s="52">
        <f t="shared" si="24"/>
        <v>203000</v>
      </c>
      <c r="V206" s="54">
        <f t="shared" si="22"/>
        <v>3480000</v>
      </c>
      <c r="W206" s="54">
        <f t="shared" si="23"/>
        <v>1218000</v>
      </c>
    </row>
    <row r="207" spans="1:23" ht="15" customHeight="1" x14ac:dyDescent="0.25">
      <c r="A207" s="49"/>
      <c r="B207" s="103" t="s">
        <v>146</v>
      </c>
      <c r="C207" s="2" t="s">
        <v>203</v>
      </c>
      <c r="E207" s="9" t="s">
        <v>3</v>
      </c>
      <c r="F207" s="73" t="s">
        <v>108</v>
      </c>
      <c r="G207" s="73"/>
      <c r="H207" s="73"/>
      <c r="I207" s="51"/>
      <c r="J207" s="104">
        <f>(12*3)</f>
        <v>36</v>
      </c>
      <c r="K207" s="49" t="s">
        <v>155</v>
      </c>
      <c r="L207" s="52">
        <f t="shared" si="18"/>
        <v>779200</v>
      </c>
      <c r="M207" s="52">
        <f t="shared" si="19"/>
        <v>272800</v>
      </c>
      <c r="N207" s="52">
        <f t="shared" si="20"/>
        <v>28051200</v>
      </c>
      <c r="O207" s="52">
        <f t="shared" si="21"/>
        <v>9820800</v>
      </c>
      <c r="S207" s="53" t="s">
        <v>150</v>
      </c>
      <c r="T207" s="54">
        <f>'[1]New Pricelist'!L94</f>
        <v>561000</v>
      </c>
      <c r="U207" s="52">
        <f t="shared" si="24"/>
        <v>196350</v>
      </c>
      <c r="V207" s="54">
        <f t="shared" si="22"/>
        <v>20196000</v>
      </c>
      <c r="W207" s="54">
        <f t="shared" si="23"/>
        <v>7068600</v>
      </c>
    </row>
    <row r="208" spans="1:23" ht="15" customHeight="1" x14ac:dyDescent="0.25">
      <c r="A208" s="49"/>
      <c r="B208" s="103" t="s">
        <v>146</v>
      </c>
      <c r="C208" s="2" t="s">
        <v>204</v>
      </c>
      <c r="E208" s="9" t="s">
        <v>3</v>
      </c>
      <c r="F208" s="73" t="s">
        <v>108</v>
      </c>
      <c r="G208" s="73"/>
      <c r="H208" s="73"/>
      <c r="I208" s="51"/>
      <c r="J208" s="104">
        <f>(8*3)</f>
        <v>24</v>
      </c>
      <c r="K208" s="49" t="s">
        <v>155</v>
      </c>
      <c r="L208" s="52">
        <f t="shared" si="18"/>
        <v>1168800</v>
      </c>
      <c r="M208" s="52">
        <f t="shared" si="19"/>
        <v>409100</v>
      </c>
      <c r="N208" s="52">
        <f t="shared" si="20"/>
        <v>28051200</v>
      </c>
      <c r="O208" s="52">
        <f t="shared" si="21"/>
        <v>9818400</v>
      </c>
      <c r="S208" s="53" t="s">
        <v>150</v>
      </c>
      <c r="T208" s="54">
        <f>T207*1.5</f>
        <v>841500</v>
      </c>
      <c r="U208" s="52">
        <f t="shared" si="24"/>
        <v>294525</v>
      </c>
      <c r="V208" s="54">
        <f t="shared" si="22"/>
        <v>20196000</v>
      </c>
      <c r="W208" s="54">
        <f t="shared" si="23"/>
        <v>7068600</v>
      </c>
    </row>
    <row r="209" spans="1:23" ht="15" customHeight="1" x14ac:dyDescent="0.25">
      <c r="A209" s="49"/>
      <c r="B209" s="103" t="s">
        <v>146</v>
      </c>
      <c r="C209" s="2" t="s">
        <v>203</v>
      </c>
      <c r="E209" s="9" t="s">
        <v>3</v>
      </c>
      <c r="F209" s="73" t="s">
        <v>121</v>
      </c>
      <c r="G209" s="73"/>
      <c r="H209" s="73"/>
      <c r="I209" s="51"/>
      <c r="J209" s="104">
        <v>12</v>
      </c>
      <c r="K209" s="49" t="s">
        <v>155</v>
      </c>
      <c r="L209" s="52">
        <f t="shared" si="18"/>
        <v>516700</v>
      </c>
      <c r="M209" s="52">
        <f t="shared" si="19"/>
        <v>180900</v>
      </c>
      <c r="N209" s="52">
        <f t="shared" si="20"/>
        <v>6200400</v>
      </c>
      <c r="O209" s="52">
        <f t="shared" si="21"/>
        <v>2170800</v>
      </c>
      <c r="S209" s="53" t="s">
        <v>150</v>
      </c>
      <c r="T209" s="54">
        <f>'[1]New Pricelist'!M94</f>
        <v>372000</v>
      </c>
      <c r="U209" s="52">
        <f t="shared" si="24"/>
        <v>130199.99999999999</v>
      </c>
      <c r="V209" s="54">
        <f t="shared" si="22"/>
        <v>4464000</v>
      </c>
      <c r="W209" s="54">
        <f t="shared" si="23"/>
        <v>1562399.9999999998</v>
      </c>
    </row>
    <row r="210" spans="1:23" ht="15" customHeight="1" x14ac:dyDescent="0.25">
      <c r="A210" s="49"/>
      <c r="B210" s="103" t="s">
        <v>146</v>
      </c>
      <c r="C210" s="2" t="s">
        <v>203</v>
      </c>
      <c r="E210" s="9" t="s">
        <v>3</v>
      </c>
      <c r="F210" s="73" t="s">
        <v>205</v>
      </c>
      <c r="G210" s="73"/>
      <c r="H210" s="73"/>
      <c r="I210" s="51"/>
      <c r="J210" s="104">
        <v>1</v>
      </c>
      <c r="K210" s="49" t="s">
        <v>155</v>
      </c>
      <c r="L210" s="52">
        <f t="shared" si="18"/>
        <v>162500</v>
      </c>
      <c r="M210" s="52">
        <f t="shared" si="19"/>
        <v>56900</v>
      </c>
      <c r="N210" s="52">
        <f t="shared" si="20"/>
        <v>162500</v>
      </c>
      <c r="O210" s="52">
        <f t="shared" si="21"/>
        <v>56900</v>
      </c>
      <c r="S210" s="53" t="s">
        <v>150</v>
      </c>
      <c r="T210" s="54">
        <f>'[1]New Pricelist'!R94</f>
        <v>117000</v>
      </c>
      <c r="U210" s="52">
        <f t="shared" si="24"/>
        <v>40950</v>
      </c>
      <c r="V210" s="54">
        <f t="shared" si="22"/>
        <v>117000</v>
      </c>
      <c r="W210" s="54">
        <f t="shared" si="23"/>
        <v>40950</v>
      </c>
    </row>
    <row r="211" spans="1:23" ht="15" customHeight="1" x14ac:dyDescent="0.25">
      <c r="A211" s="49"/>
      <c r="B211" s="103" t="s">
        <v>146</v>
      </c>
      <c r="C211" s="2" t="s">
        <v>203</v>
      </c>
      <c r="E211" s="9" t="s">
        <v>3</v>
      </c>
      <c r="F211" s="73" t="s">
        <v>152</v>
      </c>
      <c r="G211" s="73"/>
      <c r="H211" s="73"/>
      <c r="I211" s="51"/>
      <c r="J211" s="104">
        <v>14</v>
      </c>
      <c r="K211" s="49" t="s">
        <v>155</v>
      </c>
      <c r="L211" s="52">
        <f t="shared" si="18"/>
        <v>130600</v>
      </c>
      <c r="M211" s="52">
        <f t="shared" si="19"/>
        <v>45700</v>
      </c>
      <c r="N211" s="52">
        <f t="shared" si="20"/>
        <v>1828400</v>
      </c>
      <c r="O211" s="52">
        <f t="shared" si="21"/>
        <v>639800</v>
      </c>
      <c r="S211" s="53" t="s">
        <v>150</v>
      </c>
      <c r="T211" s="54">
        <f>'[1]New Pricelist'!S94</f>
        <v>94000</v>
      </c>
      <c r="U211" s="52">
        <f t="shared" si="24"/>
        <v>32900</v>
      </c>
      <c r="V211" s="54">
        <f t="shared" si="22"/>
        <v>1316000</v>
      </c>
      <c r="W211" s="54">
        <f t="shared" si="23"/>
        <v>460600</v>
      </c>
    </row>
    <row r="212" spans="1:23" ht="15" customHeight="1" x14ac:dyDescent="0.25">
      <c r="A212" s="49"/>
      <c r="B212" s="103" t="s">
        <v>146</v>
      </c>
      <c r="C212" s="2" t="s">
        <v>206</v>
      </c>
      <c r="E212" s="9" t="s">
        <v>3</v>
      </c>
      <c r="F212" s="73" t="s">
        <v>177</v>
      </c>
      <c r="G212" s="73"/>
      <c r="H212" s="73"/>
      <c r="I212" s="51"/>
      <c r="J212" s="104">
        <v>7</v>
      </c>
      <c r="K212" s="49" t="s">
        <v>155</v>
      </c>
      <c r="L212" s="52">
        <f t="shared" si="18"/>
        <v>5666700</v>
      </c>
      <c r="M212" s="52">
        <f t="shared" si="19"/>
        <v>1983400</v>
      </c>
      <c r="N212" s="52">
        <f t="shared" si="20"/>
        <v>39666900</v>
      </c>
      <c r="O212" s="52">
        <f t="shared" si="21"/>
        <v>13883800</v>
      </c>
      <c r="S212" s="53" t="s">
        <v>150</v>
      </c>
      <c r="T212" s="54">
        <f>'[1]New Pricelist'!G102</f>
        <v>4080000</v>
      </c>
      <c r="U212" s="52">
        <f t="shared" si="24"/>
        <v>1428000</v>
      </c>
      <c r="V212" s="54">
        <f t="shared" si="22"/>
        <v>28560000</v>
      </c>
      <c r="W212" s="54">
        <f t="shared" si="23"/>
        <v>9996000</v>
      </c>
    </row>
    <row r="213" spans="1:23" ht="15" customHeight="1" x14ac:dyDescent="0.25">
      <c r="A213" s="49"/>
      <c r="B213" s="103" t="s">
        <v>146</v>
      </c>
      <c r="C213" s="2" t="s">
        <v>206</v>
      </c>
      <c r="E213" s="9" t="s">
        <v>3</v>
      </c>
      <c r="F213" s="73" t="s">
        <v>178</v>
      </c>
      <c r="G213" s="73"/>
      <c r="H213" s="73"/>
      <c r="I213" s="51"/>
      <c r="J213" s="104">
        <v>2</v>
      </c>
      <c r="K213" s="49" t="s">
        <v>155</v>
      </c>
      <c r="L213" s="52">
        <f t="shared" si="18"/>
        <v>3187500</v>
      </c>
      <c r="M213" s="52">
        <f t="shared" si="19"/>
        <v>1115700</v>
      </c>
      <c r="N213" s="52">
        <f t="shared" si="20"/>
        <v>6375000</v>
      </c>
      <c r="O213" s="52">
        <f t="shared" si="21"/>
        <v>2231400</v>
      </c>
      <c r="S213" s="53" t="s">
        <v>150</v>
      </c>
      <c r="T213" s="54">
        <f>'[1]New Pricelist'!I102</f>
        <v>2295000</v>
      </c>
      <c r="U213" s="52">
        <f t="shared" si="24"/>
        <v>803250</v>
      </c>
      <c r="V213" s="54">
        <f t="shared" si="22"/>
        <v>4590000</v>
      </c>
      <c r="W213" s="54">
        <f t="shared" si="23"/>
        <v>1606500</v>
      </c>
    </row>
    <row r="214" spans="1:23" ht="15" customHeight="1" x14ac:dyDescent="0.25">
      <c r="A214" s="49"/>
      <c r="B214" s="103" t="s">
        <v>146</v>
      </c>
      <c r="C214" s="2" t="s">
        <v>207</v>
      </c>
      <c r="E214" s="9" t="s">
        <v>3</v>
      </c>
      <c r="F214" s="73" t="s">
        <v>152</v>
      </c>
      <c r="G214" s="73"/>
      <c r="H214" s="73"/>
      <c r="I214" s="51"/>
      <c r="J214" s="104">
        <v>24</v>
      </c>
      <c r="K214" s="49" t="s">
        <v>155</v>
      </c>
      <c r="L214" s="52">
        <f t="shared" si="18"/>
        <v>44500</v>
      </c>
      <c r="M214" s="52">
        <f t="shared" si="19"/>
        <v>15600</v>
      </c>
      <c r="N214" s="52">
        <f>L214*J214</f>
        <v>1068000</v>
      </c>
      <c r="O214" s="52">
        <f>M214*J214</f>
        <v>374400</v>
      </c>
      <c r="S214" s="53" t="s">
        <v>150</v>
      </c>
      <c r="T214" s="54">
        <f>'[1]New Pricelist'!AJ155</f>
        <v>32000</v>
      </c>
      <c r="U214" s="52">
        <f t="shared" si="24"/>
        <v>11200</v>
      </c>
      <c r="V214" s="54">
        <f>T214*J214</f>
        <v>768000</v>
      </c>
      <c r="W214" s="54">
        <f>U214*J214</f>
        <v>268800</v>
      </c>
    </row>
    <row r="215" spans="1:23" ht="15" customHeight="1" x14ac:dyDescent="0.25">
      <c r="A215" s="49"/>
      <c r="B215" s="103" t="s">
        <v>146</v>
      </c>
      <c r="C215" s="2" t="s">
        <v>208</v>
      </c>
      <c r="E215" s="9" t="s">
        <v>3</v>
      </c>
      <c r="F215" s="73" t="s">
        <v>173</v>
      </c>
      <c r="G215" s="73"/>
      <c r="H215" s="73"/>
      <c r="I215" s="51"/>
      <c r="J215" s="104">
        <v>2</v>
      </c>
      <c r="K215" s="49" t="s">
        <v>155</v>
      </c>
      <c r="L215" s="52">
        <f t="shared" si="18"/>
        <v>67100</v>
      </c>
      <c r="M215" s="52">
        <f t="shared" si="19"/>
        <v>23500</v>
      </c>
      <c r="N215" s="52">
        <f t="shared" si="20"/>
        <v>134200</v>
      </c>
      <c r="O215" s="52">
        <f t="shared" si="21"/>
        <v>47000</v>
      </c>
      <c r="S215" s="53" t="s">
        <v>150</v>
      </c>
      <c r="T215" s="54">
        <f>'[1]New Pricelist'!AX130</f>
        <v>48260</v>
      </c>
      <c r="U215" s="52">
        <f t="shared" si="24"/>
        <v>16891</v>
      </c>
      <c r="V215" s="54">
        <f t="shared" si="22"/>
        <v>96520</v>
      </c>
      <c r="W215" s="54">
        <f t="shared" si="23"/>
        <v>33782</v>
      </c>
    </row>
    <row r="216" spans="1:23" ht="15" customHeight="1" x14ac:dyDescent="0.25">
      <c r="A216" s="49"/>
      <c r="B216" s="103" t="s">
        <v>146</v>
      </c>
      <c r="C216" s="2" t="s">
        <v>208</v>
      </c>
      <c r="E216" s="9" t="s">
        <v>3</v>
      </c>
      <c r="F216" s="73" t="s">
        <v>158</v>
      </c>
      <c r="G216" s="73"/>
      <c r="H216" s="73"/>
      <c r="I216" s="51"/>
      <c r="J216" s="104">
        <v>35</v>
      </c>
      <c r="K216" s="49" t="s">
        <v>155</v>
      </c>
      <c r="L216" s="52">
        <f t="shared" si="18"/>
        <v>49500</v>
      </c>
      <c r="M216" s="52">
        <f t="shared" si="19"/>
        <v>17400</v>
      </c>
      <c r="N216" s="52">
        <f>L216*J216</f>
        <v>1732500</v>
      </c>
      <c r="O216" s="52">
        <f>M216*J216</f>
        <v>609000</v>
      </c>
      <c r="S216" s="53" t="s">
        <v>150</v>
      </c>
      <c r="T216" s="54">
        <f>'[1]New Pricelist'!AX129</f>
        <v>35640</v>
      </c>
      <c r="U216" s="52">
        <f t="shared" si="24"/>
        <v>12474</v>
      </c>
      <c r="V216" s="54">
        <f>T216*J216</f>
        <v>1247400</v>
      </c>
      <c r="W216" s="54">
        <f>U216*J216</f>
        <v>436590</v>
      </c>
    </row>
    <row r="217" spans="1:23" ht="15" customHeight="1" x14ac:dyDescent="0.25">
      <c r="A217" s="49"/>
      <c r="B217" s="103" t="s">
        <v>146</v>
      </c>
      <c r="C217" s="2" t="s">
        <v>174</v>
      </c>
      <c r="E217" s="9" t="s">
        <v>3</v>
      </c>
      <c r="F217" s="73" t="s">
        <v>158</v>
      </c>
      <c r="G217" s="73"/>
      <c r="H217" s="73"/>
      <c r="I217" s="51"/>
      <c r="J217" s="104">
        <v>25</v>
      </c>
      <c r="K217" s="49" t="s">
        <v>155</v>
      </c>
      <c r="L217" s="52">
        <f t="shared" si="18"/>
        <v>29500</v>
      </c>
      <c r="M217" s="52">
        <f t="shared" si="19"/>
        <v>10300</v>
      </c>
      <c r="N217" s="52">
        <f t="shared" ref="N217" si="25">L217*J217</f>
        <v>737500</v>
      </c>
      <c r="O217" s="52">
        <f t="shared" ref="O217" si="26">M217*J217</f>
        <v>257500</v>
      </c>
      <c r="S217" s="53" t="s">
        <v>150</v>
      </c>
      <c r="T217" s="54">
        <f>T170</f>
        <v>21180</v>
      </c>
      <c r="U217" s="52">
        <f t="shared" si="24"/>
        <v>7412.9999999999991</v>
      </c>
      <c r="V217" s="54">
        <f t="shared" ref="V217" si="27">T217*J217</f>
        <v>529500</v>
      </c>
      <c r="W217" s="54">
        <f t="shared" ref="W217" si="28">U217*J217</f>
        <v>185324.99999999997</v>
      </c>
    </row>
    <row r="218" spans="1:23" ht="15" customHeight="1" x14ac:dyDescent="0.25">
      <c r="A218" s="49"/>
      <c r="B218" s="103"/>
      <c r="F218" s="73"/>
      <c r="G218" s="73"/>
      <c r="H218" s="73"/>
      <c r="I218" s="51"/>
      <c r="J218" s="104"/>
      <c r="K218" s="49"/>
      <c r="L218" s="52"/>
      <c r="M218" s="52"/>
      <c r="N218" s="52"/>
      <c r="O218" s="52"/>
      <c r="S218" s="53"/>
      <c r="T218" s="54"/>
      <c r="U218" s="52"/>
      <c r="V218" s="54"/>
      <c r="W218" s="54"/>
    </row>
    <row r="219" spans="1:23" x14ac:dyDescent="0.25">
      <c r="A219" s="49">
        <v>2</v>
      </c>
      <c r="B219" s="117" t="s">
        <v>209</v>
      </c>
      <c r="C219" s="118"/>
      <c r="D219" s="118"/>
      <c r="E219" s="118"/>
      <c r="F219" s="118"/>
      <c r="G219" s="118"/>
      <c r="H219" s="118"/>
      <c r="I219" s="51"/>
      <c r="J219" s="49"/>
      <c r="K219" s="49"/>
      <c r="L219" s="52"/>
      <c r="M219" s="52"/>
      <c r="N219" s="52"/>
      <c r="O219" s="52"/>
      <c r="S219" s="119"/>
      <c r="T219" s="52"/>
      <c r="U219" s="52"/>
      <c r="V219" s="54"/>
      <c r="W219" s="54"/>
    </row>
    <row r="220" spans="1:23" ht="16.95" customHeight="1" x14ac:dyDescent="0.25">
      <c r="A220" s="49"/>
      <c r="B220" s="103" t="s">
        <v>146</v>
      </c>
      <c r="C220" s="2" t="s">
        <v>210</v>
      </c>
      <c r="E220" s="9" t="s">
        <v>3</v>
      </c>
      <c r="F220" s="9">
        <v>10</v>
      </c>
      <c r="G220" s="73" t="s">
        <v>55</v>
      </c>
      <c r="H220" s="73" t="s">
        <v>211</v>
      </c>
      <c r="I220" s="51"/>
      <c r="J220" s="49">
        <v>6</v>
      </c>
      <c r="K220" s="49" t="s">
        <v>155</v>
      </c>
      <c r="L220" s="52">
        <f t="shared" ref="L220:L229" si="29">ROUNDUP((T220/(1-$U$2)),-2)</f>
        <v>12500000</v>
      </c>
      <c r="M220" s="52">
        <f t="shared" ref="M220:M229" si="30">ROUNDUP((U220/(1-$U$3)),-2)</f>
        <v>4375000</v>
      </c>
      <c r="N220" s="52">
        <f t="shared" ref="N220:N229" si="31">L220*J220</f>
        <v>75000000</v>
      </c>
      <c r="O220" s="52">
        <f t="shared" ref="O220:O229" si="32">M220*J220</f>
        <v>26250000</v>
      </c>
      <c r="S220" s="53"/>
      <c r="T220" s="54">
        <v>9000000</v>
      </c>
      <c r="U220" s="52">
        <f t="shared" si="24"/>
        <v>3150000</v>
      </c>
      <c r="V220" s="54">
        <f t="shared" ref="V220:V229" si="33">T220*J220</f>
        <v>54000000</v>
      </c>
      <c r="W220" s="54">
        <f t="shared" ref="W220:W229" si="34">U220*J220</f>
        <v>18900000</v>
      </c>
    </row>
    <row r="221" spans="1:23" ht="16.95" customHeight="1" x14ac:dyDescent="0.25">
      <c r="A221" s="49"/>
      <c r="B221" s="103"/>
      <c r="E221" s="9" t="s">
        <v>3</v>
      </c>
      <c r="F221" s="9">
        <v>8</v>
      </c>
      <c r="G221" s="73" t="s">
        <v>55</v>
      </c>
      <c r="H221" s="73" t="s">
        <v>211</v>
      </c>
      <c r="I221" s="51"/>
      <c r="J221" s="49">
        <v>8</v>
      </c>
      <c r="K221" s="49" t="s">
        <v>155</v>
      </c>
      <c r="L221" s="52">
        <f t="shared" si="29"/>
        <v>8712500</v>
      </c>
      <c r="M221" s="52">
        <f t="shared" si="30"/>
        <v>3049400</v>
      </c>
      <c r="N221" s="52">
        <f t="shared" si="31"/>
        <v>69700000</v>
      </c>
      <c r="O221" s="52">
        <f t="shared" si="32"/>
        <v>24395200</v>
      </c>
      <c r="S221" s="53"/>
      <c r="T221" s="54">
        <f>'[1]New Pricelist'!BM10</f>
        <v>6273000</v>
      </c>
      <c r="U221" s="52">
        <f t="shared" si="24"/>
        <v>2195550</v>
      </c>
      <c r="V221" s="54">
        <f t="shared" si="33"/>
        <v>50184000</v>
      </c>
      <c r="W221" s="54">
        <f t="shared" si="34"/>
        <v>17564400</v>
      </c>
    </row>
    <row r="222" spans="1:23" s="94" customFormat="1" ht="16.95" customHeight="1" x14ac:dyDescent="0.25">
      <c r="A222" s="97"/>
      <c r="B222" s="120" t="s">
        <v>146</v>
      </c>
      <c r="C222" s="94" t="s">
        <v>212</v>
      </c>
      <c r="E222" s="95" t="s">
        <v>3</v>
      </c>
      <c r="F222" s="95">
        <v>10</v>
      </c>
      <c r="G222" s="121" t="s">
        <v>55</v>
      </c>
      <c r="H222" s="121" t="s">
        <v>213</v>
      </c>
      <c r="I222" s="96"/>
      <c r="J222" s="97">
        <v>0</v>
      </c>
      <c r="K222" s="97" t="s">
        <v>155</v>
      </c>
      <c r="L222" s="98">
        <f t="shared" si="29"/>
        <v>63993900</v>
      </c>
      <c r="M222" s="98">
        <f t="shared" si="30"/>
        <v>22397900</v>
      </c>
      <c r="N222" s="98">
        <f t="shared" si="31"/>
        <v>0</v>
      </c>
      <c r="O222" s="98">
        <f t="shared" si="32"/>
        <v>0</v>
      </c>
      <c r="S222" s="99"/>
      <c r="T222" s="122">
        <f>'[1]New Pricelist'!CL198</f>
        <v>46075578</v>
      </c>
      <c r="U222" s="98">
        <f t="shared" si="24"/>
        <v>16126452.299999999</v>
      </c>
      <c r="V222" s="122">
        <f t="shared" si="33"/>
        <v>0</v>
      </c>
      <c r="W222" s="122">
        <f t="shared" si="34"/>
        <v>0</v>
      </c>
    </row>
    <row r="223" spans="1:23" s="94" customFormat="1" ht="16.95" customHeight="1" x14ac:dyDescent="0.25">
      <c r="A223" s="97"/>
      <c r="B223" s="120"/>
      <c r="E223" s="95" t="s">
        <v>3</v>
      </c>
      <c r="F223" s="95">
        <v>8</v>
      </c>
      <c r="G223" s="121" t="s">
        <v>55</v>
      </c>
      <c r="H223" s="121" t="s">
        <v>213</v>
      </c>
      <c r="I223" s="96"/>
      <c r="J223" s="97">
        <v>0</v>
      </c>
      <c r="K223" s="97" t="s">
        <v>155</v>
      </c>
      <c r="L223" s="98">
        <f t="shared" si="29"/>
        <v>47476200</v>
      </c>
      <c r="M223" s="98">
        <f t="shared" si="30"/>
        <v>16616700</v>
      </c>
      <c r="N223" s="98">
        <f t="shared" si="31"/>
        <v>0</v>
      </c>
      <c r="O223" s="98">
        <f t="shared" si="32"/>
        <v>0</v>
      </c>
      <c r="S223" s="99"/>
      <c r="T223" s="122">
        <f>'[1]New Pricelist'!CL197</f>
        <v>34182838.049999997</v>
      </c>
      <c r="U223" s="98">
        <f t="shared" si="24"/>
        <v>11963993.317499999</v>
      </c>
      <c r="V223" s="122">
        <f t="shared" si="33"/>
        <v>0</v>
      </c>
      <c r="W223" s="122">
        <f t="shared" si="34"/>
        <v>0</v>
      </c>
    </row>
    <row r="224" spans="1:23" ht="15.75" customHeight="1" x14ac:dyDescent="0.25">
      <c r="A224" s="49"/>
      <c r="B224" s="103" t="s">
        <v>146</v>
      </c>
      <c r="C224" s="2" t="s">
        <v>214</v>
      </c>
      <c r="E224" s="9" t="s">
        <v>3</v>
      </c>
      <c r="F224" s="9">
        <v>10</v>
      </c>
      <c r="G224" s="73" t="s">
        <v>55</v>
      </c>
      <c r="H224" s="73" t="s">
        <v>215</v>
      </c>
      <c r="I224" s="51"/>
      <c r="J224" s="49">
        <v>6</v>
      </c>
      <c r="K224" s="49" t="s">
        <v>155</v>
      </c>
      <c r="L224" s="52">
        <f t="shared" si="29"/>
        <v>14658400</v>
      </c>
      <c r="M224" s="52">
        <f t="shared" si="30"/>
        <v>5130500</v>
      </c>
      <c r="N224" s="52">
        <f t="shared" si="31"/>
        <v>87950400</v>
      </c>
      <c r="O224" s="52">
        <f t="shared" si="32"/>
        <v>30783000</v>
      </c>
      <c r="S224" s="53"/>
      <c r="T224" s="54">
        <f>'[1]New Pricelist'!AJ340</f>
        <v>10554000</v>
      </c>
      <c r="U224" s="52">
        <f t="shared" si="24"/>
        <v>3693899.9999999995</v>
      </c>
      <c r="V224" s="54">
        <f t="shared" si="33"/>
        <v>63324000</v>
      </c>
      <c r="W224" s="54">
        <f t="shared" si="34"/>
        <v>22163399.999999996</v>
      </c>
    </row>
    <row r="225" spans="1:23" ht="15.75" customHeight="1" x14ac:dyDescent="0.25">
      <c r="A225" s="49"/>
      <c r="B225" s="103"/>
      <c r="E225" s="9" t="s">
        <v>3</v>
      </c>
      <c r="F225" s="9">
        <v>8</v>
      </c>
      <c r="G225" s="73" t="s">
        <v>55</v>
      </c>
      <c r="H225" s="73" t="s">
        <v>215</v>
      </c>
      <c r="I225" s="51"/>
      <c r="J225" s="49">
        <v>6</v>
      </c>
      <c r="K225" s="49" t="s">
        <v>155</v>
      </c>
      <c r="L225" s="52">
        <f t="shared" si="29"/>
        <v>9698700</v>
      </c>
      <c r="M225" s="52">
        <f t="shared" si="30"/>
        <v>3394600</v>
      </c>
      <c r="N225" s="52">
        <f t="shared" si="31"/>
        <v>58192200</v>
      </c>
      <c r="O225" s="52">
        <f t="shared" si="32"/>
        <v>20367600</v>
      </c>
      <c r="S225" s="53"/>
      <c r="T225" s="54">
        <f>'[1]New Pricelist'!AJ337</f>
        <v>6983000</v>
      </c>
      <c r="U225" s="52">
        <f t="shared" si="24"/>
        <v>2444050</v>
      </c>
      <c r="V225" s="54">
        <f t="shared" si="33"/>
        <v>41898000</v>
      </c>
      <c r="W225" s="54">
        <f t="shared" si="34"/>
        <v>14664300</v>
      </c>
    </row>
    <row r="226" spans="1:23" ht="16.95" customHeight="1" x14ac:dyDescent="0.3">
      <c r="A226" s="49"/>
      <c r="B226" s="103" t="s">
        <v>146</v>
      </c>
      <c r="C226" s="2" t="s">
        <v>216</v>
      </c>
      <c r="E226" s="9" t="s">
        <v>3</v>
      </c>
      <c r="F226" s="9">
        <v>4</v>
      </c>
      <c r="G226" s="73" t="s">
        <v>55</v>
      </c>
      <c r="H226" s="73" t="s">
        <v>217</v>
      </c>
      <c r="I226" s="51"/>
      <c r="J226" s="49">
        <v>12</v>
      </c>
      <c r="K226" s="49" t="s">
        <v>155</v>
      </c>
      <c r="L226" s="52">
        <f t="shared" si="29"/>
        <v>1440300</v>
      </c>
      <c r="M226" s="52">
        <f t="shared" si="30"/>
        <v>504100</v>
      </c>
      <c r="N226" s="52">
        <f t="shared" si="31"/>
        <v>17283600</v>
      </c>
      <c r="O226" s="52">
        <f t="shared" si="32"/>
        <v>6049200</v>
      </c>
      <c r="S226" s="53"/>
      <c r="T226" s="54">
        <f>'[1]New Pricelist'!BT32</f>
        <v>1037000</v>
      </c>
      <c r="U226" s="52">
        <f t="shared" si="24"/>
        <v>362950</v>
      </c>
      <c r="V226" s="54">
        <f t="shared" si="33"/>
        <v>12444000</v>
      </c>
      <c r="W226" s="54">
        <f t="shared" si="34"/>
        <v>4355400</v>
      </c>
    </row>
    <row r="227" spans="1:23" ht="16.95" customHeight="1" x14ac:dyDescent="0.3">
      <c r="A227" s="49"/>
      <c r="B227" s="103" t="s">
        <v>146</v>
      </c>
      <c r="C227" s="2" t="s">
        <v>218</v>
      </c>
      <c r="E227" s="9" t="s">
        <v>3</v>
      </c>
      <c r="G227" s="73"/>
      <c r="H227" s="73" t="s">
        <v>219</v>
      </c>
      <c r="I227" s="51"/>
      <c r="J227" s="49">
        <v>12</v>
      </c>
      <c r="K227" s="49" t="s">
        <v>155</v>
      </c>
      <c r="L227" s="52">
        <f t="shared" si="29"/>
        <v>1754200</v>
      </c>
      <c r="M227" s="52">
        <f t="shared" si="30"/>
        <v>614000</v>
      </c>
      <c r="N227" s="52">
        <f t="shared" si="31"/>
        <v>21050400</v>
      </c>
      <c r="O227" s="52">
        <f t="shared" si="32"/>
        <v>7368000</v>
      </c>
      <c r="S227" s="53"/>
      <c r="T227" s="54">
        <f>'[1]New Pricelist'!CA6</f>
        <v>1263000</v>
      </c>
      <c r="U227" s="52">
        <f t="shared" si="24"/>
        <v>442050</v>
      </c>
      <c r="V227" s="54">
        <f t="shared" si="33"/>
        <v>15156000</v>
      </c>
      <c r="W227" s="54">
        <f t="shared" si="34"/>
        <v>5304600</v>
      </c>
    </row>
    <row r="228" spans="1:23" ht="16.95" customHeight="1" x14ac:dyDescent="0.25">
      <c r="A228" s="49"/>
      <c r="B228" s="103" t="s">
        <v>146</v>
      </c>
      <c r="C228" s="2" t="s">
        <v>220</v>
      </c>
      <c r="E228" s="9" t="s">
        <v>3</v>
      </c>
      <c r="F228" s="123" t="s">
        <v>221</v>
      </c>
      <c r="G228" s="73" t="s">
        <v>55</v>
      </c>
      <c r="H228" s="73" t="s">
        <v>211</v>
      </c>
      <c r="I228" s="51"/>
      <c r="J228" s="49">
        <f>6+8</f>
        <v>14</v>
      </c>
      <c r="K228" s="49" t="s">
        <v>155</v>
      </c>
      <c r="L228" s="52">
        <f t="shared" si="29"/>
        <v>536200</v>
      </c>
      <c r="M228" s="52">
        <f t="shared" si="30"/>
        <v>187700</v>
      </c>
      <c r="N228" s="52">
        <f t="shared" si="31"/>
        <v>7506800</v>
      </c>
      <c r="O228" s="52">
        <f t="shared" si="32"/>
        <v>2627800</v>
      </c>
      <c r="S228" s="53"/>
      <c r="T228" s="54">
        <f>'[1]New Pricelist'!BF84</f>
        <v>386000</v>
      </c>
      <c r="U228" s="52">
        <f t="shared" si="24"/>
        <v>135100</v>
      </c>
      <c r="V228" s="54">
        <f t="shared" si="33"/>
        <v>5404000</v>
      </c>
      <c r="W228" s="54">
        <f t="shared" si="34"/>
        <v>1891400</v>
      </c>
    </row>
    <row r="229" spans="1:23" ht="16.95" customHeight="1" x14ac:dyDescent="0.25">
      <c r="A229" s="49"/>
      <c r="B229" s="103" t="s">
        <v>146</v>
      </c>
      <c r="C229" s="2" t="s">
        <v>222</v>
      </c>
      <c r="E229" s="9" t="s">
        <v>3</v>
      </c>
      <c r="F229" s="123" t="s">
        <v>221</v>
      </c>
      <c r="G229" s="73" t="s">
        <v>55</v>
      </c>
      <c r="H229" s="73" t="s">
        <v>211</v>
      </c>
      <c r="I229" s="51"/>
      <c r="J229" s="49">
        <v>2</v>
      </c>
      <c r="K229" s="49" t="s">
        <v>155</v>
      </c>
      <c r="L229" s="52">
        <f t="shared" si="29"/>
        <v>7372300</v>
      </c>
      <c r="M229" s="52">
        <f t="shared" si="30"/>
        <v>2580300</v>
      </c>
      <c r="N229" s="52">
        <f t="shared" si="31"/>
        <v>14744600</v>
      </c>
      <c r="O229" s="52">
        <f t="shared" si="32"/>
        <v>5160600</v>
      </c>
      <c r="S229" s="53"/>
      <c r="T229" s="54">
        <f>'[1]New Pricelist'!BT6</f>
        <v>5308000</v>
      </c>
      <c r="U229" s="52">
        <f t="shared" si="24"/>
        <v>1857799.9999999998</v>
      </c>
      <c r="V229" s="54">
        <f t="shared" si="33"/>
        <v>10616000</v>
      </c>
      <c r="W229" s="54">
        <f t="shared" si="34"/>
        <v>3715599.9999999995</v>
      </c>
    </row>
    <row r="230" spans="1:23" ht="16.95" customHeight="1" x14ac:dyDescent="0.25">
      <c r="A230" s="49"/>
      <c r="B230" s="103"/>
      <c r="F230" s="123"/>
      <c r="G230" s="73"/>
      <c r="H230" s="73"/>
      <c r="I230" s="51"/>
      <c r="J230" s="49"/>
      <c r="K230" s="49"/>
      <c r="L230" s="52"/>
      <c r="M230" s="52"/>
      <c r="N230" s="52"/>
      <c r="O230" s="52"/>
      <c r="S230" s="53"/>
      <c r="T230" s="52"/>
      <c r="U230" s="52"/>
      <c r="V230" s="54"/>
      <c r="W230" s="54"/>
    </row>
    <row r="231" spans="1:23" x14ac:dyDescent="0.25">
      <c r="A231" s="49">
        <v>3</v>
      </c>
      <c r="B231" s="117" t="s">
        <v>223</v>
      </c>
      <c r="C231" s="118"/>
      <c r="D231" s="118"/>
      <c r="E231" s="118"/>
      <c r="F231" s="118"/>
      <c r="G231" s="118"/>
      <c r="H231" s="118"/>
      <c r="I231" s="51"/>
      <c r="J231" s="49"/>
      <c r="K231" s="49"/>
      <c r="L231" s="52"/>
      <c r="M231" s="52"/>
      <c r="N231" s="52"/>
      <c r="O231" s="52"/>
      <c r="S231" s="119"/>
      <c r="T231" s="52"/>
      <c r="U231" s="52"/>
      <c r="V231" s="54"/>
      <c r="W231" s="54"/>
    </row>
    <row r="232" spans="1:23" ht="16.95" customHeight="1" x14ac:dyDescent="0.25">
      <c r="A232" s="49"/>
      <c r="B232" s="103" t="s">
        <v>146</v>
      </c>
      <c r="C232" s="2" t="s">
        <v>210</v>
      </c>
      <c r="E232" s="9" t="s">
        <v>3</v>
      </c>
      <c r="F232" s="9">
        <v>8</v>
      </c>
      <c r="G232" s="73" t="s">
        <v>55</v>
      </c>
      <c r="H232" s="73" t="s">
        <v>211</v>
      </c>
      <c r="I232" s="51"/>
      <c r="J232" s="49">
        <f>2*3</f>
        <v>6</v>
      </c>
      <c r="K232" s="49" t="s">
        <v>155</v>
      </c>
      <c r="L232" s="52">
        <f t="shared" ref="L232:L238" si="35">ROUNDUP((T232/(1-$U$2)),-2)</f>
        <v>8712500</v>
      </c>
      <c r="M232" s="52">
        <f t="shared" ref="M232:M238" si="36">ROUNDUP((U232/(1-$U$3)),-2)</f>
        <v>3049400</v>
      </c>
      <c r="N232" s="52">
        <f t="shared" ref="N232:N238" si="37">L232*J232</f>
        <v>52275000</v>
      </c>
      <c r="O232" s="52">
        <f t="shared" ref="O232:O238" si="38">M232*J232</f>
        <v>18296400</v>
      </c>
      <c r="S232" s="53"/>
      <c r="T232" s="54">
        <f>'[1]New Pricelist'!BM10</f>
        <v>6273000</v>
      </c>
      <c r="U232" s="52">
        <f t="shared" si="24"/>
        <v>2195550</v>
      </c>
      <c r="V232" s="54">
        <f t="shared" ref="V232:V238" si="39">T232*J232</f>
        <v>37638000</v>
      </c>
      <c r="W232" s="54">
        <f t="shared" ref="W232:W238" si="40">U232*J232</f>
        <v>13173300</v>
      </c>
    </row>
    <row r="233" spans="1:23" ht="15.75" customHeight="1" x14ac:dyDescent="0.25">
      <c r="A233" s="49"/>
      <c r="B233" s="103" t="s">
        <v>146</v>
      </c>
      <c r="C233" s="2" t="s">
        <v>214</v>
      </c>
      <c r="E233" s="9" t="s">
        <v>3</v>
      </c>
      <c r="F233" s="9">
        <v>8</v>
      </c>
      <c r="G233" s="73" t="s">
        <v>55</v>
      </c>
      <c r="H233" s="73" t="s">
        <v>215</v>
      </c>
      <c r="I233" s="51"/>
      <c r="J233" s="49">
        <v>6</v>
      </c>
      <c r="K233" s="49" t="s">
        <v>155</v>
      </c>
      <c r="L233" s="52">
        <f t="shared" si="35"/>
        <v>9698700</v>
      </c>
      <c r="M233" s="52">
        <f t="shared" si="36"/>
        <v>3394600</v>
      </c>
      <c r="N233" s="52">
        <f t="shared" si="37"/>
        <v>58192200</v>
      </c>
      <c r="O233" s="52">
        <f t="shared" si="38"/>
        <v>20367600</v>
      </c>
      <c r="S233" s="53"/>
      <c r="T233" s="54">
        <f>'[1]New Pricelist'!AJ337</f>
        <v>6983000</v>
      </c>
      <c r="U233" s="52">
        <f t="shared" si="24"/>
        <v>2444050</v>
      </c>
      <c r="V233" s="54">
        <f t="shared" si="39"/>
        <v>41898000</v>
      </c>
      <c r="W233" s="54">
        <f t="shared" si="40"/>
        <v>14664300</v>
      </c>
    </row>
    <row r="234" spans="1:23" ht="16.95" customHeight="1" x14ac:dyDescent="0.25">
      <c r="A234" s="49"/>
      <c r="B234" s="103" t="s">
        <v>146</v>
      </c>
      <c r="C234" s="2" t="s">
        <v>224</v>
      </c>
      <c r="E234" s="9" t="s">
        <v>3</v>
      </c>
      <c r="F234" s="9">
        <v>8</v>
      </c>
      <c r="G234" s="73" t="s">
        <v>55</v>
      </c>
      <c r="H234" s="73" t="s">
        <v>211</v>
      </c>
      <c r="I234" s="51"/>
      <c r="J234" s="49">
        <v>3</v>
      </c>
      <c r="K234" s="49" t="s">
        <v>155</v>
      </c>
      <c r="L234" s="52">
        <f t="shared" si="35"/>
        <v>42218100</v>
      </c>
      <c r="M234" s="52">
        <f t="shared" si="36"/>
        <v>14776400</v>
      </c>
      <c r="N234" s="52">
        <f t="shared" si="37"/>
        <v>126654300</v>
      </c>
      <c r="O234" s="52">
        <f t="shared" si="38"/>
        <v>44329200</v>
      </c>
      <c r="S234" s="53"/>
      <c r="T234" s="54">
        <f>'[1]New Pricelist'!BM66</f>
        <v>30397000</v>
      </c>
      <c r="U234" s="52">
        <f t="shared" si="24"/>
        <v>10638950</v>
      </c>
      <c r="V234" s="54">
        <f t="shared" si="39"/>
        <v>91191000</v>
      </c>
      <c r="W234" s="54">
        <f t="shared" si="40"/>
        <v>31916850</v>
      </c>
    </row>
    <row r="235" spans="1:23" ht="16.95" customHeight="1" x14ac:dyDescent="0.25">
      <c r="A235" s="49"/>
      <c r="B235" s="103" t="s">
        <v>146</v>
      </c>
      <c r="C235" s="2" t="s">
        <v>225</v>
      </c>
      <c r="E235" s="9" t="s">
        <v>3</v>
      </c>
      <c r="F235" s="9">
        <v>8</v>
      </c>
      <c r="G235" s="73" t="s">
        <v>55</v>
      </c>
      <c r="H235" s="73" t="s">
        <v>211</v>
      </c>
      <c r="I235" s="51"/>
      <c r="J235" s="49">
        <v>3</v>
      </c>
      <c r="K235" s="49" t="s">
        <v>155</v>
      </c>
      <c r="L235" s="52">
        <f t="shared" si="35"/>
        <v>64911200</v>
      </c>
      <c r="M235" s="52">
        <f t="shared" si="36"/>
        <v>22718900</v>
      </c>
      <c r="N235" s="52">
        <f t="shared" si="37"/>
        <v>194733600</v>
      </c>
      <c r="O235" s="52">
        <f t="shared" si="38"/>
        <v>68156700</v>
      </c>
      <c r="S235" s="53"/>
      <c r="T235" s="54">
        <f>'[1]New Pricelist'!BM53</f>
        <v>46736000</v>
      </c>
      <c r="U235" s="52">
        <f t="shared" si="24"/>
        <v>16357599.999999998</v>
      </c>
      <c r="V235" s="54">
        <f t="shared" si="39"/>
        <v>140208000</v>
      </c>
      <c r="W235" s="54">
        <f t="shared" si="40"/>
        <v>49072799.999999993</v>
      </c>
    </row>
    <row r="236" spans="1:23" ht="16.95" customHeight="1" x14ac:dyDescent="0.3">
      <c r="A236" s="49"/>
      <c r="B236" s="103" t="s">
        <v>146</v>
      </c>
      <c r="C236" s="2" t="s">
        <v>216</v>
      </c>
      <c r="E236" s="9" t="s">
        <v>3</v>
      </c>
      <c r="F236" s="9">
        <v>4</v>
      </c>
      <c r="G236" s="73" t="s">
        <v>55</v>
      </c>
      <c r="H236" s="73" t="s">
        <v>217</v>
      </c>
      <c r="I236" s="51"/>
      <c r="J236" s="49">
        <v>3</v>
      </c>
      <c r="K236" s="49" t="s">
        <v>155</v>
      </c>
      <c r="L236" s="52">
        <f t="shared" si="35"/>
        <v>1440300</v>
      </c>
      <c r="M236" s="52">
        <f t="shared" si="36"/>
        <v>504100</v>
      </c>
      <c r="N236" s="52">
        <f t="shared" si="37"/>
        <v>4320900</v>
      </c>
      <c r="O236" s="52">
        <f t="shared" si="38"/>
        <v>1512300</v>
      </c>
      <c r="S236" s="53"/>
      <c r="T236" s="54">
        <f>T226</f>
        <v>1037000</v>
      </c>
      <c r="U236" s="52">
        <f t="shared" si="24"/>
        <v>362950</v>
      </c>
      <c r="V236" s="54">
        <f t="shared" si="39"/>
        <v>3111000</v>
      </c>
      <c r="W236" s="54">
        <f t="shared" si="40"/>
        <v>1088850</v>
      </c>
    </row>
    <row r="237" spans="1:23" ht="16.95" customHeight="1" x14ac:dyDescent="0.25">
      <c r="A237" s="49"/>
      <c r="B237" s="103" t="s">
        <v>146</v>
      </c>
      <c r="C237" s="2" t="s">
        <v>220</v>
      </c>
      <c r="E237" s="9" t="s">
        <v>3</v>
      </c>
      <c r="F237" s="123" t="s">
        <v>221</v>
      </c>
      <c r="G237" s="73" t="s">
        <v>55</v>
      </c>
      <c r="H237" s="73" t="s">
        <v>211</v>
      </c>
      <c r="I237" s="51"/>
      <c r="J237" s="49">
        <v>6</v>
      </c>
      <c r="K237" s="49" t="s">
        <v>155</v>
      </c>
      <c r="L237" s="52">
        <f t="shared" si="35"/>
        <v>536200</v>
      </c>
      <c r="M237" s="52">
        <f t="shared" si="36"/>
        <v>187700</v>
      </c>
      <c r="N237" s="52">
        <f t="shared" si="37"/>
        <v>3217200</v>
      </c>
      <c r="O237" s="52">
        <f t="shared" si="38"/>
        <v>1126200</v>
      </c>
      <c r="S237" s="53"/>
      <c r="T237" s="54">
        <f>T228</f>
        <v>386000</v>
      </c>
      <c r="U237" s="52">
        <f t="shared" si="24"/>
        <v>135100</v>
      </c>
      <c r="V237" s="54">
        <f t="shared" si="39"/>
        <v>2316000</v>
      </c>
      <c r="W237" s="54">
        <f t="shared" si="40"/>
        <v>810600</v>
      </c>
    </row>
    <row r="238" spans="1:23" ht="16.95" customHeight="1" x14ac:dyDescent="0.25">
      <c r="A238" s="49"/>
      <c r="B238" s="103" t="s">
        <v>146</v>
      </c>
      <c r="C238" s="2" t="s">
        <v>222</v>
      </c>
      <c r="E238" s="9" t="s">
        <v>3</v>
      </c>
      <c r="F238" s="123" t="s">
        <v>221</v>
      </c>
      <c r="G238" s="73" t="s">
        <v>55</v>
      </c>
      <c r="H238" s="73" t="s">
        <v>211</v>
      </c>
      <c r="I238" s="51"/>
      <c r="J238" s="49">
        <v>1</v>
      </c>
      <c r="K238" s="49" t="s">
        <v>155</v>
      </c>
      <c r="L238" s="52">
        <f t="shared" si="35"/>
        <v>7372300</v>
      </c>
      <c r="M238" s="52">
        <f t="shared" si="36"/>
        <v>2580300</v>
      </c>
      <c r="N238" s="52">
        <f t="shared" si="37"/>
        <v>7372300</v>
      </c>
      <c r="O238" s="52">
        <f t="shared" si="38"/>
        <v>2580300</v>
      </c>
      <c r="S238" s="53"/>
      <c r="T238" s="54">
        <f>T229</f>
        <v>5308000</v>
      </c>
      <c r="U238" s="52">
        <f t="shared" si="24"/>
        <v>1857799.9999999998</v>
      </c>
      <c r="V238" s="54">
        <f t="shared" si="39"/>
        <v>5308000</v>
      </c>
      <c r="W238" s="54">
        <f t="shared" si="40"/>
        <v>1857799.9999999998</v>
      </c>
    </row>
    <row r="239" spans="1:23" ht="16.95" customHeight="1" x14ac:dyDescent="0.25">
      <c r="A239" s="49"/>
      <c r="B239" s="103"/>
      <c r="F239" s="123"/>
      <c r="G239" s="73"/>
      <c r="H239" s="73"/>
      <c r="I239" s="51"/>
      <c r="J239" s="49"/>
      <c r="K239" s="49"/>
      <c r="L239" s="52"/>
      <c r="M239" s="52"/>
      <c r="N239" s="52"/>
      <c r="O239" s="52"/>
      <c r="S239" s="53"/>
      <c r="T239" s="52"/>
      <c r="U239" s="52">
        <f t="shared" si="24"/>
        <v>0</v>
      </c>
      <c r="V239" s="54"/>
      <c r="W239" s="54"/>
    </row>
    <row r="240" spans="1:23" x14ac:dyDescent="0.25">
      <c r="A240" s="49">
        <v>4</v>
      </c>
      <c r="B240" s="117" t="s">
        <v>226</v>
      </c>
      <c r="C240" s="118"/>
      <c r="D240" s="118"/>
      <c r="E240" s="118"/>
      <c r="F240" s="118"/>
      <c r="G240" s="118"/>
      <c r="H240" s="118"/>
      <c r="I240" s="51"/>
      <c r="J240" s="49"/>
      <c r="K240" s="49"/>
      <c r="L240" s="52"/>
      <c r="M240" s="52"/>
      <c r="N240" s="52"/>
      <c r="O240" s="52"/>
      <c r="S240" s="119"/>
      <c r="T240" s="52"/>
      <c r="U240" s="52">
        <f t="shared" si="24"/>
        <v>0</v>
      </c>
      <c r="V240" s="54"/>
      <c r="W240" s="54"/>
    </row>
    <row r="241" spans="1:23" ht="16.95" customHeight="1" x14ac:dyDescent="0.25">
      <c r="A241" s="49"/>
      <c r="B241" s="103" t="s">
        <v>146</v>
      </c>
      <c r="C241" s="2" t="s">
        <v>210</v>
      </c>
      <c r="E241" s="9" t="s">
        <v>3</v>
      </c>
      <c r="F241" s="9">
        <v>14</v>
      </c>
      <c r="G241" s="73" t="s">
        <v>55</v>
      </c>
      <c r="H241" s="73" t="s">
        <v>211</v>
      </c>
      <c r="I241" s="51"/>
      <c r="J241" s="49">
        <v>2</v>
      </c>
      <c r="K241" s="49" t="s">
        <v>155</v>
      </c>
      <c r="L241" s="52">
        <f t="shared" ref="L241:L247" si="41">ROUNDUP((T241/(1-$U$2)),-2)</f>
        <v>23829200</v>
      </c>
      <c r="M241" s="52">
        <f t="shared" ref="M241:M247" si="42">ROUNDUP((U241/(1-$U$3)),-2)</f>
        <v>8340300</v>
      </c>
      <c r="N241" s="52">
        <f t="shared" ref="N241:N247" si="43">L241*J241</f>
        <v>47658400</v>
      </c>
      <c r="O241" s="52">
        <f t="shared" ref="O241:O247" si="44">M241*J241</f>
        <v>16680600</v>
      </c>
      <c r="S241" s="53"/>
      <c r="T241" s="54">
        <f>'[1]New Pricelist'!BM12+'[1]New Pricelist'!BM4</f>
        <v>17157000</v>
      </c>
      <c r="U241" s="52">
        <f t="shared" si="24"/>
        <v>6004950</v>
      </c>
      <c r="V241" s="54">
        <f t="shared" ref="V241:V247" si="45">T241*J241</f>
        <v>34314000</v>
      </c>
      <c r="W241" s="54">
        <f t="shared" ref="W241:W247" si="46">U241*J241</f>
        <v>12009900</v>
      </c>
    </row>
    <row r="242" spans="1:23" ht="15.75" customHeight="1" x14ac:dyDescent="0.25">
      <c r="A242" s="49"/>
      <c r="B242" s="103" t="s">
        <v>146</v>
      </c>
      <c r="C242" s="2" t="s">
        <v>214</v>
      </c>
      <c r="E242" s="9" t="s">
        <v>3</v>
      </c>
      <c r="F242" s="9">
        <v>14</v>
      </c>
      <c r="G242" s="73" t="s">
        <v>55</v>
      </c>
      <c r="H242" s="73" t="s">
        <v>215</v>
      </c>
      <c r="I242" s="51"/>
      <c r="J242" s="49">
        <v>2</v>
      </c>
      <c r="K242" s="49" t="s">
        <v>155</v>
      </c>
      <c r="L242" s="52">
        <f t="shared" si="41"/>
        <v>27448700</v>
      </c>
      <c r="M242" s="52">
        <f t="shared" si="42"/>
        <v>9607100</v>
      </c>
      <c r="N242" s="52">
        <f t="shared" si="43"/>
        <v>54897400</v>
      </c>
      <c r="O242" s="52">
        <f t="shared" si="44"/>
        <v>19214200</v>
      </c>
      <c r="S242" s="53"/>
      <c r="T242" s="54">
        <f>'[1]New Pricelist'!AI346</f>
        <v>19763000</v>
      </c>
      <c r="U242" s="52">
        <f t="shared" si="24"/>
        <v>6917050</v>
      </c>
      <c r="V242" s="54">
        <f t="shared" si="45"/>
        <v>39526000</v>
      </c>
      <c r="W242" s="54">
        <f t="shared" si="46"/>
        <v>13834100</v>
      </c>
    </row>
    <row r="243" spans="1:23" ht="16.95" customHeight="1" x14ac:dyDescent="0.25">
      <c r="A243" s="49"/>
      <c r="B243" s="103" t="s">
        <v>146</v>
      </c>
      <c r="C243" s="2" t="s">
        <v>224</v>
      </c>
      <c r="E243" s="9" t="s">
        <v>3</v>
      </c>
      <c r="F243" s="9">
        <v>14</v>
      </c>
      <c r="G243" s="73" t="s">
        <v>55</v>
      </c>
      <c r="H243" s="73" t="s">
        <v>211</v>
      </c>
      <c r="I243" s="51"/>
      <c r="J243" s="49">
        <v>1</v>
      </c>
      <c r="K243" s="49" t="s">
        <v>155</v>
      </c>
      <c r="L243" s="52">
        <f t="shared" si="41"/>
        <v>276272300</v>
      </c>
      <c r="M243" s="52">
        <f t="shared" si="42"/>
        <v>96695300</v>
      </c>
      <c r="N243" s="52">
        <f t="shared" si="43"/>
        <v>276272300</v>
      </c>
      <c r="O243" s="52">
        <f t="shared" si="44"/>
        <v>96695300</v>
      </c>
      <c r="S243" s="53"/>
      <c r="T243" s="54">
        <f>'[1]New Pricelist'!BM69</f>
        <v>198916000</v>
      </c>
      <c r="U243" s="52">
        <f t="shared" si="24"/>
        <v>69620600</v>
      </c>
      <c r="V243" s="54">
        <f t="shared" si="45"/>
        <v>198916000</v>
      </c>
      <c r="W243" s="54">
        <f t="shared" si="46"/>
        <v>69620600</v>
      </c>
    </row>
    <row r="244" spans="1:23" ht="16.95" customHeight="1" x14ac:dyDescent="0.25">
      <c r="A244" s="49"/>
      <c r="B244" s="103" t="s">
        <v>146</v>
      </c>
      <c r="C244" s="2" t="s">
        <v>225</v>
      </c>
      <c r="E244" s="9" t="s">
        <v>3</v>
      </c>
      <c r="F244" s="9">
        <v>14</v>
      </c>
      <c r="G244" s="73" t="s">
        <v>55</v>
      </c>
      <c r="H244" s="73" t="s">
        <v>211</v>
      </c>
      <c r="I244" s="51"/>
      <c r="J244" s="49">
        <v>1</v>
      </c>
      <c r="K244" s="49" t="s">
        <v>155</v>
      </c>
      <c r="L244" s="52">
        <f t="shared" si="41"/>
        <v>190868100</v>
      </c>
      <c r="M244" s="52">
        <f t="shared" si="42"/>
        <v>66803900</v>
      </c>
      <c r="N244" s="52">
        <f t="shared" si="43"/>
        <v>190868100</v>
      </c>
      <c r="O244" s="52">
        <f t="shared" si="44"/>
        <v>66803900</v>
      </c>
      <c r="S244" s="53"/>
      <c r="T244" s="54">
        <f>'[1]New Pricelist'!BM55+'[1]New Pricelist'!BM47</f>
        <v>137425000</v>
      </c>
      <c r="U244" s="52">
        <f t="shared" si="24"/>
        <v>48098750</v>
      </c>
      <c r="V244" s="54">
        <f t="shared" si="45"/>
        <v>137425000</v>
      </c>
      <c r="W244" s="54">
        <f t="shared" si="46"/>
        <v>48098750</v>
      </c>
    </row>
    <row r="245" spans="1:23" ht="16.95" customHeight="1" x14ac:dyDescent="0.3">
      <c r="A245" s="49"/>
      <c r="B245" s="103" t="s">
        <v>146</v>
      </c>
      <c r="C245" s="2" t="s">
        <v>227</v>
      </c>
      <c r="E245" s="9" t="s">
        <v>3</v>
      </c>
      <c r="F245" s="9">
        <v>4</v>
      </c>
      <c r="G245" s="73" t="s">
        <v>55</v>
      </c>
      <c r="H245" s="73" t="s">
        <v>217</v>
      </c>
      <c r="I245" s="51"/>
      <c r="J245" s="49">
        <v>2</v>
      </c>
      <c r="K245" s="49" t="s">
        <v>155</v>
      </c>
      <c r="L245" s="52">
        <f t="shared" si="41"/>
        <v>1440300</v>
      </c>
      <c r="M245" s="52">
        <f t="shared" si="42"/>
        <v>504100</v>
      </c>
      <c r="N245" s="52">
        <f t="shared" si="43"/>
        <v>2880600</v>
      </c>
      <c r="O245" s="52">
        <f t="shared" si="44"/>
        <v>1008200</v>
      </c>
      <c r="S245" s="53"/>
      <c r="T245" s="54">
        <f t="shared" ref="T245:T246" si="47">T236</f>
        <v>1037000</v>
      </c>
      <c r="U245" s="52">
        <f t="shared" si="24"/>
        <v>362950</v>
      </c>
      <c r="V245" s="54">
        <f t="shared" si="45"/>
        <v>2074000</v>
      </c>
      <c r="W245" s="54">
        <f t="shared" si="46"/>
        <v>725900</v>
      </c>
    </row>
    <row r="246" spans="1:23" ht="16.95" customHeight="1" x14ac:dyDescent="0.25">
      <c r="A246" s="49"/>
      <c r="B246" s="103" t="s">
        <v>146</v>
      </c>
      <c r="C246" s="2" t="s">
        <v>220</v>
      </c>
      <c r="E246" s="9" t="s">
        <v>3</v>
      </c>
      <c r="F246" s="123" t="s">
        <v>221</v>
      </c>
      <c r="G246" s="73" t="s">
        <v>55</v>
      </c>
      <c r="H246" s="73" t="s">
        <v>211</v>
      </c>
      <c r="I246" s="51"/>
      <c r="J246" s="49">
        <v>2</v>
      </c>
      <c r="K246" s="49" t="s">
        <v>155</v>
      </c>
      <c r="L246" s="52">
        <f t="shared" si="41"/>
        <v>536200</v>
      </c>
      <c r="M246" s="52">
        <f t="shared" si="42"/>
        <v>187700</v>
      </c>
      <c r="N246" s="52">
        <f t="shared" si="43"/>
        <v>1072400</v>
      </c>
      <c r="O246" s="52">
        <f t="shared" si="44"/>
        <v>375400</v>
      </c>
      <c r="S246" s="53"/>
      <c r="T246" s="54">
        <f t="shared" si="47"/>
        <v>386000</v>
      </c>
      <c r="U246" s="52">
        <f t="shared" si="24"/>
        <v>135100</v>
      </c>
      <c r="V246" s="54">
        <f t="shared" si="45"/>
        <v>772000</v>
      </c>
      <c r="W246" s="54">
        <f t="shared" si="46"/>
        <v>270200</v>
      </c>
    </row>
    <row r="247" spans="1:23" ht="16.95" customHeight="1" x14ac:dyDescent="0.25">
      <c r="A247" s="49"/>
      <c r="B247" s="103" t="s">
        <v>146</v>
      </c>
      <c r="C247" s="2" t="s">
        <v>222</v>
      </c>
      <c r="E247" s="9" t="s">
        <v>3</v>
      </c>
      <c r="F247" s="123" t="s">
        <v>221</v>
      </c>
      <c r="G247" s="73" t="s">
        <v>55</v>
      </c>
      <c r="H247" s="73" t="s">
        <v>211</v>
      </c>
      <c r="I247" s="51"/>
      <c r="J247" s="49">
        <v>1</v>
      </c>
      <c r="K247" s="49" t="s">
        <v>155</v>
      </c>
      <c r="L247" s="52">
        <f t="shared" si="41"/>
        <v>7372300</v>
      </c>
      <c r="M247" s="52">
        <f t="shared" si="42"/>
        <v>2580300</v>
      </c>
      <c r="N247" s="52">
        <f t="shared" si="43"/>
        <v>7372300</v>
      </c>
      <c r="O247" s="52">
        <f t="shared" si="44"/>
        <v>2580300</v>
      </c>
      <c r="S247" s="53"/>
      <c r="T247" s="54">
        <f>T238</f>
        <v>5308000</v>
      </c>
      <c r="U247" s="52">
        <f t="shared" si="24"/>
        <v>1857799.9999999998</v>
      </c>
      <c r="V247" s="54">
        <f t="shared" si="45"/>
        <v>5308000</v>
      </c>
      <c r="W247" s="54">
        <f t="shared" si="46"/>
        <v>1857799.9999999998</v>
      </c>
    </row>
    <row r="248" spans="1:23" ht="16.95" customHeight="1" x14ac:dyDescent="0.25">
      <c r="A248" s="49"/>
      <c r="B248" s="103"/>
      <c r="F248" s="123"/>
      <c r="G248" s="73"/>
      <c r="H248" s="73"/>
      <c r="I248" s="51"/>
      <c r="J248" s="49"/>
      <c r="K248" s="49"/>
      <c r="L248" s="52"/>
      <c r="M248" s="52"/>
      <c r="N248" s="52"/>
      <c r="O248" s="52"/>
      <c r="S248" s="53"/>
      <c r="T248" s="52"/>
      <c r="U248" s="52"/>
      <c r="V248" s="54"/>
      <c r="W248" s="54"/>
    </row>
    <row r="249" spans="1:23" x14ac:dyDescent="0.25">
      <c r="A249" s="49">
        <v>5</v>
      </c>
      <c r="B249" s="117" t="s">
        <v>228</v>
      </c>
      <c r="C249" s="118"/>
      <c r="D249" s="118"/>
      <c r="E249" s="118"/>
      <c r="F249" s="118"/>
      <c r="G249" s="118"/>
      <c r="H249" s="118"/>
      <c r="I249" s="51"/>
      <c r="J249" s="49"/>
      <c r="K249" s="49"/>
      <c r="L249" s="52"/>
      <c r="M249" s="52"/>
      <c r="N249" s="52"/>
      <c r="O249" s="52"/>
      <c r="S249" s="119"/>
      <c r="T249" s="52"/>
      <c r="U249" s="52"/>
      <c r="V249" s="54"/>
      <c r="W249" s="54"/>
    </row>
    <row r="250" spans="1:23" ht="16.95" customHeight="1" x14ac:dyDescent="0.25">
      <c r="A250" s="49"/>
      <c r="B250" s="103" t="s">
        <v>146</v>
      </c>
      <c r="C250" s="2" t="s">
        <v>210</v>
      </c>
      <c r="E250" s="9" t="s">
        <v>3</v>
      </c>
      <c r="F250" s="9">
        <v>10</v>
      </c>
      <c r="G250" s="73" t="s">
        <v>55</v>
      </c>
      <c r="H250" s="73" t="s">
        <v>211</v>
      </c>
      <c r="I250" s="51"/>
      <c r="J250" s="49">
        <v>6</v>
      </c>
      <c r="K250" s="49" t="s">
        <v>155</v>
      </c>
      <c r="L250" s="52">
        <f t="shared" ref="L250:L256" si="48">ROUNDUP((T250/(1-$U$2)),-2)</f>
        <v>12500000</v>
      </c>
      <c r="M250" s="52">
        <f t="shared" ref="M250:M256" si="49">ROUNDUP((U250/(1-$U$3)),-2)</f>
        <v>4375000</v>
      </c>
      <c r="N250" s="52">
        <f t="shared" ref="N250:N256" si="50">L250*J250</f>
        <v>75000000</v>
      </c>
      <c r="O250" s="52">
        <f t="shared" ref="O250:O256" si="51">M250*J250</f>
        <v>26250000</v>
      </c>
      <c r="S250" s="53"/>
      <c r="T250" s="54">
        <f>T220</f>
        <v>9000000</v>
      </c>
      <c r="U250" s="52">
        <f t="shared" si="24"/>
        <v>3150000</v>
      </c>
      <c r="V250" s="54">
        <f t="shared" ref="V250:V256" si="52">T250*J250</f>
        <v>54000000</v>
      </c>
      <c r="W250" s="54">
        <f t="shared" ref="W250:W256" si="53">U250*J250</f>
        <v>18900000</v>
      </c>
    </row>
    <row r="251" spans="1:23" ht="15.75" customHeight="1" x14ac:dyDescent="0.25">
      <c r="A251" s="49"/>
      <c r="B251" s="103" t="s">
        <v>146</v>
      </c>
      <c r="C251" s="2" t="s">
        <v>214</v>
      </c>
      <c r="E251" s="9" t="s">
        <v>3</v>
      </c>
      <c r="F251" s="9">
        <v>10</v>
      </c>
      <c r="G251" s="73" t="s">
        <v>55</v>
      </c>
      <c r="H251" s="73" t="s">
        <v>215</v>
      </c>
      <c r="I251" s="51"/>
      <c r="J251" s="49">
        <v>6</v>
      </c>
      <c r="K251" s="49" t="s">
        <v>155</v>
      </c>
      <c r="L251" s="52">
        <f t="shared" si="48"/>
        <v>14658400</v>
      </c>
      <c r="M251" s="52">
        <f t="shared" si="49"/>
        <v>5130500</v>
      </c>
      <c r="N251" s="52">
        <f t="shared" si="50"/>
        <v>87950400</v>
      </c>
      <c r="O251" s="52">
        <f t="shared" si="51"/>
        <v>30783000</v>
      </c>
      <c r="S251" s="53"/>
      <c r="T251" s="54">
        <f>'[1]New Pricelist'!AJ340</f>
        <v>10554000</v>
      </c>
      <c r="U251" s="52">
        <f t="shared" si="24"/>
        <v>3693899.9999999995</v>
      </c>
      <c r="V251" s="54">
        <f t="shared" si="52"/>
        <v>63324000</v>
      </c>
      <c r="W251" s="54">
        <f t="shared" si="53"/>
        <v>22163399.999999996</v>
      </c>
    </row>
    <row r="252" spans="1:23" ht="16.95" customHeight="1" x14ac:dyDescent="0.25">
      <c r="A252" s="49"/>
      <c r="B252" s="103" t="s">
        <v>146</v>
      </c>
      <c r="C252" s="2" t="s">
        <v>224</v>
      </c>
      <c r="E252" s="9" t="s">
        <v>3</v>
      </c>
      <c r="F252" s="9">
        <v>10</v>
      </c>
      <c r="G252" s="73" t="s">
        <v>55</v>
      </c>
      <c r="H252" s="73" t="s">
        <v>211</v>
      </c>
      <c r="I252" s="51"/>
      <c r="J252" s="49">
        <v>3</v>
      </c>
      <c r="K252" s="49" t="s">
        <v>155</v>
      </c>
      <c r="L252" s="52">
        <f t="shared" si="48"/>
        <v>72575000</v>
      </c>
      <c r="M252" s="52">
        <f t="shared" si="49"/>
        <v>25401300</v>
      </c>
      <c r="N252" s="52">
        <f t="shared" si="50"/>
        <v>217725000</v>
      </c>
      <c r="O252" s="52">
        <f t="shared" si="51"/>
        <v>76203900</v>
      </c>
      <c r="S252" s="53"/>
      <c r="T252" s="54">
        <f>'[1]New Pricelist'!BM67</f>
        <v>52254000</v>
      </c>
      <c r="U252" s="52">
        <f t="shared" si="24"/>
        <v>18288900</v>
      </c>
      <c r="V252" s="54">
        <f t="shared" si="52"/>
        <v>156762000</v>
      </c>
      <c r="W252" s="54">
        <f t="shared" si="53"/>
        <v>54866700</v>
      </c>
    </row>
    <row r="253" spans="1:23" ht="16.95" customHeight="1" x14ac:dyDescent="0.25">
      <c r="A253" s="49"/>
      <c r="B253" s="103" t="s">
        <v>146</v>
      </c>
      <c r="C253" s="2" t="s">
        <v>225</v>
      </c>
      <c r="E253" s="9" t="s">
        <v>3</v>
      </c>
      <c r="F253" s="9">
        <v>12</v>
      </c>
      <c r="G253" s="73" t="s">
        <v>55</v>
      </c>
      <c r="H253" s="73" t="s">
        <v>211</v>
      </c>
      <c r="I253" s="51"/>
      <c r="J253" s="49">
        <v>3</v>
      </c>
      <c r="K253" s="49" t="s">
        <v>155</v>
      </c>
      <c r="L253" s="52">
        <f t="shared" si="48"/>
        <v>101655600</v>
      </c>
      <c r="M253" s="52">
        <f t="shared" si="49"/>
        <v>35579500</v>
      </c>
      <c r="N253" s="52">
        <f t="shared" si="50"/>
        <v>304966800</v>
      </c>
      <c r="O253" s="52">
        <f t="shared" si="51"/>
        <v>106738500</v>
      </c>
      <c r="S253" s="53"/>
      <c r="T253" s="54">
        <f>'[1]New Pricelist'!BM54</f>
        <v>73192000</v>
      </c>
      <c r="U253" s="52">
        <f t="shared" si="24"/>
        <v>25617200</v>
      </c>
      <c r="V253" s="54">
        <f t="shared" si="52"/>
        <v>219576000</v>
      </c>
      <c r="W253" s="54">
        <f t="shared" si="53"/>
        <v>76851600</v>
      </c>
    </row>
    <row r="254" spans="1:23" ht="16.95" customHeight="1" x14ac:dyDescent="0.3">
      <c r="A254" s="49"/>
      <c r="B254" s="103" t="s">
        <v>146</v>
      </c>
      <c r="C254" s="2" t="s">
        <v>216</v>
      </c>
      <c r="E254" s="9" t="s">
        <v>3</v>
      </c>
      <c r="F254" s="9">
        <v>4</v>
      </c>
      <c r="G254" s="73" t="s">
        <v>55</v>
      </c>
      <c r="H254" s="73" t="s">
        <v>217</v>
      </c>
      <c r="I254" s="51"/>
      <c r="J254" s="49">
        <v>6</v>
      </c>
      <c r="K254" s="49" t="s">
        <v>155</v>
      </c>
      <c r="L254" s="52">
        <f t="shared" si="48"/>
        <v>1440300</v>
      </c>
      <c r="M254" s="52">
        <f t="shared" si="49"/>
        <v>504100</v>
      </c>
      <c r="N254" s="52">
        <f t="shared" si="50"/>
        <v>8641800</v>
      </c>
      <c r="O254" s="52">
        <f t="shared" si="51"/>
        <v>3024600</v>
      </c>
      <c r="S254" s="53"/>
      <c r="T254" s="54">
        <f>T245</f>
        <v>1037000</v>
      </c>
      <c r="U254" s="52">
        <f t="shared" si="24"/>
        <v>362950</v>
      </c>
      <c r="V254" s="54">
        <f t="shared" si="52"/>
        <v>6222000</v>
      </c>
      <c r="W254" s="54">
        <f t="shared" si="53"/>
        <v>2177700</v>
      </c>
    </row>
    <row r="255" spans="1:23" ht="16.95" customHeight="1" x14ac:dyDescent="0.25">
      <c r="A255" s="49"/>
      <c r="B255" s="103" t="s">
        <v>146</v>
      </c>
      <c r="C255" s="2" t="s">
        <v>220</v>
      </c>
      <c r="E255" s="9" t="s">
        <v>3</v>
      </c>
      <c r="F255" s="123" t="s">
        <v>221</v>
      </c>
      <c r="G255" s="73" t="s">
        <v>55</v>
      </c>
      <c r="H255" s="73" t="s">
        <v>211</v>
      </c>
      <c r="I255" s="51"/>
      <c r="J255" s="49">
        <v>12</v>
      </c>
      <c r="K255" s="49" t="s">
        <v>155</v>
      </c>
      <c r="L255" s="52">
        <f t="shared" si="48"/>
        <v>536200</v>
      </c>
      <c r="M255" s="52">
        <f t="shared" si="49"/>
        <v>187700</v>
      </c>
      <c r="N255" s="52">
        <f t="shared" si="50"/>
        <v>6434400</v>
      </c>
      <c r="O255" s="52">
        <f t="shared" si="51"/>
        <v>2252400</v>
      </c>
      <c r="S255" s="53"/>
      <c r="T255" s="54">
        <f>T246</f>
        <v>386000</v>
      </c>
      <c r="U255" s="52">
        <f t="shared" si="24"/>
        <v>135100</v>
      </c>
      <c r="V255" s="54">
        <f t="shared" si="52"/>
        <v>4632000</v>
      </c>
      <c r="W255" s="54">
        <f t="shared" si="53"/>
        <v>1621200</v>
      </c>
    </row>
    <row r="256" spans="1:23" ht="16.95" customHeight="1" x14ac:dyDescent="0.25">
      <c r="A256" s="49"/>
      <c r="B256" s="103" t="s">
        <v>146</v>
      </c>
      <c r="C256" s="2" t="s">
        <v>222</v>
      </c>
      <c r="E256" s="9" t="s">
        <v>3</v>
      </c>
      <c r="F256" s="123" t="s">
        <v>221</v>
      </c>
      <c r="G256" s="73" t="s">
        <v>55</v>
      </c>
      <c r="H256" s="73" t="s">
        <v>211</v>
      </c>
      <c r="I256" s="51"/>
      <c r="J256" s="49">
        <v>1</v>
      </c>
      <c r="K256" s="49" t="s">
        <v>155</v>
      </c>
      <c r="L256" s="52">
        <f t="shared" si="48"/>
        <v>7372300</v>
      </c>
      <c r="M256" s="52">
        <f t="shared" si="49"/>
        <v>2580300</v>
      </c>
      <c r="N256" s="52">
        <f t="shared" si="50"/>
        <v>7372300</v>
      </c>
      <c r="O256" s="52">
        <f t="shared" si="51"/>
        <v>2580300</v>
      </c>
      <c r="S256" s="53"/>
      <c r="T256" s="54">
        <f>T247</f>
        <v>5308000</v>
      </c>
      <c r="U256" s="52">
        <f t="shared" si="24"/>
        <v>1857799.9999999998</v>
      </c>
      <c r="V256" s="54">
        <f t="shared" si="52"/>
        <v>5308000</v>
      </c>
      <c r="W256" s="54">
        <f t="shared" si="53"/>
        <v>1857799.9999999998</v>
      </c>
    </row>
    <row r="257" spans="1:24" ht="16.95" customHeight="1" x14ac:dyDescent="0.25">
      <c r="A257" s="49"/>
      <c r="B257" s="103"/>
      <c r="F257" s="123"/>
      <c r="G257" s="73"/>
      <c r="H257" s="73"/>
      <c r="I257" s="51"/>
      <c r="J257" s="49"/>
      <c r="K257" s="49"/>
      <c r="L257" s="52"/>
      <c r="M257" s="52"/>
      <c r="N257" s="52"/>
      <c r="O257" s="52"/>
      <c r="S257" s="53"/>
      <c r="T257" s="52"/>
      <c r="U257" s="52"/>
      <c r="V257" s="54"/>
      <c r="W257" s="54"/>
    </row>
    <row r="258" spans="1:24" x14ac:dyDescent="0.25">
      <c r="A258" s="49">
        <v>6</v>
      </c>
      <c r="B258" s="117" t="s">
        <v>229</v>
      </c>
      <c r="C258" s="118"/>
      <c r="D258" s="118"/>
      <c r="E258" s="118"/>
      <c r="F258" s="118"/>
      <c r="G258" s="118"/>
      <c r="H258" s="118"/>
      <c r="I258" s="51"/>
      <c r="J258" s="49"/>
      <c r="K258" s="49"/>
      <c r="L258" s="52"/>
      <c r="M258" s="52"/>
      <c r="N258" s="52"/>
      <c r="O258" s="52"/>
      <c r="S258" s="119"/>
      <c r="T258" s="52"/>
      <c r="U258" s="52"/>
      <c r="V258" s="54"/>
      <c r="W258" s="54"/>
    </row>
    <row r="259" spans="1:24" s="94" customFormat="1" ht="16.95" customHeight="1" x14ac:dyDescent="0.25">
      <c r="A259" s="97" t="s">
        <v>230</v>
      </c>
      <c r="B259" s="120" t="s">
        <v>146</v>
      </c>
      <c r="C259" s="94" t="s">
        <v>212</v>
      </c>
      <c r="E259" s="95" t="s">
        <v>3</v>
      </c>
      <c r="F259" s="95">
        <v>10</v>
      </c>
      <c r="G259" s="121" t="s">
        <v>55</v>
      </c>
      <c r="H259" s="121" t="s">
        <v>213</v>
      </c>
      <c r="I259" s="96"/>
      <c r="J259" s="97">
        <v>0</v>
      </c>
      <c r="K259" s="97" t="s">
        <v>155</v>
      </c>
      <c r="L259" s="98">
        <f t="shared" ref="L259:L266" si="54">ROUNDUP((T259/(1-$U$2)),-2)</f>
        <v>63993900</v>
      </c>
      <c r="M259" s="98">
        <f t="shared" ref="M259:M266" si="55">ROUNDUP((U259/(1-$U$3)),-2)</f>
        <v>22397900</v>
      </c>
      <c r="N259" s="98">
        <f t="shared" ref="N259:N266" si="56">L259*J259</f>
        <v>0</v>
      </c>
      <c r="O259" s="98">
        <f t="shared" ref="O259:O266" si="57">M259*J259</f>
        <v>0</v>
      </c>
      <c r="S259" s="99"/>
      <c r="T259" s="122">
        <f>T222</f>
        <v>46075578</v>
      </c>
      <c r="U259" s="98">
        <f t="shared" ref="U259" si="58">T259*35%</f>
        <v>16126452.299999999</v>
      </c>
      <c r="V259" s="122">
        <f t="shared" ref="V259:V266" si="59">T259*J259</f>
        <v>0</v>
      </c>
      <c r="W259" s="122">
        <f t="shared" ref="W259:W266" si="60">U259*J259</f>
        <v>0</v>
      </c>
    </row>
    <row r="260" spans="1:24" ht="16.95" customHeight="1" x14ac:dyDescent="0.25">
      <c r="A260" s="49"/>
      <c r="B260" s="103" t="s">
        <v>146</v>
      </c>
      <c r="C260" s="2" t="s">
        <v>210</v>
      </c>
      <c r="E260" s="9" t="s">
        <v>3</v>
      </c>
      <c r="F260" s="9">
        <v>12</v>
      </c>
      <c r="G260" s="73" t="s">
        <v>55</v>
      </c>
      <c r="H260" s="73" t="s">
        <v>211</v>
      </c>
      <c r="I260" s="51"/>
      <c r="J260" s="49">
        <v>3</v>
      </c>
      <c r="K260" s="49" t="s">
        <v>155</v>
      </c>
      <c r="L260" s="52">
        <f t="shared" si="54"/>
        <v>21866700</v>
      </c>
      <c r="M260" s="52">
        <f t="shared" si="55"/>
        <v>7653400</v>
      </c>
      <c r="N260" s="52">
        <f t="shared" si="56"/>
        <v>65600100</v>
      </c>
      <c r="O260" s="52">
        <f t="shared" si="57"/>
        <v>22960200</v>
      </c>
      <c r="S260" s="53"/>
      <c r="T260" s="54">
        <f>'[1]New Pricelist'!BM12</f>
        <v>15744000</v>
      </c>
      <c r="U260" s="52">
        <f t="shared" si="24"/>
        <v>5510400</v>
      </c>
      <c r="V260" s="54">
        <f t="shared" si="59"/>
        <v>47232000</v>
      </c>
      <c r="W260" s="54">
        <f t="shared" si="60"/>
        <v>16531200</v>
      </c>
    </row>
    <row r="261" spans="1:24" ht="16.95" customHeight="1" x14ac:dyDescent="0.25">
      <c r="A261" s="49"/>
      <c r="B261" s="103"/>
      <c r="E261" s="9" t="s">
        <v>3</v>
      </c>
      <c r="F261" s="9">
        <v>10</v>
      </c>
      <c r="G261" s="73" t="s">
        <v>55</v>
      </c>
      <c r="H261" s="73" t="s">
        <v>211</v>
      </c>
      <c r="I261" s="51"/>
      <c r="J261" s="49">
        <v>3</v>
      </c>
      <c r="K261" s="49" t="s">
        <v>155</v>
      </c>
      <c r="L261" s="52">
        <f t="shared" si="54"/>
        <v>8712500</v>
      </c>
      <c r="M261" s="52">
        <f t="shared" si="55"/>
        <v>3049400</v>
      </c>
      <c r="N261" s="52">
        <f t="shared" si="56"/>
        <v>26137500</v>
      </c>
      <c r="O261" s="52">
        <f t="shared" si="57"/>
        <v>9148200</v>
      </c>
      <c r="S261" s="53"/>
      <c r="T261" s="54">
        <f>'[1]New Pricelist'!BM10</f>
        <v>6273000</v>
      </c>
      <c r="U261" s="52">
        <f t="shared" si="24"/>
        <v>2195550</v>
      </c>
      <c r="V261" s="54">
        <f t="shared" si="59"/>
        <v>18819000</v>
      </c>
      <c r="W261" s="54">
        <f t="shared" si="60"/>
        <v>6586650</v>
      </c>
    </row>
    <row r="262" spans="1:24" ht="16.95" customHeight="1" x14ac:dyDescent="0.25">
      <c r="A262" s="49"/>
      <c r="B262" s="103"/>
      <c r="E262" s="9" t="s">
        <v>3</v>
      </c>
      <c r="F262" s="9">
        <v>8</v>
      </c>
      <c r="G262" s="73" t="s">
        <v>55</v>
      </c>
      <c r="H262" s="73" t="s">
        <v>211</v>
      </c>
      <c r="I262" s="51"/>
      <c r="J262" s="49">
        <v>6</v>
      </c>
      <c r="K262" s="49" t="s">
        <v>155</v>
      </c>
      <c r="L262" s="52">
        <f t="shared" si="54"/>
        <v>8712500</v>
      </c>
      <c r="M262" s="52">
        <f t="shared" si="55"/>
        <v>3049400</v>
      </c>
      <c r="N262" s="52">
        <f t="shared" si="56"/>
        <v>52275000</v>
      </c>
      <c r="O262" s="52">
        <f t="shared" si="57"/>
        <v>18296400</v>
      </c>
      <c r="S262" s="53"/>
      <c r="T262" s="54">
        <f>'[1]New Pricelist'!BM10</f>
        <v>6273000</v>
      </c>
      <c r="U262" s="52">
        <f t="shared" si="24"/>
        <v>2195550</v>
      </c>
      <c r="V262" s="54">
        <f t="shared" si="59"/>
        <v>37638000</v>
      </c>
      <c r="W262" s="54">
        <f t="shared" si="60"/>
        <v>13173300</v>
      </c>
    </row>
    <row r="263" spans="1:24" ht="16.95" customHeight="1" x14ac:dyDescent="0.25">
      <c r="A263" s="49"/>
      <c r="B263" s="103" t="s">
        <v>146</v>
      </c>
      <c r="C263" s="2" t="s">
        <v>220</v>
      </c>
      <c r="E263" s="9" t="s">
        <v>3</v>
      </c>
      <c r="F263" s="9">
        <v>2</v>
      </c>
      <c r="G263" s="73" t="s">
        <v>55</v>
      </c>
      <c r="H263" s="73" t="s">
        <v>211</v>
      </c>
      <c r="I263" s="51"/>
      <c r="J263" s="49">
        <v>10</v>
      </c>
      <c r="K263" s="49" t="s">
        <v>155</v>
      </c>
      <c r="L263" s="52">
        <f t="shared" si="54"/>
        <v>1962500</v>
      </c>
      <c r="M263" s="52">
        <f t="shared" si="55"/>
        <v>686900</v>
      </c>
      <c r="N263" s="52">
        <f t="shared" si="56"/>
        <v>19625000</v>
      </c>
      <c r="O263" s="52">
        <f t="shared" si="57"/>
        <v>6869000</v>
      </c>
      <c r="S263" s="53"/>
      <c r="T263" s="54">
        <f>'[1]New Pricelist'!BM4</f>
        <v>1413000</v>
      </c>
      <c r="U263" s="52">
        <f t="shared" si="24"/>
        <v>494549.99999999994</v>
      </c>
      <c r="V263" s="54">
        <f t="shared" si="59"/>
        <v>14130000</v>
      </c>
      <c r="W263" s="54">
        <f t="shared" si="60"/>
        <v>4945499.9999999991</v>
      </c>
    </row>
    <row r="264" spans="1:24" ht="16.95" customHeight="1" x14ac:dyDescent="0.25">
      <c r="A264" s="49"/>
      <c r="B264" s="103"/>
      <c r="E264" s="9" t="s">
        <v>3</v>
      </c>
      <c r="F264" s="124">
        <v>0.75</v>
      </c>
      <c r="G264" s="73" t="s">
        <v>55</v>
      </c>
      <c r="H264" s="73" t="s">
        <v>211</v>
      </c>
      <c r="I264" s="51"/>
      <c r="J264" s="49">
        <v>2</v>
      </c>
      <c r="K264" s="49" t="s">
        <v>155</v>
      </c>
      <c r="L264" s="52">
        <f t="shared" si="54"/>
        <v>536200</v>
      </c>
      <c r="M264" s="52">
        <f t="shared" si="55"/>
        <v>187700</v>
      </c>
      <c r="N264" s="52">
        <f t="shared" si="56"/>
        <v>1072400</v>
      </c>
      <c r="O264" s="52">
        <f t="shared" si="57"/>
        <v>375400</v>
      </c>
      <c r="S264" s="53"/>
      <c r="T264" s="54">
        <f>T255</f>
        <v>386000</v>
      </c>
      <c r="U264" s="52">
        <f t="shared" si="24"/>
        <v>135100</v>
      </c>
      <c r="V264" s="54">
        <f t="shared" si="59"/>
        <v>772000</v>
      </c>
      <c r="W264" s="54">
        <f t="shared" si="60"/>
        <v>270200</v>
      </c>
    </row>
    <row r="265" spans="1:24" ht="16.95" customHeight="1" x14ac:dyDescent="0.25">
      <c r="A265" s="49"/>
      <c r="B265" s="103" t="s">
        <v>146</v>
      </c>
      <c r="C265" s="2" t="s">
        <v>231</v>
      </c>
      <c r="E265" s="9" t="s">
        <v>3</v>
      </c>
      <c r="F265" s="125" t="s">
        <v>232</v>
      </c>
      <c r="G265" s="73" t="s">
        <v>55</v>
      </c>
      <c r="H265" s="73" t="s">
        <v>211</v>
      </c>
      <c r="I265" s="51"/>
      <c r="J265" s="49">
        <v>1</v>
      </c>
      <c r="K265" s="49" t="s">
        <v>155</v>
      </c>
      <c r="L265" s="52">
        <f t="shared" si="54"/>
        <v>1091700</v>
      </c>
      <c r="M265" s="52">
        <f t="shared" si="55"/>
        <v>382100</v>
      </c>
      <c r="N265" s="52">
        <f t="shared" si="56"/>
        <v>1091700</v>
      </c>
      <c r="O265" s="52">
        <f t="shared" si="57"/>
        <v>382100</v>
      </c>
      <c r="S265" s="53"/>
      <c r="T265" s="54">
        <v>786000</v>
      </c>
      <c r="U265" s="52">
        <f t="shared" si="24"/>
        <v>275100</v>
      </c>
      <c r="V265" s="54">
        <f t="shared" si="59"/>
        <v>786000</v>
      </c>
      <c r="W265" s="54">
        <f t="shared" si="60"/>
        <v>275100</v>
      </c>
    </row>
    <row r="266" spans="1:24" ht="16.95" customHeight="1" x14ac:dyDescent="0.25">
      <c r="A266" s="49"/>
      <c r="B266" s="103" t="s">
        <v>146</v>
      </c>
      <c r="C266" s="2" t="s">
        <v>233</v>
      </c>
      <c r="E266" s="9" t="s">
        <v>3</v>
      </c>
      <c r="F266" s="125" t="s">
        <v>232</v>
      </c>
      <c r="G266" s="73" t="s">
        <v>55</v>
      </c>
      <c r="H266" s="73" t="s">
        <v>211</v>
      </c>
      <c r="I266" s="51"/>
      <c r="J266" s="49">
        <v>2</v>
      </c>
      <c r="K266" s="49" t="s">
        <v>155</v>
      </c>
      <c r="L266" s="52">
        <f t="shared" si="54"/>
        <v>870900</v>
      </c>
      <c r="M266" s="52">
        <f t="shared" si="55"/>
        <v>304800</v>
      </c>
      <c r="N266" s="52">
        <f t="shared" si="56"/>
        <v>1741800</v>
      </c>
      <c r="O266" s="52">
        <f t="shared" si="57"/>
        <v>609600</v>
      </c>
      <c r="S266" s="53"/>
      <c r="T266" s="54">
        <f>'[1]New Pricelist'!BM97</f>
        <v>627000</v>
      </c>
      <c r="U266" s="52">
        <f t="shared" si="24"/>
        <v>219450</v>
      </c>
      <c r="V266" s="54">
        <f t="shared" si="59"/>
        <v>1254000</v>
      </c>
      <c r="W266" s="54">
        <f t="shared" si="60"/>
        <v>438900</v>
      </c>
    </row>
    <row r="267" spans="1:24" x14ac:dyDescent="0.25">
      <c r="A267" s="49"/>
      <c r="B267" s="103"/>
      <c r="I267" s="51"/>
      <c r="J267" s="49"/>
      <c r="K267" s="49"/>
      <c r="L267" s="52"/>
      <c r="M267" s="52"/>
      <c r="N267" s="52"/>
      <c r="O267" s="52"/>
      <c r="S267" s="53"/>
      <c r="T267" s="52"/>
      <c r="U267" s="52"/>
      <c r="V267" s="54"/>
      <c r="W267" s="54"/>
    </row>
    <row r="268" spans="1:24" s="43" customFormat="1" x14ac:dyDescent="0.25">
      <c r="A268" s="48"/>
      <c r="B268" s="58"/>
      <c r="C268" s="59"/>
      <c r="D268" s="59"/>
      <c r="E268" s="60"/>
      <c r="F268" s="60"/>
      <c r="G268" s="61"/>
      <c r="H268" s="62" t="s">
        <v>234</v>
      </c>
      <c r="I268" s="63"/>
      <c r="J268" s="64"/>
      <c r="K268" s="64"/>
      <c r="L268" s="65"/>
      <c r="M268" s="65"/>
      <c r="N268" s="65">
        <f>SUM(N139:N267)</f>
        <v>5533535500</v>
      </c>
      <c r="O268" s="65">
        <f>SUM(O139:O267)</f>
        <v>1936780200</v>
      </c>
      <c r="S268" s="47"/>
      <c r="T268" s="48"/>
      <c r="U268" s="48"/>
      <c r="V268" s="65">
        <f>SUM(V132:V267)</f>
        <v>3984095205</v>
      </c>
      <c r="W268" s="65">
        <f>SUM(W132:W267)</f>
        <v>1394433321.75</v>
      </c>
      <c r="X268" s="67"/>
    </row>
    <row r="269" spans="1:24" x14ac:dyDescent="0.25">
      <c r="A269" s="41" t="s">
        <v>235</v>
      </c>
      <c r="B269" s="42" t="s">
        <v>236</v>
      </c>
      <c r="C269" s="102"/>
      <c r="D269" s="102"/>
      <c r="I269" s="51"/>
      <c r="J269" s="49"/>
      <c r="K269" s="49"/>
      <c r="L269" s="52"/>
      <c r="M269" s="52"/>
      <c r="N269" s="52"/>
      <c r="O269" s="52"/>
      <c r="S269" s="53"/>
      <c r="T269" s="52"/>
      <c r="U269" s="52"/>
      <c r="V269" s="54"/>
      <c r="W269" s="54"/>
    </row>
    <row r="270" spans="1:24" x14ac:dyDescent="0.25">
      <c r="A270" s="41"/>
      <c r="B270" s="42"/>
      <c r="C270" s="102"/>
      <c r="D270" s="102"/>
      <c r="I270" s="51"/>
      <c r="J270" s="49"/>
      <c r="K270" s="49"/>
      <c r="L270" s="52"/>
      <c r="M270" s="52"/>
      <c r="N270" s="52"/>
      <c r="O270" s="52"/>
      <c r="S270" s="53"/>
      <c r="T270" s="52"/>
      <c r="U270" s="52"/>
      <c r="V270" s="54"/>
      <c r="W270" s="54"/>
    </row>
    <row r="271" spans="1:24" x14ac:dyDescent="0.25">
      <c r="A271" s="41"/>
      <c r="B271" s="42" t="s">
        <v>237</v>
      </c>
      <c r="C271" s="102"/>
      <c r="D271" s="102"/>
      <c r="I271" s="51"/>
      <c r="J271" s="49"/>
      <c r="K271" s="49"/>
      <c r="L271" s="52"/>
      <c r="M271" s="52"/>
      <c r="N271" s="52"/>
      <c r="O271" s="52"/>
      <c r="S271" s="53"/>
      <c r="T271" s="52"/>
      <c r="U271" s="52"/>
      <c r="V271" s="54"/>
      <c r="W271" s="54"/>
    </row>
    <row r="272" spans="1:24" x14ac:dyDescent="0.25">
      <c r="A272" s="41"/>
      <c r="B272" s="42"/>
      <c r="C272" s="102"/>
      <c r="D272" s="102"/>
      <c r="I272" s="51"/>
      <c r="J272" s="49"/>
      <c r="K272" s="49"/>
      <c r="L272" s="52"/>
      <c r="M272" s="52"/>
      <c r="N272" s="52"/>
      <c r="O272" s="52"/>
      <c r="S272" s="53"/>
      <c r="T272" s="52"/>
      <c r="U272" s="52"/>
      <c r="V272" s="54"/>
      <c r="W272" s="54"/>
    </row>
    <row r="273" spans="1:30" x14ac:dyDescent="0.25">
      <c r="A273" s="49">
        <v>1</v>
      </c>
      <c r="B273" s="42" t="s">
        <v>238</v>
      </c>
      <c r="F273" s="73"/>
      <c r="H273" s="70"/>
      <c r="I273" s="51"/>
      <c r="J273" s="49"/>
      <c r="K273" s="49"/>
      <c r="L273" s="52"/>
      <c r="M273" s="52"/>
      <c r="N273" s="52"/>
      <c r="O273" s="52"/>
      <c r="S273" s="53"/>
      <c r="T273" s="52"/>
      <c r="U273" s="52"/>
      <c r="V273" s="54"/>
      <c r="W273" s="54"/>
    </row>
    <row r="274" spans="1:30" x14ac:dyDescent="0.25">
      <c r="A274" s="49"/>
      <c r="B274" s="103" t="s">
        <v>146</v>
      </c>
      <c r="C274" s="2" t="s">
        <v>239</v>
      </c>
      <c r="E274" s="44" t="s">
        <v>3</v>
      </c>
      <c r="F274" s="73" t="s">
        <v>240</v>
      </c>
      <c r="H274" s="70"/>
      <c r="I274" s="51"/>
      <c r="J274" s="49">
        <v>1</v>
      </c>
      <c r="K274" s="49" t="s">
        <v>155</v>
      </c>
      <c r="L274" s="52">
        <f t="shared" ref="L274:L278" si="61">ROUNDUP((T274/(1-$U$2)),-2)</f>
        <v>33472300</v>
      </c>
      <c r="M274" s="52">
        <f t="shared" ref="M274:M278" si="62">ROUNDUP((U274/(1-$U$3)),-2)</f>
        <v>11715300</v>
      </c>
      <c r="N274" s="52">
        <f>L274*J274</f>
        <v>33472300</v>
      </c>
      <c r="O274" s="52">
        <f>M274*J274</f>
        <v>11715300</v>
      </c>
      <c r="S274" s="53"/>
      <c r="T274" s="52">
        <v>24100000</v>
      </c>
      <c r="U274" s="52">
        <f t="shared" ref="U274:U278" si="63">T274*35%</f>
        <v>8435000</v>
      </c>
      <c r="V274" s="54">
        <f t="shared" ref="V274:V278" si="64">T274*J274</f>
        <v>24100000</v>
      </c>
      <c r="W274" s="54">
        <f t="shared" ref="W274:W278" si="65">U274*J274</f>
        <v>8435000</v>
      </c>
    </row>
    <row r="275" spans="1:30" x14ac:dyDescent="0.25">
      <c r="A275" s="49"/>
      <c r="B275" s="103" t="s">
        <v>146</v>
      </c>
      <c r="C275" s="2" t="s">
        <v>241</v>
      </c>
      <c r="E275" s="44" t="s">
        <v>3</v>
      </c>
      <c r="F275" s="73" t="s">
        <v>242</v>
      </c>
      <c r="H275" s="70"/>
      <c r="I275" s="51"/>
      <c r="J275" s="49">
        <v>1</v>
      </c>
      <c r="K275" s="49" t="s">
        <v>155</v>
      </c>
      <c r="L275" s="52">
        <f t="shared" si="61"/>
        <v>9861200</v>
      </c>
      <c r="M275" s="52">
        <f t="shared" si="62"/>
        <v>3451400</v>
      </c>
      <c r="N275" s="52">
        <f>L275*J275</f>
        <v>9861200</v>
      </c>
      <c r="O275" s="52">
        <f>M275*J275</f>
        <v>3451400</v>
      </c>
      <c r="S275" s="53"/>
      <c r="T275" s="52">
        <v>7100000</v>
      </c>
      <c r="U275" s="52">
        <f t="shared" si="63"/>
        <v>2485000</v>
      </c>
      <c r="V275" s="54">
        <f t="shared" si="64"/>
        <v>7100000</v>
      </c>
      <c r="W275" s="54">
        <f t="shared" si="65"/>
        <v>2485000</v>
      </c>
    </row>
    <row r="276" spans="1:30" x14ac:dyDescent="0.25">
      <c r="A276" s="49"/>
      <c r="B276" s="103" t="s">
        <v>146</v>
      </c>
      <c r="C276" s="2" t="s">
        <v>243</v>
      </c>
      <c r="E276" s="44" t="s">
        <v>3</v>
      </c>
      <c r="F276" s="73" t="s">
        <v>244</v>
      </c>
      <c r="H276" s="70"/>
      <c r="I276" s="51"/>
      <c r="J276" s="49">
        <v>2</v>
      </c>
      <c r="K276" s="49" t="s">
        <v>155</v>
      </c>
      <c r="L276" s="52">
        <f t="shared" si="61"/>
        <v>5138900</v>
      </c>
      <c r="M276" s="52">
        <f t="shared" si="62"/>
        <v>1798700</v>
      </c>
      <c r="N276" s="52">
        <f>L276*J276</f>
        <v>10277800</v>
      </c>
      <c r="O276" s="52">
        <f>M276*J276</f>
        <v>3597400</v>
      </c>
      <c r="S276" s="53"/>
      <c r="T276" s="52">
        <v>3700000</v>
      </c>
      <c r="U276" s="52">
        <f t="shared" si="63"/>
        <v>1295000</v>
      </c>
      <c r="V276" s="54">
        <f t="shared" si="64"/>
        <v>7400000</v>
      </c>
      <c r="W276" s="54">
        <f t="shared" si="65"/>
        <v>2590000</v>
      </c>
    </row>
    <row r="277" spans="1:30" x14ac:dyDescent="0.25">
      <c r="A277" s="49"/>
      <c r="B277" s="103" t="s">
        <v>146</v>
      </c>
      <c r="C277" s="2" t="s">
        <v>245</v>
      </c>
      <c r="E277" s="44" t="s">
        <v>3</v>
      </c>
      <c r="F277" s="73" t="s">
        <v>246</v>
      </c>
      <c r="H277" s="70"/>
      <c r="I277" s="51"/>
      <c r="J277" s="49">
        <v>2</v>
      </c>
      <c r="K277" s="49" t="s">
        <v>155</v>
      </c>
      <c r="L277" s="52">
        <f t="shared" si="61"/>
        <v>5833400</v>
      </c>
      <c r="M277" s="52">
        <f t="shared" si="62"/>
        <v>2041700</v>
      </c>
      <c r="N277" s="52">
        <f>L277*J277</f>
        <v>11666800</v>
      </c>
      <c r="O277" s="52">
        <f>M277*J277</f>
        <v>4083400</v>
      </c>
      <c r="S277" s="53"/>
      <c r="T277" s="52">
        <v>4200000</v>
      </c>
      <c r="U277" s="52">
        <f t="shared" si="63"/>
        <v>1470000</v>
      </c>
      <c r="V277" s="54">
        <f t="shared" si="64"/>
        <v>8400000</v>
      </c>
      <c r="W277" s="54">
        <f t="shared" si="65"/>
        <v>2940000</v>
      </c>
    </row>
    <row r="278" spans="1:30" x14ac:dyDescent="0.25">
      <c r="A278" s="49"/>
      <c r="B278" s="103" t="s">
        <v>146</v>
      </c>
      <c r="C278" s="2" t="s">
        <v>247</v>
      </c>
      <c r="E278" s="44" t="s">
        <v>3</v>
      </c>
      <c r="F278" s="73" t="s">
        <v>248</v>
      </c>
      <c r="H278" s="70"/>
      <c r="I278" s="51"/>
      <c r="J278" s="49">
        <v>2</v>
      </c>
      <c r="K278" s="49" t="s">
        <v>155</v>
      </c>
      <c r="L278" s="52">
        <f t="shared" si="61"/>
        <v>7500000</v>
      </c>
      <c r="M278" s="52">
        <f t="shared" si="62"/>
        <v>2625000</v>
      </c>
      <c r="N278" s="52">
        <f>L278*J278</f>
        <v>15000000</v>
      </c>
      <c r="O278" s="52">
        <f>M278*J278</f>
        <v>5250000</v>
      </c>
      <c r="S278" s="53"/>
      <c r="T278" s="52">
        <v>5400000</v>
      </c>
      <c r="U278" s="52">
        <f t="shared" si="63"/>
        <v>1889999.9999999998</v>
      </c>
      <c r="V278" s="54">
        <f t="shared" si="64"/>
        <v>10800000</v>
      </c>
      <c r="W278" s="54">
        <f t="shared" si="65"/>
        <v>3779999.9999999995</v>
      </c>
    </row>
    <row r="279" spans="1:30" x14ac:dyDescent="0.25">
      <c r="A279" s="49"/>
      <c r="B279" s="103"/>
      <c r="E279" s="44"/>
      <c r="F279" s="73"/>
      <c r="H279" s="70"/>
      <c r="I279" s="51"/>
      <c r="J279" s="49"/>
      <c r="K279" s="49"/>
      <c r="L279" s="52"/>
      <c r="M279" s="52"/>
      <c r="N279" s="52"/>
      <c r="O279" s="52"/>
      <c r="S279" s="53"/>
      <c r="T279" s="52"/>
      <c r="U279" s="52"/>
      <c r="V279" s="54"/>
      <c r="W279" s="54"/>
    </row>
    <row r="280" spans="1:30" x14ac:dyDescent="0.25">
      <c r="A280" s="49">
        <v>2</v>
      </c>
      <c r="B280" s="42" t="s">
        <v>249</v>
      </c>
      <c r="C280" s="72"/>
      <c r="F280" s="73"/>
      <c r="G280" s="72"/>
      <c r="H280" s="70"/>
      <c r="I280" s="51"/>
      <c r="J280" s="49"/>
      <c r="K280" s="49"/>
      <c r="L280" s="52"/>
      <c r="M280" s="52"/>
      <c r="N280" s="52"/>
      <c r="O280" s="52"/>
      <c r="S280" s="53"/>
      <c r="T280" s="55"/>
      <c r="U280" s="55"/>
      <c r="V280" s="55"/>
      <c r="W280" s="55"/>
    </row>
    <row r="281" spans="1:30" x14ac:dyDescent="0.25">
      <c r="A281" s="55"/>
      <c r="B281" s="126" t="s">
        <v>146</v>
      </c>
      <c r="C281" s="72" t="s">
        <v>39</v>
      </c>
      <c r="E281" s="9" t="s">
        <v>3</v>
      </c>
      <c r="F281" s="73" t="s">
        <v>250</v>
      </c>
      <c r="G281" s="72"/>
      <c r="H281" s="70"/>
      <c r="I281" s="51"/>
      <c r="J281" s="49">
        <v>1</v>
      </c>
      <c r="K281" s="49" t="s">
        <v>36</v>
      </c>
      <c r="L281" s="52">
        <f t="shared" ref="L281" si="66">ROUNDUP((T281/(1-$U$2)),-2)</f>
        <v>190937700</v>
      </c>
      <c r="M281" s="52">
        <f t="shared" ref="M281" si="67">ROUNDUP((U281/(1-$U$3)),-2)</f>
        <v>28640700</v>
      </c>
      <c r="N281" s="52">
        <f>L281*J281</f>
        <v>190937700</v>
      </c>
      <c r="O281" s="52">
        <f>M281*J281</f>
        <v>28640700</v>
      </c>
      <c r="S281" s="53"/>
      <c r="T281" s="54">
        <v>137475080</v>
      </c>
      <c r="U281" s="52">
        <f>T281*15%</f>
        <v>20621262</v>
      </c>
      <c r="V281" s="54">
        <f t="shared" ref="V281" si="68">T281*J281</f>
        <v>137475080</v>
      </c>
      <c r="W281" s="54">
        <f t="shared" ref="W281" si="69">U281*J281</f>
        <v>20621262</v>
      </c>
    </row>
    <row r="282" spans="1:30" x14ac:dyDescent="0.25">
      <c r="A282" s="55"/>
      <c r="B282" s="103"/>
      <c r="C282" s="72" t="s">
        <v>109</v>
      </c>
      <c r="E282" s="9" t="s">
        <v>3</v>
      </c>
      <c r="F282" s="73" t="s">
        <v>251</v>
      </c>
      <c r="G282" s="72"/>
      <c r="H282" s="70"/>
      <c r="I282" s="51"/>
      <c r="J282" s="49"/>
      <c r="K282" s="49"/>
      <c r="L282" s="52"/>
      <c r="M282" s="52"/>
      <c r="N282" s="52"/>
      <c r="O282" s="52"/>
      <c r="S282" s="53"/>
      <c r="T282" s="55"/>
      <c r="U282" s="55"/>
      <c r="V282" s="55"/>
      <c r="W282" s="55"/>
    </row>
    <row r="283" spans="1:30" x14ac:dyDescent="0.25">
      <c r="A283" s="49"/>
      <c r="B283" s="103"/>
      <c r="E283" s="44"/>
      <c r="F283" s="73"/>
      <c r="H283" s="70"/>
      <c r="I283" s="51"/>
      <c r="J283" s="49"/>
      <c r="K283" s="49"/>
      <c r="L283" s="52"/>
      <c r="M283" s="52"/>
      <c r="N283" s="52"/>
      <c r="O283" s="52"/>
      <c r="S283" s="53"/>
      <c r="T283" s="52"/>
      <c r="U283" s="52"/>
      <c r="V283" s="54"/>
      <c r="W283" s="54"/>
    </row>
    <row r="284" spans="1:30" x14ac:dyDescent="0.25">
      <c r="A284" s="127">
        <v>3</v>
      </c>
      <c r="B284" s="128" t="s">
        <v>252</v>
      </c>
      <c r="C284" s="129"/>
      <c r="D284" s="129"/>
      <c r="E284" s="44"/>
      <c r="F284" s="73"/>
      <c r="H284" s="70"/>
      <c r="I284" s="51"/>
      <c r="J284" s="49"/>
      <c r="K284" s="49"/>
      <c r="L284" s="52"/>
      <c r="M284" s="52"/>
      <c r="N284" s="52"/>
      <c r="O284" s="52"/>
      <c r="S284" s="53"/>
      <c r="T284" s="52"/>
      <c r="U284" s="52"/>
      <c r="V284" s="54"/>
      <c r="W284" s="54"/>
    </row>
    <row r="285" spans="1:30" x14ac:dyDescent="0.25">
      <c r="A285" s="127"/>
      <c r="B285" s="103" t="s">
        <v>146</v>
      </c>
      <c r="C285" s="129" t="s">
        <v>253</v>
      </c>
      <c r="D285" s="129"/>
      <c r="E285" s="130"/>
      <c r="F285" s="130"/>
      <c r="G285" s="129"/>
      <c r="H285" s="129"/>
      <c r="I285" s="131"/>
      <c r="J285" s="127">
        <v>10</v>
      </c>
      <c r="K285" s="127" t="s">
        <v>254</v>
      </c>
      <c r="L285" s="52">
        <f t="shared" ref="L285:L288" si="70">ROUNDUP((T285/(1-$U$2)),-2)</f>
        <v>8383400</v>
      </c>
      <c r="M285" s="52">
        <f t="shared" ref="M285:M288" si="71">ROUNDUP((U285/(1-$U$3)),-2)</f>
        <v>3353400</v>
      </c>
      <c r="N285" s="52">
        <f t="shared" ref="N285:N288" si="72">L285*J285</f>
        <v>83834000</v>
      </c>
      <c r="O285" s="52">
        <f t="shared" ref="O285:O288" si="73">M285*J285</f>
        <v>33534000</v>
      </c>
      <c r="P285" s="129"/>
      <c r="Q285" s="129"/>
      <c r="R285" s="129"/>
      <c r="S285" s="132"/>
      <c r="T285" s="52">
        <f>503000*12</f>
        <v>6036000</v>
      </c>
      <c r="U285" s="133">
        <f>T285*40%</f>
        <v>2414400</v>
      </c>
      <c r="V285" s="54">
        <f t="shared" ref="V285:V288" si="74">T285*J285</f>
        <v>60360000</v>
      </c>
      <c r="W285" s="54">
        <f t="shared" ref="W285:W288" si="75">U285*J285</f>
        <v>24144000</v>
      </c>
      <c r="Y285" s="134">
        <v>503000</v>
      </c>
      <c r="Z285" s="135"/>
      <c r="AA285" s="135"/>
      <c r="AB285" s="136"/>
      <c r="AC285" s="135"/>
      <c r="AD285" s="135"/>
    </row>
    <row r="286" spans="1:30" ht="14.4" x14ac:dyDescent="0.3">
      <c r="A286" s="127"/>
      <c r="B286" s="103" t="s">
        <v>146</v>
      </c>
      <c r="C286" s="129" t="s">
        <v>255</v>
      </c>
      <c r="D286" s="129"/>
      <c r="E286" s="130"/>
      <c r="F286" s="130"/>
      <c r="G286" s="129"/>
      <c r="H286" s="129"/>
      <c r="I286" s="131"/>
      <c r="J286" s="127">
        <v>10</v>
      </c>
      <c r="K286" s="127" t="s">
        <v>254</v>
      </c>
      <c r="L286" s="52">
        <f t="shared" si="70"/>
        <v>101400</v>
      </c>
      <c r="M286" s="52">
        <f t="shared" si="71"/>
        <v>40600</v>
      </c>
      <c r="N286" s="52">
        <f t="shared" si="72"/>
        <v>1014000</v>
      </c>
      <c r="O286" s="52">
        <f t="shared" si="73"/>
        <v>406000</v>
      </c>
      <c r="P286" s="129"/>
      <c r="Q286" s="129"/>
      <c r="R286" s="129"/>
      <c r="S286" s="132"/>
      <c r="T286" s="52">
        <f>'[1]New Pricelist'!G881</f>
        <v>73000</v>
      </c>
      <c r="U286" s="133">
        <f>T286*40%</f>
        <v>29200</v>
      </c>
      <c r="V286" s="54">
        <f t="shared" si="74"/>
        <v>730000</v>
      </c>
      <c r="W286" s="54">
        <f t="shared" si="75"/>
        <v>292000</v>
      </c>
      <c r="Y286" s="134">
        <v>386329</v>
      </c>
      <c r="Z286" s="135"/>
      <c r="AA286" s="135"/>
      <c r="AB286" s="136"/>
      <c r="AC286" s="135"/>
      <c r="AD286" s="135"/>
    </row>
    <row r="287" spans="1:30" s="94" customFormat="1" ht="14.4" x14ac:dyDescent="0.3">
      <c r="A287" s="97"/>
      <c r="B287" s="120" t="s">
        <v>146</v>
      </c>
      <c r="C287" s="94" t="s">
        <v>256</v>
      </c>
      <c r="E287" s="95"/>
      <c r="F287" s="95"/>
      <c r="I287" s="96"/>
      <c r="J287" s="97">
        <v>0</v>
      </c>
      <c r="K287" s="97" t="s">
        <v>254</v>
      </c>
      <c r="L287" s="98">
        <f t="shared" si="70"/>
        <v>61200</v>
      </c>
      <c r="M287" s="98">
        <f t="shared" si="71"/>
        <v>24500</v>
      </c>
      <c r="N287" s="98">
        <f t="shared" si="72"/>
        <v>0</v>
      </c>
      <c r="O287" s="98">
        <f t="shared" si="73"/>
        <v>0</v>
      </c>
      <c r="S287" s="99"/>
      <c r="T287" s="98">
        <f>'[1]New Pricelist'!G871</f>
        <v>44000</v>
      </c>
      <c r="U287" s="137">
        <f>T287*40%</f>
        <v>17600</v>
      </c>
      <c r="V287" s="122">
        <f t="shared" si="74"/>
        <v>0</v>
      </c>
      <c r="W287" s="122">
        <f t="shared" si="75"/>
        <v>0</v>
      </c>
      <c r="Y287" s="138">
        <f>Y285/Y286</f>
        <v>1.3019990733286912</v>
      </c>
      <c r="Z287" s="139"/>
      <c r="AA287" s="139"/>
      <c r="AB287" s="140"/>
      <c r="AC287" s="139"/>
      <c r="AD287" s="139"/>
    </row>
    <row r="288" spans="1:30" s="94" customFormat="1" ht="14.4" x14ac:dyDescent="0.3">
      <c r="A288" s="97"/>
      <c r="B288" s="120" t="s">
        <v>146</v>
      </c>
      <c r="C288" s="94" t="s">
        <v>257</v>
      </c>
      <c r="E288" s="95"/>
      <c r="F288" s="95"/>
      <c r="I288" s="96"/>
      <c r="J288" s="97">
        <v>0</v>
      </c>
      <c r="K288" s="97" t="s">
        <v>254</v>
      </c>
      <c r="L288" s="98">
        <f t="shared" si="70"/>
        <v>61200</v>
      </c>
      <c r="M288" s="98">
        <f t="shared" si="71"/>
        <v>24500</v>
      </c>
      <c r="N288" s="98">
        <f t="shared" si="72"/>
        <v>0</v>
      </c>
      <c r="O288" s="98">
        <f t="shared" si="73"/>
        <v>0</v>
      </c>
      <c r="S288" s="99"/>
      <c r="T288" s="98">
        <f>T287</f>
        <v>44000</v>
      </c>
      <c r="U288" s="137">
        <f>T288*40%</f>
        <v>17600</v>
      </c>
      <c r="V288" s="122">
        <f t="shared" si="74"/>
        <v>0</v>
      </c>
      <c r="W288" s="122">
        <f t="shared" si="75"/>
        <v>0</v>
      </c>
      <c r="Y288" s="140"/>
      <c r="Z288" s="139"/>
      <c r="AA288" s="139"/>
      <c r="AB288" s="140"/>
      <c r="AC288" s="139"/>
      <c r="AD288" s="139"/>
    </row>
    <row r="289" spans="1:30" x14ac:dyDescent="0.25">
      <c r="A289" s="127"/>
      <c r="B289" s="128"/>
      <c r="C289" s="129"/>
      <c r="D289" s="129"/>
      <c r="E289" s="44"/>
      <c r="F289" s="73"/>
      <c r="H289" s="70"/>
      <c r="I289" s="51"/>
      <c r="J289" s="49"/>
      <c r="K289" s="49"/>
      <c r="L289" s="52"/>
      <c r="M289" s="52"/>
      <c r="N289" s="52"/>
      <c r="O289" s="52"/>
      <c r="S289" s="53"/>
      <c r="T289" s="52"/>
      <c r="U289" s="52"/>
      <c r="V289" s="54"/>
      <c r="W289" s="54"/>
    </row>
    <row r="290" spans="1:30" x14ac:dyDescent="0.25">
      <c r="A290" s="127">
        <v>4</v>
      </c>
      <c r="B290" s="128" t="s">
        <v>258</v>
      </c>
      <c r="C290" s="129"/>
      <c r="D290" s="129"/>
      <c r="E290" s="44"/>
      <c r="F290" s="73"/>
      <c r="H290" s="70"/>
      <c r="I290" s="51"/>
      <c r="J290" s="49"/>
      <c r="K290" s="49"/>
      <c r="L290" s="52"/>
      <c r="M290" s="52"/>
      <c r="N290" s="52"/>
      <c r="O290" s="52"/>
      <c r="S290" s="53"/>
      <c r="T290" s="52"/>
      <c r="U290" s="52"/>
      <c r="V290" s="54"/>
      <c r="W290" s="54"/>
    </row>
    <row r="291" spans="1:30" x14ac:dyDescent="0.25">
      <c r="A291" s="127"/>
      <c r="B291" s="103" t="s">
        <v>146</v>
      </c>
      <c r="C291" s="129" t="s">
        <v>253</v>
      </c>
      <c r="D291" s="129"/>
      <c r="E291" s="130"/>
      <c r="F291" s="130"/>
      <c r="G291" s="129"/>
      <c r="H291" s="129"/>
      <c r="I291" s="131"/>
      <c r="J291" s="127">
        <v>20</v>
      </c>
      <c r="K291" s="127" t="s">
        <v>254</v>
      </c>
      <c r="L291" s="52">
        <f t="shared" ref="L291:L294" si="76">ROUNDUP((T291/(1-$U$2)),-2)</f>
        <v>8383400</v>
      </c>
      <c r="M291" s="52">
        <f t="shared" ref="M291:M294" si="77">ROUNDUP((U291/(1-$U$3)),-2)</f>
        <v>3353400</v>
      </c>
      <c r="N291" s="52">
        <f t="shared" ref="N291:N294" si="78">L291*J291</f>
        <v>167668000</v>
      </c>
      <c r="O291" s="52">
        <f t="shared" ref="O291:O294" si="79">M291*J291</f>
        <v>67068000</v>
      </c>
      <c r="P291" s="129"/>
      <c r="Q291" s="129"/>
      <c r="R291" s="129"/>
      <c r="S291" s="132"/>
      <c r="T291" s="52">
        <f>T285</f>
        <v>6036000</v>
      </c>
      <c r="U291" s="133">
        <f>T291*40%</f>
        <v>2414400</v>
      </c>
      <c r="V291" s="54">
        <f t="shared" ref="V291:V294" si="80">T291*J291</f>
        <v>120720000</v>
      </c>
      <c r="W291" s="54">
        <f t="shared" ref="W291:W294" si="81">U291*J291</f>
        <v>48288000</v>
      </c>
      <c r="Y291" s="136"/>
      <c r="Z291" s="135"/>
      <c r="AA291" s="135"/>
      <c r="AB291" s="136"/>
      <c r="AC291" s="135"/>
      <c r="AD291" s="135"/>
    </row>
    <row r="292" spans="1:30" ht="14.4" x14ac:dyDescent="0.3">
      <c r="A292" s="127"/>
      <c r="B292" s="103" t="s">
        <v>146</v>
      </c>
      <c r="C292" s="129" t="s">
        <v>259</v>
      </c>
      <c r="D292" s="129"/>
      <c r="E292" s="130"/>
      <c r="F292" s="130"/>
      <c r="G292" s="129"/>
      <c r="H292" s="129"/>
      <c r="I292" s="131"/>
      <c r="J292" s="127">
        <v>25</v>
      </c>
      <c r="K292" s="127" t="s">
        <v>254</v>
      </c>
      <c r="L292" s="52">
        <f t="shared" si="76"/>
        <v>101400</v>
      </c>
      <c r="M292" s="52">
        <f t="shared" si="77"/>
        <v>40600</v>
      </c>
      <c r="N292" s="52">
        <f t="shared" si="78"/>
        <v>2535000</v>
      </c>
      <c r="O292" s="52">
        <f t="shared" si="79"/>
        <v>1015000</v>
      </c>
      <c r="P292" s="129"/>
      <c r="Q292" s="129"/>
      <c r="R292" s="129"/>
      <c r="S292" s="132"/>
      <c r="T292" s="52">
        <f>T286</f>
        <v>73000</v>
      </c>
      <c r="U292" s="133">
        <f>T292*40%</f>
        <v>29200</v>
      </c>
      <c r="V292" s="54">
        <f t="shared" si="80"/>
        <v>1825000</v>
      </c>
      <c r="W292" s="54">
        <f t="shared" si="81"/>
        <v>730000</v>
      </c>
      <c r="Y292" s="136"/>
      <c r="Z292" s="135"/>
      <c r="AA292" s="135"/>
      <c r="AB292" s="136"/>
      <c r="AC292" s="135"/>
      <c r="AD292" s="135"/>
    </row>
    <row r="293" spans="1:30" s="94" customFormat="1" ht="14.4" x14ac:dyDescent="0.3">
      <c r="A293" s="97"/>
      <c r="B293" s="120" t="s">
        <v>146</v>
      </c>
      <c r="C293" s="94" t="s">
        <v>260</v>
      </c>
      <c r="E293" s="95"/>
      <c r="F293" s="95"/>
      <c r="I293" s="96"/>
      <c r="J293" s="97">
        <v>0</v>
      </c>
      <c r="K293" s="97" t="s">
        <v>254</v>
      </c>
      <c r="L293" s="98">
        <f t="shared" si="76"/>
        <v>61200</v>
      </c>
      <c r="M293" s="98">
        <f t="shared" si="77"/>
        <v>24500</v>
      </c>
      <c r="N293" s="98">
        <f t="shared" si="78"/>
        <v>0</v>
      </c>
      <c r="O293" s="98">
        <f t="shared" si="79"/>
        <v>0</v>
      </c>
      <c r="S293" s="99"/>
      <c r="T293" s="98">
        <f>T287</f>
        <v>44000</v>
      </c>
      <c r="U293" s="137">
        <f>T293*40%</f>
        <v>17600</v>
      </c>
      <c r="V293" s="122">
        <f t="shared" si="80"/>
        <v>0</v>
      </c>
      <c r="W293" s="122">
        <f t="shared" si="81"/>
        <v>0</v>
      </c>
      <c r="Y293" s="140"/>
      <c r="Z293" s="139"/>
      <c r="AA293" s="139"/>
      <c r="AB293" s="140"/>
      <c r="AC293" s="139"/>
      <c r="AD293" s="139"/>
    </row>
    <row r="294" spans="1:30" s="94" customFormat="1" ht="14.4" x14ac:dyDescent="0.3">
      <c r="A294" s="97"/>
      <c r="B294" s="120" t="s">
        <v>146</v>
      </c>
      <c r="C294" s="94" t="s">
        <v>261</v>
      </c>
      <c r="E294" s="95"/>
      <c r="F294" s="95"/>
      <c r="I294" s="96"/>
      <c r="J294" s="97">
        <v>0</v>
      </c>
      <c r="K294" s="97" t="s">
        <v>254</v>
      </c>
      <c r="L294" s="98">
        <f t="shared" si="76"/>
        <v>61200</v>
      </c>
      <c r="M294" s="98">
        <f t="shared" si="77"/>
        <v>24500</v>
      </c>
      <c r="N294" s="98">
        <f t="shared" si="78"/>
        <v>0</v>
      </c>
      <c r="O294" s="98">
        <f t="shared" si="79"/>
        <v>0</v>
      </c>
      <c r="S294" s="99"/>
      <c r="T294" s="98">
        <f>T288</f>
        <v>44000</v>
      </c>
      <c r="U294" s="137">
        <f>T294*40%</f>
        <v>17600</v>
      </c>
      <c r="V294" s="122">
        <f t="shared" si="80"/>
        <v>0</v>
      </c>
      <c r="W294" s="122">
        <f t="shared" si="81"/>
        <v>0</v>
      </c>
      <c r="Y294" s="140"/>
      <c r="Z294" s="139"/>
      <c r="AA294" s="139"/>
      <c r="AB294" s="140"/>
      <c r="AC294" s="139"/>
      <c r="AD294" s="139"/>
    </row>
    <row r="295" spans="1:30" x14ac:dyDescent="0.25">
      <c r="A295" s="127"/>
      <c r="B295" s="128"/>
      <c r="C295" s="129"/>
      <c r="D295" s="129"/>
      <c r="E295" s="44"/>
      <c r="F295" s="73"/>
      <c r="H295" s="70"/>
      <c r="I295" s="51"/>
      <c r="J295" s="49"/>
      <c r="K295" s="49"/>
      <c r="L295" s="52"/>
      <c r="M295" s="52"/>
      <c r="N295" s="52"/>
      <c r="O295" s="52"/>
      <c r="S295" s="53"/>
      <c r="T295" s="52"/>
      <c r="U295" s="52"/>
      <c r="V295" s="54"/>
      <c r="W295" s="54"/>
    </row>
    <row r="296" spans="1:30" x14ac:dyDescent="0.25">
      <c r="A296" s="127">
        <v>5</v>
      </c>
      <c r="B296" s="128" t="s">
        <v>262</v>
      </c>
      <c r="C296" s="129"/>
      <c r="D296" s="129"/>
      <c r="E296" s="44"/>
      <c r="F296" s="73"/>
      <c r="H296" s="70"/>
      <c r="I296" s="51"/>
      <c r="J296" s="49"/>
      <c r="K296" s="49"/>
      <c r="L296" s="52"/>
      <c r="M296" s="52"/>
      <c r="N296" s="52"/>
      <c r="O296" s="52"/>
      <c r="S296" s="53"/>
      <c r="T296" s="52"/>
      <c r="U296" s="52"/>
      <c r="V296" s="54"/>
      <c r="W296" s="54"/>
    </row>
    <row r="297" spans="1:30" x14ac:dyDescent="0.25">
      <c r="A297" s="127"/>
      <c r="B297" s="103" t="s">
        <v>146</v>
      </c>
      <c r="C297" s="129" t="s">
        <v>253</v>
      </c>
      <c r="D297" s="129"/>
      <c r="E297" s="130"/>
      <c r="F297" s="130"/>
      <c r="G297" s="129"/>
      <c r="H297" s="129"/>
      <c r="I297" s="131"/>
      <c r="J297" s="127">
        <v>15</v>
      </c>
      <c r="K297" s="127" t="s">
        <v>254</v>
      </c>
      <c r="L297" s="52">
        <f t="shared" ref="L297:L300" si="82">ROUNDUP((T297/(1-$U$2)),-2)</f>
        <v>8383400</v>
      </c>
      <c r="M297" s="52">
        <f t="shared" ref="M297:M300" si="83">ROUNDUP((U297/(1-$U$3)),-2)</f>
        <v>3353400</v>
      </c>
      <c r="N297" s="52">
        <f t="shared" ref="N297:N300" si="84">L297*J297</f>
        <v>125751000</v>
      </c>
      <c r="O297" s="52">
        <f t="shared" ref="O297:O300" si="85">M297*J297</f>
        <v>50301000</v>
      </c>
      <c r="P297" s="129"/>
      <c r="Q297" s="129"/>
      <c r="R297" s="129"/>
      <c r="S297" s="132"/>
      <c r="T297" s="52">
        <f>T291</f>
        <v>6036000</v>
      </c>
      <c r="U297" s="133">
        <f>T297*40%</f>
        <v>2414400</v>
      </c>
      <c r="V297" s="54">
        <f t="shared" ref="V297:V300" si="86">T297*J297</f>
        <v>90540000</v>
      </c>
      <c r="W297" s="54">
        <f t="shared" ref="W297:W300" si="87">U297*J297</f>
        <v>36216000</v>
      </c>
      <c r="Y297" s="136"/>
      <c r="Z297" s="135"/>
      <c r="AA297" s="135"/>
      <c r="AB297" s="136"/>
      <c r="AC297" s="135"/>
      <c r="AD297" s="135"/>
    </row>
    <row r="298" spans="1:30" ht="14.4" x14ac:dyDescent="0.3">
      <c r="A298" s="127"/>
      <c r="B298" s="103" t="s">
        <v>146</v>
      </c>
      <c r="C298" s="129" t="s">
        <v>263</v>
      </c>
      <c r="D298" s="129"/>
      <c r="E298" s="130"/>
      <c r="F298" s="130"/>
      <c r="G298" s="129"/>
      <c r="H298" s="129"/>
      <c r="I298" s="131"/>
      <c r="J298" s="127">
        <v>15</v>
      </c>
      <c r="K298" s="127" t="s">
        <v>254</v>
      </c>
      <c r="L298" s="52">
        <f t="shared" si="82"/>
        <v>101400</v>
      </c>
      <c r="M298" s="52">
        <f t="shared" si="83"/>
        <v>40600</v>
      </c>
      <c r="N298" s="52">
        <f t="shared" si="84"/>
        <v>1521000</v>
      </c>
      <c r="O298" s="52">
        <f t="shared" si="85"/>
        <v>609000</v>
      </c>
      <c r="P298" s="129"/>
      <c r="Q298" s="129"/>
      <c r="R298" s="129"/>
      <c r="S298" s="132"/>
      <c r="T298" s="52">
        <f>T292</f>
        <v>73000</v>
      </c>
      <c r="U298" s="133">
        <f>T298*40%</f>
        <v>29200</v>
      </c>
      <c r="V298" s="54">
        <f t="shared" si="86"/>
        <v>1095000</v>
      </c>
      <c r="W298" s="54">
        <f t="shared" si="87"/>
        <v>438000</v>
      </c>
      <c r="Y298" s="136"/>
      <c r="Z298" s="135"/>
      <c r="AA298" s="135"/>
      <c r="AB298" s="136"/>
      <c r="AC298" s="135"/>
      <c r="AD298" s="135"/>
    </row>
    <row r="299" spans="1:30" s="94" customFormat="1" ht="14.4" x14ac:dyDescent="0.3">
      <c r="A299" s="97"/>
      <c r="B299" s="120" t="s">
        <v>146</v>
      </c>
      <c r="C299" s="94" t="s">
        <v>264</v>
      </c>
      <c r="E299" s="95"/>
      <c r="F299" s="95"/>
      <c r="I299" s="96"/>
      <c r="J299" s="97">
        <v>0</v>
      </c>
      <c r="K299" s="97" t="s">
        <v>254</v>
      </c>
      <c r="L299" s="98">
        <f t="shared" si="82"/>
        <v>61200</v>
      </c>
      <c r="M299" s="98">
        <f t="shared" si="83"/>
        <v>24500</v>
      </c>
      <c r="N299" s="98">
        <f t="shared" si="84"/>
        <v>0</v>
      </c>
      <c r="O299" s="98">
        <f t="shared" si="85"/>
        <v>0</v>
      </c>
      <c r="S299" s="99"/>
      <c r="T299" s="98">
        <f>T293</f>
        <v>44000</v>
      </c>
      <c r="U299" s="137">
        <f>T299*40%</f>
        <v>17600</v>
      </c>
      <c r="V299" s="122">
        <f t="shared" si="86"/>
        <v>0</v>
      </c>
      <c r="W299" s="122">
        <f t="shared" si="87"/>
        <v>0</v>
      </c>
      <c r="Y299" s="140"/>
      <c r="Z299" s="139"/>
      <c r="AA299" s="139"/>
      <c r="AB299" s="140"/>
      <c r="AC299" s="139"/>
      <c r="AD299" s="139"/>
    </row>
    <row r="300" spans="1:30" s="94" customFormat="1" ht="14.4" x14ac:dyDescent="0.3">
      <c r="A300" s="97"/>
      <c r="B300" s="120" t="s">
        <v>146</v>
      </c>
      <c r="C300" s="94" t="s">
        <v>265</v>
      </c>
      <c r="E300" s="95"/>
      <c r="F300" s="95"/>
      <c r="I300" s="96"/>
      <c r="J300" s="97">
        <v>0</v>
      </c>
      <c r="K300" s="97" t="s">
        <v>254</v>
      </c>
      <c r="L300" s="98">
        <f t="shared" si="82"/>
        <v>61200</v>
      </c>
      <c r="M300" s="98">
        <f t="shared" si="83"/>
        <v>24500</v>
      </c>
      <c r="N300" s="98">
        <f t="shared" si="84"/>
        <v>0</v>
      </c>
      <c r="O300" s="98">
        <f t="shared" si="85"/>
        <v>0</v>
      </c>
      <c r="S300" s="99"/>
      <c r="T300" s="98">
        <f>T294</f>
        <v>44000</v>
      </c>
      <c r="U300" s="137">
        <f>T300*40%</f>
        <v>17600</v>
      </c>
      <c r="V300" s="122">
        <f t="shared" si="86"/>
        <v>0</v>
      </c>
      <c r="W300" s="122">
        <f t="shared" si="87"/>
        <v>0</v>
      </c>
      <c r="Y300" s="140"/>
      <c r="Z300" s="139"/>
      <c r="AA300" s="139"/>
      <c r="AB300" s="140"/>
      <c r="AC300" s="139"/>
      <c r="AD300" s="139"/>
    </row>
    <row r="301" spans="1:30" x14ac:dyDescent="0.25">
      <c r="A301" s="127"/>
      <c r="B301" s="128"/>
      <c r="C301" s="129"/>
      <c r="D301" s="129"/>
      <c r="E301" s="44"/>
      <c r="F301" s="73"/>
      <c r="H301" s="70"/>
      <c r="I301" s="51"/>
      <c r="J301" s="49"/>
      <c r="K301" s="49"/>
      <c r="L301" s="52"/>
      <c r="M301" s="52"/>
      <c r="N301" s="52"/>
      <c r="O301" s="52"/>
      <c r="S301" s="53"/>
      <c r="T301" s="52"/>
      <c r="U301" s="52"/>
      <c r="V301" s="54"/>
      <c r="W301" s="54"/>
    </row>
    <row r="302" spans="1:30" ht="14.4" x14ac:dyDescent="0.3">
      <c r="A302" s="127"/>
      <c r="B302" s="103" t="s">
        <v>146</v>
      </c>
      <c r="C302" s="129" t="s">
        <v>266</v>
      </c>
      <c r="D302" s="129"/>
      <c r="E302" s="130"/>
      <c r="F302" s="130"/>
      <c r="G302" s="129"/>
      <c r="H302" s="129"/>
      <c r="I302" s="131"/>
      <c r="J302" s="127">
        <v>50</v>
      </c>
      <c r="K302" s="127" t="s">
        <v>254</v>
      </c>
      <c r="L302" s="52">
        <f t="shared" ref="L302:L305" si="88">ROUNDUP((T302/(1-$U$2)),-2)</f>
        <v>43100</v>
      </c>
      <c r="M302" s="52">
        <f t="shared" ref="M302:M305" si="89">ROUNDUP((U302/(1-$U$3)),-2)</f>
        <v>17300</v>
      </c>
      <c r="N302" s="52">
        <f t="shared" ref="N302:N305" si="90">L302*J302</f>
        <v>2155000</v>
      </c>
      <c r="O302" s="52">
        <f t="shared" ref="O302:O305" si="91">M302*J302</f>
        <v>865000</v>
      </c>
      <c r="P302" s="129"/>
      <c r="Q302" s="129"/>
      <c r="R302" s="129"/>
      <c r="S302" s="132"/>
      <c r="T302" s="52">
        <f>'[1]New Pricelist'!H401</f>
        <v>31000</v>
      </c>
      <c r="U302" s="133">
        <f>T302*40%</f>
        <v>12400</v>
      </c>
      <c r="V302" s="54">
        <f t="shared" ref="V302:V305" si="92">T302*J302</f>
        <v>1550000</v>
      </c>
      <c r="W302" s="54">
        <f t="shared" ref="W302:W305" si="93">U302*J302</f>
        <v>620000</v>
      </c>
      <c r="Y302" s="136"/>
      <c r="Z302" s="135"/>
      <c r="AA302" s="135"/>
      <c r="AB302" s="136"/>
      <c r="AC302" s="135"/>
      <c r="AD302" s="135"/>
    </row>
    <row r="303" spans="1:30" ht="14.4" x14ac:dyDescent="0.3">
      <c r="A303" s="127"/>
      <c r="B303" s="103" t="s">
        <v>146</v>
      </c>
      <c r="C303" s="129" t="s">
        <v>267</v>
      </c>
      <c r="D303" s="129"/>
      <c r="E303" s="130"/>
      <c r="F303" s="130"/>
      <c r="G303" s="129"/>
      <c r="H303" s="129"/>
      <c r="I303" s="131"/>
      <c r="J303" s="127">
        <v>60</v>
      </c>
      <c r="K303" s="127" t="s">
        <v>254</v>
      </c>
      <c r="L303" s="52">
        <f t="shared" si="88"/>
        <v>43100</v>
      </c>
      <c r="M303" s="52">
        <f t="shared" si="89"/>
        <v>17300</v>
      </c>
      <c r="N303" s="52">
        <f t="shared" si="90"/>
        <v>2586000</v>
      </c>
      <c r="O303" s="52">
        <f t="shared" si="91"/>
        <v>1038000</v>
      </c>
      <c r="P303" s="129"/>
      <c r="Q303" s="129"/>
      <c r="R303" s="129"/>
      <c r="S303" s="132"/>
      <c r="T303" s="52">
        <f>T302</f>
        <v>31000</v>
      </c>
      <c r="U303" s="133">
        <f>T303*40%</f>
        <v>12400</v>
      </c>
      <c r="V303" s="54">
        <f t="shared" si="92"/>
        <v>1860000</v>
      </c>
      <c r="W303" s="54">
        <f t="shared" si="93"/>
        <v>744000</v>
      </c>
      <c r="Y303" s="136"/>
      <c r="Z303" s="135"/>
      <c r="AA303" s="135"/>
      <c r="AB303" s="136"/>
      <c r="AC303" s="135"/>
      <c r="AD303" s="135"/>
    </row>
    <row r="304" spans="1:30" ht="14.4" x14ac:dyDescent="0.3">
      <c r="A304" s="127"/>
      <c r="B304" s="103" t="s">
        <v>146</v>
      </c>
      <c r="C304" s="129" t="s">
        <v>268</v>
      </c>
      <c r="D304" s="129"/>
      <c r="E304" s="130"/>
      <c r="F304" s="130"/>
      <c r="G304" s="129"/>
      <c r="H304" s="129"/>
      <c r="I304" s="131"/>
      <c r="J304" s="127">
        <v>60</v>
      </c>
      <c r="K304" s="127" t="s">
        <v>254</v>
      </c>
      <c r="L304" s="52">
        <f t="shared" si="88"/>
        <v>43100</v>
      </c>
      <c r="M304" s="52">
        <f t="shared" si="89"/>
        <v>17300</v>
      </c>
      <c r="N304" s="52">
        <f t="shared" si="90"/>
        <v>2586000</v>
      </c>
      <c r="O304" s="52">
        <f t="shared" si="91"/>
        <v>1038000</v>
      </c>
      <c r="P304" s="129"/>
      <c r="Q304" s="129"/>
      <c r="R304" s="129"/>
      <c r="S304" s="132"/>
      <c r="T304" s="52">
        <f>T303</f>
        <v>31000</v>
      </c>
      <c r="U304" s="133">
        <f>T304*40%</f>
        <v>12400</v>
      </c>
      <c r="V304" s="54">
        <f t="shared" si="92"/>
        <v>1860000</v>
      </c>
      <c r="W304" s="54">
        <f t="shared" si="93"/>
        <v>744000</v>
      </c>
      <c r="Y304" s="136"/>
      <c r="Z304" s="135"/>
      <c r="AA304" s="135"/>
      <c r="AB304" s="136"/>
      <c r="AC304" s="135"/>
      <c r="AD304" s="135"/>
    </row>
    <row r="305" spans="1:30" ht="14.4" x14ac:dyDescent="0.3">
      <c r="A305" s="127"/>
      <c r="B305" s="103" t="s">
        <v>146</v>
      </c>
      <c r="C305" s="129" t="s">
        <v>269</v>
      </c>
      <c r="D305" s="129"/>
      <c r="E305" s="130"/>
      <c r="F305" s="130"/>
      <c r="G305" s="129"/>
      <c r="H305" s="129"/>
      <c r="I305" s="131"/>
      <c r="J305" s="127">
        <v>60</v>
      </c>
      <c r="K305" s="127" t="s">
        <v>254</v>
      </c>
      <c r="L305" s="52">
        <f t="shared" si="88"/>
        <v>183400</v>
      </c>
      <c r="M305" s="52">
        <f t="shared" si="89"/>
        <v>73400</v>
      </c>
      <c r="N305" s="52">
        <f t="shared" si="90"/>
        <v>11004000</v>
      </c>
      <c r="O305" s="52">
        <f t="shared" si="91"/>
        <v>4404000</v>
      </c>
      <c r="P305" s="129"/>
      <c r="Q305" s="129"/>
      <c r="R305" s="129"/>
      <c r="S305" s="132"/>
      <c r="T305" s="52">
        <f>T299*3</f>
        <v>132000</v>
      </c>
      <c r="U305" s="133">
        <f>T305*40%</f>
        <v>52800</v>
      </c>
      <c r="V305" s="54">
        <f t="shared" si="92"/>
        <v>7920000</v>
      </c>
      <c r="W305" s="54">
        <f t="shared" si="93"/>
        <v>3168000</v>
      </c>
      <c r="Y305" s="136"/>
      <c r="Z305" s="135"/>
      <c r="AA305" s="135"/>
      <c r="AB305" s="136"/>
      <c r="AC305" s="135"/>
      <c r="AD305" s="135"/>
    </row>
    <row r="306" spans="1:30" x14ac:dyDescent="0.25">
      <c r="A306" s="127"/>
      <c r="B306" s="103"/>
      <c r="C306" s="129"/>
      <c r="D306" s="129"/>
      <c r="E306" s="130"/>
      <c r="F306" s="130"/>
      <c r="G306" s="129"/>
      <c r="H306" s="129"/>
      <c r="I306" s="131"/>
      <c r="J306" s="127"/>
      <c r="K306" s="127"/>
      <c r="L306" s="52"/>
      <c r="M306" s="52"/>
      <c r="N306" s="52"/>
      <c r="O306" s="52"/>
      <c r="P306" s="129"/>
      <c r="Q306" s="129"/>
      <c r="R306" s="129"/>
      <c r="S306" s="132"/>
      <c r="T306" s="52"/>
      <c r="U306" s="133"/>
      <c r="V306" s="54"/>
      <c r="W306" s="54"/>
      <c r="Y306" s="136"/>
      <c r="Z306" s="135"/>
      <c r="AA306" s="135"/>
      <c r="AB306" s="136"/>
      <c r="AC306" s="135"/>
      <c r="AD306" s="135"/>
    </row>
    <row r="307" spans="1:30" x14ac:dyDescent="0.25">
      <c r="A307" s="49">
        <v>12</v>
      </c>
      <c r="B307" s="42" t="s">
        <v>270</v>
      </c>
      <c r="E307" s="44"/>
      <c r="F307" s="73"/>
      <c r="H307" s="70"/>
      <c r="I307" s="51"/>
      <c r="J307" s="49"/>
      <c r="K307" s="49"/>
      <c r="L307" s="52"/>
      <c r="M307" s="52"/>
      <c r="N307" s="52"/>
      <c r="O307" s="52"/>
      <c r="S307" s="53"/>
      <c r="T307" s="52"/>
      <c r="U307" s="52"/>
      <c r="V307" s="54"/>
      <c r="W307" s="54"/>
    </row>
    <row r="308" spans="1:30" ht="14.4" x14ac:dyDescent="0.3">
      <c r="A308" s="49"/>
      <c r="B308" s="103" t="s">
        <v>146</v>
      </c>
      <c r="C308" s="2" t="s">
        <v>271</v>
      </c>
      <c r="I308" s="51"/>
      <c r="J308" s="49">
        <v>55</v>
      </c>
      <c r="K308" s="49" t="s">
        <v>254</v>
      </c>
      <c r="L308" s="52">
        <f t="shared" ref="L308" si="94">ROUNDUP((T308/(1-$U$2)),-2)</f>
        <v>294500</v>
      </c>
      <c r="M308" s="52">
        <f t="shared" ref="M308" si="95">ROUNDUP((U308/(1-$U$3)),-2)</f>
        <v>117800</v>
      </c>
      <c r="N308" s="52">
        <f t="shared" ref="N308" si="96">L308*J308</f>
        <v>16197500</v>
      </c>
      <c r="O308" s="52">
        <f t="shared" ref="O308" si="97">M308*J308</f>
        <v>6479000</v>
      </c>
      <c r="S308" s="53"/>
      <c r="T308" s="52">
        <f>'[1]New Pricelist'!G541*2</f>
        <v>212000</v>
      </c>
      <c r="U308" s="141">
        <f>T308*40%</f>
        <v>84800</v>
      </c>
      <c r="V308" s="54">
        <f t="shared" ref="V308" si="98">T308*J308</f>
        <v>11660000</v>
      </c>
      <c r="W308" s="54">
        <f t="shared" ref="W308" si="99">U308*J308</f>
        <v>4664000</v>
      </c>
      <c r="Y308" s="136"/>
      <c r="Z308" s="135"/>
      <c r="AA308" s="135"/>
      <c r="AB308" s="136"/>
      <c r="AC308" s="135"/>
      <c r="AD308" s="135"/>
    </row>
    <row r="309" spans="1:30" x14ac:dyDescent="0.25">
      <c r="A309" s="127"/>
      <c r="B309" s="103"/>
      <c r="C309" s="129"/>
      <c r="D309" s="129"/>
      <c r="E309" s="130"/>
      <c r="F309" s="130"/>
      <c r="G309" s="129"/>
      <c r="H309" s="129"/>
      <c r="I309" s="131"/>
      <c r="J309" s="127"/>
      <c r="K309" s="127"/>
      <c r="L309" s="52"/>
      <c r="M309" s="52"/>
      <c r="N309" s="52"/>
      <c r="O309" s="52"/>
      <c r="P309" s="129"/>
      <c r="Q309" s="129"/>
      <c r="R309" s="129"/>
      <c r="S309" s="132"/>
      <c r="T309" s="52"/>
      <c r="U309" s="133"/>
      <c r="V309" s="54"/>
      <c r="W309" s="54"/>
      <c r="Y309" s="136"/>
      <c r="Z309" s="135"/>
      <c r="AA309" s="135"/>
      <c r="AB309" s="136"/>
      <c r="AC309" s="135"/>
      <c r="AD309" s="135"/>
    </row>
    <row r="310" spans="1:30" x14ac:dyDescent="0.25">
      <c r="A310" s="49">
        <v>13</v>
      </c>
      <c r="B310" s="42" t="s">
        <v>272</v>
      </c>
      <c r="E310" s="44"/>
      <c r="F310" s="73"/>
      <c r="H310" s="70"/>
      <c r="I310" s="51"/>
      <c r="J310" s="49"/>
      <c r="K310" s="49"/>
      <c r="L310" s="52"/>
      <c r="M310" s="52"/>
      <c r="N310" s="52"/>
      <c r="O310" s="52"/>
      <c r="S310" s="53"/>
      <c r="T310" s="52"/>
      <c r="U310" s="52"/>
      <c r="V310" s="54"/>
      <c r="W310" s="54"/>
    </row>
    <row r="311" spans="1:30" x14ac:dyDescent="0.25">
      <c r="A311" s="49"/>
      <c r="B311" s="103" t="s">
        <v>146</v>
      </c>
      <c r="C311" s="2" t="s">
        <v>273</v>
      </c>
      <c r="I311" s="51"/>
      <c r="J311" s="49">
        <v>45</v>
      </c>
      <c r="K311" s="49" t="s">
        <v>254</v>
      </c>
      <c r="L311" s="52">
        <f t="shared" ref="L311" si="100">ROUNDUP((T311/(1-$U$2)),-2)</f>
        <v>294500</v>
      </c>
      <c r="M311" s="52">
        <f t="shared" ref="M311" si="101">ROUNDUP((U311/(1-$U$3)),-2)</f>
        <v>117800</v>
      </c>
      <c r="N311" s="52">
        <f t="shared" ref="N311" si="102">L311*J311</f>
        <v>13252500</v>
      </c>
      <c r="O311" s="52">
        <f t="shared" ref="O311" si="103">M311*J311</f>
        <v>5301000</v>
      </c>
      <c r="S311" s="53"/>
      <c r="T311" s="52">
        <f>T308</f>
        <v>212000</v>
      </c>
      <c r="U311" s="141">
        <f>T311*40%</f>
        <v>84800</v>
      </c>
      <c r="V311" s="54">
        <f t="shared" ref="V311" si="104">T311*J311</f>
        <v>9540000</v>
      </c>
      <c r="W311" s="54">
        <f t="shared" ref="W311" si="105">U311*J311</f>
        <v>3816000</v>
      </c>
      <c r="Y311" s="136"/>
      <c r="Z311" s="135"/>
      <c r="AA311" s="135"/>
      <c r="AB311" s="136"/>
      <c r="AC311" s="135"/>
      <c r="AD311" s="135"/>
    </row>
    <row r="312" spans="1:30" x14ac:dyDescent="0.25">
      <c r="A312" s="127"/>
      <c r="B312" s="103"/>
      <c r="C312" s="129"/>
      <c r="D312" s="129"/>
      <c r="E312" s="130"/>
      <c r="F312" s="130"/>
      <c r="G312" s="129"/>
      <c r="H312" s="129"/>
      <c r="I312" s="131"/>
      <c r="J312" s="127"/>
      <c r="K312" s="127"/>
      <c r="L312" s="52"/>
      <c r="M312" s="52"/>
      <c r="N312" s="52"/>
      <c r="O312" s="52"/>
      <c r="P312" s="129"/>
      <c r="Q312" s="129"/>
      <c r="R312" s="129"/>
      <c r="S312" s="132"/>
      <c r="T312" s="52"/>
      <c r="U312" s="133"/>
      <c r="V312" s="54"/>
      <c r="W312" s="54"/>
      <c r="Y312" s="136"/>
      <c r="Z312" s="135"/>
      <c r="AA312" s="135"/>
      <c r="AB312" s="136"/>
      <c r="AC312" s="135"/>
      <c r="AD312" s="135"/>
    </row>
    <row r="313" spans="1:30" x14ac:dyDescent="0.25">
      <c r="A313" s="49">
        <v>14</v>
      </c>
      <c r="B313" s="42" t="s">
        <v>274</v>
      </c>
      <c r="E313" s="44"/>
      <c r="F313" s="73"/>
      <c r="H313" s="70"/>
      <c r="I313" s="51"/>
      <c r="J313" s="49"/>
      <c r="K313" s="49"/>
      <c r="L313" s="52"/>
      <c r="M313" s="52"/>
      <c r="N313" s="52"/>
      <c r="O313" s="52"/>
      <c r="S313" s="53"/>
      <c r="T313" s="52"/>
      <c r="U313" s="52"/>
      <c r="V313" s="54"/>
      <c r="W313" s="54"/>
    </row>
    <row r="314" spans="1:30" x14ac:dyDescent="0.25">
      <c r="A314" s="49"/>
      <c r="B314" s="103" t="s">
        <v>146</v>
      </c>
      <c r="C314" s="2" t="s">
        <v>273</v>
      </c>
      <c r="I314" s="51"/>
      <c r="J314" s="49">
        <v>40</v>
      </c>
      <c r="K314" s="49" t="s">
        <v>254</v>
      </c>
      <c r="L314" s="52">
        <f t="shared" ref="L314" si="106">ROUNDUP((T314/(1-$U$2)),-2)</f>
        <v>294500</v>
      </c>
      <c r="M314" s="52">
        <f t="shared" ref="M314" si="107">ROUNDUP((U314/(1-$U$3)),-2)</f>
        <v>117800</v>
      </c>
      <c r="N314" s="52">
        <f t="shared" ref="N314" si="108">L314*J314</f>
        <v>11780000</v>
      </c>
      <c r="O314" s="52">
        <f t="shared" ref="O314" si="109">M314*J314</f>
        <v>4712000</v>
      </c>
      <c r="S314" s="53"/>
      <c r="T314" s="52">
        <f>T311</f>
        <v>212000</v>
      </c>
      <c r="U314" s="141">
        <f>T314*40%</f>
        <v>84800</v>
      </c>
      <c r="V314" s="54">
        <f t="shared" ref="V314" si="110">T314*J314</f>
        <v>8480000</v>
      </c>
      <c r="W314" s="54">
        <f t="shared" ref="W314" si="111">U314*J314</f>
        <v>3392000</v>
      </c>
      <c r="Y314" s="136"/>
      <c r="Z314" s="135"/>
      <c r="AA314" s="135"/>
      <c r="AB314" s="136"/>
      <c r="AC314" s="135"/>
      <c r="AD314" s="135"/>
    </row>
    <row r="315" spans="1:30" x14ac:dyDescent="0.25">
      <c r="A315" s="127"/>
      <c r="B315" s="103"/>
      <c r="C315" s="129"/>
      <c r="D315" s="129"/>
      <c r="E315" s="130"/>
      <c r="F315" s="130"/>
      <c r="G315" s="129"/>
      <c r="H315" s="129"/>
      <c r="I315" s="131"/>
      <c r="J315" s="127"/>
      <c r="K315" s="127"/>
      <c r="L315" s="52"/>
      <c r="M315" s="52"/>
      <c r="N315" s="52"/>
      <c r="O315" s="52"/>
      <c r="P315" s="129"/>
      <c r="Q315" s="129"/>
      <c r="R315" s="129"/>
      <c r="S315" s="132"/>
      <c r="T315" s="52"/>
      <c r="U315" s="133"/>
      <c r="V315" s="54"/>
      <c r="W315" s="54"/>
      <c r="Y315" s="136"/>
      <c r="Z315" s="135"/>
      <c r="AA315" s="135"/>
      <c r="AB315" s="136"/>
      <c r="AC315" s="135"/>
      <c r="AD315" s="135"/>
    </row>
    <row r="316" spans="1:30" x14ac:dyDescent="0.25">
      <c r="A316" s="49">
        <v>16</v>
      </c>
      <c r="B316" s="42" t="s">
        <v>275</v>
      </c>
      <c r="E316" s="44"/>
      <c r="F316" s="73"/>
      <c r="H316" s="70"/>
      <c r="I316" s="51"/>
      <c r="J316" s="49"/>
      <c r="K316" s="49"/>
      <c r="L316" s="52"/>
      <c r="M316" s="52"/>
      <c r="N316" s="52"/>
      <c r="O316" s="52"/>
      <c r="S316" s="53"/>
      <c r="T316" s="52"/>
      <c r="U316" s="52"/>
      <c r="V316" s="54"/>
      <c r="W316" s="54"/>
    </row>
    <row r="317" spans="1:30" ht="14.4" x14ac:dyDescent="0.3">
      <c r="A317" s="49"/>
      <c r="B317" s="103" t="s">
        <v>146</v>
      </c>
      <c r="C317" s="2" t="s">
        <v>276</v>
      </c>
      <c r="I317" s="51"/>
      <c r="J317" s="49">
        <v>50</v>
      </c>
      <c r="K317" s="49" t="s">
        <v>254</v>
      </c>
      <c r="L317" s="52">
        <f t="shared" ref="L317:L323" si="112">ROUNDUP((T317/(1-$U$2)),-2)</f>
        <v>408400</v>
      </c>
      <c r="M317" s="52">
        <f t="shared" ref="M317:M323" si="113">ROUNDUP((U317/(1-$U$3)),-2)</f>
        <v>163400</v>
      </c>
      <c r="N317" s="52">
        <f t="shared" ref="N317:N323" si="114">L317*J317</f>
        <v>20420000</v>
      </c>
      <c r="O317" s="52">
        <f t="shared" ref="O317:O323" si="115">M317*J317</f>
        <v>8170000</v>
      </c>
      <c r="S317" s="53"/>
      <c r="T317" s="52">
        <f>'[1]New Pricelist'!G551*2</f>
        <v>294000</v>
      </c>
      <c r="U317" s="141">
        <f t="shared" ref="U317:U323" si="116">T317*40%</f>
        <v>117600</v>
      </c>
      <c r="V317" s="54">
        <f t="shared" ref="V317:V323" si="117">T317*J317</f>
        <v>14700000</v>
      </c>
      <c r="W317" s="54">
        <f t="shared" ref="W317:W323" si="118">U317*J317</f>
        <v>5880000</v>
      </c>
      <c r="Y317" s="136"/>
      <c r="Z317" s="135"/>
      <c r="AA317" s="135"/>
      <c r="AB317" s="136"/>
      <c r="AC317" s="135"/>
      <c r="AD317" s="135"/>
    </row>
    <row r="318" spans="1:30" x14ac:dyDescent="0.25">
      <c r="A318" s="49"/>
      <c r="B318" s="103" t="s">
        <v>146</v>
      </c>
      <c r="C318" s="2" t="s">
        <v>277</v>
      </c>
      <c r="I318" s="51"/>
      <c r="J318" s="49">
        <v>55</v>
      </c>
      <c r="K318" s="49" t="s">
        <v>254</v>
      </c>
      <c r="L318" s="52">
        <f t="shared" si="112"/>
        <v>408400</v>
      </c>
      <c r="M318" s="52">
        <f t="shared" si="113"/>
        <v>163400</v>
      </c>
      <c r="N318" s="52">
        <f t="shared" si="114"/>
        <v>22462000</v>
      </c>
      <c r="O318" s="52">
        <f t="shared" si="115"/>
        <v>8987000</v>
      </c>
      <c r="S318" s="53"/>
      <c r="T318" s="52">
        <f>T317</f>
        <v>294000</v>
      </c>
      <c r="U318" s="141">
        <f t="shared" si="116"/>
        <v>117600</v>
      </c>
      <c r="V318" s="54">
        <f t="shared" si="117"/>
        <v>16170000</v>
      </c>
      <c r="W318" s="54">
        <f t="shared" si="118"/>
        <v>6468000</v>
      </c>
      <c r="Y318" s="136"/>
      <c r="Z318" s="135"/>
      <c r="AA318" s="135"/>
      <c r="AB318" s="136"/>
      <c r="AC318" s="135"/>
      <c r="AD318" s="135"/>
    </row>
    <row r="319" spans="1:30" x14ac:dyDescent="0.25">
      <c r="A319" s="49"/>
      <c r="B319" s="103" t="s">
        <v>146</v>
      </c>
      <c r="C319" s="2" t="s">
        <v>278</v>
      </c>
      <c r="I319" s="51"/>
      <c r="J319" s="49">
        <v>60</v>
      </c>
      <c r="K319" s="49" t="s">
        <v>254</v>
      </c>
      <c r="L319" s="52">
        <f t="shared" si="112"/>
        <v>408400</v>
      </c>
      <c r="M319" s="52">
        <f t="shared" si="113"/>
        <v>163400</v>
      </c>
      <c r="N319" s="52">
        <f t="shared" si="114"/>
        <v>24504000</v>
      </c>
      <c r="O319" s="52">
        <f t="shared" si="115"/>
        <v>9804000</v>
      </c>
      <c r="S319" s="53"/>
      <c r="T319" s="52">
        <f>T318</f>
        <v>294000</v>
      </c>
      <c r="U319" s="141">
        <f t="shared" si="116"/>
        <v>117600</v>
      </c>
      <c r="V319" s="54">
        <f t="shared" si="117"/>
        <v>17640000</v>
      </c>
      <c r="W319" s="54">
        <f t="shared" si="118"/>
        <v>7056000</v>
      </c>
      <c r="Y319" s="136"/>
      <c r="Z319" s="135"/>
      <c r="AA319" s="135"/>
      <c r="AB319" s="136"/>
      <c r="AC319" s="135"/>
      <c r="AD319" s="135"/>
    </row>
    <row r="320" spans="1:30" ht="14.4" x14ac:dyDescent="0.3">
      <c r="A320" s="49"/>
      <c r="B320" s="103" t="s">
        <v>146</v>
      </c>
      <c r="C320" s="2" t="s">
        <v>279</v>
      </c>
      <c r="I320" s="51"/>
      <c r="J320" s="49">
        <v>65</v>
      </c>
      <c r="K320" s="49" t="s">
        <v>254</v>
      </c>
      <c r="L320" s="52">
        <f t="shared" si="112"/>
        <v>4650000</v>
      </c>
      <c r="M320" s="52">
        <f t="shared" si="113"/>
        <v>1860000</v>
      </c>
      <c r="N320" s="52">
        <f t="shared" si="114"/>
        <v>302250000</v>
      </c>
      <c r="O320" s="52">
        <f t="shared" si="115"/>
        <v>120900000</v>
      </c>
      <c r="S320" s="53"/>
      <c r="T320" s="52">
        <f>(1557000*2)+234000</f>
        <v>3348000</v>
      </c>
      <c r="U320" s="141">
        <f t="shared" si="116"/>
        <v>1339200</v>
      </c>
      <c r="V320" s="54">
        <f t="shared" si="117"/>
        <v>217620000</v>
      </c>
      <c r="W320" s="54">
        <f t="shared" si="118"/>
        <v>87048000</v>
      </c>
      <c r="Y320" s="136"/>
      <c r="Z320" s="135"/>
      <c r="AA320" s="135"/>
      <c r="AB320" s="136"/>
      <c r="AC320" s="135"/>
      <c r="AD320" s="135"/>
    </row>
    <row r="321" spans="1:30" ht="14.4" x14ac:dyDescent="0.3">
      <c r="A321" s="49"/>
      <c r="B321" s="103" t="s">
        <v>146</v>
      </c>
      <c r="C321" s="2" t="s">
        <v>280</v>
      </c>
      <c r="I321" s="51"/>
      <c r="J321" s="49">
        <v>45</v>
      </c>
      <c r="K321" s="49" t="s">
        <v>254</v>
      </c>
      <c r="L321" s="52">
        <f t="shared" si="112"/>
        <v>1013900</v>
      </c>
      <c r="M321" s="52">
        <f t="shared" si="113"/>
        <v>405600</v>
      </c>
      <c r="N321" s="52">
        <f t="shared" si="114"/>
        <v>45625500</v>
      </c>
      <c r="O321" s="52">
        <f t="shared" si="115"/>
        <v>18252000</v>
      </c>
      <c r="S321" s="53"/>
      <c r="T321" s="52">
        <f>'[1]New Pricelist'!G571*2</f>
        <v>730000</v>
      </c>
      <c r="U321" s="141">
        <f t="shared" si="116"/>
        <v>292000</v>
      </c>
      <c r="V321" s="54">
        <f t="shared" si="117"/>
        <v>32850000</v>
      </c>
      <c r="W321" s="54">
        <f t="shared" si="118"/>
        <v>13140000</v>
      </c>
      <c r="Y321" s="136"/>
      <c r="Z321" s="135"/>
      <c r="AA321" s="135"/>
      <c r="AB321" s="136"/>
      <c r="AC321" s="135"/>
      <c r="AD321" s="135"/>
    </row>
    <row r="322" spans="1:30" x14ac:dyDescent="0.25">
      <c r="A322" s="49"/>
      <c r="B322" s="103" t="s">
        <v>146</v>
      </c>
      <c r="C322" s="2" t="s">
        <v>281</v>
      </c>
      <c r="I322" s="51"/>
      <c r="J322" s="49">
        <v>45</v>
      </c>
      <c r="K322" s="49" t="s">
        <v>254</v>
      </c>
      <c r="L322" s="52">
        <f t="shared" si="112"/>
        <v>1013900</v>
      </c>
      <c r="M322" s="52">
        <f t="shared" si="113"/>
        <v>405600</v>
      </c>
      <c r="N322" s="52">
        <f t="shared" si="114"/>
        <v>45625500</v>
      </c>
      <c r="O322" s="52">
        <f t="shared" si="115"/>
        <v>18252000</v>
      </c>
      <c r="S322" s="53"/>
      <c r="T322" s="52">
        <f>T321</f>
        <v>730000</v>
      </c>
      <c r="U322" s="141">
        <f t="shared" si="116"/>
        <v>292000</v>
      </c>
      <c r="V322" s="54">
        <f t="shared" si="117"/>
        <v>32850000</v>
      </c>
      <c r="W322" s="54">
        <f t="shared" si="118"/>
        <v>13140000</v>
      </c>
      <c r="Y322" s="136"/>
      <c r="Z322" s="135"/>
      <c r="AA322" s="135"/>
      <c r="AB322" s="136"/>
      <c r="AC322" s="135"/>
      <c r="AD322" s="135"/>
    </row>
    <row r="323" spans="1:30" x14ac:dyDescent="0.25">
      <c r="A323" s="49"/>
      <c r="B323" s="103" t="s">
        <v>146</v>
      </c>
      <c r="C323" s="2" t="s">
        <v>282</v>
      </c>
      <c r="I323" s="51"/>
      <c r="J323" s="49">
        <v>45</v>
      </c>
      <c r="K323" s="49" t="s">
        <v>254</v>
      </c>
      <c r="L323" s="52">
        <f t="shared" si="112"/>
        <v>1013900</v>
      </c>
      <c r="M323" s="52">
        <f t="shared" si="113"/>
        <v>405600</v>
      </c>
      <c r="N323" s="52">
        <f t="shared" si="114"/>
        <v>45625500</v>
      </c>
      <c r="O323" s="52">
        <f t="shared" si="115"/>
        <v>18252000</v>
      </c>
      <c r="S323" s="53"/>
      <c r="T323" s="52">
        <f>T321</f>
        <v>730000</v>
      </c>
      <c r="U323" s="141">
        <f t="shared" si="116"/>
        <v>292000</v>
      </c>
      <c r="V323" s="54">
        <f t="shared" si="117"/>
        <v>32850000</v>
      </c>
      <c r="W323" s="54">
        <f t="shared" si="118"/>
        <v>13140000</v>
      </c>
      <c r="Y323" s="136"/>
      <c r="Z323" s="135"/>
      <c r="AA323" s="135"/>
      <c r="AB323" s="136"/>
      <c r="AC323" s="135"/>
      <c r="AD323" s="135"/>
    </row>
    <row r="324" spans="1:30" x14ac:dyDescent="0.25">
      <c r="A324" s="49"/>
      <c r="B324" s="103"/>
      <c r="I324" s="51"/>
      <c r="J324" s="49"/>
      <c r="K324" s="49"/>
      <c r="L324" s="52"/>
      <c r="M324" s="52"/>
      <c r="N324" s="52"/>
      <c r="O324" s="52"/>
      <c r="S324" s="53"/>
      <c r="T324" s="52"/>
      <c r="U324" s="141"/>
      <c r="V324" s="54"/>
      <c r="W324" s="54"/>
      <c r="Y324" s="136"/>
      <c r="Z324" s="135"/>
      <c r="AA324" s="135"/>
      <c r="AB324" s="136"/>
      <c r="AC324" s="135"/>
      <c r="AD324" s="135"/>
    </row>
    <row r="325" spans="1:30" x14ac:dyDescent="0.25">
      <c r="A325" s="49">
        <v>17</v>
      </c>
      <c r="B325" s="42" t="s">
        <v>283</v>
      </c>
      <c r="E325" s="44"/>
      <c r="F325" s="73"/>
      <c r="H325" s="70"/>
      <c r="I325" s="51"/>
      <c r="J325" s="49"/>
      <c r="K325" s="49"/>
      <c r="L325" s="52"/>
      <c r="M325" s="52"/>
      <c r="N325" s="52"/>
      <c r="O325" s="52"/>
      <c r="S325" s="53"/>
      <c r="T325" s="52"/>
      <c r="U325" s="52"/>
      <c r="V325" s="54"/>
      <c r="W325" s="54"/>
    </row>
    <row r="326" spans="1:30" ht="14.4" x14ac:dyDescent="0.3">
      <c r="A326" s="49"/>
      <c r="B326" s="103" t="s">
        <v>146</v>
      </c>
      <c r="C326" s="2" t="s">
        <v>284</v>
      </c>
      <c r="I326" s="51"/>
      <c r="J326" s="49">
        <v>35</v>
      </c>
      <c r="K326" s="49" t="s">
        <v>254</v>
      </c>
      <c r="L326" s="52">
        <f t="shared" ref="L326:L327" si="119">ROUNDUP((T326/(1-$U$2)),-2)</f>
        <v>1023700</v>
      </c>
      <c r="M326" s="52">
        <f t="shared" ref="M326:M327" si="120">ROUNDUP((U326/(1-$U$3)),-2)</f>
        <v>409500</v>
      </c>
      <c r="N326" s="52">
        <f t="shared" ref="N326:N327" si="121">L326*J326</f>
        <v>35829500</v>
      </c>
      <c r="O326" s="52">
        <f t="shared" ref="O326:O327" si="122">M326*J326</f>
        <v>14332500</v>
      </c>
      <c r="S326" s="53"/>
      <c r="T326" s="52">
        <f>503000+234000</f>
        <v>737000</v>
      </c>
      <c r="U326" s="141">
        <f t="shared" ref="U326" si="123">T326*40%</f>
        <v>294800</v>
      </c>
      <c r="V326" s="54">
        <f t="shared" ref="V326:V327" si="124">T326*J326</f>
        <v>25795000</v>
      </c>
      <c r="W326" s="54">
        <f t="shared" ref="W326:W327" si="125">U326*J326</f>
        <v>10318000</v>
      </c>
      <c r="Y326" s="136"/>
      <c r="Z326" s="135"/>
      <c r="AA326" s="135"/>
      <c r="AB326" s="136"/>
      <c r="AC326" s="135"/>
      <c r="AD326" s="135"/>
    </row>
    <row r="327" spans="1:30" ht="14.4" x14ac:dyDescent="0.3">
      <c r="A327" s="127"/>
      <c r="B327" s="103" t="s">
        <v>146</v>
      </c>
      <c r="C327" s="129" t="s">
        <v>285</v>
      </c>
      <c r="D327" s="129"/>
      <c r="E327" s="130"/>
      <c r="F327" s="130"/>
      <c r="G327" s="129"/>
      <c r="H327" s="129"/>
      <c r="I327" s="131"/>
      <c r="J327" s="127">
        <v>60</v>
      </c>
      <c r="K327" s="127" t="s">
        <v>254</v>
      </c>
      <c r="L327" s="52">
        <f t="shared" si="119"/>
        <v>61200</v>
      </c>
      <c r="M327" s="52">
        <f t="shared" si="120"/>
        <v>24500</v>
      </c>
      <c r="N327" s="52">
        <f t="shared" si="121"/>
        <v>3672000</v>
      </c>
      <c r="O327" s="52">
        <f t="shared" si="122"/>
        <v>1470000</v>
      </c>
      <c r="P327" s="129"/>
      <c r="Q327" s="129"/>
      <c r="R327" s="129"/>
      <c r="S327" s="132"/>
      <c r="T327" s="52">
        <f>T288</f>
        <v>44000</v>
      </c>
      <c r="U327" s="133">
        <f>T327*40%</f>
        <v>17600</v>
      </c>
      <c r="V327" s="54">
        <f t="shared" si="124"/>
        <v>2640000</v>
      </c>
      <c r="W327" s="54">
        <f t="shared" si="125"/>
        <v>1056000</v>
      </c>
      <c r="Y327" s="136"/>
      <c r="Z327" s="135"/>
      <c r="AA327" s="135"/>
      <c r="AB327" s="136"/>
      <c r="AC327" s="135"/>
      <c r="AD327" s="135"/>
    </row>
    <row r="328" spans="1:30" x14ac:dyDescent="0.25">
      <c r="A328" s="49"/>
      <c r="B328" s="103"/>
      <c r="I328" s="51"/>
      <c r="J328" s="49"/>
      <c r="K328" s="49"/>
      <c r="L328" s="52"/>
      <c r="M328" s="52"/>
      <c r="N328" s="52"/>
      <c r="O328" s="52"/>
      <c r="S328" s="53"/>
      <c r="T328" s="52"/>
      <c r="U328" s="141"/>
      <c r="V328" s="54"/>
      <c r="W328" s="54"/>
      <c r="Y328" s="136"/>
      <c r="Z328" s="135"/>
      <c r="AA328" s="135"/>
      <c r="AB328" s="136"/>
      <c r="AC328" s="135"/>
      <c r="AD328" s="135"/>
    </row>
    <row r="329" spans="1:30" x14ac:dyDescent="0.25">
      <c r="A329" s="49"/>
      <c r="B329" s="103" t="s">
        <v>146</v>
      </c>
      <c r="C329" s="2" t="s">
        <v>286</v>
      </c>
      <c r="I329" s="51"/>
      <c r="J329" s="49">
        <f>25+6+7</f>
        <v>38</v>
      </c>
      <c r="K329" s="49" t="s">
        <v>254</v>
      </c>
      <c r="L329" s="52">
        <f t="shared" ref="L329:L330" si="126">ROUNDUP((T329/(1-$U$2)),-2)</f>
        <v>735200</v>
      </c>
      <c r="M329" s="52">
        <f t="shared" ref="M329:M330" si="127">ROUNDUP((U329/(1-$U$3)),-2)</f>
        <v>294100</v>
      </c>
      <c r="N329" s="52">
        <f t="shared" ref="N329:N330" si="128">L329*J329</f>
        <v>27937600</v>
      </c>
      <c r="O329" s="52">
        <f t="shared" ref="O329:O330" si="129">M329*J329</f>
        <v>11175800</v>
      </c>
      <c r="S329" s="53"/>
      <c r="T329" s="52">
        <f>('[1]New Pricelist'!C1009/3)+('[1]New Pricelist'!C1117/3)</f>
        <v>529333.33333333337</v>
      </c>
      <c r="U329" s="141">
        <f>T329*40%</f>
        <v>211733.33333333337</v>
      </c>
      <c r="V329" s="54">
        <f t="shared" ref="V329:V330" si="130">T329*J329</f>
        <v>20114666.666666668</v>
      </c>
      <c r="W329" s="54">
        <f t="shared" ref="W329:W330" si="131">U329*J329</f>
        <v>8045866.6666666679</v>
      </c>
      <c r="Y329" s="136"/>
      <c r="Z329" s="135"/>
      <c r="AA329" s="135"/>
      <c r="AB329" s="136"/>
      <c r="AC329" s="135"/>
      <c r="AD329" s="135"/>
    </row>
    <row r="330" spans="1:30" s="94" customFormat="1" ht="14.4" x14ac:dyDescent="0.3">
      <c r="A330" s="97"/>
      <c r="B330" s="120" t="s">
        <v>146</v>
      </c>
      <c r="C330" s="94" t="s">
        <v>287</v>
      </c>
      <c r="E330" s="95"/>
      <c r="F330" s="95"/>
      <c r="I330" s="96"/>
      <c r="J330" s="97">
        <v>0</v>
      </c>
      <c r="K330" s="97" t="s">
        <v>254</v>
      </c>
      <c r="L330" s="98">
        <f t="shared" si="126"/>
        <v>10479200</v>
      </c>
      <c r="M330" s="98">
        <f t="shared" si="127"/>
        <v>4191700</v>
      </c>
      <c r="N330" s="98">
        <f t="shared" si="128"/>
        <v>0</v>
      </c>
      <c r="O330" s="98">
        <f t="shared" si="129"/>
        <v>0</v>
      </c>
      <c r="S330" s="99"/>
      <c r="T330" s="98">
        <f>503000*15</f>
        <v>7545000</v>
      </c>
      <c r="U330" s="137">
        <f>T330*40%</f>
        <v>3018000</v>
      </c>
      <c r="V330" s="122">
        <f t="shared" si="130"/>
        <v>0</v>
      </c>
      <c r="W330" s="122">
        <f t="shared" si="131"/>
        <v>0</v>
      </c>
      <c r="Y330" s="140"/>
      <c r="Z330" s="139"/>
      <c r="AA330" s="139"/>
      <c r="AB330" s="140"/>
      <c r="AC330" s="139"/>
      <c r="AD330" s="139"/>
    </row>
    <row r="331" spans="1:30" x14ac:dyDescent="0.25">
      <c r="A331" s="55"/>
      <c r="B331" s="50"/>
      <c r="I331" s="51"/>
      <c r="J331" s="49"/>
      <c r="K331" s="49"/>
      <c r="L331" s="52"/>
      <c r="M331" s="52"/>
      <c r="N331" s="52"/>
      <c r="O331" s="52"/>
      <c r="S331" s="53"/>
      <c r="T331" s="55"/>
      <c r="U331" s="55"/>
      <c r="V331" s="55"/>
      <c r="W331" s="55"/>
    </row>
    <row r="332" spans="1:30" s="43" customFormat="1" x14ac:dyDescent="0.25">
      <c r="A332" s="48"/>
      <c r="B332" s="142"/>
      <c r="C332" s="59"/>
      <c r="D332" s="59"/>
      <c r="E332" s="60"/>
      <c r="F332" s="60"/>
      <c r="G332" s="61"/>
      <c r="H332" s="62" t="s">
        <v>288</v>
      </c>
      <c r="I332" s="63"/>
      <c r="J332" s="64"/>
      <c r="K332" s="64"/>
      <c r="L332" s="65"/>
      <c r="M332" s="65"/>
      <c r="N332" s="65">
        <f>SUM(N273:N331)</f>
        <v>1287051400</v>
      </c>
      <c r="O332" s="65">
        <f>SUM(O273:O331)</f>
        <v>463103500</v>
      </c>
      <c r="S332" s="47"/>
      <c r="T332" s="48"/>
      <c r="U332" s="48"/>
      <c r="V332" s="65">
        <f>SUM(V269:V331)</f>
        <v>926644746.66666663</v>
      </c>
      <c r="W332" s="65">
        <f>SUM(W269:W331)</f>
        <v>333399128.66666669</v>
      </c>
      <c r="X332" s="66"/>
    </row>
    <row r="333" spans="1:30" x14ac:dyDescent="0.25">
      <c r="A333" s="143" t="s">
        <v>289</v>
      </c>
      <c r="B333" s="42" t="s">
        <v>290</v>
      </c>
      <c r="C333" s="144"/>
      <c r="D333" s="9"/>
      <c r="G333" s="71"/>
      <c r="H333" s="71"/>
      <c r="I333" s="145"/>
      <c r="J333" s="49"/>
      <c r="K333" s="49"/>
      <c r="L333" s="52"/>
      <c r="M333" s="52"/>
      <c r="N333" s="52"/>
      <c r="O333" s="52"/>
      <c r="S333" s="53"/>
      <c r="T333" s="55"/>
      <c r="U333" s="55"/>
      <c r="V333" s="55"/>
      <c r="W333" s="55"/>
    </row>
    <row r="334" spans="1:30" x14ac:dyDescent="0.25">
      <c r="A334" s="49">
        <v>1</v>
      </c>
      <c r="B334" s="42" t="s">
        <v>291</v>
      </c>
      <c r="G334" s="71"/>
      <c r="H334" s="71"/>
      <c r="I334" s="145"/>
      <c r="J334" s="49"/>
      <c r="K334" s="49"/>
      <c r="L334" s="52"/>
      <c r="M334" s="52"/>
      <c r="N334" s="52"/>
      <c r="O334" s="52"/>
      <c r="S334" s="53"/>
      <c r="T334" s="55"/>
      <c r="U334" s="55"/>
      <c r="V334" s="55"/>
      <c r="W334" s="55"/>
    </row>
    <row r="335" spans="1:30" x14ac:dyDescent="0.25">
      <c r="A335" s="49"/>
      <c r="B335" s="103" t="s">
        <v>146</v>
      </c>
      <c r="C335" s="2" t="s">
        <v>292</v>
      </c>
      <c r="I335" s="51"/>
      <c r="J335" s="49">
        <v>3</v>
      </c>
      <c r="K335" s="49" t="s">
        <v>293</v>
      </c>
      <c r="L335" s="52">
        <f>L21*0.8%</f>
        <v>32000000</v>
      </c>
      <c r="M335" s="52">
        <f>L335*40%</f>
        <v>12800000</v>
      </c>
      <c r="N335" s="52">
        <f t="shared" ref="N335:N338" si="132">L335*J335</f>
        <v>96000000</v>
      </c>
      <c r="O335" s="52">
        <f t="shared" ref="O335:O338" si="133">M335*J335</f>
        <v>38400000</v>
      </c>
      <c r="S335" s="53"/>
      <c r="T335" s="52">
        <f>T21*0.8%</f>
        <v>0</v>
      </c>
      <c r="U335" s="141">
        <f t="shared" ref="U335:U338" si="134">T335*40%</f>
        <v>0</v>
      </c>
      <c r="V335" s="54">
        <f t="shared" ref="V335:V338" si="135">T335*J335</f>
        <v>0</v>
      </c>
      <c r="W335" s="54">
        <f t="shared" ref="W335:W338" si="136">U335*J335</f>
        <v>0</v>
      </c>
      <c r="Y335" s="136"/>
      <c r="Z335" s="135"/>
      <c r="AA335" s="135"/>
      <c r="AB335" s="136"/>
      <c r="AC335" s="135"/>
      <c r="AD335" s="135"/>
    </row>
    <row r="336" spans="1:30" x14ac:dyDescent="0.25">
      <c r="A336" s="49"/>
      <c r="B336" s="103" t="s">
        <v>146</v>
      </c>
      <c r="C336" s="2" t="s">
        <v>294</v>
      </c>
      <c r="I336" s="51"/>
      <c r="J336" s="49">
        <v>3</v>
      </c>
      <c r="K336" s="49" t="s">
        <v>293</v>
      </c>
      <c r="L336" s="52">
        <f t="shared" ref="L336:L338" si="137">ROUNDUP((T336/(1-$U$2)),-2)</f>
        <v>15335700</v>
      </c>
      <c r="M336" s="52">
        <f t="shared" ref="M336:M338" si="138">ROUNDUP((U336/(1-$U$3)),-2)</f>
        <v>6134300</v>
      </c>
      <c r="N336" s="52">
        <f t="shared" si="132"/>
        <v>46007100</v>
      </c>
      <c r="O336" s="52">
        <f t="shared" si="133"/>
        <v>18402900</v>
      </c>
      <c r="S336" s="53"/>
      <c r="T336" s="52">
        <f>T43*2.5%</f>
        <v>11041666.675000001</v>
      </c>
      <c r="U336" s="141">
        <f t="shared" si="134"/>
        <v>4416666.6700000009</v>
      </c>
      <c r="V336" s="54">
        <f t="shared" si="135"/>
        <v>33125000.025000002</v>
      </c>
      <c r="W336" s="54">
        <f t="shared" si="136"/>
        <v>13250000.010000002</v>
      </c>
      <c r="Y336" s="136"/>
      <c r="Z336" s="135"/>
      <c r="AA336" s="135"/>
      <c r="AB336" s="136"/>
      <c r="AC336" s="135"/>
      <c r="AD336" s="135"/>
    </row>
    <row r="337" spans="1:30" x14ac:dyDescent="0.25">
      <c r="A337" s="49"/>
      <c r="B337" s="103" t="s">
        <v>146</v>
      </c>
      <c r="C337" s="2" t="s">
        <v>295</v>
      </c>
      <c r="I337" s="51"/>
      <c r="J337" s="49">
        <v>7</v>
      </c>
      <c r="K337" s="49" t="s">
        <v>293</v>
      </c>
      <c r="L337" s="52">
        <f t="shared" si="137"/>
        <v>9279000</v>
      </c>
      <c r="M337" s="52">
        <f t="shared" si="138"/>
        <v>3711600</v>
      </c>
      <c r="N337" s="52">
        <f t="shared" si="132"/>
        <v>64953000</v>
      </c>
      <c r="O337" s="52">
        <f t="shared" si="133"/>
        <v>25981200</v>
      </c>
      <c r="S337" s="53"/>
      <c r="T337" s="52">
        <f>((T77+T92+T105)/3)*2.5%</f>
        <v>6680833.333333334</v>
      </c>
      <c r="U337" s="141">
        <f t="shared" si="134"/>
        <v>2672333.333333334</v>
      </c>
      <c r="V337" s="54">
        <f t="shared" si="135"/>
        <v>46765833.333333336</v>
      </c>
      <c r="W337" s="54">
        <f t="shared" si="136"/>
        <v>18706333.333333336</v>
      </c>
      <c r="Y337" s="136"/>
      <c r="Z337" s="135"/>
      <c r="AA337" s="135"/>
      <c r="AB337" s="136"/>
      <c r="AC337" s="135"/>
      <c r="AD337" s="135"/>
    </row>
    <row r="338" spans="1:30" x14ac:dyDescent="0.25">
      <c r="A338" s="49"/>
      <c r="B338" s="103" t="s">
        <v>146</v>
      </c>
      <c r="C338" s="2" t="s">
        <v>296</v>
      </c>
      <c r="I338" s="51"/>
      <c r="J338" s="49">
        <v>4</v>
      </c>
      <c r="K338" s="49" t="s">
        <v>293</v>
      </c>
      <c r="L338" s="52">
        <f t="shared" si="137"/>
        <v>31250000</v>
      </c>
      <c r="M338" s="52">
        <f t="shared" si="138"/>
        <v>12500000</v>
      </c>
      <c r="N338" s="52">
        <f t="shared" si="132"/>
        <v>125000000</v>
      </c>
      <c r="O338" s="52">
        <f t="shared" si="133"/>
        <v>50000000</v>
      </c>
      <c r="S338" s="53"/>
      <c r="T338" s="52">
        <f>T125*1.5%</f>
        <v>22500000</v>
      </c>
      <c r="U338" s="141">
        <f t="shared" si="134"/>
        <v>9000000</v>
      </c>
      <c r="V338" s="54">
        <f t="shared" si="135"/>
        <v>90000000</v>
      </c>
      <c r="W338" s="54">
        <f t="shared" si="136"/>
        <v>36000000</v>
      </c>
      <c r="Y338" s="136"/>
      <c r="Z338" s="135"/>
      <c r="AA338" s="135"/>
      <c r="AB338" s="136"/>
      <c r="AC338" s="135"/>
      <c r="AD338" s="135"/>
    </row>
    <row r="339" spans="1:30" x14ac:dyDescent="0.25">
      <c r="A339" s="146"/>
      <c r="B339" s="147"/>
      <c r="C339" s="9"/>
      <c r="D339" s="9"/>
      <c r="G339" s="71"/>
      <c r="H339" s="71"/>
      <c r="I339" s="145"/>
      <c r="J339" s="49"/>
      <c r="K339" s="49"/>
      <c r="L339" s="52"/>
      <c r="M339" s="52"/>
      <c r="N339" s="52"/>
      <c r="O339" s="52"/>
      <c r="S339" s="53"/>
      <c r="T339" s="55"/>
      <c r="U339" s="55"/>
      <c r="V339" s="55"/>
      <c r="W339" s="55"/>
    </row>
    <row r="340" spans="1:30" s="43" customFormat="1" x14ac:dyDescent="0.25">
      <c r="A340" s="57"/>
      <c r="B340" s="58"/>
      <c r="C340" s="59"/>
      <c r="D340" s="59"/>
      <c r="E340" s="60"/>
      <c r="F340" s="60"/>
      <c r="G340" s="61"/>
      <c r="H340" s="62" t="s">
        <v>297</v>
      </c>
      <c r="I340" s="63"/>
      <c r="J340" s="64"/>
      <c r="K340" s="64"/>
      <c r="L340" s="65"/>
      <c r="M340" s="65"/>
      <c r="N340" s="65">
        <f>SUM(N335:N339)</f>
        <v>331960100</v>
      </c>
      <c r="O340" s="65">
        <f>SUM(O335:O339)</f>
        <v>132784100</v>
      </c>
      <c r="S340" s="148"/>
      <c r="T340" s="65"/>
      <c r="U340" s="65"/>
      <c r="V340" s="65">
        <f>SUM(V333:V339)</f>
        <v>169890833.35833335</v>
      </c>
      <c r="W340" s="65">
        <f>SUM(W333:W339)</f>
        <v>67956333.343333334</v>
      </c>
    </row>
    <row r="341" spans="1:30" x14ac:dyDescent="0.25">
      <c r="A341" s="146"/>
      <c r="B341" s="147"/>
      <c r="C341" s="9"/>
      <c r="D341" s="9" t="s">
        <v>298</v>
      </c>
      <c r="G341" s="71"/>
      <c r="H341" s="71"/>
      <c r="I341" s="9"/>
      <c r="K341" s="149" t="s">
        <v>299</v>
      </c>
      <c r="L341" s="150"/>
      <c r="M341" s="151"/>
      <c r="N341" s="52"/>
      <c r="O341" s="52"/>
      <c r="S341" s="152" t="s">
        <v>299</v>
      </c>
      <c r="T341" s="153"/>
      <c r="U341" s="151"/>
      <c r="V341" s="52"/>
      <c r="W341" s="52"/>
    </row>
    <row r="342" spans="1:30" x14ac:dyDescent="0.25">
      <c r="A342" s="146"/>
      <c r="B342" s="147"/>
      <c r="C342" s="9"/>
      <c r="D342" s="9" t="s">
        <v>300</v>
      </c>
      <c r="G342" s="71"/>
      <c r="H342" s="71"/>
      <c r="I342" s="9"/>
      <c r="K342" s="72"/>
      <c r="L342" s="150"/>
      <c r="M342" s="151"/>
      <c r="N342" s="52"/>
      <c r="O342" s="52"/>
      <c r="S342" s="154"/>
      <c r="T342" s="153"/>
      <c r="U342" s="151"/>
      <c r="V342" s="52"/>
      <c r="W342" s="52"/>
    </row>
    <row r="343" spans="1:30" x14ac:dyDescent="0.25">
      <c r="A343" s="146"/>
      <c r="B343" s="147"/>
      <c r="C343" s="9"/>
      <c r="D343" s="9"/>
      <c r="G343" s="71"/>
      <c r="H343" s="71"/>
      <c r="I343" s="9"/>
      <c r="K343" s="72" t="s">
        <v>301</v>
      </c>
      <c r="L343" s="150"/>
      <c r="M343" s="151"/>
      <c r="N343" s="52">
        <f>N15</f>
        <v>0</v>
      </c>
      <c r="O343" s="52">
        <f>O15</f>
        <v>96875000</v>
      </c>
      <c r="S343" s="154" t="str">
        <f>K343</f>
        <v>PRILEMINARY</v>
      </c>
      <c r="T343" s="153"/>
      <c r="U343" s="151"/>
      <c r="V343" s="52">
        <f>V15</f>
        <v>0</v>
      </c>
      <c r="W343" s="52">
        <f>W15</f>
        <v>77500000</v>
      </c>
    </row>
    <row r="344" spans="1:30" ht="7.95" customHeight="1" x14ac:dyDescent="0.25">
      <c r="A344" s="146"/>
      <c r="B344" s="147"/>
      <c r="C344" s="9"/>
      <c r="D344" s="9"/>
      <c r="G344" s="71"/>
      <c r="H344" s="71"/>
      <c r="I344" s="9"/>
      <c r="K344" s="72"/>
      <c r="L344" s="150"/>
      <c r="M344" s="151"/>
      <c r="N344" s="52"/>
      <c r="O344" s="52"/>
      <c r="S344" s="154"/>
      <c r="T344" s="153"/>
      <c r="U344" s="151"/>
      <c r="V344" s="52"/>
      <c r="W344" s="52"/>
    </row>
    <row r="345" spans="1:30" x14ac:dyDescent="0.25">
      <c r="A345" s="146"/>
      <c r="B345" s="147"/>
      <c r="C345" s="9"/>
      <c r="D345" s="9"/>
      <c r="G345" s="71"/>
      <c r="H345" s="71"/>
      <c r="I345" s="9"/>
      <c r="K345" s="72" t="s">
        <v>302</v>
      </c>
      <c r="L345" s="150"/>
      <c r="M345" s="151"/>
      <c r="N345" s="52">
        <f>N131</f>
        <v>17625142000</v>
      </c>
      <c r="O345" s="52">
        <f>O131</f>
        <v>223750000</v>
      </c>
      <c r="S345" s="154" t="str">
        <f>K345</f>
        <v>MAIN EQUIPMENT</v>
      </c>
      <c r="T345" s="153"/>
      <c r="U345" s="151"/>
      <c r="V345" s="52">
        <f>V131</f>
        <v>4181780001</v>
      </c>
      <c r="W345" s="52">
        <f>W131</f>
        <v>179000000</v>
      </c>
    </row>
    <row r="346" spans="1:30" ht="7.95" customHeight="1" x14ac:dyDescent="0.25">
      <c r="A346" s="146"/>
      <c r="B346" s="147"/>
      <c r="C346" s="9"/>
      <c r="D346" s="9"/>
      <c r="G346" s="71"/>
      <c r="H346" s="71"/>
      <c r="I346" s="9"/>
      <c r="K346" s="72"/>
      <c r="L346" s="150"/>
      <c r="M346" s="151"/>
      <c r="N346" s="52"/>
      <c r="O346" s="52"/>
      <c r="S346" s="154"/>
      <c r="T346" s="153"/>
      <c r="U346" s="151"/>
      <c r="V346" s="52"/>
      <c r="W346" s="52"/>
    </row>
    <row r="347" spans="1:30" x14ac:dyDescent="0.25">
      <c r="A347" s="146"/>
      <c r="B347" s="147"/>
      <c r="C347" s="9"/>
      <c r="D347" s="9"/>
      <c r="G347" s="71"/>
      <c r="H347" s="71"/>
      <c r="I347" s="9"/>
      <c r="K347" s="72" t="s">
        <v>303</v>
      </c>
      <c r="L347" s="150"/>
      <c r="M347" s="151"/>
      <c r="N347" s="52">
        <f>N268</f>
        <v>5533535500</v>
      </c>
      <c r="O347" s="52">
        <f>O268</f>
        <v>1936780200</v>
      </c>
      <c r="S347" s="154" t="str">
        <f>K347</f>
        <v>PIPE INSTALLATION</v>
      </c>
      <c r="T347" s="153"/>
      <c r="U347" s="151"/>
      <c r="V347" s="52">
        <f>V268</f>
        <v>3984095205</v>
      </c>
      <c r="W347" s="52">
        <f>W268</f>
        <v>1394433321.75</v>
      </c>
      <c r="X347" s="153"/>
    </row>
    <row r="348" spans="1:30" ht="7.95" customHeight="1" x14ac:dyDescent="0.25">
      <c r="A348" s="146"/>
      <c r="B348" s="147"/>
      <c r="C348" s="9"/>
      <c r="D348" s="9"/>
      <c r="G348" s="71"/>
      <c r="H348" s="71"/>
      <c r="I348" s="9"/>
      <c r="K348" s="72"/>
      <c r="L348" s="150"/>
      <c r="M348" s="151"/>
      <c r="N348" s="52"/>
      <c r="O348" s="52"/>
      <c r="S348" s="154"/>
      <c r="T348" s="153"/>
      <c r="U348" s="151"/>
      <c r="V348" s="52"/>
      <c r="W348" s="52"/>
    </row>
    <row r="349" spans="1:30" x14ac:dyDescent="0.25">
      <c r="A349" s="146"/>
      <c r="B349" s="147"/>
      <c r="C349" s="9"/>
      <c r="D349" s="9"/>
      <c r="G349" s="71"/>
      <c r="H349" s="71"/>
      <c r="I349" s="9"/>
      <c r="K349" s="72" t="s">
        <v>304</v>
      </c>
      <c r="L349" s="150"/>
      <c r="M349" s="151"/>
      <c r="N349" s="52">
        <f>N332</f>
        <v>1287051400</v>
      </c>
      <c r="O349" s="52">
        <f>O332</f>
        <v>463103500</v>
      </c>
      <c r="S349" s="154" t="str">
        <f>K349</f>
        <v>ELECTRICAL INSTALLATION</v>
      </c>
      <c r="T349" s="153"/>
      <c r="U349" s="151"/>
      <c r="V349" s="52">
        <f>V332</f>
        <v>926644746.66666663</v>
      </c>
      <c r="W349" s="52">
        <f>W332</f>
        <v>333399128.66666669</v>
      </c>
    </row>
    <row r="350" spans="1:30" ht="7.95" customHeight="1" x14ac:dyDescent="0.25">
      <c r="A350" s="146"/>
      <c r="B350" s="147"/>
      <c r="C350" s="9"/>
      <c r="D350" s="9"/>
      <c r="G350" s="71"/>
      <c r="H350" s="71"/>
      <c r="I350" s="9"/>
      <c r="K350" s="72"/>
      <c r="L350" s="150"/>
      <c r="M350" s="151"/>
      <c r="N350" s="52"/>
      <c r="O350" s="52"/>
      <c r="S350" s="154"/>
      <c r="T350" s="153"/>
      <c r="U350" s="151"/>
      <c r="V350" s="52"/>
      <c r="W350" s="52"/>
    </row>
    <row r="351" spans="1:30" x14ac:dyDescent="0.25">
      <c r="A351" s="146"/>
      <c r="B351" s="147"/>
      <c r="C351" s="9"/>
      <c r="D351" s="9"/>
      <c r="G351" s="71"/>
      <c r="H351" s="71"/>
      <c r="I351" s="9"/>
      <c r="K351" s="72" t="s">
        <v>305</v>
      </c>
      <c r="L351" s="150"/>
      <c r="M351" s="151"/>
      <c r="N351" s="52">
        <f>N340</f>
        <v>331960100</v>
      </c>
      <c r="O351" s="52">
        <f>O340</f>
        <v>132784100</v>
      </c>
      <c r="S351" s="154" t="str">
        <f>K351</f>
        <v>LIFTING &amp; CIVIL INSTALLATION</v>
      </c>
      <c r="T351" s="153"/>
      <c r="U351" s="151"/>
      <c r="V351" s="52">
        <f>V340</f>
        <v>169890833.35833335</v>
      </c>
      <c r="W351" s="52">
        <f>W340</f>
        <v>67956333.343333334</v>
      </c>
    </row>
    <row r="352" spans="1:30" s="164" customFormat="1" ht="19.95" customHeight="1" x14ac:dyDescent="0.3">
      <c r="A352" s="155"/>
      <c r="B352" s="156"/>
      <c r="C352" s="157"/>
      <c r="D352" s="157"/>
      <c r="E352" s="60"/>
      <c r="F352" s="60"/>
      <c r="G352" s="158"/>
      <c r="H352" s="159" t="s">
        <v>306</v>
      </c>
      <c r="I352" s="160"/>
      <c r="J352" s="60"/>
      <c r="K352" s="60"/>
      <c r="L352" s="161"/>
      <c r="M352" s="162"/>
      <c r="N352" s="163">
        <f>SUM(N343:N351)</f>
        <v>24777689000</v>
      </c>
      <c r="O352" s="163">
        <f>SUM(O343:O351)</f>
        <v>2853292800</v>
      </c>
      <c r="Q352" s="165">
        <f>O352/N352</f>
        <v>0.11515572739653</v>
      </c>
      <c r="S352" s="166"/>
      <c r="T352" s="167"/>
      <c r="U352" s="162"/>
      <c r="V352" s="163">
        <f>SUM(V343:V351)</f>
        <v>9262410786.0249996</v>
      </c>
      <c r="W352" s="163">
        <f>SUM(W343:W351)</f>
        <v>2052288783.76</v>
      </c>
    </row>
    <row r="354" spans="15:23" x14ac:dyDescent="0.25">
      <c r="O354" s="4">
        <f>O352+N352</f>
        <v>27630981800</v>
      </c>
      <c r="W354" s="4">
        <f>W352+V352</f>
        <v>11314699569.785</v>
      </c>
    </row>
    <row r="356" spans="15:23" x14ac:dyDescent="0.25">
      <c r="T356" s="94" t="s">
        <v>307</v>
      </c>
    </row>
    <row r="357" spans="15:23" x14ac:dyDescent="0.25">
      <c r="T357" s="56">
        <f>O354-W354</f>
        <v>16316282230.215</v>
      </c>
    </row>
    <row r="358" spans="15:23" x14ac:dyDescent="0.25">
      <c r="T358" s="168">
        <f>T357/O354</f>
        <v>0.59050678503993659</v>
      </c>
    </row>
    <row r="362" spans="15:23" x14ac:dyDescent="0.25">
      <c r="O362" s="4">
        <f>N352-V352</f>
        <v>15515278213.975</v>
      </c>
    </row>
    <row r="363" spans="15:23" x14ac:dyDescent="0.25">
      <c r="O363" s="169">
        <f>O362/N352</f>
        <v>0.62617939122470223</v>
      </c>
    </row>
    <row r="372" spans="22:22" x14ac:dyDescent="0.25">
      <c r="V372" s="170">
        <v>8460800000</v>
      </c>
    </row>
    <row r="379" spans="22:22" x14ac:dyDescent="0.25">
      <c r="V379" s="170">
        <v>842970000</v>
      </c>
    </row>
    <row r="387" spans="22:22" x14ac:dyDescent="0.25">
      <c r="V387" s="170">
        <v>1090530000</v>
      </c>
    </row>
    <row r="394" spans="22:22" x14ac:dyDescent="0.25">
      <c r="V394" s="170">
        <v>630124000</v>
      </c>
    </row>
    <row r="404" spans="22:22" x14ac:dyDescent="0.25">
      <c r="V404" s="170">
        <v>2373336000</v>
      </c>
    </row>
    <row r="414" spans="22:22" x14ac:dyDescent="0.25">
      <c r="V414" s="170">
        <v>53334000</v>
      </c>
    </row>
    <row r="424" spans="22:22" x14ac:dyDescent="0.25">
      <c r="V424" s="170">
        <v>3733334000</v>
      </c>
    </row>
    <row r="430" spans="22:22" x14ac:dyDescent="0.25">
      <c r="V430" s="171">
        <f>SUM(V371:V429)</f>
        <v>17184428000</v>
      </c>
    </row>
  </sheetData>
  <mergeCells count="21">
    <mergeCell ref="B240:H240"/>
    <mergeCell ref="B249:H249"/>
    <mergeCell ref="B258:H258"/>
    <mergeCell ref="F61:G61"/>
    <mergeCell ref="F75:G75"/>
    <mergeCell ref="C134:H135"/>
    <mergeCell ref="B172:H172"/>
    <mergeCell ref="B219:H219"/>
    <mergeCell ref="B231:H231"/>
    <mergeCell ref="N6:O6"/>
    <mergeCell ref="T6:U6"/>
    <mergeCell ref="V6:W6"/>
    <mergeCell ref="B8:I8"/>
    <mergeCell ref="C18:H19"/>
    <mergeCell ref="F41:G41"/>
    <mergeCell ref="A1:G1"/>
    <mergeCell ref="A6:A7"/>
    <mergeCell ref="B6:I7"/>
    <mergeCell ref="J6:J7"/>
    <mergeCell ref="K6:K7"/>
    <mergeCell ref="L6:M6"/>
  </mergeCells>
  <printOptions horizontalCentered="1"/>
  <pageMargins left="0.2" right="0.2" top="0.25" bottom="0.25" header="0.3" footer="0.3"/>
  <pageSetup paperSize="9" scale="49" orientation="portrait" r:id="rId1"/>
  <rowBreaks count="3" manualBreakCount="3">
    <brk id="170" max="14" man="1"/>
    <brk id="248" max="14" man="1"/>
    <brk id="306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BOQ (Non Cbl Chiler Exis) (1)</vt:lpstr>
      <vt:lpstr>'BOQ (Non Cbl Chiler Exis) (1)'!Print_Area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Yusuf Iskandar (DASI)</dc:creator>
  <cp:lastModifiedBy>Dede Yusuf Iskandar (DASI)</cp:lastModifiedBy>
  <dcterms:created xsi:type="dcterms:W3CDTF">2026-06-25T07:37:46Z</dcterms:created>
  <dcterms:modified xsi:type="dcterms:W3CDTF">2026-06-25T07:38:30Z</dcterms:modified>
</cp:coreProperties>
</file>
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ilsrv-my.sharepoint.com/personal/dede_yusuf_daikinapplied_co_id/Documents/EPL-CONNECT/PLAZA INDONESIA/Report/Audit/2026/Mei/"/>
    </mc:Choice>
  </mc:AlternateContent>
  <xr:revisionPtr revIDLastSave="0" documentId="8_{C0EDAEB8-6C42-4468-8E6C-900C6C1A567E}" xr6:coauthVersionLast="47" xr6:coauthVersionMax="47" xr10:uidLastSave="{00000000-0000-0000-0000-000000000000}"/>
  <bookViews>
    <workbookView xWindow="-108" yWindow="-108" windowWidth="23256" windowHeight="13896" xr2:uid="{D5C693FD-AAF0-44D3-A75A-1A5C21647E61}"/>
  </bookViews>
  <sheets>
    <sheet name="Report Plaza Indonesia" sheetId="1" r:id="rId1"/>
  </sheets>
  <definedNames>
    <definedName name="_xlnm._FilterDatabase" localSheetId="0" hidden="1">'Report Plaza Indonesia'!$B$2:$AI$2</definedName>
    <definedName name="_xlnm.Print_Area" localSheetId="0">'Report Plaza Indonesia'!$A$1:$AI$174</definedName>
    <definedName name="_xlnm.Print_Titles" localSheetId="0">'Report Plaza Indonesia'!$1:$2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3" i="1" l="1"/>
  <c r="AB3" i="1"/>
  <c r="AE3" i="1"/>
  <c r="O4" i="1"/>
  <c r="AB4" i="1"/>
  <c r="AE4" i="1"/>
  <c r="A5" i="1"/>
  <c r="O5" i="1"/>
  <c r="AB5" i="1"/>
  <c r="AE5" i="1"/>
  <c r="A6" i="1"/>
  <c r="O6" i="1"/>
  <c r="AB6" i="1"/>
  <c r="AE6" i="1"/>
  <c r="A7" i="1"/>
  <c r="O7" i="1"/>
  <c r="AB7" i="1"/>
  <c r="AE7" i="1"/>
  <c r="A8" i="1"/>
  <c r="O8" i="1"/>
  <c r="AB8" i="1"/>
  <c r="AE8" i="1"/>
  <c r="A9" i="1"/>
  <c r="O9" i="1"/>
  <c r="AB9" i="1"/>
  <c r="AE9" i="1"/>
  <c r="A10" i="1"/>
  <c r="O10" i="1"/>
  <c r="AB10" i="1"/>
  <c r="AE10" i="1"/>
  <c r="A11" i="1"/>
  <c r="O11" i="1"/>
  <c r="AB11" i="1"/>
  <c r="AE11" i="1"/>
  <c r="A12" i="1"/>
  <c r="O12" i="1"/>
  <c r="AB12" i="1"/>
  <c r="AE12" i="1"/>
  <c r="A13" i="1"/>
  <c r="O13" i="1"/>
  <c r="AB13" i="1"/>
  <c r="AE13" i="1"/>
  <c r="O14" i="1"/>
  <c r="AB14" i="1"/>
  <c r="AE14" i="1"/>
  <c r="O15" i="1"/>
  <c r="AB15" i="1"/>
  <c r="AE15" i="1"/>
  <c r="O16" i="1"/>
  <c r="AB16" i="1"/>
  <c r="AE16" i="1"/>
  <c r="O17" i="1"/>
  <c r="AB17" i="1"/>
  <c r="AE17" i="1"/>
  <c r="AB18" i="1"/>
  <c r="AE18" i="1"/>
  <c r="O19" i="1"/>
  <c r="AB19" i="1"/>
  <c r="AE19" i="1"/>
  <c r="O20" i="1"/>
  <c r="AB20" i="1"/>
  <c r="AE20" i="1"/>
  <c r="O21" i="1"/>
  <c r="AB21" i="1"/>
  <c r="AE21" i="1"/>
  <c r="O22" i="1"/>
  <c r="AB22" i="1"/>
  <c r="AE22" i="1"/>
  <c r="O23" i="1"/>
  <c r="AB23" i="1"/>
  <c r="AE23" i="1"/>
  <c r="O24" i="1"/>
  <c r="AB24" i="1"/>
  <c r="AE24" i="1"/>
  <c r="O25" i="1"/>
  <c r="AB25" i="1"/>
  <c r="AE25" i="1"/>
  <c r="O26" i="1"/>
  <c r="AB26" i="1"/>
  <c r="AE26" i="1"/>
  <c r="O27" i="1"/>
  <c r="AB27" i="1"/>
  <c r="AE27" i="1"/>
  <c r="O28" i="1"/>
  <c r="AB28" i="1"/>
  <c r="AE28" i="1"/>
  <c r="O29" i="1"/>
  <c r="AB29" i="1"/>
  <c r="AE29" i="1"/>
  <c r="O30" i="1"/>
  <c r="AB30" i="1"/>
  <c r="AE30" i="1"/>
  <c r="O31" i="1"/>
  <c r="AB31" i="1"/>
  <c r="AE31" i="1"/>
  <c r="O32" i="1"/>
  <c r="AB32" i="1"/>
  <c r="AE32" i="1"/>
  <c r="O33" i="1"/>
  <c r="AB33" i="1"/>
  <c r="AE33" i="1"/>
  <c r="O34" i="1"/>
  <c r="AB34" i="1"/>
  <c r="AE34" i="1"/>
  <c r="O35" i="1"/>
  <c r="AB35" i="1"/>
  <c r="AE35" i="1"/>
  <c r="O36" i="1"/>
  <c r="AB36" i="1"/>
  <c r="AE36" i="1"/>
  <c r="O37" i="1"/>
  <c r="AB37" i="1"/>
  <c r="AE37" i="1"/>
  <c r="O38" i="1"/>
  <c r="AB38" i="1"/>
  <c r="AE38" i="1"/>
  <c r="O39" i="1"/>
  <c r="AB39" i="1"/>
  <c r="AE39" i="1"/>
  <c r="O40" i="1"/>
  <c r="AB40" i="1"/>
  <c r="AE40" i="1"/>
  <c r="O41" i="1"/>
  <c r="AB41" i="1"/>
  <c r="AE41" i="1"/>
  <c r="O42" i="1"/>
  <c r="AB42" i="1"/>
  <c r="AE42" i="1"/>
  <c r="O43" i="1"/>
  <c r="AB43" i="1"/>
  <c r="AE43" i="1"/>
  <c r="O44" i="1"/>
  <c r="AE44" i="1"/>
  <c r="O45" i="1"/>
  <c r="AB45" i="1"/>
  <c r="AE45" i="1"/>
  <c r="O46" i="1"/>
  <c r="AB46" i="1"/>
  <c r="AE46" i="1"/>
  <c r="O47" i="1"/>
  <c r="AB47" i="1"/>
  <c r="AE47" i="1"/>
  <c r="O48" i="1"/>
  <c r="AB48" i="1"/>
  <c r="AE48" i="1"/>
  <c r="O49" i="1"/>
  <c r="AB49" i="1"/>
  <c r="AE49" i="1"/>
  <c r="O50" i="1"/>
  <c r="AB50" i="1"/>
  <c r="AE50" i="1"/>
  <c r="O51" i="1"/>
  <c r="AB51" i="1"/>
  <c r="AE51" i="1"/>
  <c r="O52" i="1"/>
  <c r="AB52" i="1"/>
  <c r="AE52" i="1"/>
  <c r="O53" i="1"/>
  <c r="AB53" i="1"/>
  <c r="AE53" i="1"/>
  <c r="O54" i="1"/>
  <c r="AB54" i="1"/>
  <c r="AE54" i="1"/>
  <c r="O55" i="1"/>
  <c r="AB55" i="1"/>
  <c r="AE55" i="1"/>
  <c r="O57" i="1"/>
  <c r="AB57" i="1"/>
  <c r="AE57" i="1"/>
  <c r="O59" i="1"/>
  <c r="AB59" i="1"/>
  <c r="AE59" i="1"/>
  <c r="O60" i="1"/>
  <c r="AB60" i="1"/>
  <c r="AE60" i="1"/>
  <c r="O61" i="1"/>
  <c r="AB61" i="1"/>
  <c r="AE61" i="1"/>
  <c r="O62" i="1"/>
  <c r="AB62" i="1"/>
  <c r="AE62" i="1"/>
  <c r="O63" i="1"/>
  <c r="AB63" i="1"/>
  <c r="AE63" i="1"/>
  <c r="O64" i="1"/>
  <c r="AB64" i="1"/>
  <c r="AE64" i="1"/>
  <c r="O65" i="1"/>
  <c r="AB65" i="1"/>
  <c r="AE65" i="1"/>
  <c r="O66" i="1"/>
  <c r="AB66" i="1"/>
  <c r="AE66" i="1"/>
  <c r="O67" i="1"/>
  <c r="AB67" i="1"/>
  <c r="AE67" i="1"/>
  <c r="O68" i="1"/>
  <c r="AB68" i="1"/>
  <c r="AE68" i="1"/>
  <c r="O69" i="1"/>
  <c r="AB69" i="1"/>
  <c r="AE69" i="1"/>
  <c r="O70" i="1"/>
  <c r="AB70" i="1"/>
  <c r="AE70" i="1"/>
  <c r="O71" i="1"/>
  <c r="AB71" i="1"/>
  <c r="AE71" i="1"/>
  <c r="O72" i="1"/>
  <c r="AB72" i="1"/>
  <c r="AE72" i="1"/>
  <c r="O73" i="1"/>
  <c r="AB73" i="1"/>
  <c r="AE73" i="1"/>
  <c r="O74" i="1"/>
  <c r="AB74" i="1"/>
  <c r="AE74" i="1"/>
  <c r="O75" i="1"/>
  <c r="AB75" i="1"/>
  <c r="AE75" i="1"/>
  <c r="O76" i="1"/>
  <c r="AB76" i="1"/>
  <c r="AE76" i="1"/>
  <c r="O77" i="1"/>
  <c r="AB77" i="1"/>
  <c r="AE77" i="1"/>
  <c r="O78" i="1"/>
  <c r="AB78" i="1"/>
  <c r="AE78" i="1"/>
  <c r="O79" i="1"/>
  <c r="AB79" i="1"/>
  <c r="AE79" i="1"/>
  <c r="O80" i="1"/>
  <c r="AB80" i="1"/>
  <c r="AE80" i="1"/>
  <c r="O81" i="1"/>
  <c r="AB81" i="1"/>
  <c r="AE81" i="1"/>
  <c r="O82" i="1"/>
  <c r="AB82" i="1"/>
  <c r="AE82" i="1"/>
  <c r="O83" i="1"/>
  <c r="AB83" i="1"/>
  <c r="AE83" i="1"/>
  <c r="O84" i="1"/>
  <c r="AB84" i="1"/>
  <c r="AE84" i="1"/>
  <c r="O85" i="1"/>
  <c r="AB85" i="1"/>
  <c r="AE85" i="1"/>
  <c r="O86" i="1"/>
  <c r="AB86" i="1"/>
  <c r="AE86" i="1"/>
  <c r="O87" i="1"/>
  <c r="AB87" i="1"/>
  <c r="AE87" i="1"/>
  <c r="O88" i="1"/>
  <c r="AB88" i="1"/>
  <c r="AE88" i="1"/>
  <c r="O89" i="1"/>
  <c r="AB89" i="1"/>
  <c r="AE89" i="1"/>
  <c r="O90" i="1"/>
  <c r="AB90" i="1"/>
  <c r="AE90" i="1"/>
  <c r="O91" i="1"/>
  <c r="AE91" i="1"/>
  <c r="O92" i="1"/>
  <c r="AB92" i="1"/>
  <c r="AE92" i="1"/>
  <c r="O93" i="1"/>
  <c r="AB93" i="1"/>
  <c r="AE93" i="1"/>
  <c r="O94" i="1"/>
  <c r="AB94" i="1"/>
  <c r="AE94" i="1"/>
  <c r="O95" i="1"/>
  <c r="AB95" i="1"/>
  <c r="AE95" i="1"/>
  <c r="O96" i="1"/>
  <c r="AB96" i="1"/>
  <c r="AE96" i="1"/>
  <c r="O97" i="1"/>
  <c r="AB97" i="1"/>
  <c r="AE97" i="1"/>
  <c r="O98" i="1"/>
  <c r="AB98" i="1"/>
  <c r="AE98" i="1"/>
  <c r="O99" i="1"/>
  <c r="AB99" i="1"/>
  <c r="AE99" i="1"/>
  <c r="O100" i="1"/>
  <c r="AB100" i="1"/>
  <c r="AE100" i="1"/>
  <c r="O101" i="1"/>
  <c r="AE101" i="1"/>
  <c r="O102" i="1"/>
  <c r="AE102" i="1"/>
  <c r="O103" i="1"/>
  <c r="AB103" i="1"/>
  <c r="AE103" i="1"/>
  <c r="O104" i="1"/>
  <c r="AB104" i="1"/>
  <c r="AE104" i="1"/>
  <c r="O105" i="1"/>
  <c r="AB105" i="1"/>
  <c r="AE105" i="1"/>
  <c r="O106" i="1"/>
  <c r="AB106" i="1"/>
  <c r="AE106" i="1"/>
  <c r="O107" i="1"/>
  <c r="AB107" i="1"/>
  <c r="AE107" i="1"/>
  <c r="O108" i="1"/>
  <c r="AB108" i="1"/>
  <c r="AE108" i="1"/>
  <c r="O109" i="1"/>
  <c r="AB109" i="1"/>
  <c r="AE109" i="1"/>
  <c r="O110" i="1"/>
  <c r="AB110" i="1"/>
  <c r="AE110" i="1"/>
  <c r="O111" i="1"/>
  <c r="AB111" i="1"/>
  <c r="AE111" i="1"/>
  <c r="O112" i="1"/>
  <c r="AB112" i="1"/>
  <c r="AE112" i="1"/>
  <c r="O113" i="1"/>
  <c r="AB113" i="1"/>
  <c r="AE113" i="1"/>
  <c r="O114" i="1"/>
  <c r="AB114" i="1"/>
  <c r="AE114" i="1"/>
  <c r="O115" i="1"/>
  <c r="AB115" i="1"/>
  <c r="AE115" i="1"/>
  <c r="O116" i="1"/>
  <c r="AB116" i="1"/>
  <c r="AE116" i="1"/>
  <c r="O117" i="1"/>
  <c r="AB117" i="1"/>
  <c r="AE117" i="1"/>
  <c r="AE118" i="1"/>
  <c r="O119" i="1"/>
  <c r="AB119" i="1"/>
  <c r="AE119" i="1"/>
  <c r="O120" i="1"/>
  <c r="AB120" i="1"/>
  <c r="AE120" i="1"/>
  <c r="O121" i="1"/>
  <c r="AB121" i="1"/>
  <c r="AE121" i="1"/>
  <c r="O122" i="1"/>
  <c r="AB122" i="1"/>
  <c r="AE122" i="1"/>
  <c r="O123" i="1"/>
  <c r="AB123" i="1"/>
  <c r="AE123" i="1"/>
  <c r="O124" i="1"/>
  <c r="AB124" i="1"/>
  <c r="AE124" i="1"/>
  <c r="O125" i="1"/>
  <c r="AB125" i="1"/>
  <c r="AE125" i="1"/>
  <c r="O126" i="1"/>
  <c r="AB126" i="1"/>
  <c r="AE126" i="1"/>
  <c r="O127" i="1"/>
  <c r="AB127" i="1"/>
  <c r="AE127" i="1"/>
  <c r="O128" i="1"/>
  <c r="AB128" i="1"/>
  <c r="AE128" i="1"/>
  <c r="O129" i="1"/>
  <c r="AB129" i="1"/>
  <c r="AE129" i="1"/>
  <c r="O130" i="1"/>
  <c r="AB130" i="1"/>
  <c r="AE130" i="1"/>
  <c r="O131" i="1"/>
  <c r="AB131" i="1"/>
  <c r="AE131" i="1"/>
  <c r="O132" i="1"/>
  <c r="AB132" i="1"/>
  <c r="AE132" i="1"/>
  <c r="O133" i="1"/>
  <c r="AB133" i="1"/>
  <c r="AE133" i="1"/>
  <c r="O134" i="1"/>
  <c r="AB134" i="1"/>
  <c r="AE134" i="1"/>
  <c r="O135" i="1"/>
  <c r="AB135" i="1"/>
  <c r="AE135" i="1"/>
  <c r="O136" i="1"/>
  <c r="AB136" i="1"/>
  <c r="AE136" i="1"/>
  <c r="O137" i="1"/>
  <c r="AB137" i="1"/>
  <c r="AE137" i="1"/>
  <c r="O138" i="1"/>
  <c r="AB138" i="1"/>
  <c r="AE138" i="1"/>
  <c r="O139" i="1"/>
  <c r="AB139" i="1"/>
  <c r="AE139" i="1"/>
  <c r="O140" i="1"/>
  <c r="AB140" i="1"/>
  <c r="AE140" i="1"/>
  <c r="O141" i="1"/>
  <c r="AB141" i="1"/>
  <c r="AE141" i="1"/>
  <c r="O142" i="1"/>
  <c r="AB142" i="1"/>
  <c r="AE142" i="1"/>
  <c r="O143" i="1"/>
  <c r="AB143" i="1"/>
  <c r="AE143" i="1"/>
  <c r="O144" i="1"/>
  <c r="AB144" i="1"/>
  <c r="AE144" i="1"/>
  <c r="O145" i="1"/>
  <c r="AB145" i="1"/>
  <c r="AE145" i="1"/>
  <c r="O146" i="1"/>
  <c r="AB146" i="1"/>
  <c r="AE146" i="1"/>
  <c r="O147" i="1"/>
  <c r="AB147" i="1"/>
  <c r="AE147" i="1"/>
  <c r="O148" i="1"/>
  <c r="AB148" i="1"/>
  <c r="AE148" i="1"/>
  <c r="O149" i="1"/>
  <c r="AB149" i="1"/>
  <c r="AE149" i="1"/>
  <c r="O150" i="1"/>
  <c r="AB150" i="1"/>
  <c r="AE150" i="1"/>
  <c r="AB151" i="1"/>
  <c r="AE151" i="1"/>
  <c r="O152" i="1"/>
  <c r="AB152" i="1"/>
  <c r="AE152" i="1"/>
  <c r="O153" i="1"/>
  <c r="AB153" i="1"/>
  <c r="AE153" i="1"/>
  <c r="O154" i="1"/>
  <c r="AB154" i="1"/>
  <c r="AE154" i="1"/>
  <c r="O155" i="1"/>
  <c r="AB155" i="1"/>
  <c r="AE155" i="1"/>
  <c r="O156" i="1"/>
  <c r="AB156" i="1"/>
  <c r="AE156" i="1"/>
  <c r="O157" i="1"/>
  <c r="AB157" i="1"/>
  <c r="AE157" i="1"/>
  <c r="O158" i="1"/>
  <c r="AB158" i="1"/>
  <c r="AE158" i="1"/>
  <c r="O159" i="1"/>
  <c r="AB159" i="1"/>
  <c r="AE159" i="1"/>
  <c r="O160" i="1"/>
  <c r="AB160" i="1"/>
  <c r="AE160" i="1"/>
  <c r="O161" i="1"/>
  <c r="AB161" i="1"/>
  <c r="AE161" i="1"/>
  <c r="O162" i="1"/>
  <c r="AB162" i="1"/>
  <c r="AE162" i="1"/>
  <c r="O163" i="1"/>
  <c r="AB163" i="1"/>
  <c r="AE163" i="1"/>
  <c r="O164" i="1"/>
  <c r="AB164" i="1"/>
  <c r="AE164" i="1"/>
  <c r="O165" i="1"/>
  <c r="AB165" i="1"/>
  <c r="AE165" i="1"/>
  <c r="O166" i="1"/>
  <c r="AB166" i="1"/>
  <c r="AE166" i="1"/>
  <c r="O167" i="1"/>
  <c r="AB167" i="1"/>
  <c r="AE167" i="1"/>
  <c r="O168" i="1"/>
  <c r="AB168" i="1"/>
  <c r="AE168" i="1"/>
  <c r="O169" i="1"/>
  <c r="AB169" i="1"/>
  <c r="AE169" i="1"/>
  <c r="A14" i="1" l="1"/>
  <c r="A15" i="1" s="1"/>
  <c r="A16" i="1" s="1"/>
  <c r="A17" i="1" l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</calcChain>
</file>

<file path=xl/sharedStrings.xml><?xml version="1.0" encoding="utf-8"?>
<sst xmlns="http://schemas.openxmlformats.org/spreadsheetml/2006/main" count="1400" uniqueCount="465">
  <si>
    <t>Fin coil masih cukup bagus tetapi bodi unit sudah banyak korosi</t>
  </si>
  <si>
    <t>Unit Overhaul</t>
  </si>
  <si>
    <t>LT.4 SAMWON GARDEN</t>
  </si>
  <si>
    <t>HCCA 18</t>
  </si>
  <si>
    <t>TRANE</t>
  </si>
  <si>
    <t>L4</t>
  </si>
  <si>
    <t>FCU</t>
  </si>
  <si>
    <t>FCU SAMWON GARDEN 04</t>
  </si>
  <si>
    <t>Terdapat fin coil yg rebah &amp; bodi unit sudah banyak korosi</t>
  </si>
  <si>
    <t>Unit Replace</t>
  </si>
  <si>
    <t>HCCA 24</t>
  </si>
  <si>
    <t>FCU SAMWON GARDEN 03</t>
  </si>
  <si>
    <t>Coil rusak, tidak ada MV, support coil korosi &amp; pipa drain tidak di isolasi</t>
  </si>
  <si>
    <t>MAC 60</t>
  </si>
  <si>
    <t>YORK</t>
  </si>
  <si>
    <t>FCU SAMWON GARDEN 01</t>
  </si>
  <si>
    <t>Tidak ada MV, tidak ada bak drain external &amp; bodi unit kondensasi</t>
  </si>
  <si>
    <t>Unit Normal</t>
  </si>
  <si>
    <t xml:space="preserve">LT.4 DE SALON </t>
  </si>
  <si>
    <t>DDB 60</t>
  </si>
  <si>
    <t>DAIKIN</t>
  </si>
  <si>
    <t>FCU DE SALON 001</t>
  </si>
  <si>
    <t>Coil rusak, tidak ada MV &amp; support coil korosi</t>
  </si>
  <si>
    <t>LT.1 EX MONDIAL</t>
  </si>
  <si>
    <t>MCC 60</t>
  </si>
  <si>
    <t>MCQUAY</t>
  </si>
  <si>
    <t>L1</t>
  </si>
  <si>
    <t>FCU EX MONDIAL 003</t>
  </si>
  <si>
    <t>Fin coil rebah &amp; bodi unit mulai karat</t>
  </si>
  <si>
    <t>FCU EX MONDIAL 001</t>
  </si>
  <si>
    <t>Tidak ada MV, tidak ada bak drain external</t>
  </si>
  <si>
    <t>FCU EX MONDIAL 002</t>
  </si>
  <si>
    <t>Day 63</t>
  </si>
  <si>
    <t>LT.4 SHU GUO YIN XIANG</t>
  </si>
  <si>
    <t>HCCA 10</t>
  </si>
  <si>
    <t>SHU GUO YIN XIANG 011</t>
  </si>
  <si>
    <t>Coil rusak, MV tidak di konek, bodi unit korosi</t>
  </si>
  <si>
    <t>MDB 75 BW</t>
  </si>
  <si>
    <t>SHU GUO YIN XIANG 006</t>
  </si>
  <si>
    <t>Coil rusak, MV tidak di konek, bodi unit korosi &amp; unit tidak bisa running</t>
  </si>
  <si>
    <t>SHU GUO YIN XIANG 002</t>
  </si>
  <si>
    <t>SHU GUO YIN XIANG 001</t>
  </si>
  <si>
    <t>Fin coil kotor, handel valve karat</t>
  </si>
  <si>
    <t xml:space="preserve">LT.4 ARTKEA </t>
  </si>
  <si>
    <t>SBH 100 DW</t>
  </si>
  <si>
    <t>FCU ARTKEA 04</t>
  </si>
  <si>
    <t>Coil &amp; bodi unit masih cukup bagus</t>
  </si>
  <si>
    <t>FCU ARTKEA 05</t>
  </si>
  <si>
    <t>Coil rusak &amp; bodi unit korosi</t>
  </si>
  <si>
    <t>FCU ARTKEA 03</t>
  </si>
  <si>
    <t>Fin coil rebah, bodi unit karat, support coil karat</t>
  </si>
  <si>
    <t>FCU ARTKEA 02</t>
  </si>
  <si>
    <t>Fin coil rusak, bodi unit mulai karat &amp; chilled water tersumbat</t>
  </si>
  <si>
    <t>MCC 40</t>
  </si>
  <si>
    <t>FCU ARTKEA 01</t>
  </si>
  <si>
    <t>Day 62</t>
  </si>
  <si>
    <t>Fin coil rusak, bodi unit karat, support coil karat</t>
  </si>
  <si>
    <t>LT.4DAY OFF</t>
  </si>
  <si>
    <t>SBH 50</t>
  </si>
  <si>
    <t>FCU DAY OFF</t>
  </si>
  <si>
    <t>Coil rysak, MV tidak di konek, kabel berantakan &amp; support coil korosi</t>
  </si>
  <si>
    <t>LT.4 RELX</t>
  </si>
  <si>
    <t>FCU RELX</t>
  </si>
  <si>
    <t>SHU GUO YIN XIANG 010</t>
  </si>
  <si>
    <t>SHU GUO YIN XIANG 008</t>
  </si>
  <si>
    <t>Coil rysak, MV tidak di konek, drain unit korosi &amp; support coil korosi</t>
  </si>
  <si>
    <t>SHU GUO YIN XIANG 007</t>
  </si>
  <si>
    <t>Coil rebah, MV tidak di konek, drain unit korosi &amp; support coil korosi</t>
  </si>
  <si>
    <t>SHU GUO YIN XIANG 005</t>
  </si>
  <si>
    <t>Coil korosi, MV tidak di konek, drain unit korosi &amp; support coil korosi</t>
  </si>
  <si>
    <t>SHU GUO YIN XIANG 004</t>
  </si>
  <si>
    <t>Coil korosi, MV tidak di konek, drain unit korosi</t>
  </si>
  <si>
    <t>SHU GUO YIN XIANG 003</t>
  </si>
  <si>
    <t>Coil masih cukup bagus hanya bodi unit  sudah banyak korosi</t>
  </si>
  <si>
    <t>LT.3 ADIDAS KIDS 001</t>
  </si>
  <si>
    <t>L3</t>
  </si>
  <si>
    <t>FCU ADIDAS KIDS 003</t>
  </si>
  <si>
    <t>HCCA 14</t>
  </si>
  <si>
    <t>FCU ADIDAS KIDS 002</t>
  </si>
  <si>
    <t>FCU ADIDAS KIDS 001</t>
  </si>
  <si>
    <t>Day 61</t>
  </si>
  <si>
    <t>koil rebah &amp; bodi unit mulai korosi</t>
  </si>
  <si>
    <t>LT.3 L'OCCITANE</t>
  </si>
  <si>
    <t>FCU L'OCCITANE</t>
  </si>
  <si>
    <t>koil rebah &amp; bodi unit karat</t>
  </si>
  <si>
    <t>LT.3 KALAH TO COMVANY</t>
  </si>
  <si>
    <t>FCU KALAH TO COMVANY</t>
  </si>
  <si>
    <t>LT.3 WACOAL</t>
  </si>
  <si>
    <t>FCU WACOAL</t>
  </si>
  <si>
    <t>Fin coil karat, bodi unit korosi</t>
  </si>
  <si>
    <t>LT.3 KIDS STATION</t>
  </si>
  <si>
    <t>FCU KIDS STATION 002</t>
  </si>
  <si>
    <t>Fin coil karat, bodi unit masih cukup bagus</t>
  </si>
  <si>
    <t>FCU KIDS STATION 001</t>
  </si>
  <si>
    <t>Coil rusak, kabel berantakan, handel valve korosi &amp; isolasi kondnen</t>
  </si>
  <si>
    <t>ZEGNA LT.1</t>
  </si>
  <si>
    <t>MCC 50</t>
  </si>
  <si>
    <t>FCU ZEGNA 005</t>
  </si>
  <si>
    <t>Coil rusak, kabel berantakan &amp; handel valve korosi</t>
  </si>
  <si>
    <t>FCU ZEGNA 004</t>
  </si>
  <si>
    <t>FCU ZEGNA 003</t>
  </si>
  <si>
    <t>Coil rusak, kabel berantakan &amp; pipa kondensasi</t>
  </si>
  <si>
    <t>FCU ZEGNA 002</t>
  </si>
  <si>
    <t>Unit masih bagus, tidak ada MV &amp; bakdrain external</t>
  </si>
  <si>
    <t>MAC 75 CW</t>
  </si>
  <si>
    <t>FCU ZEGNA 001</t>
  </si>
  <si>
    <t>Day 60</t>
  </si>
  <si>
    <t>Fin coil rusak &amp; bodi unit sudah banyak korosi</t>
  </si>
  <si>
    <t>LT.3 TULOLA</t>
  </si>
  <si>
    <t>FCU TULOLA 002</t>
  </si>
  <si>
    <t>FCU TULOLA 001</t>
  </si>
  <si>
    <t>Tidak ada filter,body unit mulai korosi.pin coil mulai rapuh,coil depan.</t>
  </si>
  <si>
    <t>LT.3 KENZO KIDS</t>
  </si>
  <si>
    <t>FCU KENZO KIDS 001</t>
  </si>
  <si>
    <t xml:space="preserve">Fin col masih cukup bagus </t>
  </si>
  <si>
    <t>LT.2 PLANET SPORT</t>
  </si>
  <si>
    <t>L2</t>
  </si>
  <si>
    <t>FCU PLANET SPORT 002</t>
  </si>
  <si>
    <t>FCU PLANET SPORT 001</t>
  </si>
  <si>
    <t>Fin coil kotor</t>
  </si>
  <si>
    <t>FCU PLANET SPORT 003</t>
  </si>
  <si>
    <t>Terdapat fin coil yg rebah &amp; korosi di bodi unit</t>
  </si>
  <si>
    <t>FCU PLANET SPORT 004</t>
  </si>
  <si>
    <t>Interior unit tidak bisa di cek karna manhole hanya ada di sisi return</t>
  </si>
  <si>
    <t>LT.1 RICHARD MILE</t>
  </si>
  <si>
    <t>DDB 50 BW</t>
  </si>
  <si>
    <t>FCU RICHARD MILE 001</t>
  </si>
  <si>
    <t>LT .1 RICHARD MILE</t>
  </si>
  <si>
    <t>FCU RICHARD MILE 002</t>
  </si>
  <si>
    <t>Tida ada bakdrain external, tidak ada MV</t>
  </si>
  <si>
    <t>LT.1 TAGHEUER</t>
  </si>
  <si>
    <t>FCU TAGHEUER 001</t>
  </si>
  <si>
    <t>Day 59</t>
  </si>
  <si>
    <t>Coil masih bagus tetapi bodi unit sudah mengalami banyak korosi &amp; isolasi konden</t>
  </si>
  <si>
    <t>LT.3 BOSS KIDS</t>
  </si>
  <si>
    <t>FCU BOSS KIDS 001</t>
  </si>
  <si>
    <t>Coil masih bagus tetapi bodi unit sudah mengalami banyak korosi</t>
  </si>
  <si>
    <t>LT.3 SEBASTIAN RED</t>
  </si>
  <si>
    <t>FCU SEBASTIAN RED 002</t>
  </si>
  <si>
    <t>FCU SEBASTIAN RED 001</t>
  </si>
  <si>
    <t>LT.3 ELCHEMIST (EX.MALINDA)</t>
  </si>
  <si>
    <t>FCU ELCHEMIST 001 (EX.MALINDA 002)</t>
  </si>
  <si>
    <t>LT.2 HERCHEL SUPPLY COMPANY</t>
  </si>
  <si>
    <t>FCU HERSCHEL SUPPLY COMPANY</t>
  </si>
  <si>
    <t>Tidak ada filter,pin coil rusak, isolasi rusak.</t>
  </si>
  <si>
    <t>LT.2 NEW ERA</t>
  </si>
  <si>
    <t>MCC 30</t>
  </si>
  <si>
    <t>FCU NEW ERA 001</t>
  </si>
  <si>
    <t>Tidak ada filter dan bak drain external</t>
  </si>
  <si>
    <t>LT.2 ADIDAS</t>
  </si>
  <si>
    <t>DDB 75 BW</t>
  </si>
  <si>
    <t>FCU ADIDAS 004</t>
  </si>
  <si>
    <t>Fin coil sudah mulai rapuh,body unit mulai korosi,tidak ada aksesoris</t>
  </si>
  <si>
    <t>FCU ADIDAS 003</t>
  </si>
  <si>
    <t>Filter kotor &amp; tidak ada bakdrin external</t>
  </si>
  <si>
    <t>MAC 60 DW</t>
  </si>
  <si>
    <t>FCU ADIDAS 002</t>
  </si>
  <si>
    <t>Tidak ada filter,pin coil sudah mulai rapuh,body unit mulai korosi,tidak ada ducting return.</t>
  </si>
  <si>
    <t>FCU ADIDAS 001</t>
  </si>
  <si>
    <t>Day 58</t>
  </si>
  <si>
    <t>MV belum di konek &amp; tidak ada bakdarin external</t>
  </si>
  <si>
    <t xml:space="preserve">LT.3 HARLAN HOLDEN </t>
  </si>
  <si>
    <t>FCU HARLAN HOLDEN 002</t>
  </si>
  <si>
    <t>Terdapat pipa yg kondensasi d bawah strrainer, MV belum di konek</t>
  </si>
  <si>
    <t xml:space="preserve">FCU HARLAN HOLDEN 001 </t>
  </si>
  <si>
    <t>Unit baru tenant fitout, main falve belum di buka yg bisa di cek hanya dari air flownya saja</t>
  </si>
  <si>
    <t>LT.3 BILLSTONE</t>
  </si>
  <si>
    <t>FCU BILLSTONE</t>
  </si>
  <si>
    <t>LT.3 CALVIN KLEAN</t>
  </si>
  <si>
    <t>FCU CALVIN KLEAN 002</t>
  </si>
  <si>
    <t>FCU CALVIN KLEAN 001</t>
  </si>
  <si>
    <t xml:space="preserve">unit baru, Pemipaan sudah terkonekasi denganbaik, ducting belum ada &amp; power unit belum di sambung </t>
  </si>
  <si>
    <t>LT.3 LENORE</t>
  </si>
  <si>
    <t>FCU LENORE</t>
  </si>
  <si>
    <t>Tida ada bakdrain external, tidak ada MV &amp; Main ducting supply bocor</t>
  </si>
  <si>
    <t>LT.1 CHOPARD</t>
  </si>
  <si>
    <t>FCU CHOPARD 002</t>
  </si>
  <si>
    <t>Tida ada bakdrain external, tidak ada MV &amp; handel valce condensasi</t>
  </si>
  <si>
    <t>FCU CHOPARD 001</t>
  </si>
  <si>
    <t xml:space="preserve">Unit masih bagus, tdk ada bakdrain external&amp; ada sumbatan chilled water </t>
  </si>
  <si>
    <t>BAAN MENSI  LT.1</t>
  </si>
  <si>
    <t>DDB 100 BW</t>
  </si>
  <si>
    <t>AHU</t>
  </si>
  <si>
    <t>AHU BAAN MENSI 004</t>
  </si>
  <si>
    <t>DDB 115 BW</t>
  </si>
  <si>
    <t>AHU BAAN MENSI 003</t>
  </si>
  <si>
    <t>Day 57</t>
  </si>
  <si>
    <t>Fincoil rusak, bodi unit banyak korosi, kabel brantakan, valve berjamur</t>
  </si>
  <si>
    <t>OSIM  LT.3</t>
  </si>
  <si>
    <t>MCC 20</t>
  </si>
  <si>
    <t>FCU MASSHIRO&amp;CO 001</t>
  </si>
  <si>
    <t xml:space="preserve">Fincoil rusak, bodi unit banyak korosi, kabel brantakan </t>
  </si>
  <si>
    <t>Fincoil rusak, bodi unit banyak korosi, kabel brantakan &amp; pipa drain tidak di isolasi</t>
  </si>
  <si>
    <t>FCU OSIM 003</t>
  </si>
  <si>
    <t>Unit tidak bisa running motor short, bodi unit banyak korosi, kabel brantakan &amp; pipa drain tidak di isolasi</t>
  </si>
  <si>
    <t>FCU OSIM 002</t>
  </si>
  <si>
    <t>FCU OSIM 001</t>
  </si>
  <si>
    <t>Unit masih bagus, filter kotor, coil kotor</t>
  </si>
  <si>
    <t>DDB 100</t>
  </si>
  <si>
    <t>AHU BAAN MENSI 002</t>
  </si>
  <si>
    <t>AHU BAAN MENSI 001</t>
  </si>
  <si>
    <t>tdak ada MV, tidak ada bak drain external, coil, drain &amp; filter kotor</t>
  </si>
  <si>
    <t>HUBLOT 001 LT.1</t>
  </si>
  <si>
    <t>FCU HUBLOT 002</t>
  </si>
  <si>
    <t>Tidak ada motorized valve &amp; bak drain tambahan, filter, drain unit kotor</t>
  </si>
  <si>
    <t>DDB 50</t>
  </si>
  <si>
    <t>FCU HUBLOT 001</t>
  </si>
  <si>
    <t>Day 56</t>
  </si>
  <si>
    <t>Unit baru,tidak ada MV, belum ada ducting suppy &amp; return</t>
  </si>
  <si>
    <t>IKKUDO ICHI LB</t>
  </si>
  <si>
    <t>FWW1800TF</t>
  </si>
  <si>
    <t>LB</t>
  </si>
  <si>
    <t>IKKUDO ICHI 002</t>
  </si>
  <si>
    <t>IKKUDO ICHI 001</t>
  </si>
  <si>
    <t xml:space="preserve">Lakukan cleaning secara maksimal </t>
  </si>
  <si>
    <t>Unit masih cukup bagus, tidak ada bakdrain external</t>
  </si>
  <si>
    <t>SOME DIM SUM LB</t>
  </si>
  <si>
    <t>YSB 48 WDS</t>
  </si>
  <si>
    <t>SOME DIM SUM 002</t>
  </si>
  <si>
    <t>Fin coil rusak banyak yg rebah, bodi unit karat, drain pan karat</t>
  </si>
  <si>
    <t>SOME DIM SUM 001</t>
  </si>
  <si>
    <t>Unit tidak bisa du ukur karna akses di bawah kompor</t>
  </si>
  <si>
    <t>OSTERIA GIA L1</t>
  </si>
  <si>
    <t>OSTERIA GIA 002</t>
  </si>
  <si>
    <t>Fin coil kotor, valve korosi, pipa drain tidak ada isolasi &amp; flexible ducting lepas</t>
  </si>
  <si>
    <t>Fin coil kotor, valve korosi, pipa drain tidak ada isolasi</t>
  </si>
  <si>
    <t>OSTERIA GIA 001</t>
  </si>
  <si>
    <t>Fincoil korosi, drain korosi, valve berjamur, isolasi kondensasi</t>
  </si>
  <si>
    <t>CORK &amp; SCREW L1</t>
  </si>
  <si>
    <t>SBH 125 BW</t>
  </si>
  <si>
    <t>CORK &amp; SCREW 003</t>
  </si>
  <si>
    <t>CORK &amp; SCREW 002</t>
  </si>
  <si>
    <t>Ganti coil, perbaiki isolai, bersihkan ataw ganti handel valve</t>
  </si>
  <si>
    <t>CORK &amp; SCREW 001</t>
  </si>
  <si>
    <t>Day 55</t>
  </si>
  <si>
    <t>Fincoil rusak, bodi unit banyak korosi &amp; unit noice</t>
  </si>
  <si>
    <t>GOLF HOUSE  LT.2</t>
  </si>
  <si>
    <t>FCU GOLF HOUSE 003</t>
  </si>
  <si>
    <t>Unit tidak bisa running thermostat rusak, bodi unit korosi</t>
  </si>
  <si>
    <t>FCU GOLF HOUSE 002</t>
  </si>
  <si>
    <t>Coil masih cukup bagus hanya sudah banyak terjadi korosi di bodi &amp; support unit, pipa chws &amp; chwr kondensasi</t>
  </si>
  <si>
    <t>FCU GOLF HOUSE 001</t>
  </si>
  <si>
    <t>Coil masih cukup bagus, bodi unit, bakdrain korosi, unit noice dari ducting</t>
  </si>
  <si>
    <t>CONVERSE  L2</t>
  </si>
  <si>
    <t>FCU CONVERSE 002</t>
  </si>
  <si>
    <t xml:space="preserve">Coil masih cukup bagus, bodi unit, bakdrain korosi </t>
  </si>
  <si>
    <t>FCU CONVERSE 001</t>
  </si>
  <si>
    <t>Unit baru , Tdak ada bakdrain externa</t>
  </si>
  <si>
    <t>BALLY LT.2</t>
  </si>
  <si>
    <t>FCU SK-11</t>
  </si>
  <si>
    <t>Unit baru , coil kotor, tidak ada MV, bakdrain external</t>
  </si>
  <si>
    <t>DDB 40 BW</t>
  </si>
  <si>
    <t>FCU BAHAGIA 002</t>
  </si>
  <si>
    <t>Tidak ada motorized valve &amp; bak drain tambahan</t>
  </si>
  <si>
    <t>FCU BALLY 004</t>
  </si>
  <si>
    <t>FCU BALLY 003</t>
  </si>
  <si>
    <t>Coil rusak</t>
  </si>
  <si>
    <t>MAC 100 W</t>
  </si>
  <si>
    <t>FCU BALLY 002</t>
  </si>
  <si>
    <t>FCU BALLY 001</t>
  </si>
  <si>
    <t>Day 54</t>
  </si>
  <si>
    <t>KINTARO SUSH LB</t>
  </si>
  <si>
    <t>FCU KINTARO SUSHI 004</t>
  </si>
  <si>
    <t>Coil rusak, bodi unit korosi, handel valve berjamur</t>
  </si>
  <si>
    <t>FCU KINTARO SUSHI 003</t>
  </si>
  <si>
    <t>FCU KINTARO SUSHI 002</t>
  </si>
  <si>
    <t>FCU KINTARO SUSHI 001</t>
  </si>
  <si>
    <t xml:space="preserve">Coil rebah, bodi unit korosi, valve hanya ada di pipa chws, chilled water tersumbat &amp; unit noice </t>
  </si>
  <si>
    <t>TEVA L2</t>
  </si>
  <si>
    <t>FCU TEVA 001</t>
  </si>
  <si>
    <t>Coil rusak, bodi unit korosi, isolasi rusak</t>
  </si>
  <si>
    <t>PETIT BETEAU L3</t>
  </si>
  <si>
    <t>FCU PETIT BETEAU 002</t>
  </si>
  <si>
    <t>Fin coil rusak, bodi unit karat, pipa korosi</t>
  </si>
  <si>
    <t>FCU PETIT BETEAU 001</t>
  </si>
  <si>
    <t>Tidak ada MV, bakdrain kotor</t>
  </si>
  <si>
    <t>BIMBI L3</t>
  </si>
  <si>
    <t>FCU BIMBI 003</t>
  </si>
  <si>
    <t>Bodi unit, fin coil &amp; bak drain korosi</t>
  </si>
  <si>
    <t>FC 24 B</t>
  </si>
  <si>
    <t>AICOOL</t>
  </si>
  <si>
    <t>FCU BIMBI 002</t>
  </si>
  <si>
    <t>Tidak ada MV</t>
  </si>
  <si>
    <t>FCU BIMBI 001</t>
  </si>
  <si>
    <t>Day 53</t>
  </si>
  <si>
    <t>Bodi unit, fin coil &amp; bak drain korosi, isolasi rusak</t>
  </si>
  <si>
    <t>BAHA GIA LT.3</t>
  </si>
  <si>
    <t>FCU BAHAGIA 003</t>
  </si>
  <si>
    <t>Unit baru , coil kotor, tidak ada filter, MV belum di konek</t>
  </si>
  <si>
    <t>Unit baru , tidak ada filter, MV belum di konek</t>
  </si>
  <si>
    <t>FCU BAHAGIA 001</t>
  </si>
  <si>
    <t>Unit baru tidak ada bak drain external, tidak ada motorized valve</t>
  </si>
  <si>
    <t>D'ORSAY L3</t>
  </si>
  <si>
    <t>FCU D'ORSAY</t>
  </si>
  <si>
    <t>Coil masih cukup bagus hanya sudah banyak terjadi korosi di bodi &amp; support unit</t>
  </si>
  <si>
    <t>UNDER ARMOUR LT.2</t>
  </si>
  <si>
    <t>FCU UNDER ARMOUR 003</t>
  </si>
  <si>
    <t xml:space="preserve">Bersihkan fincoil &amp; lakukan pengecatan </t>
  </si>
  <si>
    <t>FCU UNDER ARMOUR 002</t>
  </si>
  <si>
    <t>FCU UNDER ARMOUR 001</t>
  </si>
  <si>
    <t>RADO LT.2</t>
  </si>
  <si>
    <t>MCW 1200</t>
  </si>
  <si>
    <t>FCU RADO 001</t>
  </si>
  <si>
    <t>Coil rusak, bodi unit korosi</t>
  </si>
  <si>
    <t>NEW BALANCE LT.2</t>
  </si>
  <si>
    <t>FCU NEW BALANCE 002</t>
  </si>
  <si>
    <t>Cek bearing fan &amp; lakukan cleaning secara berkala</t>
  </si>
  <si>
    <t>Unit noice, bodi unit kotor &amp; sedikit korosi di bagian sisi coil</t>
  </si>
  <si>
    <t>FCU NEW BALANCE 001</t>
  </si>
  <si>
    <t>Day 52</t>
  </si>
  <si>
    <t>Airvan di pipa coil outlet unit rusak sehingga valve chws &amp; chwr harus di tutup</t>
  </si>
  <si>
    <t>Le Comtoir LT.1</t>
  </si>
  <si>
    <t>FCU Le Comtoir 007</t>
  </si>
  <si>
    <t>Unit tidak bisa di  audit belum ada manhole untuk ke unit</t>
  </si>
  <si>
    <t>FCU Le Comtoir 006</t>
  </si>
  <si>
    <t>Unit masih bagus, filter kotor</t>
  </si>
  <si>
    <t>AHU Le Comtoir 005</t>
  </si>
  <si>
    <t>Coil, support coil &amp; drain korosi, isolasi pipa kondensasi, interior unit sangat kotor</t>
  </si>
  <si>
    <t>FCU Le Comtoir 004</t>
  </si>
  <si>
    <t>Coil &amp; support coil korosi, chilled water tersumbat</t>
  </si>
  <si>
    <t>FCU Le Comtoir 003</t>
  </si>
  <si>
    <t>Coil, support coil &amp; drain korosi, isolasi pipa kondensasi</t>
  </si>
  <si>
    <t>FCU Le Comtoir 002</t>
  </si>
  <si>
    <t>Unit baru, tidak ada motorized valve</t>
  </si>
  <si>
    <t>FCU Le Comtoir 001</t>
  </si>
  <si>
    <t>Berlutti LT.1</t>
  </si>
  <si>
    <t>YCW 1200</t>
  </si>
  <si>
    <t>Berlutti 003</t>
  </si>
  <si>
    <t>Berlutti 002</t>
  </si>
  <si>
    <t>Unit baru, drain tidk ngalir</t>
  </si>
  <si>
    <t>Berlutti 001</t>
  </si>
  <si>
    <t>Unit tidak bisa running kemngukinan thermostat rusak</t>
  </si>
  <si>
    <t>Alo L2</t>
  </si>
  <si>
    <t>SBH 40</t>
  </si>
  <si>
    <t>Alo 009</t>
  </si>
  <si>
    <t>Coil banyak yg rebah</t>
  </si>
  <si>
    <t>Alo 008</t>
  </si>
  <si>
    <t>Alo 007</t>
  </si>
  <si>
    <t>Day 51</t>
  </si>
  <si>
    <t>Motorized valve belum di konek</t>
  </si>
  <si>
    <t>JOE MALONE LT.2</t>
  </si>
  <si>
    <t>DIPTYQUE</t>
  </si>
  <si>
    <t>JOE MALONE</t>
  </si>
  <si>
    <t>Coil rusak, bodi unit karat &amp; kabel berantakan</t>
  </si>
  <si>
    <t>DORE L3</t>
  </si>
  <si>
    <t>DORE</t>
  </si>
  <si>
    <t>Alo 006</t>
  </si>
  <si>
    <t>SBH 60 BW</t>
  </si>
  <si>
    <t>Alo 005</t>
  </si>
  <si>
    <t>Alo 004</t>
  </si>
  <si>
    <t>Terdapat coil yg rebah, bok panel unit tidak ada cover</t>
  </si>
  <si>
    <t>Alo 003</t>
  </si>
  <si>
    <t>Alo 002</t>
  </si>
  <si>
    <t>MAC 60 CW</t>
  </si>
  <si>
    <t>Alo 001</t>
  </si>
  <si>
    <t>Day 50</t>
  </si>
  <si>
    <t>Pilar 001 L3</t>
  </si>
  <si>
    <t>Pilar 004</t>
  </si>
  <si>
    <t>Pilar 003</t>
  </si>
  <si>
    <t>Pilar 002</t>
  </si>
  <si>
    <t>Bakdrain external unit air menggenang, bersihkan jalur drain</t>
  </si>
  <si>
    <t>Pilar 001</t>
  </si>
  <si>
    <t>bodi unit karat, coil rusak, tempreature chilledwater tidak sesuai kemungkinan ada sumbatann di strainer</t>
  </si>
  <si>
    <t>Aigner L2</t>
  </si>
  <si>
    <t>Aigner 002</t>
  </si>
  <si>
    <t>Coil rusak, bodi unit karat &amp; motorized valve belum di konek</t>
  </si>
  <si>
    <t>Aigner 001</t>
  </si>
  <si>
    <t>Masimo Dutti L1</t>
  </si>
  <si>
    <t>Masimo Dutti 009</t>
  </si>
  <si>
    <t>Masimo Dutti 008</t>
  </si>
  <si>
    <t>Fin coil rusak, bodi unit karat, drain karat, handel valve korosi</t>
  </si>
  <si>
    <t>Masimo Dutti 006</t>
  </si>
  <si>
    <t>Fin coil rusak, bodi unit karat, drain karat, isolasi conden, unit tidak bisa running</t>
  </si>
  <si>
    <t>Masimo Dutti 005</t>
  </si>
  <si>
    <t>Manhole unit di kompon tidak bisa di buka</t>
  </si>
  <si>
    <t>Masimo Dutti 004</t>
  </si>
  <si>
    <t>Fin coil rusak, bodi unit karat, drain karat, main ducting supply rusak</t>
  </si>
  <si>
    <t>Masimo Dutti 003</t>
  </si>
  <si>
    <t>Day 49</t>
  </si>
  <si>
    <t>Trdapat Coil yg rebah, kabel berantakan</t>
  </si>
  <si>
    <t>YSB 60 BA</t>
  </si>
  <si>
    <t>Masimo Dutti 012</t>
  </si>
  <si>
    <t>Kabel di box panel berantakan &amp; isolasi konden</t>
  </si>
  <si>
    <t>YCC 60 C</t>
  </si>
  <si>
    <t>Masimo Dutti 011</t>
  </si>
  <si>
    <t>Masimo Dutti 010</t>
  </si>
  <si>
    <t>Fin coil rusak, bodi unit karat, drain pan karat, kabel berantakan, isolasi conden</t>
  </si>
  <si>
    <t>Masimo Dutti 007</t>
  </si>
  <si>
    <t>Tidak ada motorized, tdiak ada drain pan external</t>
  </si>
  <si>
    <t>Masimo Dutti 002</t>
  </si>
  <si>
    <t>Tidak ada motorized, flexible return sobek, tdiak ada drain pan external</t>
  </si>
  <si>
    <t>Masimo Dutti 001</t>
  </si>
  <si>
    <t>Unit baru, tdk ada motorized, tidak ducting external</t>
  </si>
  <si>
    <t>Saint Laurent LT.1</t>
  </si>
  <si>
    <t>LVYSaint Laurent</t>
  </si>
  <si>
    <t>Fin coil rusak, bodi unit karat, valve berlumut, drain karat</t>
  </si>
  <si>
    <t>Ex Eichhol L3</t>
  </si>
  <si>
    <t>Ex Eichhol 003</t>
  </si>
  <si>
    <t>Ex Eichhol 002</t>
  </si>
  <si>
    <t>Ex Eichhol 001</t>
  </si>
  <si>
    <t>Day 48</t>
  </si>
  <si>
    <t>Unit tidak bisa running, bodi unit karat, drain pan karat, coil rusak, kabel berantakan</t>
  </si>
  <si>
    <t>Coach L2</t>
  </si>
  <si>
    <t>FCU Coach</t>
  </si>
  <si>
    <t>Unit baru, tdk ada motorized, filter kotor, belum ada ducting</t>
  </si>
  <si>
    <t>Adelle L3</t>
  </si>
  <si>
    <t>FCU Adelle  002</t>
  </si>
  <si>
    <t>FCU Adelle  001</t>
  </si>
  <si>
    <t>Jarak Pin coil 88/20cm, Fin coil, support, interior unit, handel valve &amp; asesoris korosi.</t>
  </si>
  <si>
    <t>UNIQLO L3</t>
  </si>
  <si>
    <t>YDM 60X80</t>
  </si>
  <si>
    <t>AHU L3-17</t>
  </si>
  <si>
    <t>DDM1619</t>
  </si>
  <si>
    <t>AHU L3-001</t>
  </si>
  <si>
    <t>Jarak Pin coil 88/20cm, Isolasi pipa kondensasi, tidak ada pressure gauge, chilled water flowrate sangat jauh dari design</t>
  </si>
  <si>
    <t>LANTA 37</t>
  </si>
  <si>
    <t>YDM 40X80</t>
  </si>
  <si>
    <t>L37</t>
  </si>
  <si>
    <t>AHU 0-32-1 The colage University</t>
  </si>
  <si>
    <t>Day 47</t>
  </si>
  <si>
    <t>5°C</t>
  </si>
  <si>
    <t>12 °C</t>
  </si>
  <si>
    <t>7 °C</t>
  </si>
  <si>
    <t>As Design Capacity</t>
  </si>
  <si>
    <t>As Design Airflow</t>
  </si>
  <si>
    <t>-</t>
  </si>
  <si>
    <t>2,5 m/s</t>
  </si>
  <si>
    <t>10 Btu/Lb</t>
  </si>
  <si>
    <t>10°C</t>
  </si>
  <si>
    <t>14°C</t>
  </si>
  <si>
    <t>24°C</t>
  </si>
  <si>
    <t>Parameter ideal</t>
  </si>
  <si>
    <t>Tindakan</t>
  </si>
  <si>
    <t>Keterangan</t>
  </si>
  <si>
    <t>Power input (KW)</t>
  </si>
  <si>
    <t>ΔT Water (°C)</t>
  </si>
  <si>
    <t>Leaving Water Temp. (°C)</t>
  </si>
  <si>
    <t>Entering Water Temp. (°C)</t>
  </si>
  <si>
    <t>Cooling capacity design vs actual (btuh) %</t>
  </si>
  <si>
    <t>Status</t>
  </si>
  <si>
    <t>Selisih capacity design vs actual  (btuh)</t>
  </si>
  <si>
    <t>Total cooling capacty actual (btuh)</t>
  </si>
  <si>
    <t>Total cooling capacity design (btuh)</t>
  </si>
  <si>
    <t>Air Flow Rate actual (CFM)</t>
  </si>
  <si>
    <t>Air Flow Rate design (CFM)</t>
  </si>
  <si>
    <r>
      <t>Face Area coil (m</t>
    </r>
    <r>
      <rPr>
        <b/>
        <vertAlign val="superscript"/>
        <sz val="11"/>
        <color theme="1"/>
        <rFont val="Calibri Light"/>
        <family val="2"/>
        <scheme val="major"/>
      </rPr>
      <t>2</t>
    </r>
    <r>
      <rPr>
        <b/>
        <sz val="11"/>
        <color theme="1"/>
        <rFont val="Calibri Light"/>
        <family val="2"/>
        <scheme val="major"/>
      </rPr>
      <t>)</t>
    </r>
  </si>
  <si>
    <t>Air Face velocity (m/s)</t>
  </si>
  <si>
    <t xml:space="preserve">ΔH (Btu/Lb)
</t>
  </si>
  <si>
    <r>
      <rPr>
        <b/>
        <i/>
        <sz val="11"/>
        <color theme="1"/>
        <rFont val="Calibri Light"/>
        <family val="2"/>
        <scheme val="major"/>
      </rPr>
      <t>(H)</t>
    </r>
    <r>
      <rPr>
        <b/>
        <sz val="11"/>
        <color theme="1"/>
        <rFont val="Calibri Light"/>
        <family val="2"/>
        <scheme val="major"/>
      </rPr>
      <t xml:space="preserve">
Leaving Air Enthalpy </t>
    </r>
    <r>
      <rPr>
        <sz val="11"/>
        <color theme="1"/>
        <rFont val="Calibri Light"/>
        <family val="2"/>
        <scheme val="major"/>
      </rPr>
      <t>(Btu/Lb)</t>
    </r>
  </si>
  <si>
    <r>
      <rPr>
        <b/>
        <i/>
        <sz val="11"/>
        <color theme="1"/>
        <rFont val="Calibri Light"/>
        <family val="2"/>
        <scheme val="major"/>
      </rPr>
      <t>(H)</t>
    </r>
    <r>
      <rPr>
        <b/>
        <sz val="11"/>
        <color theme="1"/>
        <rFont val="Calibri Light"/>
        <family val="2"/>
        <scheme val="major"/>
      </rPr>
      <t xml:space="preserve">
Entering Air Enthalphy </t>
    </r>
    <r>
      <rPr>
        <sz val="11"/>
        <color theme="1"/>
        <rFont val="Calibri Light"/>
        <family val="2"/>
        <scheme val="major"/>
      </rPr>
      <t>(Btu/Lb)</t>
    </r>
  </si>
  <si>
    <r>
      <t xml:space="preserve">ΔT
</t>
    </r>
    <r>
      <rPr>
        <i/>
        <sz val="11"/>
        <color theme="1"/>
        <rFont val="Calibri Light"/>
        <family val="2"/>
        <scheme val="major"/>
      </rPr>
      <t>(EAT-LAT)</t>
    </r>
  </si>
  <si>
    <r>
      <rPr>
        <b/>
        <i/>
        <sz val="11"/>
        <color theme="1"/>
        <rFont val="Calibri Light"/>
        <family val="2"/>
        <scheme val="major"/>
      </rPr>
      <t>(RH)</t>
    </r>
    <r>
      <rPr>
        <b/>
        <sz val="11"/>
        <color theme="1"/>
        <rFont val="Calibri Light"/>
        <family val="2"/>
        <scheme val="major"/>
      </rPr>
      <t xml:space="preserve">
Leaving Air Humidity </t>
    </r>
    <r>
      <rPr>
        <sz val="11"/>
        <color theme="1"/>
        <rFont val="Calibri Light"/>
        <family val="2"/>
        <scheme val="major"/>
      </rPr>
      <t>(%)</t>
    </r>
  </si>
  <si>
    <r>
      <rPr>
        <b/>
        <i/>
        <sz val="11"/>
        <color theme="1"/>
        <rFont val="Calibri Light"/>
        <family val="2"/>
        <scheme val="major"/>
      </rPr>
      <t>(LAT)</t>
    </r>
    <r>
      <rPr>
        <b/>
        <sz val="11"/>
        <color theme="1"/>
        <rFont val="Calibri Light"/>
        <family val="2"/>
        <scheme val="major"/>
      </rPr>
      <t xml:space="preserve">
Leaving Coil DB Temp. </t>
    </r>
    <r>
      <rPr>
        <sz val="11"/>
        <color theme="1"/>
        <rFont val="Calibri Light"/>
        <family val="2"/>
        <scheme val="major"/>
      </rPr>
      <t>(°C)</t>
    </r>
  </si>
  <si>
    <r>
      <rPr>
        <b/>
        <i/>
        <sz val="11"/>
        <color theme="1"/>
        <rFont val="Calibri Light"/>
        <family val="2"/>
        <scheme val="major"/>
      </rPr>
      <t>(RH)</t>
    </r>
    <r>
      <rPr>
        <b/>
        <sz val="11"/>
        <color theme="1"/>
        <rFont val="Calibri Light"/>
        <family val="2"/>
        <scheme val="major"/>
      </rPr>
      <t xml:space="preserve">
Entering Air Humidity </t>
    </r>
    <r>
      <rPr>
        <sz val="11"/>
        <color theme="1"/>
        <rFont val="Calibri Light"/>
        <family val="2"/>
        <scheme val="major"/>
      </rPr>
      <t>(%)</t>
    </r>
  </si>
  <si>
    <r>
      <rPr>
        <b/>
        <i/>
        <sz val="11"/>
        <color theme="1"/>
        <rFont val="Calibri Light"/>
        <family val="2"/>
        <scheme val="major"/>
      </rPr>
      <t>(EAT)</t>
    </r>
    <r>
      <rPr>
        <b/>
        <sz val="11"/>
        <color theme="1"/>
        <rFont val="Calibri Light"/>
        <family val="2"/>
        <scheme val="major"/>
      </rPr>
      <t xml:space="preserve">
Entering Coil DB Temp.</t>
    </r>
    <r>
      <rPr>
        <sz val="11"/>
        <color theme="1"/>
        <rFont val="Calibri Light"/>
        <family val="2"/>
        <scheme val="major"/>
      </rPr>
      <t xml:space="preserve"> (°C)</t>
    </r>
  </si>
  <si>
    <t xml:space="preserve">Area </t>
  </si>
  <si>
    <t>Type Unit</t>
  </si>
  <si>
    <t>Tahun</t>
  </si>
  <si>
    <t>Merk</t>
  </si>
  <si>
    <t>Lantai</t>
  </si>
  <si>
    <t>Kategori</t>
  </si>
  <si>
    <t xml:space="preserve">No Unit </t>
  </si>
  <si>
    <t>Date</t>
  </si>
  <si>
    <t>Day Audit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</si>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</sst>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43" formatCode="_-* #,##0.00_-;\-* #,##0.00_-;_-* &quot;-&quot;??_-;_-@_-"/>
    <numFmt numFmtId="164" formatCode="0.0"/>
  </numFmts>
  <fonts count="8" x14ac:knownFonts="1">
    <font>
      <sz val="11"/>
      <color theme="1"/>
      <name val="Arial Narrow"/>
      <family val="2"/>
    </font>
    <font>
      <sz val="11"/>
      <color theme="1"/>
      <name val="Arial Narrow"/>
      <family val="2"/>
    </font>
    <font>
      <sz val="11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sz val="11"/>
      <color theme="1"/>
      <name val="Times New Roman"/>
      <family val="1"/>
    </font>
    <font>
      <b/>
      <vertAlign val="superscript"/>
      <sz val="11"/>
      <color theme="1"/>
      <name val="Calibri Light"/>
      <family val="2"/>
      <scheme val="major"/>
    </font>
    <font>
      <b/>
      <i/>
      <sz val="11"/>
      <color theme="1"/>
      <name val="Calibri Light"/>
      <family val="2"/>
      <scheme val="major"/>
    </font>
    <font>
      <i/>
      <sz val="11"/>
      <color theme="1"/>
      <name val="Calibri Light"/>
      <family val="2"/>
      <scheme val="major"/>
    </font>
  </fonts>
  <fills count="8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3">
    <xf numFmtId="0" fontId="0" fillId="0" borderId="0" xfId="0"/>
    <xf numFmtId="0" fontId="2" fillId="0" borderId="0" xfId="0" applyFont="1"/>
    <xf numFmtId="164" fontId="2" fillId="0" borderId="0" xfId="0" applyNumberFormat="1" applyFont="1" applyAlignment="1">
      <alignment horizontal="center" vertical="center"/>
    </xf>
    <xf numFmtId="3" fontId="2" fillId="0" borderId="0" xfId="0" applyNumberFormat="1" applyFont="1"/>
    <xf numFmtId="0" fontId="2" fillId="0" borderId="0" xfId="0" applyFont="1" applyAlignment="1">
      <alignment horizontal="center"/>
    </xf>
    <xf numFmtId="14" fontId="2" fillId="0" borderId="0" xfId="0" applyNumberFormat="1" applyFont="1"/>
    <xf numFmtId="0" fontId="2" fillId="0" borderId="0" xfId="0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14" fontId="3" fillId="0" borderId="0" xfId="0" applyNumberFormat="1" applyFont="1"/>
    <xf numFmtId="0" fontId="3" fillId="0" borderId="0" xfId="0" applyFont="1"/>
    <xf numFmtId="0" fontId="3" fillId="0" borderId="0" xfId="0" applyFont="1" applyAlignment="1">
      <alignment horizontal="left"/>
    </xf>
    <xf numFmtId="41" fontId="4" fillId="0" borderId="0" xfId="0" applyNumberFormat="1" applyFont="1" applyAlignment="1">
      <alignment vertical="center" wrapText="1"/>
    </xf>
    <xf numFmtId="2" fontId="2" fillId="0" borderId="0" xfId="0" applyNumberFormat="1" applyFont="1" applyAlignment="1">
      <alignment horizontal="center"/>
    </xf>
    <xf numFmtId="2" fontId="2" fillId="0" borderId="0" xfId="2" applyNumberFormat="1" applyFont="1" applyFill="1" applyBorder="1" applyAlignment="1">
      <alignment horizontal="center" vertical="center"/>
    </xf>
    <xf numFmtId="9" fontId="3" fillId="2" borderId="0" xfId="3" applyFont="1" applyFill="1" applyBorder="1" applyAlignment="1">
      <alignment horizontal="center" vertical="center"/>
    </xf>
    <xf numFmtId="9" fontId="3" fillId="0" borderId="0" xfId="3" applyFont="1" applyFill="1" applyBorder="1" applyAlignment="1">
      <alignment horizontal="center" vertical="center"/>
    </xf>
    <xf numFmtId="9" fontId="2" fillId="0" borderId="0" xfId="3" applyFont="1" applyFill="1" applyBorder="1" applyAlignment="1">
      <alignment horizontal="center" vertical="center"/>
    </xf>
    <xf numFmtId="3" fontId="2" fillId="0" borderId="0" xfId="1" applyNumberFormat="1" applyFont="1" applyFill="1" applyBorder="1" applyAlignment="1">
      <alignment horizontal="center"/>
    </xf>
    <xf numFmtId="164" fontId="2" fillId="0" borderId="0" xfId="1" applyNumberFormat="1" applyFont="1" applyFill="1" applyBorder="1" applyAlignment="1">
      <alignment horizontal="center"/>
    </xf>
    <xf numFmtId="164" fontId="2" fillId="0" borderId="0" xfId="0" applyNumberFormat="1" applyFont="1" applyAlignment="1">
      <alignment horizontal="center"/>
    </xf>
    <xf numFmtId="41" fontId="4" fillId="0" borderId="1" xfId="0" applyNumberFormat="1" applyFont="1" applyBorder="1" applyAlignment="1">
      <alignment vertical="center" wrapText="1"/>
    </xf>
    <xf numFmtId="2" fontId="2" fillId="0" borderId="1" xfId="0" applyNumberFormat="1" applyFont="1" applyBorder="1" applyAlignment="1">
      <alignment horizontal="center"/>
    </xf>
    <xf numFmtId="2" fontId="2" fillId="0" borderId="2" xfId="2" applyNumberFormat="1" applyFont="1" applyFill="1" applyBorder="1" applyAlignment="1">
      <alignment horizontal="center" vertical="center"/>
    </xf>
    <xf numFmtId="9" fontId="3" fillId="2" borderId="2" xfId="3" applyFont="1" applyFill="1" applyBorder="1" applyAlignment="1">
      <alignment horizontal="center" vertical="center"/>
    </xf>
    <xf numFmtId="9" fontId="3" fillId="0" borderId="1" xfId="3" applyFont="1" applyFill="1" applyBorder="1" applyAlignment="1">
      <alignment horizontal="center" vertical="center"/>
    </xf>
    <xf numFmtId="9" fontId="2" fillId="3" borderId="1" xfId="3" applyFont="1" applyFill="1" applyBorder="1" applyAlignment="1">
      <alignment horizontal="center" vertical="center"/>
    </xf>
    <xf numFmtId="3" fontId="2" fillId="0" borderId="1" xfId="1" applyNumberFormat="1" applyFont="1" applyFill="1" applyBorder="1" applyAlignment="1">
      <alignment horizontal="center"/>
    </xf>
    <xf numFmtId="164" fontId="2" fillId="0" borderId="1" xfId="1" applyNumberFormat="1" applyFont="1" applyFill="1" applyBorder="1" applyAlignment="1">
      <alignment horizontal="center"/>
    </xf>
    <xf numFmtId="164" fontId="2" fillId="0" borderId="2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4" fontId="2" fillId="3" borderId="1" xfId="0" applyNumberFormat="1" applyFont="1" applyFill="1" applyBorder="1"/>
    <xf numFmtId="0" fontId="2" fillId="4" borderId="3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9" fontId="2" fillId="5" borderId="2" xfId="3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14" fontId="2" fillId="5" borderId="1" xfId="0" applyNumberFormat="1" applyFont="1" applyFill="1" applyBorder="1"/>
    <xf numFmtId="0" fontId="2" fillId="4" borderId="4" xfId="0" applyFont="1" applyFill="1" applyBorder="1" applyAlignment="1">
      <alignment horizontal="center" vertical="center"/>
    </xf>
    <xf numFmtId="9" fontId="2" fillId="6" borderId="1" xfId="3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/>
    </xf>
    <xf numFmtId="14" fontId="2" fillId="6" borderId="1" xfId="0" applyNumberFormat="1" applyFont="1" applyFill="1" applyBorder="1"/>
    <xf numFmtId="0" fontId="2" fillId="4" borderId="2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41" fontId="4" fillId="0" borderId="2" xfId="0" applyNumberFormat="1" applyFont="1" applyBorder="1" applyAlignment="1">
      <alignment vertical="center" wrapText="1"/>
    </xf>
    <xf numFmtId="2" fontId="2" fillId="0" borderId="2" xfId="0" applyNumberFormat="1" applyFont="1" applyBorder="1" applyAlignment="1">
      <alignment horizontal="center"/>
    </xf>
    <xf numFmtId="9" fontId="3" fillId="0" borderId="2" xfId="3" applyFont="1" applyFill="1" applyBorder="1" applyAlignment="1">
      <alignment horizontal="center" vertical="center"/>
    </xf>
    <xf numFmtId="3" fontId="2" fillId="0" borderId="2" xfId="1" applyNumberFormat="1" applyFont="1" applyFill="1" applyBorder="1" applyAlignment="1">
      <alignment horizontal="center"/>
    </xf>
    <xf numFmtId="164" fontId="2" fillId="0" borderId="2" xfId="1" applyNumberFormat="1" applyFont="1" applyFill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14" fontId="2" fillId="5" borderId="2" xfId="0" applyNumberFormat="1" applyFont="1" applyFill="1" applyBorder="1"/>
    <xf numFmtId="9" fontId="2" fillId="5" borderId="1" xfId="3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/>
    </xf>
    <xf numFmtId="41" fontId="4" fillId="3" borderId="1" xfId="0" applyNumberFormat="1" applyFont="1" applyFill="1" applyBorder="1" applyAlignment="1">
      <alignment vertical="center" wrapText="1"/>
    </xf>
    <xf numFmtId="2" fontId="2" fillId="0" borderId="1" xfId="2" applyNumberFormat="1" applyFont="1" applyFill="1" applyBorder="1" applyAlignment="1">
      <alignment horizontal="center" vertical="center"/>
    </xf>
    <xf numFmtId="9" fontId="3" fillId="2" borderId="1" xfId="3" applyFont="1" applyFill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/>
    </xf>
    <xf numFmtId="0" fontId="2" fillId="7" borderId="1" xfId="0" applyFont="1" applyFill="1" applyBorder="1" applyAlignment="1">
      <alignment horizontal="center"/>
    </xf>
    <xf numFmtId="14" fontId="2" fillId="7" borderId="1" xfId="0" applyNumberFormat="1" applyFont="1" applyFill="1" applyBorder="1"/>
    <xf numFmtId="0" fontId="2" fillId="0" borderId="1" xfId="0" applyFont="1" applyBorder="1" applyAlignment="1">
      <alignment horizontal="left"/>
    </xf>
    <xf numFmtId="0" fontId="2" fillId="4" borderId="7" xfId="0" applyFont="1" applyFill="1" applyBorder="1" applyAlignment="1">
      <alignment horizontal="center" vertical="center"/>
    </xf>
    <xf numFmtId="3" fontId="2" fillId="4" borderId="1" xfId="1" applyNumberFormat="1" applyFont="1" applyFill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9" fontId="2" fillId="2" borderId="1" xfId="3" applyFont="1" applyFill="1" applyBorder="1" applyAlignment="1">
      <alignment horizontal="center" vertical="center" wrapText="1"/>
    </xf>
    <xf numFmtId="9" fontId="2" fillId="0" borderId="1" xfId="3" applyFont="1" applyFill="1" applyBorder="1" applyAlignment="1">
      <alignment horizontal="center" vertical="center" wrapText="1"/>
    </xf>
    <xf numFmtId="3" fontId="2" fillId="4" borderId="1" xfId="0" applyNumberFormat="1" applyFont="1" applyFill="1" applyBorder="1" applyAlignment="1">
      <alignment horizontal="center" vertical="center" wrapText="1"/>
    </xf>
    <xf numFmtId="3" fontId="3" fillId="0" borderId="1" xfId="0" applyNumberFormat="1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14" fontId="2" fillId="0" borderId="1" xfId="0" applyNumberFormat="1" applyFont="1" applyBorder="1"/>
    <xf numFmtId="0" fontId="3" fillId="0" borderId="1" xfId="0" applyFont="1" applyBorder="1" applyAlignment="1">
      <alignment horizontal="center" vertical="center" wrapText="1"/>
    </xf>
    <xf numFmtId="9" fontId="3" fillId="2" borderId="1" xfId="3" applyFont="1" applyFill="1" applyBorder="1" applyAlignment="1">
      <alignment horizontal="center" vertical="center" wrapText="1"/>
    </xf>
    <xf numFmtId="9" fontId="3" fillId="0" borderId="1" xfId="3" applyFont="1" applyFill="1" applyBorder="1" applyAlignment="1">
      <alignment horizontal="center" vertical="center" wrapText="1"/>
    </xf>
    <xf numFmtId="3" fontId="3" fillId="4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</cellXfs>
  <cellStyles count="4">
    <cellStyle name="Comma" xfId="1" builtinId="3"/>
    <cellStyle name="Comma [0]" xfId="2" builtinId="6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153348</xdr:colOff>
      <xdr:row>1</xdr:row>
      <xdr:rowOff>114730</xdr:rowOff>
    </xdr:from>
    <xdr:to>
      <xdr:col>9</xdr:col>
      <xdr:colOff>3271024</xdr:colOff>
      <xdr:row>1</xdr:row>
      <xdr:rowOff>248671</xdr:rowOff>
    </xdr:to>
    <xdr:sp macro="" textlink="">
      <xdr:nvSpPr>
        <xdr:cNvPr id="2" name="Arrow: Right 1">
          <a:extLst>
            <a:ext uri="{FF2B5EF4-FFF2-40B4-BE49-F238E27FC236}">
              <a16:creationId xmlns:a16="http://schemas.microsoft.com/office/drawing/2014/main" id="{F4E19261-2617-45AB-8199-F6C70372B026}"/>
            </a:ext>
          </a:extLst>
        </xdr:cNvPr>
        <xdr:cNvSpPr/>
      </xdr:nvSpPr>
      <xdr:spPr>
        <a:xfrm>
          <a:off x="5091108" y="815770"/>
          <a:ext cx="397336" cy="57741"/>
        </a:xfrm>
        <a:prstGeom prst="rightArrow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3DD64-3855-4F71-9927-968D3D33C39B}">
  <sheetPr>
    <tabColor rgb="FF00B0F0"/>
    <pageSetUpPr fitToPage="1"/>
  </sheetPr>
  <dimension ref="A1:AJ178"/>
  <sheetViews>
    <sheetView tabSelected="1" zoomScale="85" zoomScaleNormal="85" zoomScaleSheetLayoutView="93" workbookViewId="0">
      <pane xSplit="9" topLeftCell="J1" activePane="topRight" state="frozen"/>
      <selection activeCell="A127" sqref="A127"/>
      <selection pane="topRight" activeCell="F16" sqref="F16"/>
    </sheetView>
  </sheetViews>
  <sheetFormatPr defaultColWidth="9" defaultRowHeight="14.4" x14ac:dyDescent="0.3"/>
  <cols>
    <col min="1" max="1" width="5" style="6" bestFit="1" customWidth="1"/>
    <col min="2" max="2" width="11.25" style="1" bestFit="1" customWidth="1"/>
    <col min="3" max="3" width="12" style="5" bestFit="1" customWidth="1"/>
    <col min="4" max="4" width="38.625" style="4" customWidth="1"/>
    <col min="5" max="6" width="9.75" style="4" customWidth="1"/>
    <col min="7" max="7" width="12.875" style="4" customWidth="1"/>
    <col min="8" max="8" width="6.75" style="1" customWidth="1"/>
    <col min="9" max="9" width="21.375" style="4" customWidth="1"/>
    <col min="10" max="10" width="40.625" style="4" customWidth="1"/>
    <col min="11" max="11" width="14.625" style="2" bestFit="1" customWidth="1"/>
    <col min="12" max="12" width="15.25" style="2" bestFit="1" customWidth="1"/>
    <col min="13" max="13" width="13.75" style="2" bestFit="1" customWidth="1"/>
    <col min="14" max="14" width="15.25" style="2" bestFit="1" customWidth="1"/>
    <col min="15" max="15" width="10.625" style="2" customWidth="1"/>
    <col min="16" max="16" width="15.25" style="2" bestFit="1" customWidth="1"/>
    <col min="17" max="17" width="14.875" style="2" bestFit="1" customWidth="1"/>
    <col min="18" max="18" width="10.625" style="2" customWidth="1"/>
    <col min="19" max="19" width="11.625" style="2" customWidth="1"/>
    <col min="20" max="20" width="10.625" style="2" customWidth="1"/>
    <col min="21" max="21" width="10.625" style="3" customWidth="1"/>
    <col min="22" max="22" width="10.375" style="3" customWidth="1"/>
    <col min="23" max="23" width="12.75" style="3" customWidth="1"/>
    <col min="24" max="24" width="12.625" style="3" customWidth="1"/>
    <col min="25" max="25" width="10.625" style="3" customWidth="1"/>
    <col min="26" max="26" width="15.75" style="1" bestFit="1" customWidth="1"/>
    <col min="27" max="28" width="14.625" style="1" customWidth="1"/>
    <col min="29" max="31" width="10.625" style="2" customWidth="1"/>
    <col min="32" max="33" width="9" style="1" hidden="1" customWidth="1"/>
    <col min="34" max="34" width="66.625" style="1" customWidth="1"/>
    <col min="35" max="35" width="56.375" style="1" bestFit="1" customWidth="1"/>
    <col min="36" max="16384" width="9" style="1"/>
  </cols>
  <sheetData>
    <row r="1" spans="1:36" ht="81.599999999999994" customHeight="1" x14ac:dyDescent="0.3">
      <c r="A1" s="80" t="s">
        <v>464</v>
      </c>
      <c r="B1" s="82" t="s">
        <v>463</v>
      </c>
      <c r="C1" s="81" t="s">
        <v>462</v>
      </c>
      <c r="D1" s="80" t="s">
        <v>461</v>
      </c>
      <c r="E1" s="80" t="s">
        <v>460</v>
      </c>
      <c r="F1" s="80" t="s">
        <v>459</v>
      </c>
      <c r="G1" s="80" t="s">
        <v>458</v>
      </c>
      <c r="H1" s="80" t="s">
        <v>457</v>
      </c>
      <c r="I1" s="80" t="s">
        <v>456</v>
      </c>
      <c r="J1" s="80" t="s">
        <v>455</v>
      </c>
      <c r="K1" s="74" t="s">
        <v>454</v>
      </c>
      <c r="L1" s="74" t="s">
        <v>453</v>
      </c>
      <c r="M1" s="74" t="s">
        <v>452</v>
      </c>
      <c r="N1" s="74" t="s">
        <v>451</v>
      </c>
      <c r="O1" s="74" t="s">
        <v>450</v>
      </c>
      <c r="P1" s="74" t="s">
        <v>449</v>
      </c>
      <c r="Q1" s="74" t="s">
        <v>448</v>
      </c>
      <c r="R1" s="74" t="s">
        <v>447</v>
      </c>
      <c r="S1" s="74" t="s">
        <v>446</v>
      </c>
      <c r="T1" s="74" t="s">
        <v>445</v>
      </c>
      <c r="U1" s="79" t="s">
        <v>444</v>
      </c>
      <c r="V1" s="73" t="s">
        <v>443</v>
      </c>
      <c r="W1" s="79" t="s">
        <v>442</v>
      </c>
      <c r="X1" s="73" t="s">
        <v>441</v>
      </c>
      <c r="Y1" s="79" t="s">
        <v>440</v>
      </c>
      <c r="Z1" s="78" t="s">
        <v>439</v>
      </c>
      <c r="AA1" s="77" t="s">
        <v>438</v>
      </c>
      <c r="AB1" s="77"/>
      <c r="AC1" s="74" t="s">
        <v>437</v>
      </c>
      <c r="AD1" s="74" t="s">
        <v>436</v>
      </c>
      <c r="AE1" s="74" t="s">
        <v>435</v>
      </c>
      <c r="AF1" s="68" t="s">
        <v>434</v>
      </c>
      <c r="AG1" s="67"/>
      <c r="AH1" s="76" t="s">
        <v>433</v>
      </c>
      <c r="AI1" s="76" t="s">
        <v>432</v>
      </c>
    </row>
    <row r="2" spans="1:36" ht="43.2" x14ac:dyDescent="0.3">
      <c r="A2" s="34"/>
      <c r="B2" s="67"/>
      <c r="C2" s="75"/>
      <c r="D2" s="34"/>
      <c r="E2" s="34"/>
      <c r="F2" s="34"/>
      <c r="G2" s="34"/>
      <c r="H2" s="34"/>
      <c r="I2" s="34" t="s">
        <v>431</v>
      </c>
      <c r="J2" s="34"/>
      <c r="K2" s="74" t="s">
        <v>430</v>
      </c>
      <c r="L2" s="74">
        <v>65</v>
      </c>
      <c r="M2" s="74" t="s">
        <v>429</v>
      </c>
      <c r="N2" s="74" t="s">
        <v>425</v>
      </c>
      <c r="O2" s="74" t="s">
        <v>428</v>
      </c>
      <c r="P2" s="74" t="s">
        <v>425</v>
      </c>
      <c r="Q2" s="74" t="s">
        <v>425</v>
      </c>
      <c r="R2" s="74" t="s">
        <v>427</v>
      </c>
      <c r="S2" s="74" t="s">
        <v>426</v>
      </c>
      <c r="T2" s="69" t="s">
        <v>425</v>
      </c>
      <c r="U2" s="72"/>
      <c r="V2" s="73" t="s">
        <v>424</v>
      </c>
      <c r="W2" s="72"/>
      <c r="X2" s="73" t="s">
        <v>423</v>
      </c>
      <c r="Y2" s="72"/>
      <c r="Z2" s="71"/>
      <c r="AA2" s="70"/>
      <c r="AB2" s="70"/>
      <c r="AC2" s="69" t="s">
        <v>422</v>
      </c>
      <c r="AD2" s="69" t="s">
        <v>421</v>
      </c>
      <c r="AE2" s="69" t="s">
        <v>420</v>
      </c>
      <c r="AF2" s="68"/>
      <c r="AG2" s="67"/>
      <c r="AH2" s="67"/>
      <c r="AI2" s="67"/>
    </row>
    <row r="3" spans="1:36" ht="13.95" customHeight="1" x14ac:dyDescent="0.3">
      <c r="A3" s="34">
        <v>1</v>
      </c>
      <c r="B3" s="43" t="s">
        <v>419</v>
      </c>
      <c r="C3" s="32">
        <v>46146</v>
      </c>
      <c r="D3" s="31" t="s">
        <v>418</v>
      </c>
      <c r="E3" s="31" t="s">
        <v>182</v>
      </c>
      <c r="F3" s="31" t="s">
        <v>417</v>
      </c>
      <c r="G3" s="31" t="s">
        <v>14</v>
      </c>
      <c r="H3" s="31">
        <v>2006</v>
      </c>
      <c r="I3" s="31" t="s">
        <v>416</v>
      </c>
      <c r="J3" s="30" t="s">
        <v>415</v>
      </c>
      <c r="K3" s="29">
        <v>24.7</v>
      </c>
      <c r="L3" s="29">
        <v>69.599999999999994</v>
      </c>
      <c r="M3" s="29">
        <v>16.3</v>
      </c>
      <c r="N3" s="29">
        <v>94.1</v>
      </c>
      <c r="O3" s="58">
        <f>K3-M3</f>
        <v>8.3999999999999986</v>
      </c>
      <c r="P3" s="27">
        <v>33.224486105546163</v>
      </c>
      <c r="Q3" s="27">
        <v>26.576189042658946</v>
      </c>
      <c r="R3" s="27">
        <v>6.6482970628872167</v>
      </c>
      <c r="S3" s="27">
        <v>2.2999999999999998</v>
      </c>
      <c r="T3" s="27">
        <v>3.048</v>
      </c>
      <c r="U3" s="66">
        <v>16269.946999999998</v>
      </c>
      <c r="V3" s="26">
        <v>14854.196352000001</v>
      </c>
      <c r="W3" s="66">
        <v>733579.7554734149</v>
      </c>
      <c r="X3" s="26">
        <v>444397.99490348226</v>
      </c>
      <c r="Y3" s="66">
        <v>289181.76056993264</v>
      </c>
      <c r="Z3" s="25" t="s">
        <v>1</v>
      </c>
      <c r="AA3" s="57">
        <v>0.60579370080447559</v>
      </c>
      <c r="AB3" s="57" t="str">
        <f>IF(TRIM(Z3)="Unit Replace",IF(OR(K3=0,AND(K3&gt;16,AA3&lt;50%)),"Prioritas 1","Prioritas 2"),"")</f>
        <v/>
      </c>
      <c r="AC3" s="21">
        <v>10.6</v>
      </c>
      <c r="AD3" s="21">
        <v>16.899999999999999</v>
      </c>
      <c r="AE3" s="56">
        <f>AD3-AC3</f>
        <v>6.2999999999999989</v>
      </c>
      <c r="AF3" s="21"/>
      <c r="AG3" s="21"/>
      <c r="AH3" s="20" t="s">
        <v>414</v>
      </c>
      <c r="AI3" s="61"/>
      <c r="AJ3" s="9"/>
    </row>
    <row r="4" spans="1:36" ht="13.95" customHeight="1" x14ac:dyDescent="0.3">
      <c r="A4" s="34">
        <v>2</v>
      </c>
      <c r="B4" s="43"/>
      <c r="C4" s="41">
        <v>46146</v>
      </c>
      <c r="D4" s="40" t="s">
        <v>413</v>
      </c>
      <c r="E4" s="40" t="s">
        <v>6</v>
      </c>
      <c r="F4" s="40" t="s">
        <v>75</v>
      </c>
      <c r="G4" s="40" t="s">
        <v>20</v>
      </c>
      <c r="H4" s="40">
        <v>2025</v>
      </c>
      <c r="I4" s="40" t="s">
        <v>412</v>
      </c>
      <c r="J4" s="30" t="s">
        <v>409</v>
      </c>
      <c r="K4" s="29">
        <v>21.9</v>
      </c>
      <c r="L4" s="29">
        <v>66.5</v>
      </c>
      <c r="M4" s="29">
        <v>14.2</v>
      </c>
      <c r="N4" s="29">
        <v>78.599999999999994</v>
      </c>
      <c r="O4" s="58">
        <f>K4-M4</f>
        <v>7.6999999999999993</v>
      </c>
      <c r="P4" s="27">
        <v>29.068139925457377</v>
      </c>
      <c r="Q4" s="27">
        <v>22.412410774809324</v>
      </c>
      <c r="R4" s="27">
        <v>6.6557291506480531</v>
      </c>
      <c r="S4" s="27">
        <v>2.4</v>
      </c>
      <c r="T4" s="27">
        <v>4.3699999999999992</v>
      </c>
      <c r="U4" s="66">
        <v>34000</v>
      </c>
      <c r="V4" s="26">
        <v>22222.813439999998</v>
      </c>
      <c r="W4" s="66">
        <v>710036.96332101221</v>
      </c>
      <c r="X4" s="26">
        <v>665590.62249909597</v>
      </c>
      <c r="Y4" s="66">
        <v>44446.340821916237</v>
      </c>
      <c r="Z4" s="39" t="s">
        <v>17</v>
      </c>
      <c r="AA4" s="57">
        <v>0.93740277884403356</v>
      </c>
      <c r="AB4" s="57" t="str">
        <f>IF(TRIM(Z4)="Unit Replace",IF(OR(K4=0,AND(K4&gt;16,AA4&lt;50%)),"Prioritas 1","Prioritas 2"),"")</f>
        <v/>
      </c>
      <c r="AC4" s="21">
        <v>9.1999999999999993</v>
      </c>
      <c r="AD4" s="21">
        <v>14.1</v>
      </c>
      <c r="AE4" s="56">
        <f>AD4-AC4</f>
        <v>4.9000000000000004</v>
      </c>
      <c r="AF4" s="21"/>
      <c r="AG4" s="21"/>
      <c r="AH4" s="20"/>
      <c r="AI4" s="61"/>
      <c r="AJ4" s="9"/>
    </row>
    <row r="5" spans="1:36" ht="13.95" customHeight="1" x14ac:dyDescent="0.3">
      <c r="A5" s="34">
        <f>A4+1</f>
        <v>3</v>
      </c>
      <c r="B5" s="43"/>
      <c r="C5" s="37">
        <v>46146</v>
      </c>
      <c r="D5" s="36" t="s">
        <v>411</v>
      </c>
      <c r="E5" s="36" t="s">
        <v>6</v>
      </c>
      <c r="F5" s="36" t="s">
        <v>75</v>
      </c>
      <c r="G5" s="36" t="s">
        <v>14</v>
      </c>
      <c r="H5" s="36">
        <v>2008</v>
      </c>
      <c r="I5" s="36" t="s">
        <v>410</v>
      </c>
      <c r="J5" s="30" t="s">
        <v>409</v>
      </c>
      <c r="K5" s="29">
        <v>21.8</v>
      </c>
      <c r="L5" s="29">
        <v>68.2</v>
      </c>
      <c r="M5" s="29">
        <v>13.6</v>
      </c>
      <c r="N5" s="29">
        <v>92.2</v>
      </c>
      <c r="O5" s="58">
        <f>K5-M5</f>
        <v>8.2000000000000011</v>
      </c>
      <c r="P5" s="27">
        <v>29.258667736608999</v>
      </c>
      <c r="Q5" s="27">
        <v>23.267009579548841</v>
      </c>
      <c r="R5" s="27">
        <v>5.9916581570601579</v>
      </c>
      <c r="S5" s="27">
        <v>2.19</v>
      </c>
      <c r="T5" s="27">
        <v>4.59</v>
      </c>
      <c r="U5" s="66">
        <v>24834.006999999998</v>
      </c>
      <c r="V5" s="26">
        <v>21299.193648</v>
      </c>
      <c r="W5" s="66">
        <v>1112311.6292294569</v>
      </c>
      <c r="X5" s="26">
        <v>574278.69311929401</v>
      </c>
      <c r="Y5" s="66">
        <v>538032.93611016287</v>
      </c>
      <c r="Z5" s="53" t="s">
        <v>9</v>
      </c>
      <c r="AA5" s="57">
        <v>0.51629298663102174</v>
      </c>
      <c r="AB5" s="57" t="str">
        <f>IF(TRIM(Z5)="Unit Replace",IF(OR(K5=0,AND(K5&gt;16,AA5&lt;50%)),"Prioritas 1","Prioritas 2"),"")</f>
        <v>Prioritas 2</v>
      </c>
      <c r="AC5" s="21">
        <v>9.5</v>
      </c>
      <c r="AD5" s="21">
        <v>15</v>
      </c>
      <c r="AE5" s="56">
        <f>AD5-AC5</f>
        <v>5.5</v>
      </c>
      <c r="AF5" s="21"/>
      <c r="AG5" s="21"/>
      <c r="AH5" s="20" t="s">
        <v>408</v>
      </c>
      <c r="AI5" s="61"/>
      <c r="AJ5" s="9"/>
    </row>
    <row r="6" spans="1:36" ht="13.95" customHeight="1" x14ac:dyDescent="0.3">
      <c r="A6" s="34">
        <f>A5+1</f>
        <v>4</v>
      </c>
      <c r="B6" s="43"/>
      <c r="C6" s="41">
        <v>46146</v>
      </c>
      <c r="D6" s="40" t="s">
        <v>407</v>
      </c>
      <c r="E6" s="40" t="s">
        <v>6</v>
      </c>
      <c r="F6" s="40" t="s">
        <v>75</v>
      </c>
      <c r="G6" s="40" t="s">
        <v>20</v>
      </c>
      <c r="H6" s="40">
        <v>2025</v>
      </c>
      <c r="I6" s="40" t="s">
        <v>19</v>
      </c>
      <c r="J6" s="30" t="s">
        <v>405</v>
      </c>
      <c r="K6" s="29">
        <v>0</v>
      </c>
      <c r="L6" s="29">
        <v>0</v>
      </c>
      <c r="M6" s="29">
        <v>0</v>
      </c>
      <c r="N6" s="29">
        <v>0</v>
      </c>
      <c r="O6" s="58">
        <f>K6-M6</f>
        <v>0</v>
      </c>
      <c r="P6" s="27">
        <v>0</v>
      </c>
      <c r="Q6" s="27">
        <v>0</v>
      </c>
      <c r="R6" s="27">
        <v>0</v>
      </c>
      <c r="S6" s="27">
        <v>2.3199999999999998</v>
      </c>
      <c r="T6" s="27">
        <v>0.38250000000000001</v>
      </c>
      <c r="U6" s="66">
        <v>2000</v>
      </c>
      <c r="V6" s="26">
        <v>1880.294112</v>
      </c>
      <c r="W6" s="66">
        <v>64000</v>
      </c>
      <c r="X6" s="26">
        <v>0</v>
      </c>
      <c r="Y6" s="66">
        <v>64000</v>
      </c>
      <c r="Z6" s="39" t="s">
        <v>17</v>
      </c>
      <c r="AA6" s="57">
        <v>0</v>
      </c>
      <c r="AB6" s="57" t="str">
        <f>IF(TRIM(Z6)="Unit Replace",IF(OR(K6=0,AND(K6&gt;16,AA6&lt;50%)),"Prioritas 1","Prioritas 2"),"")</f>
        <v/>
      </c>
      <c r="AC6" s="21">
        <v>0</v>
      </c>
      <c r="AD6" s="21">
        <v>0</v>
      </c>
      <c r="AE6" s="56">
        <f>AD6-AC6</f>
        <v>0</v>
      </c>
      <c r="AF6" s="21"/>
      <c r="AG6" s="21"/>
      <c r="AH6" s="20" t="s">
        <v>404</v>
      </c>
      <c r="AI6" s="61"/>
      <c r="AJ6" s="9"/>
    </row>
    <row r="7" spans="1:36" ht="13.95" customHeight="1" x14ac:dyDescent="0.3">
      <c r="A7" s="34">
        <f>A6+1</f>
        <v>5</v>
      </c>
      <c r="B7" s="43"/>
      <c r="C7" s="41">
        <v>46146</v>
      </c>
      <c r="D7" s="40" t="s">
        <v>406</v>
      </c>
      <c r="E7" s="40" t="s">
        <v>6</v>
      </c>
      <c r="F7" s="40" t="s">
        <v>75</v>
      </c>
      <c r="G7" s="40" t="s">
        <v>20</v>
      </c>
      <c r="H7" s="40">
        <v>2025</v>
      </c>
      <c r="I7" s="40" t="s">
        <v>19</v>
      </c>
      <c r="J7" s="30" t="s">
        <v>405</v>
      </c>
      <c r="K7" s="29">
        <v>0</v>
      </c>
      <c r="L7" s="29">
        <v>0</v>
      </c>
      <c r="M7" s="29">
        <v>0</v>
      </c>
      <c r="N7" s="29">
        <v>0</v>
      </c>
      <c r="O7" s="58">
        <f>K7-M7</f>
        <v>0</v>
      </c>
      <c r="P7" s="27">
        <v>0</v>
      </c>
      <c r="Q7" s="27">
        <v>0</v>
      </c>
      <c r="R7" s="27">
        <v>0</v>
      </c>
      <c r="S7" s="27">
        <v>2.39</v>
      </c>
      <c r="T7" s="27">
        <v>0.38250000000000001</v>
      </c>
      <c r="U7" s="66">
        <v>2000</v>
      </c>
      <c r="V7" s="26">
        <v>1937.0271240000002</v>
      </c>
      <c r="W7" s="66">
        <v>64000</v>
      </c>
      <c r="X7" s="26">
        <v>0</v>
      </c>
      <c r="Y7" s="66">
        <v>64000</v>
      </c>
      <c r="Z7" s="39" t="s">
        <v>17</v>
      </c>
      <c r="AA7" s="57">
        <v>0</v>
      </c>
      <c r="AB7" s="57" t="str">
        <f>IF(TRIM(Z7)="Unit Replace",IF(OR(K7=0,AND(K7&gt;16,AA7&lt;50%)),"Prioritas 1","Prioritas 2"),"")</f>
        <v/>
      </c>
      <c r="AC7" s="21">
        <v>0</v>
      </c>
      <c r="AD7" s="21">
        <v>0</v>
      </c>
      <c r="AE7" s="56">
        <f>AD7-AC7</f>
        <v>0</v>
      </c>
      <c r="AF7" s="21"/>
      <c r="AG7" s="21"/>
      <c r="AH7" s="20" t="s">
        <v>404</v>
      </c>
      <c r="AI7" s="61"/>
      <c r="AJ7" s="9"/>
    </row>
    <row r="8" spans="1:36" ht="13.95" customHeight="1" x14ac:dyDescent="0.3">
      <c r="A8" s="34">
        <f>A7+1</f>
        <v>6</v>
      </c>
      <c r="B8" s="43"/>
      <c r="C8" s="37">
        <v>46146</v>
      </c>
      <c r="D8" s="36" t="s">
        <v>403</v>
      </c>
      <c r="E8" s="36" t="s">
        <v>6</v>
      </c>
      <c r="F8" s="36" t="s">
        <v>116</v>
      </c>
      <c r="G8" s="36" t="s">
        <v>25</v>
      </c>
      <c r="H8" s="36">
        <v>2005</v>
      </c>
      <c r="I8" s="36" t="s">
        <v>96</v>
      </c>
      <c r="J8" s="30" t="s">
        <v>402</v>
      </c>
      <c r="K8" s="29">
        <v>0</v>
      </c>
      <c r="L8" s="29">
        <v>0</v>
      </c>
      <c r="M8" s="29">
        <v>0</v>
      </c>
      <c r="N8" s="29">
        <v>0</v>
      </c>
      <c r="O8" s="58">
        <f>K8-M8</f>
        <v>0</v>
      </c>
      <c r="P8" s="27">
        <v>0</v>
      </c>
      <c r="Q8" s="27">
        <v>0</v>
      </c>
      <c r="R8" s="27">
        <v>0</v>
      </c>
      <c r="S8" s="27">
        <v>0</v>
      </c>
      <c r="T8" s="27">
        <v>0</v>
      </c>
      <c r="U8" s="66">
        <v>0</v>
      </c>
      <c r="V8" s="26">
        <v>0</v>
      </c>
      <c r="W8" s="66">
        <v>50000</v>
      </c>
      <c r="X8" s="26">
        <v>0</v>
      </c>
      <c r="Y8" s="66">
        <v>50000</v>
      </c>
      <c r="Z8" s="53" t="s">
        <v>9</v>
      </c>
      <c r="AA8" s="57">
        <v>0</v>
      </c>
      <c r="AB8" s="57" t="str">
        <f>IF(TRIM(Z8)="Unit Replace",IF(OR(K8=0,AND(K8&gt;16,AA8&lt;50%)),"Prioritas 1","Prioritas 2"),"")</f>
        <v>Prioritas 1</v>
      </c>
      <c r="AC8" s="21">
        <v>0</v>
      </c>
      <c r="AD8" s="21">
        <v>0</v>
      </c>
      <c r="AE8" s="56">
        <f>AD8-AC8</f>
        <v>0</v>
      </c>
      <c r="AF8" s="21"/>
      <c r="AG8" s="21"/>
      <c r="AH8" s="20" t="s">
        <v>401</v>
      </c>
      <c r="AI8" s="61"/>
      <c r="AJ8" s="9"/>
    </row>
    <row r="9" spans="1:36" ht="13.95" customHeight="1" x14ac:dyDescent="0.3">
      <c r="A9" s="34">
        <f>A8+1</f>
        <v>7</v>
      </c>
      <c r="B9" s="43" t="s">
        <v>400</v>
      </c>
      <c r="C9" s="37">
        <v>46147</v>
      </c>
      <c r="D9" s="36" t="s">
        <v>399</v>
      </c>
      <c r="E9" s="36" t="s">
        <v>6</v>
      </c>
      <c r="F9" s="36" t="s">
        <v>75</v>
      </c>
      <c r="G9" s="36" t="s">
        <v>4</v>
      </c>
      <c r="H9" s="36">
        <v>2009</v>
      </c>
      <c r="I9" s="36" t="s">
        <v>3</v>
      </c>
      <c r="J9" s="30" t="s">
        <v>396</v>
      </c>
      <c r="K9" s="29">
        <v>26.4</v>
      </c>
      <c r="L9" s="29">
        <v>56.2</v>
      </c>
      <c r="M9" s="29">
        <v>16.399999999999999</v>
      </c>
      <c r="N9" s="29">
        <v>81.099999999999994</v>
      </c>
      <c r="O9" s="58">
        <f>K9-M9</f>
        <v>10</v>
      </c>
      <c r="P9" s="27">
        <v>32.354994733678637</v>
      </c>
      <c r="Q9" s="27">
        <v>25.023875851204501</v>
      </c>
      <c r="R9" s="27">
        <v>7.3311188824741365</v>
      </c>
      <c r="S9" s="27">
        <v>1.06</v>
      </c>
      <c r="T9" s="27">
        <v>0.35</v>
      </c>
      <c r="U9" s="66">
        <v>1900</v>
      </c>
      <c r="V9" s="26">
        <v>786.10448000000008</v>
      </c>
      <c r="W9" s="66">
        <v>57000</v>
      </c>
      <c r="X9" s="26">
        <v>25933.614286164804</v>
      </c>
      <c r="Y9" s="66">
        <v>31066.385713835196</v>
      </c>
      <c r="Z9" s="53" t="s">
        <v>9</v>
      </c>
      <c r="AA9" s="57">
        <v>0.45497568923096149</v>
      </c>
      <c r="AB9" s="57" t="str">
        <f>IF(TRIM(Z9)="Unit Replace",IF(OR(K9=0,AND(K9&gt;16,AA9&lt;50%)),"Prioritas 1","Prioritas 2"),"")</f>
        <v>Prioritas 1</v>
      </c>
      <c r="AC9" s="21">
        <v>8.9</v>
      </c>
      <c r="AD9" s="21">
        <v>13.7</v>
      </c>
      <c r="AE9" s="56">
        <f>AD9-AC9</f>
        <v>4.7999999999999989</v>
      </c>
      <c r="AF9" s="21"/>
      <c r="AG9" s="21"/>
      <c r="AH9" s="20" t="s">
        <v>395</v>
      </c>
      <c r="AI9" s="61"/>
      <c r="AJ9" s="9"/>
    </row>
    <row r="10" spans="1:36" ht="13.95" customHeight="1" x14ac:dyDescent="0.3">
      <c r="A10" s="34">
        <f>A9+1</f>
        <v>8</v>
      </c>
      <c r="B10" s="43"/>
      <c r="C10" s="37">
        <v>46147</v>
      </c>
      <c r="D10" s="36" t="s">
        <v>398</v>
      </c>
      <c r="E10" s="36" t="s">
        <v>6</v>
      </c>
      <c r="F10" s="36" t="s">
        <v>75</v>
      </c>
      <c r="G10" s="36" t="s">
        <v>4</v>
      </c>
      <c r="H10" s="36">
        <v>2009</v>
      </c>
      <c r="I10" s="36" t="s">
        <v>3</v>
      </c>
      <c r="J10" s="30" t="s">
        <v>396</v>
      </c>
      <c r="K10" s="29">
        <v>26.1</v>
      </c>
      <c r="L10" s="29">
        <v>56.3</v>
      </c>
      <c r="M10" s="29">
        <v>17.399999999999999</v>
      </c>
      <c r="N10" s="29">
        <v>65.900000000000006</v>
      </c>
      <c r="O10" s="58">
        <f>K10-M10</f>
        <v>8.7000000000000028</v>
      </c>
      <c r="P10" s="27">
        <v>32.008901327756</v>
      </c>
      <c r="Q10" s="27">
        <v>24.0673994934739</v>
      </c>
      <c r="R10" s="27">
        <v>7.9415018342821</v>
      </c>
      <c r="S10" s="27">
        <v>1.25</v>
      </c>
      <c r="T10" s="27">
        <v>0.35</v>
      </c>
      <c r="U10" s="66">
        <v>1900</v>
      </c>
      <c r="V10" s="26">
        <v>927.01</v>
      </c>
      <c r="W10" s="66">
        <v>57000</v>
      </c>
      <c r="X10" s="26">
        <v>33128.332269290317</v>
      </c>
      <c r="Y10" s="66">
        <v>23871.667730709683</v>
      </c>
      <c r="Z10" s="53" t="s">
        <v>9</v>
      </c>
      <c r="AA10" s="57">
        <v>0.58119881174193533</v>
      </c>
      <c r="AB10" s="57" t="str">
        <f>IF(TRIM(Z10)="Unit Replace",IF(OR(K10=0,AND(K10&gt;16,AA10&lt;50%)),"Prioritas 1","Prioritas 2"),"")</f>
        <v>Prioritas 2</v>
      </c>
      <c r="AC10" s="21">
        <v>9.1999999999999993</v>
      </c>
      <c r="AD10" s="21">
        <v>15.2</v>
      </c>
      <c r="AE10" s="56">
        <f>AD10-AC10</f>
        <v>6</v>
      </c>
      <c r="AF10" s="21"/>
      <c r="AG10" s="21"/>
      <c r="AH10" s="20" t="s">
        <v>395</v>
      </c>
      <c r="AI10" s="61"/>
      <c r="AJ10" s="9"/>
    </row>
    <row r="11" spans="1:36" ht="13.95" customHeight="1" x14ac:dyDescent="0.3">
      <c r="A11" s="34">
        <f>A10+1</f>
        <v>9</v>
      </c>
      <c r="B11" s="43"/>
      <c r="C11" s="37">
        <v>46147</v>
      </c>
      <c r="D11" s="36" t="s">
        <v>397</v>
      </c>
      <c r="E11" s="36" t="s">
        <v>6</v>
      </c>
      <c r="F11" s="36" t="s">
        <v>75</v>
      </c>
      <c r="G11" s="36" t="s">
        <v>4</v>
      </c>
      <c r="H11" s="36">
        <v>2009</v>
      </c>
      <c r="I11" s="36" t="s">
        <v>3</v>
      </c>
      <c r="J11" s="30" t="s">
        <v>396</v>
      </c>
      <c r="K11" s="29">
        <v>21.4</v>
      </c>
      <c r="L11" s="29">
        <v>67</v>
      </c>
      <c r="M11" s="29">
        <v>14.5</v>
      </c>
      <c r="N11" s="29">
        <v>94</v>
      </c>
      <c r="O11" s="58">
        <f>K11-M11</f>
        <v>6.8999999999999986</v>
      </c>
      <c r="P11" s="27">
        <v>28.571231083179132</v>
      </c>
      <c r="Q11" s="27">
        <v>24.459848248340116</v>
      </c>
      <c r="R11" s="27">
        <v>4.1113828348390165</v>
      </c>
      <c r="S11" s="27">
        <v>1.5</v>
      </c>
      <c r="T11" s="27">
        <v>0.35</v>
      </c>
      <c r="U11" s="66">
        <v>1900</v>
      </c>
      <c r="V11" s="26">
        <v>1112.4119999999998</v>
      </c>
      <c r="W11" s="66">
        <v>57000</v>
      </c>
      <c r="X11" s="26">
        <v>20580.982209310227</v>
      </c>
      <c r="Y11" s="66">
        <v>36419.017790689773</v>
      </c>
      <c r="Z11" s="53" t="s">
        <v>9</v>
      </c>
      <c r="AA11" s="57">
        <v>0.36106986332123203</v>
      </c>
      <c r="AB11" s="57" t="str">
        <f>IF(TRIM(Z11)="Unit Replace",IF(OR(K11=0,AND(K11&gt;16,AA11&lt;50%)),"Prioritas 1","Prioritas 2"),"")</f>
        <v>Prioritas 1</v>
      </c>
      <c r="AC11" s="21">
        <v>8.9</v>
      </c>
      <c r="AD11" s="21">
        <v>13.3</v>
      </c>
      <c r="AE11" s="56">
        <f>AD11-AC11</f>
        <v>4.4000000000000004</v>
      </c>
      <c r="AF11" s="21"/>
      <c r="AG11" s="21"/>
      <c r="AH11" s="20" t="s">
        <v>395</v>
      </c>
      <c r="AI11" s="61"/>
      <c r="AJ11" s="9"/>
    </row>
    <row r="12" spans="1:36" ht="13.95" customHeight="1" x14ac:dyDescent="0.3">
      <c r="A12" s="34">
        <f>A11+1</f>
        <v>10</v>
      </c>
      <c r="B12" s="43"/>
      <c r="C12" s="41">
        <v>46147</v>
      </c>
      <c r="D12" s="40" t="s">
        <v>394</v>
      </c>
      <c r="E12" s="40" t="s">
        <v>6</v>
      </c>
      <c r="F12" s="40" t="s">
        <v>26</v>
      </c>
      <c r="G12" s="40" t="s">
        <v>20</v>
      </c>
      <c r="H12" s="40">
        <v>2025</v>
      </c>
      <c r="I12" s="40" t="s">
        <v>19</v>
      </c>
      <c r="J12" s="30" t="s">
        <v>393</v>
      </c>
      <c r="K12" s="29">
        <v>22.4</v>
      </c>
      <c r="L12" s="29">
        <v>64.8</v>
      </c>
      <c r="M12" s="29">
        <v>15.2</v>
      </c>
      <c r="N12" s="29">
        <v>85.6</v>
      </c>
      <c r="O12" s="58">
        <f>K12-M12</f>
        <v>7.1999999999999993</v>
      </c>
      <c r="P12" s="27">
        <v>29.343803825230999</v>
      </c>
      <c r="Q12" s="27">
        <v>24.262289262770572</v>
      </c>
      <c r="R12" s="27">
        <v>5.081514562460427</v>
      </c>
      <c r="S12" s="27">
        <v>2.44</v>
      </c>
      <c r="T12" s="27">
        <v>0.47249999999999998</v>
      </c>
      <c r="U12" s="66">
        <v>2000</v>
      </c>
      <c r="V12" s="26">
        <v>2442.8567519999997</v>
      </c>
      <c r="W12" s="66">
        <v>60000</v>
      </c>
      <c r="X12" s="26">
        <v>55860.354716817499</v>
      </c>
      <c r="Y12" s="66">
        <v>4139.6452831825009</v>
      </c>
      <c r="Z12" s="39" t="s">
        <v>17</v>
      </c>
      <c r="AA12" s="57">
        <v>0.93100591194695836</v>
      </c>
      <c r="AB12" s="57" t="str">
        <f>IF(TRIM(Z12)="Unit Replace",IF(OR(K12=0,AND(K12&gt;16,AA12&lt;50%)),"Prioritas 1","Prioritas 2"),"")</f>
        <v/>
      </c>
      <c r="AC12" s="21">
        <v>8.8000000000000007</v>
      </c>
      <c r="AD12" s="21">
        <v>13.3</v>
      </c>
      <c r="AE12" s="56">
        <f>AD12-AC12</f>
        <v>4.5</v>
      </c>
      <c r="AF12" s="21"/>
      <c r="AG12" s="21"/>
      <c r="AH12" s="20" t="s">
        <v>392</v>
      </c>
      <c r="AI12" s="61"/>
      <c r="AJ12" s="9"/>
    </row>
    <row r="13" spans="1:36" ht="13.95" customHeight="1" x14ac:dyDescent="0.3">
      <c r="A13" s="34">
        <f>A12+1</f>
        <v>11</v>
      </c>
      <c r="B13" s="43"/>
      <c r="C13" s="41">
        <v>46147</v>
      </c>
      <c r="D13" s="40" t="s">
        <v>391</v>
      </c>
      <c r="E13" s="40" t="s">
        <v>6</v>
      </c>
      <c r="F13" s="40" t="s">
        <v>26</v>
      </c>
      <c r="G13" s="40" t="s">
        <v>20</v>
      </c>
      <c r="H13" s="40">
        <v>2025</v>
      </c>
      <c r="I13" s="40" t="s">
        <v>205</v>
      </c>
      <c r="J13" s="30" t="s">
        <v>367</v>
      </c>
      <c r="K13" s="29">
        <v>0</v>
      </c>
      <c r="L13" s="29">
        <v>0</v>
      </c>
      <c r="M13" s="29">
        <v>0</v>
      </c>
      <c r="N13" s="29">
        <v>0</v>
      </c>
      <c r="O13" s="58">
        <f>K13-M13</f>
        <v>0</v>
      </c>
      <c r="P13" s="27">
        <v>0</v>
      </c>
      <c r="Q13" s="27">
        <v>0</v>
      </c>
      <c r="R13" s="27">
        <v>0</v>
      </c>
      <c r="S13" s="27">
        <v>0</v>
      </c>
      <c r="T13" s="27">
        <v>0</v>
      </c>
      <c r="U13" s="66">
        <v>1703.3333333333333</v>
      </c>
      <c r="V13" s="26">
        <v>0</v>
      </c>
      <c r="W13" s="66">
        <v>51100</v>
      </c>
      <c r="X13" s="26">
        <v>0</v>
      </c>
      <c r="Y13" s="66">
        <v>51100</v>
      </c>
      <c r="Z13" s="39" t="s">
        <v>17</v>
      </c>
      <c r="AA13" s="57">
        <v>0</v>
      </c>
      <c r="AB13" s="57" t="str">
        <f>IF(TRIM(Z13)="Unit Replace",IF(OR(K13=0,AND(K13&gt;16,AA13&lt;50%)),"Prioritas 1","Prioritas 2"),"")</f>
        <v/>
      </c>
      <c r="AC13" s="21">
        <v>0</v>
      </c>
      <c r="AD13" s="21">
        <v>0</v>
      </c>
      <c r="AE13" s="56">
        <f>AD13-AC13</f>
        <v>0</v>
      </c>
      <c r="AF13" s="21"/>
      <c r="AG13" s="21"/>
      <c r="AH13" s="20" t="s">
        <v>390</v>
      </c>
      <c r="AI13" s="61"/>
      <c r="AJ13" s="9"/>
    </row>
    <row r="14" spans="1:36" ht="13.95" customHeight="1" x14ac:dyDescent="0.3">
      <c r="A14" s="34">
        <f>A13+1</f>
        <v>12</v>
      </c>
      <c r="B14" s="43"/>
      <c r="C14" s="41">
        <v>46147</v>
      </c>
      <c r="D14" s="40" t="s">
        <v>389</v>
      </c>
      <c r="E14" s="40" t="s">
        <v>6</v>
      </c>
      <c r="F14" s="40" t="s">
        <v>26</v>
      </c>
      <c r="G14" s="40" t="s">
        <v>20</v>
      </c>
      <c r="H14" s="40">
        <v>2025</v>
      </c>
      <c r="I14" s="40" t="s">
        <v>205</v>
      </c>
      <c r="J14" s="30" t="s">
        <v>367</v>
      </c>
      <c r="K14" s="29">
        <v>0</v>
      </c>
      <c r="L14" s="29">
        <v>0</v>
      </c>
      <c r="M14" s="29">
        <v>0</v>
      </c>
      <c r="N14" s="29">
        <v>0</v>
      </c>
      <c r="O14" s="58">
        <f>K14-M14</f>
        <v>0</v>
      </c>
      <c r="P14" s="27">
        <v>0</v>
      </c>
      <c r="Q14" s="27">
        <v>0</v>
      </c>
      <c r="R14" s="27">
        <v>0</v>
      </c>
      <c r="S14" s="27">
        <v>0</v>
      </c>
      <c r="T14" s="27">
        <v>0</v>
      </c>
      <c r="U14" s="66">
        <v>1703.3333333333333</v>
      </c>
      <c r="V14" s="26">
        <v>0</v>
      </c>
      <c r="W14" s="66">
        <v>51100</v>
      </c>
      <c r="X14" s="26">
        <v>0</v>
      </c>
      <c r="Y14" s="66">
        <v>51100</v>
      </c>
      <c r="Z14" s="39" t="s">
        <v>17</v>
      </c>
      <c r="AA14" s="57">
        <v>0</v>
      </c>
      <c r="AB14" s="57" t="str">
        <f>IF(TRIM(Z14)="Unit Replace",IF(OR(K14=0,AND(K14&gt;16,AA14&lt;50%)),"Prioritas 1","Prioritas 2"),"")</f>
        <v/>
      </c>
      <c r="AC14" s="21">
        <v>0</v>
      </c>
      <c r="AD14" s="21">
        <v>0</v>
      </c>
      <c r="AE14" s="56">
        <f>AD14-AC14</f>
        <v>0</v>
      </c>
      <c r="AF14" s="21"/>
      <c r="AG14" s="21"/>
      <c r="AH14" s="20" t="s">
        <v>388</v>
      </c>
      <c r="AI14" s="61"/>
      <c r="AJ14" s="9"/>
    </row>
    <row r="15" spans="1:36" ht="13.95" customHeight="1" x14ac:dyDescent="0.3">
      <c r="A15" s="34">
        <f>A14+1</f>
        <v>13</v>
      </c>
      <c r="B15" s="43"/>
      <c r="C15" s="37">
        <v>46147</v>
      </c>
      <c r="D15" s="36" t="s">
        <v>387</v>
      </c>
      <c r="E15" s="36" t="s">
        <v>6</v>
      </c>
      <c r="F15" s="36" t="s">
        <v>26</v>
      </c>
      <c r="G15" s="36" t="s">
        <v>4</v>
      </c>
      <c r="H15" s="36">
        <v>2008</v>
      </c>
      <c r="I15" s="36" t="s">
        <v>34</v>
      </c>
      <c r="J15" s="30" t="s">
        <v>367</v>
      </c>
      <c r="K15" s="29">
        <v>22.8</v>
      </c>
      <c r="L15" s="29">
        <v>66.3</v>
      </c>
      <c r="M15" s="29">
        <v>13.8</v>
      </c>
      <c r="N15" s="29">
        <v>77.400000000000006</v>
      </c>
      <c r="O15" s="58">
        <f>K15-M15</f>
        <v>9</v>
      </c>
      <c r="P15" s="27">
        <v>30.109742016202777</v>
      </c>
      <c r="Q15" s="27">
        <v>21.884720242269246</v>
      </c>
      <c r="R15" s="27">
        <v>8.2250217739335305</v>
      </c>
      <c r="S15" s="27">
        <v>0.86</v>
      </c>
      <c r="T15" s="27">
        <v>0.35</v>
      </c>
      <c r="U15" s="66">
        <v>1135.5919999999999</v>
      </c>
      <c r="V15" s="26">
        <v>637.78287999999998</v>
      </c>
      <c r="W15" s="66">
        <v>37000</v>
      </c>
      <c r="X15" s="26">
        <v>23606.001337689162</v>
      </c>
      <c r="Y15" s="66">
        <v>13393.998662310838</v>
      </c>
      <c r="Z15" s="53" t="s">
        <v>9</v>
      </c>
      <c r="AA15" s="57">
        <v>0.63800003615376111</v>
      </c>
      <c r="AB15" s="57" t="str">
        <f>IF(TRIM(Z15)="Unit Replace",IF(OR(K15=0,AND(K15&gt;16,AA15&lt;50%)),"Prioritas 1","Prioritas 2"),"")</f>
        <v>Prioritas 2</v>
      </c>
      <c r="AC15" s="21">
        <v>9.5</v>
      </c>
      <c r="AD15" s="21">
        <v>13.2</v>
      </c>
      <c r="AE15" s="56">
        <f>AD15-AC15</f>
        <v>3.6999999999999993</v>
      </c>
      <c r="AF15" s="21"/>
      <c r="AG15" s="21"/>
      <c r="AH15" s="20" t="s">
        <v>386</v>
      </c>
      <c r="AI15" s="61"/>
      <c r="AJ15" s="9"/>
    </row>
    <row r="16" spans="1:36" ht="13.95" customHeight="1" x14ac:dyDescent="0.3">
      <c r="A16" s="34">
        <f>A15+1</f>
        <v>14</v>
      </c>
      <c r="B16" s="43"/>
      <c r="C16" s="37">
        <v>46147</v>
      </c>
      <c r="D16" s="36" t="s">
        <v>385</v>
      </c>
      <c r="E16" s="36" t="s">
        <v>6</v>
      </c>
      <c r="F16" s="36" t="s">
        <v>26</v>
      </c>
      <c r="G16" s="36" t="s">
        <v>25</v>
      </c>
      <c r="H16" s="36">
        <v>2008</v>
      </c>
      <c r="I16" s="36" t="s">
        <v>53</v>
      </c>
      <c r="J16" s="30" t="s">
        <v>367</v>
      </c>
      <c r="K16" s="29">
        <v>26.8</v>
      </c>
      <c r="L16" s="29">
        <v>58.2</v>
      </c>
      <c r="M16" s="29">
        <v>17.8</v>
      </c>
      <c r="N16" s="29">
        <v>77.599999999999994</v>
      </c>
      <c r="O16" s="58">
        <f>K16-M16</f>
        <v>9</v>
      </c>
      <c r="P16" s="27">
        <v>33.347975964306919</v>
      </c>
      <c r="Q16" s="27">
        <v>26.114346750808135</v>
      </c>
      <c r="R16" s="27">
        <v>7.2336292134987836</v>
      </c>
      <c r="S16" s="27">
        <v>1.2</v>
      </c>
      <c r="T16" s="27">
        <v>0.315</v>
      </c>
      <c r="U16" s="66">
        <v>1333.3333333333333</v>
      </c>
      <c r="V16" s="26">
        <v>800.93664000000001</v>
      </c>
      <c r="W16" s="66">
        <v>40000</v>
      </c>
      <c r="X16" s="26">
        <v>26071.554047695015</v>
      </c>
      <c r="Y16" s="66">
        <v>13928.445952304985</v>
      </c>
      <c r="Z16" s="53" t="s">
        <v>9</v>
      </c>
      <c r="AA16" s="57">
        <v>0.6517888511923754</v>
      </c>
      <c r="AB16" s="57" t="str">
        <f>IF(TRIM(Z16)="Unit Replace",IF(OR(K16=0,AND(K16&gt;16,AA16&lt;50%)),"Prioritas 1","Prioritas 2"),"")</f>
        <v>Prioritas 2</v>
      </c>
      <c r="AC16" s="21">
        <v>8.9</v>
      </c>
      <c r="AD16" s="21">
        <v>13.5</v>
      </c>
      <c r="AE16" s="56">
        <f>AD16-AC16</f>
        <v>4.5999999999999996</v>
      </c>
      <c r="AF16" s="21"/>
      <c r="AG16" s="21"/>
      <c r="AH16" s="20" t="s">
        <v>343</v>
      </c>
      <c r="AI16" s="61"/>
      <c r="AJ16" s="9"/>
    </row>
    <row r="17" spans="1:36" ht="13.95" customHeight="1" x14ac:dyDescent="0.3">
      <c r="A17" s="34">
        <f>A16+1</f>
        <v>15</v>
      </c>
      <c r="B17" s="43"/>
      <c r="C17" s="32">
        <v>46147</v>
      </c>
      <c r="D17" s="31" t="s">
        <v>384</v>
      </c>
      <c r="E17" s="31" t="s">
        <v>6</v>
      </c>
      <c r="F17" s="31" t="s">
        <v>26</v>
      </c>
      <c r="G17" s="31" t="s">
        <v>14</v>
      </c>
      <c r="H17" s="31">
        <v>2016</v>
      </c>
      <c r="I17" s="31" t="s">
        <v>383</v>
      </c>
      <c r="J17" s="30" t="s">
        <v>367</v>
      </c>
      <c r="K17" s="29">
        <v>29.7</v>
      </c>
      <c r="L17" s="29">
        <v>53.7</v>
      </c>
      <c r="M17" s="29">
        <v>19.8</v>
      </c>
      <c r="N17" s="29">
        <v>73.2</v>
      </c>
      <c r="O17" s="58">
        <f>K17-M17</f>
        <v>9.8999999999999986</v>
      </c>
      <c r="P17" s="27">
        <v>35.959899412743454</v>
      </c>
      <c r="Q17" s="27">
        <v>27.747720366082866</v>
      </c>
      <c r="R17" s="27">
        <v>8.2121790466605873</v>
      </c>
      <c r="S17" s="27">
        <v>1.37</v>
      </c>
      <c r="T17" s="27">
        <v>0.39</v>
      </c>
      <c r="U17" s="66">
        <v>2500</v>
      </c>
      <c r="V17" s="26">
        <v>1132.1175840000003</v>
      </c>
      <c r="W17" s="66">
        <v>60000</v>
      </c>
      <c r="X17" s="26">
        <v>41837.185357563649</v>
      </c>
      <c r="Y17" s="66">
        <v>18162.814642436351</v>
      </c>
      <c r="Z17" s="25" t="s">
        <v>1</v>
      </c>
      <c r="AA17" s="57">
        <v>0.69728642262606078</v>
      </c>
      <c r="AB17" s="57" t="str">
        <f>IF(TRIM(Z17)="Unit Replace",IF(OR(K17=0,AND(K17&gt;16,AA17&lt;50%)),"Prioritas 1","Prioritas 2"),"")</f>
        <v/>
      </c>
      <c r="AC17" s="21">
        <v>8.9</v>
      </c>
      <c r="AD17" s="21">
        <v>13.4</v>
      </c>
      <c r="AE17" s="56">
        <f>AD17-AC17</f>
        <v>4.5</v>
      </c>
      <c r="AF17" s="21"/>
      <c r="AG17" s="21"/>
      <c r="AH17" s="20" t="s">
        <v>382</v>
      </c>
      <c r="AI17" s="61"/>
      <c r="AJ17" s="9"/>
    </row>
    <row r="18" spans="1:36" ht="13.95" customHeight="1" x14ac:dyDescent="0.3">
      <c r="A18" s="34">
        <f>A17+1</f>
        <v>16</v>
      </c>
      <c r="B18" s="43"/>
      <c r="C18" s="32">
        <v>46147</v>
      </c>
      <c r="D18" s="31" t="s">
        <v>381</v>
      </c>
      <c r="E18" s="31" t="s">
        <v>6</v>
      </c>
      <c r="F18" s="31" t="s">
        <v>26</v>
      </c>
      <c r="G18" s="31" t="s">
        <v>14</v>
      </c>
      <c r="H18" s="31">
        <v>2016</v>
      </c>
      <c r="I18" s="31" t="s">
        <v>380</v>
      </c>
      <c r="J18" s="30" t="s">
        <v>367</v>
      </c>
      <c r="K18" s="29">
        <v>26.8</v>
      </c>
      <c r="L18" s="29">
        <v>58.2</v>
      </c>
      <c r="M18" s="29">
        <v>17</v>
      </c>
      <c r="N18" s="29">
        <v>77.5</v>
      </c>
      <c r="O18" s="58"/>
      <c r="P18" s="27">
        <v>33.347975964306919</v>
      </c>
      <c r="Q18" s="27">
        <v>25.21190533931069</v>
      </c>
      <c r="R18" s="27">
        <v>8.1360706249962291</v>
      </c>
      <c r="S18" s="27">
        <v>1.04</v>
      </c>
      <c r="T18" s="27">
        <v>0.44550000000000006</v>
      </c>
      <c r="U18" s="66">
        <v>2500</v>
      </c>
      <c r="V18" s="26">
        <v>981.71948160000022</v>
      </c>
      <c r="W18" s="66">
        <v>60000</v>
      </c>
      <c r="X18" s="26">
        <v>35943.025663045293</v>
      </c>
      <c r="Y18" s="66">
        <v>24056.974336954707</v>
      </c>
      <c r="Z18" s="25" t="s">
        <v>1</v>
      </c>
      <c r="AA18" s="57">
        <v>0.59905042771742156</v>
      </c>
      <c r="AB18" s="57" t="str">
        <f>IF(TRIM(Z18)="Unit Replace",IF(OR(K18=0,AND(K18&gt;16,AA18&lt;50%)),"Prioritas 1","Prioritas 2"),"")</f>
        <v/>
      </c>
      <c r="AC18" s="21">
        <v>9.3000000000000007</v>
      </c>
      <c r="AD18" s="21">
        <v>15.2</v>
      </c>
      <c r="AE18" s="56">
        <f>AD18-AC18</f>
        <v>5.8999999999999986</v>
      </c>
      <c r="AF18" s="21"/>
      <c r="AG18" s="21"/>
      <c r="AH18" s="20" t="s">
        <v>379</v>
      </c>
      <c r="AI18" s="61"/>
      <c r="AJ18" s="9"/>
    </row>
    <row r="19" spans="1:36" ht="13.95" customHeight="1" x14ac:dyDescent="0.3">
      <c r="A19" s="34">
        <f>A18+1</f>
        <v>17</v>
      </c>
      <c r="B19" s="43" t="s">
        <v>378</v>
      </c>
      <c r="C19" s="37">
        <v>46148</v>
      </c>
      <c r="D19" s="36" t="s">
        <v>377</v>
      </c>
      <c r="E19" s="36" t="s">
        <v>6</v>
      </c>
      <c r="F19" s="36" t="s">
        <v>26</v>
      </c>
      <c r="G19" s="36" t="s">
        <v>4</v>
      </c>
      <c r="H19" s="36">
        <v>2006</v>
      </c>
      <c r="I19" s="36" t="s">
        <v>3</v>
      </c>
      <c r="J19" s="30" t="s">
        <v>367</v>
      </c>
      <c r="K19" s="29">
        <v>23.8</v>
      </c>
      <c r="L19" s="29">
        <v>63.8</v>
      </c>
      <c r="M19" s="29">
        <v>14.1</v>
      </c>
      <c r="N19" s="29">
        <v>86.2</v>
      </c>
      <c r="O19" s="58">
        <f>K19-M19</f>
        <v>9.7000000000000011</v>
      </c>
      <c r="P19" s="27">
        <v>30.835068583998606</v>
      </c>
      <c r="Q19" s="27">
        <v>23.149652316833979</v>
      </c>
      <c r="R19" s="27">
        <v>7.6854162671646264</v>
      </c>
      <c r="S19" s="27">
        <v>1.1000000000000001</v>
      </c>
      <c r="T19" s="27">
        <v>0.4</v>
      </c>
      <c r="U19" s="66">
        <v>1900</v>
      </c>
      <c r="V19" s="26">
        <v>932.30720000000019</v>
      </c>
      <c r="W19" s="66">
        <v>57000</v>
      </c>
      <c r="X19" s="26">
        <v>32243.260143936179</v>
      </c>
      <c r="Y19" s="66">
        <v>24756.739856063821</v>
      </c>
      <c r="Z19" s="53" t="s">
        <v>9</v>
      </c>
      <c r="AA19" s="57">
        <v>0.56567123059537161</v>
      </c>
      <c r="AB19" s="57" t="str">
        <f>IF(TRIM(Z19)="Unit Replace",IF(OR(K19=0,AND(K19&gt;16,AA19&lt;50%)),"Prioritas 1","Prioritas 2"),"")</f>
        <v>Prioritas 2</v>
      </c>
      <c r="AC19" s="21">
        <v>9.6</v>
      </c>
      <c r="AD19" s="21">
        <v>13.6</v>
      </c>
      <c r="AE19" s="56">
        <f>AD19-AC19</f>
        <v>4</v>
      </c>
      <c r="AF19" s="21"/>
      <c r="AG19" s="21"/>
      <c r="AH19" s="20" t="s">
        <v>376</v>
      </c>
      <c r="AI19" s="61"/>
      <c r="AJ19" s="9"/>
    </row>
    <row r="20" spans="1:36" ht="13.95" customHeight="1" x14ac:dyDescent="0.3">
      <c r="A20" s="34">
        <f>A19+1</f>
        <v>18</v>
      </c>
      <c r="B20" s="43"/>
      <c r="C20" s="32">
        <v>46148</v>
      </c>
      <c r="D20" s="31" t="s">
        <v>375</v>
      </c>
      <c r="E20" s="31" t="s">
        <v>6</v>
      </c>
      <c r="F20" s="31" t="s">
        <v>26</v>
      </c>
      <c r="G20" s="31" t="s">
        <v>4</v>
      </c>
      <c r="H20" s="31">
        <v>2006</v>
      </c>
      <c r="I20" s="31" t="s">
        <v>77</v>
      </c>
      <c r="J20" s="30" t="s">
        <v>367</v>
      </c>
      <c r="K20" s="29">
        <v>0</v>
      </c>
      <c r="L20" s="29">
        <v>0</v>
      </c>
      <c r="M20" s="29">
        <v>0</v>
      </c>
      <c r="N20" s="29">
        <v>0</v>
      </c>
      <c r="O20" s="58">
        <f>K20-M20</f>
        <v>0</v>
      </c>
      <c r="P20" s="27">
        <v>0</v>
      </c>
      <c r="Q20" s="27">
        <v>0</v>
      </c>
      <c r="R20" s="27">
        <v>0</v>
      </c>
      <c r="S20" s="27">
        <v>0</v>
      </c>
      <c r="T20" s="27">
        <v>0</v>
      </c>
      <c r="U20" s="66">
        <v>1900</v>
      </c>
      <c r="V20" s="26">
        <v>0</v>
      </c>
      <c r="W20" s="66">
        <v>57000</v>
      </c>
      <c r="X20" s="26">
        <v>0</v>
      </c>
      <c r="Y20" s="66">
        <v>57000</v>
      </c>
      <c r="Z20" s="25" t="s">
        <v>1</v>
      </c>
      <c r="AA20" s="57">
        <v>0</v>
      </c>
      <c r="AB20" s="57" t="str">
        <f>IF(TRIM(Z20)="Unit Replace",IF(OR(K20=0,AND(K20&gt;16,AA20&lt;50%)),"Prioritas 1","Prioritas 2"),"")</f>
        <v/>
      </c>
      <c r="AC20" s="21">
        <v>0</v>
      </c>
      <c r="AD20" s="21">
        <v>0</v>
      </c>
      <c r="AE20" s="56">
        <f>AD20-AC20</f>
        <v>0</v>
      </c>
      <c r="AF20" s="21"/>
      <c r="AG20" s="21"/>
      <c r="AH20" s="20" t="s">
        <v>374</v>
      </c>
      <c r="AI20" s="61"/>
      <c r="AJ20" s="9"/>
    </row>
    <row r="21" spans="1:36" ht="13.95" customHeight="1" x14ac:dyDescent="0.3">
      <c r="A21" s="34">
        <f>A20+1</f>
        <v>19</v>
      </c>
      <c r="B21" s="43"/>
      <c r="C21" s="37">
        <v>46148</v>
      </c>
      <c r="D21" s="36" t="s">
        <v>373</v>
      </c>
      <c r="E21" s="36" t="s">
        <v>6</v>
      </c>
      <c r="F21" s="36" t="s">
        <v>26</v>
      </c>
      <c r="G21" s="36" t="s">
        <v>4</v>
      </c>
      <c r="H21" s="36">
        <v>2006</v>
      </c>
      <c r="I21" s="36" t="s">
        <v>77</v>
      </c>
      <c r="J21" s="30" t="s">
        <v>367</v>
      </c>
      <c r="K21" s="29">
        <v>0</v>
      </c>
      <c r="L21" s="29">
        <v>0</v>
      </c>
      <c r="M21" s="29">
        <v>0</v>
      </c>
      <c r="N21" s="29">
        <v>0</v>
      </c>
      <c r="O21" s="58">
        <f>K21-M21</f>
        <v>0</v>
      </c>
      <c r="P21" s="27">
        <v>0</v>
      </c>
      <c r="Q21" s="27">
        <v>0</v>
      </c>
      <c r="R21" s="27">
        <v>0</v>
      </c>
      <c r="S21" s="27">
        <v>0</v>
      </c>
      <c r="T21" s="27">
        <v>0</v>
      </c>
      <c r="U21" s="66">
        <v>1371.192</v>
      </c>
      <c r="V21" s="26">
        <v>0</v>
      </c>
      <c r="W21" s="66">
        <v>47000</v>
      </c>
      <c r="X21" s="26">
        <v>0</v>
      </c>
      <c r="Y21" s="66">
        <v>47000</v>
      </c>
      <c r="Z21" s="53" t="s">
        <v>9</v>
      </c>
      <c r="AA21" s="57">
        <v>0</v>
      </c>
      <c r="AB21" s="57" t="str">
        <f>IF(TRIM(Z21)="Unit Replace",IF(OR(K21=0,AND(K21&gt;16,AA21&lt;50%)),"Prioritas 1","Prioritas 2"),"")</f>
        <v>Prioritas 1</v>
      </c>
      <c r="AC21" s="21">
        <v>0</v>
      </c>
      <c r="AD21" s="21">
        <v>0</v>
      </c>
      <c r="AE21" s="56">
        <f>AD21-AC21</f>
        <v>0</v>
      </c>
      <c r="AF21" s="21"/>
      <c r="AG21" s="21"/>
      <c r="AH21" s="20" t="s">
        <v>372</v>
      </c>
      <c r="AI21" s="61"/>
      <c r="AJ21" s="9"/>
    </row>
    <row r="22" spans="1:36" ht="13.95" customHeight="1" x14ac:dyDescent="0.3">
      <c r="A22" s="34">
        <f>A21+1</f>
        <v>20</v>
      </c>
      <c r="B22" s="43"/>
      <c r="C22" s="37">
        <v>46148</v>
      </c>
      <c r="D22" s="36" t="s">
        <v>371</v>
      </c>
      <c r="E22" s="36" t="s">
        <v>6</v>
      </c>
      <c r="F22" s="36" t="s">
        <v>26</v>
      </c>
      <c r="G22" s="36" t="s">
        <v>4</v>
      </c>
      <c r="H22" s="36">
        <v>2006</v>
      </c>
      <c r="I22" s="36" t="s">
        <v>77</v>
      </c>
      <c r="J22" s="30" t="s">
        <v>367</v>
      </c>
      <c r="K22" s="29">
        <v>22.3</v>
      </c>
      <c r="L22" s="29">
        <v>64.7</v>
      </c>
      <c r="M22" s="29">
        <v>14.2</v>
      </c>
      <c r="N22" s="29">
        <v>81.7</v>
      </c>
      <c r="O22" s="58">
        <f>K22-M22</f>
        <v>8.1000000000000014</v>
      </c>
      <c r="P22" s="27">
        <v>29.207110507481396</v>
      </c>
      <c r="Q22" s="27">
        <v>22.756004592384137</v>
      </c>
      <c r="R22" s="27">
        <v>6.4511059150972585</v>
      </c>
      <c r="S22" s="27">
        <v>1.1200000000000001</v>
      </c>
      <c r="T22" s="27">
        <v>0.35</v>
      </c>
      <c r="U22" s="66">
        <v>1371.192</v>
      </c>
      <c r="V22" s="26">
        <v>830.6009600000001</v>
      </c>
      <c r="W22" s="66">
        <v>47000</v>
      </c>
      <c r="X22" s="26">
        <v>24112.32644763658</v>
      </c>
      <c r="Y22" s="66">
        <v>22887.67355236342</v>
      </c>
      <c r="Z22" s="53" t="s">
        <v>9</v>
      </c>
      <c r="AA22" s="57">
        <v>0.51302822229014</v>
      </c>
      <c r="AB22" s="57" t="str">
        <f>IF(TRIM(Z22)="Unit Replace",IF(OR(K22=0,AND(K22&gt;16,AA22&lt;50%)),"Prioritas 1","Prioritas 2"),"")</f>
        <v>Prioritas 2</v>
      </c>
      <c r="AC22" s="21">
        <v>8.9</v>
      </c>
      <c r="AD22" s="21">
        <v>13.5</v>
      </c>
      <c r="AE22" s="56">
        <f>AD22-AC22</f>
        <v>4.5999999999999996</v>
      </c>
      <c r="AF22" s="21"/>
      <c r="AG22" s="21"/>
      <c r="AH22" s="20" t="s">
        <v>370</v>
      </c>
      <c r="AI22" s="61"/>
      <c r="AJ22" s="9"/>
    </row>
    <row r="23" spans="1:36" ht="13.95" customHeight="1" x14ac:dyDescent="0.3">
      <c r="A23" s="34">
        <f>A22+1</f>
        <v>21</v>
      </c>
      <c r="B23" s="43"/>
      <c r="C23" s="37">
        <v>46148</v>
      </c>
      <c r="D23" s="36" t="s">
        <v>369</v>
      </c>
      <c r="E23" s="36" t="s">
        <v>6</v>
      </c>
      <c r="F23" s="36" t="s">
        <v>26</v>
      </c>
      <c r="G23" s="36" t="s">
        <v>4</v>
      </c>
      <c r="H23" s="36">
        <v>2008</v>
      </c>
      <c r="I23" s="36" t="s">
        <v>34</v>
      </c>
      <c r="J23" s="30" t="s">
        <v>367</v>
      </c>
      <c r="K23" s="29">
        <v>24.2</v>
      </c>
      <c r="L23" s="29">
        <v>71.2</v>
      </c>
      <c r="M23" s="29">
        <v>16.899999999999999</v>
      </c>
      <c r="N23" s="29">
        <v>88.2</v>
      </c>
      <c r="O23" s="58">
        <f>K23-M23</f>
        <v>7.3000000000000007</v>
      </c>
      <c r="P23" s="27">
        <v>32.89438107139658</v>
      </c>
      <c r="Q23" s="27">
        <v>26.523900659535951</v>
      </c>
      <c r="R23" s="27">
        <v>6.3704804118606297</v>
      </c>
      <c r="S23" s="27">
        <v>1.1200000000000001</v>
      </c>
      <c r="T23" s="27">
        <v>0.35</v>
      </c>
      <c r="U23" s="66">
        <v>1135.5919999999999</v>
      </c>
      <c r="V23" s="26">
        <v>830.6009600000001</v>
      </c>
      <c r="W23" s="66">
        <v>37000</v>
      </c>
      <c r="X23" s="26">
        <v>23810.972155886855</v>
      </c>
      <c r="Y23" s="66">
        <v>13189.027844113145</v>
      </c>
      <c r="Z23" s="53" t="s">
        <v>9</v>
      </c>
      <c r="AA23" s="57">
        <v>0.643539787996942</v>
      </c>
      <c r="AB23" s="57" t="str">
        <f>IF(TRIM(Z23)="Unit Replace",IF(OR(K23=0,AND(K23&gt;16,AA23&lt;50%)),"Prioritas 1","Prioritas 2"),"")</f>
        <v>Prioritas 2</v>
      </c>
      <c r="AC23" s="21">
        <v>9.6</v>
      </c>
      <c r="AD23" s="21">
        <v>15.6</v>
      </c>
      <c r="AE23" s="56">
        <f>AD23-AC23</f>
        <v>6</v>
      </c>
      <c r="AF23" s="21"/>
      <c r="AG23" s="21"/>
      <c r="AH23" s="20" t="s">
        <v>219</v>
      </c>
      <c r="AI23" s="61"/>
      <c r="AJ23" s="9"/>
    </row>
    <row r="24" spans="1:36" ht="13.95" customHeight="1" x14ac:dyDescent="0.3">
      <c r="A24" s="34">
        <f>A23+1</f>
        <v>22</v>
      </c>
      <c r="B24" s="43"/>
      <c r="C24" s="37">
        <v>46148</v>
      </c>
      <c r="D24" s="36" t="s">
        <v>368</v>
      </c>
      <c r="E24" s="36" t="s">
        <v>6</v>
      </c>
      <c r="F24" s="36" t="s">
        <v>26</v>
      </c>
      <c r="G24" s="36" t="s">
        <v>25</v>
      </c>
      <c r="H24" s="36">
        <v>2008</v>
      </c>
      <c r="I24" s="36" t="s">
        <v>53</v>
      </c>
      <c r="J24" s="30" t="s">
        <v>367</v>
      </c>
      <c r="K24" s="29">
        <v>21.1</v>
      </c>
      <c r="L24" s="29">
        <v>72</v>
      </c>
      <c r="M24" s="29">
        <v>15.1</v>
      </c>
      <c r="N24" s="29">
        <v>79.900000000000006</v>
      </c>
      <c r="O24" s="58">
        <f>K24-M24</f>
        <v>6.0000000000000018</v>
      </c>
      <c r="P24" s="27">
        <v>29.091593765154592</v>
      </c>
      <c r="Q24" s="27">
        <v>23.481564235294677</v>
      </c>
      <c r="R24" s="27">
        <v>5.610029529859915</v>
      </c>
      <c r="S24" s="27">
        <v>1.4</v>
      </c>
      <c r="T24" s="27">
        <v>0.315</v>
      </c>
      <c r="U24" s="66">
        <v>1333.3333333333333</v>
      </c>
      <c r="V24" s="26">
        <v>934.42607999999996</v>
      </c>
      <c r="W24" s="66">
        <v>40000</v>
      </c>
      <c r="X24" s="26">
        <v>23589.710560220592</v>
      </c>
      <c r="Y24" s="66">
        <v>16410.289439779408</v>
      </c>
      <c r="Z24" s="53" t="s">
        <v>9</v>
      </c>
      <c r="AA24" s="57">
        <v>0.58974276400551484</v>
      </c>
      <c r="AB24" s="57" t="str">
        <f>IF(TRIM(Z24)="Unit Replace",IF(OR(K24=0,AND(K24&gt;16,AA24&lt;50%)),"Prioritas 1","Prioritas 2"),"")</f>
        <v>Prioritas 2</v>
      </c>
      <c r="AC24" s="21">
        <v>8.9</v>
      </c>
      <c r="AD24" s="21">
        <v>13.5</v>
      </c>
      <c r="AE24" s="56">
        <f>AD24-AC24</f>
        <v>4.5999999999999996</v>
      </c>
      <c r="AF24" s="21"/>
      <c r="AG24" s="21"/>
      <c r="AH24" s="20" t="s">
        <v>343</v>
      </c>
      <c r="AI24" s="61"/>
      <c r="AJ24" s="9"/>
    </row>
    <row r="25" spans="1:36" ht="13.95" customHeight="1" x14ac:dyDescent="0.3">
      <c r="A25" s="34">
        <f>A24+1</f>
        <v>23</v>
      </c>
      <c r="B25" s="43"/>
      <c r="C25" s="37">
        <v>46148</v>
      </c>
      <c r="D25" s="36" t="s">
        <v>366</v>
      </c>
      <c r="E25" s="36" t="s">
        <v>6</v>
      </c>
      <c r="F25" s="36" t="s">
        <v>116</v>
      </c>
      <c r="G25" s="36" t="s">
        <v>4</v>
      </c>
      <c r="H25" s="36">
        <v>2006</v>
      </c>
      <c r="I25" s="36" t="s">
        <v>3</v>
      </c>
      <c r="J25" s="30" t="s">
        <v>363</v>
      </c>
      <c r="K25" s="29">
        <v>24.2</v>
      </c>
      <c r="L25" s="29">
        <v>62.9</v>
      </c>
      <c r="M25" s="29">
        <v>14.2</v>
      </c>
      <c r="N25" s="29">
        <v>86.9</v>
      </c>
      <c r="O25" s="58">
        <f>K25-M25</f>
        <v>10</v>
      </c>
      <c r="P25" s="27">
        <v>31.140893863489104</v>
      </c>
      <c r="Q25" s="27">
        <v>23.333130833277455</v>
      </c>
      <c r="R25" s="27">
        <v>7.8077630302116496</v>
      </c>
      <c r="S25" s="27">
        <v>1.0900000000000001</v>
      </c>
      <c r="T25" s="27">
        <v>0.4</v>
      </c>
      <c r="U25" s="66">
        <v>1900</v>
      </c>
      <c r="V25" s="26">
        <v>923.83168000000012</v>
      </c>
      <c r="W25" s="66">
        <v>57000</v>
      </c>
      <c r="X25" s="26">
        <v>32458.764767590437</v>
      </c>
      <c r="Y25" s="66">
        <v>24541.235232409563</v>
      </c>
      <c r="Z25" s="53" t="s">
        <v>9</v>
      </c>
      <c r="AA25" s="57">
        <v>0.56945201346649887</v>
      </c>
      <c r="AB25" s="57" t="str">
        <f>IF(TRIM(Z25)="Unit Replace",IF(OR(K25=0,AND(K25&gt;16,AA25&lt;50%)),"Prioritas 1","Prioritas 2"),"")</f>
        <v>Prioritas 2</v>
      </c>
      <c r="AC25" s="21">
        <v>8.9</v>
      </c>
      <c r="AD25" s="21">
        <v>13.2</v>
      </c>
      <c r="AE25" s="56">
        <f>AD25-AC25</f>
        <v>4.2999999999999989</v>
      </c>
      <c r="AF25" s="21"/>
      <c r="AG25" s="21"/>
      <c r="AH25" s="20" t="s">
        <v>365</v>
      </c>
      <c r="AI25" s="61"/>
      <c r="AJ25" s="9"/>
    </row>
    <row r="26" spans="1:36" ht="13.95" customHeight="1" x14ac:dyDescent="0.3">
      <c r="A26" s="34">
        <f>A25+1</f>
        <v>24</v>
      </c>
      <c r="B26" s="43"/>
      <c r="C26" s="37">
        <v>46148</v>
      </c>
      <c r="D26" s="36" t="s">
        <v>364</v>
      </c>
      <c r="E26" s="36" t="s">
        <v>6</v>
      </c>
      <c r="F26" s="36" t="s">
        <v>116</v>
      </c>
      <c r="G26" s="36" t="s">
        <v>25</v>
      </c>
      <c r="H26" s="36">
        <v>2005</v>
      </c>
      <c r="I26" s="36" t="s">
        <v>24</v>
      </c>
      <c r="J26" s="30" t="s">
        <v>363</v>
      </c>
      <c r="K26" s="29">
        <v>29.3</v>
      </c>
      <c r="L26" s="29">
        <v>50.2</v>
      </c>
      <c r="M26" s="29">
        <v>20.8</v>
      </c>
      <c r="N26" s="29">
        <v>76.2</v>
      </c>
      <c r="O26" s="58">
        <f>K26-M26</f>
        <v>8.5</v>
      </c>
      <c r="P26" s="27">
        <v>34.419724805339911</v>
      </c>
      <c r="Q26" s="27">
        <v>29.447800409517903</v>
      </c>
      <c r="R26" s="27">
        <v>4.9719243958220076</v>
      </c>
      <c r="S26" s="27">
        <v>1.56</v>
      </c>
      <c r="T26" s="27">
        <v>0.47249999999999998</v>
      </c>
      <c r="U26" s="66">
        <v>3380</v>
      </c>
      <c r="V26" s="26">
        <v>1561.826448</v>
      </c>
      <c r="W26" s="66">
        <v>60000</v>
      </c>
      <c r="X26" s="26">
        <v>34943.773584830546</v>
      </c>
      <c r="Y26" s="66">
        <v>25056.226415169454</v>
      </c>
      <c r="Z26" s="53" t="s">
        <v>9</v>
      </c>
      <c r="AA26" s="57">
        <v>0.58239622641384248</v>
      </c>
      <c r="AB26" s="57" t="str">
        <f>IF(TRIM(Z26)="Unit Replace",IF(OR(K26=0,AND(K26&gt;16,AA26&lt;50%)),"Prioritas 1","Prioritas 2"),"")</f>
        <v>Prioritas 2</v>
      </c>
      <c r="AC26" s="21">
        <v>14.5</v>
      </c>
      <c r="AD26" s="21">
        <v>18.3</v>
      </c>
      <c r="AE26" s="56">
        <f>AD26-AC26</f>
        <v>3.8000000000000007</v>
      </c>
      <c r="AF26" s="21"/>
      <c r="AG26" s="21"/>
      <c r="AH26" s="20" t="s">
        <v>362</v>
      </c>
      <c r="AI26" s="61"/>
      <c r="AJ26" s="9"/>
    </row>
    <row r="27" spans="1:36" ht="13.95" customHeight="1" x14ac:dyDescent="0.3">
      <c r="A27" s="34">
        <f>A26+1</f>
        <v>25</v>
      </c>
      <c r="B27" s="43"/>
      <c r="C27" s="41">
        <v>46148</v>
      </c>
      <c r="D27" s="40" t="s">
        <v>361</v>
      </c>
      <c r="E27" s="40" t="s">
        <v>6</v>
      </c>
      <c r="F27" s="40" t="s">
        <v>75</v>
      </c>
      <c r="G27" s="40" t="s">
        <v>20</v>
      </c>
      <c r="H27" s="40">
        <v>2025</v>
      </c>
      <c r="I27" s="40" t="s">
        <v>205</v>
      </c>
      <c r="J27" s="30" t="s">
        <v>356</v>
      </c>
      <c r="K27" s="29">
        <v>0</v>
      </c>
      <c r="L27" s="29">
        <v>0</v>
      </c>
      <c r="M27" s="29">
        <v>0</v>
      </c>
      <c r="N27" s="29">
        <v>0</v>
      </c>
      <c r="O27" s="58">
        <f>K27-M27</f>
        <v>0</v>
      </c>
      <c r="P27" s="27">
        <v>0</v>
      </c>
      <c r="Q27" s="27">
        <v>0</v>
      </c>
      <c r="R27" s="27">
        <v>0</v>
      </c>
      <c r="S27" s="27">
        <v>0</v>
      </c>
      <c r="T27" s="27">
        <v>0</v>
      </c>
      <c r="U27" s="66">
        <v>1703.3333333333333</v>
      </c>
      <c r="V27" s="26">
        <v>0</v>
      </c>
      <c r="W27" s="66">
        <v>51100</v>
      </c>
      <c r="X27" s="26">
        <v>0</v>
      </c>
      <c r="Y27" s="66">
        <v>51100</v>
      </c>
      <c r="Z27" s="39" t="s">
        <v>17</v>
      </c>
      <c r="AA27" s="57">
        <v>0</v>
      </c>
      <c r="AB27" s="57" t="str">
        <f>IF(TRIM(Z27)="Unit Replace",IF(OR(K27=0,AND(K27&gt;16,AA27&lt;50%)),"Prioritas 1","Prioritas 2"),"")</f>
        <v/>
      </c>
      <c r="AC27" s="21">
        <v>0</v>
      </c>
      <c r="AD27" s="21">
        <v>0</v>
      </c>
      <c r="AE27" s="56">
        <f>AD27-AC27</f>
        <v>0</v>
      </c>
      <c r="AF27" s="21"/>
      <c r="AG27" s="21"/>
      <c r="AH27" s="20" t="s">
        <v>360</v>
      </c>
      <c r="AI27" s="61"/>
      <c r="AJ27" s="9"/>
    </row>
    <row r="28" spans="1:36" ht="13.95" customHeight="1" x14ac:dyDescent="0.3">
      <c r="A28" s="34">
        <f>A27+1</f>
        <v>26</v>
      </c>
      <c r="B28" s="43"/>
      <c r="C28" s="41">
        <v>46148</v>
      </c>
      <c r="D28" s="40" t="s">
        <v>359</v>
      </c>
      <c r="E28" s="40" t="s">
        <v>6</v>
      </c>
      <c r="F28" s="40" t="s">
        <v>75</v>
      </c>
      <c r="G28" s="40" t="s">
        <v>20</v>
      </c>
      <c r="H28" s="40">
        <v>2025</v>
      </c>
      <c r="I28" s="40" t="s">
        <v>19</v>
      </c>
      <c r="J28" s="30" t="s">
        <v>356</v>
      </c>
      <c r="K28" s="29">
        <v>21.1</v>
      </c>
      <c r="L28" s="29">
        <v>67.2</v>
      </c>
      <c r="M28" s="29">
        <v>14.6</v>
      </c>
      <c r="N28" s="29">
        <v>84</v>
      </c>
      <c r="O28" s="58">
        <f>K28-M28</f>
        <v>6.5000000000000018</v>
      </c>
      <c r="P28" s="27">
        <v>28.258000557929861</v>
      </c>
      <c r="Q28" s="27">
        <v>23.431170840862126</v>
      </c>
      <c r="R28" s="27">
        <v>4.826829717067735</v>
      </c>
      <c r="S28" s="27">
        <v>2.42</v>
      </c>
      <c r="T28" s="27">
        <v>0.5</v>
      </c>
      <c r="U28" s="66">
        <v>2600</v>
      </c>
      <c r="V28" s="26">
        <v>2563.8447999999999</v>
      </c>
      <c r="W28" s="66">
        <v>60000</v>
      </c>
      <c r="X28" s="26">
        <v>55688.590217653131</v>
      </c>
      <c r="Y28" s="66">
        <v>4311.4097823468692</v>
      </c>
      <c r="Z28" s="39" t="s">
        <v>17</v>
      </c>
      <c r="AA28" s="57">
        <v>0.92814317029421889</v>
      </c>
      <c r="AB28" s="57" t="str">
        <f>IF(TRIM(Z28)="Unit Replace",IF(OR(K28=0,AND(K28&gt;16,AA28&lt;50%)),"Prioritas 1","Prioritas 2"),"")</f>
        <v/>
      </c>
      <c r="AC28" s="21">
        <v>8.8000000000000007</v>
      </c>
      <c r="AD28" s="21">
        <v>13.8</v>
      </c>
      <c r="AE28" s="56">
        <f>AD28-AC28</f>
        <v>5</v>
      </c>
      <c r="AF28" s="21"/>
      <c r="AG28" s="21"/>
      <c r="AH28" s="20" t="s">
        <v>339</v>
      </c>
      <c r="AI28" s="61"/>
      <c r="AJ28" s="9"/>
    </row>
    <row r="29" spans="1:36" ht="13.95" customHeight="1" x14ac:dyDescent="0.3">
      <c r="A29" s="34">
        <f>A28+1</f>
        <v>27</v>
      </c>
      <c r="B29" s="43"/>
      <c r="C29" s="41">
        <v>46148</v>
      </c>
      <c r="D29" s="40" t="s">
        <v>358</v>
      </c>
      <c r="E29" s="40" t="s">
        <v>6</v>
      </c>
      <c r="F29" s="40" t="s">
        <v>75</v>
      </c>
      <c r="G29" s="40" t="s">
        <v>20</v>
      </c>
      <c r="H29" s="40">
        <v>2025</v>
      </c>
      <c r="I29" s="40" t="s">
        <v>205</v>
      </c>
      <c r="J29" s="30" t="s">
        <v>356</v>
      </c>
      <c r="K29" s="29">
        <v>0</v>
      </c>
      <c r="L29" s="29">
        <v>0</v>
      </c>
      <c r="M29" s="29">
        <v>0</v>
      </c>
      <c r="N29" s="29">
        <v>0</v>
      </c>
      <c r="O29" s="58">
        <f>K29-M29</f>
        <v>0</v>
      </c>
      <c r="P29" s="27">
        <v>0</v>
      </c>
      <c r="Q29" s="27">
        <v>0</v>
      </c>
      <c r="R29" s="27">
        <v>0</v>
      </c>
      <c r="S29" s="27">
        <v>0</v>
      </c>
      <c r="T29" s="27">
        <v>0</v>
      </c>
      <c r="U29" s="66">
        <v>1703.3333333333333</v>
      </c>
      <c r="V29" s="26">
        <v>0</v>
      </c>
      <c r="W29" s="66">
        <v>51100</v>
      </c>
      <c r="X29" s="26">
        <v>0</v>
      </c>
      <c r="Y29" s="66">
        <v>51100</v>
      </c>
      <c r="Z29" s="39" t="s">
        <v>17</v>
      </c>
      <c r="AA29" s="57">
        <v>0</v>
      </c>
      <c r="AB29" s="57" t="str">
        <f>IF(TRIM(Z29)="Unit Replace",IF(OR(K29=0,AND(K29&gt;16,AA29&lt;50%)),"Prioritas 1","Prioritas 2"),"")</f>
        <v/>
      </c>
      <c r="AC29" s="21">
        <v>0</v>
      </c>
      <c r="AD29" s="21">
        <v>0</v>
      </c>
      <c r="AE29" s="56">
        <f>AD29-AC29</f>
        <v>0</v>
      </c>
      <c r="AF29" s="21"/>
      <c r="AG29" s="21"/>
      <c r="AH29" s="20" t="s">
        <v>339</v>
      </c>
      <c r="AI29" s="61"/>
      <c r="AJ29" s="9"/>
    </row>
    <row r="30" spans="1:36" ht="13.95" customHeight="1" x14ac:dyDescent="0.3">
      <c r="A30" s="34">
        <f>A29+1</f>
        <v>28</v>
      </c>
      <c r="B30" s="43"/>
      <c r="C30" s="41">
        <v>46148</v>
      </c>
      <c r="D30" s="40" t="s">
        <v>357</v>
      </c>
      <c r="E30" s="40" t="s">
        <v>6</v>
      </c>
      <c r="F30" s="40" t="s">
        <v>75</v>
      </c>
      <c r="G30" s="40" t="s">
        <v>20</v>
      </c>
      <c r="H30" s="40">
        <v>2025</v>
      </c>
      <c r="I30" s="40" t="s">
        <v>205</v>
      </c>
      <c r="J30" s="30" t="s">
        <v>356</v>
      </c>
      <c r="K30" s="29">
        <v>21.5</v>
      </c>
      <c r="L30" s="29">
        <v>67.900000000000006</v>
      </c>
      <c r="M30" s="29">
        <v>14.4</v>
      </c>
      <c r="N30" s="29">
        <v>87.5</v>
      </c>
      <c r="O30" s="58">
        <f>K30-M30</f>
        <v>7.1</v>
      </c>
      <c r="P30" s="27">
        <v>28.848215424959168</v>
      </c>
      <c r="Q30" s="27">
        <v>23.614326197553748</v>
      </c>
      <c r="R30" s="27">
        <v>5.2338892274054203</v>
      </c>
      <c r="S30" s="27">
        <v>2.2999999999999998</v>
      </c>
      <c r="T30" s="27">
        <v>0.42499999999999999</v>
      </c>
      <c r="U30" s="66">
        <v>1703.3333333333333</v>
      </c>
      <c r="V30" s="26">
        <v>2071.2051999999999</v>
      </c>
      <c r="W30" s="66">
        <v>51100</v>
      </c>
      <c r="X30" s="26">
        <v>48782.063628117401</v>
      </c>
      <c r="Y30" s="66">
        <v>2317.9363718825989</v>
      </c>
      <c r="Z30" s="39" t="s">
        <v>17</v>
      </c>
      <c r="AA30" s="57">
        <v>0.95463920994358908</v>
      </c>
      <c r="AB30" s="57" t="str">
        <f>IF(TRIM(Z30)="Unit Replace",IF(OR(K30=0,AND(K30&gt;16,AA30&lt;50%)),"Prioritas 1","Prioritas 2"),"")</f>
        <v/>
      </c>
      <c r="AC30" s="21">
        <v>8.9</v>
      </c>
      <c r="AD30" s="21">
        <v>13.8</v>
      </c>
      <c r="AE30" s="56">
        <f>AD30-AC30</f>
        <v>4.9000000000000004</v>
      </c>
      <c r="AF30" s="21"/>
      <c r="AG30" s="21"/>
      <c r="AH30" s="20" t="s">
        <v>339</v>
      </c>
      <c r="AI30" s="61"/>
      <c r="AJ30" s="9"/>
    </row>
    <row r="31" spans="1:36" ht="13.95" customHeight="1" x14ac:dyDescent="0.3">
      <c r="A31" s="34">
        <f>A30+1</f>
        <v>29</v>
      </c>
      <c r="B31" s="42" t="s">
        <v>355</v>
      </c>
      <c r="C31" s="41">
        <v>46149</v>
      </c>
      <c r="D31" s="40" t="s">
        <v>354</v>
      </c>
      <c r="E31" s="40" t="s">
        <v>6</v>
      </c>
      <c r="F31" s="40" t="s">
        <v>116</v>
      </c>
      <c r="G31" s="40" t="s">
        <v>14</v>
      </c>
      <c r="H31" s="40">
        <v>2023</v>
      </c>
      <c r="I31" s="40" t="s">
        <v>353</v>
      </c>
      <c r="J31" s="30" t="s">
        <v>332</v>
      </c>
      <c r="K31" s="29">
        <v>21.2</v>
      </c>
      <c r="L31" s="29">
        <v>71.5</v>
      </c>
      <c r="M31" s="29">
        <v>15.5</v>
      </c>
      <c r="N31" s="29">
        <v>81</v>
      </c>
      <c r="O31" s="58">
        <f>K31-M31</f>
        <v>5.6999999999999993</v>
      </c>
      <c r="P31" s="27">
        <v>29.125264654760961</v>
      </c>
      <c r="Q31" s="27">
        <v>24.035044054095785</v>
      </c>
      <c r="R31" s="27">
        <v>5.0902206006651767</v>
      </c>
      <c r="S31" s="27">
        <v>2.3199999999999998</v>
      </c>
      <c r="T31" s="27">
        <v>0.48</v>
      </c>
      <c r="U31" s="66">
        <v>2500</v>
      </c>
      <c r="V31" s="26">
        <v>2359.5847680000002</v>
      </c>
      <c r="W31" s="66">
        <v>60000</v>
      </c>
      <c r="X31" s="26">
        <v>54048.631477902134</v>
      </c>
      <c r="Y31" s="66">
        <v>5951.3685220978659</v>
      </c>
      <c r="Z31" s="39" t="s">
        <v>17</v>
      </c>
      <c r="AA31" s="57">
        <v>0.90081052463170219</v>
      </c>
      <c r="AB31" s="57" t="str">
        <f>IF(TRIM(Z31)="Unit Replace",IF(OR(K31=0,AND(K31&gt;16,AA31&lt;50%)),"Prioritas 1","Prioritas 2"),"")</f>
        <v/>
      </c>
      <c r="AC31" s="21">
        <v>8.9</v>
      </c>
      <c r="AD31" s="21">
        <v>13.9</v>
      </c>
      <c r="AE31" s="56">
        <f>AD31-AC31</f>
        <v>5</v>
      </c>
      <c r="AF31" s="21"/>
      <c r="AG31" s="21"/>
      <c r="AH31" s="20"/>
      <c r="AI31" s="61"/>
      <c r="AJ31" s="9"/>
    </row>
    <row r="32" spans="1:36" ht="13.95" customHeight="1" x14ac:dyDescent="0.3">
      <c r="A32" s="34">
        <f>A31+1</f>
        <v>30</v>
      </c>
      <c r="B32" s="38"/>
      <c r="C32" s="41">
        <v>46149</v>
      </c>
      <c r="D32" s="40" t="s">
        <v>352</v>
      </c>
      <c r="E32" s="40" t="s">
        <v>6</v>
      </c>
      <c r="F32" s="40" t="s">
        <v>116</v>
      </c>
      <c r="G32" s="40" t="s">
        <v>14</v>
      </c>
      <c r="H32" s="40">
        <v>2023</v>
      </c>
      <c r="I32" s="40" t="s">
        <v>347</v>
      </c>
      <c r="J32" s="30" t="s">
        <v>332</v>
      </c>
      <c r="K32" s="29">
        <v>22.4</v>
      </c>
      <c r="L32" s="29">
        <v>67.400000000000006</v>
      </c>
      <c r="M32" s="29">
        <v>16</v>
      </c>
      <c r="N32" s="29">
        <v>84.1</v>
      </c>
      <c r="O32" s="58">
        <f>K32-M32</f>
        <v>6.3999999999999986</v>
      </c>
      <c r="P32" s="27">
        <v>29.833589725902787</v>
      </c>
      <c r="Q32" s="27">
        <v>24.961287684099673</v>
      </c>
      <c r="R32" s="27">
        <v>4.8723020418031133</v>
      </c>
      <c r="S32" s="27">
        <v>2.35</v>
      </c>
      <c r="T32" s="27">
        <v>0.48</v>
      </c>
      <c r="U32" s="66">
        <v>2500</v>
      </c>
      <c r="V32" s="26">
        <v>2390.0966399999998</v>
      </c>
      <c r="W32" s="66">
        <v>60000</v>
      </c>
      <c r="X32" s="26">
        <v>52403.727326304412</v>
      </c>
      <c r="Y32" s="66">
        <v>7596.2726736955883</v>
      </c>
      <c r="Z32" s="39" t="s">
        <v>17</v>
      </c>
      <c r="AA32" s="57">
        <v>0.87339545543840691</v>
      </c>
      <c r="AB32" s="57" t="str">
        <f>IF(TRIM(Z32)="Unit Replace",IF(OR(K32=0,AND(K32&gt;16,AA32&lt;50%)),"Prioritas 1","Prioritas 2"),"")</f>
        <v/>
      </c>
      <c r="AC32" s="21">
        <v>9.6</v>
      </c>
      <c r="AD32" s="21">
        <v>14.7</v>
      </c>
      <c r="AE32" s="56">
        <f>AD32-AC32</f>
        <v>5.0999999999999996</v>
      </c>
      <c r="AF32" s="21"/>
      <c r="AG32" s="21"/>
      <c r="AH32" s="20"/>
      <c r="AI32" s="61"/>
      <c r="AJ32" s="9"/>
    </row>
    <row r="33" spans="1:36" ht="13.95" customHeight="1" x14ac:dyDescent="0.3">
      <c r="A33" s="34">
        <f>A32+1</f>
        <v>31</v>
      </c>
      <c r="B33" s="38"/>
      <c r="C33" s="41">
        <v>46149</v>
      </c>
      <c r="D33" s="40" t="s">
        <v>351</v>
      </c>
      <c r="E33" s="40" t="s">
        <v>6</v>
      </c>
      <c r="F33" s="40" t="s">
        <v>116</v>
      </c>
      <c r="G33" s="40" t="s">
        <v>25</v>
      </c>
      <c r="H33" s="40">
        <v>2022</v>
      </c>
      <c r="I33" s="40" t="s">
        <v>24</v>
      </c>
      <c r="J33" s="30" t="s">
        <v>332</v>
      </c>
      <c r="K33" s="29">
        <v>24.7</v>
      </c>
      <c r="L33" s="29">
        <v>72.2</v>
      </c>
      <c r="M33" s="29">
        <v>17.8</v>
      </c>
      <c r="N33" s="29">
        <v>90.5</v>
      </c>
      <c r="O33" s="58">
        <f>K33-M33</f>
        <v>6.8999999999999986</v>
      </c>
      <c r="P33" s="27">
        <v>33.792725877845086</v>
      </c>
      <c r="Q33" s="27">
        <v>27.933640295932285</v>
      </c>
      <c r="R33" s="27">
        <v>5.8590855819128009</v>
      </c>
      <c r="S33" s="27">
        <v>2.2000000000000002</v>
      </c>
      <c r="T33" s="27">
        <v>0.45499999999999996</v>
      </c>
      <c r="U33" s="66">
        <v>3380</v>
      </c>
      <c r="V33" s="26">
        <v>2120.9988800000001</v>
      </c>
      <c r="W33" s="66">
        <v>60000</v>
      </c>
      <c r="X33" s="26">
        <v>55922.012806775398</v>
      </c>
      <c r="Y33" s="66">
        <v>4077.9871932246024</v>
      </c>
      <c r="Z33" s="39" t="s">
        <v>17</v>
      </c>
      <c r="AA33" s="57">
        <v>0.93203354677958994</v>
      </c>
      <c r="AB33" s="57" t="str">
        <f>IF(TRIM(Z33)="Unit Replace",IF(OR(K33=0,AND(K33&gt;16,AA33&lt;50%)),"Prioritas 1","Prioritas 2"),"")</f>
        <v/>
      </c>
      <c r="AC33" s="21">
        <v>9.3000000000000007</v>
      </c>
      <c r="AD33" s="21">
        <v>15.5</v>
      </c>
      <c r="AE33" s="56">
        <f>AD33-AC33</f>
        <v>6.1999999999999993</v>
      </c>
      <c r="AF33" s="21"/>
      <c r="AG33" s="21"/>
      <c r="AH33" s="20" t="s">
        <v>350</v>
      </c>
      <c r="AI33" s="61"/>
      <c r="AJ33" s="9"/>
    </row>
    <row r="34" spans="1:36" ht="13.95" customHeight="1" x14ac:dyDescent="0.3">
      <c r="A34" s="34">
        <f>A33+1</f>
        <v>32</v>
      </c>
      <c r="B34" s="38"/>
      <c r="C34" s="37">
        <v>46149</v>
      </c>
      <c r="D34" s="36" t="s">
        <v>349</v>
      </c>
      <c r="E34" s="36" t="s">
        <v>6</v>
      </c>
      <c r="F34" s="36" t="s">
        <v>116</v>
      </c>
      <c r="G34" s="36" t="s">
        <v>25</v>
      </c>
      <c r="H34" s="36">
        <v>2022</v>
      </c>
      <c r="I34" s="36" t="s">
        <v>24</v>
      </c>
      <c r="J34" s="30" t="s">
        <v>332</v>
      </c>
      <c r="K34" s="29">
        <v>23.1</v>
      </c>
      <c r="L34" s="29">
        <v>67.8</v>
      </c>
      <c r="M34" s="29">
        <v>16.3</v>
      </c>
      <c r="N34" s="29">
        <v>85.9</v>
      </c>
      <c r="O34" s="58">
        <f>K34-M34</f>
        <v>6.8000000000000007</v>
      </c>
      <c r="P34" s="27">
        <v>30.772521127886929</v>
      </c>
      <c r="Q34" s="27">
        <v>25.526674099150377</v>
      </c>
      <c r="R34" s="27">
        <v>5.2458470287365522</v>
      </c>
      <c r="S34" s="27">
        <v>1.05</v>
      </c>
      <c r="T34" s="27">
        <v>0.45499999999999996</v>
      </c>
      <c r="U34" s="66">
        <v>3380</v>
      </c>
      <c r="V34" s="26">
        <v>1012.2949199999999</v>
      </c>
      <c r="W34" s="66">
        <v>60000</v>
      </c>
      <c r="X34" s="26">
        <v>23896.549342291972</v>
      </c>
      <c r="Y34" s="66">
        <v>36103.450657708032</v>
      </c>
      <c r="Z34" s="53" t="s">
        <v>9</v>
      </c>
      <c r="AA34" s="57">
        <v>0.39827582237153286</v>
      </c>
      <c r="AB34" s="57" t="str">
        <f>IF(TRIM(Z34)="Unit Replace",IF(OR(K34=0,AND(K34&gt;16,AA34&lt;50%)),"Prioritas 1","Prioritas 2"),"")</f>
        <v>Prioritas 1</v>
      </c>
      <c r="AC34" s="21">
        <v>9.3000000000000007</v>
      </c>
      <c r="AD34" s="21">
        <v>14.6</v>
      </c>
      <c r="AE34" s="56">
        <f>AD34-AC34</f>
        <v>5.2999999999999989</v>
      </c>
      <c r="AF34" s="21"/>
      <c r="AG34" s="21"/>
      <c r="AH34" s="20" t="s">
        <v>335</v>
      </c>
      <c r="AI34" s="61"/>
      <c r="AJ34" s="9"/>
    </row>
    <row r="35" spans="1:36" ht="13.95" customHeight="1" x14ac:dyDescent="0.3">
      <c r="A35" s="34">
        <f>A34+1</f>
        <v>33</v>
      </c>
      <c r="B35" s="38"/>
      <c r="C35" s="41">
        <v>46149</v>
      </c>
      <c r="D35" s="40" t="s">
        <v>348</v>
      </c>
      <c r="E35" s="40" t="s">
        <v>6</v>
      </c>
      <c r="F35" s="40" t="s">
        <v>116</v>
      </c>
      <c r="G35" s="40" t="s">
        <v>14</v>
      </c>
      <c r="H35" s="40">
        <v>2023</v>
      </c>
      <c r="I35" s="40" t="s">
        <v>347</v>
      </c>
      <c r="J35" s="30" t="s">
        <v>332</v>
      </c>
      <c r="K35" s="29">
        <v>24.2</v>
      </c>
      <c r="L35" s="29">
        <v>76.7</v>
      </c>
      <c r="M35" s="29">
        <v>18.399999999999999</v>
      </c>
      <c r="N35" s="29">
        <v>89.5</v>
      </c>
      <c r="O35" s="58">
        <f>K35-M35</f>
        <v>5.8000000000000007</v>
      </c>
      <c r="P35" s="27">
        <v>34.061221166024566</v>
      </c>
      <c r="Q35" s="27">
        <v>28.543467770861387</v>
      </c>
      <c r="R35" s="27">
        <v>5.5177533951631794</v>
      </c>
      <c r="S35" s="27">
        <v>2.2999999999999998</v>
      </c>
      <c r="T35" s="27">
        <v>0.48</v>
      </c>
      <c r="U35" s="66">
        <v>2500</v>
      </c>
      <c r="V35" s="26">
        <v>2339.24352</v>
      </c>
      <c r="W35" s="66">
        <v>60000</v>
      </c>
      <c r="X35" s="26">
        <v>58083.159935670607</v>
      </c>
      <c r="Y35" s="66">
        <v>1916.8400643293935</v>
      </c>
      <c r="Z35" s="39" t="s">
        <v>17</v>
      </c>
      <c r="AA35" s="57">
        <v>0.96805266559451009</v>
      </c>
      <c r="AB35" s="57" t="str">
        <f>IF(TRIM(Z35)="Unit Replace",IF(OR(K35=0,AND(K35&gt;16,AA35&lt;50%)),"Prioritas 1","Prioritas 2"),"")</f>
        <v/>
      </c>
      <c r="AC35" s="21">
        <v>9.6999999999999993</v>
      </c>
      <c r="AD35" s="21">
        <v>15.7</v>
      </c>
      <c r="AE35" s="56">
        <f>AD35-AC35</f>
        <v>6</v>
      </c>
      <c r="AF35" s="21"/>
      <c r="AG35" s="21"/>
      <c r="AH35" s="20"/>
      <c r="AI35" s="61"/>
      <c r="AJ35" s="9"/>
    </row>
    <row r="36" spans="1:36" ht="13.95" customHeight="1" x14ac:dyDescent="0.3">
      <c r="A36" s="34">
        <f>A35+1</f>
        <v>34</v>
      </c>
      <c r="B36" s="38"/>
      <c r="C36" s="32">
        <v>46149</v>
      </c>
      <c r="D36" s="31" t="s">
        <v>346</v>
      </c>
      <c r="E36" s="31" t="s">
        <v>6</v>
      </c>
      <c r="F36" s="31" t="s">
        <v>116</v>
      </c>
      <c r="G36" s="31" t="s">
        <v>25</v>
      </c>
      <c r="H36" s="31">
        <v>2022</v>
      </c>
      <c r="I36" s="31" t="s">
        <v>24</v>
      </c>
      <c r="J36" s="30" t="s">
        <v>332</v>
      </c>
      <c r="K36" s="29">
        <v>23.9</v>
      </c>
      <c r="L36" s="29">
        <v>63.4</v>
      </c>
      <c r="M36" s="29">
        <v>16</v>
      </c>
      <c r="N36" s="29">
        <v>80.599999999999994</v>
      </c>
      <c r="O36" s="58">
        <f>K36-M36</f>
        <v>7.8999999999999986</v>
      </c>
      <c r="P36" s="27">
        <v>30.875533455056321</v>
      </c>
      <c r="Q36" s="27">
        <v>24.523414692227739</v>
      </c>
      <c r="R36" s="27">
        <v>6.3521187628285816</v>
      </c>
      <c r="S36" s="27">
        <v>1.53</v>
      </c>
      <c r="T36" s="27">
        <v>0.45499999999999996</v>
      </c>
      <c r="U36" s="66">
        <v>3380</v>
      </c>
      <c r="V36" s="26">
        <v>1475.0583119999999</v>
      </c>
      <c r="W36" s="66">
        <v>60000</v>
      </c>
      <c r="X36" s="26">
        <v>42163.855109646545</v>
      </c>
      <c r="Y36" s="66">
        <v>17836.144890353455</v>
      </c>
      <c r="Z36" s="25" t="s">
        <v>1</v>
      </c>
      <c r="AA36" s="57">
        <v>0.70273091849410907</v>
      </c>
      <c r="AB36" s="57" t="str">
        <f>IF(TRIM(Z36)="Unit Replace",IF(OR(K36=0,AND(K36&gt;16,AA36&lt;50%)),"Prioritas 1","Prioritas 2"),"")</f>
        <v/>
      </c>
      <c r="AC36" s="21">
        <v>8.9</v>
      </c>
      <c r="AD36" s="21">
        <v>13.7</v>
      </c>
      <c r="AE36" s="56">
        <f>AD36-AC36</f>
        <v>4.7999999999999989</v>
      </c>
      <c r="AF36" s="21"/>
      <c r="AG36" s="21"/>
      <c r="AH36" s="20" t="s">
        <v>335</v>
      </c>
      <c r="AI36" s="61"/>
      <c r="AJ36" s="9"/>
    </row>
    <row r="37" spans="1:36" ht="13.95" customHeight="1" x14ac:dyDescent="0.3">
      <c r="A37" s="34">
        <f>A36+1</f>
        <v>35</v>
      </c>
      <c r="B37" s="38"/>
      <c r="C37" s="37">
        <v>46149</v>
      </c>
      <c r="D37" s="36" t="s">
        <v>345</v>
      </c>
      <c r="E37" s="36" t="s">
        <v>6</v>
      </c>
      <c r="F37" s="36" t="s">
        <v>75</v>
      </c>
      <c r="G37" s="36" t="s">
        <v>20</v>
      </c>
      <c r="H37" s="36">
        <v>2007</v>
      </c>
      <c r="I37" s="36" t="s">
        <v>96</v>
      </c>
      <c r="J37" s="30" t="s">
        <v>344</v>
      </c>
      <c r="K37" s="29">
        <v>23.6</v>
      </c>
      <c r="L37" s="29">
        <v>67.900000000000006</v>
      </c>
      <c r="M37" s="29">
        <v>18.5</v>
      </c>
      <c r="N37" s="29">
        <v>80.7</v>
      </c>
      <c r="O37" s="58">
        <f>K37-M37</f>
        <v>5.1000000000000014</v>
      </c>
      <c r="P37" s="27">
        <v>31.423328934190501</v>
      </c>
      <c r="Q37" s="27">
        <v>27.370246285858219</v>
      </c>
      <c r="R37" s="27">
        <v>4.0530826483322819</v>
      </c>
      <c r="S37" s="27">
        <v>1.1000000000000001</v>
      </c>
      <c r="T37" s="27">
        <v>0.45499999999999996</v>
      </c>
      <c r="U37" s="66">
        <v>2410.3624999999997</v>
      </c>
      <c r="V37" s="26">
        <v>1060.49944</v>
      </c>
      <c r="W37" s="66">
        <v>50000</v>
      </c>
      <c r="X37" s="26">
        <v>19342.313454735457</v>
      </c>
      <c r="Y37" s="66">
        <v>30657.686545264543</v>
      </c>
      <c r="Z37" s="53" t="s">
        <v>9</v>
      </c>
      <c r="AA37" s="57">
        <v>0.38684626909470915</v>
      </c>
      <c r="AB37" s="57" t="str">
        <f>IF(TRIM(Z37)="Unit Replace",IF(OR(K37=0,AND(K37&gt;16,AA37&lt;50%)),"Prioritas 1","Prioritas 2"),"")</f>
        <v>Prioritas 1</v>
      </c>
      <c r="AC37" s="21">
        <v>10.5</v>
      </c>
      <c r="AD37" s="21">
        <v>15.4</v>
      </c>
      <c r="AE37" s="56">
        <f>AD37-AC37</f>
        <v>4.9000000000000004</v>
      </c>
      <c r="AF37" s="21"/>
      <c r="AG37" s="21"/>
      <c r="AH37" s="20" t="s">
        <v>343</v>
      </c>
      <c r="AI37" s="61"/>
      <c r="AJ37" s="9"/>
    </row>
    <row r="38" spans="1:36" ht="13.95" customHeight="1" x14ac:dyDescent="0.3">
      <c r="A38" s="34">
        <f>A37+1</f>
        <v>36</v>
      </c>
      <c r="B38" s="38"/>
      <c r="C38" s="41">
        <v>46149</v>
      </c>
      <c r="D38" s="40" t="s">
        <v>342</v>
      </c>
      <c r="E38" s="40" t="s">
        <v>182</v>
      </c>
      <c r="F38" s="40" t="s">
        <v>116</v>
      </c>
      <c r="G38" s="40" t="s">
        <v>20</v>
      </c>
      <c r="H38" s="40">
        <v>2025</v>
      </c>
      <c r="I38" s="40" t="s">
        <v>184</v>
      </c>
      <c r="J38" s="30" t="s">
        <v>340</v>
      </c>
      <c r="K38" s="29">
        <v>22.5</v>
      </c>
      <c r="L38" s="29">
        <v>70.8</v>
      </c>
      <c r="M38" s="29">
        <v>15.8</v>
      </c>
      <c r="N38" s="29">
        <v>75.7</v>
      </c>
      <c r="O38" s="58">
        <f>K38-M38</f>
        <v>6.6999999999999993</v>
      </c>
      <c r="P38" s="27">
        <v>30.600766915242499</v>
      </c>
      <c r="Q38" s="27">
        <v>23.703581398367874</v>
      </c>
      <c r="R38" s="27">
        <v>6.8971855168746252</v>
      </c>
      <c r="S38" s="27">
        <v>2.4300000000000002</v>
      </c>
      <c r="T38" s="27">
        <v>0.68250000000000011</v>
      </c>
      <c r="U38" s="26">
        <v>3531</v>
      </c>
      <c r="V38" s="26">
        <v>3514.1095080000009</v>
      </c>
      <c r="W38" s="26">
        <v>116021</v>
      </c>
      <c r="X38" s="26">
        <v>109068.59341480061</v>
      </c>
      <c r="Y38" s="26">
        <v>6952.4065851993946</v>
      </c>
      <c r="Z38" s="39" t="s">
        <v>17</v>
      </c>
      <c r="AA38" s="57">
        <v>0.94007630872687364</v>
      </c>
      <c r="AB38" s="57" t="str">
        <f>IF(TRIM(Z38)="Unit Replace",IF(OR(K38=0,AND(K38&gt;16,AA38&lt;50%)),"Prioritas 1","Prioritas 2"),"")</f>
        <v/>
      </c>
      <c r="AC38" s="21">
        <v>10.5</v>
      </c>
      <c r="AD38" s="21">
        <v>15.4</v>
      </c>
      <c r="AE38" s="56">
        <f>AD38-AC38</f>
        <v>4.9000000000000004</v>
      </c>
      <c r="AF38" s="21"/>
      <c r="AG38" s="21"/>
      <c r="AH38" s="20" t="s">
        <v>339</v>
      </c>
      <c r="AI38" s="61"/>
      <c r="AJ38" s="9"/>
    </row>
    <row r="39" spans="1:36" ht="13.95" customHeight="1" x14ac:dyDescent="0.3">
      <c r="A39" s="34">
        <f>A38+1</f>
        <v>37</v>
      </c>
      <c r="B39" s="38"/>
      <c r="C39" s="41">
        <v>46149</v>
      </c>
      <c r="D39" s="40" t="s">
        <v>341</v>
      </c>
      <c r="E39" s="40" t="s">
        <v>182</v>
      </c>
      <c r="F39" s="40" t="s">
        <v>116</v>
      </c>
      <c r="G39" s="40" t="s">
        <v>20</v>
      </c>
      <c r="H39" s="40">
        <v>2025</v>
      </c>
      <c r="I39" s="40" t="s">
        <v>184</v>
      </c>
      <c r="J39" s="30" t="s">
        <v>340</v>
      </c>
      <c r="K39" s="29">
        <v>22.5</v>
      </c>
      <c r="L39" s="29">
        <v>70.8</v>
      </c>
      <c r="M39" s="29">
        <v>14.5</v>
      </c>
      <c r="N39" s="29">
        <v>88.1</v>
      </c>
      <c r="O39" s="58">
        <f>K39-M39</f>
        <v>8</v>
      </c>
      <c r="P39" s="27">
        <v>30.600766915242499</v>
      </c>
      <c r="Q39" s="27">
        <v>23.790197090859969</v>
      </c>
      <c r="R39" s="27">
        <v>6.8105698243825294</v>
      </c>
      <c r="S39" s="27">
        <v>2.4300000000000002</v>
      </c>
      <c r="T39" s="27">
        <v>0.68250000000000011</v>
      </c>
      <c r="U39" s="26">
        <v>3531</v>
      </c>
      <c r="V39" s="26">
        <v>3514.1095080000009</v>
      </c>
      <c r="W39" s="26">
        <v>116021</v>
      </c>
      <c r="X39" s="26">
        <v>107698.89678642244</v>
      </c>
      <c r="Y39" s="26">
        <v>8322.1032135775604</v>
      </c>
      <c r="Z39" s="39" t="s">
        <v>17</v>
      </c>
      <c r="AA39" s="57">
        <v>0.92827071639119163</v>
      </c>
      <c r="AB39" s="57" t="str">
        <f>IF(TRIM(Z39)="Unit Replace",IF(OR(K39=0,AND(K39&gt;16,AA39&lt;50%)),"Prioritas 1","Prioritas 2"),"")</f>
        <v/>
      </c>
      <c r="AC39" s="21">
        <v>9.1</v>
      </c>
      <c r="AD39" s="21">
        <v>14.6</v>
      </c>
      <c r="AE39" s="56">
        <f>AD39-AC39</f>
        <v>5.5</v>
      </c>
      <c r="AF39" s="21"/>
      <c r="AG39" s="21"/>
      <c r="AH39" s="20" t="s">
        <v>339</v>
      </c>
      <c r="AI39" s="61"/>
      <c r="AJ39" s="9"/>
    </row>
    <row r="40" spans="1:36" ht="13.95" customHeight="1" x14ac:dyDescent="0.3">
      <c r="A40" s="34">
        <f>A39+1</f>
        <v>38</v>
      </c>
      <c r="B40" s="60" t="s">
        <v>338</v>
      </c>
      <c r="C40" s="37">
        <v>46150</v>
      </c>
      <c r="D40" s="36" t="s">
        <v>337</v>
      </c>
      <c r="E40" s="36" t="s">
        <v>6</v>
      </c>
      <c r="F40" s="36" t="s">
        <v>116</v>
      </c>
      <c r="G40" s="36" t="s">
        <v>25</v>
      </c>
      <c r="H40" s="36">
        <v>2008</v>
      </c>
      <c r="I40" s="36" t="s">
        <v>53</v>
      </c>
      <c r="J40" s="30" t="s">
        <v>332</v>
      </c>
      <c r="K40" s="29">
        <v>23.9</v>
      </c>
      <c r="L40" s="29">
        <v>65.599999999999994</v>
      </c>
      <c r="M40" s="29">
        <v>18.7</v>
      </c>
      <c r="N40" s="29">
        <v>70.900000000000006</v>
      </c>
      <c r="O40" s="58">
        <f>K40-M40</f>
        <v>5.1999999999999993</v>
      </c>
      <c r="P40" s="27">
        <v>31.330895949972998</v>
      </c>
      <c r="Q40" s="27">
        <v>26.147230266069919</v>
      </c>
      <c r="R40" s="27">
        <v>5.1836656839030795</v>
      </c>
      <c r="S40" s="27">
        <v>1.65</v>
      </c>
      <c r="T40" s="27">
        <v>0.315</v>
      </c>
      <c r="U40" s="26">
        <v>1333.3333333333333</v>
      </c>
      <c r="V40" s="26">
        <v>1101.2878799999999</v>
      </c>
      <c r="W40" s="26">
        <v>40000</v>
      </c>
      <c r="X40" s="26">
        <v>25689.186862444672</v>
      </c>
      <c r="Y40" s="26">
        <v>14310.813137555328</v>
      </c>
      <c r="Z40" s="53" t="s">
        <v>9</v>
      </c>
      <c r="AA40" s="57">
        <v>0.64222967156111677</v>
      </c>
      <c r="AB40" s="57" t="str">
        <f>IF(TRIM(Z40)="Unit Replace",IF(OR(K40=0,AND(K40&gt;16,AA40&lt;50%)),"Prioritas 1","Prioritas 2"),"")</f>
        <v>Prioritas 2</v>
      </c>
      <c r="AC40" s="21">
        <v>8.9</v>
      </c>
      <c r="AD40" s="21">
        <v>14.8</v>
      </c>
      <c r="AE40" s="56">
        <f>AD40-AC40</f>
        <v>5.9</v>
      </c>
      <c r="AF40" s="21"/>
      <c r="AG40" s="21"/>
      <c r="AH40" s="20" t="s">
        <v>335</v>
      </c>
      <c r="AI40" s="61"/>
      <c r="AJ40" s="9"/>
    </row>
    <row r="41" spans="1:36" ht="13.95" customHeight="1" x14ac:dyDescent="0.3">
      <c r="A41" s="34">
        <f>A40+1</f>
        <v>39</v>
      </c>
      <c r="B41" s="59"/>
      <c r="C41" s="37">
        <v>46150</v>
      </c>
      <c r="D41" s="36" t="s">
        <v>336</v>
      </c>
      <c r="E41" s="36" t="s">
        <v>6</v>
      </c>
      <c r="F41" s="36" t="s">
        <v>116</v>
      </c>
      <c r="G41" s="36" t="s">
        <v>25</v>
      </c>
      <c r="H41" s="36">
        <v>2008</v>
      </c>
      <c r="I41" s="36" t="s">
        <v>53</v>
      </c>
      <c r="J41" s="30" t="s">
        <v>332</v>
      </c>
      <c r="K41" s="29">
        <v>23.2</v>
      </c>
      <c r="L41" s="29">
        <v>76.8</v>
      </c>
      <c r="M41" s="29">
        <v>16.7</v>
      </c>
      <c r="N41" s="29">
        <v>76.2</v>
      </c>
      <c r="O41" s="58">
        <f>K41-M41</f>
        <v>6.5</v>
      </c>
      <c r="P41" s="27">
        <v>32.687859810049829</v>
      </c>
      <c r="Q41" s="27">
        <v>24.715169054085003</v>
      </c>
      <c r="R41" s="27">
        <v>7.9726907559648268</v>
      </c>
      <c r="S41" s="27">
        <v>1.31</v>
      </c>
      <c r="T41" s="27">
        <v>0.27</v>
      </c>
      <c r="U41" s="26">
        <v>1333.3333333333333</v>
      </c>
      <c r="V41" s="26">
        <v>749.44785600000012</v>
      </c>
      <c r="W41" s="26">
        <v>40000</v>
      </c>
      <c r="X41" s="26">
        <v>26888.021971239872</v>
      </c>
      <c r="Y41" s="26">
        <v>13111.978028760128</v>
      </c>
      <c r="Z41" s="53" t="s">
        <v>9</v>
      </c>
      <c r="AA41" s="57">
        <v>0.67220054928099682</v>
      </c>
      <c r="AB41" s="57" t="str">
        <f>IF(TRIM(Z41)="Unit Replace",IF(OR(K41=0,AND(K41&gt;16,AA41&lt;50%)),"Prioritas 1","Prioritas 2"),"")</f>
        <v>Prioritas 2</v>
      </c>
      <c r="AC41" s="21">
        <v>8.9</v>
      </c>
      <c r="AD41" s="21">
        <v>14.8</v>
      </c>
      <c r="AE41" s="56">
        <f>AD41-AC41</f>
        <v>5.9</v>
      </c>
      <c r="AF41" s="21"/>
      <c r="AG41" s="21"/>
      <c r="AH41" s="20" t="s">
        <v>335</v>
      </c>
      <c r="AI41" s="61"/>
      <c r="AJ41" s="9"/>
    </row>
    <row r="42" spans="1:36" ht="13.95" customHeight="1" x14ac:dyDescent="0.3">
      <c r="A42" s="34">
        <f>A41+1</f>
        <v>40</v>
      </c>
      <c r="B42" s="59"/>
      <c r="C42" s="32">
        <v>46150</v>
      </c>
      <c r="D42" s="31" t="s">
        <v>334</v>
      </c>
      <c r="E42" s="31" t="s">
        <v>6</v>
      </c>
      <c r="F42" s="31" t="s">
        <v>116</v>
      </c>
      <c r="G42" s="31" t="s">
        <v>25</v>
      </c>
      <c r="H42" s="31">
        <v>2008</v>
      </c>
      <c r="I42" s="31" t="s">
        <v>333</v>
      </c>
      <c r="J42" s="30" t="s">
        <v>332</v>
      </c>
      <c r="K42" s="29">
        <v>0</v>
      </c>
      <c r="L42" s="29">
        <v>0</v>
      </c>
      <c r="M42" s="29">
        <v>0</v>
      </c>
      <c r="N42" s="29">
        <v>0</v>
      </c>
      <c r="O42" s="58">
        <f>K42-M42</f>
        <v>0</v>
      </c>
      <c r="P42" s="27">
        <v>0</v>
      </c>
      <c r="Q42" s="27">
        <v>0</v>
      </c>
      <c r="R42" s="27">
        <v>0</v>
      </c>
      <c r="S42" s="27">
        <v>0</v>
      </c>
      <c r="T42" s="27">
        <v>0</v>
      </c>
      <c r="U42" s="26">
        <v>1333.3333333333333</v>
      </c>
      <c r="V42" s="26">
        <v>0</v>
      </c>
      <c r="W42" s="26">
        <v>40000</v>
      </c>
      <c r="X42" s="26">
        <v>0</v>
      </c>
      <c r="Y42" s="26">
        <v>40000</v>
      </c>
      <c r="Z42" s="25" t="s">
        <v>1</v>
      </c>
      <c r="AA42" s="57">
        <v>0</v>
      </c>
      <c r="AB42" s="57" t="str">
        <f>IF(TRIM(Z42)="Unit Replace",IF(OR(K42=0,AND(K42&gt;16,AA42&lt;50%)),"Prioritas 1","Prioritas 2"),"")</f>
        <v/>
      </c>
      <c r="AC42" s="21">
        <v>0</v>
      </c>
      <c r="AD42" s="21">
        <v>0</v>
      </c>
      <c r="AE42" s="56">
        <f>AD42-AC42</f>
        <v>0</v>
      </c>
      <c r="AF42" s="21"/>
      <c r="AG42" s="21"/>
      <c r="AH42" s="20" t="s">
        <v>331</v>
      </c>
      <c r="AI42" s="61"/>
      <c r="AJ42" s="9"/>
    </row>
    <row r="43" spans="1:36" ht="13.95" customHeight="1" x14ac:dyDescent="0.3">
      <c r="A43" s="34">
        <f>A42+1</f>
        <v>41</v>
      </c>
      <c r="B43" s="59"/>
      <c r="C43" s="41">
        <v>46150</v>
      </c>
      <c r="D43" s="40" t="s">
        <v>330</v>
      </c>
      <c r="E43" s="40" t="s">
        <v>6</v>
      </c>
      <c r="F43" s="40" t="s">
        <v>26</v>
      </c>
      <c r="G43" s="40" t="s">
        <v>20</v>
      </c>
      <c r="H43" s="40">
        <v>2022</v>
      </c>
      <c r="I43" s="40" t="s">
        <v>150</v>
      </c>
      <c r="J43" s="30" t="s">
        <v>325</v>
      </c>
      <c r="K43" s="29">
        <v>0</v>
      </c>
      <c r="L43" s="29">
        <v>0</v>
      </c>
      <c r="M43" s="29">
        <v>0</v>
      </c>
      <c r="N43" s="29">
        <v>0</v>
      </c>
      <c r="O43" s="58">
        <f>K43-M43</f>
        <v>0</v>
      </c>
      <c r="P43" s="27">
        <v>0</v>
      </c>
      <c r="Q43" s="27">
        <v>0</v>
      </c>
      <c r="R43" s="27">
        <v>0</v>
      </c>
      <c r="S43" s="27">
        <v>0</v>
      </c>
      <c r="T43" s="27">
        <v>0</v>
      </c>
      <c r="U43" s="26">
        <v>2540</v>
      </c>
      <c r="V43" s="26">
        <v>0</v>
      </c>
      <c r="W43" s="26">
        <v>76200</v>
      </c>
      <c r="X43" s="26">
        <v>0</v>
      </c>
      <c r="Y43" s="26">
        <v>76200</v>
      </c>
      <c r="Z43" s="39" t="s">
        <v>17</v>
      </c>
      <c r="AA43" s="57">
        <v>1</v>
      </c>
      <c r="AB43" s="57" t="str">
        <f>IF(TRIM(Z43)="Unit Replace",IF(OR(K43=0,AND(K43&gt;16,AA43&lt;50%)),"Prioritas 1","Prioritas 2"),"")</f>
        <v/>
      </c>
      <c r="AC43" s="21">
        <v>0</v>
      </c>
      <c r="AD43" s="21">
        <v>0</v>
      </c>
      <c r="AE43" s="56">
        <f>AD43-AC43</f>
        <v>0</v>
      </c>
      <c r="AF43" s="21"/>
      <c r="AG43" s="21"/>
      <c r="AH43" s="20" t="s">
        <v>329</v>
      </c>
      <c r="AI43" s="61"/>
      <c r="AJ43" s="9"/>
    </row>
    <row r="44" spans="1:36" ht="13.95" customHeight="1" x14ac:dyDescent="0.3">
      <c r="A44" s="34">
        <f>A43+1</f>
        <v>42</v>
      </c>
      <c r="B44" s="59"/>
      <c r="C44" s="41">
        <v>46150</v>
      </c>
      <c r="D44" s="40" t="s">
        <v>328</v>
      </c>
      <c r="E44" s="40" t="s">
        <v>6</v>
      </c>
      <c r="F44" s="40" t="s">
        <v>26</v>
      </c>
      <c r="G44" s="40" t="s">
        <v>20</v>
      </c>
      <c r="H44" s="40">
        <v>2025</v>
      </c>
      <c r="I44" s="40" t="s">
        <v>19</v>
      </c>
      <c r="J44" s="30" t="s">
        <v>325</v>
      </c>
      <c r="K44" s="29">
        <v>23.8</v>
      </c>
      <c r="L44" s="29">
        <v>72.2</v>
      </c>
      <c r="M44" s="29">
        <v>17.2</v>
      </c>
      <c r="N44" s="29">
        <v>89.2</v>
      </c>
      <c r="O44" s="58">
        <f>K44-M44</f>
        <v>6.6000000000000014</v>
      </c>
      <c r="P44" s="27">
        <v>32.56637863047586</v>
      </c>
      <c r="Q44" s="27">
        <v>27.017209531812533</v>
      </c>
      <c r="R44" s="27">
        <v>5.5491690986633273</v>
      </c>
      <c r="S44" s="27">
        <v>2.35</v>
      </c>
      <c r="T44" s="27">
        <v>0.47250000000000003</v>
      </c>
      <c r="U44" s="26">
        <v>2600</v>
      </c>
      <c r="V44" s="26">
        <v>2352.7513800000002</v>
      </c>
      <c r="W44" s="26">
        <v>60000</v>
      </c>
      <c r="X44" s="26">
        <v>58751.16864630075</v>
      </c>
      <c r="Y44" s="26">
        <v>1248.83135369925</v>
      </c>
      <c r="Z44" s="39" t="s">
        <v>17</v>
      </c>
      <c r="AA44" s="57">
        <v>0.97918614410501248</v>
      </c>
      <c r="AB44" s="57"/>
      <c r="AC44" s="21">
        <v>9.1999999999999993</v>
      </c>
      <c r="AD44" s="21">
        <v>15.3</v>
      </c>
      <c r="AE44" s="56">
        <f>AD44-AC44</f>
        <v>6.1000000000000014</v>
      </c>
      <c r="AF44" s="21"/>
      <c r="AG44" s="21"/>
      <c r="AH44" s="20" t="s">
        <v>323</v>
      </c>
      <c r="AI44" s="61"/>
      <c r="AJ44" s="9"/>
    </row>
    <row r="45" spans="1:36" ht="13.95" customHeight="1" x14ac:dyDescent="0.3">
      <c r="A45" s="34">
        <f>A44+1</f>
        <v>43</v>
      </c>
      <c r="B45" s="59"/>
      <c r="C45" s="41">
        <v>46150</v>
      </c>
      <c r="D45" s="40" t="s">
        <v>327</v>
      </c>
      <c r="E45" s="40" t="s">
        <v>6</v>
      </c>
      <c r="F45" s="40" t="s">
        <v>26</v>
      </c>
      <c r="G45" s="40" t="s">
        <v>14</v>
      </c>
      <c r="H45" s="40">
        <v>2024</v>
      </c>
      <c r="I45" s="40" t="s">
        <v>326</v>
      </c>
      <c r="J45" s="30" t="s">
        <v>325</v>
      </c>
      <c r="K45" s="29">
        <v>23.4</v>
      </c>
      <c r="L45" s="29">
        <v>77.3</v>
      </c>
      <c r="M45" s="29">
        <v>17.899999999999999</v>
      </c>
      <c r="N45" s="29">
        <v>88.5</v>
      </c>
      <c r="O45" s="58">
        <f>K45-M45</f>
        <v>5.5</v>
      </c>
      <c r="P45" s="27">
        <v>33.063494762551557</v>
      </c>
      <c r="Q45" s="27">
        <v>27.77402657749958</v>
      </c>
      <c r="R45" s="27">
        <v>5.2894681850519767</v>
      </c>
      <c r="S45" s="27">
        <v>2.2999999999999998</v>
      </c>
      <c r="T45" s="27">
        <v>0.38500000000000001</v>
      </c>
      <c r="U45" s="26">
        <v>1371.192</v>
      </c>
      <c r="V45" s="26">
        <v>1876.2682400000001</v>
      </c>
      <c r="W45" s="26">
        <v>47000</v>
      </c>
      <c r="X45" s="26">
        <v>44660.075229465598</v>
      </c>
      <c r="Y45" s="26">
        <v>2339.9247705344023</v>
      </c>
      <c r="Z45" s="39" t="s">
        <v>17</v>
      </c>
      <c r="AA45" s="57">
        <v>0.95021436658437441</v>
      </c>
      <c r="AB45" s="57" t="str">
        <f>IF(TRIM(Z45)="Unit Replace",IF(OR(K45=0,AND(K45&gt;16,AA45&lt;50%)),"Prioritas 1","Prioritas 2"),"")</f>
        <v/>
      </c>
      <c r="AC45" s="21">
        <v>9.6</v>
      </c>
      <c r="AD45" s="21">
        <v>14.3</v>
      </c>
      <c r="AE45" s="56">
        <f>AD45-AC45</f>
        <v>4.7000000000000011</v>
      </c>
      <c r="AF45" s="21"/>
      <c r="AG45" s="21"/>
      <c r="AH45" s="20" t="s">
        <v>323</v>
      </c>
      <c r="AI45" s="61"/>
      <c r="AJ45" s="9"/>
    </row>
    <row r="46" spans="1:36" ht="13.95" customHeight="1" x14ac:dyDescent="0.3">
      <c r="A46" s="34">
        <f>A45+1</f>
        <v>44</v>
      </c>
      <c r="B46" s="59"/>
      <c r="C46" s="41">
        <v>46150</v>
      </c>
      <c r="D46" s="40" t="s">
        <v>324</v>
      </c>
      <c r="E46" s="40" t="s">
        <v>6</v>
      </c>
      <c r="F46" s="40" t="s">
        <v>26</v>
      </c>
      <c r="G46" s="40" t="s">
        <v>20</v>
      </c>
      <c r="H46" s="40">
        <v>2025</v>
      </c>
      <c r="I46" s="40" t="s">
        <v>198</v>
      </c>
      <c r="J46" s="30" t="s">
        <v>311</v>
      </c>
      <c r="K46" s="29">
        <v>27.1</v>
      </c>
      <c r="L46" s="29">
        <v>67.599999999999994</v>
      </c>
      <c r="M46" s="29">
        <v>18.100000000000001</v>
      </c>
      <c r="N46" s="29">
        <v>91.6</v>
      </c>
      <c r="O46" s="58">
        <f>K46-M46</f>
        <v>9</v>
      </c>
      <c r="P46" s="27">
        <v>36.11061413785</v>
      </c>
      <c r="Q46" s="27">
        <v>28.468611732880817</v>
      </c>
      <c r="R46" s="27">
        <v>7.6420024049691833</v>
      </c>
      <c r="S46" s="27">
        <v>2.38</v>
      </c>
      <c r="T46" s="27">
        <v>0.58500000000000008</v>
      </c>
      <c r="U46" s="26">
        <v>3000</v>
      </c>
      <c r="V46" s="26">
        <v>2950.1166240000002</v>
      </c>
      <c r="W46" s="26">
        <v>106500</v>
      </c>
      <c r="X46" s="26">
        <v>101451.59250996407</v>
      </c>
      <c r="Y46" s="26">
        <v>5048.4074900359265</v>
      </c>
      <c r="Z46" s="39" t="s">
        <v>17</v>
      </c>
      <c r="AA46" s="57">
        <v>0.95259711276961567</v>
      </c>
      <c r="AB46" s="57" t="str">
        <f>IF(TRIM(Z46)="Unit Replace",IF(OR(K46=0,AND(K46&gt;16,AA46&lt;50%)),"Prioritas 1","Prioritas 2"),"")</f>
        <v/>
      </c>
      <c r="AC46" s="21">
        <v>9.3000000000000007</v>
      </c>
      <c r="AD46" s="21">
        <v>14.4</v>
      </c>
      <c r="AE46" s="56">
        <f>AD46-AC46</f>
        <v>5.0999999999999996</v>
      </c>
      <c r="AF46" s="21"/>
      <c r="AG46" s="21"/>
      <c r="AH46" s="20" t="s">
        <v>323</v>
      </c>
      <c r="AI46" s="61"/>
      <c r="AJ46" s="9"/>
    </row>
    <row r="47" spans="1:36" ht="13.95" customHeight="1" x14ac:dyDescent="0.3">
      <c r="A47" s="34">
        <f>A46+1</f>
        <v>45</v>
      </c>
      <c r="B47" s="59"/>
      <c r="C47" s="37">
        <v>46150</v>
      </c>
      <c r="D47" s="36" t="s">
        <v>322</v>
      </c>
      <c r="E47" s="36" t="s">
        <v>6</v>
      </c>
      <c r="F47" s="36" t="s">
        <v>26</v>
      </c>
      <c r="G47" s="36" t="s">
        <v>20</v>
      </c>
      <c r="H47" s="36">
        <v>2016</v>
      </c>
      <c r="I47" s="36" t="s">
        <v>19</v>
      </c>
      <c r="J47" s="30" t="s">
        <v>311</v>
      </c>
      <c r="K47" s="29">
        <v>29.5</v>
      </c>
      <c r="L47" s="29">
        <v>59.3</v>
      </c>
      <c r="M47" s="29">
        <v>18.5</v>
      </c>
      <c r="N47" s="29">
        <v>91</v>
      </c>
      <c r="O47" s="58">
        <f>K47-M47</f>
        <v>11</v>
      </c>
      <c r="P47" s="27">
        <v>37.321997332802809</v>
      </c>
      <c r="Q47" s="27">
        <v>28.892445976293885</v>
      </c>
      <c r="R47" s="27">
        <v>8.4295513565089237</v>
      </c>
      <c r="S47" s="27">
        <v>1.35</v>
      </c>
      <c r="T47" s="27">
        <v>0.4</v>
      </c>
      <c r="U47" s="26">
        <v>2600</v>
      </c>
      <c r="V47" s="26">
        <v>1144.1952000000001</v>
      </c>
      <c r="W47" s="26">
        <v>60000</v>
      </c>
      <c r="X47" s="26">
        <v>43402.734901219505</v>
      </c>
      <c r="Y47" s="26">
        <v>16597.265098780495</v>
      </c>
      <c r="Z47" s="53" t="s">
        <v>9</v>
      </c>
      <c r="AA47" s="57">
        <v>0.72337891502032503</v>
      </c>
      <c r="AB47" s="57" t="str">
        <f>IF(TRIM(Z47)="Unit Replace",IF(OR(K47=0,AND(K47&gt;16,AA47&lt;50%)),"Prioritas 1","Prioritas 2"),"")</f>
        <v>Prioritas 2</v>
      </c>
      <c r="AC47" s="21">
        <v>9.4</v>
      </c>
      <c r="AD47" s="21">
        <v>15.4</v>
      </c>
      <c r="AE47" s="56">
        <f>AD47-AC47</f>
        <v>6</v>
      </c>
      <c r="AF47" s="21"/>
      <c r="AG47" s="21"/>
      <c r="AH47" s="20" t="s">
        <v>321</v>
      </c>
      <c r="AI47" s="61"/>
      <c r="AJ47" s="9"/>
    </row>
    <row r="48" spans="1:36" ht="13.95" customHeight="1" x14ac:dyDescent="0.3">
      <c r="A48" s="34">
        <f>A47+1</f>
        <v>46</v>
      </c>
      <c r="B48" s="59"/>
      <c r="C48" s="37">
        <v>46150</v>
      </c>
      <c r="D48" s="36" t="s">
        <v>320</v>
      </c>
      <c r="E48" s="36" t="s">
        <v>6</v>
      </c>
      <c r="F48" s="36" t="s">
        <v>26</v>
      </c>
      <c r="G48" s="36" t="s">
        <v>20</v>
      </c>
      <c r="H48" s="36">
        <v>2016</v>
      </c>
      <c r="I48" s="36" t="s">
        <v>198</v>
      </c>
      <c r="J48" s="30" t="s">
        <v>311</v>
      </c>
      <c r="K48" s="29">
        <v>28.1</v>
      </c>
      <c r="L48" s="29">
        <v>63</v>
      </c>
      <c r="M48" s="29">
        <v>27.9</v>
      </c>
      <c r="N48" s="29">
        <v>63.8</v>
      </c>
      <c r="O48" s="58">
        <f>K48-M48</f>
        <v>0.20000000000000284</v>
      </c>
      <c r="P48" s="27">
        <v>36.349132178117287</v>
      </c>
      <c r="Q48" s="27">
        <v>36.276809220128122</v>
      </c>
      <c r="R48" s="27">
        <v>7.2322957989165104E-2</v>
      </c>
      <c r="S48" s="27">
        <v>1.5</v>
      </c>
      <c r="T48" s="27">
        <v>0.54</v>
      </c>
      <c r="U48" s="26">
        <v>3000</v>
      </c>
      <c r="V48" s="26">
        <v>1716.2928000000002</v>
      </c>
      <c r="W48" s="26">
        <v>106500</v>
      </c>
      <c r="X48" s="26">
        <v>558.57317432177956</v>
      </c>
      <c r="Y48" s="26">
        <v>105941.42682567822</v>
      </c>
      <c r="Z48" s="53" t="s">
        <v>9</v>
      </c>
      <c r="AA48" s="57">
        <v>5.244818538232672E-3</v>
      </c>
      <c r="AB48" s="57" t="str">
        <f>IF(TRIM(Z48)="Unit Replace",IF(OR(K48=0,AND(K48&gt;16,AA48&lt;50%)),"Prioritas 1","Prioritas 2"),"")</f>
        <v>Prioritas 1</v>
      </c>
      <c r="AC48" s="21">
        <v>15</v>
      </c>
      <c r="AD48" s="21">
        <v>25.1</v>
      </c>
      <c r="AE48" s="56">
        <f>AD48-AC48</f>
        <v>10.100000000000001</v>
      </c>
      <c r="AF48" s="21"/>
      <c r="AG48" s="21"/>
      <c r="AH48" s="20" t="s">
        <v>319</v>
      </c>
      <c r="AI48" s="61"/>
      <c r="AJ48" s="9"/>
    </row>
    <row r="49" spans="1:36" ht="13.95" customHeight="1" x14ac:dyDescent="0.3">
      <c r="A49" s="34">
        <f>A48+1</f>
        <v>47</v>
      </c>
      <c r="B49" s="59"/>
      <c r="C49" s="37">
        <v>46150</v>
      </c>
      <c r="D49" s="36" t="s">
        <v>318</v>
      </c>
      <c r="E49" s="36" t="s">
        <v>6</v>
      </c>
      <c r="F49" s="36" t="s">
        <v>26</v>
      </c>
      <c r="G49" s="36" t="s">
        <v>20</v>
      </c>
      <c r="H49" s="36">
        <v>2016</v>
      </c>
      <c r="I49" s="36" t="s">
        <v>19</v>
      </c>
      <c r="J49" s="30" t="s">
        <v>311</v>
      </c>
      <c r="K49" s="29">
        <v>30.4</v>
      </c>
      <c r="L49" s="29">
        <v>64.3</v>
      </c>
      <c r="M49" s="29">
        <v>19.899999999999999</v>
      </c>
      <c r="N49" s="29">
        <v>90.7</v>
      </c>
      <c r="O49" s="58">
        <f>K49-M49</f>
        <v>10.5</v>
      </c>
      <c r="P49" s="27">
        <v>40.187207925467362</v>
      </c>
      <c r="Q49" s="27">
        <v>30.693721429423967</v>
      </c>
      <c r="R49" s="27">
        <v>9.4934864960433956</v>
      </c>
      <c r="S49" s="27">
        <v>1.1000000000000001</v>
      </c>
      <c r="T49" s="27">
        <v>0.4</v>
      </c>
      <c r="U49" s="26">
        <v>2600</v>
      </c>
      <c r="V49" s="26">
        <v>932.30720000000019</v>
      </c>
      <c r="W49" s="26">
        <v>60000</v>
      </c>
      <c r="X49" s="26">
        <v>39828.806160138141</v>
      </c>
      <c r="Y49" s="26">
        <v>20171.193839861859</v>
      </c>
      <c r="Z49" s="53" t="s">
        <v>9</v>
      </c>
      <c r="AA49" s="57">
        <v>0.66381343600230236</v>
      </c>
      <c r="AB49" s="57" t="str">
        <f>IF(TRIM(Z49)="Unit Replace",IF(OR(K49=0,AND(K49&gt;16,AA49&lt;50%)),"Prioritas 1","Prioritas 2"),"")</f>
        <v>Prioritas 2</v>
      </c>
      <c r="AC49" s="21">
        <v>9.4</v>
      </c>
      <c r="AD49" s="21">
        <v>15.4</v>
      </c>
      <c r="AE49" s="56">
        <f>AD49-AC49</f>
        <v>6</v>
      </c>
      <c r="AF49" s="21"/>
      <c r="AG49" s="21"/>
      <c r="AH49" s="20" t="s">
        <v>317</v>
      </c>
      <c r="AI49" s="61"/>
      <c r="AJ49" s="9"/>
    </row>
    <row r="50" spans="1:36" ht="13.95" customHeight="1" x14ac:dyDescent="0.3">
      <c r="A50" s="34">
        <f>A49+1</f>
        <v>48</v>
      </c>
      <c r="B50" s="59"/>
      <c r="C50" s="41">
        <v>46150</v>
      </c>
      <c r="D50" s="40" t="s">
        <v>316</v>
      </c>
      <c r="E50" s="40" t="s">
        <v>182</v>
      </c>
      <c r="F50" s="40" t="s">
        <v>26</v>
      </c>
      <c r="G50" s="40" t="s">
        <v>20</v>
      </c>
      <c r="H50" s="40">
        <v>2025</v>
      </c>
      <c r="I50" s="40" t="s">
        <v>184</v>
      </c>
      <c r="J50" s="30" t="s">
        <v>311</v>
      </c>
      <c r="K50" s="29">
        <v>28.9</v>
      </c>
      <c r="L50" s="29">
        <v>71.7</v>
      </c>
      <c r="M50" s="29">
        <v>20.8</v>
      </c>
      <c r="N50" s="29">
        <v>86.8</v>
      </c>
      <c r="O50" s="58">
        <f>K50-M50</f>
        <v>8.0999999999999979</v>
      </c>
      <c r="P50" s="27">
        <v>39.974661709741625</v>
      </c>
      <c r="Q50" s="27">
        <v>31.264124317182606</v>
      </c>
      <c r="R50" s="27">
        <v>8.7105373925590186</v>
      </c>
      <c r="S50" s="27">
        <v>2.38</v>
      </c>
      <c r="T50" s="27">
        <v>0.58500000000000008</v>
      </c>
      <c r="U50" s="26">
        <v>3000</v>
      </c>
      <c r="V50" s="26">
        <v>2950.1166240000002</v>
      </c>
      <c r="W50" s="26">
        <v>116000</v>
      </c>
      <c r="X50" s="26">
        <v>115636.9552459289</v>
      </c>
      <c r="Y50" s="26">
        <v>363.04475407110294</v>
      </c>
      <c r="Z50" s="39" t="s">
        <v>17</v>
      </c>
      <c r="AA50" s="57">
        <v>0.9968703038442146</v>
      </c>
      <c r="AB50" s="57" t="str">
        <f>IF(TRIM(Z50)="Unit Replace",IF(OR(K50=0,AND(K50&gt;16,AA50&lt;50%)),"Prioritas 1","Prioritas 2"),"")</f>
        <v/>
      </c>
      <c r="AC50" s="21">
        <v>9.6</v>
      </c>
      <c r="AD50" s="21">
        <v>15.3</v>
      </c>
      <c r="AE50" s="56">
        <f>AD50-AC50</f>
        <v>5.7000000000000011</v>
      </c>
      <c r="AF50" s="21"/>
      <c r="AG50" s="21"/>
      <c r="AH50" s="20" t="s">
        <v>315</v>
      </c>
      <c r="AI50" s="61"/>
      <c r="AJ50" s="9"/>
    </row>
    <row r="51" spans="1:36" ht="13.95" customHeight="1" x14ac:dyDescent="0.3">
      <c r="A51" s="34">
        <f>A50+1</f>
        <v>49</v>
      </c>
      <c r="B51" s="59"/>
      <c r="C51" s="32">
        <v>46150</v>
      </c>
      <c r="D51" s="31" t="s">
        <v>314</v>
      </c>
      <c r="E51" s="31" t="s">
        <v>6</v>
      </c>
      <c r="F51" s="31" t="s">
        <v>26</v>
      </c>
      <c r="G51" s="31" t="s">
        <v>20</v>
      </c>
      <c r="H51" s="31">
        <v>2016</v>
      </c>
      <c r="I51" s="31" t="s">
        <v>19</v>
      </c>
      <c r="J51" s="30" t="s">
        <v>311</v>
      </c>
      <c r="K51" s="29">
        <v>0</v>
      </c>
      <c r="L51" s="29">
        <v>0</v>
      </c>
      <c r="M51" s="29">
        <v>0</v>
      </c>
      <c r="N51" s="29">
        <v>0</v>
      </c>
      <c r="O51" s="58">
        <f>K51-M51</f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6">
        <v>2600</v>
      </c>
      <c r="V51" s="26">
        <v>0</v>
      </c>
      <c r="W51" s="26">
        <v>60000</v>
      </c>
      <c r="X51" s="26">
        <v>0</v>
      </c>
      <c r="Y51" s="26">
        <v>60000</v>
      </c>
      <c r="Z51" s="25" t="s">
        <v>1</v>
      </c>
      <c r="AA51" s="57">
        <v>0</v>
      </c>
      <c r="AB51" s="57" t="str">
        <f>IF(TRIM(Z51)="Unit Replace",IF(OR(K51=0,AND(K51&gt;16,AA51&lt;50%)),"Prioritas 1","Prioritas 2"),"")</f>
        <v/>
      </c>
      <c r="AC51" s="21">
        <v>0</v>
      </c>
      <c r="AD51" s="21">
        <v>0</v>
      </c>
      <c r="AE51" s="56">
        <f>AD51-AC51</f>
        <v>0</v>
      </c>
      <c r="AF51" s="21"/>
      <c r="AG51" s="21"/>
      <c r="AH51" s="20" t="s">
        <v>313</v>
      </c>
      <c r="AI51" s="61"/>
      <c r="AJ51" s="9"/>
    </row>
    <row r="52" spans="1:36" ht="13.95" customHeight="1" x14ac:dyDescent="0.3">
      <c r="A52" s="34">
        <f>A51+1</f>
        <v>50</v>
      </c>
      <c r="B52" s="65"/>
      <c r="C52" s="37">
        <v>46150</v>
      </c>
      <c r="D52" s="36" t="s">
        <v>312</v>
      </c>
      <c r="E52" s="36" t="s">
        <v>6</v>
      </c>
      <c r="F52" s="36" t="s">
        <v>26</v>
      </c>
      <c r="G52" s="36" t="s">
        <v>4</v>
      </c>
      <c r="H52" s="36">
        <v>2004</v>
      </c>
      <c r="I52" s="36" t="s">
        <v>10</v>
      </c>
      <c r="J52" s="30" t="s">
        <v>311</v>
      </c>
      <c r="K52" s="29">
        <v>28.1</v>
      </c>
      <c r="L52" s="29">
        <v>63</v>
      </c>
      <c r="M52" s="29">
        <v>27.9</v>
      </c>
      <c r="N52" s="29">
        <v>63.8</v>
      </c>
      <c r="O52" s="58">
        <f>K52-M52</f>
        <v>0.20000000000000284</v>
      </c>
      <c r="P52" s="27">
        <v>36.349132178117287</v>
      </c>
      <c r="Q52" s="27">
        <v>36.276809220128122</v>
      </c>
      <c r="R52" s="27">
        <v>7.2322957989165104E-2</v>
      </c>
      <c r="S52" s="27">
        <v>1.5</v>
      </c>
      <c r="T52" s="27">
        <v>0.54</v>
      </c>
      <c r="U52" s="26">
        <v>2521.509</v>
      </c>
      <c r="V52" s="26">
        <v>1716.2928000000002</v>
      </c>
      <c r="W52" s="26">
        <v>72000</v>
      </c>
      <c r="X52" s="26">
        <v>558.57317432177956</v>
      </c>
      <c r="Y52" s="26">
        <v>71441.426825678223</v>
      </c>
      <c r="Z52" s="53" t="s">
        <v>9</v>
      </c>
      <c r="AA52" s="57">
        <v>7.7579607544691603E-3</v>
      </c>
      <c r="AB52" s="57" t="str">
        <f>IF(TRIM(Z52)="Unit Replace",IF(OR(K52=0,AND(K52&gt;16,AA52&lt;50%)),"Prioritas 1","Prioritas 2"),"")</f>
        <v>Prioritas 1</v>
      </c>
      <c r="AC52" s="21">
        <v>9.6</v>
      </c>
      <c r="AD52" s="21">
        <v>15.3</v>
      </c>
      <c r="AE52" s="56">
        <f>AD52-AC52</f>
        <v>5.7000000000000011</v>
      </c>
      <c r="AF52" s="21"/>
      <c r="AG52" s="21"/>
      <c r="AH52" s="20" t="s">
        <v>310</v>
      </c>
      <c r="AI52" s="61"/>
      <c r="AJ52" s="9"/>
    </row>
    <row r="53" spans="1:36" ht="13.95" customHeight="1" x14ac:dyDescent="0.3">
      <c r="A53" s="34">
        <f>A52+1</f>
        <v>51</v>
      </c>
      <c r="B53" s="60" t="s">
        <v>309</v>
      </c>
      <c r="C53" s="32">
        <v>46153</v>
      </c>
      <c r="D53" s="31" t="s">
        <v>308</v>
      </c>
      <c r="E53" s="31" t="s">
        <v>6</v>
      </c>
      <c r="F53" s="31" t="s">
        <v>116</v>
      </c>
      <c r="G53" s="31" t="s">
        <v>4</v>
      </c>
      <c r="H53" s="31">
        <v>2008</v>
      </c>
      <c r="I53" s="31" t="s">
        <v>10</v>
      </c>
      <c r="J53" s="30" t="s">
        <v>304</v>
      </c>
      <c r="K53" s="29">
        <v>22.6</v>
      </c>
      <c r="L53" s="29">
        <v>72.599999999999994</v>
      </c>
      <c r="M53" s="29">
        <v>17.399999999999999</v>
      </c>
      <c r="N53" s="29">
        <v>90.2</v>
      </c>
      <c r="O53" s="58">
        <f>K53-M53</f>
        <v>5.2000000000000028</v>
      </c>
      <c r="P53" s="27">
        <v>31.071360737859116</v>
      </c>
      <c r="Q53" s="27">
        <v>27.397258548075612</v>
      </c>
      <c r="R53" s="27">
        <v>3.674102189783504</v>
      </c>
      <c r="S53" s="27">
        <v>2.15</v>
      </c>
      <c r="T53" s="27">
        <v>0.54249999999999998</v>
      </c>
      <c r="U53" s="26">
        <v>2521.509</v>
      </c>
      <c r="V53" s="26">
        <v>2471.4086600000001</v>
      </c>
      <c r="W53" s="26">
        <v>72000</v>
      </c>
      <c r="X53" s="26">
        <v>40860.935863001621</v>
      </c>
      <c r="Y53" s="26">
        <v>31139.064136998379</v>
      </c>
      <c r="Z53" s="25" t="s">
        <v>1</v>
      </c>
      <c r="AA53" s="57">
        <v>0.56751299809724476</v>
      </c>
      <c r="AB53" s="57" t="str">
        <f>IF(TRIM(Z53)="Unit Replace",IF(OR(K53=0,AND(K53&gt;16,AA53&lt;50%)),"Prioritas 1","Prioritas 2"),"")</f>
        <v/>
      </c>
      <c r="AC53" s="21">
        <v>8.8000000000000007</v>
      </c>
      <c r="AD53" s="21">
        <v>13.1</v>
      </c>
      <c r="AE53" s="56">
        <f>AD53-AC53</f>
        <v>4.2999999999999989</v>
      </c>
      <c r="AF53" s="21"/>
      <c r="AG53" s="21"/>
      <c r="AH53" s="20" t="s">
        <v>307</v>
      </c>
      <c r="AI53" s="64" t="s">
        <v>306</v>
      </c>
      <c r="AJ53" s="9"/>
    </row>
    <row r="54" spans="1:36" ht="13.95" customHeight="1" x14ac:dyDescent="0.3">
      <c r="A54" s="34">
        <f>A53+1</f>
        <v>52</v>
      </c>
      <c r="B54" s="59"/>
      <c r="C54" s="37">
        <v>46153</v>
      </c>
      <c r="D54" s="36" t="s">
        <v>305</v>
      </c>
      <c r="E54" s="36" t="s">
        <v>6</v>
      </c>
      <c r="F54" s="36" t="s">
        <v>116</v>
      </c>
      <c r="G54" s="36" t="s">
        <v>4</v>
      </c>
      <c r="H54" s="36">
        <v>2008</v>
      </c>
      <c r="I54" s="36" t="s">
        <v>3</v>
      </c>
      <c r="J54" s="30" t="s">
        <v>304</v>
      </c>
      <c r="K54" s="29">
        <v>22.7</v>
      </c>
      <c r="L54" s="29">
        <v>77.2</v>
      </c>
      <c r="M54" s="29">
        <v>12</v>
      </c>
      <c r="N54" s="29">
        <v>89.1</v>
      </c>
      <c r="O54" s="58">
        <f>K54-M54</f>
        <v>10.7</v>
      </c>
      <c r="P54" s="27">
        <v>32.087707463760822</v>
      </c>
      <c r="Q54" s="27">
        <v>21.289552834261674</v>
      </c>
      <c r="R54" s="27">
        <v>10.798154629499148</v>
      </c>
      <c r="S54" s="27">
        <v>1.05</v>
      </c>
      <c r="T54" s="27">
        <v>0.27</v>
      </c>
      <c r="U54" s="26">
        <v>1900</v>
      </c>
      <c r="V54" s="26">
        <v>600.70248000000015</v>
      </c>
      <c r="W54" s="26">
        <v>57000</v>
      </c>
      <c r="X54" s="26">
        <v>29189.152194136295</v>
      </c>
      <c r="Y54" s="26">
        <v>27810.847805863705</v>
      </c>
      <c r="Z54" s="53" t="s">
        <v>9</v>
      </c>
      <c r="AA54" s="57">
        <v>0.51209038937081219</v>
      </c>
      <c r="AB54" s="57" t="str">
        <f>IF(TRIM(Z54)="Unit Replace",IF(OR(K54=0,AND(K54&gt;16,AA54&lt;50%)),"Prioritas 1","Prioritas 2"),"")</f>
        <v>Prioritas 2</v>
      </c>
      <c r="AC54" s="21">
        <v>8.6</v>
      </c>
      <c r="AD54" s="21">
        <v>11.8</v>
      </c>
      <c r="AE54" s="56">
        <f>AD54-AC54</f>
        <v>3.2000000000000011</v>
      </c>
      <c r="AF54" s="21"/>
      <c r="AG54" s="21"/>
      <c r="AH54" s="20" t="s">
        <v>303</v>
      </c>
      <c r="AI54" s="61"/>
      <c r="AJ54" s="9"/>
    </row>
    <row r="55" spans="1:36" ht="13.95" customHeight="1" x14ac:dyDescent="0.3">
      <c r="A55" s="34">
        <f>A54+1</f>
        <v>53</v>
      </c>
      <c r="B55" s="59"/>
      <c r="C55" s="37">
        <v>46153</v>
      </c>
      <c r="D55" s="36" t="s">
        <v>302</v>
      </c>
      <c r="E55" s="36" t="s">
        <v>6</v>
      </c>
      <c r="F55" s="36" t="s">
        <v>116</v>
      </c>
      <c r="G55" s="36" t="s">
        <v>25</v>
      </c>
      <c r="H55" s="36">
        <v>2006</v>
      </c>
      <c r="I55" s="36" t="s">
        <v>301</v>
      </c>
      <c r="J55" s="30" t="s">
        <v>300</v>
      </c>
      <c r="K55" s="29">
        <v>21.6</v>
      </c>
      <c r="L55" s="29">
        <v>76.599999999999994</v>
      </c>
      <c r="M55" s="29">
        <v>18.100000000000001</v>
      </c>
      <c r="N55" s="29">
        <v>81.599999999999994</v>
      </c>
      <c r="O55" s="58">
        <f>K55-M55</f>
        <v>3.5</v>
      </c>
      <c r="P55" s="27">
        <v>30.528753769549251</v>
      </c>
      <c r="Q55" s="27">
        <v>27.028652087316004</v>
      </c>
      <c r="R55" s="27">
        <v>3.5001016822332467</v>
      </c>
      <c r="S55" s="27">
        <v>1.8</v>
      </c>
      <c r="T55" s="27">
        <v>0.38750000000000001</v>
      </c>
      <c r="U55" s="26">
        <v>1135.5919999999999</v>
      </c>
      <c r="V55" s="26">
        <v>1477.9188000000001</v>
      </c>
      <c r="W55" s="26">
        <v>36500</v>
      </c>
      <c r="X55" s="26">
        <v>23277.897351378637</v>
      </c>
      <c r="Y55" s="26">
        <v>13222.102648621363</v>
      </c>
      <c r="Z55" s="53" t="s">
        <v>9</v>
      </c>
      <c r="AA55" s="57">
        <v>0.63775061236653796</v>
      </c>
      <c r="AB55" s="57" t="str">
        <f>IF(TRIM(Z55)="Unit Replace",IF(OR(K55=0,AND(K55&gt;16,AA55&lt;50%)),"Prioritas 1","Prioritas 2"),"")</f>
        <v>Prioritas 2</v>
      </c>
      <c r="AC55" s="21">
        <v>9.1</v>
      </c>
      <c r="AD55" s="21">
        <v>13.1</v>
      </c>
      <c r="AE55" s="56">
        <f>AD55-AC55</f>
        <v>4</v>
      </c>
      <c r="AF55" s="21"/>
      <c r="AG55" s="21"/>
      <c r="AH55" s="20" t="s">
        <v>294</v>
      </c>
      <c r="AI55" s="61"/>
      <c r="AJ55" s="9"/>
    </row>
    <row r="56" spans="1:36" ht="13.95" customHeight="1" x14ac:dyDescent="0.3">
      <c r="A56" s="34">
        <f>A55+1</f>
        <v>54</v>
      </c>
      <c r="B56" s="59"/>
      <c r="C56" s="32">
        <v>46153</v>
      </c>
      <c r="D56" s="31" t="s">
        <v>299</v>
      </c>
      <c r="E56" s="31" t="s">
        <v>6</v>
      </c>
      <c r="F56" s="31" t="s">
        <v>116</v>
      </c>
      <c r="G56" s="31" t="s">
        <v>4</v>
      </c>
      <c r="H56" s="31">
        <v>2009</v>
      </c>
      <c r="I56" s="31" t="s">
        <v>10</v>
      </c>
      <c r="J56" s="30" t="s">
        <v>295</v>
      </c>
      <c r="K56" s="29">
        <v>23.7</v>
      </c>
      <c r="L56" s="29">
        <v>69.8</v>
      </c>
      <c r="M56" s="29">
        <v>16.100000000000001</v>
      </c>
      <c r="N56" s="29">
        <v>91.6</v>
      </c>
      <c r="O56" s="58"/>
      <c r="P56" s="27">
        <v>31.94027573024168</v>
      </c>
      <c r="Q56" s="27">
        <v>26.019164539074453</v>
      </c>
      <c r="R56" s="27">
        <v>5.9211111911672276</v>
      </c>
      <c r="S56" s="27">
        <v>1.8</v>
      </c>
      <c r="T56" s="27">
        <v>0.46499999999999997</v>
      </c>
      <c r="U56" s="26">
        <v>2521.509</v>
      </c>
      <c r="V56" s="26">
        <v>1773.5025600000001</v>
      </c>
      <c r="W56" s="26">
        <v>72000</v>
      </c>
      <c r="X56" s="26">
        <v>47254.97635010878</v>
      </c>
      <c r="Y56" s="26">
        <v>24745.02364989122</v>
      </c>
      <c r="Z56" s="25" t="s">
        <v>1</v>
      </c>
      <c r="AA56" s="57">
        <v>0.65631911597373305</v>
      </c>
      <c r="AB56" s="57"/>
      <c r="AC56" s="21">
        <v>9.8000000000000007</v>
      </c>
      <c r="AD56" s="21">
        <v>13.6</v>
      </c>
      <c r="AE56" s="56"/>
      <c r="AF56" s="21"/>
      <c r="AG56" s="21"/>
      <c r="AH56" s="20" t="s">
        <v>294</v>
      </c>
      <c r="AI56" s="61"/>
      <c r="AJ56" s="9"/>
    </row>
    <row r="57" spans="1:36" ht="13.95" customHeight="1" x14ac:dyDescent="0.3">
      <c r="A57" s="34">
        <f>A56+1</f>
        <v>55</v>
      </c>
      <c r="B57" s="59"/>
      <c r="C57" s="32">
        <v>46153</v>
      </c>
      <c r="D57" s="31" t="s">
        <v>298</v>
      </c>
      <c r="E57" s="31" t="s">
        <v>6</v>
      </c>
      <c r="F57" s="31" t="s">
        <v>116</v>
      </c>
      <c r="G57" s="31" t="s">
        <v>4</v>
      </c>
      <c r="H57" s="31">
        <v>2009</v>
      </c>
      <c r="I57" s="31" t="s">
        <v>10</v>
      </c>
      <c r="J57" s="30" t="s">
        <v>295</v>
      </c>
      <c r="K57" s="29">
        <v>21.3</v>
      </c>
      <c r="L57" s="29">
        <v>73.7</v>
      </c>
      <c r="M57" s="29">
        <v>12.3</v>
      </c>
      <c r="N57" s="29">
        <v>89.4</v>
      </c>
      <c r="O57" s="58">
        <f>K57-M57</f>
        <v>9</v>
      </c>
      <c r="P57" s="27">
        <v>29.63389519045559</v>
      </c>
      <c r="Q57" s="27">
        <v>21.620641235776276</v>
      </c>
      <c r="R57" s="27">
        <v>8.013253954679314</v>
      </c>
      <c r="S57" s="27">
        <v>1.35</v>
      </c>
      <c r="T57" s="27">
        <v>0.48</v>
      </c>
      <c r="U57" s="26">
        <v>2521.509</v>
      </c>
      <c r="V57" s="26">
        <v>1373.0342400000002</v>
      </c>
      <c r="W57" s="26">
        <v>72000</v>
      </c>
      <c r="X57" s="26">
        <v>49511.124241155485</v>
      </c>
      <c r="Y57" s="26">
        <v>22488.875758844515</v>
      </c>
      <c r="Z57" s="25" t="s">
        <v>1</v>
      </c>
      <c r="AA57" s="57">
        <v>0.68765450334938172</v>
      </c>
      <c r="AB57" s="57" t="str">
        <f>IF(TRIM(Z57)="Unit Replace",IF(OR(K57=0,AND(K57&gt;16,AA57&lt;50%)),"Prioritas 1","Prioritas 2"),"")</f>
        <v/>
      </c>
      <c r="AC57" s="21">
        <v>9.5</v>
      </c>
      <c r="AD57" s="21">
        <v>12</v>
      </c>
      <c r="AE57" s="56">
        <f>AD57-AC57</f>
        <v>2.5</v>
      </c>
      <c r="AF57" s="21"/>
      <c r="AG57" s="21"/>
      <c r="AH57" s="20" t="s">
        <v>294</v>
      </c>
      <c r="AI57" s="64" t="s">
        <v>297</v>
      </c>
      <c r="AJ57" s="9"/>
    </row>
    <row r="58" spans="1:36" ht="13.95" customHeight="1" x14ac:dyDescent="0.3">
      <c r="A58" s="34">
        <f>A57+1</f>
        <v>56</v>
      </c>
      <c r="B58" s="59"/>
      <c r="C58" s="37">
        <v>46153</v>
      </c>
      <c r="D58" s="36" t="s">
        <v>296</v>
      </c>
      <c r="E58" s="36" t="s">
        <v>6</v>
      </c>
      <c r="F58" s="36" t="s">
        <v>116</v>
      </c>
      <c r="G58" s="36" t="s">
        <v>4</v>
      </c>
      <c r="H58" s="36">
        <v>2009</v>
      </c>
      <c r="I58" s="36" t="s">
        <v>10</v>
      </c>
      <c r="J58" s="30" t="s">
        <v>295</v>
      </c>
      <c r="K58" s="29">
        <v>23.8</v>
      </c>
      <c r="L58" s="29">
        <v>64.3</v>
      </c>
      <c r="M58" s="29">
        <v>16.2</v>
      </c>
      <c r="N58" s="29">
        <v>92.2</v>
      </c>
      <c r="O58" s="58"/>
      <c r="P58" s="27">
        <v>30.937881355608376</v>
      </c>
      <c r="Q58" s="27">
        <v>26.21363649284315</v>
      </c>
      <c r="R58" s="27">
        <v>4.7242448627652252</v>
      </c>
      <c r="S58" s="27">
        <v>1.58</v>
      </c>
      <c r="T58" s="27">
        <v>0.48</v>
      </c>
      <c r="U58" s="26">
        <v>2521.509</v>
      </c>
      <c r="V58" s="26">
        <v>1606.958592</v>
      </c>
      <c r="W58" s="26">
        <v>72000</v>
      </c>
      <c r="X58" s="26">
        <v>34162.496428195976</v>
      </c>
      <c r="Y58" s="26">
        <v>37837.503571804024</v>
      </c>
      <c r="Z58" s="53" t="s">
        <v>9</v>
      </c>
      <c r="AA58" s="57">
        <v>0.47447911705827744</v>
      </c>
      <c r="AB58" s="57"/>
      <c r="AC58" s="21">
        <v>9.6</v>
      </c>
      <c r="AD58" s="21">
        <v>13.8</v>
      </c>
      <c r="AE58" s="56"/>
      <c r="AF58" s="21"/>
      <c r="AG58" s="21"/>
      <c r="AH58" s="20" t="s">
        <v>294</v>
      </c>
      <c r="AI58" s="64"/>
      <c r="AJ58" s="9"/>
    </row>
    <row r="59" spans="1:36" ht="13.95" customHeight="1" x14ac:dyDescent="0.3">
      <c r="A59" s="34">
        <f>A58+1</f>
        <v>57</v>
      </c>
      <c r="B59" s="59"/>
      <c r="C59" s="41">
        <v>46153</v>
      </c>
      <c r="D59" s="40" t="s">
        <v>293</v>
      </c>
      <c r="E59" s="40" t="s">
        <v>6</v>
      </c>
      <c r="F59" s="40" t="s">
        <v>75</v>
      </c>
      <c r="G59" s="40" t="s">
        <v>20</v>
      </c>
      <c r="H59" s="40">
        <v>2025</v>
      </c>
      <c r="I59" s="40" t="s">
        <v>205</v>
      </c>
      <c r="J59" s="30" t="s">
        <v>292</v>
      </c>
      <c r="K59" s="29">
        <v>0</v>
      </c>
      <c r="L59" s="29">
        <v>0</v>
      </c>
      <c r="M59" s="29">
        <v>0</v>
      </c>
      <c r="N59" s="29">
        <v>0</v>
      </c>
      <c r="O59" s="58">
        <f>K59-M59</f>
        <v>0</v>
      </c>
      <c r="P59" s="27">
        <v>0</v>
      </c>
      <c r="Q59" s="27">
        <v>0</v>
      </c>
      <c r="R59" s="27">
        <v>0</v>
      </c>
      <c r="S59" s="27">
        <v>0</v>
      </c>
      <c r="T59" s="27">
        <v>0</v>
      </c>
      <c r="U59" s="26">
        <v>1703.3333333333333</v>
      </c>
      <c r="V59" s="26">
        <v>0</v>
      </c>
      <c r="W59" s="26">
        <v>51100</v>
      </c>
      <c r="X59" s="26">
        <v>0</v>
      </c>
      <c r="Y59" s="26">
        <v>51100</v>
      </c>
      <c r="Z59" s="39" t="s">
        <v>17</v>
      </c>
      <c r="AA59" s="57">
        <v>0</v>
      </c>
      <c r="AB59" s="57" t="str">
        <f>IF(TRIM(Z59)="Unit Replace",IF(OR(K59=0,AND(K59&gt;16,AA59&lt;50%)),"Prioritas 1","Prioritas 2"),"")</f>
        <v/>
      </c>
      <c r="AC59" s="21">
        <v>0</v>
      </c>
      <c r="AD59" s="21">
        <v>0</v>
      </c>
      <c r="AE59" s="56">
        <f>AD59-AC59</f>
        <v>0</v>
      </c>
      <c r="AF59" s="21"/>
      <c r="AG59" s="21"/>
      <c r="AH59" s="20" t="s">
        <v>291</v>
      </c>
      <c r="AI59" s="61"/>
      <c r="AJ59" s="9"/>
    </row>
    <row r="60" spans="1:36" ht="13.95" customHeight="1" x14ac:dyDescent="0.3">
      <c r="A60" s="34">
        <f>A59+1</f>
        <v>58</v>
      </c>
      <c r="B60" s="59"/>
      <c r="C60" s="41">
        <v>46153</v>
      </c>
      <c r="D60" s="40" t="s">
        <v>290</v>
      </c>
      <c r="E60" s="40" t="s">
        <v>6</v>
      </c>
      <c r="F60" s="40" t="s">
        <v>75</v>
      </c>
      <c r="G60" s="40" t="s">
        <v>20</v>
      </c>
      <c r="H60" s="40">
        <v>2025</v>
      </c>
      <c r="I60" s="40" t="s">
        <v>251</v>
      </c>
      <c r="J60" s="30" t="s">
        <v>286</v>
      </c>
      <c r="K60" s="29">
        <v>25.5</v>
      </c>
      <c r="L60" s="29">
        <v>67.7</v>
      </c>
      <c r="M60" s="29">
        <v>16.3</v>
      </c>
      <c r="N60" s="29">
        <v>90</v>
      </c>
      <c r="O60" s="58">
        <f>K60-M60</f>
        <v>9.1999999999999993</v>
      </c>
      <c r="P60" s="27">
        <v>33.885157108645103</v>
      </c>
      <c r="Q60" s="27">
        <v>26.051031446504787</v>
      </c>
      <c r="R60" s="27">
        <v>7.8341256621403161</v>
      </c>
      <c r="S60" s="27">
        <v>2.0699999999999998</v>
      </c>
      <c r="T60" s="27">
        <v>0.24</v>
      </c>
      <c r="U60" s="26">
        <v>1250</v>
      </c>
      <c r="V60" s="26">
        <v>1052.659584</v>
      </c>
      <c r="W60" s="26">
        <v>37300</v>
      </c>
      <c r="X60" s="26">
        <v>37110.00357230557</v>
      </c>
      <c r="Y60" s="26">
        <v>189.99642769443017</v>
      </c>
      <c r="Z60" s="39" t="s">
        <v>17</v>
      </c>
      <c r="AA60" s="57">
        <v>0.99490626199210641</v>
      </c>
      <c r="AB60" s="57" t="str">
        <f>IF(TRIM(Z60)="Unit Replace",IF(OR(K60=0,AND(K60&gt;16,AA60&lt;50%)),"Prioritas 1","Prioritas 2"),"")</f>
        <v/>
      </c>
      <c r="AC60" s="21">
        <v>8.8000000000000007</v>
      </c>
      <c r="AD60" s="21">
        <v>14.2</v>
      </c>
      <c r="AE60" s="56">
        <f>AD60-AC60</f>
        <v>5.3999999999999986</v>
      </c>
      <c r="AF60" s="21"/>
      <c r="AG60" s="21"/>
      <c r="AH60" s="20" t="s">
        <v>289</v>
      </c>
      <c r="AI60" s="61"/>
      <c r="AJ60" s="9"/>
    </row>
    <row r="61" spans="1:36" ht="13.95" customHeight="1" x14ac:dyDescent="0.3">
      <c r="A61" s="34">
        <f>A60+1</f>
        <v>59</v>
      </c>
      <c r="B61" s="59"/>
      <c r="C61" s="41">
        <v>46153</v>
      </c>
      <c r="D61" s="40" t="s">
        <v>252</v>
      </c>
      <c r="E61" s="40" t="s">
        <v>6</v>
      </c>
      <c r="F61" s="40" t="s">
        <v>75</v>
      </c>
      <c r="G61" s="40" t="s">
        <v>20</v>
      </c>
      <c r="H61" s="40">
        <v>2025</v>
      </c>
      <c r="I61" s="40" t="s">
        <v>251</v>
      </c>
      <c r="J61" s="30" t="s">
        <v>286</v>
      </c>
      <c r="K61" s="29">
        <v>25</v>
      </c>
      <c r="L61" s="29">
        <v>65.5</v>
      </c>
      <c r="M61" s="29">
        <v>16.7</v>
      </c>
      <c r="N61" s="29">
        <v>85.4</v>
      </c>
      <c r="O61" s="58">
        <f>K61-M61</f>
        <v>8.3000000000000007</v>
      </c>
      <c r="P61" s="27">
        <v>32.720641889437282</v>
      </c>
      <c r="Q61" s="27">
        <v>25.920187150488328</v>
      </c>
      <c r="R61" s="27">
        <v>6.8004547389489538</v>
      </c>
      <c r="S61" s="27">
        <v>2.0299999999999998</v>
      </c>
      <c r="T61" s="27">
        <v>0.24</v>
      </c>
      <c r="U61" s="26">
        <v>1250</v>
      </c>
      <c r="V61" s="26">
        <v>1032.3183359999998</v>
      </c>
      <c r="W61" s="26">
        <v>37300</v>
      </c>
      <c r="X61" s="26">
        <v>31591.05354069794</v>
      </c>
      <c r="Y61" s="26">
        <v>5708.9464593020602</v>
      </c>
      <c r="Z61" s="39" t="s">
        <v>17</v>
      </c>
      <c r="AA61" s="57">
        <v>0.84694513513935499</v>
      </c>
      <c r="AB61" s="57" t="str">
        <f>IF(TRIM(Z61)="Unit Replace",IF(OR(K61=0,AND(K61&gt;16,AA61&lt;50%)),"Prioritas 1","Prioritas 2"),"")</f>
        <v/>
      </c>
      <c r="AC61" s="21">
        <v>8.8000000000000007</v>
      </c>
      <c r="AD61" s="21">
        <v>14.3</v>
      </c>
      <c r="AE61" s="56">
        <f>AD61-AC61</f>
        <v>5.5</v>
      </c>
      <c r="AF61" s="21"/>
      <c r="AG61" s="21"/>
      <c r="AH61" s="20" t="s">
        <v>288</v>
      </c>
      <c r="AI61" s="61"/>
      <c r="AJ61" s="9"/>
    </row>
    <row r="62" spans="1:36" ht="13.95" customHeight="1" x14ac:dyDescent="0.3">
      <c r="A62" s="34">
        <f>A61+1</f>
        <v>60</v>
      </c>
      <c r="B62" s="59"/>
      <c r="C62" s="37">
        <v>46153</v>
      </c>
      <c r="D62" s="36" t="s">
        <v>287</v>
      </c>
      <c r="E62" s="36" t="s">
        <v>6</v>
      </c>
      <c r="F62" s="36" t="s">
        <v>75</v>
      </c>
      <c r="G62" s="36" t="s">
        <v>25</v>
      </c>
      <c r="H62" s="36">
        <v>2008</v>
      </c>
      <c r="I62" s="36" t="s">
        <v>53</v>
      </c>
      <c r="J62" s="30" t="s">
        <v>286</v>
      </c>
      <c r="K62" s="29">
        <v>25.2</v>
      </c>
      <c r="L62" s="29">
        <v>70.5</v>
      </c>
      <c r="M62" s="29">
        <v>16.600000000000001</v>
      </c>
      <c r="N62" s="29">
        <v>87.1</v>
      </c>
      <c r="O62" s="58">
        <f>K62-M62</f>
        <v>8.5999999999999979</v>
      </c>
      <c r="P62" s="27">
        <v>34.108919595024894</v>
      </c>
      <c r="Q62" s="27">
        <v>26.026863089588034</v>
      </c>
      <c r="R62" s="27">
        <v>8.08205650543686</v>
      </c>
      <c r="S62" s="27">
        <v>1.5</v>
      </c>
      <c r="T62" s="27">
        <v>0.24</v>
      </c>
      <c r="U62" s="26">
        <v>1500</v>
      </c>
      <c r="V62" s="26">
        <v>762.79679999999996</v>
      </c>
      <c r="W62" s="26">
        <v>49000</v>
      </c>
      <c r="X62" s="26">
        <v>27742.35077894889</v>
      </c>
      <c r="Y62" s="26">
        <v>21257.64922105111</v>
      </c>
      <c r="Z62" s="53" t="s">
        <v>9</v>
      </c>
      <c r="AA62" s="57">
        <v>0.56617042406018148</v>
      </c>
      <c r="AB62" s="57" t="str">
        <f>IF(TRIM(Z62)="Unit Replace",IF(OR(K62=0,AND(K62&gt;16,AA62&lt;50%)),"Prioritas 1","Prioritas 2"),"")</f>
        <v>Prioritas 2</v>
      </c>
      <c r="AC62" s="21">
        <v>9</v>
      </c>
      <c r="AD62" s="21">
        <v>14.5</v>
      </c>
      <c r="AE62" s="56">
        <f>AD62-AC62</f>
        <v>5.5</v>
      </c>
      <c r="AF62" s="21"/>
      <c r="AG62" s="21"/>
      <c r="AH62" s="20" t="s">
        <v>285</v>
      </c>
      <c r="AI62" s="61"/>
      <c r="AJ62" s="9"/>
    </row>
    <row r="63" spans="1:36" ht="13.95" customHeight="1" x14ac:dyDescent="0.3">
      <c r="A63" s="34">
        <f>A62+1</f>
        <v>61</v>
      </c>
      <c r="B63" s="42" t="s">
        <v>284</v>
      </c>
      <c r="C63" s="41">
        <v>46154</v>
      </c>
      <c r="D63" s="40" t="s">
        <v>283</v>
      </c>
      <c r="E63" s="40" t="s">
        <v>6</v>
      </c>
      <c r="F63" s="40" t="s">
        <v>75</v>
      </c>
      <c r="G63" s="40" t="s">
        <v>20</v>
      </c>
      <c r="H63" s="40">
        <v>2025</v>
      </c>
      <c r="I63" s="40" t="s">
        <v>205</v>
      </c>
      <c r="J63" s="30" t="s">
        <v>276</v>
      </c>
      <c r="K63" s="29">
        <v>26.8</v>
      </c>
      <c r="L63" s="29">
        <v>74.099999999999994</v>
      </c>
      <c r="M63" s="29">
        <v>17.399999999999999</v>
      </c>
      <c r="N63" s="29">
        <v>95.8</v>
      </c>
      <c r="O63" s="58">
        <f>K63-M63</f>
        <v>9.4000000000000021</v>
      </c>
      <c r="P63" s="27">
        <v>37.2992262674546</v>
      </c>
      <c r="Q63" s="27">
        <v>28.169219859392751</v>
      </c>
      <c r="R63" s="27">
        <v>9.130006408061849</v>
      </c>
      <c r="S63" s="27">
        <v>2.35</v>
      </c>
      <c r="T63" s="27">
        <v>0.24</v>
      </c>
      <c r="U63" s="26">
        <v>1500</v>
      </c>
      <c r="V63" s="26">
        <v>1195.0483199999999</v>
      </c>
      <c r="W63" s="26">
        <v>51100</v>
      </c>
      <c r="X63" s="26">
        <v>49098.594687945952</v>
      </c>
      <c r="Y63" s="26">
        <v>2001.4053120540484</v>
      </c>
      <c r="Z63" s="39" t="s">
        <v>17</v>
      </c>
      <c r="AA63" s="57">
        <v>0.96083355553710281</v>
      </c>
      <c r="AB63" s="57" t="str">
        <f>IF(TRIM(Z63)="Unit Replace",IF(OR(K63=0,AND(K63&gt;16,AA63&lt;50%)),"Prioritas 1","Prioritas 2"),"")</f>
        <v/>
      </c>
      <c r="AC63" s="21">
        <v>9.6</v>
      </c>
      <c r="AD63" s="21">
        <v>15.7</v>
      </c>
      <c r="AE63" s="56">
        <f>AD63-AC63</f>
        <v>6.1</v>
      </c>
      <c r="AF63" s="21"/>
      <c r="AG63" s="21"/>
      <c r="AH63" s="20" t="s">
        <v>282</v>
      </c>
      <c r="AI63" s="61"/>
      <c r="AJ63" s="9"/>
    </row>
    <row r="64" spans="1:36" ht="13.95" customHeight="1" x14ac:dyDescent="0.3">
      <c r="A64" s="34">
        <f>A63+1</f>
        <v>62</v>
      </c>
      <c r="B64" s="38"/>
      <c r="C64" s="37">
        <v>46154</v>
      </c>
      <c r="D64" s="36" t="s">
        <v>281</v>
      </c>
      <c r="E64" s="36" t="s">
        <v>6</v>
      </c>
      <c r="F64" s="36" t="s">
        <v>75</v>
      </c>
      <c r="G64" s="36" t="s">
        <v>280</v>
      </c>
      <c r="H64" s="36">
        <v>2022</v>
      </c>
      <c r="I64" s="36" t="s">
        <v>279</v>
      </c>
      <c r="J64" s="30" t="s">
        <v>276</v>
      </c>
      <c r="K64" s="29">
        <v>24.7</v>
      </c>
      <c r="L64" s="29">
        <v>66.3</v>
      </c>
      <c r="M64" s="29">
        <v>15.6</v>
      </c>
      <c r="N64" s="29">
        <v>79.900000000000006</v>
      </c>
      <c r="O64" s="58">
        <f>K64-M64</f>
        <v>9.1</v>
      </c>
      <c r="P64" s="27">
        <v>32.504592567093482</v>
      </c>
      <c r="Q64" s="27">
        <v>24.008056358473105</v>
      </c>
      <c r="R64" s="27">
        <v>8.4965362086203768</v>
      </c>
      <c r="S64" s="27">
        <v>0.9</v>
      </c>
      <c r="T64" s="27">
        <v>0.16000000000000003</v>
      </c>
      <c r="U64" s="26">
        <v>800</v>
      </c>
      <c r="V64" s="26">
        <v>305.11872000000011</v>
      </c>
      <c r="W64" s="26">
        <v>24000</v>
      </c>
      <c r="X64" s="26">
        <v>11666.035135835564</v>
      </c>
      <c r="Y64" s="26">
        <v>12333.964864164436</v>
      </c>
      <c r="Z64" s="53" t="s">
        <v>9</v>
      </c>
      <c r="AA64" s="57">
        <v>0.4860847973264818</v>
      </c>
      <c r="AB64" s="57" t="str">
        <f>IF(TRIM(Z64)="Unit Replace",IF(OR(K64=0,AND(K64&gt;16,AA64&lt;50%)),"Prioritas 1","Prioritas 2"),"")</f>
        <v>Prioritas 1</v>
      </c>
      <c r="AC64" s="21">
        <v>9.1</v>
      </c>
      <c r="AD64" s="21">
        <v>14.4</v>
      </c>
      <c r="AE64" s="56">
        <f>AD64-AC64</f>
        <v>5.3000000000000007</v>
      </c>
      <c r="AF64" s="21"/>
      <c r="AG64" s="21"/>
      <c r="AH64" s="20" t="s">
        <v>278</v>
      </c>
      <c r="AI64" s="61"/>
      <c r="AJ64" s="9"/>
    </row>
    <row r="65" spans="1:36" ht="13.95" customHeight="1" x14ac:dyDescent="0.3">
      <c r="A65" s="34">
        <f>A64+1</f>
        <v>63</v>
      </c>
      <c r="B65" s="38"/>
      <c r="C65" s="41">
        <v>46154</v>
      </c>
      <c r="D65" s="40" t="s">
        <v>277</v>
      </c>
      <c r="E65" s="40" t="s">
        <v>6</v>
      </c>
      <c r="F65" s="40" t="s">
        <v>75</v>
      </c>
      <c r="G65" s="40" t="s">
        <v>20</v>
      </c>
      <c r="H65" s="40">
        <v>2025</v>
      </c>
      <c r="I65" s="40" t="s">
        <v>19</v>
      </c>
      <c r="J65" s="30" t="s">
        <v>276</v>
      </c>
      <c r="K65" s="29">
        <v>24.8</v>
      </c>
      <c r="L65" s="29">
        <v>63.7</v>
      </c>
      <c r="M65" s="29">
        <v>17.600000000000001</v>
      </c>
      <c r="N65" s="29">
        <v>91.2</v>
      </c>
      <c r="O65" s="58">
        <f>K65-M65</f>
        <v>7.1999999999999993</v>
      </c>
      <c r="P65" s="27">
        <v>32.065616970441511</v>
      </c>
      <c r="Q65" s="27">
        <v>27.782861603111378</v>
      </c>
      <c r="R65" s="27">
        <v>4.2827553673301324</v>
      </c>
      <c r="S65" s="27">
        <v>2.4</v>
      </c>
      <c r="T65" s="27">
        <v>0.5625</v>
      </c>
      <c r="U65" s="26">
        <v>2600</v>
      </c>
      <c r="V65" s="26">
        <v>2860.4879999999998</v>
      </c>
      <c r="W65" s="26">
        <v>60000</v>
      </c>
      <c r="X65" s="26">
        <v>55128.466508325459</v>
      </c>
      <c r="Y65" s="26">
        <v>4871.5334916745414</v>
      </c>
      <c r="Z65" s="39" t="s">
        <v>17</v>
      </c>
      <c r="AA65" s="57">
        <v>0.91880777513875767</v>
      </c>
      <c r="AB65" s="57" t="str">
        <f>IF(TRIM(Z65)="Unit Replace",IF(OR(K65=0,AND(K65&gt;16,AA65&lt;50%)),"Prioritas 1","Prioritas 2"),"")</f>
        <v/>
      </c>
      <c r="AC65" s="21">
        <v>9.4</v>
      </c>
      <c r="AD65" s="21">
        <v>15.1</v>
      </c>
      <c r="AE65" s="56">
        <f>AD65-AC65</f>
        <v>5.6999999999999993</v>
      </c>
      <c r="AF65" s="21"/>
      <c r="AG65" s="21"/>
      <c r="AH65" s="20" t="s">
        <v>275</v>
      </c>
      <c r="AI65" s="61"/>
      <c r="AJ65" s="9"/>
    </row>
    <row r="66" spans="1:36" ht="13.95" customHeight="1" x14ac:dyDescent="0.3">
      <c r="A66" s="34">
        <f>A65+1</f>
        <v>64</v>
      </c>
      <c r="B66" s="38"/>
      <c r="C66" s="37">
        <v>46154</v>
      </c>
      <c r="D66" s="36" t="s">
        <v>274</v>
      </c>
      <c r="E66" s="36" t="s">
        <v>6</v>
      </c>
      <c r="F66" s="36" t="s">
        <v>75</v>
      </c>
      <c r="G66" s="36" t="s">
        <v>4</v>
      </c>
      <c r="H66" s="36">
        <v>2009</v>
      </c>
      <c r="I66" s="36" t="s">
        <v>77</v>
      </c>
      <c r="J66" s="30" t="s">
        <v>271</v>
      </c>
      <c r="K66" s="29">
        <v>23.8</v>
      </c>
      <c r="L66" s="29">
        <v>83.5</v>
      </c>
      <c r="M66" s="29">
        <v>15.4</v>
      </c>
      <c r="N66" s="29">
        <v>93.4</v>
      </c>
      <c r="O66" s="58">
        <f>K66-M66</f>
        <v>8.4</v>
      </c>
      <c r="P66" s="27">
        <v>34.909085201335195</v>
      </c>
      <c r="Q66" s="27">
        <v>25.421548250868405</v>
      </c>
      <c r="R66" s="27">
        <v>9.4875369504667901</v>
      </c>
      <c r="S66" s="27">
        <v>1</v>
      </c>
      <c r="T66" s="27">
        <v>0.35</v>
      </c>
      <c r="U66" s="26">
        <v>1371.192</v>
      </c>
      <c r="V66" s="26">
        <v>741.60799999999995</v>
      </c>
      <c r="W66" s="26">
        <v>47000</v>
      </c>
      <c r="X66" s="26">
        <v>31662.149862427985</v>
      </c>
      <c r="Y66" s="26">
        <v>15337.850137572015</v>
      </c>
      <c r="Z66" s="53" t="s">
        <v>9</v>
      </c>
      <c r="AA66" s="57">
        <v>0.67366276303038264</v>
      </c>
      <c r="AB66" s="57" t="str">
        <f>IF(TRIM(Z66)="Unit Replace",IF(OR(K66=0,AND(K66&gt;16,AA66&lt;50%)),"Prioritas 1","Prioritas 2"),"")</f>
        <v>Prioritas 2</v>
      </c>
      <c r="AC66" s="21">
        <v>9.1999999999999993</v>
      </c>
      <c r="AD66" s="21">
        <v>14.6</v>
      </c>
      <c r="AE66" s="56">
        <f>AD66-AC66</f>
        <v>5.4</v>
      </c>
      <c r="AF66" s="21"/>
      <c r="AG66" s="21"/>
      <c r="AH66" s="20" t="s">
        <v>273</v>
      </c>
      <c r="AI66" s="61"/>
      <c r="AJ66" s="9"/>
    </row>
    <row r="67" spans="1:36" ht="13.95" customHeight="1" x14ac:dyDescent="0.3">
      <c r="A67" s="34">
        <f>A66+1</f>
        <v>65</v>
      </c>
      <c r="B67" s="38"/>
      <c r="C67" s="37">
        <v>46154</v>
      </c>
      <c r="D67" s="36" t="s">
        <v>272</v>
      </c>
      <c r="E67" s="36" t="s">
        <v>6</v>
      </c>
      <c r="F67" s="36" t="s">
        <v>75</v>
      </c>
      <c r="G67" s="36" t="s">
        <v>4</v>
      </c>
      <c r="H67" s="36">
        <v>2009</v>
      </c>
      <c r="I67" s="36" t="s">
        <v>3</v>
      </c>
      <c r="J67" s="30" t="s">
        <v>271</v>
      </c>
      <c r="K67" s="29">
        <v>23.6</v>
      </c>
      <c r="L67" s="29">
        <v>76.2</v>
      </c>
      <c r="M67" s="29">
        <v>16</v>
      </c>
      <c r="N67" s="29">
        <v>86.1</v>
      </c>
      <c r="O67" s="58">
        <f>K67-M67</f>
        <v>7.6000000000000014</v>
      </c>
      <c r="P67" s="27">
        <v>33.116524629409625</v>
      </c>
      <c r="Q67" s="27">
        <v>25.211751644900033</v>
      </c>
      <c r="R67" s="27">
        <v>7.9047729845095915</v>
      </c>
      <c r="S67" s="27">
        <v>1.05</v>
      </c>
      <c r="T67" s="27">
        <v>0.38500000000000001</v>
      </c>
      <c r="U67" s="26">
        <v>1900</v>
      </c>
      <c r="V67" s="26">
        <v>856.55724000000021</v>
      </c>
      <c r="W67" s="26">
        <v>57000</v>
      </c>
      <c r="X67" s="26">
        <v>30469.007386971451</v>
      </c>
      <c r="Y67" s="26">
        <v>26530.992613028549</v>
      </c>
      <c r="Z67" s="53" t="s">
        <v>9</v>
      </c>
      <c r="AA67" s="57">
        <v>0.53454398924511315</v>
      </c>
      <c r="AB67" s="57" t="str">
        <f>IF(TRIM(Z67)="Unit Replace",IF(OR(K67=0,AND(K67&gt;16,AA67&lt;50%)),"Prioritas 1","Prioritas 2"),"")</f>
        <v>Prioritas 2</v>
      </c>
      <c r="AC67" s="21">
        <v>9.1</v>
      </c>
      <c r="AD67" s="21">
        <v>14.5</v>
      </c>
      <c r="AE67" s="56">
        <f>AD67-AC67</f>
        <v>5.4</v>
      </c>
      <c r="AF67" s="21"/>
      <c r="AG67" s="21"/>
      <c r="AH67" s="20" t="s">
        <v>270</v>
      </c>
      <c r="AI67" s="61"/>
      <c r="AJ67" s="9"/>
    </row>
    <row r="68" spans="1:36" ht="13.95" customHeight="1" x14ac:dyDescent="0.3">
      <c r="A68" s="34">
        <f>A67+1</f>
        <v>66</v>
      </c>
      <c r="B68" s="38"/>
      <c r="C68" s="37">
        <v>46154</v>
      </c>
      <c r="D68" s="36" t="s">
        <v>269</v>
      </c>
      <c r="E68" s="36" t="s">
        <v>6</v>
      </c>
      <c r="F68" s="36" t="s">
        <v>116</v>
      </c>
      <c r="G68" s="36" t="s">
        <v>4</v>
      </c>
      <c r="H68" s="36">
        <v>2009</v>
      </c>
      <c r="I68" s="36" t="s">
        <v>3</v>
      </c>
      <c r="J68" s="30" t="s">
        <v>268</v>
      </c>
      <c r="K68" s="29">
        <v>23.4</v>
      </c>
      <c r="L68" s="29">
        <v>71</v>
      </c>
      <c r="M68" s="29">
        <v>20.399999999999999</v>
      </c>
      <c r="N68" s="29">
        <v>80.7</v>
      </c>
      <c r="O68" s="58">
        <f>K68-M68</f>
        <v>3</v>
      </c>
      <c r="P68" s="27">
        <v>31.79297488148794</v>
      </c>
      <c r="Q68" s="27">
        <v>29.704704292412366</v>
      </c>
      <c r="R68" s="27">
        <v>2.0882705890755737</v>
      </c>
      <c r="S68" s="27">
        <v>1.5</v>
      </c>
      <c r="T68" s="27">
        <v>0.38500000000000001</v>
      </c>
      <c r="U68" s="26">
        <v>1900</v>
      </c>
      <c r="V68" s="26">
        <v>1223.6532000000002</v>
      </c>
      <c r="W68" s="26">
        <v>57000</v>
      </c>
      <c r="X68" s="26">
        <v>11498.935449546951</v>
      </c>
      <c r="Y68" s="26">
        <v>45501.064550453048</v>
      </c>
      <c r="Z68" s="53" t="s">
        <v>9</v>
      </c>
      <c r="AA68" s="57">
        <v>0.20173570964117457</v>
      </c>
      <c r="AB68" s="57" t="str">
        <f>IF(TRIM(Z68)="Unit Replace",IF(OR(K68=0,AND(K68&gt;16,AA68&lt;50%)),"Prioritas 1","Prioritas 2"),"")</f>
        <v>Prioritas 1</v>
      </c>
      <c r="AC68" s="21">
        <v>9.1</v>
      </c>
      <c r="AD68" s="21">
        <v>20.2</v>
      </c>
      <c r="AE68" s="56">
        <f>AD68-AC68</f>
        <v>11.1</v>
      </c>
      <c r="AF68" s="21"/>
      <c r="AG68" s="21"/>
      <c r="AH68" s="20" t="s">
        <v>267</v>
      </c>
      <c r="AI68" s="61"/>
      <c r="AJ68" s="9"/>
    </row>
    <row r="69" spans="1:36" ht="13.95" customHeight="1" x14ac:dyDescent="0.3">
      <c r="A69" s="34">
        <f>A68+1</f>
        <v>67</v>
      </c>
      <c r="B69" s="38"/>
      <c r="C69" s="37">
        <v>46154</v>
      </c>
      <c r="D69" s="36" t="s">
        <v>266</v>
      </c>
      <c r="E69" s="36" t="s">
        <v>6</v>
      </c>
      <c r="F69" s="36" t="s">
        <v>211</v>
      </c>
      <c r="G69" s="36" t="s">
        <v>4</v>
      </c>
      <c r="H69" s="36">
        <v>2006</v>
      </c>
      <c r="I69" s="36" t="s">
        <v>10</v>
      </c>
      <c r="J69" s="30" t="s">
        <v>261</v>
      </c>
      <c r="K69" s="29">
        <v>23.2</v>
      </c>
      <c r="L69" s="29">
        <v>70.7</v>
      </c>
      <c r="M69" s="29">
        <v>17.5</v>
      </c>
      <c r="N69" s="29">
        <v>87.9</v>
      </c>
      <c r="O69" s="58">
        <f>K69-M69</f>
        <v>5.6999999999999993</v>
      </c>
      <c r="P69" s="27">
        <v>31.473514963217784</v>
      </c>
      <c r="Q69" s="27">
        <v>27.201392010758052</v>
      </c>
      <c r="R69" s="27">
        <v>4.2721229524597319</v>
      </c>
      <c r="S69" s="27">
        <v>1.8</v>
      </c>
      <c r="T69" s="27">
        <v>0.48</v>
      </c>
      <c r="U69" s="26">
        <v>2521.509</v>
      </c>
      <c r="V69" s="26">
        <v>1830.7123200000001</v>
      </c>
      <c r="W69" s="26">
        <v>72000</v>
      </c>
      <c r="X69" s="26">
        <v>35194.626547302629</v>
      </c>
      <c r="Y69" s="26">
        <v>36805.373452697371</v>
      </c>
      <c r="Z69" s="53" t="s">
        <v>9</v>
      </c>
      <c r="AA69" s="57">
        <v>0.48881425760142538</v>
      </c>
      <c r="AB69" s="57" t="str">
        <f>IF(TRIM(Z69)="Unit Replace",IF(OR(K69=0,AND(K69&gt;16,AA69&lt;50%)),"Prioritas 1","Prioritas 2"),"")</f>
        <v>Prioritas 1</v>
      </c>
      <c r="AC69" s="21">
        <v>9</v>
      </c>
      <c r="AD69" s="21">
        <v>15.4</v>
      </c>
      <c r="AE69" s="56">
        <f>AD69-AC69</f>
        <v>6.4</v>
      </c>
      <c r="AF69" s="21"/>
      <c r="AG69" s="21"/>
      <c r="AH69" s="20" t="s">
        <v>263</v>
      </c>
      <c r="AI69" s="61"/>
      <c r="AJ69" s="9"/>
    </row>
    <row r="70" spans="1:36" ht="13.95" customHeight="1" x14ac:dyDescent="0.3">
      <c r="A70" s="34">
        <f>A69+1</f>
        <v>68</v>
      </c>
      <c r="B70" s="38"/>
      <c r="C70" s="37">
        <v>46154</v>
      </c>
      <c r="D70" s="36" t="s">
        <v>265</v>
      </c>
      <c r="E70" s="36" t="s">
        <v>6</v>
      </c>
      <c r="F70" s="36" t="s">
        <v>211</v>
      </c>
      <c r="G70" s="36" t="s">
        <v>4</v>
      </c>
      <c r="H70" s="36">
        <v>2006</v>
      </c>
      <c r="I70" s="36" t="s">
        <v>10</v>
      </c>
      <c r="J70" s="30" t="s">
        <v>261</v>
      </c>
      <c r="K70" s="29">
        <v>24.5</v>
      </c>
      <c r="L70" s="29">
        <v>70.7</v>
      </c>
      <c r="M70" s="29">
        <v>16</v>
      </c>
      <c r="N70" s="29">
        <v>94</v>
      </c>
      <c r="O70" s="58">
        <f>K70-M70</f>
        <v>8.5</v>
      </c>
      <c r="P70" s="27">
        <v>33.192732233024969</v>
      </c>
      <c r="Q70" s="27">
        <v>26.202872000409862</v>
      </c>
      <c r="R70" s="27">
        <v>6.9898602326151078</v>
      </c>
      <c r="S70" s="27">
        <v>1.1000000000000001</v>
      </c>
      <c r="T70" s="27">
        <v>0.48</v>
      </c>
      <c r="U70" s="26">
        <v>2521.509</v>
      </c>
      <c r="V70" s="26">
        <v>1118.76864</v>
      </c>
      <c r="W70" s="26">
        <v>72000</v>
      </c>
      <c r="X70" s="26">
        <v>35190.163918047998</v>
      </c>
      <c r="Y70" s="26">
        <v>36809.836081952002</v>
      </c>
      <c r="Z70" s="53" t="s">
        <v>9</v>
      </c>
      <c r="AA70" s="57">
        <v>0.48875227663955551</v>
      </c>
      <c r="AB70" s="57" t="str">
        <f>IF(TRIM(Z70)="Unit Replace",IF(OR(K70=0,AND(K70&gt;16,AA70&lt;50%)),"Prioritas 1","Prioritas 2"),"")</f>
        <v>Prioritas 1</v>
      </c>
      <c r="AC70" s="21">
        <v>8.8000000000000007</v>
      </c>
      <c r="AD70" s="21">
        <v>13.8</v>
      </c>
      <c r="AE70" s="56">
        <f>AD70-AC70</f>
        <v>5</v>
      </c>
      <c r="AF70" s="21"/>
      <c r="AG70" s="21"/>
      <c r="AH70" s="20" t="s">
        <v>263</v>
      </c>
      <c r="AI70" s="61"/>
      <c r="AJ70" s="9"/>
    </row>
    <row r="71" spans="1:36" ht="13.95" customHeight="1" x14ac:dyDescent="0.3">
      <c r="A71" s="34">
        <f>A70+1</f>
        <v>69</v>
      </c>
      <c r="B71" s="38"/>
      <c r="C71" s="37">
        <v>46154</v>
      </c>
      <c r="D71" s="36" t="s">
        <v>264</v>
      </c>
      <c r="E71" s="36" t="s">
        <v>6</v>
      </c>
      <c r="F71" s="36" t="s">
        <v>211</v>
      </c>
      <c r="G71" s="36" t="s">
        <v>4</v>
      </c>
      <c r="H71" s="36">
        <v>2006</v>
      </c>
      <c r="I71" s="36" t="s">
        <v>10</v>
      </c>
      <c r="J71" s="30" t="s">
        <v>261</v>
      </c>
      <c r="K71" s="29">
        <v>24.4</v>
      </c>
      <c r="L71" s="29">
        <v>63.6</v>
      </c>
      <c r="M71" s="29">
        <v>17.600000000000001</v>
      </c>
      <c r="N71" s="29">
        <v>84.5</v>
      </c>
      <c r="O71" s="58">
        <f>K71-M71</f>
        <v>6.7999999999999972</v>
      </c>
      <c r="P71" s="27">
        <v>31.538373170618065</v>
      </c>
      <c r="Q71" s="27">
        <v>26.848899515422897</v>
      </c>
      <c r="R71" s="27">
        <v>4.6894736551951688</v>
      </c>
      <c r="S71" s="27">
        <v>1.6</v>
      </c>
      <c r="T71" s="27">
        <v>0.48</v>
      </c>
      <c r="U71" s="26">
        <v>2521.509</v>
      </c>
      <c r="V71" s="26">
        <v>1627.2998400000001</v>
      </c>
      <c r="W71" s="26">
        <v>72000</v>
      </c>
      <c r="X71" s="26">
        <v>34340.308779524916</v>
      </c>
      <c r="Y71" s="26">
        <v>37659.691220475084</v>
      </c>
      <c r="Z71" s="53" t="s">
        <v>9</v>
      </c>
      <c r="AA71" s="57">
        <v>0.47694873304895719</v>
      </c>
      <c r="AB71" s="57" t="str">
        <f>IF(TRIM(Z71)="Unit Replace",IF(OR(K71=0,AND(K71&gt;16,AA71&lt;50%)),"Prioritas 1","Prioritas 2"),"")</f>
        <v>Prioritas 1</v>
      </c>
      <c r="AC71" s="21">
        <v>8.9</v>
      </c>
      <c r="AD71" s="21">
        <v>13.6</v>
      </c>
      <c r="AE71" s="56">
        <f>AD71-AC71</f>
        <v>4.6999999999999993</v>
      </c>
      <c r="AF71" s="21"/>
      <c r="AG71" s="21"/>
      <c r="AH71" s="20" t="s">
        <v>263</v>
      </c>
      <c r="AI71" s="61"/>
      <c r="AJ71" s="9"/>
    </row>
    <row r="72" spans="1:36" ht="13.95" customHeight="1" x14ac:dyDescent="0.3">
      <c r="A72" s="34">
        <f>A71+1</f>
        <v>70</v>
      </c>
      <c r="B72" s="33"/>
      <c r="C72" s="41">
        <v>46154</v>
      </c>
      <c r="D72" s="40" t="s">
        <v>262</v>
      </c>
      <c r="E72" s="40" t="s">
        <v>6</v>
      </c>
      <c r="F72" s="40" t="s">
        <v>211</v>
      </c>
      <c r="G72" s="40" t="s">
        <v>4</v>
      </c>
      <c r="H72" s="40">
        <v>2025</v>
      </c>
      <c r="I72" s="40" t="s">
        <v>210</v>
      </c>
      <c r="J72" s="30" t="s">
        <v>261</v>
      </c>
      <c r="K72" s="29">
        <v>24.5</v>
      </c>
      <c r="L72" s="29">
        <v>64.5</v>
      </c>
      <c r="M72" s="29">
        <v>18.399999999999999</v>
      </c>
      <c r="N72" s="29">
        <v>74.7</v>
      </c>
      <c r="O72" s="58">
        <f>K72-M72</f>
        <v>6.1000000000000014</v>
      </c>
      <c r="P72" s="27">
        <v>31.857430897664408</v>
      </c>
      <c r="Q72" s="27">
        <v>26.374008235874186</v>
      </c>
      <c r="R72" s="27">
        <v>5.4834226617902218</v>
      </c>
      <c r="S72" s="27">
        <v>2.4</v>
      </c>
      <c r="T72" s="27">
        <v>0.47249999999999998</v>
      </c>
      <c r="U72" s="26">
        <v>2600</v>
      </c>
      <c r="V72" s="26">
        <v>2402.8099199999997</v>
      </c>
      <c r="W72" s="26">
        <v>60000</v>
      </c>
      <c r="X72" s="26">
        <v>59290.300652860569</v>
      </c>
      <c r="Y72" s="26">
        <v>709.69934713943076</v>
      </c>
      <c r="Z72" s="39" t="s">
        <v>17</v>
      </c>
      <c r="AA72" s="57">
        <v>0.98817167754767621</v>
      </c>
      <c r="AB72" s="57" t="str">
        <f>IF(TRIM(Z72)="Unit Replace",IF(OR(K72=0,AND(K72&gt;16,AA72&lt;50%)),"Prioritas 1","Prioritas 2"),"")</f>
        <v/>
      </c>
      <c r="AC72" s="21">
        <v>8.9</v>
      </c>
      <c r="AD72" s="21">
        <v>13.6</v>
      </c>
      <c r="AE72" s="56">
        <f>AD72-AC72</f>
        <v>4.6999999999999993</v>
      </c>
      <c r="AF72" s="21"/>
      <c r="AG72" s="21"/>
      <c r="AH72" s="20" t="s">
        <v>208</v>
      </c>
      <c r="AI72" s="61"/>
      <c r="AJ72" s="9"/>
    </row>
    <row r="73" spans="1:36" ht="13.95" customHeight="1" x14ac:dyDescent="0.3">
      <c r="A73" s="34">
        <f>A72+1</f>
        <v>71</v>
      </c>
      <c r="B73" s="42" t="s">
        <v>260</v>
      </c>
      <c r="C73" s="41">
        <v>46155</v>
      </c>
      <c r="D73" s="40" t="s">
        <v>259</v>
      </c>
      <c r="E73" s="40" t="s">
        <v>6</v>
      </c>
      <c r="F73" s="40" t="s">
        <v>116</v>
      </c>
      <c r="G73" s="40" t="s">
        <v>20</v>
      </c>
      <c r="H73" s="40">
        <v>2026</v>
      </c>
      <c r="I73" s="40" t="s">
        <v>205</v>
      </c>
      <c r="J73" s="30" t="s">
        <v>248</v>
      </c>
      <c r="K73" s="29">
        <v>22.4</v>
      </c>
      <c r="L73" s="29">
        <v>66.900000000000006</v>
      </c>
      <c r="M73" s="29">
        <v>14.1</v>
      </c>
      <c r="N73" s="29">
        <v>83.8</v>
      </c>
      <c r="O73" s="58">
        <f>K73-M73</f>
        <v>8.2999999999999989</v>
      </c>
      <c r="P73" s="27">
        <v>29.739346283825355</v>
      </c>
      <c r="Q73" s="27">
        <v>22.885013840908741</v>
      </c>
      <c r="R73" s="27">
        <v>6.8543324429166148</v>
      </c>
      <c r="S73" s="27">
        <v>2.4</v>
      </c>
      <c r="T73" s="27">
        <v>0.30250000000000005</v>
      </c>
      <c r="U73" s="26">
        <v>1500</v>
      </c>
      <c r="V73" s="26">
        <v>1538.3068800000003</v>
      </c>
      <c r="W73" s="26">
        <v>51100</v>
      </c>
      <c r="X73" s="26">
        <v>47448.300396356273</v>
      </c>
      <c r="Y73" s="26">
        <v>3651.6996036437267</v>
      </c>
      <c r="Z73" s="39" t="s">
        <v>17</v>
      </c>
      <c r="AA73" s="57">
        <v>0.92853816822615021</v>
      </c>
      <c r="AB73" s="57" t="str">
        <f>IF(TRIM(Z73)="Unit Replace",IF(OR(K73=0,AND(K73&gt;16,AA73&lt;50%)),"Prioritas 1","Prioritas 2"),"")</f>
        <v/>
      </c>
      <c r="AC73" s="21">
        <v>8.9</v>
      </c>
      <c r="AD73" s="21">
        <v>13.4</v>
      </c>
      <c r="AE73" s="56">
        <f>AD73-AC73</f>
        <v>4.5</v>
      </c>
      <c r="AF73" s="21"/>
      <c r="AG73" s="21"/>
      <c r="AH73" s="55"/>
      <c r="AI73" s="61"/>
      <c r="AJ73" s="9"/>
    </row>
    <row r="74" spans="1:36" ht="13.95" customHeight="1" x14ac:dyDescent="0.3">
      <c r="A74" s="34">
        <f>A73+1</f>
        <v>72</v>
      </c>
      <c r="B74" s="38"/>
      <c r="C74" s="32">
        <v>46155</v>
      </c>
      <c r="D74" s="31" t="s">
        <v>258</v>
      </c>
      <c r="E74" s="31" t="s">
        <v>6</v>
      </c>
      <c r="F74" s="31" t="s">
        <v>116</v>
      </c>
      <c r="G74" s="31" t="s">
        <v>14</v>
      </c>
      <c r="H74" s="31">
        <v>2024</v>
      </c>
      <c r="I74" s="31" t="s">
        <v>257</v>
      </c>
      <c r="J74" s="30" t="s">
        <v>248</v>
      </c>
      <c r="K74" s="29">
        <v>24.6</v>
      </c>
      <c r="L74" s="29">
        <v>61.2</v>
      </c>
      <c r="M74" s="29">
        <v>16.600000000000001</v>
      </c>
      <c r="N74" s="29">
        <v>82.6</v>
      </c>
      <c r="O74" s="58">
        <f>K74-M74</f>
        <v>8</v>
      </c>
      <c r="P74" s="27">
        <v>31.271653668463642</v>
      </c>
      <c r="Q74" s="27">
        <v>25.440444462977773</v>
      </c>
      <c r="R74" s="27">
        <v>5.8312092054858695</v>
      </c>
      <c r="S74" s="27">
        <v>2.13</v>
      </c>
      <c r="T74" s="27">
        <v>0.5625</v>
      </c>
      <c r="U74" s="26">
        <v>3200</v>
      </c>
      <c r="V74" s="26">
        <v>2538.6830999999997</v>
      </c>
      <c r="W74" s="26">
        <v>100000</v>
      </c>
      <c r="X74" s="26">
        <v>66616.165181391319</v>
      </c>
      <c r="Y74" s="26">
        <v>33383.834818608681</v>
      </c>
      <c r="Z74" s="25" t="s">
        <v>1</v>
      </c>
      <c r="AA74" s="57">
        <v>0.66616165181391318</v>
      </c>
      <c r="AB74" s="57" t="str">
        <f>IF(TRIM(Z74)="Unit Replace",IF(OR(K74=0,AND(K74&gt;16,AA74&lt;50%)),"Prioritas 1","Prioritas 2"),"")</f>
        <v/>
      </c>
      <c r="AC74" s="21">
        <v>9.1</v>
      </c>
      <c r="AD74" s="21">
        <v>14.4</v>
      </c>
      <c r="AE74" s="56">
        <f>AD74-AC74</f>
        <v>5.3000000000000007</v>
      </c>
      <c r="AF74" s="21"/>
      <c r="AG74" s="21"/>
      <c r="AH74" s="20" t="s">
        <v>256</v>
      </c>
      <c r="AI74" s="61"/>
      <c r="AJ74" s="9"/>
    </row>
    <row r="75" spans="1:36" ht="13.95" customHeight="1" x14ac:dyDescent="0.3">
      <c r="A75" s="34">
        <f>A74+1</f>
        <v>73</v>
      </c>
      <c r="B75" s="38"/>
      <c r="C75" s="41">
        <v>46155</v>
      </c>
      <c r="D75" s="40" t="s">
        <v>255</v>
      </c>
      <c r="E75" s="40" t="s">
        <v>6</v>
      </c>
      <c r="F75" s="40" t="s">
        <v>116</v>
      </c>
      <c r="G75" s="40" t="s">
        <v>20</v>
      </c>
      <c r="H75" s="40">
        <v>2026</v>
      </c>
      <c r="I75" s="40" t="s">
        <v>205</v>
      </c>
      <c r="J75" s="30" t="s">
        <v>248</v>
      </c>
      <c r="K75" s="29">
        <v>21.6</v>
      </c>
      <c r="L75" s="29">
        <v>67.7</v>
      </c>
      <c r="M75" s="29">
        <v>14.7</v>
      </c>
      <c r="N75" s="29">
        <v>87.5</v>
      </c>
      <c r="O75" s="58">
        <f>K75-M75</f>
        <v>6.9000000000000021</v>
      </c>
      <c r="P75" s="27">
        <v>28.930626822435141</v>
      </c>
      <c r="Q75" s="27">
        <v>23.939014873305961</v>
      </c>
      <c r="R75" s="27">
        <v>4.9916119491291795</v>
      </c>
      <c r="S75" s="27">
        <v>2.34</v>
      </c>
      <c r="T75" s="27">
        <v>0.42499999999999999</v>
      </c>
      <c r="U75" s="26">
        <v>1500</v>
      </c>
      <c r="V75" s="26">
        <v>2107.2261600000002</v>
      </c>
      <c r="W75" s="26">
        <v>51100</v>
      </c>
      <c r="X75" s="26">
        <v>47333.048758981189</v>
      </c>
      <c r="Y75" s="26">
        <v>3766.9512410188108</v>
      </c>
      <c r="Z75" s="39" t="s">
        <v>17</v>
      </c>
      <c r="AA75" s="57">
        <v>0.9262827545788882</v>
      </c>
      <c r="AB75" s="57" t="str">
        <f>IF(TRIM(Z75)="Unit Replace",IF(OR(K75=0,AND(K75&gt;16,AA75&lt;50%)),"Prioritas 1","Prioritas 2"),"")</f>
        <v/>
      </c>
      <c r="AC75" s="21">
        <v>8.9</v>
      </c>
      <c r="AD75" s="21">
        <v>13.8</v>
      </c>
      <c r="AE75" s="56">
        <f>AD75-AC75</f>
        <v>4.9000000000000004</v>
      </c>
      <c r="AF75" s="21"/>
      <c r="AG75" s="21"/>
      <c r="AH75" s="20" t="s">
        <v>253</v>
      </c>
      <c r="AI75" s="61"/>
      <c r="AJ75" s="9"/>
    </row>
    <row r="76" spans="1:36" ht="13.95" customHeight="1" x14ac:dyDescent="0.3">
      <c r="A76" s="34">
        <f>A75+1</f>
        <v>74</v>
      </c>
      <c r="B76" s="38"/>
      <c r="C76" s="41">
        <v>46155</v>
      </c>
      <c r="D76" s="40" t="s">
        <v>254</v>
      </c>
      <c r="E76" s="40" t="s">
        <v>6</v>
      </c>
      <c r="F76" s="40" t="s">
        <v>116</v>
      </c>
      <c r="G76" s="40" t="s">
        <v>20</v>
      </c>
      <c r="H76" s="40">
        <v>2026</v>
      </c>
      <c r="I76" s="40" t="s">
        <v>205</v>
      </c>
      <c r="J76" s="30" t="s">
        <v>248</v>
      </c>
      <c r="K76" s="29">
        <v>23.2</v>
      </c>
      <c r="L76" s="29">
        <v>67.3</v>
      </c>
      <c r="M76" s="29">
        <v>15.6</v>
      </c>
      <c r="N76" s="29">
        <v>91.9</v>
      </c>
      <c r="O76" s="58">
        <f>K76-M76</f>
        <v>7.6</v>
      </c>
      <c r="P76" s="27">
        <v>30.798506235538333</v>
      </c>
      <c r="Q76" s="27">
        <v>25.471712297791214</v>
      </c>
      <c r="R76" s="27">
        <v>5.3267939377471194</v>
      </c>
      <c r="S76" s="27">
        <v>2.35</v>
      </c>
      <c r="T76" s="27">
        <v>0.42499999999999999</v>
      </c>
      <c r="U76" s="26">
        <v>1500</v>
      </c>
      <c r="V76" s="26">
        <v>2116.2314000000001</v>
      </c>
      <c r="W76" s="26">
        <v>51100</v>
      </c>
      <c r="X76" s="26">
        <v>50727.278665755453</v>
      </c>
      <c r="Y76" s="26">
        <v>372.7213342445466</v>
      </c>
      <c r="Z76" s="39" t="s">
        <v>17</v>
      </c>
      <c r="AA76" s="57">
        <v>0.99270604042574273</v>
      </c>
      <c r="AB76" s="57" t="str">
        <f>IF(TRIM(Z76)="Unit Replace",IF(OR(K76=0,AND(K76&gt;16,AA76&lt;50%)),"Prioritas 1","Prioritas 2"),"")</f>
        <v/>
      </c>
      <c r="AC76" s="21">
        <v>9.5</v>
      </c>
      <c r="AD76" s="21">
        <v>14.3</v>
      </c>
      <c r="AE76" s="56">
        <f>AD76-AC76</f>
        <v>4.8000000000000007</v>
      </c>
      <c r="AF76" s="21"/>
      <c r="AG76" s="21"/>
      <c r="AH76" s="20" t="s">
        <v>253</v>
      </c>
      <c r="AI76" s="61"/>
      <c r="AJ76" s="9"/>
    </row>
    <row r="77" spans="1:36" ht="13.95" customHeight="1" x14ac:dyDescent="0.3">
      <c r="A77" s="34">
        <f>A76+1</f>
        <v>75</v>
      </c>
      <c r="B77" s="38"/>
      <c r="C77" s="41">
        <v>46155</v>
      </c>
      <c r="D77" s="40" t="s">
        <v>252</v>
      </c>
      <c r="E77" s="40" t="s">
        <v>6</v>
      </c>
      <c r="F77" s="40" t="s">
        <v>116</v>
      </c>
      <c r="G77" s="40" t="s">
        <v>20</v>
      </c>
      <c r="H77" s="40">
        <v>2026</v>
      </c>
      <c r="I77" s="40" t="s">
        <v>251</v>
      </c>
      <c r="J77" s="30" t="s">
        <v>248</v>
      </c>
      <c r="K77" s="29">
        <v>21.8</v>
      </c>
      <c r="L77" s="29">
        <v>67.400000000000006</v>
      </c>
      <c r="M77" s="29">
        <v>14.5</v>
      </c>
      <c r="N77" s="29">
        <v>89.2</v>
      </c>
      <c r="O77" s="58">
        <f>K77-M77</f>
        <v>7.3000000000000007</v>
      </c>
      <c r="P77" s="27">
        <v>29.113493772850902</v>
      </c>
      <c r="Q77" s="27">
        <v>23.914948208963612</v>
      </c>
      <c r="R77" s="27">
        <v>5.1985455638872899</v>
      </c>
      <c r="S77" s="27">
        <v>2.34</v>
      </c>
      <c r="T77" s="27">
        <v>0.29250000000000004</v>
      </c>
      <c r="U77" s="26">
        <v>1250</v>
      </c>
      <c r="V77" s="26">
        <v>1450.2674160000001</v>
      </c>
      <c r="W77" s="26">
        <v>37300</v>
      </c>
      <c r="X77" s="26">
        <v>33926.76558853688</v>
      </c>
      <c r="Y77" s="26">
        <v>3373.2344114631196</v>
      </c>
      <c r="Z77" s="39" t="s">
        <v>17</v>
      </c>
      <c r="AA77" s="57">
        <v>0.90956476108677964</v>
      </c>
      <c r="AB77" s="57" t="str">
        <f>IF(TRIM(Z77)="Unit Replace",IF(OR(K77=0,AND(K77&gt;16,AA77&lt;50%)),"Prioritas 1","Prioritas 2"),"")</f>
        <v/>
      </c>
      <c r="AC77" s="21">
        <v>8.9</v>
      </c>
      <c r="AD77" s="21">
        <v>13.9</v>
      </c>
      <c r="AE77" s="56">
        <f>AD77-AC77</f>
        <v>5</v>
      </c>
      <c r="AF77" s="21"/>
      <c r="AG77" s="21"/>
      <c r="AH77" s="20" t="s">
        <v>250</v>
      </c>
      <c r="AI77" s="61"/>
      <c r="AJ77" s="9"/>
    </row>
    <row r="78" spans="1:36" ht="13.95" customHeight="1" x14ac:dyDescent="0.3">
      <c r="A78" s="34">
        <f>A77+1</f>
        <v>76</v>
      </c>
      <c r="B78" s="38"/>
      <c r="C78" s="41">
        <v>46155</v>
      </c>
      <c r="D78" s="40" t="s">
        <v>249</v>
      </c>
      <c r="E78" s="40" t="s">
        <v>6</v>
      </c>
      <c r="F78" s="40" t="s">
        <v>116</v>
      </c>
      <c r="G78" s="40" t="s">
        <v>20</v>
      </c>
      <c r="H78" s="40">
        <v>2025</v>
      </c>
      <c r="I78" s="40" t="s">
        <v>150</v>
      </c>
      <c r="J78" s="30" t="s">
        <v>248</v>
      </c>
      <c r="K78" s="29">
        <v>22.2</v>
      </c>
      <c r="L78" s="29">
        <v>69.900000000000006</v>
      </c>
      <c r="M78" s="29">
        <v>15.4</v>
      </c>
      <c r="N78" s="29">
        <v>82.5</v>
      </c>
      <c r="O78" s="58">
        <f>K78-M78</f>
        <v>6.7999999999999989</v>
      </c>
      <c r="P78" s="27">
        <v>30.057451166844679</v>
      </c>
      <c r="Q78" s="27">
        <v>24.108762878243162</v>
      </c>
      <c r="R78" s="27">
        <v>5.9486882886015167</v>
      </c>
      <c r="S78" s="27">
        <v>2.46</v>
      </c>
      <c r="T78" s="27">
        <v>0.54</v>
      </c>
      <c r="U78" s="26">
        <v>3000</v>
      </c>
      <c r="V78" s="26">
        <v>2814.7201920000002</v>
      </c>
      <c r="W78" s="26">
        <v>75000</v>
      </c>
      <c r="X78" s="26">
        <v>75347.518688282755</v>
      </c>
      <c r="Y78" s="26">
        <v>-347.51868828275474</v>
      </c>
      <c r="Z78" s="39" t="s">
        <v>17</v>
      </c>
      <c r="AA78" s="57">
        <v>1.0046335825104367</v>
      </c>
      <c r="AB78" s="57" t="str">
        <f>IF(TRIM(Z78)="Unit Replace",IF(OR(K78=0,AND(K78&gt;16,AA78&lt;50%)),"Prioritas 1","Prioritas 2"),"")</f>
        <v/>
      </c>
      <c r="AC78" s="21">
        <v>9.3000000000000007</v>
      </c>
      <c r="AD78" s="21">
        <v>14.5</v>
      </c>
      <c r="AE78" s="56">
        <f>AD78-AC78</f>
        <v>5.1999999999999993</v>
      </c>
      <c r="AF78" s="21"/>
      <c r="AG78" s="21"/>
      <c r="AH78" s="20" t="s">
        <v>247</v>
      </c>
      <c r="AI78" s="61"/>
      <c r="AJ78" s="9"/>
    </row>
    <row r="79" spans="1:36" ht="13.95" customHeight="1" x14ac:dyDescent="0.3">
      <c r="A79" s="34">
        <f>A78+1</f>
        <v>77</v>
      </c>
      <c r="B79" s="38"/>
      <c r="C79" s="41">
        <v>46155</v>
      </c>
      <c r="D79" s="40" t="s">
        <v>246</v>
      </c>
      <c r="E79" s="40" t="s">
        <v>6</v>
      </c>
      <c r="F79" s="40" t="s">
        <v>116</v>
      </c>
      <c r="G79" s="40" t="s">
        <v>4</v>
      </c>
      <c r="H79" s="40">
        <v>2009</v>
      </c>
      <c r="I79" s="40" t="s">
        <v>3</v>
      </c>
      <c r="J79" s="30" t="s">
        <v>243</v>
      </c>
      <c r="K79" s="29">
        <v>21.8</v>
      </c>
      <c r="L79" s="29">
        <v>71.7</v>
      </c>
      <c r="M79" s="29">
        <v>14.6</v>
      </c>
      <c r="N79" s="29">
        <v>90.2</v>
      </c>
      <c r="O79" s="58">
        <f>K79-M79</f>
        <v>7.2000000000000011</v>
      </c>
      <c r="P79" s="27">
        <v>29.89452105707332</v>
      </c>
      <c r="Q79" s="27">
        <v>24.138692933250404</v>
      </c>
      <c r="R79" s="27">
        <v>5.7558281238229156</v>
      </c>
      <c r="S79" s="27">
        <v>1.64</v>
      </c>
      <c r="T79" s="27">
        <v>0.38500000000000001</v>
      </c>
      <c r="U79" s="26">
        <v>1889.9946</v>
      </c>
      <c r="V79" s="26">
        <v>1337.8608320000001</v>
      </c>
      <c r="W79" s="26">
        <v>57000</v>
      </c>
      <c r="X79" s="26">
        <v>34652.236511640265</v>
      </c>
      <c r="Y79" s="26">
        <v>22347.763488359735</v>
      </c>
      <c r="Z79" s="39" t="s">
        <v>17</v>
      </c>
      <c r="AA79" s="57">
        <v>0.60793397388842574</v>
      </c>
      <c r="AB79" s="57" t="str">
        <f>IF(TRIM(Z79)="Unit Replace",IF(OR(K79=0,AND(K79&gt;16,AA79&lt;50%)),"Prioritas 1","Prioritas 2"),"")</f>
        <v/>
      </c>
      <c r="AC79" s="21">
        <v>8.9</v>
      </c>
      <c r="AD79" s="21">
        <v>13.8</v>
      </c>
      <c r="AE79" s="56">
        <f>AD79-AC79</f>
        <v>4.9000000000000004</v>
      </c>
      <c r="AF79" s="21"/>
      <c r="AG79" s="21"/>
      <c r="AH79" s="20" t="s">
        <v>245</v>
      </c>
      <c r="AI79" s="61"/>
      <c r="AJ79" s="9"/>
    </row>
    <row r="80" spans="1:36" ht="13.95" customHeight="1" x14ac:dyDescent="0.3">
      <c r="A80" s="34">
        <f>A79+1</f>
        <v>78</v>
      </c>
      <c r="B80" s="38"/>
      <c r="C80" s="37">
        <v>46155</v>
      </c>
      <c r="D80" s="36" t="s">
        <v>244</v>
      </c>
      <c r="E80" s="36" t="s">
        <v>6</v>
      </c>
      <c r="F80" s="36" t="s">
        <v>116</v>
      </c>
      <c r="G80" s="36" t="s">
        <v>4</v>
      </c>
      <c r="H80" s="36">
        <v>2009</v>
      </c>
      <c r="I80" s="36" t="s">
        <v>3</v>
      </c>
      <c r="J80" s="30" t="s">
        <v>243</v>
      </c>
      <c r="K80" s="29">
        <v>21.7</v>
      </c>
      <c r="L80" s="29">
        <v>71</v>
      </c>
      <c r="M80" s="29">
        <v>15.7</v>
      </c>
      <c r="N80" s="29">
        <v>90</v>
      </c>
      <c r="O80" s="58">
        <f>K80-M80</f>
        <v>6</v>
      </c>
      <c r="P80" s="27">
        <v>29.644569904804335</v>
      </c>
      <c r="Q80" s="27">
        <v>25.354197355682189</v>
      </c>
      <c r="R80" s="27">
        <v>4.2903725491221465</v>
      </c>
      <c r="S80" s="27">
        <v>2.33</v>
      </c>
      <c r="T80" s="27">
        <v>0.38500000000000001</v>
      </c>
      <c r="U80" s="26">
        <v>1889.9946</v>
      </c>
      <c r="V80" s="26">
        <v>1900.7413040000001</v>
      </c>
      <c r="W80" s="26">
        <v>57000</v>
      </c>
      <c r="X80" s="26">
        <v>36696.99741148905</v>
      </c>
      <c r="Y80" s="26">
        <v>20303.00258851095</v>
      </c>
      <c r="Z80" s="53" t="s">
        <v>9</v>
      </c>
      <c r="AA80" s="57">
        <v>0.64380697213138682</v>
      </c>
      <c r="AB80" s="57" t="str">
        <f>IF(TRIM(Z80)="Unit Replace",IF(OR(K80=0,AND(K80&gt;16,AA80&lt;50%)),"Prioritas 1","Prioritas 2"),"")</f>
        <v>Prioritas 2</v>
      </c>
      <c r="AC80" s="21">
        <v>9.3000000000000007</v>
      </c>
      <c r="AD80" s="21">
        <v>14.3</v>
      </c>
      <c r="AE80" s="56">
        <f>AD80-AC80</f>
        <v>5</v>
      </c>
      <c r="AF80" s="21"/>
      <c r="AG80" s="21"/>
      <c r="AH80" s="20" t="s">
        <v>242</v>
      </c>
      <c r="AI80" s="61"/>
      <c r="AJ80" s="9"/>
    </row>
    <row r="81" spans="1:36" ht="13.95" customHeight="1" x14ac:dyDescent="0.3">
      <c r="A81" s="34">
        <f>A80+1</f>
        <v>79</v>
      </c>
      <c r="B81" s="38"/>
      <c r="C81" s="37">
        <v>46155</v>
      </c>
      <c r="D81" s="36" t="s">
        <v>241</v>
      </c>
      <c r="E81" s="36" t="s">
        <v>6</v>
      </c>
      <c r="F81" s="36" t="s">
        <v>116</v>
      </c>
      <c r="G81" s="36" t="s">
        <v>4</v>
      </c>
      <c r="H81" s="36">
        <v>2009</v>
      </c>
      <c r="I81" s="36" t="s">
        <v>10</v>
      </c>
      <c r="J81" s="30" t="s">
        <v>236</v>
      </c>
      <c r="K81" s="29">
        <v>21.4</v>
      </c>
      <c r="L81" s="29">
        <v>70.599999999999994</v>
      </c>
      <c r="M81" s="29">
        <v>14.8</v>
      </c>
      <c r="N81" s="29">
        <v>88.1</v>
      </c>
      <c r="O81" s="58">
        <f>K81-M81</f>
        <v>6.5999999999999979</v>
      </c>
      <c r="P81" s="27">
        <v>29.208323227253921</v>
      </c>
      <c r="Q81" s="27">
        <v>24.117431774951449</v>
      </c>
      <c r="R81" s="27">
        <v>5.090891452302472</v>
      </c>
      <c r="S81" s="27">
        <v>1.2</v>
      </c>
      <c r="T81" s="27">
        <v>0.74249999999999994</v>
      </c>
      <c r="U81" s="26">
        <v>2521.509</v>
      </c>
      <c r="V81" s="26">
        <v>1887.9220799999998</v>
      </c>
      <c r="W81" s="26">
        <v>72000</v>
      </c>
      <c r="X81" s="26">
        <v>43250.428708582964</v>
      </c>
      <c r="Y81" s="26">
        <v>28749.571291417036</v>
      </c>
      <c r="Z81" s="53" t="s">
        <v>9</v>
      </c>
      <c r="AA81" s="57">
        <v>0.600700398730319</v>
      </c>
      <c r="AB81" s="57" t="str">
        <f>IF(TRIM(Z81)="Unit Replace",IF(OR(K81=0,AND(K81&gt;16,AA81&lt;50%)),"Prioritas 1","Prioritas 2"),"")</f>
        <v>Prioritas 2</v>
      </c>
      <c r="AC81" s="21">
        <v>8.9</v>
      </c>
      <c r="AD81" s="21">
        <v>13.6</v>
      </c>
      <c r="AE81" s="56">
        <f>AD81-AC81</f>
        <v>4.6999999999999993</v>
      </c>
      <c r="AF81" s="21"/>
      <c r="AG81" s="21"/>
      <c r="AH81" s="20" t="s">
        <v>240</v>
      </c>
      <c r="AI81" s="61"/>
      <c r="AJ81" s="9"/>
    </row>
    <row r="82" spans="1:36" ht="13.95" customHeight="1" x14ac:dyDescent="0.3">
      <c r="A82" s="34">
        <f>A81+1</f>
        <v>80</v>
      </c>
      <c r="B82" s="38"/>
      <c r="C82" s="32">
        <v>46155</v>
      </c>
      <c r="D82" s="31" t="s">
        <v>239</v>
      </c>
      <c r="E82" s="31" t="s">
        <v>6</v>
      </c>
      <c r="F82" s="31" t="s">
        <v>116</v>
      </c>
      <c r="G82" s="31" t="s">
        <v>4</v>
      </c>
      <c r="H82" s="31">
        <v>2008</v>
      </c>
      <c r="I82" s="31" t="s">
        <v>34</v>
      </c>
      <c r="J82" s="30" t="s">
        <v>236</v>
      </c>
      <c r="K82" s="29">
        <v>0</v>
      </c>
      <c r="L82" s="29">
        <v>0</v>
      </c>
      <c r="M82" s="29">
        <v>0</v>
      </c>
      <c r="N82" s="29">
        <v>0</v>
      </c>
      <c r="O82" s="58">
        <f>K82-M82</f>
        <v>0</v>
      </c>
      <c r="P82" s="27">
        <v>0</v>
      </c>
      <c r="Q82" s="27">
        <v>0</v>
      </c>
      <c r="R82" s="27">
        <v>0</v>
      </c>
      <c r="S82" s="27">
        <v>0</v>
      </c>
      <c r="T82" s="27">
        <v>0</v>
      </c>
      <c r="U82" s="26">
        <v>1135.5919999999999</v>
      </c>
      <c r="V82" s="26">
        <v>0</v>
      </c>
      <c r="W82" s="26">
        <v>37000</v>
      </c>
      <c r="X82" s="26">
        <v>0</v>
      </c>
      <c r="Y82" s="26">
        <v>37000</v>
      </c>
      <c r="Z82" s="25" t="s">
        <v>1</v>
      </c>
      <c r="AA82" s="57">
        <v>0</v>
      </c>
      <c r="AB82" s="57" t="str">
        <f>IF(TRIM(Z82)="Unit Replace",IF(OR(K82=0,AND(K82&gt;16,AA82&lt;50%)),"Prioritas 1","Prioritas 2"),"")</f>
        <v/>
      </c>
      <c r="AC82" s="21">
        <v>0</v>
      </c>
      <c r="AD82" s="21">
        <v>0</v>
      </c>
      <c r="AE82" s="56">
        <f>AD82-AC82</f>
        <v>0</v>
      </c>
      <c r="AF82" s="21"/>
      <c r="AG82" s="21"/>
      <c r="AH82" s="20" t="s">
        <v>238</v>
      </c>
      <c r="AI82" s="61"/>
      <c r="AJ82" s="9"/>
    </row>
    <row r="83" spans="1:36" ht="13.95" customHeight="1" x14ac:dyDescent="0.3">
      <c r="A83" s="34">
        <f>A82+1</f>
        <v>81</v>
      </c>
      <c r="B83" s="33"/>
      <c r="C83" s="37">
        <v>46155</v>
      </c>
      <c r="D83" s="36" t="s">
        <v>237</v>
      </c>
      <c r="E83" s="36" t="s">
        <v>6</v>
      </c>
      <c r="F83" s="36" t="s">
        <v>116</v>
      </c>
      <c r="G83" s="36" t="s">
        <v>25</v>
      </c>
      <c r="H83" s="36">
        <v>2009</v>
      </c>
      <c r="I83" s="36" t="s">
        <v>24</v>
      </c>
      <c r="J83" s="30" t="s">
        <v>236</v>
      </c>
      <c r="K83" s="29">
        <v>22.5</v>
      </c>
      <c r="L83" s="29">
        <v>68.2</v>
      </c>
      <c r="M83" s="29">
        <v>15.9</v>
      </c>
      <c r="N83" s="29">
        <v>85.3</v>
      </c>
      <c r="O83" s="58">
        <f>K83-M83</f>
        <v>6.6</v>
      </c>
      <c r="P83" s="27">
        <v>30.106933702733137</v>
      </c>
      <c r="Q83" s="27">
        <v>24.999537520162704</v>
      </c>
      <c r="R83" s="27">
        <v>5.107396182570433</v>
      </c>
      <c r="S83" s="27">
        <v>1.45</v>
      </c>
      <c r="T83" s="27">
        <v>0.47249999999999998</v>
      </c>
      <c r="U83" s="26">
        <v>3380</v>
      </c>
      <c r="V83" s="26">
        <v>1451.69766</v>
      </c>
      <c r="W83" s="26">
        <v>60000</v>
      </c>
      <c r="X83" s="26">
        <v>33364.777891186939</v>
      </c>
      <c r="Y83" s="26">
        <v>26635.222108813061</v>
      </c>
      <c r="Z83" s="53" t="s">
        <v>9</v>
      </c>
      <c r="AA83" s="57">
        <v>0.55607963151978235</v>
      </c>
      <c r="AB83" s="57" t="str">
        <f>IF(TRIM(Z83)="Unit Replace",IF(OR(K83=0,AND(K83&gt;16,AA83&lt;50%)),"Prioritas 1","Prioritas 2"),"")</f>
        <v>Prioritas 2</v>
      </c>
      <c r="AC83" s="21">
        <v>9.1</v>
      </c>
      <c r="AD83" s="21">
        <v>14.3</v>
      </c>
      <c r="AE83" s="56">
        <f>AD83-AC83</f>
        <v>5.2000000000000011</v>
      </c>
      <c r="AF83" s="21"/>
      <c r="AG83" s="21"/>
      <c r="AH83" s="20" t="s">
        <v>235</v>
      </c>
      <c r="AI83" s="61"/>
      <c r="AJ83" s="9"/>
    </row>
    <row r="84" spans="1:36" ht="13.95" customHeight="1" x14ac:dyDescent="0.3">
      <c r="A84" s="34">
        <f>A83+1</f>
        <v>82</v>
      </c>
      <c r="B84" s="42" t="s">
        <v>234</v>
      </c>
      <c r="C84" s="32">
        <v>46157</v>
      </c>
      <c r="D84" s="31" t="s">
        <v>233</v>
      </c>
      <c r="E84" s="36" t="s">
        <v>6</v>
      </c>
      <c r="F84" s="31" t="s">
        <v>26</v>
      </c>
      <c r="G84" s="31" t="s">
        <v>14</v>
      </c>
      <c r="H84" s="31">
        <v>2018</v>
      </c>
      <c r="I84" s="31" t="s">
        <v>229</v>
      </c>
      <c r="J84" s="30" t="s">
        <v>228</v>
      </c>
      <c r="K84" s="29">
        <v>25.9</v>
      </c>
      <c r="L84" s="29">
        <v>75.3</v>
      </c>
      <c r="M84" s="29">
        <v>18.100000000000001</v>
      </c>
      <c r="N84" s="29">
        <v>91.6</v>
      </c>
      <c r="O84" s="58">
        <f>K84-M84</f>
        <v>7.7999999999999972</v>
      </c>
      <c r="P84" s="27">
        <v>36.227061649003481</v>
      </c>
      <c r="Q84" s="27">
        <v>28.468611732880817</v>
      </c>
      <c r="R84" s="27">
        <v>7.7584499161226645</v>
      </c>
      <c r="S84" s="27">
        <v>1.25</v>
      </c>
      <c r="T84" s="27">
        <v>0.84</v>
      </c>
      <c r="U84" s="26">
        <v>4600</v>
      </c>
      <c r="V84" s="26">
        <v>2224.8240000000001</v>
      </c>
      <c r="W84" s="26">
        <v>125000</v>
      </c>
      <c r="X84" s="26">
        <v>77675.335092844602</v>
      </c>
      <c r="Y84" s="26">
        <v>47324.664907155398</v>
      </c>
      <c r="Z84" s="25" t="s">
        <v>1</v>
      </c>
      <c r="AA84" s="57">
        <v>0.62140268074275684</v>
      </c>
      <c r="AB84" s="57" t="str">
        <f>IF(TRIM(Z84)="Unit Replace",IF(OR(K84=0,AND(K84&gt;16,AA84&lt;50%)),"Prioritas 1","Prioritas 2"),"")</f>
        <v/>
      </c>
      <c r="AC84" s="21">
        <v>9</v>
      </c>
      <c r="AD84" s="21">
        <v>13.4</v>
      </c>
      <c r="AE84" s="56">
        <f>AD84-AC84</f>
        <v>4.4000000000000004</v>
      </c>
      <c r="AF84" s="21"/>
      <c r="AG84" s="21"/>
      <c r="AH84" s="20" t="s">
        <v>227</v>
      </c>
      <c r="AI84" s="64" t="s">
        <v>232</v>
      </c>
      <c r="AJ84" s="9"/>
    </row>
    <row r="85" spans="1:36" ht="13.95" customHeight="1" x14ac:dyDescent="0.3">
      <c r="A85" s="34">
        <f>A84+1</f>
        <v>83</v>
      </c>
      <c r="B85" s="38"/>
      <c r="C85" s="63">
        <v>46157</v>
      </c>
      <c r="D85" s="62" t="s">
        <v>231</v>
      </c>
      <c r="E85" s="62" t="s">
        <v>182</v>
      </c>
      <c r="F85" s="62" t="s">
        <v>26</v>
      </c>
      <c r="G85" s="62" t="s">
        <v>14</v>
      </c>
      <c r="H85" s="62">
        <v>2018</v>
      </c>
      <c r="I85" s="62" t="s">
        <v>229</v>
      </c>
      <c r="J85" s="30" t="s">
        <v>228</v>
      </c>
      <c r="K85" s="29">
        <v>26.7</v>
      </c>
      <c r="L85" s="29">
        <v>60</v>
      </c>
      <c r="M85" s="29">
        <v>20.100000000000001</v>
      </c>
      <c r="N85" s="29">
        <v>86.7</v>
      </c>
      <c r="O85" s="58">
        <f>K85-M85</f>
        <v>6.5999999999999979</v>
      </c>
      <c r="P85" s="27">
        <v>33.661803426811154</v>
      </c>
      <c r="Q85" s="27">
        <v>30.308500205964926</v>
      </c>
      <c r="R85" s="27">
        <v>3.3533032208462288</v>
      </c>
      <c r="S85" s="27">
        <v>1.7</v>
      </c>
      <c r="T85" s="27">
        <v>0.9375</v>
      </c>
      <c r="U85" s="26">
        <v>4600</v>
      </c>
      <c r="V85" s="26">
        <v>3376.9650000000001</v>
      </c>
      <c r="W85" s="26">
        <v>125000</v>
      </c>
      <c r="X85" s="26">
        <v>50957.944250332432</v>
      </c>
      <c r="Y85" s="26">
        <v>74042.055749667576</v>
      </c>
      <c r="Z85" s="53" t="s">
        <v>9</v>
      </c>
      <c r="AA85" s="57">
        <v>0.40766355400265947</v>
      </c>
      <c r="AB85" s="57" t="str">
        <f>IF(TRIM(Z85)="Unit Replace",IF(OR(K85=0,AND(K85&gt;16,AA85&lt;50%)),"Prioritas 1","Prioritas 2"),"")</f>
        <v>Prioritas 1</v>
      </c>
      <c r="AC85" s="21">
        <v>9.6</v>
      </c>
      <c r="AD85" s="21">
        <v>15.6</v>
      </c>
      <c r="AE85" s="56">
        <f>AD85-AC85</f>
        <v>6</v>
      </c>
      <c r="AF85" s="21"/>
      <c r="AG85" s="21"/>
      <c r="AH85" s="20" t="s">
        <v>227</v>
      </c>
      <c r="AI85" s="61"/>
      <c r="AJ85" s="9"/>
    </row>
    <row r="86" spans="1:36" ht="13.95" customHeight="1" x14ac:dyDescent="0.3">
      <c r="A86" s="34">
        <f>A85+1</f>
        <v>84</v>
      </c>
      <c r="B86" s="38"/>
      <c r="C86" s="63">
        <v>46157</v>
      </c>
      <c r="D86" s="62" t="s">
        <v>230</v>
      </c>
      <c r="E86" s="62" t="s">
        <v>182</v>
      </c>
      <c r="F86" s="62" t="s">
        <v>26</v>
      </c>
      <c r="G86" s="62" t="s">
        <v>14</v>
      </c>
      <c r="H86" s="62">
        <v>2018</v>
      </c>
      <c r="I86" s="62" t="s">
        <v>229</v>
      </c>
      <c r="J86" s="30" t="s">
        <v>228</v>
      </c>
      <c r="K86" s="29">
        <v>26.7</v>
      </c>
      <c r="L86" s="29">
        <v>60</v>
      </c>
      <c r="M86" s="29">
        <v>17.8</v>
      </c>
      <c r="N86" s="29">
        <v>89.1</v>
      </c>
      <c r="O86" s="58">
        <f>K86-M86</f>
        <v>8.8999999999999986</v>
      </c>
      <c r="P86" s="27">
        <v>33.661803426811154</v>
      </c>
      <c r="Q86" s="27">
        <v>27.735732531031772</v>
      </c>
      <c r="R86" s="27">
        <v>5.9260708957793824</v>
      </c>
      <c r="S86" s="27">
        <v>1.38</v>
      </c>
      <c r="T86" s="27">
        <v>0.9375</v>
      </c>
      <c r="U86" s="26">
        <v>4600</v>
      </c>
      <c r="V86" s="26">
        <v>2741.3009999999999</v>
      </c>
      <c r="W86" s="26">
        <v>125000</v>
      </c>
      <c r="X86" s="26">
        <v>73103.148327019124</v>
      </c>
      <c r="Y86" s="26">
        <v>51896.851672980876</v>
      </c>
      <c r="Z86" s="53" t="s">
        <v>9</v>
      </c>
      <c r="AA86" s="57">
        <v>0.58482518661615301</v>
      </c>
      <c r="AB86" s="57" t="str">
        <f>IF(TRIM(Z86)="Unit Replace",IF(OR(K86=0,AND(K86&gt;16,AA86&lt;50%)),"Prioritas 1","Prioritas 2"),"")</f>
        <v>Prioritas 2</v>
      </c>
      <c r="AC86" s="21">
        <v>9.1</v>
      </c>
      <c r="AD86" s="21">
        <v>14.5</v>
      </c>
      <c r="AE86" s="56">
        <f>AD86-AC86</f>
        <v>5.4</v>
      </c>
      <c r="AF86" s="21"/>
      <c r="AG86" s="21"/>
      <c r="AH86" s="20" t="s">
        <v>227</v>
      </c>
      <c r="AI86" s="61"/>
      <c r="AJ86" s="9"/>
    </row>
    <row r="87" spans="1:36" ht="13.95" customHeight="1" x14ac:dyDescent="0.3">
      <c r="A87" s="34">
        <f>A86+1</f>
        <v>85</v>
      </c>
      <c r="B87" s="38"/>
      <c r="C87" s="32">
        <v>46157</v>
      </c>
      <c r="D87" s="31" t="s">
        <v>226</v>
      </c>
      <c r="E87" s="31" t="s">
        <v>182</v>
      </c>
      <c r="F87" s="31" t="s">
        <v>26</v>
      </c>
      <c r="G87" s="31" t="s">
        <v>14</v>
      </c>
      <c r="H87" s="31">
        <v>2016</v>
      </c>
      <c r="I87" s="31" t="s">
        <v>44</v>
      </c>
      <c r="J87" s="30" t="s">
        <v>222</v>
      </c>
      <c r="K87" s="29">
        <v>28.3</v>
      </c>
      <c r="L87" s="29">
        <v>61.7</v>
      </c>
      <c r="M87" s="29">
        <v>18.100000000000001</v>
      </c>
      <c r="N87" s="29">
        <v>94.5</v>
      </c>
      <c r="O87" s="58">
        <f>K87-M87</f>
        <v>10.199999999999999</v>
      </c>
      <c r="P87" s="27">
        <v>36.28251953065103</v>
      </c>
      <c r="Q87" s="27">
        <v>28.88732603227383</v>
      </c>
      <c r="R87" s="27">
        <v>7.3951934983771999</v>
      </c>
      <c r="S87" s="27">
        <v>1.766</v>
      </c>
      <c r="T87" s="27">
        <v>0.51300000000000001</v>
      </c>
      <c r="U87" s="26">
        <v>3200</v>
      </c>
      <c r="V87" s="26">
        <v>1919.6162870400001</v>
      </c>
      <c r="W87" s="26">
        <v>100000</v>
      </c>
      <c r="X87" s="26">
        <v>63881.702483837347</v>
      </c>
      <c r="Y87" s="26">
        <v>36118.297516162653</v>
      </c>
      <c r="Z87" s="25" t="s">
        <v>1</v>
      </c>
      <c r="AA87" s="57">
        <v>0.63881702483837344</v>
      </c>
      <c r="AB87" s="57" t="str">
        <f>IF(TRIM(Z87)="Unit Replace",IF(OR(K87=0,AND(K87&gt;16,AA87&lt;50%)),"Prioritas 1","Prioritas 2"),"")</f>
        <v/>
      </c>
      <c r="AC87" s="21">
        <v>9.1999999999999993</v>
      </c>
      <c r="AD87" s="21">
        <v>15.3</v>
      </c>
      <c r="AE87" s="56">
        <f>AD87-AC87</f>
        <v>6.1000000000000014</v>
      </c>
      <c r="AF87" s="21"/>
      <c r="AG87" s="21"/>
      <c r="AH87" s="20" t="s">
        <v>225</v>
      </c>
      <c r="AI87" s="61"/>
      <c r="AJ87" s="9"/>
    </row>
    <row r="88" spans="1:36" ht="13.95" customHeight="1" x14ac:dyDescent="0.3">
      <c r="A88" s="34">
        <f>A87+1</f>
        <v>86</v>
      </c>
      <c r="B88" s="38"/>
      <c r="C88" s="32">
        <v>46157</v>
      </c>
      <c r="D88" s="31" t="s">
        <v>223</v>
      </c>
      <c r="E88" s="31" t="s">
        <v>182</v>
      </c>
      <c r="F88" s="31" t="s">
        <v>26</v>
      </c>
      <c r="G88" s="31" t="s">
        <v>14</v>
      </c>
      <c r="H88" s="31">
        <v>2016</v>
      </c>
      <c r="I88" s="31" t="s">
        <v>44</v>
      </c>
      <c r="J88" s="30" t="s">
        <v>222</v>
      </c>
      <c r="K88" s="29">
        <v>29.4</v>
      </c>
      <c r="L88" s="29">
        <v>70.8</v>
      </c>
      <c r="M88" s="29">
        <v>19.899999999999999</v>
      </c>
      <c r="N88" s="29">
        <v>83.2</v>
      </c>
      <c r="O88" s="58">
        <f>K88-M88</f>
        <v>9.5</v>
      </c>
      <c r="P88" s="27">
        <v>40.531694412523677</v>
      </c>
      <c r="Q88" s="27">
        <v>29.478393901139988</v>
      </c>
      <c r="R88" s="27">
        <v>11.053300511383689</v>
      </c>
      <c r="S88" s="27">
        <v>1.1950000000000001</v>
      </c>
      <c r="T88" s="27">
        <v>0.51300000000000001</v>
      </c>
      <c r="U88" s="26">
        <v>3200</v>
      </c>
      <c r="V88" s="26">
        <v>1298.9476008000001</v>
      </c>
      <c r="W88" s="26">
        <v>100000</v>
      </c>
      <c r="X88" s="26">
        <v>64609.461810824665</v>
      </c>
      <c r="Y88" s="26">
        <v>35390.538189175335</v>
      </c>
      <c r="Z88" s="25" t="s">
        <v>1</v>
      </c>
      <c r="AA88" s="57">
        <v>0.64609461810824664</v>
      </c>
      <c r="AB88" s="57" t="str">
        <f>IF(TRIM(Z88)="Unit Replace",IF(OR(K88=0,AND(K88&gt;16,AA88&lt;50%)),"Prioritas 1","Prioritas 2"),"")</f>
        <v/>
      </c>
      <c r="AC88" s="21">
        <v>9.6999999999999993</v>
      </c>
      <c r="AD88" s="21">
        <v>15.8</v>
      </c>
      <c r="AE88" s="56">
        <f>AD88-AC88</f>
        <v>6.1000000000000014</v>
      </c>
      <c r="AF88" s="21"/>
      <c r="AG88" s="21"/>
      <c r="AH88" s="20" t="s">
        <v>224</v>
      </c>
      <c r="AI88" s="61"/>
      <c r="AJ88" s="9"/>
    </row>
    <row r="89" spans="1:36" ht="13.95" customHeight="1" x14ac:dyDescent="0.3">
      <c r="A89" s="34">
        <f>A88+1</f>
        <v>87</v>
      </c>
      <c r="B89" s="38"/>
      <c r="C89" s="32">
        <v>46157</v>
      </c>
      <c r="D89" s="31" t="s">
        <v>223</v>
      </c>
      <c r="E89" s="31" t="s">
        <v>182</v>
      </c>
      <c r="F89" s="31" t="s">
        <v>26</v>
      </c>
      <c r="G89" s="31" t="s">
        <v>14</v>
      </c>
      <c r="H89" s="31">
        <v>2016</v>
      </c>
      <c r="I89" s="31" t="s">
        <v>44</v>
      </c>
      <c r="J89" s="30" t="s">
        <v>222</v>
      </c>
      <c r="K89" s="29">
        <v>0</v>
      </c>
      <c r="L89" s="29">
        <v>0</v>
      </c>
      <c r="M89" s="29">
        <v>0</v>
      </c>
      <c r="N89" s="29">
        <v>0</v>
      </c>
      <c r="O89" s="58">
        <f>K89-M89</f>
        <v>0</v>
      </c>
      <c r="P89" s="27">
        <v>0</v>
      </c>
      <c r="Q89" s="27">
        <v>0</v>
      </c>
      <c r="R89" s="27">
        <v>0</v>
      </c>
      <c r="S89" s="27">
        <v>0</v>
      </c>
      <c r="T89" s="27">
        <v>0</v>
      </c>
      <c r="U89" s="26">
        <v>3200</v>
      </c>
      <c r="V89" s="26">
        <v>0</v>
      </c>
      <c r="W89" s="26">
        <v>100000</v>
      </c>
      <c r="X89" s="26">
        <v>0</v>
      </c>
      <c r="Y89" s="26">
        <v>100000</v>
      </c>
      <c r="Z89" s="25" t="s">
        <v>1</v>
      </c>
      <c r="AA89" s="57">
        <v>0</v>
      </c>
      <c r="AB89" s="57" t="str">
        <f>IF(TRIM(Z89)="Unit Replace",IF(OR(K89=0,AND(K89&gt;16,AA89&lt;50%)),"Prioritas 1","Prioritas 2"),"")</f>
        <v/>
      </c>
      <c r="AC89" s="21">
        <v>0</v>
      </c>
      <c r="AD89" s="21">
        <v>0</v>
      </c>
      <c r="AE89" s="56">
        <f>AD89-AC89</f>
        <v>0</v>
      </c>
      <c r="AF89" s="21"/>
      <c r="AG89" s="21"/>
      <c r="AH89" s="20" t="s">
        <v>221</v>
      </c>
      <c r="AI89" s="61"/>
      <c r="AJ89" s="9"/>
    </row>
    <row r="90" spans="1:36" ht="13.95" customHeight="1" x14ac:dyDescent="0.3">
      <c r="A90" s="34">
        <f>A89+1</f>
        <v>88</v>
      </c>
      <c r="B90" s="38"/>
      <c r="C90" s="63">
        <v>46157</v>
      </c>
      <c r="D90" s="62" t="s">
        <v>220</v>
      </c>
      <c r="E90" s="62" t="s">
        <v>6</v>
      </c>
      <c r="F90" s="62" t="s">
        <v>211</v>
      </c>
      <c r="G90" s="62" t="s">
        <v>4</v>
      </c>
      <c r="H90" s="62">
        <v>0</v>
      </c>
      <c r="I90" s="62" t="s">
        <v>34</v>
      </c>
      <c r="J90" s="30" t="s">
        <v>216</v>
      </c>
      <c r="K90" s="29">
        <v>24.2</v>
      </c>
      <c r="L90" s="29">
        <v>62</v>
      </c>
      <c r="M90" s="29">
        <v>15.6</v>
      </c>
      <c r="N90" s="29">
        <v>71.2</v>
      </c>
      <c r="O90" s="58">
        <f>K90-M90</f>
        <v>8.6</v>
      </c>
      <c r="P90" s="27">
        <v>30.951287850163908</v>
      </c>
      <c r="Q90" s="27">
        <v>22.950796324843527</v>
      </c>
      <c r="R90" s="27">
        <v>8.0004915253203812</v>
      </c>
      <c r="S90" s="27">
        <v>0.61</v>
      </c>
      <c r="T90" s="27">
        <v>0.36000000000000004</v>
      </c>
      <c r="U90" s="26">
        <v>1135.5919999999999</v>
      </c>
      <c r="V90" s="26">
        <v>465.30604800000003</v>
      </c>
      <c r="W90" s="26">
        <v>37000</v>
      </c>
      <c r="X90" s="26">
        <v>16752.046921669436</v>
      </c>
      <c r="Y90" s="26">
        <v>20247.953078330564</v>
      </c>
      <c r="Z90" s="53" t="s">
        <v>9</v>
      </c>
      <c r="AA90" s="57">
        <v>0.45275802490998479</v>
      </c>
      <c r="AB90" s="57" t="str">
        <f>IF(TRIM(Z90)="Unit Replace",IF(OR(K90=0,AND(K90&gt;16,AA90&lt;50%)),"Prioritas 1","Prioritas 2"),"")</f>
        <v>Prioritas 1</v>
      </c>
      <c r="AC90" s="21">
        <v>8.9</v>
      </c>
      <c r="AD90" s="21">
        <v>13.5</v>
      </c>
      <c r="AE90" s="56">
        <f>AD90-AC90</f>
        <v>4.5999999999999996</v>
      </c>
      <c r="AF90" s="21"/>
      <c r="AG90" s="21"/>
      <c r="AH90" s="20" t="s">
        <v>219</v>
      </c>
      <c r="AI90" s="61"/>
      <c r="AJ90" s="9"/>
    </row>
    <row r="91" spans="1:36" ht="13.95" customHeight="1" x14ac:dyDescent="0.3">
      <c r="A91" s="34">
        <f>A90+1</f>
        <v>89</v>
      </c>
      <c r="B91" s="38"/>
      <c r="C91" s="32">
        <v>46157</v>
      </c>
      <c r="D91" s="31" t="s">
        <v>218</v>
      </c>
      <c r="E91" s="31" t="s">
        <v>6</v>
      </c>
      <c r="F91" s="31" t="s">
        <v>211</v>
      </c>
      <c r="G91" s="31" t="s">
        <v>14</v>
      </c>
      <c r="H91" s="31">
        <v>2022</v>
      </c>
      <c r="I91" s="31" t="s">
        <v>217</v>
      </c>
      <c r="J91" s="30" t="s">
        <v>216</v>
      </c>
      <c r="K91" s="29">
        <v>25.5</v>
      </c>
      <c r="L91" s="29">
        <v>65.5</v>
      </c>
      <c r="M91" s="29">
        <v>18.399999999999999</v>
      </c>
      <c r="N91" s="29">
        <v>77</v>
      </c>
      <c r="O91" s="58">
        <f>K91-M91</f>
        <v>7.1000000000000014</v>
      </c>
      <c r="P91" s="27">
        <v>33.380929011724945</v>
      </c>
      <c r="Q91" s="27">
        <v>26.710259327665909</v>
      </c>
      <c r="R91" s="27">
        <v>6.6706696840590354</v>
      </c>
      <c r="S91" s="27">
        <v>1.27</v>
      </c>
      <c r="T91" s="27">
        <v>0.40500000000000003</v>
      </c>
      <c r="U91" s="26">
        <v>1597.7260000000001</v>
      </c>
      <c r="V91" s="26">
        <v>1089.8459280000002</v>
      </c>
      <c r="W91" s="26">
        <v>48000</v>
      </c>
      <c r="X91" s="26">
        <v>32715.009864921543</v>
      </c>
      <c r="Y91" s="26">
        <v>15284.990135078457</v>
      </c>
      <c r="Z91" s="25" t="s">
        <v>1</v>
      </c>
      <c r="AA91" s="57">
        <v>0.68156270551919884</v>
      </c>
      <c r="AB91" s="57"/>
      <c r="AC91" s="21">
        <v>9.5</v>
      </c>
      <c r="AD91" s="21">
        <v>15.3</v>
      </c>
      <c r="AE91" s="56">
        <f>AD91-AC91</f>
        <v>5.8000000000000007</v>
      </c>
      <c r="AF91" s="21"/>
      <c r="AG91" s="21"/>
      <c r="AH91" s="20" t="s">
        <v>215</v>
      </c>
      <c r="AI91" s="61" t="s">
        <v>214</v>
      </c>
      <c r="AJ91" s="9"/>
    </row>
    <row r="92" spans="1:36" ht="13.95" customHeight="1" x14ac:dyDescent="0.3">
      <c r="A92" s="34">
        <f>A91+1</f>
        <v>90</v>
      </c>
      <c r="B92" s="38"/>
      <c r="C92" s="41">
        <v>46157</v>
      </c>
      <c r="D92" s="40" t="s">
        <v>213</v>
      </c>
      <c r="E92" s="40" t="s">
        <v>6</v>
      </c>
      <c r="F92" s="40" t="s">
        <v>211</v>
      </c>
      <c r="G92" s="40" t="s">
        <v>20</v>
      </c>
      <c r="H92" s="40">
        <v>2025</v>
      </c>
      <c r="I92" s="40" t="s">
        <v>210</v>
      </c>
      <c r="J92" s="30" t="s">
        <v>209</v>
      </c>
      <c r="K92" s="29">
        <v>23.5</v>
      </c>
      <c r="L92" s="29">
        <v>73.099999999999994</v>
      </c>
      <c r="M92" s="29">
        <v>16.8</v>
      </c>
      <c r="N92" s="29">
        <v>88.5</v>
      </c>
      <c r="O92" s="58">
        <f>K92-M92</f>
        <v>6.6999999999999993</v>
      </c>
      <c r="P92" s="27">
        <v>32.349310170571343</v>
      </c>
      <c r="Q92" s="27">
        <v>26.445286635016547</v>
      </c>
      <c r="R92" s="27">
        <v>5.9040235355547956</v>
      </c>
      <c r="S92" s="27">
        <v>2.34</v>
      </c>
      <c r="T92" s="27">
        <v>0.4375</v>
      </c>
      <c r="U92" s="26">
        <v>2600</v>
      </c>
      <c r="V92" s="26">
        <v>2169.2033999999999</v>
      </c>
      <c r="W92" s="26">
        <v>60000</v>
      </c>
      <c r="X92" s="26">
        <v>57631.625671524678</v>
      </c>
      <c r="Y92" s="26">
        <v>2368.3743284753218</v>
      </c>
      <c r="Z92" s="39" t="s">
        <v>17</v>
      </c>
      <c r="AA92" s="57">
        <v>0.9605270945254113</v>
      </c>
      <c r="AB92" s="57" t="str">
        <f>IF(TRIM(Z92)="Unit Replace",IF(OR(K92=0,AND(K92&gt;16,AA92&lt;50%)),"Prioritas 1","Prioritas 2"),"")</f>
        <v/>
      </c>
      <c r="AC92" s="21">
        <v>9</v>
      </c>
      <c r="AD92" s="21">
        <v>14.3</v>
      </c>
      <c r="AE92" s="56">
        <f>AD92-AC92</f>
        <v>5.3000000000000007</v>
      </c>
      <c r="AF92" s="21"/>
      <c r="AG92" s="21"/>
      <c r="AH92" s="20" t="s">
        <v>208</v>
      </c>
      <c r="AI92" s="61"/>
      <c r="AJ92" s="9"/>
    </row>
    <row r="93" spans="1:36" ht="13.95" customHeight="1" x14ac:dyDescent="0.3">
      <c r="A93" s="34">
        <f>A92+1</f>
        <v>91</v>
      </c>
      <c r="B93" s="33"/>
      <c r="C93" s="41">
        <v>46157</v>
      </c>
      <c r="D93" s="40" t="s">
        <v>212</v>
      </c>
      <c r="E93" s="40" t="s">
        <v>6</v>
      </c>
      <c r="F93" s="40" t="s">
        <v>211</v>
      </c>
      <c r="G93" s="40" t="s">
        <v>20</v>
      </c>
      <c r="H93" s="40">
        <v>2025</v>
      </c>
      <c r="I93" s="40" t="s">
        <v>210</v>
      </c>
      <c r="J93" s="30" t="s">
        <v>209</v>
      </c>
      <c r="K93" s="29">
        <v>23.3</v>
      </c>
      <c r="L93" s="29">
        <v>73</v>
      </c>
      <c r="M93" s="29">
        <v>15.9</v>
      </c>
      <c r="N93" s="29">
        <v>91.1</v>
      </c>
      <c r="O93" s="58">
        <f>K93-M93</f>
        <v>7.4</v>
      </c>
      <c r="P93" s="27">
        <v>32.063097867745022</v>
      </c>
      <c r="Q93" s="27">
        <v>25.721871771520512</v>
      </c>
      <c r="R93" s="27">
        <v>6.3412260962245099</v>
      </c>
      <c r="S93" s="27">
        <v>2.25</v>
      </c>
      <c r="T93" s="27">
        <v>0.4375</v>
      </c>
      <c r="U93" s="26">
        <v>2600</v>
      </c>
      <c r="V93" s="26">
        <v>2085.7725</v>
      </c>
      <c r="W93" s="26">
        <v>60000</v>
      </c>
      <c r="X93" s="26">
        <v>59518.597535043467</v>
      </c>
      <c r="Y93" s="26">
        <v>481.40246495653264</v>
      </c>
      <c r="Z93" s="39" t="s">
        <v>17</v>
      </c>
      <c r="AA93" s="57">
        <v>0.99197662558405775</v>
      </c>
      <c r="AB93" s="57" t="str">
        <f>IF(TRIM(Z93)="Unit Replace",IF(OR(K93=0,AND(K93&gt;16,AA93&lt;50%)),"Prioritas 1","Prioritas 2"),"")</f>
        <v/>
      </c>
      <c r="AC93" s="21">
        <v>9.1</v>
      </c>
      <c r="AD93" s="21">
        <v>14.4</v>
      </c>
      <c r="AE93" s="56">
        <f>AD93-AC93</f>
        <v>5.3000000000000007</v>
      </c>
      <c r="AF93" s="21"/>
      <c r="AG93" s="21"/>
      <c r="AH93" s="20" t="s">
        <v>208</v>
      </c>
      <c r="AI93" s="61"/>
      <c r="AJ93" s="9"/>
    </row>
    <row r="94" spans="1:36" ht="13.95" customHeight="1" x14ac:dyDescent="0.3">
      <c r="A94" s="34">
        <f>A93+1</f>
        <v>92</v>
      </c>
      <c r="B94" s="42" t="s">
        <v>207</v>
      </c>
      <c r="C94" s="41">
        <v>46160</v>
      </c>
      <c r="D94" s="40" t="s">
        <v>206</v>
      </c>
      <c r="E94" s="40" t="s">
        <v>6</v>
      </c>
      <c r="F94" s="40" t="s">
        <v>26</v>
      </c>
      <c r="G94" s="40" t="s">
        <v>20</v>
      </c>
      <c r="H94" s="40">
        <v>2024</v>
      </c>
      <c r="I94" s="40" t="s">
        <v>205</v>
      </c>
      <c r="J94" s="30" t="s">
        <v>202</v>
      </c>
      <c r="K94" s="29">
        <v>24.2</v>
      </c>
      <c r="L94" s="29">
        <v>77.400000000000006</v>
      </c>
      <c r="M94" s="29">
        <v>17.5</v>
      </c>
      <c r="N94" s="29">
        <v>86.8</v>
      </c>
      <c r="O94" s="58">
        <f>K94-M94</f>
        <v>6.6999999999999993</v>
      </c>
      <c r="P94" s="27">
        <v>34.21000897918254</v>
      </c>
      <c r="Q94" s="27">
        <v>27.04909531619688</v>
      </c>
      <c r="R94" s="27">
        <v>7.16091366298566</v>
      </c>
      <c r="S94" s="27">
        <v>2.5</v>
      </c>
      <c r="T94" s="27">
        <v>0.27</v>
      </c>
      <c r="U94" s="26">
        <v>1500</v>
      </c>
      <c r="V94" s="26">
        <v>1430.2440000000001</v>
      </c>
      <c r="W94" s="26">
        <v>51100</v>
      </c>
      <c r="X94" s="26">
        <v>46088.34210451469</v>
      </c>
      <c r="Y94" s="26">
        <v>5011.6578954853103</v>
      </c>
      <c r="Z94" s="39" t="s">
        <v>17</v>
      </c>
      <c r="AA94" s="24">
        <v>0.90192450302377081</v>
      </c>
      <c r="AB94" s="57" t="str">
        <f>IF(TRIM(Z94)="Unit Replace",IF(OR(K94=0,AND(K94&gt;16,AA94&lt;50%)),"Prioritas 1","Prioritas 2"),"")</f>
        <v/>
      </c>
      <c r="AC94" s="21">
        <v>9</v>
      </c>
      <c r="AD94" s="21">
        <v>15.2</v>
      </c>
      <c r="AE94" s="56">
        <f>AD94-AC94</f>
        <v>6.1999999999999993</v>
      </c>
      <c r="AF94" s="12"/>
      <c r="AG94" s="12"/>
      <c r="AH94" s="20" t="s">
        <v>204</v>
      </c>
      <c r="AI94" s="10"/>
      <c r="AJ94" s="9"/>
    </row>
    <row r="95" spans="1:36" ht="13.95" customHeight="1" x14ac:dyDescent="0.3">
      <c r="A95" s="34">
        <f>A94+1</f>
        <v>93</v>
      </c>
      <c r="B95" s="38"/>
      <c r="C95" s="41">
        <v>46160</v>
      </c>
      <c r="D95" s="40" t="s">
        <v>203</v>
      </c>
      <c r="E95" s="40" t="s">
        <v>6</v>
      </c>
      <c r="F95" s="40" t="s">
        <v>26</v>
      </c>
      <c r="G95" s="40" t="s">
        <v>14</v>
      </c>
      <c r="H95" s="40">
        <v>2023</v>
      </c>
      <c r="I95" s="40" t="s">
        <v>13</v>
      </c>
      <c r="J95" s="30" t="s">
        <v>202</v>
      </c>
      <c r="K95" s="29">
        <v>23.6</v>
      </c>
      <c r="L95" s="29">
        <v>71</v>
      </c>
      <c r="M95" s="29">
        <v>18.100000000000001</v>
      </c>
      <c r="N95" s="29">
        <v>82.9</v>
      </c>
      <c r="O95" s="58">
        <f>K95-M95</f>
        <v>5.5</v>
      </c>
      <c r="P95" s="27">
        <v>32.054762246125328</v>
      </c>
      <c r="Q95" s="27">
        <v>27.215507245396221</v>
      </c>
      <c r="R95" s="27">
        <v>4.8392550007291071</v>
      </c>
      <c r="S95" s="27">
        <v>2.36</v>
      </c>
      <c r="T95" s="27">
        <v>0.5</v>
      </c>
      <c r="U95" s="26">
        <v>2500</v>
      </c>
      <c r="V95" s="26">
        <v>2500.2784000000001</v>
      </c>
      <c r="W95" s="26">
        <v>60000</v>
      </c>
      <c r="X95" s="26">
        <v>54447.681376867375</v>
      </c>
      <c r="Y95" s="26">
        <v>5552.3186231326254</v>
      </c>
      <c r="Z95" s="39" t="s">
        <v>17</v>
      </c>
      <c r="AA95" s="24">
        <v>0.9074613562811229</v>
      </c>
      <c r="AB95" s="57" t="str">
        <f>IF(TRIM(Z95)="Unit Replace",IF(OR(K95=0,AND(K95&gt;16,AA95&lt;50%)),"Prioritas 1","Prioritas 2"),"")</f>
        <v/>
      </c>
      <c r="AC95" s="21">
        <v>8.9</v>
      </c>
      <c r="AD95" s="21">
        <v>15.3</v>
      </c>
      <c r="AE95" s="56">
        <f>AD95-AC95</f>
        <v>6.4</v>
      </c>
      <c r="AF95" s="12"/>
      <c r="AG95" s="12"/>
      <c r="AH95" s="20" t="s">
        <v>201</v>
      </c>
      <c r="AI95" s="10"/>
      <c r="AJ95" s="9"/>
    </row>
    <row r="96" spans="1:36" ht="13.95" customHeight="1" x14ac:dyDescent="0.3">
      <c r="A96" s="34">
        <f>A95+1</f>
        <v>94</v>
      </c>
      <c r="B96" s="38"/>
      <c r="C96" s="41">
        <v>46160</v>
      </c>
      <c r="D96" s="40" t="s">
        <v>200</v>
      </c>
      <c r="E96" s="40" t="s">
        <v>182</v>
      </c>
      <c r="F96" s="40" t="s">
        <v>26</v>
      </c>
      <c r="G96" s="40" t="s">
        <v>20</v>
      </c>
      <c r="H96" s="40">
        <v>2025</v>
      </c>
      <c r="I96" s="40" t="s">
        <v>184</v>
      </c>
      <c r="J96" s="30" t="s">
        <v>180</v>
      </c>
      <c r="K96" s="29">
        <v>25.9</v>
      </c>
      <c r="L96" s="29">
        <v>64.900000000000006</v>
      </c>
      <c r="M96" s="29">
        <v>17.2</v>
      </c>
      <c r="N96" s="29">
        <v>84.3</v>
      </c>
      <c r="O96" s="58">
        <f>K96-M96</f>
        <v>8.6999999999999993</v>
      </c>
      <c r="P96" s="27">
        <v>33.777205226884014</v>
      </c>
      <c r="Q96" s="27">
        <v>26.352280020807122</v>
      </c>
      <c r="R96" s="27">
        <v>7.4249252060768924</v>
      </c>
      <c r="S96" s="27">
        <v>2.4700000000000002</v>
      </c>
      <c r="T96" s="27">
        <v>0.60750000000000004</v>
      </c>
      <c r="U96" s="26">
        <v>3000</v>
      </c>
      <c r="V96" s="26">
        <v>3179.4324120000006</v>
      </c>
      <c r="W96" s="26">
        <v>116000</v>
      </c>
      <c r="X96" s="26">
        <v>106231.71535594495</v>
      </c>
      <c r="Y96" s="26">
        <v>9768.2846440550493</v>
      </c>
      <c r="Z96" s="39" t="s">
        <v>17</v>
      </c>
      <c r="AA96" s="24">
        <v>0.91579064962021506</v>
      </c>
      <c r="AB96" s="57" t="str">
        <f>IF(TRIM(Z96)="Unit Replace",IF(OR(K96=0,AND(K96&gt;16,AA96&lt;50%)),"Prioritas 1","Prioritas 2"),"")</f>
        <v/>
      </c>
      <c r="AC96" s="21">
        <v>9.1999999999999993</v>
      </c>
      <c r="AD96" s="21">
        <v>15.6</v>
      </c>
      <c r="AE96" s="56">
        <f>AD96-AC96</f>
        <v>6.4</v>
      </c>
      <c r="AF96" s="12"/>
      <c r="AG96" s="12"/>
      <c r="AH96" s="20" t="s">
        <v>197</v>
      </c>
      <c r="AI96" s="10"/>
      <c r="AJ96" s="9"/>
    </row>
    <row r="97" spans="1:36" ht="13.95" customHeight="1" x14ac:dyDescent="0.3">
      <c r="A97" s="34">
        <f>A96+1</f>
        <v>95</v>
      </c>
      <c r="B97" s="38"/>
      <c r="C97" s="41">
        <v>46160</v>
      </c>
      <c r="D97" s="40" t="s">
        <v>199</v>
      </c>
      <c r="E97" s="40" t="s">
        <v>182</v>
      </c>
      <c r="F97" s="40" t="s">
        <v>26</v>
      </c>
      <c r="G97" s="40" t="s">
        <v>20</v>
      </c>
      <c r="H97" s="40">
        <v>2025</v>
      </c>
      <c r="I97" s="40" t="s">
        <v>198</v>
      </c>
      <c r="J97" s="30" t="s">
        <v>180</v>
      </c>
      <c r="K97" s="29">
        <v>25.4</v>
      </c>
      <c r="L97" s="29">
        <v>61.4</v>
      </c>
      <c r="M97" s="29">
        <v>15</v>
      </c>
      <c r="N97" s="29">
        <v>89.6</v>
      </c>
      <c r="O97" s="58">
        <f>K97-M97</f>
        <v>10.399999999999999</v>
      </c>
      <c r="P97" s="27">
        <v>32.315984522456134</v>
      </c>
      <c r="Q97" s="27">
        <v>24.513491685013378</v>
      </c>
      <c r="R97" s="27">
        <v>7.802492837442756</v>
      </c>
      <c r="S97" s="27">
        <v>2.34</v>
      </c>
      <c r="T97" s="27">
        <v>0.58500000000000008</v>
      </c>
      <c r="U97" s="26">
        <v>3000</v>
      </c>
      <c r="V97" s="26">
        <v>2900.5348320000003</v>
      </c>
      <c r="W97" s="26">
        <v>106500</v>
      </c>
      <c r="X97" s="26">
        <v>101841.31013144953</v>
      </c>
      <c r="Y97" s="26">
        <v>4658.6898685504711</v>
      </c>
      <c r="Z97" s="39" t="s">
        <v>17</v>
      </c>
      <c r="AA97" s="24">
        <v>0.95625643315915054</v>
      </c>
      <c r="AB97" s="57" t="str">
        <f>IF(TRIM(Z97)="Unit Replace",IF(OR(K97=0,AND(K97&gt;16,AA97&lt;50%)),"Prioritas 1","Prioritas 2"),"")</f>
        <v/>
      </c>
      <c r="AC97" s="21">
        <v>8.9</v>
      </c>
      <c r="AD97" s="21">
        <v>14.7</v>
      </c>
      <c r="AE97" s="56">
        <f>AD97-AC97</f>
        <v>5.7999999999999989</v>
      </c>
      <c r="AF97" s="12"/>
      <c r="AG97" s="12"/>
      <c r="AH97" s="20" t="s">
        <v>197</v>
      </c>
      <c r="AI97" s="10"/>
      <c r="AJ97" s="9"/>
    </row>
    <row r="98" spans="1:36" ht="13.95" customHeight="1" x14ac:dyDescent="0.3">
      <c r="A98" s="34">
        <f>A97+1</f>
        <v>96</v>
      </c>
      <c r="B98" s="38"/>
      <c r="C98" s="37">
        <v>46160</v>
      </c>
      <c r="D98" s="36" t="s">
        <v>196</v>
      </c>
      <c r="E98" s="36" t="s">
        <v>6</v>
      </c>
      <c r="F98" s="36" t="s">
        <v>75</v>
      </c>
      <c r="G98" s="36" t="s">
        <v>25</v>
      </c>
      <c r="H98" s="36">
        <v>2006</v>
      </c>
      <c r="I98" s="36" t="s">
        <v>24</v>
      </c>
      <c r="J98" s="30" t="s">
        <v>188</v>
      </c>
      <c r="K98" s="29">
        <v>21.8</v>
      </c>
      <c r="L98" s="29">
        <v>63.6</v>
      </c>
      <c r="M98" s="29">
        <v>15.8</v>
      </c>
      <c r="N98" s="29">
        <v>81.5</v>
      </c>
      <c r="O98" s="58">
        <f>K98-M98</f>
        <v>6</v>
      </c>
      <c r="P98" s="27">
        <v>28.424748710841442</v>
      </c>
      <c r="Q98" s="27">
        <v>24.418639162410901</v>
      </c>
      <c r="R98" s="27">
        <v>4.0061095484305405</v>
      </c>
      <c r="S98" s="27">
        <v>1.6</v>
      </c>
      <c r="T98" s="27">
        <v>0.47249999999999998</v>
      </c>
      <c r="U98" s="26">
        <v>3380</v>
      </c>
      <c r="V98" s="26">
        <v>1601.87328</v>
      </c>
      <c r="W98" s="26">
        <v>59000</v>
      </c>
      <c r="X98" s="26">
        <v>28877.759290726874</v>
      </c>
      <c r="Y98" s="26">
        <v>30122.240709273126</v>
      </c>
      <c r="Z98" s="53" t="s">
        <v>9</v>
      </c>
      <c r="AA98" s="24">
        <v>0.48945354730045548</v>
      </c>
      <c r="AB98" s="57" t="str">
        <f>IF(TRIM(Z98)="Unit Replace",IF(OR(K98=0,AND(K98&gt;16,AA98&lt;50%)),"Prioritas 1","Prioritas 2"),"")</f>
        <v>Prioritas 1</v>
      </c>
      <c r="AC98" s="21">
        <v>9.4</v>
      </c>
      <c r="AD98" s="21">
        <v>25.5</v>
      </c>
      <c r="AE98" s="56">
        <f>AD98-AC98</f>
        <v>16.100000000000001</v>
      </c>
      <c r="AF98" s="12"/>
      <c r="AG98" s="12"/>
      <c r="AH98" s="20" t="s">
        <v>192</v>
      </c>
      <c r="AI98" s="10"/>
      <c r="AJ98" s="9"/>
    </row>
    <row r="99" spans="1:36" ht="13.95" customHeight="1" x14ac:dyDescent="0.3">
      <c r="A99" s="34">
        <f>A98+1</f>
        <v>97</v>
      </c>
      <c r="B99" s="38"/>
      <c r="C99" s="37">
        <v>46160</v>
      </c>
      <c r="D99" s="36" t="s">
        <v>195</v>
      </c>
      <c r="E99" s="36" t="s">
        <v>6</v>
      </c>
      <c r="F99" s="36" t="s">
        <v>75</v>
      </c>
      <c r="G99" s="36" t="s">
        <v>25</v>
      </c>
      <c r="H99" s="36">
        <v>2006</v>
      </c>
      <c r="I99" s="36" t="s">
        <v>24</v>
      </c>
      <c r="J99" s="30" t="s">
        <v>188</v>
      </c>
      <c r="K99" s="29">
        <v>0</v>
      </c>
      <c r="L99" s="29">
        <v>0</v>
      </c>
      <c r="M99" s="29">
        <v>0</v>
      </c>
      <c r="N99" s="29">
        <v>0</v>
      </c>
      <c r="O99" s="58">
        <f>K99-M99</f>
        <v>0</v>
      </c>
      <c r="P99" s="27">
        <v>0</v>
      </c>
      <c r="Q99" s="27">
        <v>0</v>
      </c>
      <c r="R99" s="27">
        <v>0</v>
      </c>
      <c r="S99" s="27">
        <v>0</v>
      </c>
      <c r="T99" s="27">
        <v>0</v>
      </c>
      <c r="U99" s="26">
        <v>3380</v>
      </c>
      <c r="V99" s="26">
        <v>0</v>
      </c>
      <c r="W99" s="26">
        <v>59000</v>
      </c>
      <c r="X99" s="26">
        <v>0</v>
      </c>
      <c r="Y99" s="26">
        <v>59000</v>
      </c>
      <c r="Z99" s="53" t="s">
        <v>9</v>
      </c>
      <c r="AA99" s="24">
        <v>0</v>
      </c>
      <c r="AB99" s="57" t="str">
        <f>IF(TRIM(Z99)="Unit Replace",IF(OR(K99=0,AND(K99&gt;16,AA99&lt;50%)),"Prioritas 1","Prioritas 2"),"")</f>
        <v>Prioritas 1</v>
      </c>
      <c r="AC99" s="21">
        <v>0</v>
      </c>
      <c r="AD99" s="21">
        <v>0</v>
      </c>
      <c r="AE99" s="56">
        <f>AD99-AC99</f>
        <v>0</v>
      </c>
      <c r="AF99" s="12"/>
      <c r="AG99" s="12"/>
      <c r="AH99" s="20" t="s">
        <v>194</v>
      </c>
      <c r="AI99" s="10"/>
      <c r="AJ99" s="9"/>
    </row>
    <row r="100" spans="1:36" ht="13.95" customHeight="1" x14ac:dyDescent="0.3">
      <c r="A100" s="34">
        <f>A99+1</f>
        <v>98</v>
      </c>
      <c r="B100" s="38"/>
      <c r="C100" s="37">
        <v>46160</v>
      </c>
      <c r="D100" s="36" t="s">
        <v>193</v>
      </c>
      <c r="E100" s="36" t="s">
        <v>6</v>
      </c>
      <c r="F100" s="36" t="s">
        <v>75</v>
      </c>
      <c r="G100" s="36" t="s">
        <v>25</v>
      </c>
      <c r="H100" s="36">
        <v>2006</v>
      </c>
      <c r="I100" s="36" t="s">
        <v>24</v>
      </c>
      <c r="J100" s="30" t="s">
        <v>188</v>
      </c>
      <c r="K100" s="29">
        <v>21.3</v>
      </c>
      <c r="L100" s="29">
        <v>66.8</v>
      </c>
      <c r="M100" s="29">
        <v>16.7</v>
      </c>
      <c r="N100" s="29">
        <v>76.599999999999994</v>
      </c>
      <c r="O100" s="58">
        <f>K100-M100</f>
        <v>4.6000000000000014</v>
      </c>
      <c r="P100" s="27">
        <v>28.41971284923175</v>
      </c>
      <c r="Q100" s="27">
        <v>24.767473378207015</v>
      </c>
      <c r="R100" s="27">
        <v>3.6522394710247355</v>
      </c>
      <c r="S100" s="27">
        <v>1.7</v>
      </c>
      <c r="T100" s="27">
        <v>0.47249999999999998</v>
      </c>
      <c r="U100" s="26">
        <v>3380</v>
      </c>
      <c r="V100" s="26">
        <v>1701.9903599999998</v>
      </c>
      <c r="W100" s="26">
        <v>59000</v>
      </c>
      <c r="X100" s="26">
        <v>27972.343674430191</v>
      </c>
      <c r="Y100" s="26">
        <v>31027.656325569809</v>
      </c>
      <c r="Z100" s="53" t="s">
        <v>9</v>
      </c>
      <c r="AA100" s="24">
        <v>0.47410751990559646</v>
      </c>
      <c r="AB100" s="57" t="str">
        <f>IF(TRIM(Z100)="Unit Replace",IF(OR(K100=0,AND(K100&gt;16,AA100&lt;50%)),"Prioritas 1","Prioritas 2"),"")</f>
        <v>Prioritas 1</v>
      </c>
      <c r="AC100" s="21">
        <v>9.1</v>
      </c>
      <c r="AD100" s="21">
        <v>15.3</v>
      </c>
      <c r="AE100" s="56">
        <f>AD100-AC100</f>
        <v>6.2000000000000011</v>
      </c>
      <c r="AF100" s="12"/>
      <c r="AG100" s="12"/>
      <c r="AH100" s="20" t="s">
        <v>192</v>
      </c>
      <c r="AI100" s="10"/>
      <c r="AJ100" s="9"/>
    </row>
    <row r="101" spans="1:36" ht="13.95" customHeight="1" x14ac:dyDescent="0.3">
      <c r="A101" s="34">
        <f>A100+1</f>
        <v>99</v>
      </c>
      <c r="B101" s="38"/>
      <c r="C101" s="37">
        <v>46160</v>
      </c>
      <c r="D101" s="36" t="s">
        <v>190</v>
      </c>
      <c r="E101" s="36" t="s">
        <v>6</v>
      </c>
      <c r="F101" s="36" t="s">
        <v>75</v>
      </c>
      <c r="G101" s="36" t="s">
        <v>25</v>
      </c>
      <c r="H101" s="36">
        <v>2006</v>
      </c>
      <c r="I101" s="36" t="s">
        <v>189</v>
      </c>
      <c r="J101" s="30" t="s">
        <v>188</v>
      </c>
      <c r="K101" s="29">
        <v>22.9</v>
      </c>
      <c r="L101" s="29">
        <v>70</v>
      </c>
      <c r="M101" s="29">
        <v>17.3</v>
      </c>
      <c r="N101" s="29">
        <v>83.6</v>
      </c>
      <c r="O101" s="58">
        <f>K101-M101</f>
        <v>5.5999999999999979</v>
      </c>
      <c r="P101" s="27">
        <v>30.952048880515768</v>
      </c>
      <c r="Q101" s="27">
        <v>26.373315100246117</v>
      </c>
      <c r="R101" s="27">
        <v>4.5787337802696513</v>
      </c>
      <c r="S101" s="27">
        <v>1.45</v>
      </c>
      <c r="T101" s="27">
        <v>0.17499999999999999</v>
      </c>
      <c r="U101" s="26">
        <v>3380</v>
      </c>
      <c r="V101" s="26">
        <v>537.66579999999999</v>
      </c>
      <c r="W101" s="26">
        <v>20000</v>
      </c>
      <c r="X101" s="26">
        <v>11078.228524300677</v>
      </c>
      <c r="Y101" s="26">
        <v>8921.7714756993228</v>
      </c>
      <c r="Z101" s="53" t="s">
        <v>9</v>
      </c>
      <c r="AA101" s="24">
        <v>0.55391142621503386</v>
      </c>
      <c r="AB101" s="57"/>
      <c r="AC101" s="21">
        <v>9</v>
      </c>
      <c r="AD101" s="21">
        <v>14.5</v>
      </c>
      <c r="AE101" s="56">
        <f>AD101-AC101</f>
        <v>5.5</v>
      </c>
      <c r="AF101" s="12"/>
      <c r="AG101" s="12"/>
      <c r="AH101" s="20" t="s">
        <v>191</v>
      </c>
      <c r="AI101" s="10"/>
      <c r="AJ101" s="9"/>
    </row>
    <row r="102" spans="1:36" ht="13.95" customHeight="1" x14ac:dyDescent="0.3">
      <c r="A102" s="34">
        <f>A101+1</f>
        <v>100</v>
      </c>
      <c r="B102" s="33"/>
      <c r="C102" s="37">
        <v>46160</v>
      </c>
      <c r="D102" s="36" t="s">
        <v>190</v>
      </c>
      <c r="E102" s="36" t="s">
        <v>6</v>
      </c>
      <c r="F102" s="36" t="s">
        <v>75</v>
      </c>
      <c r="G102" s="36" t="s">
        <v>25</v>
      </c>
      <c r="H102" s="36">
        <v>2006</v>
      </c>
      <c r="I102" s="36" t="s">
        <v>189</v>
      </c>
      <c r="J102" s="30" t="s">
        <v>188</v>
      </c>
      <c r="K102" s="29">
        <v>23.4</v>
      </c>
      <c r="L102" s="29">
        <v>67.5</v>
      </c>
      <c r="M102" s="29">
        <v>17.399999999999999</v>
      </c>
      <c r="N102" s="29">
        <v>83.7</v>
      </c>
      <c r="O102" s="58">
        <f>K102-M102</f>
        <v>6</v>
      </c>
      <c r="P102" s="27">
        <v>31.089133692959429</v>
      </c>
      <c r="Q102" s="27">
        <v>26.503393991799229</v>
      </c>
      <c r="R102" s="27">
        <v>4.5857397011602004</v>
      </c>
      <c r="S102" s="27">
        <v>1.35</v>
      </c>
      <c r="T102" s="27">
        <v>0.17499999999999999</v>
      </c>
      <c r="U102" s="26">
        <v>3380</v>
      </c>
      <c r="V102" s="26">
        <v>500.58539999999999</v>
      </c>
      <c r="W102" s="26">
        <v>20000</v>
      </c>
      <c r="X102" s="26">
        <v>10329.994541705217</v>
      </c>
      <c r="Y102" s="26">
        <v>9670.0054582947832</v>
      </c>
      <c r="Z102" s="53" t="s">
        <v>9</v>
      </c>
      <c r="AA102" s="24">
        <v>0.51649972708526082</v>
      </c>
      <c r="AB102" s="57"/>
      <c r="AC102" s="21">
        <v>9</v>
      </c>
      <c r="AD102" s="21">
        <v>14.5</v>
      </c>
      <c r="AE102" s="56">
        <f>AD102-AC102</f>
        <v>5.5</v>
      </c>
      <c r="AF102" s="12"/>
      <c r="AG102" s="12"/>
      <c r="AH102" s="20" t="s">
        <v>187</v>
      </c>
      <c r="AI102" s="10"/>
      <c r="AJ102" s="9"/>
    </row>
    <row r="103" spans="1:36" ht="13.95" customHeight="1" x14ac:dyDescent="0.3">
      <c r="A103" s="34">
        <f>A102+1</f>
        <v>101</v>
      </c>
      <c r="B103" s="60" t="s">
        <v>186</v>
      </c>
      <c r="C103" s="41">
        <v>46161</v>
      </c>
      <c r="D103" s="40" t="s">
        <v>185</v>
      </c>
      <c r="E103" s="40" t="s">
        <v>182</v>
      </c>
      <c r="F103" s="40" t="s">
        <v>26</v>
      </c>
      <c r="G103" s="40" t="s">
        <v>20</v>
      </c>
      <c r="H103" s="40">
        <v>2025</v>
      </c>
      <c r="I103" s="40" t="s">
        <v>184</v>
      </c>
      <c r="J103" s="30" t="s">
        <v>180</v>
      </c>
      <c r="K103" s="29">
        <v>24.9</v>
      </c>
      <c r="L103" s="29">
        <v>67.2</v>
      </c>
      <c r="M103" s="29">
        <v>16.100000000000001</v>
      </c>
      <c r="N103" s="29">
        <v>92.1</v>
      </c>
      <c r="O103" s="58">
        <f>K103-M103</f>
        <v>8.7999999999999972</v>
      </c>
      <c r="P103" s="27">
        <v>32.965217268730541</v>
      </c>
      <c r="Q103" s="27">
        <v>26.082355116540874</v>
      </c>
      <c r="R103" s="27">
        <v>6.8828621521896665</v>
      </c>
      <c r="S103" s="27">
        <v>2.4300000000000002</v>
      </c>
      <c r="T103" s="27">
        <v>0.67500000000000004</v>
      </c>
      <c r="U103" s="26">
        <v>3531</v>
      </c>
      <c r="V103" s="26">
        <v>3475.4929200000006</v>
      </c>
      <c r="W103" s="26">
        <v>115000</v>
      </c>
      <c r="X103" s="26">
        <v>107646.02405672018</v>
      </c>
      <c r="Y103" s="26">
        <v>7353.9759432798164</v>
      </c>
      <c r="Z103" s="39" t="s">
        <v>17</v>
      </c>
      <c r="AA103" s="24">
        <v>0.93605238310191463</v>
      </c>
      <c r="AB103" s="57" t="str">
        <f>IF(TRIM(Z103)="Unit Replace",IF(OR(K103=0,AND(K103&gt;16,AA103&lt;50%)),"Prioritas 1","Prioritas 2"),"")</f>
        <v/>
      </c>
      <c r="AC103" s="21">
        <v>9.1999999999999993</v>
      </c>
      <c r="AD103" s="21">
        <v>15.6</v>
      </c>
      <c r="AE103" s="56">
        <f>AD103-AC103</f>
        <v>6.4</v>
      </c>
      <c r="AF103" s="12"/>
      <c r="AG103" s="12"/>
      <c r="AH103" s="20" t="s">
        <v>179</v>
      </c>
      <c r="AI103" s="10"/>
      <c r="AJ103" s="9"/>
    </row>
    <row r="104" spans="1:36" ht="13.95" customHeight="1" x14ac:dyDescent="0.3">
      <c r="A104" s="34">
        <f>A103+1</f>
        <v>102</v>
      </c>
      <c r="B104" s="59"/>
      <c r="C104" s="41">
        <v>46161</v>
      </c>
      <c r="D104" s="40" t="s">
        <v>183</v>
      </c>
      <c r="E104" s="40" t="s">
        <v>182</v>
      </c>
      <c r="F104" s="40" t="s">
        <v>26</v>
      </c>
      <c r="G104" s="40" t="s">
        <v>20</v>
      </c>
      <c r="H104" s="40">
        <v>2025</v>
      </c>
      <c r="I104" s="40" t="s">
        <v>181</v>
      </c>
      <c r="J104" s="30" t="s">
        <v>180</v>
      </c>
      <c r="K104" s="29">
        <v>24.9</v>
      </c>
      <c r="L104" s="29">
        <v>67.2</v>
      </c>
      <c r="M104" s="29">
        <v>15.8</v>
      </c>
      <c r="N104" s="29">
        <v>86.2</v>
      </c>
      <c r="O104" s="58">
        <f>K104-M104</f>
        <v>9.0999999999999979</v>
      </c>
      <c r="P104" s="27">
        <v>32.965217268730541</v>
      </c>
      <c r="Q104" s="27">
        <v>24.999177142042903</v>
      </c>
      <c r="R104" s="27">
        <v>7.9660401266876377</v>
      </c>
      <c r="S104" s="27">
        <v>2.4</v>
      </c>
      <c r="T104" s="27">
        <v>0.54</v>
      </c>
      <c r="U104" s="26">
        <v>3000</v>
      </c>
      <c r="V104" s="26">
        <v>2746.0684800000004</v>
      </c>
      <c r="W104" s="26">
        <v>100000</v>
      </c>
      <c r="X104" s="26">
        <v>98438.812660404583</v>
      </c>
      <c r="Y104" s="26">
        <v>1561.1873395954171</v>
      </c>
      <c r="Z104" s="39" t="s">
        <v>17</v>
      </c>
      <c r="AA104" s="24">
        <v>0.98438812660404584</v>
      </c>
      <c r="AB104" s="57" t="str">
        <f>IF(TRIM(Z104)="Unit Replace",IF(OR(K104=0,AND(K104&gt;16,AA104&lt;50%)),"Prioritas 1","Prioritas 2"),"")</f>
        <v/>
      </c>
      <c r="AC104" s="21">
        <v>8.9</v>
      </c>
      <c r="AD104" s="21">
        <v>14.6</v>
      </c>
      <c r="AE104" s="56">
        <f>AD104-AC104</f>
        <v>5.6999999999999993</v>
      </c>
      <c r="AF104" s="12"/>
      <c r="AG104" s="12"/>
      <c r="AH104" s="20" t="s">
        <v>179</v>
      </c>
      <c r="AI104" s="10"/>
      <c r="AJ104" s="9"/>
    </row>
    <row r="105" spans="1:36" ht="13.95" customHeight="1" x14ac:dyDescent="0.3">
      <c r="A105" s="34">
        <f>A104+1</f>
        <v>103</v>
      </c>
      <c r="B105" s="59"/>
      <c r="C105" s="41">
        <v>46161</v>
      </c>
      <c r="D105" s="40" t="s">
        <v>178</v>
      </c>
      <c r="E105" s="40" t="s">
        <v>6</v>
      </c>
      <c r="F105" s="40" t="s">
        <v>26</v>
      </c>
      <c r="G105" s="40" t="s">
        <v>20</v>
      </c>
      <c r="H105" s="40">
        <v>2025</v>
      </c>
      <c r="I105" s="40" t="s">
        <v>125</v>
      </c>
      <c r="J105" s="30" t="s">
        <v>175</v>
      </c>
      <c r="K105" s="29">
        <v>23</v>
      </c>
      <c r="L105" s="29">
        <v>75.2</v>
      </c>
      <c r="M105" s="29">
        <v>14.4</v>
      </c>
      <c r="N105" s="29">
        <v>95.7</v>
      </c>
      <c r="O105" s="58">
        <f>K105-M105</f>
        <v>8.6</v>
      </c>
      <c r="P105" s="27">
        <v>32.100447586366712</v>
      </c>
      <c r="Q105" s="27">
        <v>24.538948934198828</v>
      </c>
      <c r="R105" s="27">
        <v>7.5614986521678844</v>
      </c>
      <c r="S105" s="27">
        <v>2.34</v>
      </c>
      <c r="T105" s="27">
        <v>0.29250000000000004</v>
      </c>
      <c r="U105" s="26">
        <v>1500</v>
      </c>
      <c r="V105" s="26">
        <v>1450.2674160000001</v>
      </c>
      <c r="W105" s="26">
        <v>51100</v>
      </c>
      <c r="X105" s="26">
        <v>49347.878001151505</v>
      </c>
      <c r="Y105" s="26">
        <v>1752.1219988484954</v>
      </c>
      <c r="Z105" s="39" t="s">
        <v>17</v>
      </c>
      <c r="AA105" s="24">
        <v>0.9657118982612819</v>
      </c>
      <c r="AB105" s="57" t="str">
        <f>IF(TRIM(Z105)="Unit Replace",IF(OR(K105=0,AND(K105&gt;16,AA105&lt;50%)),"Prioritas 1","Prioritas 2"),"")</f>
        <v/>
      </c>
      <c r="AC105" s="21">
        <v>9.1999999999999993</v>
      </c>
      <c r="AD105" s="21">
        <v>14.5</v>
      </c>
      <c r="AE105" s="56">
        <f>AD105-AC105</f>
        <v>5.3000000000000007</v>
      </c>
      <c r="AF105" s="12"/>
      <c r="AG105" s="12"/>
      <c r="AH105" s="20" t="s">
        <v>177</v>
      </c>
      <c r="AI105" s="10"/>
      <c r="AJ105" s="9"/>
    </row>
    <row r="106" spans="1:36" ht="13.95" customHeight="1" x14ac:dyDescent="0.3">
      <c r="A106" s="34">
        <f>A105+1</f>
        <v>104</v>
      </c>
      <c r="B106" s="59"/>
      <c r="C106" s="41">
        <v>46161</v>
      </c>
      <c r="D106" s="40" t="s">
        <v>176</v>
      </c>
      <c r="E106" s="40" t="s">
        <v>6</v>
      </c>
      <c r="F106" s="40" t="s">
        <v>26</v>
      </c>
      <c r="G106" s="40" t="s">
        <v>20</v>
      </c>
      <c r="H106" s="40">
        <v>2025</v>
      </c>
      <c r="I106" s="40" t="s">
        <v>19</v>
      </c>
      <c r="J106" s="30" t="s">
        <v>175</v>
      </c>
      <c r="K106" s="29">
        <v>21.5</v>
      </c>
      <c r="L106" s="29">
        <v>73.8</v>
      </c>
      <c r="M106" s="29">
        <v>14.9</v>
      </c>
      <c r="N106" s="29">
        <v>95.1</v>
      </c>
      <c r="O106" s="58">
        <f>K106-M106</f>
        <v>6.6</v>
      </c>
      <c r="P106" s="27">
        <v>29.900164505634969</v>
      </c>
      <c r="Q106" s="27">
        <v>25.043607569982679</v>
      </c>
      <c r="R106" s="27">
        <v>4.8565569356522893</v>
      </c>
      <c r="S106" s="27">
        <v>2.36</v>
      </c>
      <c r="T106" s="27">
        <v>0.5</v>
      </c>
      <c r="U106" s="26">
        <v>2500</v>
      </c>
      <c r="V106" s="26">
        <v>2500.2784000000001</v>
      </c>
      <c r="W106" s="26">
        <v>60000</v>
      </c>
      <c r="X106" s="26">
        <v>54642.349820617244</v>
      </c>
      <c r="Y106" s="26">
        <v>5357.6501793827556</v>
      </c>
      <c r="Z106" s="39" t="s">
        <v>17</v>
      </c>
      <c r="AA106" s="24">
        <v>0.91070583034362074</v>
      </c>
      <c r="AB106" s="57" t="str">
        <f>IF(TRIM(Z106)="Unit Replace",IF(OR(K106=0,AND(K106&gt;16,AA106&lt;50%)),"Prioritas 1","Prioritas 2"),"")</f>
        <v/>
      </c>
      <c r="AC106" s="21">
        <v>8.8000000000000007</v>
      </c>
      <c r="AD106" s="21">
        <v>13.8</v>
      </c>
      <c r="AE106" s="56">
        <f>AD106-AC106</f>
        <v>5</v>
      </c>
      <c r="AF106" s="12"/>
      <c r="AG106" s="12"/>
      <c r="AH106" s="20" t="s">
        <v>174</v>
      </c>
      <c r="AI106" s="10"/>
      <c r="AJ106" s="9"/>
    </row>
    <row r="107" spans="1:36" ht="13.95" customHeight="1" x14ac:dyDescent="0.3">
      <c r="A107" s="34">
        <f>A106+1</f>
        <v>105</v>
      </c>
      <c r="B107" s="59"/>
      <c r="C107" s="41">
        <v>46161</v>
      </c>
      <c r="D107" s="40" t="s">
        <v>173</v>
      </c>
      <c r="E107" s="40" t="s">
        <v>6</v>
      </c>
      <c r="F107" s="40" t="s">
        <v>75</v>
      </c>
      <c r="G107" s="40" t="s">
        <v>20</v>
      </c>
      <c r="H107" s="40">
        <v>2025</v>
      </c>
      <c r="I107" s="40" t="s">
        <v>125</v>
      </c>
      <c r="J107" s="30" t="s">
        <v>172</v>
      </c>
      <c r="K107" s="29">
        <v>0</v>
      </c>
      <c r="L107" s="29">
        <v>0</v>
      </c>
      <c r="M107" s="29">
        <v>0</v>
      </c>
      <c r="N107" s="29">
        <v>0</v>
      </c>
      <c r="O107" s="58">
        <f>K107-M107</f>
        <v>0</v>
      </c>
      <c r="P107" s="27">
        <v>0</v>
      </c>
      <c r="Q107" s="27">
        <v>0</v>
      </c>
      <c r="R107" s="27">
        <v>0</v>
      </c>
      <c r="S107" s="27">
        <v>0</v>
      </c>
      <c r="T107" s="27">
        <v>0</v>
      </c>
      <c r="U107" s="26">
        <v>1500</v>
      </c>
      <c r="V107" s="26">
        <v>0</v>
      </c>
      <c r="W107" s="26">
        <v>51100</v>
      </c>
      <c r="X107" s="26">
        <v>0</v>
      </c>
      <c r="Y107" s="26">
        <v>51100</v>
      </c>
      <c r="Z107" s="39" t="s">
        <v>17</v>
      </c>
      <c r="AA107" s="24">
        <v>0</v>
      </c>
      <c r="AB107" s="57" t="str">
        <f>IF(TRIM(Z107)="Unit Replace",IF(OR(K107=0,AND(K107&gt;16,AA107&lt;50%)),"Prioritas 1","Prioritas 2"),"")</f>
        <v/>
      </c>
      <c r="AC107" s="21">
        <v>0</v>
      </c>
      <c r="AD107" s="21">
        <v>0</v>
      </c>
      <c r="AE107" s="56">
        <f>AD107-AC107</f>
        <v>0</v>
      </c>
      <c r="AF107" s="12"/>
      <c r="AG107" s="12"/>
      <c r="AH107" s="20" t="s">
        <v>171</v>
      </c>
      <c r="AI107" s="10"/>
      <c r="AJ107" s="9"/>
    </row>
    <row r="108" spans="1:36" ht="13.95" customHeight="1" x14ac:dyDescent="0.3">
      <c r="A108" s="34">
        <f>A107+1</f>
        <v>106</v>
      </c>
      <c r="B108" s="59"/>
      <c r="C108" s="37">
        <v>46161</v>
      </c>
      <c r="D108" s="36" t="s">
        <v>170</v>
      </c>
      <c r="E108" s="36" t="s">
        <v>6</v>
      </c>
      <c r="F108" s="36" t="s">
        <v>75</v>
      </c>
      <c r="G108" s="36" t="s">
        <v>25</v>
      </c>
      <c r="H108" s="36">
        <v>2006</v>
      </c>
      <c r="I108" s="36" t="s">
        <v>24</v>
      </c>
      <c r="J108" s="30" t="s">
        <v>168</v>
      </c>
      <c r="K108" s="29">
        <v>24</v>
      </c>
      <c r="L108" s="29">
        <v>66.3</v>
      </c>
      <c r="M108" s="29">
        <v>19</v>
      </c>
      <c r="N108" s="29">
        <v>79.3</v>
      </c>
      <c r="O108" s="58">
        <f>K108-M108</f>
        <v>5</v>
      </c>
      <c r="P108" s="27">
        <v>31.602845582598981</v>
      </c>
      <c r="Q108" s="27">
        <v>27.755438692524553</v>
      </c>
      <c r="R108" s="27">
        <v>3.8474068900744278</v>
      </c>
      <c r="S108" s="27">
        <v>1.3</v>
      </c>
      <c r="T108" s="27">
        <v>0.47249999999999998</v>
      </c>
      <c r="U108" s="26">
        <v>3380</v>
      </c>
      <c r="V108" s="26">
        <v>1301.5220400000001</v>
      </c>
      <c r="W108" s="26">
        <v>59000</v>
      </c>
      <c r="X108" s="26">
        <v>22533.681889258762</v>
      </c>
      <c r="Y108" s="26">
        <v>36466.318110741238</v>
      </c>
      <c r="Z108" s="53" t="s">
        <v>9</v>
      </c>
      <c r="AA108" s="24">
        <v>0.38192681168235187</v>
      </c>
      <c r="AB108" s="57" t="str">
        <f>IF(TRIM(Z108)="Unit Replace",IF(OR(K108=0,AND(K108&gt;16,AA108&lt;50%)),"Prioritas 1","Prioritas 2"),"")</f>
        <v>Prioritas 1</v>
      </c>
      <c r="AC108" s="21">
        <v>8.9</v>
      </c>
      <c r="AD108" s="21">
        <v>15.4</v>
      </c>
      <c r="AE108" s="56">
        <f>AD108-AC108</f>
        <v>6.5</v>
      </c>
      <c r="AF108" s="12"/>
      <c r="AG108" s="12"/>
      <c r="AH108" s="20" t="s">
        <v>101</v>
      </c>
      <c r="AI108" s="10"/>
      <c r="AJ108" s="9"/>
    </row>
    <row r="109" spans="1:36" ht="13.95" customHeight="1" x14ac:dyDescent="0.3">
      <c r="A109" s="34">
        <f>A108+1</f>
        <v>107</v>
      </c>
      <c r="B109" s="59"/>
      <c r="C109" s="37">
        <v>46161</v>
      </c>
      <c r="D109" s="36" t="s">
        <v>169</v>
      </c>
      <c r="E109" s="36" t="s">
        <v>6</v>
      </c>
      <c r="F109" s="36" t="s">
        <v>75</v>
      </c>
      <c r="G109" s="36" t="s">
        <v>25</v>
      </c>
      <c r="H109" s="36">
        <v>2006</v>
      </c>
      <c r="I109" s="36" t="s">
        <v>96</v>
      </c>
      <c r="J109" s="30" t="s">
        <v>168</v>
      </c>
      <c r="K109" s="29">
        <v>23.4</v>
      </c>
      <c r="L109" s="29">
        <v>63.6</v>
      </c>
      <c r="M109" s="29">
        <v>17.5</v>
      </c>
      <c r="N109" s="29">
        <v>77.7</v>
      </c>
      <c r="O109" s="58">
        <f>K109-M109</f>
        <v>5.8999999999999986</v>
      </c>
      <c r="P109" s="27">
        <v>30.306532314753817</v>
      </c>
      <c r="Q109" s="27">
        <v>25.791762308549146</v>
      </c>
      <c r="R109" s="27">
        <v>4.5147700062046709</v>
      </c>
      <c r="S109" s="27">
        <v>1.5</v>
      </c>
      <c r="T109" s="27">
        <v>0.34499999999999997</v>
      </c>
      <c r="U109" s="26">
        <v>2400</v>
      </c>
      <c r="V109" s="26">
        <v>1096.5203999999999</v>
      </c>
      <c r="W109" s="26">
        <v>50000</v>
      </c>
      <c r="X109" s="26">
        <v>22277.418359001964</v>
      </c>
      <c r="Y109" s="26">
        <v>27722.581640998036</v>
      </c>
      <c r="Z109" s="53" t="s">
        <v>9</v>
      </c>
      <c r="AA109" s="24">
        <v>0.44554836718003926</v>
      </c>
      <c r="AB109" s="57" t="str">
        <f>IF(TRIM(Z109)="Unit Replace",IF(OR(K109=0,AND(K109&gt;16,AA109&lt;50%)),"Prioritas 1","Prioritas 2"),"")</f>
        <v>Prioritas 1</v>
      </c>
      <c r="AC109" s="21">
        <v>9.5</v>
      </c>
      <c r="AD109" s="21">
        <v>15.9</v>
      </c>
      <c r="AE109" s="56">
        <f>AD109-AC109</f>
        <v>6.4</v>
      </c>
      <c r="AF109" s="12"/>
      <c r="AG109" s="12"/>
      <c r="AH109" s="20" t="s">
        <v>101</v>
      </c>
      <c r="AI109" s="10"/>
      <c r="AJ109" s="9"/>
    </row>
    <row r="110" spans="1:36" ht="13.95" customHeight="1" x14ac:dyDescent="0.3">
      <c r="A110" s="34">
        <f>A109+1</f>
        <v>108</v>
      </c>
      <c r="B110" s="59"/>
      <c r="C110" s="41">
        <v>46161</v>
      </c>
      <c r="D110" s="40" t="s">
        <v>167</v>
      </c>
      <c r="E110" s="40" t="s">
        <v>6</v>
      </c>
      <c r="F110" s="40" t="s">
        <v>75</v>
      </c>
      <c r="G110" s="40" t="s">
        <v>20</v>
      </c>
      <c r="H110" s="40">
        <v>2025</v>
      </c>
      <c r="I110" s="40" t="s">
        <v>150</v>
      </c>
      <c r="J110" s="30" t="s">
        <v>166</v>
      </c>
      <c r="K110" s="29">
        <v>0</v>
      </c>
      <c r="L110" s="29">
        <v>0</v>
      </c>
      <c r="M110" s="29">
        <v>0</v>
      </c>
      <c r="N110" s="29">
        <v>0</v>
      </c>
      <c r="O110" s="58">
        <f>K110-M110</f>
        <v>0</v>
      </c>
      <c r="P110" s="27">
        <v>0</v>
      </c>
      <c r="Q110" s="27">
        <v>0</v>
      </c>
      <c r="R110" s="27">
        <v>0</v>
      </c>
      <c r="S110" s="27">
        <v>2.5</v>
      </c>
      <c r="T110" s="27">
        <v>0.5625</v>
      </c>
      <c r="U110" s="26">
        <v>3000</v>
      </c>
      <c r="V110" s="26">
        <v>2979.6750000000002</v>
      </c>
      <c r="W110" s="26">
        <v>75000</v>
      </c>
      <c r="X110" s="26">
        <v>0</v>
      </c>
      <c r="Y110" s="26">
        <v>75000</v>
      </c>
      <c r="Z110" s="39" t="s">
        <v>17</v>
      </c>
      <c r="AA110" s="24">
        <v>0</v>
      </c>
      <c r="AB110" s="57" t="str">
        <f>IF(TRIM(Z110)="Unit Replace",IF(OR(K110=0,AND(K110&gt;16,AA110&lt;50%)),"Prioritas 1","Prioritas 2"),"")</f>
        <v/>
      </c>
      <c r="AC110" s="21">
        <v>0</v>
      </c>
      <c r="AD110" s="21">
        <v>0</v>
      </c>
      <c r="AE110" s="56">
        <f>AD110-AC110</f>
        <v>0</v>
      </c>
      <c r="AF110" s="12"/>
      <c r="AG110" s="12"/>
      <c r="AH110" s="20" t="s">
        <v>165</v>
      </c>
      <c r="AI110" s="10"/>
      <c r="AJ110" s="9"/>
    </row>
    <row r="111" spans="1:36" ht="13.95" customHeight="1" x14ac:dyDescent="0.3">
      <c r="A111" s="34">
        <f>A110+1</f>
        <v>109</v>
      </c>
      <c r="B111" s="59"/>
      <c r="C111" s="41">
        <v>46161</v>
      </c>
      <c r="D111" s="40" t="s">
        <v>164</v>
      </c>
      <c r="E111" s="40" t="s">
        <v>6</v>
      </c>
      <c r="F111" s="40" t="s">
        <v>75</v>
      </c>
      <c r="G111" s="40" t="s">
        <v>20</v>
      </c>
      <c r="H111" s="40">
        <v>2025</v>
      </c>
      <c r="I111" s="40" t="s">
        <v>125</v>
      </c>
      <c r="J111" s="30" t="s">
        <v>161</v>
      </c>
      <c r="K111" s="29">
        <v>22.4</v>
      </c>
      <c r="L111" s="29">
        <v>68</v>
      </c>
      <c r="M111" s="29">
        <v>14.5</v>
      </c>
      <c r="N111" s="29">
        <v>85.6</v>
      </c>
      <c r="O111" s="58">
        <f>K111-M111</f>
        <v>7.8999999999999986</v>
      </c>
      <c r="P111" s="27">
        <v>29.946715731816404</v>
      </c>
      <c r="Q111" s="27">
        <v>23.506840504481922</v>
      </c>
      <c r="R111" s="27">
        <v>6.4398752273344826</v>
      </c>
      <c r="S111" s="27">
        <v>2.5</v>
      </c>
      <c r="T111" s="27">
        <v>0.3</v>
      </c>
      <c r="U111" s="26">
        <v>1500</v>
      </c>
      <c r="V111" s="26">
        <v>1589.16</v>
      </c>
      <c r="W111" s="26">
        <v>51100</v>
      </c>
      <c r="X111" s="26">
        <v>46052.9645232189</v>
      </c>
      <c r="Y111" s="26">
        <v>5047.0354767811004</v>
      </c>
      <c r="Z111" s="39" t="s">
        <v>17</v>
      </c>
      <c r="AA111" s="24">
        <v>0.90123218245046766</v>
      </c>
      <c r="AB111" s="57" t="str">
        <f>IF(TRIM(Z111)="Unit Replace",IF(OR(K111=0,AND(K111&gt;16,AA111&lt;50%)),"Prioritas 1","Prioritas 2"),"")</f>
        <v/>
      </c>
      <c r="AC111" s="21">
        <v>8.9</v>
      </c>
      <c r="AD111" s="21">
        <v>14.5</v>
      </c>
      <c r="AE111" s="56">
        <f>AD111-AC111</f>
        <v>5.6</v>
      </c>
      <c r="AF111" s="12"/>
      <c r="AG111" s="12"/>
      <c r="AH111" s="20" t="s">
        <v>163</v>
      </c>
      <c r="AI111" s="10"/>
      <c r="AJ111" s="9"/>
    </row>
    <row r="112" spans="1:36" ht="13.95" customHeight="1" x14ac:dyDescent="0.3">
      <c r="A112" s="34">
        <f>A111+1</f>
        <v>110</v>
      </c>
      <c r="B112" s="59"/>
      <c r="C112" s="41">
        <v>46161</v>
      </c>
      <c r="D112" s="40" t="s">
        <v>162</v>
      </c>
      <c r="E112" s="40" t="s">
        <v>6</v>
      </c>
      <c r="F112" s="40" t="s">
        <v>75</v>
      </c>
      <c r="G112" s="40" t="s">
        <v>20</v>
      </c>
      <c r="H112" s="40">
        <v>2025</v>
      </c>
      <c r="I112" s="40" t="s">
        <v>125</v>
      </c>
      <c r="J112" s="30" t="s">
        <v>161</v>
      </c>
      <c r="K112" s="29">
        <v>22.5</v>
      </c>
      <c r="L112" s="29">
        <v>63.2</v>
      </c>
      <c r="M112" s="29">
        <v>14.2</v>
      </c>
      <c r="N112" s="29">
        <v>84.6</v>
      </c>
      <c r="O112" s="58">
        <f>K112-M112</f>
        <v>8.3000000000000007</v>
      </c>
      <c r="P112" s="27">
        <v>29.15922944424468</v>
      </c>
      <c r="Q112" s="27">
        <v>23.077743521938757</v>
      </c>
      <c r="R112" s="27">
        <v>6.081485922305923</v>
      </c>
      <c r="S112" s="27">
        <v>2.15</v>
      </c>
      <c r="T112" s="27">
        <v>0.48</v>
      </c>
      <c r="U112" s="26">
        <v>2500</v>
      </c>
      <c r="V112" s="26">
        <v>2186.6841600000002</v>
      </c>
      <c r="W112" s="26">
        <v>60000</v>
      </c>
      <c r="X112" s="26">
        <v>59842.300210062094</v>
      </c>
      <c r="Y112" s="26">
        <v>157.69978993790573</v>
      </c>
      <c r="Z112" s="39" t="s">
        <v>17</v>
      </c>
      <c r="AA112" s="24">
        <v>0.99737167016770156</v>
      </c>
      <c r="AB112" s="57" t="str">
        <f>IF(TRIM(Z112)="Unit Replace",IF(OR(K112=0,AND(K112&gt;16,AA112&lt;50%)),"Prioritas 1","Prioritas 2"),"")</f>
        <v/>
      </c>
      <c r="AC112" s="21">
        <v>8.9</v>
      </c>
      <c r="AD112" s="21">
        <v>13.4</v>
      </c>
      <c r="AE112" s="56">
        <f>AD112-AC112</f>
        <v>4.5</v>
      </c>
      <c r="AF112" s="12"/>
      <c r="AG112" s="12"/>
      <c r="AH112" s="20" t="s">
        <v>160</v>
      </c>
      <c r="AI112" s="10"/>
      <c r="AJ112" s="9"/>
    </row>
    <row r="113" spans="1:36" ht="13.95" customHeight="1" x14ac:dyDescent="0.3">
      <c r="A113" s="34">
        <f>A112+1</f>
        <v>111</v>
      </c>
      <c r="B113" s="60" t="s">
        <v>159</v>
      </c>
      <c r="C113" s="37">
        <v>46162</v>
      </c>
      <c r="D113" s="36" t="s">
        <v>158</v>
      </c>
      <c r="E113" s="36" t="s">
        <v>6</v>
      </c>
      <c r="F113" s="36" t="s">
        <v>116</v>
      </c>
      <c r="G113" s="36" t="s">
        <v>4</v>
      </c>
      <c r="H113" s="36">
        <v>2008</v>
      </c>
      <c r="I113" s="36" t="s">
        <v>3</v>
      </c>
      <c r="J113" s="30" t="s">
        <v>149</v>
      </c>
      <c r="K113" s="29">
        <v>25.7</v>
      </c>
      <c r="L113" s="29">
        <v>69.099999999999994</v>
      </c>
      <c r="M113" s="29">
        <v>16.2</v>
      </c>
      <c r="N113" s="29">
        <v>95.7</v>
      </c>
      <c r="O113" s="58">
        <f>K113-M113</f>
        <v>9.5</v>
      </c>
      <c r="P113" s="27">
        <v>34.484392342870663</v>
      </c>
      <c r="Q113" s="27">
        <v>26.659276317458016</v>
      </c>
      <c r="R113" s="27">
        <v>7.8251160254126475</v>
      </c>
      <c r="S113" s="27">
        <v>1.1859999999999999</v>
      </c>
      <c r="T113" s="27">
        <v>0.315</v>
      </c>
      <c r="U113" s="26">
        <v>1889.9946</v>
      </c>
      <c r="V113" s="26">
        <v>791.59237919999998</v>
      </c>
      <c r="W113" s="26">
        <v>57000</v>
      </c>
      <c r="X113" s="26">
        <v>27874.359954326006</v>
      </c>
      <c r="Y113" s="26">
        <v>29125.640045673994</v>
      </c>
      <c r="Z113" s="53" t="s">
        <v>9</v>
      </c>
      <c r="AA113" s="24">
        <v>0.48902385884782468</v>
      </c>
      <c r="AB113" s="57" t="str">
        <f>IF(TRIM(Z113)="Unit Replace",IF(OR(K113=0,AND(K113&gt;16,AA113&lt;50%)),"Prioritas 1","Prioritas 2"),"")</f>
        <v>Prioritas 1</v>
      </c>
      <c r="AC113" s="21">
        <v>8.9</v>
      </c>
      <c r="AD113" s="21">
        <v>13.6</v>
      </c>
      <c r="AE113" s="56">
        <f>AD113-AC113</f>
        <v>4.6999999999999993</v>
      </c>
      <c r="AF113" s="12"/>
      <c r="AG113" s="12"/>
      <c r="AH113" s="20" t="s">
        <v>157</v>
      </c>
      <c r="AI113" s="10"/>
      <c r="AJ113" s="9"/>
    </row>
    <row r="114" spans="1:36" ht="13.95" customHeight="1" x14ac:dyDescent="0.3">
      <c r="A114" s="34">
        <f>A113+1</f>
        <v>112</v>
      </c>
      <c r="B114" s="59"/>
      <c r="C114" s="32">
        <v>46162</v>
      </c>
      <c r="D114" s="31" t="s">
        <v>156</v>
      </c>
      <c r="E114" s="31" t="s">
        <v>6</v>
      </c>
      <c r="F114" s="31" t="s">
        <v>116</v>
      </c>
      <c r="G114" s="31" t="s">
        <v>14</v>
      </c>
      <c r="H114" s="31">
        <v>2008</v>
      </c>
      <c r="I114" s="31" t="s">
        <v>155</v>
      </c>
      <c r="J114" s="30" t="s">
        <v>149</v>
      </c>
      <c r="K114" s="29">
        <v>25.8</v>
      </c>
      <c r="L114" s="29">
        <v>67.7</v>
      </c>
      <c r="M114" s="29">
        <v>17.5</v>
      </c>
      <c r="N114" s="29">
        <v>90</v>
      </c>
      <c r="O114" s="58">
        <f>K114-M114</f>
        <v>8.3000000000000007</v>
      </c>
      <c r="P114" s="27">
        <v>34.296826862046181</v>
      </c>
      <c r="Q114" s="27">
        <v>27.492327205320535</v>
      </c>
      <c r="R114" s="27">
        <v>6.8044996567256462</v>
      </c>
      <c r="S114" s="27">
        <v>1.696</v>
      </c>
      <c r="T114" s="27">
        <v>0.42</v>
      </c>
      <c r="U114" s="26">
        <v>2500</v>
      </c>
      <c r="V114" s="26">
        <v>1509.3206015999999</v>
      </c>
      <c r="W114" s="26">
        <v>60000</v>
      </c>
      <c r="X114" s="26">
        <v>46215.77181964265</v>
      </c>
      <c r="Y114" s="26">
        <v>13784.22818035735</v>
      </c>
      <c r="Z114" s="25" t="s">
        <v>1</v>
      </c>
      <c r="AA114" s="24">
        <v>0.77026286366071084</v>
      </c>
      <c r="AB114" s="57" t="str">
        <f>IF(TRIM(Z114)="Unit Replace",IF(OR(K114=0,AND(K114&gt;16,AA114&lt;50%)),"Prioritas 1","Prioritas 2"),"")</f>
        <v/>
      </c>
      <c r="AC114" s="21">
        <v>9.1999999999999993</v>
      </c>
      <c r="AD114" s="21">
        <v>15.5</v>
      </c>
      <c r="AE114" s="56">
        <f>AD114-AC114</f>
        <v>6.3000000000000007</v>
      </c>
      <c r="AF114" s="12"/>
      <c r="AG114" s="12"/>
      <c r="AH114" s="20" t="s">
        <v>154</v>
      </c>
      <c r="AI114" s="10"/>
      <c r="AJ114" s="9"/>
    </row>
    <row r="115" spans="1:36" ht="13.95" customHeight="1" x14ac:dyDescent="0.3">
      <c r="A115" s="34">
        <f>A114+1</f>
        <v>113</v>
      </c>
      <c r="B115" s="59"/>
      <c r="C115" s="37">
        <v>46162</v>
      </c>
      <c r="D115" s="36" t="s">
        <v>153</v>
      </c>
      <c r="E115" s="36" t="s">
        <v>6</v>
      </c>
      <c r="F115" s="36" t="s">
        <v>116</v>
      </c>
      <c r="G115" s="36" t="s">
        <v>4</v>
      </c>
      <c r="H115" s="36">
        <v>2006</v>
      </c>
      <c r="I115" s="36" t="s">
        <v>77</v>
      </c>
      <c r="J115" s="30" t="s">
        <v>149</v>
      </c>
      <c r="K115" s="29">
        <v>24.6</v>
      </c>
      <c r="L115" s="29">
        <v>65.8</v>
      </c>
      <c r="M115" s="29">
        <v>16.7</v>
      </c>
      <c r="N115" s="29">
        <v>89.4</v>
      </c>
      <c r="O115" s="58">
        <f>K115-M115</f>
        <v>7.9000000000000021</v>
      </c>
      <c r="P115" s="27">
        <v>32.266079786766042</v>
      </c>
      <c r="Q115" s="27">
        <v>26.445427783054203</v>
      </c>
      <c r="R115" s="27">
        <v>5.8206520037118388</v>
      </c>
      <c r="S115" s="27">
        <v>1.0740000000000001</v>
      </c>
      <c r="T115" s="27">
        <v>0.4</v>
      </c>
      <c r="U115" s="26">
        <v>1371.192</v>
      </c>
      <c r="V115" s="26">
        <v>910.27084800000011</v>
      </c>
      <c r="W115" s="26">
        <v>47000</v>
      </c>
      <c r="X115" s="26">
        <v>23842.66425899254</v>
      </c>
      <c r="Y115" s="26">
        <v>23157.33574100746</v>
      </c>
      <c r="Z115" s="53" t="s">
        <v>9</v>
      </c>
      <c r="AA115" s="24">
        <v>0.50729072891473492</v>
      </c>
      <c r="AB115" s="57" t="str">
        <f>IF(TRIM(Z115)="Unit Replace",IF(OR(K115=0,AND(K115&gt;16,AA115&lt;50%)),"Prioritas 1","Prioritas 2"),"")</f>
        <v>Prioritas 2</v>
      </c>
      <c r="AC115" s="21">
        <v>9.6</v>
      </c>
      <c r="AD115" s="21">
        <v>15.1</v>
      </c>
      <c r="AE115" s="56">
        <f>AD115-AC115</f>
        <v>5.5</v>
      </c>
      <c r="AF115" s="12"/>
      <c r="AG115" s="12"/>
      <c r="AH115" s="20" t="s">
        <v>152</v>
      </c>
      <c r="AI115" s="10"/>
      <c r="AJ115" s="9"/>
    </row>
    <row r="116" spans="1:36" ht="13.95" customHeight="1" x14ac:dyDescent="0.3">
      <c r="A116" s="34">
        <f>A115+1</f>
        <v>114</v>
      </c>
      <c r="B116" s="59"/>
      <c r="C116" s="41">
        <v>46162</v>
      </c>
      <c r="D116" s="40" t="s">
        <v>151</v>
      </c>
      <c r="E116" s="40" t="s">
        <v>6</v>
      </c>
      <c r="F116" s="40" t="s">
        <v>116</v>
      </c>
      <c r="G116" s="40" t="s">
        <v>20</v>
      </c>
      <c r="H116" s="40">
        <v>2025</v>
      </c>
      <c r="I116" s="40" t="s">
        <v>150</v>
      </c>
      <c r="J116" s="30" t="s">
        <v>149</v>
      </c>
      <c r="K116" s="29">
        <v>25.4</v>
      </c>
      <c r="L116" s="29">
        <v>68.3</v>
      </c>
      <c r="M116" s="29">
        <v>18.3</v>
      </c>
      <c r="N116" s="29">
        <v>85</v>
      </c>
      <c r="O116" s="58">
        <f>K116-M116</f>
        <v>7.0999999999999979</v>
      </c>
      <c r="P116" s="27">
        <v>33.885748847580238</v>
      </c>
      <c r="Q116" s="27">
        <v>27.76032647546257</v>
      </c>
      <c r="R116" s="27">
        <v>6.1254223721176686</v>
      </c>
      <c r="S116" s="27">
        <v>2.34</v>
      </c>
      <c r="T116" s="27">
        <v>0.54</v>
      </c>
      <c r="U116" s="26">
        <v>3000</v>
      </c>
      <c r="V116" s="26">
        <v>2677.416768</v>
      </c>
      <c r="W116" s="26">
        <v>75000</v>
      </c>
      <c r="X116" s="26">
        <v>73801.388565855814</v>
      </c>
      <c r="Y116" s="26">
        <v>1198.6114341441862</v>
      </c>
      <c r="Z116" s="39" t="s">
        <v>17</v>
      </c>
      <c r="AA116" s="24">
        <v>0.98401851421141084</v>
      </c>
      <c r="AB116" s="57" t="str">
        <f>IF(TRIM(Z116)="Unit Replace",IF(OR(K116=0,AND(K116&gt;16,AA116&lt;50%)),"Prioritas 1","Prioritas 2"),"")</f>
        <v/>
      </c>
      <c r="AC116" s="21">
        <v>9.5</v>
      </c>
      <c r="AD116" s="21">
        <v>14.6</v>
      </c>
      <c r="AE116" s="56">
        <f>AD116-AC116</f>
        <v>5.0999999999999996</v>
      </c>
      <c r="AF116" s="12"/>
      <c r="AG116" s="12"/>
      <c r="AH116" s="20" t="s">
        <v>148</v>
      </c>
      <c r="AI116" s="10"/>
      <c r="AJ116" s="9"/>
    </row>
    <row r="117" spans="1:36" ht="13.95" customHeight="1" x14ac:dyDescent="0.3">
      <c r="A117" s="34">
        <f>A116+1</f>
        <v>115</v>
      </c>
      <c r="B117" s="59"/>
      <c r="C117" s="37">
        <v>46162</v>
      </c>
      <c r="D117" s="36" t="s">
        <v>147</v>
      </c>
      <c r="E117" s="36" t="s">
        <v>6</v>
      </c>
      <c r="F117" s="36" t="s">
        <v>116</v>
      </c>
      <c r="G117" s="36" t="s">
        <v>25</v>
      </c>
      <c r="H117" s="36">
        <v>2009</v>
      </c>
      <c r="I117" s="36" t="s">
        <v>146</v>
      </c>
      <c r="J117" s="30" t="s">
        <v>145</v>
      </c>
      <c r="K117" s="29">
        <v>23</v>
      </c>
      <c r="L117" s="29">
        <v>66.2</v>
      </c>
      <c r="M117" s="29">
        <v>16.899999999999999</v>
      </c>
      <c r="N117" s="29">
        <v>83.1</v>
      </c>
      <c r="O117" s="58">
        <f>K117-M117</f>
        <v>6.1000000000000014</v>
      </c>
      <c r="P117" s="27">
        <v>30.33452362271688</v>
      </c>
      <c r="Q117" s="27">
        <v>25.845733511287044</v>
      </c>
      <c r="R117" s="27">
        <v>4.4887901114298359</v>
      </c>
      <c r="S117" s="27">
        <v>1.1599999999999999</v>
      </c>
      <c r="T117" s="27">
        <v>0.255</v>
      </c>
      <c r="U117" s="26">
        <v>1000</v>
      </c>
      <c r="V117" s="26">
        <v>626.76470400000005</v>
      </c>
      <c r="W117" s="26">
        <v>30000</v>
      </c>
      <c r="X117" s="26">
        <v>12660.368424788017</v>
      </c>
      <c r="Y117" s="26">
        <v>17339.631575211984</v>
      </c>
      <c r="Z117" s="53" t="s">
        <v>9</v>
      </c>
      <c r="AA117" s="24">
        <v>0.42201228082626724</v>
      </c>
      <c r="AB117" s="57" t="str">
        <f>IF(TRIM(Z117)="Unit Replace",IF(OR(K117=0,AND(K117&gt;16,AA117&lt;50%)),"Prioritas 1","Prioritas 2"),"")</f>
        <v>Prioritas 1</v>
      </c>
      <c r="AC117" s="21">
        <v>9.5</v>
      </c>
      <c r="AD117" s="21">
        <v>15.4</v>
      </c>
      <c r="AE117" s="56">
        <f>AD117-AC117</f>
        <v>5.9</v>
      </c>
      <c r="AF117" s="12"/>
      <c r="AG117" s="12"/>
      <c r="AH117" s="20" t="s">
        <v>144</v>
      </c>
      <c r="AI117" s="10"/>
      <c r="AJ117" s="9"/>
    </row>
    <row r="118" spans="1:36" ht="13.95" customHeight="1" x14ac:dyDescent="0.3">
      <c r="A118" s="34">
        <f>A117+1</f>
        <v>116</v>
      </c>
      <c r="B118" s="59"/>
      <c r="C118" s="37">
        <v>46162</v>
      </c>
      <c r="D118" s="36" t="s">
        <v>143</v>
      </c>
      <c r="E118" s="36" t="s">
        <v>6</v>
      </c>
      <c r="F118" s="36" t="s">
        <v>116</v>
      </c>
      <c r="G118" s="36" t="s">
        <v>4</v>
      </c>
      <c r="H118" s="36">
        <v>2009</v>
      </c>
      <c r="I118" s="36" t="s">
        <v>3</v>
      </c>
      <c r="J118" s="30" t="s">
        <v>142</v>
      </c>
      <c r="K118" s="29">
        <v>24.1</v>
      </c>
      <c r="L118" s="29">
        <v>66</v>
      </c>
      <c r="M118" s="29">
        <v>15.2</v>
      </c>
      <c r="N118" s="29">
        <v>93.8</v>
      </c>
      <c r="O118" s="58"/>
      <c r="P118" s="27">
        <v>31.667302313757077</v>
      </c>
      <c r="Q118" s="27">
        <v>25.237347319938202</v>
      </c>
      <c r="R118" s="27">
        <v>6.4299549938188747</v>
      </c>
      <c r="S118" s="27">
        <v>1.25</v>
      </c>
      <c r="T118" s="27">
        <v>0.38500000000000001</v>
      </c>
      <c r="U118" s="26">
        <v>1889.9946</v>
      </c>
      <c r="V118" s="26">
        <v>1019.7110000000001</v>
      </c>
      <c r="W118" s="26">
        <v>57000</v>
      </c>
      <c r="X118" s="26">
        <v>29505.131265159176</v>
      </c>
      <c r="Y118" s="26">
        <v>27494.868734840824</v>
      </c>
      <c r="Z118" s="53" t="s">
        <v>9</v>
      </c>
      <c r="AA118" s="24">
        <v>0.51763388184489778</v>
      </c>
      <c r="AB118" s="57"/>
      <c r="AC118" s="21">
        <v>8.8000000000000007</v>
      </c>
      <c r="AD118" s="21">
        <v>13.7</v>
      </c>
      <c r="AE118" s="56">
        <f>AD118-AC118</f>
        <v>4.8999999999999986</v>
      </c>
      <c r="AF118" s="12"/>
      <c r="AG118" s="12"/>
      <c r="AH118" s="20" t="s">
        <v>107</v>
      </c>
      <c r="AI118" s="10"/>
      <c r="AJ118" s="9"/>
    </row>
    <row r="119" spans="1:36" ht="13.95" customHeight="1" x14ac:dyDescent="0.3">
      <c r="A119" s="34">
        <f>A118+1</f>
        <v>117</v>
      </c>
      <c r="B119" s="59"/>
      <c r="C119" s="32">
        <v>46162</v>
      </c>
      <c r="D119" s="31" t="s">
        <v>141</v>
      </c>
      <c r="E119" s="31" t="s">
        <v>6</v>
      </c>
      <c r="F119" s="31" t="s">
        <v>75</v>
      </c>
      <c r="G119" s="31" t="s">
        <v>4</v>
      </c>
      <c r="H119" s="31">
        <v>2007</v>
      </c>
      <c r="I119" s="31" t="s">
        <v>3</v>
      </c>
      <c r="J119" s="30" t="s">
        <v>140</v>
      </c>
      <c r="K119" s="29">
        <v>21.5</v>
      </c>
      <c r="L119" s="29">
        <v>71.7</v>
      </c>
      <c r="M119" s="29">
        <v>13.7</v>
      </c>
      <c r="N119" s="29">
        <v>95.9</v>
      </c>
      <c r="O119" s="58">
        <f>K119-M119</f>
        <v>7.8000000000000007</v>
      </c>
      <c r="P119" s="27">
        <v>29.525375212666262</v>
      </c>
      <c r="Q119" s="27">
        <v>23.773508190227513</v>
      </c>
      <c r="R119" s="27">
        <v>5.7518670224387485</v>
      </c>
      <c r="S119" s="27">
        <v>2.3180000000000001</v>
      </c>
      <c r="T119" s="27">
        <v>0.38500000000000001</v>
      </c>
      <c r="U119" s="26">
        <v>1889.9946</v>
      </c>
      <c r="V119" s="26">
        <v>1890.9520784000001</v>
      </c>
      <c r="W119" s="26">
        <v>57000</v>
      </c>
      <c r="X119" s="26">
        <v>48944.272053424371</v>
      </c>
      <c r="Y119" s="26">
        <v>8055.7279465756292</v>
      </c>
      <c r="Z119" s="25" t="s">
        <v>1</v>
      </c>
      <c r="AA119" s="24">
        <v>0.85867143953376091</v>
      </c>
      <c r="AB119" s="57" t="str">
        <f>IF(TRIM(Z119)="Unit Replace",IF(OR(K119=0,AND(K119&gt;16,AA119&lt;50%)),"Prioritas 1","Prioritas 2"),"")</f>
        <v/>
      </c>
      <c r="AC119" s="21">
        <v>8.6999999999999993</v>
      </c>
      <c r="AD119" s="21">
        <v>13</v>
      </c>
      <c r="AE119" s="56">
        <f>AD119-AC119</f>
        <v>4.3000000000000007</v>
      </c>
      <c r="AF119" s="12"/>
      <c r="AG119" s="12"/>
      <c r="AH119" s="20" t="s">
        <v>136</v>
      </c>
      <c r="AI119" s="10"/>
      <c r="AJ119" s="9"/>
    </row>
    <row r="120" spans="1:36" ht="13.95" customHeight="1" x14ac:dyDescent="0.3">
      <c r="A120" s="34">
        <f>A119+1</f>
        <v>118</v>
      </c>
      <c r="B120" s="59"/>
      <c r="C120" s="37">
        <v>46162</v>
      </c>
      <c r="D120" s="36" t="s">
        <v>139</v>
      </c>
      <c r="E120" s="36" t="s">
        <v>6</v>
      </c>
      <c r="F120" s="36" t="s">
        <v>75</v>
      </c>
      <c r="G120" s="36" t="s">
        <v>4</v>
      </c>
      <c r="H120" s="36">
        <v>2008</v>
      </c>
      <c r="I120" s="36" t="s">
        <v>77</v>
      </c>
      <c r="J120" s="30" t="s">
        <v>137</v>
      </c>
      <c r="K120" s="29">
        <v>23.9</v>
      </c>
      <c r="L120" s="29">
        <v>61.3</v>
      </c>
      <c r="M120" s="29">
        <v>16.3</v>
      </c>
      <c r="N120" s="29">
        <v>83.9</v>
      </c>
      <c r="O120" s="58">
        <f>K120-M120</f>
        <v>7.5999999999999979</v>
      </c>
      <c r="P120" s="27">
        <v>30.441426356611242</v>
      </c>
      <c r="Q120" s="27">
        <v>25.271179870711222</v>
      </c>
      <c r="R120" s="27">
        <v>5.1702464859000195</v>
      </c>
      <c r="S120" s="27">
        <v>1.1599999999999999</v>
      </c>
      <c r="T120" s="27">
        <v>0.28499999999999998</v>
      </c>
      <c r="U120" s="26">
        <v>1371.192</v>
      </c>
      <c r="V120" s="26">
        <v>700.50172799999996</v>
      </c>
      <c r="W120" s="26">
        <v>47000</v>
      </c>
      <c r="X120" s="26">
        <v>16297.949689015011</v>
      </c>
      <c r="Y120" s="26">
        <v>30702.050310984989</v>
      </c>
      <c r="Z120" s="53" t="s">
        <v>9</v>
      </c>
      <c r="AA120" s="24">
        <v>0.34676488700031938</v>
      </c>
      <c r="AB120" s="57" t="str">
        <f>IF(TRIM(Z120)="Unit Replace",IF(OR(K120=0,AND(K120&gt;16,AA120&lt;50%)),"Prioritas 1","Prioritas 2"),"")</f>
        <v>Prioritas 1</v>
      </c>
      <c r="AC120" s="21">
        <v>9.1999999999999993</v>
      </c>
      <c r="AD120" s="21">
        <v>15.1</v>
      </c>
      <c r="AE120" s="56">
        <f>AD120-AC120</f>
        <v>5.9</v>
      </c>
      <c r="AF120" s="12"/>
      <c r="AG120" s="12"/>
      <c r="AH120" s="20" t="s">
        <v>107</v>
      </c>
      <c r="AI120" s="10"/>
      <c r="AJ120" s="9"/>
    </row>
    <row r="121" spans="1:36" ht="13.95" customHeight="1" x14ac:dyDescent="0.3">
      <c r="A121" s="34">
        <f>A120+1</f>
        <v>119</v>
      </c>
      <c r="B121" s="59"/>
      <c r="C121" s="32">
        <v>46162</v>
      </c>
      <c r="D121" s="31" t="s">
        <v>138</v>
      </c>
      <c r="E121" s="31" t="s">
        <v>6</v>
      </c>
      <c r="F121" s="31" t="s">
        <v>75</v>
      </c>
      <c r="G121" s="31" t="s">
        <v>4</v>
      </c>
      <c r="H121" s="31">
        <v>2008</v>
      </c>
      <c r="I121" s="31" t="s">
        <v>3</v>
      </c>
      <c r="J121" s="30" t="s">
        <v>137</v>
      </c>
      <c r="K121" s="29">
        <v>22</v>
      </c>
      <c r="L121" s="29">
        <v>75.2</v>
      </c>
      <c r="M121" s="29">
        <v>14.2</v>
      </c>
      <c r="N121" s="29">
        <v>84.5</v>
      </c>
      <c r="O121" s="58">
        <f>K121-M121</f>
        <v>7.8000000000000007</v>
      </c>
      <c r="P121" s="27">
        <v>30.788128717390819</v>
      </c>
      <c r="Q121" s="27">
        <v>23.066644043273627</v>
      </c>
      <c r="R121" s="27">
        <v>7.7214846741171925</v>
      </c>
      <c r="S121" s="27">
        <v>1.72</v>
      </c>
      <c r="T121" s="27">
        <v>0.35</v>
      </c>
      <c r="U121" s="26">
        <v>1889.9946</v>
      </c>
      <c r="V121" s="26">
        <v>1275.56576</v>
      </c>
      <c r="W121" s="26">
        <v>57000</v>
      </c>
      <c r="X121" s="26">
        <v>44321.676600008919</v>
      </c>
      <c r="Y121" s="26">
        <v>12678.323399991081</v>
      </c>
      <c r="Z121" s="25" t="s">
        <v>1</v>
      </c>
      <c r="AA121" s="24">
        <v>0.77757327368436702</v>
      </c>
      <c r="AB121" s="57" t="str">
        <f>IF(TRIM(Z121)="Unit Replace",IF(OR(K121=0,AND(K121&gt;16,AA121&lt;50%)),"Prioritas 1","Prioritas 2"),"")</f>
        <v/>
      </c>
      <c r="AC121" s="21">
        <v>8.9</v>
      </c>
      <c r="AD121" s="21">
        <v>13</v>
      </c>
      <c r="AE121" s="56">
        <f>AD121-AC121</f>
        <v>4.0999999999999996</v>
      </c>
      <c r="AF121" s="12"/>
      <c r="AG121" s="12"/>
      <c r="AH121" s="20" t="s">
        <v>136</v>
      </c>
      <c r="AI121" s="10"/>
      <c r="AJ121" s="9"/>
    </row>
    <row r="122" spans="1:36" ht="13.95" customHeight="1" x14ac:dyDescent="0.3">
      <c r="A122" s="34">
        <f>A121+1</f>
        <v>120</v>
      </c>
      <c r="B122" s="59"/>
      <c r="C122" s="32">
        <v>46162</v>
      </c>
      <c r="D122" s="31" t="s">
        <v>135</v>
      </c>
      <c r="E122" s="31" t="s">
        <v>6</v>
      </c>
      <c r="F122" s="31" t="s">
        <v>75</v>
      </c>
      <c r="G122" s="31" t="s">
        <v>4</v>
      </c>
      <c r="H122" s="31">
        <v>2006</v>
      </c>
      <c r="I122" s="31" t="s">
        <v>3</v>
      </c>
      <c r="J122" s="30" t="s">
        <v>134</v>
      </c>
      <c r="K122" s="29">
        <v>22.5</v>
      </c>
      <c r="L122" s="29">
        <v>66.8</v>
      </c>
      <c r="M122" s="29">
        <v>14.3</v>
      </c>
      <c r="N122" s="29">
        <v>93</v>
      </c>
      <c r="O122" s="58">
        <f>K122-M122</f>
        <v>8.1999999999999993</v>
      </c>
      <c r="P122" s="27">
        <v>29.841314850470518</v>
      </c>
      <c r="Q122" s="27">
        <v>24.122601929884318</v>
      </c>
      <c r="R122" s="27">
        <v>5.7187129205861993</v>
      </c>
      <c r="S122" s="27">
        <v>1.972</v>
      </c>
      <c r="T122" s="27">
        <v>0.40249999999999997</v>
      </c>
      <c r="U122" s="26">
        <v>1889.9946</v>
      </c>
      <c r="V122" s="26">
        <v>1681.8186223999999</v>
      </c>
      <c r="W122" s="26">
        <v>57000</v>
      </c>
      <c r="X122" s="26">
        <v>43280.270487006128</v>
      </c>
      <c r="Y122" s="26">
        <v>13719.729512993872</v>
      </c>
      <c r="Z122" s="25" t="s">
        <v>1</v>
      </c>
      <c r="AA122" s="24">
        <v>0.75930299100010756</v>
      </c>
      <c r="AB122" s="57" t="str">
        <f>IF(TRIM(Z122)="Unit Replace",IF(OR(K122=0,AND(K122&gt;16,AA122&lt;50%)),"Prioritas 1","Prioritas 2"),"")</f>
        <v/>
      </c>
      <c r="AC122" s="21">
        <v>8.9</v>
      </c>
      <c r="AD122" s="21">
        <v>13.1</v>
      </c>
      <c r="AE122" s="56">
        <f>AD122-AC122</f>
        <v>4.1999999999999993</v>
      </c>
      <c r="AF122" s="12"/>
      <c r="AG122" s="12"/>
      <c r="AH122" s="20" t="s">
        <v>133</v>
      </c>
      <c r="AI122" s="10"/>
      <c r="AJ122" s="9"/>
    </row>
    <row r="123" spans="1:36" ht="13.95" customHeight="1" x14ac:dyDescent="0.3">
      <c r="A123" s="34">
        <f>A122+1</f>
        <v>121</v>
      </c>
      <c r="B123" s="43" t="s">
        <v>132</v>
      </c>
      <c r="C123" s="41">
        <v>46163</v>
      </c>
      <c r="D123" s="40" t="s">
        <v>131</v>
      </c>
      <c r="E123" s="40" t="s">
        <v>6</v>
      </c>
      <c r="F123" s="40" t="s">
        <v>26</v>
      </c>
      <c r="G123" s="40" t="s">
        <v>20</v>
      </c>
      <c r="H123" s="40">
        <v>2025</v>
      </c>
      <c r="I123" s="40" t="s">
        <v>125</v>
      </c>
      <c r="J123" s="30" t="s">
        <v>130</v>
      </c>
      <c r="K123" s="29">
        <v>24.4</v>
      </c>
      <c r="L123" s="29">
        <v>73.8</v>
      </c>
      <c r="M123" s="29">
        <v>16.2</v>
      </c>
      <c r="N123" s="29">
        <v>89.3</v>
      </c>
      <c r="O123" s="58">
        <f>K123-M123</f>
        <v>8.1999999999999993</v>
      </c>
      <c r="P123" s="27">
        <v>33.722836319568934</v>
      </c>
      <c r="Q123" s="27">
        <v>25.844828658555478</v>
      </c>
      <c r="R123" s="27">
        <v>7.8780076610134557</v>
      </c>
      <c r="S123" s="27">
        <v>2.33</v>
      </c>
      <c r="T123" s="27">
        <v>0.29250000000000004</v>
      </c>
      <c r="U123" s="26">
        <v>1500</v>
      </c>
      <c r="V123" s="26">
        <v>1444.0696920000005</v>
      </c>
      <c r="W123" s="26">
        <v>51100</v>
      </c>
      <c r="X123" s="26">
        <v>51193.764434760051</v>
      </c>
      <c r="Y123" s="26">
        <v>-93.76443476005079</v>
      </c>
      <c r="Z123" s="39" t="s">
        <v>17</v>
      </c>
      <c r="AA123" s="24">
        <v>1.0018349204454022</v>
      </c>
      <c r="AB123" s="57" t="str">
        <f>IF(TRIM(Z123)="Unit Replace",IF(OR(K123=0,AND(K123&gt;16,AA123&lt;50%)),"Prioritas 1","Prioritas 2"),"")</f>
        <v/>
      </c>
      <c r="AC123" s="21">
        <v>9.3000000000000007</v>
      </c>
      <c r="AD123" s="21">
        <v>15.1</v>
      </c>
      <c r="AE123" s="56">
        <f>AD123-AC123</f>
        <v>5.7999999999999989</v>
      </c>
      <c r="AF123" s="12"/>
      <c r="AG123" s="12"/>
      <c r="AH123" s="20" t="s">
        <v>129</v>
      </c>
      <c r="AI123" s="10"/>
      <c r="AJ123" s="9"/>
    </row>
    <row r="124" spans="1:36" ht="13.95" customHeight="1" x14ac:dyDescent="0.3">
      <c r="A124" s="34">
        <f>A123+1</f>
        <v>122</v>
      </c>
      <c r="B124" s="43"/>
      <c r="C124" s="37">
        <v>46163</v>
      </c>
      <c r="D124" s="36" t="s">
        <v>128</v>
      </c>
      <c r="E124" s="36" t="s">
        <v>6</v>
      </c>
      <c r="F124" s="36" t="s">
        <v>26</v>
      </c>
      <c r="G124" s="36" t="s">
        <v>4</v>
      </c>
      <c r="H124" s="36">
        <v>2005</v>
      </c>
      <c r="I124" s="36" t="s">
        <v>77</v>
      </c>
      <c r="J124" s="30" t="s">
        <v>127</v>
      </c>
      <c r="K124" s="29">
        <v>23.4</v>
      </c>
      <c r="L124" s="29">
        <v>67.7</v>
      </c>
      <c r="M124" s="29">
        <v>15.6</v>
      </c>
      <c r="N124" s="29">
        <v>72.099999999999994</v>
      </c>
      <c r="O124" s="58">
        <f>K124-M124</f>
        <v>7.7999999999999989</v>
      </c>
      <c r="P124" s="27">
        <v>31.129314751268506</v>
      </c>
      <c r="Q124" s="27">
        <v>23.06001692984001</v>
      </c>
      <c r="R124" s="27">
        <v>8.0692978214284956</v>
      </c>
      <c r="S124" s="27">
        <v>1</v>
      </c>
      <c r="T124" s="27">
        <v>0.29749999999999999</v>
      </c>
      <c r="U124" s="26">
        <v>1371.192</v>
      </c>
      <c r="V124" s="26">
        <v>630.36680000000001</v>
      </c>
      <c r="W124" s="26">
        <v>47000</v>
      </c>
      <c r="X124" s="26">
        <v>22889.778506733834</v>
      </c>
      <c r="Y124" s="26">
        <v>24110.221493266166</v>
      </c>
      <c r="Z124" s="53" t="s">
        <v>9</v>
      </c>
      <c r="AA124" s="24">
        <v>0.48701656397306031</v>
      </c>
      <c r="AB124" s="57" t="str">
        <f>IF(TRIM(Z124)="Unit Replace",IF(OR(K124=0,AND(K124&gt;16,AA124&lt;50%)),"Prioritas 1","Prioritas 2"),"")</f>
        <v>Prioritas 1</v>
      </c>
      <c r="AC124" s="21">
        <v>9.1999999999999993</v>
      </c>
      <c r="AD124" s="21">
        <v>14.3</v>
      </c>
      <c r="AE124" s="56">
        <f>AD124-AC124</f>
        <v>5.1000000000000014</v>
      </c>
      <c r="AF124" s="12"/>
      <c r="AG124" s="12"/>
      <c r="AH124" s="20" t="s">
        <v>107</v>
      </c>
      <c r="AI124" s="10"/>
      <c r="AJ124" s="9"/>
    </row>
    <row r="125" spans="1:36" ht="13.95" customHeight="1" x14ac:dyDescent="0.3">
      <c r="A125" s="34">
        <f>A124+1</f>
        <v>123</v>
      </c>
      <c r="B125" s="43"/>
      <c r="C125" s="41">
        <v>46163</v>
      </c>
      <c r="D125" s="40" t="s">
        <v>126</v>
      </c>
      <c r="E125" s="40" t="s">
        <v>6</v>
      </c>
      <c r="F125" s="40" t="s">
        <v>26</v>
      </c>
      <c r="G125" s="40" t="s">
        <v>20</v>
      </c>
      <c r="H125" s="40">
        <v>2025</v>
      </c>
      <c r="I125" s="40" t="s">
        <v>125</v>
      </c>
      <c r="J125" s="30" t="s">
        <v>124</v>
      </c>
      <c r="K125" s="29">
        <v>23.1</v>
      </c>
      <c r="L125" s="29">
        <v>68.7</v>
      </c>
      <c r="M125" s="29">
        <v>14.7</v>
      </c>
      <c r="N125" s="29">
        <v>84.3</v>
      </c>
      <c r="O125" s="58">
        <f>K125-M125</f>
        <v>8.4000000000000021</v>
      </c>
      <c r="P125" s="27">
        <v>30.949992709636263</v>
      </c>
      <c r="Q125" s="27">
        <v>23.571528772752519</v>
      </c>
      <c r="R125" s="27">
        <v>7.3784639368837439</v>
      </c>
      <c r="S125" s="27">
        <v>2.4</v>
      </c>
      <c r="T125" s="27">
        <v>0.29250000000000004</v>
      </c>
      <c r="U125" s="26">
        <v>1500</v>
      </c>
      <c r="V125" s="26">
        <v>1487.4537600000003</v>
      </c>
      <c r="W125" s="26">
        <v>51100</v>
      </c>
      <c r="X125" s="26">
        <v>49388.057666739587</v>
      </c>
      <c r="Y125" s="26">
        <v>1711.9423332604129</v>
      </c>
      <c r="Z125" s="39" t="s">
        <v>17</v>
      </c>
      <c r="AA125" s="24">
        <v>0.96649819308688034</v>
      </c>
      <c r="AB125" s="57" t="str">
        <f>IF(TRIM(Z125)="Unit Replace",IF(OR(K125=0,AND(K125&gt;16,AA125&lt;50%)),"Prioritas 1","Prioritas 2"),"")</f>
        <v/>
      </c>
      <c r="AC125" s="21">
        <v>8.9</v>
      </c>
      <c r="AD125" s="21">
        <v>13.4</v>
      </c>
      <c r="AE125" s="56">
        <f>AD125-AC125</f>
        <v>4.5</v>
      </c>
      <c r="AF125" s="12"/>
      <c r="AG125" s="12"/>
      <c r="AH125" s="20" t="s">
        <v>123</v>
      </c>
      <c r="AI125" s="10"/>
      <c r="AJ125" s="9"/>
    </row>
    <row r="126" spans="1:36" ht="13.95" customHeight="1" x14ac:dyDescent="0.3">
      <c r="A126" s="34">
        <f>A125+1</f>
        <v>124</v>
      </c>
      <c r="B126" s="43"/>
      <c r="C126" s="32">
        <v>46163</v>
      </c>
      <c r="D126" s="31" t="s">
        <v>122</v>
      </c>
      <c r="E126" s="31" t="s">
        <v>6</v>
      </c>
      <c r="F126" s="31" t="s">
        <v>116</v>
      </c>
      <c r="G126" s="31" t="s">
        <v>4</v>
      </c>
      <c r="H126" s="31">
        <v>2009</v>
      </c>
      <c r="I126" s="31" t="s">
        <v>3</v>
      </c>
      <c r="J126" s="30" t="s">
        <v>115</v>
      </c>
      <c r="K126" s="29">
        <v>24.2</v>
      </c>
      <c r="L126" s="29">
        <v>62.3</v>
      </c>
      <c r="M126" s="29">
        <v>14.5</v>
      </c>
      <c r="N126" s="29">
        <v>96.4</v>
      </c>
      <c r="O126" s="58">
        <f>K126-M126</f>
        <v>9.6999999999999993</v>
      </c>
      <c r="P126" s="27">
        <v>31.014478338991353</v>
      </c>
      <c r="Q126" s="27">
        <v>24.732623033424595</v>
      </c>
      <c r="R126" s="27">
        <v>6.2818553055667579</v>
      </c>
      <c r="S126" s="27">
        <v>1.821</v>
      </c>
      <c r="T126" s="27">
        <v>0.33</v>
      </c>
      <c r="U126" s="26">
        <v>1889.9946</v>
      </c>
      <c r="V126" s="26">
        <v>1273.2985584</v>
      </c>
      <c r="W126" s="26">
        <v>57000</v>
      </c>
      <c r="X126" s="26">
        <v>35994.047870949951</v>
      </c>
      <c r="Y126" s="26">
        <v>21005.952129050049</v>
      </c>
      <c r="Z126" s="25" t="s">
        <v>1</v>
      </c>
      <c r="AA126" s="24">
        <v>0.63147452405175353</v>
      </c>
      <c r="AB126" s="57" t="str">
        <f>IF(TRIM(Z126)="Unit Replace",IF(OR(K126=0,AND(K126&gt;16,AA126&lt;50%)),"Prioritas 1","Prioritas 2"),"")</f>
        <v/>
      </c>
      <c r="AC126" s="21">
        <v>9</v>
      </c>
      <c r="AD126" s="21">
        <v>13.7</v>
      </c>
      <c r="AE126" s="56">
        <f>AD126-AC126</f>
        <v>4.6999999999999993</v>
      </c>
      <c r="AF126" s="12"/>
      <c r="AG126" s="12"/>
      <c r="AH126" s="20" t="s">
        <v>121</v>
      </c>
      <c r="AI126" s="10"/>
      <c r="AJ126" s="9"/>
    </row>
    <row r="127" spans="1:36" ht="13.95" customHeight="1" x14ac:dyDescent="0.3">
      <c r="A127" s="34">
        <f>A126+1</f>
        <v>125</v>
      </c>
      <c r="B127" s="43"/>
      <c r="C127" s="32">
        <v>46163</v>
      </c>
      <c r="D127" s="31" t="s">
        <v>120</v>
      </c>
      <c r="E127" s="31" t="s">
        <v>6</v>
      </c>
      <c r="F127" s="31" t="s">
        <v>116</v>
      </c>
      <c r="G127" s="31" t="s">
        <v>4</v>
      </c>
      <c r="H127" s="31">
        <v>2009</v>
      </c>
      <c r="I127" s="31" t="s">
        <v>10</v>
      </c>
      <c r="J127" s="30" t="s">
        <v>115</v>
      </c>
      <c r="K127" s="29">
        <v>22.4</v>
      </c>
      <c r="L127" s="29">
        <v>66.5</v>
      </c>
      <c r="M127" s="29">
        <v>14.8</v>
      </c>
      <c r="N127" s="29">
        <v>95.3</v>
      </c>
      <c r="O127" s="58">
        <f>K127-M127</f>
        <v>7.5999999999999979</v>
      </c>
      <c r="P127" s="27">
        <v>29.663970000121353</v>
      </c>
      <c r="Q127" s="27">
        <v>24.95147288945488</v>
      </c>
      <c r="R127" s="27">
        <v>4.7124971106664724</v>
      </c>
      <c r="S127" s="27">
        <v>2.468</v>
      </c>
      <c r="T127" s="27">
        <v>0.55999999999999994</v>
      </c>
      <c r="U127" s="26">
        <v>2521.509</v>
      </c>
      <c r="V127" s="26">
        <v>2928.4616703999995</v>
      </c>
      <c r="W127" s="26">
        <v>72000</v>
      </c>
      <c r="X127" s="26">
        <v>62101.652222058794</v>
      </c>
      <c r="Y127" s="26">
        <v>9898.347777941206</v>
      </c>
      <c r="Z127" s="25" t="s">
        <v>1</v>
      </c>
      <c r="AA127" s="24">
        <v>0.86252294752859437</v>
      </c>
      <c r="AB127" s="57" t="str">
        <f>IF(TRIM(Z127)="Unit Replace",IF(OR(K127=0,AND(K127&gt;16,AA127&lt;50%)),"Prioritas 1","Prioritas 2"),"")</f>
        <v/>
      </c>
      <c r="AC127" s="21">
        <v>9</v>
      </c>
      <c r="AD127" s="21">
        <v>13.5</v>
      </c>
      <c r="AE127" s="56">
        <f>AD127-AC127</f>
        <v>4.5</v>
      </c>
      <c r="AF127" s="12"/>
      <c r="AG127" s="12"/>
      <c r="AH127" s="20" t="s">
        <v>119</v>
      </c>
      <c r="AI127" s="10"/>
      <c r="AJ127" s="9"/>
    </row>
    <row r="128" spans="1:36" ht="13.95" customHeight="1" x14ac:dyDescent="0.3">
      <c r="A128" s="34">
        <f>A127+1</f>
        <v>126</v>
      </c>
      <c r="B128" s="43"/>
      <c r="C128" s="32">
        <v>46163</v>
      </c>
      <c r="D128" s="31" t="s">
        <v>118</v>
      </c>
      <c r="E128" s="31" t="s">
        <v>6</v>
      </c>
      <c r="F128" s="31" t="s">
        <v>116</v>
      </c>
      <c r="G128" s="31" t="s">
        <v>4</v>
      </c>
      <c r="H128" s="31">
        <v>2009</v>
      </c>
      <c r="I128" s="31" t="s">
        <v>10</v>
      </c>
      <c r="J128" s="30" t="s">
        <v>115</v>
      </c>
      <c r="K128" s="29">
        <v>23.8</v>
      </c>
      <c r="L128" s="29">
        <v>66.3</v>
      </c>
      <c r="M128" s="29">
        <v>16.2</v>
      </c>
      <c r="N128" s="29">
        <v>87.6</v>
      </c>
      <c r="O128" s="58">
        <f>K128-M128</f>
        <v>7.6000000000000014</v>
      </c>
      <c r="P128" s="27">
        <v>31.349437474032229</v>
      </c>
      <c r="Q128" s="27">
        <v>25.628814639344597</v>
      </c>
      <c r="R128" s="27">
        <v>5.7206228346876316</v>
      </c>
      <c r="S128" s="27">
        <v>1.9</v>
      </c>
      <c r="T128" s="27">
        <v>0.55999999999999994</v>
      </c>
      <c r="U128" s="26">
        <v>2521.509</v>
      </c>
      <c r="V128" s="26">
        <v>2254.4883199999999</v>
      </c>
      <c r="W128" s="26">
        <v>72000</v>
      </c>
      <c r="X128" s="26">
        <v>58036.848137678498</v>
      </c>
      <c r="Y128" s="26">
        <v>13963.151862321502</v>
      </c>
      <c r="Z128" s="25" t="s">
        <v>1</v>
      </c>
      <c r="AA128" s="24">
        <v>0.80606733524553476</v>
      </c>
      <c r="AB128" s="57" t="str">
        <f>IF(TRIM(Z128)="Unit Replace",IF(OR(K128=0,AND(K128&gt;16,AA128&lt;50%)),"Prioritas 1","Prioritas 2"),"")</f>
        <v/>
      </c>
      <c r="AC128" s="21">
        <v>9.4</v>
      </c>
      <c r="AD128" s="21">
        <v>15.3</v>
      </c>
      <c r="AE128" s="56">
        <f>AD128-AC128</f>
        <v>5.9</v>
      </c>
      <c r="AF128" s="12"/>
      <c r="AG128" s="12"/>
      <c r="AH128" s="20" t="s">
        <v>114</v>
      </c>
      <c r="AI128" s="10"/>
      <c r="AJ128" s="9"/>
    </row>
    <row r="129" spans="1:36" ht="13.95" customHeight="1" x14ac:dyDescent="0.3">
      <c r="A129" s="34">
        <f>A128+1</f>
        <v>127</v>
      </c>
      <c r="B129" s="43"/>
      <c r="C129" s="32">
        <v>46163</v>
      </c>
      <c r="D129" s="31" t="s">
        <v>117</v>
      </c>
      <c r="E129" s="31" t="s">
        <v>6</v>
      </c>
      <c r="F129" s="31" t="s">
        <v>116</v>
      </c>
      <c r="G129" s="31" t="s">
        <v>4</v>
      </c>
      <c r="H129" s="31">
        <v>2009</v>
      </c>
      <c r="I129" s="31" t="s">
        <v>10</v>
      </c>
      <c r="J129" s="30" t="s">
        <v>115</v>
      </c>
      <c r="K129" s="29">
        <v>22.2</v>
      </c>
      <c r="L129" s="29">
        <v>66.099999999999994</v>
      </c>
      <c r="M129" s="29">
        <v>14.5</v>
      </c>
      <c r="N129" s="29">
        <v>95.1</v>
      </c>
      <c r="O129" s="58">
        <f>K129-M129</f>
        <v>7.6999999999999993</v>
      </c>
      <c r="P129" s="27">
        <v>29.349951904752309</v>
      </c>
      <c r="Q129" s="27">
        <v>24.584843122750613</v>
      </c>
      <c r="R129" s="27">
        <v>4.7651087820016969</v>
      </c>
      <c r="S129" s="27">
        <v>2</v>
      </c>
      <c r="T129" s="27">
        <v>0.55999999999999994</v>
      </c>
      <c r="U129" s="26">
        <v>2521.509</v>
      </c>
      <c r="V129" s="26">
        <v>2373.1455999999998</v>
      </c>
      <c r="W129" s="26">
        <v>72000</v>
      </c>
      <c r="X129" s="26">
        <v>50887.336227879081</v>
      </c>
      <c r="Y129" s="26">
        <v>21112.663772120919</v>
      </c>
      <c r="Z129" s="25" t="s">
        <v>1</v>
      </c>
      <c r="AA129" s="24">
        <v>0.70676855872054278</v>
      </c>
      <c r="AB129" s="57" t="str">
        <f>IF(TRIM(Z129)="Unit Replace",IF(OR(K129=0,AND(K129&gt;16,AA129&lt;50%)),"Prioritas 1","Prioritas 2"),"")</f>
        <v/>
      </c>
      <c r="AC129" s="21">
        <v>9.4</v>
      </c>
      <c r="AD129" s="21">
        <v>15.3</v>
      </c>
      <c r="AE129" s="56">
        <f>AD129-AC129</f>
        <v>5.9</v>
      </c>
      <c r="AF129" s="12"/>
      <c r="AG129" s="12"/>
      <c r="AH129" s="20" t="s">
        <v>114</v>
      </c>
      <c r="AI129" s="10"/>
      <c r="AJ129" s="9"/>
    </row>
    <row r="130" spans="1:36" ht="13.95" customHeight="1" x14ac:dyDescent="0.3">
      <c r="A130" s="34">
        <f>A129+1</f>
        <v>128</v>
      </c>
      <c r="B130" s="43"/>
      <c r="C130" s="32">
        <v>46163</v>
      </c>
      <c r="D130" s="31" t="s">
        <v>113</v>
      </c>
      <c r="E130" s="31" t="s">
        <v>6</v>
      </c>
      <c r="F130" s="31" t="s">
        <v>75</v>
      </c>
      <c r="G130" s="31" t="s">
        <v>4</v>
      </c>
      <c r="H130" s="31">
        <v>2006</v>
      </c>
      <c r="I130" s="31" t="s">
        <v>3</v>
      </c>
      <c r="J130" s="30" t="s">
        <v>112</v>
      </c>
      <c r="K130" s="29">
        <v>23</v>
      </c>
      <c r="L130" s="29">
        <v>68</v>
      </c>
      <c r="M130" s="29">
        <v>13.9</v>
      </c>
      <c r="N130" s="29">
        <v>95.6</v>
      </c>
      <c r="O130" s="58">
        <f>K130-M130</f>
        <v>9.1</v>
      </c>
      <c r="P130" s="27">
        <v>30.686989811994412</v>
      </c>
      <c r="Q130" s="27">
        <v>23.963843376400135</v>
      </c>
      <c r="R130" s="27">
        <v>6.7231464355942769</v>
      </c>
      <c r="S130" s="27">
        <v>1.802</v>
      </c>
      <c r="T130" s="27">
        <v>0.38500000000000001</v>
      </c>
      <c r="U130" s="26">
        <v>1889.9946</v>
      </c>
      <c r="V130" s="26">
        <v>1470.0153776</v>
      </c>
      <c r="W130" s="26">
        <v>57000</v>
      </c>
      <c r="X130" s="26">
        <v>44474.078907810966</v>
      </c>
      <c r="Y130" s="26">
        <v>12525.921092189034</v>
      </c>
      <c r="Z130" s="25" t="s">
        <v>1</v>
      </c>
      <c r="AA130" s="24">
        <v>0.78024699838264855</v>
      </c>
      <c r="AB130" s="57" t="str">
        <f>IF(TRIM(Z130)="Unit Replace",IF(OR(K130=0,AND(K130&gt;16,AA130&lt;50%)),"Prioritas 1","Prioritas 2"),"")</f>
        <v/>
      </c>
      <c r="AC130" s="21">
        <v>8.8000000000000007</v>
      </c>
      <c r="AD130" s="21">
        <v>12.9</v>
      </c>
      <c r="AE130" s="56">
        <f>AD130-AC130</f>
        <v>4.0999999999999996</v>
      </c>
      <c r="AF130" s="12"/>
      <c r="AG130" s="12"/>
      <c r="AH130" s="20" t="s">
        <v>111</v>
      </c>
      <c r="AI130" s="10"/>
      <c r="AJ130" s="9"/>
    </row>
    <row r="131" spans="1:36" ht="13.95" customHeight="1" x14ac:dyDescent="0.3">
      <c r="A131" s="34">
        <f>A130+1</f>
        <v>129</v>
      </c>
      <c r="B131" s="43"/>
      <c r="C131" s="37">
        <v>46163</v>
      </c>
      <c r="D131" s="36" t="s">
        <v>110</v>
      </c>
      <c r="E131" s="36" t="s">
        <v>6</v>
      </c>
      <c r="F131" s="36" t="s">
        <v>75</v>
      </c>
      <c r="G131" s="36" t="s">
        <v>25</v>
      </c>
      <c r="H131" s="36">
        <v>2006</v>
      </c>
      <c r="I131" s="36" t="s">
        <v>24</v>
      </c>
      <c r="J131" s="30" t="s">
        <v>108</v>
      </c>
      <c r="K131" s="29">
        <v>25.4</v>
      </c>
      <c r="L131" s="29">
        <v>58.3</v>
      </c>
      <c r="M131" s="29">
        <v>18.7</v>
      </c>
      <c r="N131" s="29">
        <v>73.8</v>
      </c>
      <c r="O131" s="58">
        <f>K131-M131</f>
        <v>6.6999999999999993</v>
      </c>
      <c r="P131" s="27">
        <v>31.613028920946036</v>
      </c>
      <c r="Q131" s="27">
        <v>26.57894219926369</v>
      </c>
      <c r="R131" s="27">
        <v>5.0340867216823462</v>
      </c>
      <c r="S131" s="27">
        <v>1.22</v>
      </c>
      <c r="T131" s="27">
        <v>0.35</v>
      </c>
      <c r="U131" s="26">
        <v>3380</v>
      </c>
      <c r="V131" s="26">
        <v>904.76175999999998</v>
      </c>
      <c r="W131" s="26">
        <v>59000</v>
      </c>
      <c r="X131" s="26">
        <v>20495.92123035877</v>
      </c>
      <c r="Y131" s="26">
        <v>38504.07876964123</v>
      </c>
      <c r="Z131" s="53" t="s">
        <v>9</v>
      </c>
      <c r="AA131" s="24">
        <v>0.34738849542980965</v>
      </c>
      <c r="AB131" s="57" t="str">
        <f>IF(TRIM(Z131)="Unit Replace",IF(OR(K131=0,AND(K131&gt;16,AA131&lt;50%)),"Prioritas 1","Prioritas 2"),"")</f>
        <v>Prioritas 1</v>
      </c>
      <c r="AC131" s="21">
        <v>9.3000000000000007</v>
      </c>
      <c r="AD131" s="21">
        <v>15.3</v>
      </c>
      <c r="AE131" s="56">
        <f>AD131-AC131</f>
        <v>6</v>
      </c>
      <c r="AF131" s="12"/>
      <c r="AG131" s="12"/>
      <c r="AH131" s="20" t="s">
        <v>107</v>
      </c>
      <c r="AI131" s="10"/>
      <c r="AJ131" s="9"/>
    </row>
    <row r="132" spans="1:36" ht="13.95" customHeight="1" x14ac:dyDescent="0.3">
      <c r="A132" s="34">
        <f>A131+1</f>
        <v>130</v>
      </c>
      <c r="B132" s="43"/>
      <c r="C132" s="52">
        <v>46163</v>
      </c>
      <c r="D132" s="51" t="s">
        <v>109</v>
      </c>
      <c r="E132" s="51" t="s">
        <v>6</v>
      </c>
      <c r="F132" s="51" t="s">
        <v>75</v>
      </c>
      <c r="G132" s="51" t="s">
        <v>4</v>
      </c>
      <c r="H132" s="51">
        <v>2006</v>
      </c>
      <c r="I132" s="51" t="s">
        <v>34</v>
      </c>
      <c r="J132" s="50" t="s">
        <v>108</v>
      </c>
      <c r="K132" s="49">
        <v>25.9</v>
      </c>
      <c r="L132" s="49">
        <v>53.4</v>
      </c>
      <c r="M132" s="49">
        <v>19.2</v>
      </c>
      <c r="N132" s="49">
        <v>73.2</v>
      </c>
      <c r="O132" s="28">
        <f>K132-M132</f>
        <v>6.6999999999999993</v>
      </c>
      <c r="P132" s="48">
        <v>31.088144898601293</v>
      </c>
      <c r="Q132" s="48">
        <v>27.05534775802969</v>
      </c>
      <c r="R132" s="48">
        <v>4.0327971405716028</v>
      </c>
      <c r="S132" s="48">
        <v>1.1100000000000001</v>
      </c>
      <c r="T132" s="48">
        <v>0.3</v>
      </c>
      <c r="U132" s="47">
        <v>1135.5919999999999</v>
      </c>
      <c r="V132" s="47">
        <v>705.58704000000012</v>
      </c>
      <c r="W132" s="47">
        <v>37000</v>
      </c>
      <c r="X132" s="47">
        <v>12804.702288013717</v>
      </c>
      <c r="Y132" s="47">
        <v>24195.297711986284</v>
      </c>
      <c r="Z132" s="35" t="s">
        <v>9</v>
      </c>
      <c r="AA132" s="46">
        <v>0.34607303481118157</v>
      </c>
      <c r="AB132" s="23" t="str">
        <f>IF(TRIM(Z132)="Unit Replace",IF(OR(K132=0,AND(K132&gt;16,AA132&lt;50%)),"Prioritas 1","Prioritas 2"),"")</f>
        <v>Prioritas 1</v>
      </c>
      <c r="AC132" s="45">
        <v>9.4</v>
      </c>
      <c r="AD132" s="45">
        <v>15.4</v>
      </c>
      <c r="AE132" s="22">
        <f>AD132-AC132</f>
        <v>6</v>
      </c>
      <c r="AF132" s="12"/>
      <c r="AG132" s="12"/>
      <c r="AH132" s="44" t="s">
        <v>107</v>
      </c>
      <c r="AI132" s="10"/>
      <c r="AJ132" s="9"/>
    </row>
    <row r="133" spans="1:36" ht="13.95" customHeight="1" x14ac:dyDescent="0.3">
      <c r="A133" s="34">
        <f>A132+1</f>
        <v>131</v>
      </c>
      <c r="B133" s="43" t="s">
        <v>106</v>
      </c>
      <c r="C133" s="41">
        <v>46164</v>
      </c>
      <c r="D133" s="40" t="s">
        <v>105</v>
      </c>
      <c r="E133" s="40" t="s">
        <v>6</v>
      </c>
      <c r="F133" s="40" t="s">
        <v>26</v>
      </c>
      <c r="G133" s="40" t="s">
        <v>14</v>
      </c>
      <c r="H133" s="40">
        <v>0</v>
      </c>
      <c r="I133" s="40" t="s">
        <v>104</v>
      </c>
      <c r="J133" s="30" t="s">
        <v>95</v>
      </c>
      <c r="K133" s="29">
        <v>24.4</v>
      </c>
      <c r="L133" s="29">
        <v>74.8</v>
      </c>
      <c r="M133" s="29">
        <v>15.1</v>
      </c>
      <c r="N133" s="29">
        <v>91.3</v>
      </c>
      <c r="O133" s="28">
        <f>K133-M133</f>
        <v>9.2999999999999989</v>
      </c>
      <c r="P133" s="27">
        <v>33.937739558067278</v>
      </c>
      <c r="Q133" s="27">
        <v>24.826180283200173</v>
      </c>
      <c r="R133" s="27">
        <v>9.1115592748671048</v>
      </c>
      <c r="S133" s="27">
        <v>2.0499999999999998</v>
      </c>
      <c r="T133" s="27">
        <v>0.39</v>
      </c>
      <c r="U133" s="26">
        <v>2500</v>
      </c>
      <c r="V133" s="26">
        <v>1694.04456</v>
      </c>
      <c r="W133" s="26">
        <v>75000</v>
      </c>
      <c r="X133" s="26">
        <v>69459.243402177744</v>
      </c>
      <c r="Y133" s="26">
        <v>5540.7565978222556</v>
      </c>
      <c r="Z133" s="39" t="s">
        <v>17</v>
      </c>
      <c r="AA133" s="24">
        <v>0.9261232453623699</v>
      </c>
      <c r="AB133" s="23" t="str">
        <f>IF(TRIM(Z133)="Unit Replace",IF(OR(K133=0,AND(K133&gt;16,AA133&lt;50%)),"Prioritas 1","Prioritas 2"),"")</f>
        <v/>
      </c>
      <c r="AC133" s="21">
        <v>9</v>
      </c>
      <c r="AD133" s="21">
        <v>13.9</v>
      </c>
      <c r="AE133" s="22">
        <f>AD133-AC133</f>
        <v>4.9000000000000004</v>
      </c>
      <c r="AF133" s="21"/>
      <c r="AG133" s="21"/>
      <c r="AH133" s="55" t="s">
        <v>103</v>
      </c>
      <c r="AI133" s="10"/>
      <c r="AJ133" s="9"/>
    </row>
    <row r="134" spans="1:36" ht="13.95" customHeight="1" x14ac:dyDescent="0.3">
      <c r="A134" s="34">
        <f>A133+1</f>
        <v>132</v>
      </c>
      <c r="B134" s="43"/>
      <c r="C134" s="37">
        <v>46164</v>
      </c>
      <c r="D134" s="36" t="s">
        <v>102</v>
      </c>
      <c r="E134" s="51" t="s">
        <v>6</v>
      </c>
      <c r="F134" s="36" t="s">
        <v>26</v>
      </c>
      <c r="G134" s="36" t="s">
        <v>25</v>
      </c>
      <c r="H134" s="36">
        <v>2006</v>
      </c>
      <c r="I134" s="36" t="s">
        <v>96</v>
      </c>
      <c r="J134" s="30" t="s">
        <v>95</v>
      </c>
      <c r="K134" s="29">
        <v>25.7</v>
      </c>
      <c r="L134" s="29">
        <v>71.900000000000006</v>
      </c>
      <c r="M134" s="29">
        <v>21.4</v>
      </c>
      <c r="N134" s="29">
        <v>79.2</v>
      </c>
      <c r="O134" s="28">
        <f>K134-M134</f>
        <v>4.3000000000000007</v>
      </c>
      <c r="P134" s="27">
        <v>35.135919222882237</v>
      </c>
      <c r="Q134" s="27">
        <v>30.735030947139876</v>
      </c>
      <c r="R134" s="27">
        <v>4.4008882757423606</v>
      </c>
      <c r="S134" s="27">
        <v>0.9</v>
      </c>
      <c r="T134" s="27">
        <v>0.45499999999999996</v>
      </c>
      <c r="U134" s="26">
        <v>2400</v>
      </c>
      <c r="V134" s="26">
        <v>867.68136000000004</v>
      </c>
      <c r="W134" s="26">
        <v>50000</v>
      </c>
      <c r="X134" s="26">
        <v>17183.559259368842</v>
      </c>
      <c r="Y134" s="26">
        <v>32816.440740631158</v>
      </c>
      <c r="Z134" s="53" t="s">
        <v>9</v>
      </c>
      <c r="AA134" s="24">
        <v>0.34367118518737683</v>
      </c>
      <c r="AB134" s="23" t="str">
        <f>IF(TRIM(Z134)="Unit Replace",IF(OR(K134=0,AND(K134&gt;16,AA134&lt;50%)),"Prioritas 1","Prioritas 2"),"")</f>
        <v>Prioritas 1</v>
      </c>
      <c r="AC134" s="21">
        <v>9.5</v>
      </c>
      <c r="AD134" s="21">
        <v>15.4</v>
      </c>
      <c r="AE134" s="22">
        <f>AD134-AC134</f>
        <v>5.9</v>
      </c>
      <c r="AF134" s="21"/>
      <c r="AG134" s="21"/>
      <c r="AH134" s="20" t="s">
        <v>101</v>
      </c>
      <c r="AI134" s="10"/>
      <c r="AJ134" s="9"/>
    </row>
    <row r="135" spans="1:36" ht="13.95" customHeight="1" x14ac:dyDescent="0.3">
      <c r="A135" s="34">
        <f>A134+1</f>
        <v>133</v>
      </c>
      <c r="B135" s="43"/>
      <c r="C135" s="37">
        <v>46164</v>
      </c>
      <c r="D135" s="36" t="s">
        <v>100</v>
      </c>
      <c r="E135" s="51" t="s">
        <v>6</v>
      </c>
      <c r="F135" s="36" t="s">
        <v>26</v>
      </c>
      <c r="G135" s="36" t="s">
        <v>25</v>
      </c>
      <c r="H135" s="36">
        <v>2006</v>
      </c>
      <c r="I135" s="36" t="s">
        <v>96</v>
      </c>
      <c r="J135" s="30" t="s">
        <v>95</v>
      </c>
      <c r="K135" s="29">
        <v>25.3</v>
      </c>
      <c r="L135" s="29">
        <v>67</v>
      </c>
      <c r="M135" s="29">
        <v>20.5</v>
      </c>
      <c r="N135" s="29">
        <v>85.3</v>
      </c>
      <c r="O135" s="28">
        <f>K135-M135</f>
        <v>4.8000000000000007</v>
      </c>
      <c r="P135" s="27">
        <v>33.454772987133524</v>
      </c>
      <c r="Q135" s="27">
        <v>30.605837817680481</v>
      </c>
      <c r="R135" s="27">
        <v>2.8489351694530427</v>
      </c>
      <c r="S135" s="27">
        <v>1.7</v>
      </c>
      <c r="T135" s="27">
        <v>0.45499999999999996</v>
      </c>
      <c r="U135" s="26">
        <v>2400</v>
      </c>
      <c r="V135" s="26">
        <v>1638.9536800000001</v>
      </c>
      <c r="W135" s="26">
        <v>50000</v>
      </c>
      <c r="X135" s="26">
        <v>21011.727510254197</v>
      </c>
      <c r="Y135" s="26">
        <v>28988.272489745803</v>
      </c>
      <c r="Z135" s="53" t="s">
        <v>9</v>
      </c>
      <c r="AA135" s="24">
        <v>0.42023455020508393</v>
      </c>
      <c r="AB135" s="23" t="str">
        <f>IF(TRIM(Z135)="Unit Replace",IF(OR(K135=0,AND(K135&gt;16,AA135&lt;50%)),"Prioritas 1","Prioritas 2"),"")</f>
        <v>Prioritas 1</v>
      </c>
      <c r="AC135" s="21">
        <v>9.1</v>
      </c>
      <c r="AD135" s="21">
        <v>15.2</v>
      </c>
      <c r="AE135" s="22">
        <f>AD135-AC135</f>
        <v>6.1</v>
      </c>
      <c r="AF135" s="21"/>
      <c r="AG135" s="21"/>
      <c r="AH135" s="20" t="s">
        <v>98</v>
      </c>
      <c r="AI135" s="10"/>
      <c r="AJ135" s="9"/>
    </row>
    <row r="136" spans="1:36" ht="13.95" customHeight="1" x14ac:dyDescent="0.3">
      <c r="A136" s="34">
        <f>A135+1</f>
        <v>134</v>
      </c>
      <c r="B136" s="43"/>
      <c r="C136" s="37">
        <v>46164</v>
      </c>
      <c r="D136" s="36" t="s">
        <v>99</v>
      </c>
      <c r="E136" s="51" t="s">
        <v>6</v>
      </c>
      <c r="F136" s="36" t="s">
        <v>26</v>
      </c>
      <c r="G136" s="36" t="s">
        <v>25</v>
      </c>
      <c r="H136" s="36">
        <v>2006</v>
      </c>
      <c r="I136" s="36" t="s">
        <v>96</v>
      </c>
      <c r="J136" s="30" t="s">
        <v>95</v>
      </c>
      <c r="K136" s="29">
        <v>25.8</v>
      </c>
      <c r="L136" s="29">
        <v>71</v>
      </c>
      <c r="M136" s="29">
        <v>20.7</v>
      </c>
      <c r="N136" s="29">
        <v>84.2</v>
      </c>
      <c r="O136" s="28">
        <f>K136-M136</f>
        <v>5.1000000000000014</v>
      </c>
      <c r="P136" s="27">
        <v>35.068935321172738</v>
      </c>
      <c r="Q136" s="27">
        <v>30.684871557740042</v>
      </c>
      <c r="R136" s="27">
        <v>4.384063763432696</v>
      </c>
      <c r="S136" s="27">
        <v>1.2</v>
      </c>
      <c r="T136" s="27">
        <v>0.45499999999999996</v>
      </c>
      <c r="U136" s="26">
        <v>2400</v>
      </c>
      <c r="V136" s="26">
        <v>1156.9084799999998</v>
      </c>
      <c r="W136" s="26">
        <v>50000</v>
      </c>
      <c r="X136" s="26">
        <v>22823.822451491993</v>
      </c>
      <c r="Y136" s="26">
        <v>27176.177548508007</v>
      </c>
      <c r="Z136" s="53" t="s">
        <v>9</v>
      </c>
      <c r="AA136" s="24">
        <v>0.45647644902983986</v>
      </c>
      <c r="AB136" s="23" t="str">
        <f>IF(TRIM(Z136)="Unit Replace",IF(OR(K136=0,AND(K136&gt;16,AA136&lt;50%)),"Prioritas 1","Prioritas 2"),"")</f>
        <v>Prioritas 1</v>
      </c>
      <c r="AC136" s="21">
        <v>9.1</v>
      </c>
      <c r="AD136" s="21">
        <v>15.6</v>
      </c>
      <c r="AE136" s="22">
        <f>AD136-AC136</f>
        <v>6.5</v>
      </c>
      <c r="AF136" s="21"/>
      <c r="AG136" s="21"/>
      <c r="AH136" s="20" t="s">
        <v>98</v>
      </c>
      <c r="AI136" s="10"/>
      <c r="AJ136" s="9"/>
    </row>
    <row r="137" spans="1:36" ht="13.95" customHeight="1" x14ac:dyDescent="0.3">
      <c r="A137" s="34">
        <f>A136+1</f>
        <v>135</v>
      </c>
      <c r="B137" s="43"/>
      <c r="C137" s="37">
        <v>46164</v>
      </c>
      <c r="D137" s="36" t="s">
        <v>97</v>
      </c>
      <c r="E137" s="51" t="s">
        <v>6</v>
      </c>
      <c r="F137" s="36" t="s">
        <v>26</v>
      </c>
      <c r="G137" s="36" t="s">
        <v>25</v>
      </c>
      <c r="H137" s="36">
        <v>2006</v>
      </c>
      <c r="I137" s="36" t="s">
        <v>96</v>
      </c>
      <c r="J137" s="30" t="s">
        <v>95</v>
      </c>
      <c r="K137" s="29">
        <v>26</v>
      </c>
      <c r="L137" s="29">
        <v>69.7</v>
      </c>
      <c r="M137" s="29">
        <v>20.2</v>
      </c>
      <c r="N137" s="29">
        <v>84.1</v>
      </c>
      <c r="O137" s="28">
        <f>K137-M137</f>
        <v>5.8000000000000007</v>
      </c>
      <c r="P137" s="27">
        <v>35.047516393321459</v>
      </c>
      <c r="Q137" s="27">
        <v>30.011696294426855</v>
      </c>
      <c r="R137" s="27">
        <v>5.0358200988946038</v>
      </c>
      <c r="S137" s="27">
        <v>1.08</v>
      </c>
      <c r="T137" s="27">
        <v>0.45499999999999996</v>
      </c>
      <c r="U137" s="26">
        <v>2400</v>
      </c>
      <c r="V137" s="26">
        <v>1041.2176320000001</v>
      </c>
      <c r="W137" s="26">
        <v>50000</v>
      </c>
      <c r="X137" s="26">
        <v>23595.231053470707</v>
      </c>
      <c r="Y137" s="26">
        <v>26404.768946529293</v>
      </c>
      <c r="Z137" s="53" t="s">
        <v>9</v>
      </c>
      <c r="AA137" s="24">
        <v>0.47190462106941411</v>
      </c>
      <c r="AB137" s="23" t="str">
        <f>IF(TRIM(Z137)="Unit Replace",IF(OR(K137=0,AND(K137&gt;16,AA137&lt;50%)),"Prioritas 1","Prioritas 2"),"")</f>
        <v>Prioritas 1</v>
      </c>
      <c r="AC137" s="21">
        <v>9.8000000000000007</v>
      </c>
      <c r="AD137" s="21">
        <v>15.7</v>
      </c>
      <c r="AE137" s="22">
        <f>AD137-AC137</f>
        <v>5.8999999999999986</v>
      </c>
      <c r="AF137" s="21"/>
      <c r="AG137" s="21"/>
      <c r="AH137" s="20" t="s">
        <v>94</v>
      </c>
      <c r="AI137" s="10"/>
      <c r="AJ137" s="9"/>
    </row>
    <row r="138" spans="1:36" ht="13.95" customHeight="1" x14ac:dyDescent="0.3">
      <c r="A138" s="34">
        <f>A137+1</f>
        <v>136</v>
      </c>
      <c r="B138" s="43"/>
      <c r="C138" s="32">
        <v>46164</v>
      </c>
      <c r="D138" s="31" t="s">
        <v>93</v>
      </c>
      <c r="E138" s="54" t="s">
        <v>6</v>
      </c>
      <c r="F138" s="31" t="s">
        <v>75</v>
      </c>
      <c r="G138" s="31" t="s">
        <v>4</v>
      </c>
      <c r="H138" s="31">
        <v>2009</v>
      </c>
      <c r="I138" s="31" t="s">
        <v>10</v>
      </c>
      <c r="J138" s="30" t="s">
        <v>90</v>
      </c>
      <c r="K138" s="29">
        <v>25.3</v>
      </c>
      <c r="L138" s="29">
        <v>61.3</v>
      </c>
      <c r="M138" s="29">
        <v>13.4</v>
      </c>
      <c r="N138" s="29">
        <v>92.9</v>
      </c>
      <c r="O138" s="28">
        <f>K138-M138</f>
        <v>11.9</v>
      </c>
      <c r="P138" s="27">
        <v>32.166696280439844</v>
      </c>
      <c r="Q138" s="27">
        <v>23.125480547180601</v>
      </c>
      <c r="R138" s="27">
        <v>9.0412157332592429</v>
      </c>
      <c r="S138" s="27">
        <v>0.8</v>
      </c>
      <c r="T138" s="27">
        <v>0.66</v>
      </c>
      <c r="U138" s="26">
        <v>2521.509</v>
      </c>
      <c r="V138" s="26">
        <v>1118.76864</v>
      </c>
      <c r="W138" s="26">
        <v>72000</v>
      </c>
      <c r="X138" s="26">
        <v>45517.628834302704</v>
      </c>
      <c r="Y138" s="26">
        <v>26482.371165697296</v>
      </c>
      <c r="Z138" s="25" t="s">
        <v>1</v>
      </c>
      <c r="AA138" s="24">
        <v>0.63218928936531538</v>
      </c>
      <c r="AB138" s="23" t="str">
        <f>IF(TRIM(Z138)="Unit Replace",IF(OR(K138=0,AND(K138&gt;16,AA138&lt;50%)),"Prioritas 1","Prioritas 2"),"")</f>
        <v/>
      </c>
      <c r="AC138" s="21">
        <v>9</v>
      </c>
      <c r="AD138" s="21">
        <v>13</v>
      </c>
      <c r="AE138" s="22">
        <f>AD138-AC138</f>
        <v>4</v>
      </c>
      <c r="AF138" s="21"/>
      <c r="AG138" s="21"/>
      <c r="AH138" s="20" t="s">
        <v>92</v>
      </c>
      <c r="AI138" s="10"/>
      <c r="AJ138" s="9"/>
    </row>
    <row r="139" spans="1:36" ht="13.95" customHeight="1" x14ac:dyDescent="0.3">
      <c r="A139" s="34">
        <f>A138+1</f>
        <v>137</v>
      </c>
      <c r="B139" s="43"/>
      <c r="C139" s="37">
        <v>46164</v>
      </c>
      <c r="D139" s="36" t="s">
        <v>91</v>
      </c>
      <c r="E139" s="51" t="s">
        <v>6</v>
      </c>
      <c r="F139" s="51" t="s">
        <v>75</v>
      </c>
      <c r="G139" s="36" t="s">
        <v>4</v>
      </c>
      <c r="H139" s="36">
        <v>2009</v>
      </c>
      <c r="I139" s="36" t="s">
        <v>10</v>
      </c>
      <c r="J139" s="30" t="s">
        <v>90</v>
      </c>
      <c r="K139" s="29">
        <v>25.1</v>
      </c>
      <c r="L139" s="29">
        <v>59.2</v>
      </c>
      <c r="M139" s="29">
        <v>13</v>
      </c>
      <c r="N139" s="29">
        <v>84.2</v>
      </c>
      <c r="O139" s="28">
        <f>K139-M139</f>
        <v>12.100000000000001</v>
      </c>
      <c r="P139" s="27">
        <v>31.44741312533586</v>
      </c>
      <c r="Q139" s="27">
        <v>21.805910934500844</v>
      </c>
      <c r="R139" s="27">
        <v>9.6415021908350163</v>
      </c>
      <c r="S139" s="27">
        <v>0.57699999999999996</v>
      </c>
      <c r="T139" s="27">
        <v>0.66</v>
      </c>
      <c r="U139" s="26">
        <v>2521.509</v>
      </c>
      <c r="V139" s="26">
        <v>806.91188160000002</v>
      </c>
      <c r="W139" s="26">
        <v>72000</v>
      </c>
      <c r="X139" s="26">
        <v>35009.292034157421</v>
      </c>
      <c r="Y139" s="26">
        <v>36990.707965842579</v>
      </c>
      <c r="Z139" s="53" t="s">
        <v>9</v>
      </c>
      <c r="AA139" s="24">
        <v>0.48624016714107526</v>
      </c>
      <c r="AB139" s="23" t="str">
        <f>IF(TRIM(Z139)="Unit Replace",IF(OR(K139=0,AND(K139&gt;16,AA139&lt;50%)),"Prioritas 1","Prioritas 2"),"")</f>
        <v>Prioritas 1</v>
      </c>
      <c r="AC139" s="21">
        <v>9</v>
      </c>
      <c r="AD139" s="21">
        <v>12.8</v>
      </c>
      <c r="AE139" s="22">
        <f>AD139-AC139</f>
        <v>3.8000000000000007</v>
      </c>
      <c r="AF139" s="21"/>
      <c r="AG139" s="21"/>
      <c r="AH139" s="20" t="s">
        <v>89</v>
      </c>
      <c r="AI139" s="10"/>
      <c r="AJ139" s="9"/>
    </row>
    <row r="140" spans="1:36" ht="13.95" customHeight="1" x14ac:dyDescent="0.3">
      <c r="A140" s="34">
        <f>A139+1</f>
        <v>138</v>
      </c>
      <c r="B140" s="43"/>
      <c r="C140" s="37">
        <v>46164</v>
      </c>
      <c r="D140" s="36" t="s">
        <v>88</v>
      </c>
      <c r="E140" s="51" t="s">
        <v>6</v>
      </c>
      <c r="F140" s="51" t="s">
        <v>75</v>
      </c>
      <c r="G140" s="36" t="s">
        <v>25</v>
      </c>
      <c r="H140" s="36">
        <v>2006</v>
      </c>
      <c r="I140" s="36" t="s">
        <v>53</v>
      </c>
      <c r="J140" s="30" t="s">
        <v>87</v>
      </c>
      <c r="K140" s="29">
        <v>22.3</v>
      </c>
      <c r="L140" s="29">
        <v>65.2</v>
      </c>
      <c r="M140" s="29">
        <v>15.6</v>
      </c>
      <c r="N140" s="29">
        <v>82.4</v>
      </c>
      <c r="O140" s="28">
        <f>K140-M140</f>
        <v>6.7000000000000011</v>
      </c>
      <c r="P140" s="27">
        <v>29.300643823427862</v>
      </c>
      <c r="Q140" s="27">
        <v>24.312470583070493</v>
      </c>
      <c r="R140" s="27">
        <v>4.9881732403573693</v>
      </c>
      <c r="S140" s="27">
        <v>1.79</v>
      </c>
      <c r="T140" s="27">
        <v>0.27</v>
      </c>
      <c r="U140" s="26">
        <v>1500</v>
      </c>
      <c r="V140" s="26">
        <v>1024.0547040000001</v>
      </c>
      <c r="W140" s="26">
        <v>49000</v>
      </c>
      <c r="X140" s="26">
        <v>22986.730220196994</v>
      </c>
      <c r="Y140" s="26">
        <v>26013.269779803006</v>
      </c>
      <c r="Z140" s="53" t="s">
        <v>9</v>
      </c>
      <c r="AA140" s="24">
        <v>0.4691169432693264</v>
      </c>
      <c r="AB140" s="23" t="str">
        <f>IF(TRIM(Z140)="Unit Replace",IF(OR(K140=0,AND(K140&gt;16,AA140&lt;50%)),"Prioritas 1","Prioritas 2"),"")</f>
        <v>Prioritas 1</v>
      </c>
      <c r="AC140" s="21">
        <v>9</v>
      </c>
      <c r="AD140" s="21">
        <v>13</v>
      </c>
      <c r="AE140" s="22">
        <f>AD140-AC140</f>
        <v>4</v>
      </c>
      <c r="AF140" s="21"/>
      <c r="AG140" s="21"/>
      <c r="AH140" s="20" t="s">
        <v>28</v>
      </c>
      <c r="AI140" s="10"/>
      <c r="AJ140" s="9"/>
    </row>
    <row r="141" spans="1:36" ht="13.95" customHeight="1" x14ac:dyDescent="0.3">
      <c r="A141" s="34">
        <f>A140+1</f>
        <v>139</v>
      </c>
      <c r="B141" s="43"/>
      <c r="C141" s="37">
        <v>46164</v>
      </c>
      <c r="D141" s="36" t="s">
        <v>86</v>
      </c>
      <c r="E141" s="51" t="s">
        <v>6</v>
      </c>
      <c r="F141" s="51" t="s">
        <v>75</v>
      </c>
      <c r="G141" s="36" t="s">
        <v>4</v>
      </c>
      <c r="H141" s="36">
        <v>2006</v>
      </c>
      <c r="I141" s="36" t="s">
        <v>3</v>
      </c>
      <c r="J141" s="30" t="s">
        <v>85</v>
      </c>
      <c r="K141" s="29">
        <v>23.6</v>
      </c>
      <c r="L141" s="29">
        <v>66.2</v>
      </c>
      <c r="M141" s="29">
        <v>11.2</v>
      </c>
      <c r="N141" s="29">
        <v>91.6</v>
      </c>
      <c r="O141" s="28">
        <f>K141-M141</f>
        <v>12.400000000000002</v>
      </c>
      <c r="P141" s="27">
        <v>31.077546148748095</v>
      </c>
      <c r="Q141" s="27">
        <v>20.726477834832647</v>
      </c>
      <c r="R141" s="27">
        <v>10.351068313915448</v>
      </c>
      <c r="S141" s="27">
        <v>0.53</v>
      </c>
      <c r="T141" s="27">
        <v>0.44000000000000006</v>
      </c>
      <c r="U141" s="26">
        <v>1889.9946</v>
      </c>
      <c r="V141" s="26">
        <v>494.12281600000011</v>
      </c>
      <c r="W141" s="26">
        <v>57000</v>
      </c>
      <c r="X141" s="26">
        <v>23016.145607461236</v>
      </c>
      <c r="Y141" s="26">
        <v>33983.854392538764</v>
      </c>
      <c r="Z141" s="53" t="s">
        <v>9</v>
      </c>
      <c r="AA141" s="24">
        <v>0.40379202820107429</v>
      </c>
      <c r="AB141" s="23" t="str">
        <f>IF(TRIM(Z141)="Unit Replace",IF(OR(K141=0,AND(K141&gt;16,AA141&lt;50%)),"Prioritas 1","Prioritas 2"),"")</f>
        <v>Prioritas 1</v>
      </c>
      <c r="AC141" s="21">
        <v>8.9</v>
      </c>
      <c r="AD141" s="21">
        <v>11</v>
      </c>
      <c r="AE141" s="22">
        <f>AD141-AC141</f>
        <v>2.0999999999999996</v>
      </c>
      <c r="AF141" s="21"/>
      <c r="AG141" s="21"/>
      <c r="AH141" s="20" t="s">
        <v>84</v>
      </c>
      <c r="AI141" s="10"/>
      <c r="AJ141" s="9"/>
    </row>
    <row r="142" spans="1:36" ht="13.95" customHeight="1" x14ac:dyDescent="0.3">
      <c r="A142" s="34">
        <f>A141+1</f>
        <v>140</v>
      </c>
      <c r="B142" s="43"/>
      <c r="C142" s="52">
        <v>46164</v>
      </c>
      <c r="D142" s="51" t="s">
        <v>83</v>
      </c>
      <c r="E142" s="51" t="s">
        <v>6</v>
      </c>
      <c r="F142" s="51" t="s">
        <v>75</v>
      </c>
      <c r="G142" s="51" t="s">
        <v>25</v>
      </c>
      <c r="H142" s="51">
        <v>2007</v>
      </c>
      <c r="I142" s="51" t="s">
        <v>24</v>
      </c>
      <c r="J142" s="50" t="s">
        <v>82</v>
      </c>
      <c r="K142" s="49">
        <v>24.3</v>
      </c>
      <c r="L142" s="49">
        <v>64.3</v>
      </c>
      <c r="M142" s="49">
        <v>17.399999999999999</v>
      </c>
      <c r="N142" s="49">
        <v>79.3</v>
      </c>
      <c r="O142" s="28">
        <f>K142-M142</f>
        <v>6.9000000000000021</v>
      </c>
      <c r="P142" s="48">
        <v>31.5617169077643</v>
      </c>
      <c r="Q142" s="48">
        <v>25.899630457723333</v>
      </c>
      <c r="R142" s="48">
        <v>5.6620864500409667</v>
      </c>
      <c r="S142" s="48">
        <v>1.17</v>
      </c>
      <c r="T142" s="48">
        <v>0.45499999999999996</v>
      </c>
      <c r="U142" s="47">
        <v>3380</v>
      </c>
      <c r="V142" s="47">
        <v>1127.9857679999998</v>
      </c>
      <c r="W142" s="47">
        <v>59000</v>
      </c>
      <c r="X142" s="47">
        <v>28740.388197743334</v>
      </c>
      <c r="Y142" s="47">
        <v>30259.611802256666</v>
      </c>
      <c r="Z142" s="35" t="s">
        <v>9</v>
      </c>
      <c r="AA142" s="46">
        <v>0.48712522369056499</v>
      </c>
      <c r="AB142" s="23" t="str">
        <f>IF(TRIM(Z142)="Unit Replace",IF(OR(K142=0,AND(K142&gt;16,AA142&lt;50%)),"Prioritas 1","Prioritas 2"),"")</f>
        <v>Prioritas 1</v>
      </c>
      <c r="AC142" s="45">
        <v>9.1999999999999993</v>
      </c>
      <c r="AD142" s="45">
        <v>15.4</v>
      </c>
      <c r="AE142" s="22">
        <f>AD142-AC142</f>
        <v>6.2000000000000011</v>
      </c>
      <c r="AF142" s="45"/>
      <c r="AG142" s="45"/>
      <c r="AH142" s="44" t="s">
        <v>81</v>
      </c>
      <c r="AI142" s="10"/>
      <c r="AJ142" s="9"/>
    </row>
    <row r="143" spans="1:36" ht="13.95" customHeight="1" x14ac:dyDescent="0.3">
      <c r="A143" s="34">
        <f>A142+1</f>
        <v>141</v>
      </c>
      <c r="B143" s="43" t="s">
        <v>80</v>
      </c>
      <c r="C143" s="37">
        <v>46167</v>
      </c>
      <c r="D143" s="36" t="s">
        <v>79</v>
      </c>
      <c r="E143" s="36" t="s">
        <v>6</v>
      </c>
      <c r="F143" s="36" t="s">
        <v>75</v>
      </c>
      <c r="G143" s="36" t="s">
        <v>4</v>
      </c>
      <c r="H143" s="36">
        <v>2009</v>
      </c>
      <c r="I143" s="36" t="s">
        <v>3</v>
      </c>
      <c r="J143" s="30" t="s">
        <v>74</v>
      </c>
      <c r="K143" s="29">
        <v>22</v>
      </c>
      <c r="L143" s="29">
        <v>69.400000000000006</v>
      </c>
      <c r="M143" s="29">
        <v>12.4</v>
      </c>
      <c r="N143" s="29">
        <v>94.3</v>
      </c>
      <c r="O143" s="28">
        <f>K143-M143</f>
        <v>9.6</v>
      </c>
      <c r="P143" s="27">
        <v>29.719523434591526</v>
      </c>
      <c r="Q143" s="27">
        <v>22.204634623904731</v>
      </c>
      <c r="R143" s="27">
        <v>7.514888810686795</v>
      </c>
      <c r="S143" s="27">
        <v>0.93</v>
      </c>
      <c r="T143" s="27">
        <v>0.44000000000000006</v>
      </c>
      <c r="U143" s="26">
        <v>1889.9946</v>
      </c>
      <c r="V143" s="26">
        <v>867.04569600000013</v>
      </c>
      <c r="W143" s="26">
        <v>57000</v>
      </c>
      <c r="X143" s="26">
        <v>29320.883996510456</v>
      </c>
      <c r="Y143" s="26">
        <v>27679.116003489544</v>
      </c>
      <c r="Z143" s="35" t="s">
        <v>9</v>
      </c>
      <c r="AA143" s="24">
        <v>0.51440147362299049</v>
      </c>
      <c r="AB143" s="23" t="str">
        <f>IF(TRIM(Z143)="Unit Replace",IF(OR(K143=0,AND(K143&gt;16,AA143&lt;50%)),"Prioritas 1","Prioritas 2"),"")</f>
        <v>Prioritas 2</v>
      </c>
      <c r="AC143" s="21">
        <v>8.9</v>
      </c>
      <c r="AD143" s="21">
        <v>11.1</v>
      </c>
      <c r="AE143" s="22">
        <f>AD143-AC143</f>
        <v>2.1999999999999993</v>
      </c>
      <c r="AF143" s="21"/>
      <c r="AG143" s="21"/>
      <c r="AH143" s="20" t="s">
        <v>73</v>
      </c>
      <c r="AI143" s="10"/>
      <c r="AJ143" s="9"/>
    </row>
    <row r="144" spans="1:36" ht="13.95" customHeight="1" x14ac:dyDescent="0.3">
      <c r="A144" s="34">
        <f>A143+1</f>
        <v>142</v>
      </c>
      <c r="B144" s="43"/>
      <c r="C144" s="37">
        <v>46167</v>
      </c>
      <c r="D144" s="36" t="s">
        <v>78</v>
      </c>
      <c r="E144" s="36" t="s">
        <v>6</v>
      </c>
      <c r="F144" s="36" t="s">
        <v>75</v>
      </c>
      <c r="G144" s="36" t="s">
        <v>4</v>
      </c>
      <c r="H144" s="36">
        <v>2009</v>
      </c>
      <c r="I144" s="36" t="s">
        <v>77</v>
      </c>
      <c r="J144" s="30" t="s">
        <v>74</v>
      </c>
      <c r="K144" s="29">
        <v>22.3</v>
      </c>
      <c r="L144" s="29">
        <v>78.599999999999994</v>
      </c>
      <c r="M144" s="29">
        <v>15.5</v>
      </c>
      <c r="N144" s="29">
        <v>91.2</v>
      </c>
      <c r="O144" s="28">
        <f>K144-M144</f>
        <v>6.8000000000000007</v>
      </c>
      <c r="P144" s="27">
        <v>31.816793279132206</v>
      </c>
      <c r="Q144" s="27">
        <v>25.270957333999863</v>
      </c>
      <c r="R144" s="27">
        <v>6.5458359451323425</v>
      </c>
      <c r="S144" s="27">
        <v>1.7</v>
      </c>
      <c r="T144" s="27">
        <v>0.29749999999999999</v>
      </c>
      <c r="U144" s="26">
        <v>1371.192</v>
      </c>
      <c r="V144" s="26">
        <v>1071.62356</v>
      </c>
      <c r="W144" s="26">
        <v>47000</v>
      </c>
      <c r="X144" s="26">
        <v>31566.024084144083</v>
      </c>
      <c r="Y144" s="26">
        <v>15433.975915855917</v>
      </c>
      <c r="Z144" s="35" t="s">
        <v>9</v>
      </c>
      <c r="AA144" s="24">
        <v>0.67161753370519328</v>
      </c>
      <c r="AB144" s="23" t="str">
        <f>IF(TRIM(Z144)="Unit Replace",IF(OR(K144=0,AND(K144&gt;16,AA144&lt;50%)),"Prioritas 1","Prioritas 2"),"")</f>
        <v>Prioritas 2</v>
      </c>
      <c r="AC144" s="21">
        <v>9</v>
      </c>
      <c r="AD144" s="21">
        <v>14.5</v>
      </c>
      <c r="AE144" s="22">
        <f>AD144-AC144</f>
        <v>5.5</v>
      </c>
      <c r="AF144" s="21"/>
      <c r="AG144" s="21"/>
      <c r="AH144" s="20" t="s">
        <v>73</v>
      </c>
      <c r="AI144" s="10"/>
      <c r="AJ144" s="9"/>
    </row>
    <row r="145" spans="1:36" ht="13.95" customHeight="1" x14ac:dyDescent="0.3">
      <c r="A145" s="34">
        <f>A144+1</f>
        <v>143</v>
      </c>
      <c r="B145" s="43"/>
      <c r="C145" s="37">
        <v>46167</v>
      </c>
      <c r="D145" s="36" t="s">
        <v>76</v>
      </c>
      <c r="E145" s="36" t="s">
        <v>6</v>
      </c>
      <c r="F145" s="36" t="s">
        <v>75</v>
      </c>
      <c r="G145" s="36" t="s">
        <v>4</v>
      </c>
      <c r="H145" s="36">
        <v>2009</v>
      </c>
      <c r="I145" s="36" t="s">
        <v>3</v>
      </c>
      <c r="J145" s="30" t="s">
        <v>74</v>
      </c>
      <c r="K145" s="29">
        <v>22</v>
      </c>
      <c r="L145" s="29">
        <v>69.400000000000006</v>
      </c>
      <c r="M145" s="29">
        <v>15.7</v>
      </c>
      <c r="N145" s="29">
        <v>90.8</v>
      </c>
      <c r="O145" s="28">
        <f>K145-M145</f>
        <v>6.3000000000000007</v>
      </c>
      <c r="P145" s="27">
        <v>29.719523434591526</v>
      </c>
      <c r="Q145" s="27">
        <v>25.45258597618006</v>
      </c>
      <c r="R145" s="27">
        <v>4.2669374584114657</v>
      </c>
      <c r="S145" s="27">
        <v>1.3</v>
      </c>
      <c r="T145" s="27">
        <v>0.44000000000000006</v>
      </c>
      <c r="U145" s="26">
        <v>1889.9946</v>
      </c>
      <c r="V145" s="26">
        <v>1211.9993600000003</v>
      </c>
      <c r="W145" s="26">
        <v>57000</v>
      </c>
      <c r="X145" s="26">
        <v>23271.864609396256</v>
      </c>
      <c r="Y145" s="26">
        <v>33728.13539060374</v>
      </c>
      <c r="Z145" s="35" t="s">
        <v>9</v>
      </c>
      <c r="AA145" s="24">
        <v>0.40827832648063606</v>
      </c>
      <c r="AB145" s="23" t="str">
        <f>IF(TRIM(Z145)="Unit Replace",IF(OR(K145=0,AND(K145&gt;16,AA145&lt;50%)),"Prioritas 1","Prioritas 2"),"")</f>
        <v>Prioritas 1</v>
      </c>
      <c r="AC145" s="21">
        <v>9.1</v>
      </c>
      <c r="AD145" s="21">
        <v>14.5</v>
      </c>
      <c r="AE145" s="22">
        <f>AD145-AC145</f>
        <v>5.4</v>
      </c>
      <c r="AF145" s="21"/>
      <c r="AG145" s="21"/>
      <c r="AH145" s="20" t="s">
        <v>73</v>
      </c>
      <c r="AI145" s="10"/>
      <c r="AJ145" s="9"/>
    </row>
    <row r="146" spans="1:36" ht="13.95" customHeight="1" x14ac:dyDescent="0.3">
      <c r="A146" s="34">
        <f>A145+1</f>
        <v>144</v>
      </c>
      <c r="B146" s="43"/>
      <c r="C146" s="37">
        <v>46167</v>
      </c>
      <c r="D146" s="36" t="s">
        <v>72</v>
      </c>
      <c r="E146" s="36" t="s">
        <v>6</v>
      </c>
      <c r="F146" s="36" t="s">
        <v>5</v>
      </c>
      <c r="G146" s="36" t="s">
        <v>25</v>
      </c>
      <c r="H146" s="36">
        <v>2012</v>
      </c>
      <c r="I146" s="36" t="s">
        <v>37</v>
      </c>
      <c r="J146" s="30" t="s">
        <v>33</v>
      </c>
      <c r="K146" s="29">
        <v>25.7</v>
      </c>
      <c r="L146" s="29">
        <v>75.7</v>
      </c>
      <c r="M146" s="29">
        <v>15.4</v>
      </c>
      <c r="N146" s="29">
        <v>91.2</v>
      </c>
      <c r="O146" s="28">
        <f>K146-M146</f>
        <v>10.299999999999999</v>
      </c>
      <c r="P146" s="27">
        <v>36.022084273458056</v>
      </c>
      <c r="Q146" s="27">
        <v>25.156177958509367</v>
      </c>
      <c r="R146" s="27">
        <v>10.865906314948688</v>
      </c>
      <c r="S146" s="27">
        <v>0.8</v>
      </c>
      <c r="T146" s="27">
        <v>0.54</v>
      </c>
      <c r="U146" s="26">
        <v>4166.666666666667</v>
      </c>
      <c r="V146" s="26">
        <v>915.35616000000016</v>
      </c>
      <c r="W146" s="26">
        <v>75000</v>
      </c>
      <c r="X146" s="26">
        <v>44757.78425717033</v>
      </c>
      <c r="Y146" s="26">
        <v>30242.21574282967</v>
      </c>
      <c r="Z146" s="35" t="s">
        <v>9</v>
      </c>
      <c r="AA146" s="24">
        <v>0.59677045676227103</v>
      </c>
      <c r="AB146" s="23" t="str">
        <f>IF(TRIM(Z146)="Unit Replace",IF(OR(K146=0,AND(K146&gt;16,AA146&lt;50%)),"Prioritas 1","Prioritas 2"),"")</f>
        <v>Prioritas 2</v>
      </c>
      <c r="AC146" s="21">
        <v>9.5</v>
      </c>
      <c r="AD146" s="21">
        <v>14.8</v>
      </c>
      <c r="AE146" s="22">
        <f>AD146-AC146</f>
        <v>5.3000000000000007</v>
      </c>
      <c r="AF146" s="21"/>
      <c r="AG146" s="21"/>
      <c r="AH146" s="20" t="s">
        <v>71</v>
      </c>
      <c r="AI146" s="10"/>
      <c r="AJ146" s="9"/>
    </row>
    <row r="147" spans="1:36" ht="13.95" customHeight="1" x14ac:dyDescent="0.3">
      <c r="A147" s="34">
        <f>A146+1</f>
        <v>145</v>
      </c>
      <c r="B147" s="43"/>
      <c r="C147" s="37">
        <v>46167</v>
      </c>
      <c r="D147" s="36" t="s">
        <v>70</v>
      </c>
      <c r="E147" s="36" t="s">
        <v>6</v>
      </c>
      <c r="F147" s="36" t="s">
        <v>5</v>
      </c>
      <c r="G147" s="36" t="s">
        <v>25</v>
      </c>
      <c r="H147" s="36">
        <v>2012</v>
      </c>
      <c r="I147" s="36" t="s">
        <v>37</v>
      </c>
      <c r="J147" s="30" t="s">
        <v>33</v>
      </c>
      <c r="K147" s="29">
        <v>23.9</v>
      </c>
      <c r="L147" s="29">
        <v>72.2</v>
      </c>
      <c r="M147" s="29">
        <v>15.4</v>
      </c>
      <c r="N147" s="29">
        <v>89.7</v>
      </c>
      <c r="O147" s="28">
        <f>K147-M147</f>
        <v>8.4999999999999982</v>
      </c>
      <c r="P147" s="27">
        <v>32.700578330232844</v>
      </c>
      <c r="Q147" s="27">
        <v>24.975361090515641</v>
      </c>
      <c r="R147" s="27">
        <v>7.7252172397172032</v>
      </c>
      <c r="S147" s="27">
        <v>1.24</v>
      </c>
      <c r="T147" s="27">
        <v>0.54</v>
      </c>
      <c r="U147" s="26">
        <v>4166.666666666667</v>
      </c>
      <c r="V147" s="26">
        <v>1418.8020480000002</v>
      </c>
      <c r="W147" s="26">
        <v>75000</v>
      </c>
      <c r="X147" s="26">
        <v>49322.493184300547</v>
      </c>
      <c r="Y147" s="26">
        <v>25677.506815699453</v>
      </c>
      <c r="Z147" s="35" t="s">
        <v>9</v>
      </c>
      <c r="AA147" s="24">
        <v>0.65763324245734067</v>
      </c>
      <c r="AB147" s="23" t="str">
        <f>IF(TRIM(Z147)="Unit Replace",IF(OR(K147=0,AND(K147&gt;16,AA147&lt;50%)),"Prioritas 1","Prioritas 2"),"")</f>
        <v>Prioritas 2</v>
      </c>
      <c r="AC147" s="21">
        <v>9.4</v>
      </c>
      <c r="AD147" s="21">
        <v>14.6</v>
      </c>
      <c r="AE147" s="22">
        <f>AD147-AC147</f>
        <v>5.1999999999999993</v>
      </c>
      <c r="AF147" s="21"/>
      <c r="AG147" s="21"/>
      <c r="AH147" s="20" t="s">
        <v>69</v>
      </c>
      <c r="AI147" s="10"/>
      <c r="AJ147" s="9"/>
    </row>
    <row r="148" spans="1:36" ht="13.95" customHeight="1" x14ac:dyDescent="0.3">
      <c r="A148" s="34">
        <f>A147+1</f>
        <v>146</v>
      </c>
      <c r="B148" s="43"/>
      <c r="C148" s="37">
        <v>46167</v>
      </c>
      <c r="D148" s="36" t="s">
        <v>68</v>
      </c>
      <c r="E148" s="36" t="s">
        <v>6</v>
      </c>
      <c r="F148" s="36" t="s">
        <v>5</v>
      </c>
      <c r="G148" s="36" t="s">
        <v>25</v>
      </c>
      <c r="H148" s="36">
        <v>2012</v>
      </c>
      <c r="I148" s="36" t="s">
        <v>37</v>
      </c>
      <c r="J148" s="30" t="s">
        <v>33</v>
      </c>
      <c r="K148" s="29">
        <v>24.9</v>
      </c>
      <c r="L148" s="29">
        <v>69.599999999999994</v>
      </c>
      <c r="M148" s="29">
        <v>16.399999999999999</v>
      </c>
      <c r="N148" s="29">
        <v>87.1</v>
      </c>
      <c r="O148" s="28">
        <f>K148-M148</f>
        <v>8.5</v>
      </c>
      <c r="P148" s="27">
        <v>33.495560336414457</v>
      </c>
      <c r="Q148" s="27">
        <v>25.795237994299743</v>
      </c>
      <c r="R148" s="27">
        <v>7.7003223421147133</v>
      </c>
      <c r="S148" s="27">
        <v>1.1299999999999999</v>
      </c>
      <c r="T148" s="27">
        <v>0.54</v>
      </c>
      <c r="U148" s="26">
        <v>4166.666666666667</v>
      </c>
      <c r="V148" s="26">
        <v>1292.940576</v>
      </c>
      <c r="W148" s="26">
        <v>75000</v>
      </c>
      <c r="X148" s="26">
        <v>44802.266419797597</v>
      </c>
      <c r="Y148" s="26">
        <v>30197.733580202403</v>
      </c>
      <c r="Z148" s="35" t="s">
        <v>9</v>
      </c>
      <c r="AA148" s="24">
        <v>0.59736355226396798</v>
      </c>
      <c r="AB148" s="23" t="str">
        <f>IF(TRIM(Z148)="Unit Replace",IF(OR(K148=0,AND(K148&gt;16,AA148&lt;50%)),"Prioritas 1","Prioritas 2"),"")</f>
        <v>Prioritas 2</v>
      </c>
      <c r="AC148" s="21">
        <v>9.5</v>
      </c>
      <c r="AD148" s="21">
        <v>15.1</v>
      </c>
      <c r="AE148" s="22">
        <f>AD148-AC148</f>
        <v>5.6</v>
      </c>
      <c r="AF148" s="21"/>
      <c r="AG148" s="21"/>
      <c r="AH148" s="20" t="s">
        <v>67</v>
      </c>
      <c r="AI148" s="10"/>
      <c r="AJ148" s="9"/>
    </row>
    <row r="149" spans="1:36" ht="13.95" customHeight="1" x14ac:dyDescent="0.3">
      <c r="A149" s="34">
        <f>A148+1</f>
        <v>147</v>
      </c>
      <c r="B149" s="43"/>
      <c r="C149" s="37">
        <v>46167</v>
      </c>
      <c r="D149" s="36" t="s">
        <v>66</v>
      </c>
      <c r="E149" s="36" t="s">
        <v>6</v>
      </c>
      <c r="F149" s="36" t="s">
        <v>5</v>
      </c>
      <c r="G149" s="36" t="s">
        <v>25</v>
      </c>
      <c r="H149" s="36">
        <v>2012</v>
      </c>
      <c r="I149" s="36" t="s">
        <v>24</v>
      </c>
      <c r="J149" s="30" t="s">
        <v>33</v>
      </c>
      <c r="K149" s="29">
        <v>24.6</v>
      </c>
      <c r="L149" s="29">
        <v>68.400000000000006</v>
      </c>
      <c r="M149" s="29">
        <v>18.399999999999999</v>
      </c>
      <c r="N149" s="29">
        <v>81.400000000000006</v>
      </c>
      <c r="O149" s="28">
        <f>K149-M149</f>
        <v>6.2000000000000028</v>
      </c>
      <c r="P149" s="27">
        <v>32.829408390429364</v>
      </c>
      <c r="Q149" s="27">
        <v>27.354438069972787</v>
      </c>
      <c r="R149" s="27">
        <v>5.4749703204565776</v>
      </c>
      <c r="S149" s="27">
        <v>1.2</v>
      </c>
      <c r="T149" s="27">
        <v>0.45499999999999996</v>
      </c>
      <c r="U149" s="26">
        <v>3380</v>
      </c>
      <c r="V149" s="26">
        <v>1156.9084799999998</v>
      </c>
      <c r="W149" s="26">
        <v>59000</v>
      </c>
      <c r="X149" s="26">
        <v>28503.178161680389</v>
      </c>
      <c r="Y149" s="26">
        <v>30496.821838319611</v>
      </c>
      <c r="Z149" s="35" t="s">
        <v>9</v>
      </c>
      <c r="AA149" s="24">
        <v>0.48310471460475235</v>
      </c>
      <c r="AB149" s="23" t="str">
        <f>IF(TRIM(Z149)="Unit Replace",IF(OR(K149=0,AND(K149&gt;16,AA149&lt;50%)),"Prioritas 1","Prioritas 2"),"")</f>
        <v>Prioritas 1</v>
      </c>
      <c r="AC149" s="21">
        <v>9.6</v>
      </c>
      <c r="AD149" s="21">
        <v>15.4</v>
      </c>
      <c r="AE149" s="22">
        <f>AD149-AC149</f>
        <v>5.8000000000000007</v>
      </c>
      <c r="AF149" s="21"/>
      <c r="AG149" s="21"/>
      <c r="AH149" s="20" t="s">
        <v>65</v>
      </c>
      <c r="AI149" s="10"/>
      <c r="AJ149" s="9"/>
    </row>
    <row r="150" spans="1:36" ht="13.95" customHeight="1" x14ac:dyDescent="0.3">
      <c r="A150" s="34">
        <f>A149+1</f>
        <v>148</v>
      </c>
      <c r="B150" s="43"/>
      <c r="C150" s="37">
        <v>46167</v>
      </c>
      <c r="D150" s="36" t="s">
        <v>64</v>
      </c>
      <c r="E150" s="36" t="s">
        <v>6</v>
      </c>
      <c r="F150" s="36" t="s">
        <v>5</v>
      </c>
      <c r="G150" s="36" t="s">
        <v>4</v>
      </c>
      <c r="H150" s="36">
        <v>2012</v>
      </c>
      <c r="I150" s="36" t="s">
        <v>34</v>
      </c>
      <c r="J150" s="30" t="s">
        <v>33</v>
      </c>
      <c r="K150" s="29">
        <v>24.1</v>
      </c>
      <c r="L150" s="29">
        <v>64.5</v>
      </c>
      <c r="M150" s="29">
        <v>16.5</v>
      </c>
      <c r="N150" s="29">
        <v>91.5</v>
      </c>
      <c r="O150" s="28">
        <f>K150-M150</f>
        <v>7.6000000000000014</v>
      </c>
      <c r="P150" s="27">
        <v>31.352743865441649</v>
      </c>
      <c r="Q150" s="27">
        <v>26.481387193749889</v>
      </c>
      <c r="R150" s="27">
        <v>4.8713566716917605</v>
      </c>
      <c r="S150" s="27">
        <v>2.1</v>
      </c>
      <c r="T150" s="27">
        <v>0.3</v>
      </c>
      <c r="U150" s="26">
        <v>1135.5919999999999</v>
      </c>
      <c r="V150" s="26">
        <v>1334.8944000000001</v>
      </c>
      <c r="W150" s="26">
        <v>37000</v>
      </c>
      <c r="X150" s="26">
        <v>29262.360336497863</v>
      </c>
      <c r="Y150" s="26">
        <v>7737.6396635021374</v>
      </c>
      <c r="Z150" s="35" t="s">
        <v>9</v>
      </c>
      <c r="AA150" s="24">
        <v>0.79087460368913143</v>
      </c>
      <c r="AB150" s="23" t="str">
        <f>IF(TRIM(Z150)="Unit Replace",IF(OR(K150=0,AND(K150&gt;16,AA150&lt;50%)),"Prioritas 1","Prioritas 2"),"")</f>
        <v>Prioritas 2</v>
      </c>
      <c r="AC150" s="21">
        <v>9.3000000000000007</v>
      </c>
      <c r="AD150" s="21">
        <v>15.8</v>
      </c>
      <c r="AE150" s="22">
        <f>AD150-AC150</f>
        <v>6.5</v>
      </c>
      <c r="AF150" s="21"/>
      <c r="AG150" s="21"/>
      <c r="AH150" s="20" t="s">
        <v>0</v>
      </c>
      <c r="AI150" s="10"/>
      <c r="AJ150" s="9"/>
    </row>
    <row r="151" spans="1:36" ht="13.95" customHeight="1" x14ac:dyDescent="0.3">
      <c r="A151" s="34">
        <f>A150+1</f>
        <v>149</v>
      </c>
      <c r="B151" s="43"/>
      <c r="C151" s="37">
        <v>46167</v>
      </c>
      <c r="D151" s="36" t="s">
        <v>63</v>
      </c>
      <c r="E151" s="36" t="s">
        <v>6</v>
      </c>
      <c r="F151" s="36" t="s">
        <v>5</v>
      </c>
      <c r="G151" s="36" t="s">
        <v>4</v>
      </c>
      <c r="H151" s="36">
        <v>2012</v>
      </c>
      <c r="I151" s="36" t="s">
        <v>3</v>
      </c>
      <c r="J151" s="30" t="s">
        <v>33</v>
      </c>
      <c r="K151" s="29">
        <v>24</v>
      </c>
      <c r="L151" s="29">
        <v>63</v>
      </c>
      <c r="M151" s="29">
        <v>16.399999999999999</v>
      </c>
      <c r="N151" s="29">
        <v>81.099999999999994</v>
      </c>
      <c r="O151" s="28"/>
      <c r="P151" s="27">
        <v>30.915416659236165</v>
      </c>
      <c r="Q151" s="27">
        <v>25.023875851204501</v>
      </c>
      <c r="R151" s="27">
        <v>5.8915408080316638</v>
      </c>
      <c r="S151" s="27">
        <v>1.06</v>
      </c>
      <c r="T151" s="27">
        <v>0.44000000000000006</v>
      </c>
      <c r="U151" s="26">
        <v>1889.9946</v>
      </c>
      <c r="V151" s="26">
        <v>988.24563200000023</v>
      </c>
      <c r="W151" s="26">
        <v>57000</v>
      </c>
      <c r="X151" s="26">
        <v>26200.302611791696</v>
      </c>
      <c r="Y151" s="26">
        <v>30799.697388208304</v>
      </c>
      <c r="Z151" s="35" t="s">
        <v>9</v>
      </c>
      <c r="AA151" s="24">
        <v>0.45965443178581922</v>
      </c>
      <c r="AB151" s="23" t="str">
        <f>IF(TRIM(Z151)="Unit Replace",IF(OR(K151=0,AND(K151&gt;16,AA151&lt;50%)),"Prioritas 1","Prioritas 2"),"")</f>
        <v>Prioritas 1</v>
      </c>
      <c r="AC151" s="21">
        <v>9.4</v>
      </c>
      <c r="AD151" s="21">
        <v>15.3</v>
      </c>
      <c r="AE151" s="22">
        <f>AD151-AC151</f>
        <v>5.9</v>
      </c>
      <c r="AF151" s="21"/>
      <c r="AG151" s="21"/>
      <c r="AH151" s="20" t="s">
        <v>48</v>
      </c>
      <c r="AI151" s="10"/>
      <c r="AJ151" s="9"/>
    </row>
    <row r="152" spans="1:36" ht="13.95" customHeight="1" x14ac:dyDescent="0.3">
      <c r="A152" s="34">
        <f>A151+1</f>
        <v>150</v>
      </c>
      <c r="B152" s="43"/>
      <c r="C152" s="37">
        <v>46167</v>
      </c>
      <c r="D152" s="36" t="s">
        <v>62</v>
      </c>
      <c r="E152" s="36" t="s">
        <v>6</v>
      </c>
      <c r="F152" s="36" t="s">
        <v>5</v>
      </c>
      <c r="G152" s="36" t="s">
        <v>25</v>
      </c>
      <c r="H152" s="36">
        <v>2012</v>
      </c>
      <c r="I152" s="36" t="s">
        <v>24</v>
      </c>
      <c r="J152" s="30" t="s">
        <v>61</v>
      </c>
      <c r="K152" s="29">
        <v>23.3</v>
      </c>
      <c r="L152" s="29">
        <v>70.3</v>
      </c>
      <c r="M152" s="29">
        <v>17.399999999999999</v>
      </c>
      <c r="N152" s="29">
        <v>82.3</v>
      </c>
      <c r="O152" s="28">
        <f>K152-M152</f>
        <v>5.9000000000000021</v>
      </c>
      <c r="P152" s="27">
        <v>31.522823244408254</v>
      </c>
      <c r="Q152" s="27">
        <v>26.311172522081961</v>
      </c>
      <c r="R152" s="27">
        <v>5.2116507223262936</v>
      </c>
      <c r="S152" s="27">
        <v>1.43</v>
      </c>
      <c r="T152" s="27">
        <v>0.45499999999999996</v>
      </c>
      <c r="U152" s="26">
        <v>3380</v>
      </c>
      <c r="V152" s="26">
        <v>1378.6492719999999</v>
      </c>
      <c r="W152" s="26">
        <v>59000</v>
      </c>
      <c r="X152" s="26">
        <v>32332.673134140383</v>
      </c>
      <c r="Y152" s="26">
        <v>26667.326865859617</v>
      </c>
      <c r="Z152" s="35" t="s">
        <v>9</v>
      </c>
      <c r="AA152" s="24">
        <v>0.54801140905322687</v>
      </c>
      <c r="AB152" s="23" t="str">
        <f>IF(TRIM(Z152)="Unit Replace",IF(OR(K152=0,AND(K152&gt;16,AA152&lt;50%)),"Prioritas 1","Prioritas 2"),"")</f>
        <v>Prioritas 2</v>
      </c>
      <c r="AC152" s="21">
        <v>9.3000000000000007</v>
      </c>
      <c r="AD152" s="21">
        <v>15.3</v>
      </c>
      <c r="AE152" s="22">
        <f>AD152-AC152</f>
        <v>6</v>
      </c>
      <c r="AF152" s="21"/>
      <c r="AG152" s="21"/>
      <c r="AH152" s="20" t="s">
        <v>60</v>
      </c>
      <c r="AI152" s="10"/>
      <c r="AJ152" s="9"/>
    </row>
    <row r="153" spans="1:36" ht="13.95" customHeight="1" x14ac:dyDescent="0.3">
      <c r="A153" s="34">
        <f>A152+1</f>
        <v>151</v>
      </c>
      <c r="B153" s="43"/>
      <c r="C153" s="37">
        <v>46167</v>
      </c>
      <c r="D153" s="36" t="s">
        <v>59</v>
      </c>
      <c r="E153" s="36" t="s">
        <v>6</v>
      </c>
      <c r="F153" s="36" t="s">
        <v>5</v>
      </c>
      <c r="G153" s="36" t="s">
        <v>14</v>
      </c>
      <c r="H153" s="36">
        <v>2009</v>
      </c>
      <c r="I153" s="36" t="s">
        <v>58</v>
      </c>
      <c r="J153" s="30" t="s">
        <v>57</v>
      </c>
      <c r="K153" s="29">
        <v>21.7</v>
      </c>
      <c r="L153" s="29">
        <v>70.400000000000006</v>
      </c>
      <c r="M153" s="29">
        <v>15.2</v>
      </c>
      <c r="N153" s="29">
        <v>88.9</v>
      </c>
      <c r="O153" s="28">
        <f>K153-M153</f>
        <v>6.5</v>
      </c>
      <c r="P153" s="27">
        <v>29.536219896334998</v>
      </c>
      <c r="Q153" s="27">
        <v>24.654357841525957</v>
      </c>
      <c r="R153" s="27">
        <v>4.8818620548090408</v>
      </c>
      <c r="S153" s="27">
        <v>2.2000000000000002</v>
      </c>
      <c r="T153" s="27">
        <v>0.27999999999999997</v>
      </c>
      <c r="U153" s="26">
        <v>1600</v>
      </c>
      <c r="V153" s="26">
        <v>1305.23008</v>
      </c>
      <c r="W153" s="26">
        <v>50000</v>
      </c>
      <c r="X153" s="26">
        <v>28673.789401563161</v>
      </c>
      <c r="Y153" s="26">
        <v>21326.210598436839</v>
      </c>
      <c r="Z153" s="35" t="s">
        <v>9</v>
      </c>
      <c r="AA153" s="24">
        <v>0.5734757880312632</v>
      </c>
      <c r="AB153" s="23" t="str">
        <f>IF(TRIM(Z153)="Unit Replace",IF(OR(K153=0,AND(K153&gt;16,AA153&lt;50%)),"Prioritas 1","Prioritas 2"),"")</f>
        <v>Prioritas 2</v>
      </c>
      <c r="AC153" s="21">
        <v>8.9</v>
      </c>
      <c r="AD153" s="21">
        <v>14.5</v>
      </c>
      <c r="AE153" s="22">
        <f>AD153-AC153</f>
        <v>5.6</v>
      </c>
      <c r="AF153" s="21"/>
      <c r="AG153" s="21"/>
      <c r="AH153" s="20" t="s">
        <v>56</v>
      </c>
      <c r="AI153" s="10"/>
      <c r="AJ153" s="9"/>
    </row>
    <row r="154" spans="1:36" ht="13.95" customHeight="1" x14ac:dyDescent="0.3">
      <c r="A154" s="34">
        <f>A153+1</f>
        <v>152</v>
      </c>
      <c r="B154" s="42" t="s">
        <v>55</v>
      </c>
      <c r="C154" s="37">
        <v>46168</v>
      </c>
      <c r="D154" s="36" t="s">
        <v>54</v>
      </c>
      <c r="E154" s="36" t="s">
        <v>6</v>
      </c>
      <c r="F154" s="36" t="s">
        <v>5</v>
      </c>
      <c r="G154" s="36" t="s">
        <v>25</v>
      </c>
      <c r="H154" s="36">
        <v>2012</v>
      </c>
      <c r="I154" s="36" t="s">
        <v>53</v>
      </c>
      <c r="J154" s="30" t="s">
        <v>43</v>
      </c>
      <c r="K154" s="29">
        <v>27.7</v>
      </c>
      <c r="L154" s="29">
        <v>65.8</v>
      </c>
      <c r="M154" s="29">
        <v>22.7</v>
      </c>
      <c r="N154" s="29">
        <v>73</v>
      </c>
      <c r="O154" s="28">
        <f>K154-M154</f>
        <v>5</v>
      </c>
      <c r="P154" s="27">
        <v>36.516660308463258</v>
      </c>
      <c r="Q154" s="27">
        <v>31.277226965009202</v>
      </c>
      <c r="R154" s="27">
        <v>5.2394333434540563</v>
      </c>
      <c r="S154" s="27">
        <v>1</v>
      </c>
      <c r="T154" s="27">
        <v>0.27</v>
      </c>
      <c r="U154" s="26">
        <v>1500</v>
      </c>
      <c r="V154" s="26">
        <v>572.09760000000006</v>
      </c>
      <c r="W154" s="26">
        <v>49000</v>
      </c>
      <c r="X154" s="26">
        <v>13488.602585175186</v>
      </c>
      <c r="Y154" s="26">
        <v>35511.397414824816</v>
      </c>
      <c r="Z154" s="35" t="s">
        <v>9</v>
      </c>
      <c r="AA154" s="24">
        <v>0.27527760377908544</v>
      </c>
      <c r="AB154" s="23" t="str">
        <f>IF(TRIM(Z154)="Unit Replace",IF(OR(K154=0,AND(K154&gt;16,AA154&lt;50%)),"Prioritas 1","Prioritas 2"),"")</f>
        <v>Prioritas 1</v>
      </c>
      <c r="AC154" s="21">
        <v>9.5</v>
      </c>
      <c r="AD154" s="21">
        <v>19</v>
      </c>
      <c r="AE154" s="22">
        <f>AD154-AC154</f>
        <v>9.5</v>
      </c>
      <c r="AF154" s="21"/>
      <c r="AG154" s="21"/>
      <c r="AH154" s="20" t="s">
        <v>52</v>
      </c>
      <c r="AI154" s="10"/>
      <c r="AJ154" s="9"/>
    </row>
    <row r="155" spans="1:36" ht="13.95" customHeight="1" x14ac:dyDescent="0.3">
      <c r="A155" s="34">
        <f>A154+1</f>
        <v>153</v>
      </c>
      <c r="B155" s="38"/>
      <c r="C155" s="37">
        <v>46168</v>
      </c>
      <c r="D155" s="36" t="s">
        <v>51</v>
      </c>
      <c r="E155" s="36" t="s">
        <v>6</v>
      </c>
      <c r="F155" s="36" t="s">
        <v>5</v>
      </c>
      <c r="G155" s="36" t="s">
        <v>4</v>
      </c>
      <c r="H155" s="36">
        <v>2012</v>
      </c>
      <c r="I155" s="36" t="s">
        <v>3</v>
      </c>
      <c r="J155" s="30" t="s">
        <v>43</v>
      </c>
      <c r="K155" s="29">
        <v>25.2</v>
      </c>
      <c r="L155" s="29">
        <v>61.6</v>
      </c>
      <c r="M155" s="29">
        <v>17.3</v>
      </c>
      <c r="N155" s="29">
        <v>80.8</v>
      </c>
      <c r="O155" s="28">
        <f>K155-M155</f>
        <v>7.8999999999999986</v>
      </c>
      <c r="P155" s="27">
        <v>32.107816138802555</v>
      </c>
      <c r="Q155" s="27">
        <v>25.991522770298509</v>
      </c>
      <c r="R155" s="27">
        <v>6.1162933685040457</v>
      </c>
      <c r="S155" s="27">
        <v>0.89</v>
      </c>
      <c r="T155" s="27">
        <v>0.44000000000000006</v>
      </c>
      <c r="U155" s="26">
        <v>1889.9946</v>
      </c>
      <c r="V155" s="26">
        <v>829.75340800000015</v>
      </c>
      <c r="W155" s="26">
        <v>57000</v>
      </c>
      <c r="X155" s="26">
        <v>22837.568700798147</v>
      </c>
      <c r="Y155" s="26">
        <v>34162.431299201853</v>
      </c>
      <c r="Z155" s="35" t="s">
        <v>9</v>
      </c>
      <c r="AA155" s="24">
        <v>0.40065910001400257</v>
      </c>
      <c r="AB155" s="23" t="str">
        <f>IF(TRIM(Z155)="Unit Replace",IF(OR(K155=0,AND(K155&gt;16,AA155&lt;50%)),"Prioritas 1","Prioritas 2"),"")</f>
        <v>Prioritas 1</v>
      </c>
      <c r="AC155" s="21">
        <v>9.4</v>
      </c>
      <c r="AD155" s="21">
        <v>15.4</v>
      </c>
      <c r="AE155" s="22">
        <f>AD155-AC155</f>
        <v>6</v>
      </c>
      <c r="AF155" s="21"/>
      <c r="AG155" s="21"/>
      <c r="AH155" s="20" t="s">
        <v>50</v>
      </c>
      <c r="AI155" s="10"/>
      <c r="AJ155" s="9"/>
    </row>
    <row r="156" spans="1:36" ht="13.95" customHeight="1" x14ac:dyDescent="0.3">
      <c r="A156" s="34">
        <f>A155+1</f>
        <v>154</v>
      </c>
      <c r="B156" s="38"/>
      <c r="C156" s="37">
        <v>46168</v>
      </c>
      <c r="D156" s="36" t="s">
        <v>49</v>
      </c>
      <c r="E156" s="36" t="s">
        <v>6</v>
      </c>
      <c r="F156" s="36" t="s">
        <v>5</v>
      </c>
      <c r="G156" s="36" t="s">
        <v>25</v>
      </c>
      <c r="H156" s="36">
        <v>2012</v>
      </c>
      <c r="I156" s="36" t="s">
        <v>24</v>
      </c>
      <c r="J156" s="30" t="s">
        <v>43</v>
      </c>
      <c r="K156" s="29">
        <v>25.8</v>
      </c>
      <c r="L156" s="29">
        <v>72.3</v>
      </c>
      <c r="M156" s="29">
        <v>20</v>
      </c>
      <c r="N156" s="29">
        <v>81.599999999999994</v>
      </c>
      <c r="O156" s="28">
        <f>K156-M156</f>
        <v>5.8000000000000007</v>
      </c>
      <c r="P156" s="27">
        <v>35.373569088199247</v>
      </c>
      <c r="Q156" s="27">
        <v>29.345772365521313</v>
      </c>
      <c r="R156" s="27">
        <v>6.0277967226779339</v>
      </c>
      <c r="S156" s="27">
        <v>1.5</v>
      </c>
      <c r="T156" s="27">
        <v>0.315</v>
      </c>
      <c r="U156" s="26">
        <v>3380</v>
      </c>
      <c r="V156" s="26">
        <v>1001.1708000000001</v>
      </c>
      <c r="W156" s="26">
        <v>60000</v>
      </c>
      <c r="X156" s="26">
        <v>27156.843301863806</v>
      </c>
      <c r="Y156" s="26">
        <v>32843.156698136198</v>
      </c>
      <c r="Z156" s="35" t="s">
        <v>9</v>
      </c>
      <c r="AA156" s="24">
        <v>0.45261405503106344</v>
      </c>
      <c r="AB156" s="23" t="str">
        <f>IF(TRIM(Z156)="Unit Replace",IF(OR(K156=0,AND(K156&gt;16,AA156&lt;50%)),"Prioritas 1","Prioritas 2"),"")</f>
        <v>Prioritas 1</v>
      </c>
      <c r="AC156" s="21">
        <v>9.1</v>
      </c>
      <c r="AD156" s="21">
        <v>15.3</v>
      </c>
      <c r="AE156" s="22">
        <f>AD156-AC156</f>
        <v>6.2000000000000011</v>
      </c>
      <c r="AF156" s="21"/>
      <c r="AG156" s="21"/>
      <c r="AH156" s="20" t="s">
        <v>48</v>
      </c>
      <c r="AI156" s="10"/>
      <c r="AJ156" s="9"/>
    </row>
    <row r="157" spans="1:36" ht="13.95" customHeight="1" x14ac:dyDescent="0.3">
      <c r="A157" s="34">
        <f>A156+1</f>
        <v>155</v>
      </c>
      <c r="B157" s="38"/>
      <c r="C157" s="41">
        <v>46168</v>
      </c>
      <c r="D157" s="40" t="s">
        <v>47</v>
      </c>
      <c r="E157" s="40" t="s">
        <v>6</v>
      </c>
      <c r="F157" s="40" t="s">
        <v>5</v>
      </c>
      <c r="G157" s="40" t="s">
        <v>25</v>
      </c>
      <c r="H157" s="40">
        <v>2012</v>
      </c>
      <c r="I157" s="40" t="s">
        <v>24</v>
      </c>
      <c r="J157" s="30" t="s">
        <v>43</v>
      </c>
      <c r="K157" s="29">
        <v>25.3</v>
      </c>
      <c r="L157" s="29">
        <v>68.400000000000006</v>
      </c>
      <c r="M157" s="29">
        <v>17.2</v>
      </c>
      <c r="N157" s="29">
        <v>90.6</v>
      </c>
      <c r="O157" s="28">
        <f>K157-M157</f>
        <v>8.1000000000000014</v>
      </c>
      <c r="P157" s="27">
        <v>33.771873485743633</v>
      </c>
      <c r="Q157" s="27">
        <v>27.207425330424218</v>
      </c>
      <c r="R157" s="27">
        <v>6.5644481553194147</v>
      </c>
      <c r="S157" s="27">
        <v>1.74</v>
      </c>
      <c r="T157" s="27">
        <v>0.4375</v>
      </c>
      <c r="U157" s="26">
        <v>3380</v>
      </c>
      <c r="V157" s="26">
        <v>1612.9974</v>
      </c>
      <c r="W157" s="26">
        <v>60000</v>
      </c>
      <c r="X157" s="26">
        <v>47647.970131342554</v>
      </c>
      <c r="Y157" s="26">
        <v>12352.029868657446</v>
      </c>
      <c r="Z157" s="39" t="s">
        <v>17</v>
      </c>
      <c r="AA157" s="24">
        <v>0.7941328355223759</v>
      </c>
      <c r="AB157" s="23" t="str">
        <f>IF(TRIM(Z157)="Unit Replace",IF(OR(K157=0,AND(K157&gt;16,AA157&lt;50%)),"Prioritas 1","Prioritas 2"),"")</f>
        <v/>
      </c>
      <c r="AC157" s="21">
        <v>9.6</v>
      </c>
      <c r="AD157" s="21">
        <v>15.7</v>
      </c>
      <c r="AE157" s="22">
        <f>AD157-AC157</f>
        <v>6.1</v>
      </c>
      <c r="AF157" s="21"/>
      <c r="AG157" s="21"/>
      <c r="AH157" s="20" t="s">
        <v>46</v>
      </c>
      <c r="AI157" s="10"/>
      <c r="AJ157" s="9"/>
    </row>
    <row r="158" spans="1:36" ht="13.95" customHeight="1" x14ac:dyDescent="0.3">
      <c r="A158" s="34">
        <f>A157+1</f>
        <v>156</v>
      </c>
      <c r="B158" s="38"/>
      <c r="C158" s="32">
        <v>46168</v>
      </c>
      <c r="D158" s="31" t="s">
        <v>45</v>
      </c>
      <c r="E158" s="31" t="s">
        <v>6</v>
      </c>
      <c r="F158" s="31" t="s">
        <v>5</v>
      </c>
      <c r="G158" s="31" t="s">
        <v>14</v>
      </c>
      <c r="H158" s="31">
        <v>2016</v>
      </c>
      <c r="I158" s="31" t="s">
        <v>44</v>
      </c>
      <c r="J158" s="30" t="s">
        <v>43</v>
      </c>
      <c r="K158" s="29">
        <v>25.3</v>
      </c>
      <c r="L158" s="29">
        <v>70.3</v>
      </c>
      <c r="M158" s="29">
        <v>15.3</v>
      </c>
      <c r="N158" s="29">
        <v>83.5</v>
      </c>
      <c r="O158" s="28">
        <f>K158-M158</f>
        <v>10</v>
      </c>
      <c r="P158" s="27">
        <v>34.202686478579324</v>
      </c>
      <c r="Q158" s="27">
        <v>24.12081748030544</v>
      </c>
      <c r="R158" s="27">
        <v>10.081868998273883</v>
      </c>
      <c r="S158" s="27">
        <v>1.27</v>
      </c>
      <c r="T158" s="27">
        <v>0.54</v>
      </c>
      <c r="U158" s="26">
        <v>3200</v>
      </c>
      <c r="V158" s="26">
        <v>1453.1279040000002</v>
      </c>
      <c r="W158" s="26">
        <v>100000</v>
      </c>
      <c r="X158" s="26">
        <v>65926.103246389393</v>
      </c>
      <c r="Y158" s="26">
        <v>34073.896753610607</v>
      </c>
      <c r="Z158" s="25" t="s">
        <v>1</v>
      </c>
      <c r="AA158" s="24">
        <v>0.65926103246389389</v>
      </c>
      <c r="AB158" s="23" t="str">
        <f>IF(TRIM(Z158)="Unit Replace",IF(OR(K158=0,AND(K158&gt;16,AA158&lt;50%)),"Prioritas 1","Prioritas 2"),"")</f>
        <v/>
      </c>
      <c r="AC158" s="21">
        <v>9</v>
      </c>
      <c r="AD158" s="21">
        <v>14.6</v>
      </c>
      <c r="AE158" s="22">
        <f>AD158-AC158</f>
        <v>5.6</v>
      </c>
      <c r="AF158" s="21"/>
      <c r="AG158" s="21"/>
      <c r="AH158" s="20" t="s">
        <v>42</v>
      </c>
      <c r="AI158" s="10"/>
      <c r="AJ158" s="9"/>
    </row>
    <row r="159" spans="1:36" ht="13.95" customHeight="1" x14ac:dyDescent="0.3">
      <c r="A159" s="34">
        <f>A158+1</f>
        <v>157</v>
      </c>
      <c r="B159" s="38"/>
      <c r="C159" s="37">
        <v>46168</v>
      </c>
      <c r="D159" s="36" t="s">
        <v>41</v>
      </c>
      <c r="E159" s="36" t="s">
        <v>6</v>
      </c>
      <c r="F159" s="36" t="s">
        <v>5</v>
      </c>
      <c r="G159" s="36" t="s">
        <v>25</v>
      </c>
      <c r="H159" s="36">
        <v>2012</v>
      </c>
      <c r="I159" s="36" t="s">
        <v>37</v>
      </c>
      <c r="J159" s="30" t="s">
        <v>33</v>
      </c>
      <c r="K159" s="29">
        <v>25.9</v>
      </c>
      <c r="L159" s="29">
        <v>72.900000000000006</v>
      </c>
      <c r="M159" s="29">
        <v>19.899999999999999</v>
      </c>
      <c r="N159" s="29">
        <v>80.5</v>
      </c>
      <c r="O159" s="28">
        <f>K159-M159</f>
        <v>6</v>
      </c>
      <c r="P159" s="27">
        <v>35.660181885898311</v>
      </c>
      <c r="Q159" s="27">
        <v>29.041918705034014</v>
      </c>
      <c r="R159" s="27">
        <v>6.6182631808642967</v>
      </c>
      <c r="S159" s="27">
        <v>1.07</v>
      </c>
      <c r="T159" s="27">
        <v>0.54</v>
      </c>
      <c r="U159" s="26">
        <v>4166.666666666667</v>
      </c>
      <c r="V159" s="26">
        <v>1224.2888640000003</v>
      </c>
      <c r="W159" s="26">
        <v>75000</v>
      </c>
      <c r="X159" s="26">
        <v>36461.996601090206</v>
      </c>
      <c r="Y159" s="26">
        <v>38538.003398909794</v>
      </c>
      <c r="Z159" s="35" t="s">
        <v>9</v>
      </c>
      <c r="AA159" s="24">
        <v>0.48615995468120277</v>
      </c>
      <c r="AB159" s="23" t="str">
        <f>IF(TRIM(Z159)="Unit Replace",IF(OR(K159=0,AND(K159&gt;16,AA159&lt;50%)),"Prioritas 1","Prioritas 2"),"")</f>
        <v>Prioritas 1</v>
      </c>
      <c r="AC159" s="21">
        <v>9.1999999999999993</v>
      </c>
      <c r="AD159" s="21">
        <v>15.2</v>
      </c>
      <c r="AE159" s="22">
        <f>AD159-AC159</f>
        <v>6</v>
      </c>
      <c r="AF159" s="21"/>
      <c r="AG159" s="21"/>
      <c r="AH159" s="20" t="s">
        <v>36</v>
      </c>
      <c r="AI159" s="10"/>
      <c r="AJ159" s="9"/>
    </row>
    <row r="160" spans="1:36" ht="13.95" customHeight="1" x14ac:dyDescent="0.3">
      <c r="A160" s="34">
        <f>A159+1</f>
        <v>158</v>
      </c>
      <c r="B160" s="38"/>
      <c r="C160" s="37">
        <v>46168</v>
      </c>
      <c r="D160" s="36" t="s">
        <v>40</v>
      </c>
      <c r="E160" s="36" t="s">
        <v>6</v>
      </c>
      <c r="F160" s="36" t="s">
        <v>5</v>
      </c>
      <c r="G160" s="36" t="s">
        <v>25</v>
      </c>
      <c r="H160" s="36">
        <v>2012</v>
      </c>
      <c r="I160" s="36" t="s">
        <v>37</v>
      </c>
      <c r="J160" s="30" t="s">
        <v>33</v>
      </c>
      <c r="K160" s="29">
        <v>0</v>
      </c>
      <c r="L160" s="29">
        <v>0</v>
      </c>
      <c r="M160" s="29">
        <v>0</v>
      </c>
      <c r="N160" s="29">
        <v>0</v>
      </c>
      <c r="O160" s="28">
        <f>K160-M160</f>
        <v>0</v>
      </c>
      <c r="P160" s="27">
        <v>0</v>
      </c>
      <c r="Q160" s="27">
        <v>0</v>
      </c>
      <c r="R160" s="27">
        <v>0</v>
      </c>
      <c r="S160" s="27">
        <v>0</v>
      </c>
      <c r="T160" s="27">
        <v>0</v>
      </c>
      <c r="U160" s="26">
        <v>4166.666666666667</v>
      </c>
      <c r="V160" s="26">
        <v>0</v>
      </c>
      <c r="W160" s="26">
        <v>75000</v>
      </c>
      <c r="X160" s="26">
        <v>0</v>
      </c>
      <c r="Y160" s="26">
        <v>75000</v>
      </c>
      <c r="Z160" s="35" t="s">
        <v>9</v>
      </c>
      <c r="AA160" s="24">
        <v>0</v>
      </c>
      <c r="AB160" s="23" t="str">
        <f>IF(TRIM(Z160)="Unit Replace",IF(OR(K160=0,AND(K160&gt;16,AA160&lt;50%)),"Prioritas 1","Prioritas 2"),"")</f>
        <v>Prioritas 1</v>
      </c>
      <c r="AC160" s="21">
        <v>0</v>
      </c>
      <c r="AD160" s="21">
        <v>0</v>
      </c>
      <c r="AE160" s="22">
        <f>AD160-AC160</f>
        <v>0</v>
      </c>
      <c r="AF160" s="21"/>
      <c r="AG160" s="21"/>
      <c r="AH160" s="20" t="s">
        <v>39</v>
      </c>
      <c r="AI160" s="10"/>
      <c r="AJ160" s="9"/>
    </row>
    <row r="161" spans="1:36" ht="13.95" customHeight="1" x14ac:dyDescent="0.3">
      <c r="A161" s="34">
        <f>A160+1</f>
        <v>159</v>
      </c>
      <c r="B161" s="38"/>
      <c r="C161" s="37">
        <v>46168</v>
      </c>
      <c r="D161" s="36" t="s">
        <v>38</v>
      </c>
      <c r="E161" s="36" t="s">
        <v>6</v>
      </c>
      <c r="F161" s="36" t="s">
        <v>5</v>
      </c>
      <c r="G161" s="36" t="s">
        <v>25</v>
      </c>
      <c r="H161" s="36">
        <v>2012</v>
      </c>
      <c r="I161" s="36" t="s">
        <v>37</v>
      </c>
      <c r="J161" s="30" t="s">
        <v>33</v>
      </c>
      <c r="K161" s="29">
        <v>26.8</v>
      </c>
      <c r="L161" s="29">
        <v>62.9</v>
      </c>
      <c r="M161" s="29">
        <v>16.100000000000001</v>
      </c>
      <c r="N161" s="29">
        <v>92.2</v>
      </c>
      <c r="O161" s="28">
        <f>K161-M161</f>
        <v>10.7</v>
      </c>
      <c r="P161" s="27">
        <v>34.511304801009764</v>
      </c>
      <c r="Q161" s="27">
        <v>26.094994624646439</v>
      </c>
      <c r="R161" s="27">
        <v>8.416310176363325</v>
      </c>
      <c r="S161" s="27">
        <v>1.2</v>
      </c>
      <c r="T161" s="27">
        <v>0.45999999999999996</v>
      </c>
      <c r="U161" s="26">
        <v>4166.666666666667</v>
      </c>
      <c r="V161" s="26">
        <v>1169.62176</v>
      </c>
      <c r="W161" s="26">
        <v>75000</v>
      </c>
      <c r="X161" s="26">
        <v>44297.547845327921</v>
      </c>
      <c r="Y161" s="26">
        <v>30702.452154672079</v>
      </c>
      <c r="Z161" s="35" t="s">
        <v>9</v>
      </c>
      <c r="AA161" s="24">
        <v>0.59063397127103889</v>
      </c>
      <c r="AB161" s="23" t="str">
        <f>IF(TRIM(Z161)="Unit Replace",IF(OR(K161=0,AND(K161&gt;16,AA161&lt;50%)),"Prioritas 1","Prioritas 2"),"")</f>
        <v>Prioritas 2</v>
      </c>
      <c r="AC161" s="21">
        <v>9</v>
      </c>
      <c r="AD161" s="21">
        <v>13.7</v>
      </c>
      <c r="AE161" s="22">
        <f>AD161-AC161</f>
        <v>4.6999999999999993</v>
      </c>
      <c r="AF161" s="21"/>
      <c r="AG161" s="21"/>
      <c r="AH161" s="20" t="s">
        <v>36</v>
      </c>
      <c r="AI161" s="10"/>
      <c r="AJ161" s="9"/>
    </row>
    <row r="162" spans="1:36" ht="13.95" customHeight="1" x14ac:dyDescent="0.3">
      <c r="A162" s="34">
        <f>A161+1</f>
        <v>160</v>
      </c>
      <c r="B162" s="33"/>
      <c r="C162" s="32">
        <v>46168</v>
      </c>
      <c r="D162" s="31" t="s">
        <v>35</v>
      </c>
      <c r="E162" s="31" t="s">
        <v>6</v>
      </c>
      <c r="F162" s="31" t="s">
        <v>5</v>
      </c>
      <c r="G162" s="31" t="s">
        <v>4</v>
      </c>
      <c r="H162" s="31">
        <v>2012</v>
      </c>
      <c r="I162" s="31" t="s">
        <v>34</v>
      </c>
      <c r="J162" s="30" t="s">
        <v>33</v>
      </c>
      <c r="K162" s="29">
        <v>24.2</v>
      </c>
      <c r="L162" s="29">
        <v>76.099999999999994</v>
      </c>
      <c r="M162" s="29">
        <v>16.5</v>
      </c>
      <c r="N162" s="29">
        <v>94.7</v>
      </c>
      <c r="O162" s="28">
        <f>K162-M162</f>
        <v>7.6999999999999993</v>
      </c>
      <c r="P162" s="27">
        <v>33.933739313078895</v>
      </c>
      <c r="Q162" s="27">
        <v>26.89692695424079</v>
      </c>
      <c r="R162" s="27">
        <v>7.0368123588381053</v>
      </c>
      <c r="S162" s="27">
        <v>1.45</v>
      </c>
      <c r="T162" s="27">
        <v>0.27</v>
      </c>
      <c r="U162" s="26">
        <v>1135.5919999999999</v>
      </c>
      <c r="V162" s="26">
        <v>829.54152000000011</v>
      </c>
      <c r="W162" s="26">
        <v>37000</v>
      </c>
      <c r="X162" s="26">
        <v>26267.976090474065</v>
      </c>
      <c r="Y162" s="26">
        <v>10732.023909525935</v>
      </c>
      <c r="Z162" s="25" t="s">
        <v>1</v>
      </c>
      <c r="AA162" s="24">
        <v>0.70994529974254228</v>
      </c>
      <c r="AB162" s="23" t="str">
        <f>IF(TRIM(Z162)="Unit Replace",IF(OR(K162=0,AND(K162&gt;16,AA162&lt;50%)),"Prioritas 1","Prioritas 2"),"")</f>
        <v/>
      </c>
      <c r="AC162" s="21">
        <v>8.8000000000000007</v>
      </c>
      <c r="AD162" s="21">
        <v>13.9</v>
      </c>
      <c r="AE162" s="22">
        <f>AD162-AC162</f>
        <v>5.0999999999999996</v>
      </c>
      <c r="AF162" s="21"/>
      <c r="AG162" s="21"/>
      <c r="AH162" s="20" t="s">
        <v>0</v>
      </c>
      <c r="AI162" s="10"/>
      <c r="AJ162" s="9"/>
    </row>
    <row r="163" spans="1:36" ht="13.95" customHeight="1" x14ac:dyDescent="0.3">
      <c r="A163" s="34">
        <f>A162+1</f>
        <v>161</v>
      </c>
      <c r="B163" s="42" t="s">
        <v>32</v>
      </c>
      <c r="C163" s="41">
        <v>46171</v>
      </c>
      <c r="D163" s="40" t="s">
        <v>31</v>
      </c>
      <c r="E163" s="40" t="s">
        <v>6</v>
      </c>
      <c r="F163" s="40" t="s">
        <v>26</v>
      </c>
      <c r="G163" s="40" t="s">
        <v>20</v>
      </c>
      <c r="H163" s="40">
        <v>2024</v>
      </c>
      <c r="I163" s="40" t="s">
        <v>19</v>
      </c>
      <c r="J163" s="30" t="s">
        <v>23</v>
      </c>
      <c r="K163" s="29">
        <v>23.8</v>
      </c>
      <c r="L163" s="29">
        <v>68.2</v>
      </c>
      <c r="M163" s="29">
        <v>17.100000000000001</v>
      </c>
      <c r="N163" s="29">
        <v>84.4</v>
      </c>
      <c r="O163" s="28">
        <f>K163-M163</f>
        <v>6.6999999999999993</v>
      </c>
      <c r="P163" s="27">
        <v>31.740868434394958</v>
      </c>
      <c r="Q163" s="27">
        <v>26.249624977601396</v>
      </c>
      <c r="R163" s="27">
        <v>5.491243456793562</v>
      </c>
      <c r="S163" s="27">
        <v>2.2000000000000002</v>
      </c>
      <c r="T163" s="27">
        <v>0.5</v>
      </c>
      <c r="U163" s="26">
        <v>2500</v>
      </c>
      <c r="V163" s="26">
        <v>2330.7680000000005</v>
      </c>
      <c r="W163" s="26">
        <v>60000</v>
      </c>
      <c r="X163" s="26">
        <v>57594.665381867191</v>
      </c>
      <c r="Y163" s="26">
        <v>2405.3346181328088</v>
      </c>
      <c r="Z163" s="39" t="s">
        <v>17</v>
      </c>
      <c r="AA163" s="24">
        <v>0.95991108969778649</v>
      </c>
      <c r="AB163" s="23" t="str">
        <f>IF(TRIM(Z163)="Unit Replace",IF(OR(K163=0,AND(K163&gt;16,AA163&lt;50%)),"Prioritas 1","Prioritas 2"),"")</f>
        <v/>
      </c>
      <c r="AC163" s="21">
        <v>9.5</v>
      </c>
      <c r="AD163" s="21">
        <v>15.2</v>
      </c>
      <c r="AE163" s="22">
        <f>AD163-AC163</f>
        <v>5.6999999999999993</v>
      </c>
      <c r="AF163" s="21"/>
      <c r="AG163" s="21"/>
      <c r="AH163" s="20" t="s">
        <v>30</v>
      </c>
      <c r="AI163" s="10"/>
      <c r="AJ163" s="9"/>
    </row>
    <row r="164" spans="1:36" ht="13.95" customHeight="1" x14ac:dyDescent="0.3">
      <c r="A164" s="34">
        <f>A163+1</f>
        <v>162</v>
      </c>
      <c r="B164" s="38"/>
      <c r="C164" s="37">
        <v>46171</v>
      </c>
      <c r="D164" s="36" t="s">
        <v>29</v>
      </c>
      <c r="E164" s="36" t="s">
        <v>6</v>
      </c>
      <c r="F164" s="36" t="s">
        <v>26</v>
      </c>
      <c r="G164" s="36" t="s">
        <v>4</v>
      </c>
      <c r="H164" s="36">
        <v>2007</v>
      </c>
      <c r="I164" s="36" t="s">
        <v>10</v>
      </c>
      <c r="J164" s="30" t="s">
        <v>23</v>
      </c>
      <c r="K164" s="29">
        <v>23.2</v>
      </c>
      <c r="L164" s="29">
        <v>67.5</v>
      </c>
      <c r="M164" s="29">
        <v>16.899999999999999</v>
      </c>
      <c r="N164" s="29">
        <v>85.2</v>
      </c>
      <c r="O164" s="28">
        <f>K164-M164</f>
        <v>6.3000000000000007</v>
      </c>
      <c r="P164" s="27">
        <v>30.838176285487961</v>
      </c>
      <c r="Q164" s="27">
        <v>26.124816997792262</v>
      </c>
      <c r="R164" s="27">
        <v>4.7133592876956989</v>
      </c>
      <c r="S164" s="27">
        <v>1.3</v>
      </c>
      <c r="T164" s="27">
        <v>0.66</v>
      </c>
      <c r="U164" s="26">
        <v>2521.509</v>
      </c>
      <c r="V164" s="26">
        <v>1817.9990400000004</v>
      </c>
      <c r="W164" s="26">
        <v>72000</v>
      </c>
      <c r="X164" s="26">
        <v>38559.971970926395</v>
      </c>
      <c r="Y164" s="26">
        <v>33440.028029073605</v>
      </c>
      <c r="Z164" s="35" t="s">
        <v>9</v>
      </c>
      <c r="AA164" s="24">
        <v>0.53555516626286659</v>
      </c>
      <c r="AB164" s="23" t="str">
        <f>IF(TRIM(Z164)="Unit Replace",IF(OR(K164=0,AND(K164&gt;16,AA164&lt;50%)),"Prioritas 1","Prioritas 2"),"")</f>
        <v>Prioritas 2</v>
      </c>
      <c r="AC164" s="21">
        <v>9.1</v>
      </c>
      <c r="AD164" s="21">
        <v>15.1</v>
      </c>
      <c r="AE164" s="22">
        <f>AD164-AC164</f>
        <v>6</v>
      </c>
      <c r="AF164" s="21"/>
      <c r="AG164" s="21"/>
      <c r="AH164" s="20" t="s">
        <v>28</v>
      </c>
      <c r="AI164" s="10"/>
      <c r="AJ164" s="9"/>
    </row>
    <row r="165" spans="1:36" ht="13.95" customHeight="1" x14ac:dyDescent="0.3">
      <c r="A165" s="34">
        <f>A164+1</f>
        <v>163</v>
      </c>
      <c r="B165" s="38"/>
      <c r="C165" s="37">
        <v>46171</v>
      </c>
      <c r="D165" s="36" t="s">
        <v>27</v>
      </c>
      <c r="E165" s="36" t="s">
        <v>6</v>
      </c>
      <c r="F165" s="36" t="s">
        <v>26</v>
      </c>
      <c r="G165" s="36" t="s">
        <v>25</v>
      </c>
      <c r="H165" s="36">
        <v>2012</v>
      </c>
      <c r="I165" s="36" t="s">
        <v>24</v>
      </c>
      <c r="J165" s="30" t="s">
        <v>23</v>
      </c>
      <c r="K165" s="29">
        <v>23.9</v>
      </c>
      <c r="L165" s="29">
        <v>68.3</v>
      </c>
      <c r="M165" s="29">
        <v>18.2</v>
      </c>
      <c r="N165" s="29">
        <v>83</v>
      </c>
      <c r="O165" s="28">
        <f>K165-M165</f>
        <v>5.6999999999999993</v>
      </c>
      <c r="P165" s="27">
        <v>31.890567845681055</v>
      </c>
      <c r="Q165" s="27">
        <v>27.349141774698236</v>
      </c>
      <c r="R165" s="27">
        <v>4.5414260709828191</v>
      </c>
      <c r="S165" s="27">
        <v>1.2</v>
      </c>
      <c r="T165" s="27">
        <v>0.45499999999999996</v>
      </c>
      <c r="U165" s="26">
        <v>3380</v>
      </c>
      <c r="V165" s="26">
        <v>1156.9084799999998</v>
      </c>
      <c r="W165" s="26">
        <v>59000</v>
      </c>
      <c r="X165" s="26">
        <v>23643.064497658972</v>
      </c>
      <c r="Y165" s="26">
        <v>35356.935502341032</v>
      </c>
      <c r="Z165" s="35" t="s">
        <v>9</v>
      </c>
      <c r="AA165" s="24">
        <v>0.4007299067399826</v>
      </c>
      <c r="AB165" s="23" t="str">
        <f>IF(TRIM(Z165)="Unit Replace",IF(OR(K165=0,AND(K165&gt;16,AA165&lt;50%)),"Prioritas 1","Prioritas 2"),"")</f>
        <v>Prioritas 1</v>
      </c>
      <c r="AC165" s="21">
        <v>9.1999999999999993</v>
      </c>
      <c r="AD165" s="21">
        <v>15.6</v>
      </c>
      <c r="AE165" s="22">
        <f>AD165-AC165</f>
        <v>6.4</v>
      </c>
      <c r="AF165" s="21"/>
      <c r="AG165" s="21"/>
      <c r="AH165" s="20" t="s">
        <v>22</v>
      </c>
      <c r="AI165" s="10"/>
      <c r="AJ165" s="9"/>
    </row>
    <row r="166" spans="1:36" ht="13.95" customHeight="1" x14ac:dyDescent="0.3">
      <c r="A166" s="34">
        <f>A165+1</f>
        <v>164</v>
      </c>
      <c r="B166" s="38"/>
      <c r="C166" s="41">
        <v>46171</v>
      </c>
      <c r="D166" s="40" t="s">
        <v>21</v>
      </c>
      <c r="E166" s="40" t="s">
        <v>6</v>
      </c>
      <c r="F166" s="40" t="s">
        <v>5</v>
      </c>
      <c r="G166" s="40" t="s">
        <v>20</v>
      </c>
      <c r="H166" s="40">
        <v>2025</v>
      </c>
      <c r="I166" s="40" t="s">
        <v>19</v>
      </c>
      <c r="J166" s="30" t="s">
        <v>18</v>
      </c>
      <c r="K166" s="29">
        <v>23.5</v>
      </c>
      <c r="L166" s="29">
        <v>70.099999999999994</v>
      </c>
      <c r="M166" s="29">
        <v>16.8</v>
      </c>
      <c r="N166" s="29">
        <v>86.7</v>
      </c>
      <c r="O166" s="28">
        <f>K166-M166</f>
        <v>6.6999999999999993</v>
      </c>
      <c r="P166" s="27">
        <v>31.741346040758252</v>
      </c>
      <c r="Q166" s="27">
        <v>26.207336533625213</v>
      </c>
      <c r="R166" s="27">
        <v>5.5340095071330389</v>
      </c>
      <c r="S166" s="27">
        <v>2.2999999999999998</v>
      </c>
      <c r="T166" s="27">
        <v>0.48</v>
      </c>
      <c r="U166" s="26">
        <v>2500</v>
      </c>
      <c r="V166" s="26">
        <v>2339.24352</v>
      </c>
      <c r="W166" s="26">
        <v>60000</v>
      </c>
      <c r="X166" s="26">
        <v>58254.281456307093</v>
      </c>
      <c r="Y166" s="26">
        <v>1745.7185436929067</v>
      </c>
      <c r="Z166" s="39" t="s">
        <v>17</v>
      </c>
      <c r="AA166" s="24">
        <v>0.97090469093845155</v>
      </c>
      <c r="AB166" s="23" t="str">
        <f>IF(TRIM(Z166)="Unit Replace",IF(OR(K166=0,AND(K166&gt;16,AA166&lt;50%)),"Prioritas 1","Prioritas 2"),"")</f>
        <v/>
      </c>
      <c r="AC166" s="21">
        <v>9.5</v>
      </c>
      <c r="AD166" s="21">
        <v>15.2</v>
      </c>
      <c r="AE166" s="22">
        <f>AD166-AC166</f>
        <v>5.6999999999999993</v>
      </c>
      <c r="AF166" s="21"/>
      <c r="AG166" s="21"/>
      <c r="AH166" s="20" t="s">
        <v>16</v>
      </c>
      <c r="AI166" s="10"/>
      <c r="AJ166" s="9"/>
    </row>
    <row r="167" spans="1:36" ht="13.95" customHeight="1" x14ac:dyDescent="0.3">
      <c r="A167" s="34">
        <f>A166+1</f>
        <v>165</v>
      </c>
      <c r="B167" s="38"/>
      <c r="C167" s="32">
        <v>46171</v>
      </c>
      <c r="D167" s="31" t="s">
        <v>15</v>
      </c>
      <c r="E167" s="31" t="s">
        <v>6</v>
      </c>
      <c r="F167" s="31" t="s">
        <v>5</v>
      </c>
      <c r="G167" s="31" t="s">
        <v>14</v>
      </c>
      <c r="H167" s="31">
        <v>2012</v>
      </c>
      <c r="I167" s="31" t="s">
        <v>13</v>
      </c>
      <c r="J167" s="30" t="s">
        <v>2</v>
      </c>
      <c r="K167" s="29">
        <v>26.1</v>
      </c>
      <c r="L167" s="29">
        <v>71.5</v>
      </c>
      <c r="M167" s="29">
        <v>17.899999999999999</v>
      </c>
      <c r="N167" s="29">
        <v>84.8</v>
      </c>
      <c r="O167" s="28">
        <f>K167-M167</f>
        <v>8.2000000000000028</v>
      </c>
      <c r="P167" s="27">
        <v>35.619312526217115</v>
      </c>
      <c r="Q167" s="27">
        <v>27.248203852112198</v>
      </c>
      <c r="R167" s="27">
        <v>8.3711086741049172</v>
      </c>
      <c r="S167" s="27">
        <v>0.9</v>
      </c>
      <c r="T167" s="27">
        <v>0.45499999999999996</v>
      </c>
      <c r="U167" s="26">
        <v>2500</v>
      </c>
      <c r="V167" s="26">
        <v>867.68136000000004</v>
      </c>
      <c r="W167" s="26">
        <v>60000</v>
      </c>
      <c r="X167" s="26">
        <v>32685.547315748183</v>
      </c>
      <c r="Y167" s="26">
        <v>27314.452684251817</v>
      </c>
      <c r="Z167" s="25" t="s">
        <v>1</v>
      </c>
      <c r="AA167" s="24">
        <v>0.54475912192913634</v>
      </c>
      <c r="AB167" s="23" t="str">
        <f>IF(TRIM(Z167)="Unit Replace",IF(OR(K167=0,AND(K167&gt;16,AA167&lt;50%)),"Prioritas 1","Prioritas 2"),"")</f>
        <v/>
      </c>
      <c r="AC167" s="21">
        <v>8.9</v>
      </c>
      <c r="AD167" s="21">
        <v>13.7</v>
      </c>
      <c r="AE167" s="22">
        <f>AD167-AC167</f>
        <v>4.7999999999999989</v>
      </c>
      <c r="AF167" s="21"/>
      <c r="AG167" s="21"/>
      <c r="AH167" s="20" t="s">
        <v>12</v>
      </c>
      <c r="AI167" s="10"/>
      <c r="AJ167" s="9"/>
    </row>
    <row r="168" spans="1:36" ht="13.95" customHeight="1" x14ac:dyDescent="0.3">
      <c r="A168" s="34">
        <f>A167+1</f>
        <v>166</v>
      </c>
      <c r="B168" s="38"/>
      <c r="C168" s="37">
        <v>46171</v>
      </c>
      <c r="D168" s="36" t="s">
        <v>11</v>
      </c>
      <c r="E168" s="36" t="s">
        <v>6</v>
      </c>
      <c r="F168" s="36" t="s">
        <v>5</v>
      </c>
      <c r="G168" s="36" t="s">
        <v>4</v>
      </c>
      <c r="H168" s="36">
        <v>2012</v>
      </c>
      <c r="I168" s="36" t="s">
        <v>10</v>
      </c>
      <c r="J168" s="30" t="s">
        <v>2</v>
      </c>
      <c r="K168" s="29">
        <v>25.3</v>
      </c>
      <c r="L168" s="29">
        <v>71.2</v>
      </c>
      <c r="M168" s="29">
        <v>16.899999999999999</v>
      </c>
      <c r="N168" s="29">
        <v>93.1</v>
      </c>
      <c r="O168" s="28">
        <f>K168-M168</f>
        <v>8.4000000000000021</v>
      </c>
      <c r="P168" s="27">
        <v>34.406941856378253</v>
      </c>
      <c r="Q168" s="27">
        <v>27.176733461883956</v>
      </c>
      <c r="R168" s="27">
        <v>7.2302083944942979</v>
      </c>
      <c r="S168" s="27">
        <v>1.2</v>
      </c>
      <c r="T168" s="27">
        <v>0.55999999999999994</v>
      </c>
      <c r="U168" s="26">
        <v>2521.509</v>
      </c>
      <c r="V168" s="26">
        <v>1423.8873599999999</v>
      </c>
      <c r="W168" s="26">
        <v>72000</v>
      </c>
      <c r="X168" s="26">
        <v>46327.510543888457</v>
      </c>
      <c r="Y168" s="26">
        <v>25672.489456111543</v>
      </c>
      <c r="Z168" s="35" t="s">
        <v>9</v>
      </c>
      <c r="AA168" s="24">
        <v>0.64343764644289525</v>
      </c>
      <c r="AB168" s="23" t="str">
        <f>IF(TRIM(Z168)="Unit Replace",IF(OR(K168=0,AND(K168&gt;16,AA168&lt;50%)),"Prioritas 1","Prioritas 2"),"")</f>
        <v>Prioritas 2</v>
      </c>
      <c r="AC168" s="21">
        <v>9</v>
      </c>
      <c r="AD168" s="21">
        <v>15.3</v>
      </c>
      <c r="AE168" s="22">
        <f>AD168-AC168</f>
        <v>6.3000000000000007</v>
      </c>
      <c r="AF168" s="21"/>
      <c r="AG168" s="21"/>
      <c r="AH168" s="20" t="s">
        <v>8</v>
      </c>
      <c r="AI168" s="10"/>
      <c r="AJ168" s="9"/>
    </row>
    <row r="169" spans="1:36" ht="13.8" customHeight="1" x14ac:dyDescent="0.3">
      <c r="A169" s="34">
        <f>A168+1</f>
        <v>167</v>
      </c>
      <c r="B169" s="33"/>
      <c r="C169" s="32">
        <v>46171</v>
      </c>
      <c r="D169" s="31" t="s">
        <v>7</v>
      </c>
      <c r="E169" s="31" t="s">
        <v>6</v>
      </c>
      <c r="F169" s="31" t="s">
        <v>5</v>
      </c>
      <c r="G169" s="31" t="s">
        <v>4</v>
      </c>
      <c r="H169" s="31">
        <v>2012</v>
      </c>
      <c r="I169" s="31" t="s">
        <v>3</v>
      </c>
      <c r="J169" s="30" t="s">
        <v>2</v>
      </c>
      <c r="K169" s="29">
        <v>25.6</v>
      </c>
      <c r="L169" s="29">
        <v>71.8</v>
      </c>
      <c r="M169" s="29">
        <v>13.2</v>
      </c>
      <c r="N169" s="29">
        <v>92.9</v>
      </c>
      <c r="O169" s="28">
        <f>K169-M169</f>
        <v>12.400000000000002</v>
      </c>
      <c r="P169" s="27">
        <v>34.969442329871541</v>
      </c>
      <c r="Q169" s="27">
        <v>22.910696629721656</v>
      </c>
      <c r="R169" s="27">
        <v>12.058745700149885</v>
      </c>
      <c r="S169" s="27">
        <v>0.8</v>
      </c>
      <c r="T169" s="27">
        <v>0.33</v>
      </c>
      <c r="U169" s="26">
        <v>1889.9946</v>
      </c>
      <c r="V169" s="26">
        <v>559.38432</v>
      </c>
      <c r="W169" s="26">
        <v>57000</v>
      </c>
      <c r="X169" s="26">
        <v>30354.629685890701</v>
      </c>
      <c r="Y169" s="26">
        <v>26645.370314109299</v>
      </c>
      <c r="Z169" s="25" t="s">
        <v>1</v>
      </c>
      <c r="AA169" s="24">
        <v>0.53253736291036313</v>
      </c>
      <c r="AB169" s="23" t="str">
        <f>IF(TRIM(Z169)="Unit Replace",IF(OR(K169=0,AND(K169&gt;16,AA169&lt;50%)),"Prioritas 1","Prioritas 2"),"")</f>
        <v/>
      </c>
      <c r="AC169" s="21">
        <v>8.9</v>
      </c>
      <c r="AD169" s="21">
        <v>12.2</v>
      </c>
      <c r="AE169" s="22">
        <f>AD169-AC169</f>
        <v>3.2999999999999989</v>
      </c>
      <c r="AF169" s="21"/>
      <c r="AG169" s="21"/>
      <c r="AH169" s="20" t="s">
        <v>0</v>
      </c>
      <c r="AI169" s="10"/>
      <c r="AJ169" s="9"/>
    </row>
    <row r="170" spans="1:36" ht="13.95" customHeight="1" x14ac:dyDescent="0.3">
      <c r="B170" s="6"/>
      <c r="H170" s="4"/>
      <c r="K170" s="19"/>
      <c r="L170" s="19"/>
      <c r="M170" s="19"/>
      <c r="N170" s="19"/>
      <c r="P170" s="18"/>
      <c r="Q170" s="18"/>
      <c r="R170" s="18"/>
      <c r="S170" s="18"/>
      <c r="T170" s="18"/>
      <c r="U170" s="17"/>
      <c r="V170" s="17"/>
      <c r="W170" s="17"/>
      <c r="X170" s="17"/>
      <c r="Y170" s="17"/>
      <c r="Z170" s="16"/>
      <c r="AA170" s="15"/>
      <c r="AB170" s="14"/>
      <c r="AC170" s="12"/>
      <c r="AD170" s="12"/>
      <c r="AE170" s="13"/>
      <c r="AF170" s="12"/>
      <c r="AG170" s="12"/>
      <c r="AH170" s="11"/>
      <c r="AI170" s="10"/>
      <c r="AJ170" s="9"/>
    </row>
    <row r="171" spans="1:36" ht="13.95" customHeight="1" x14ac:dyDescent="0.3">
      <c r="B171" s="6"/>
      <c r="H171" s="4"/>
      <c r="K171" s="19"/>
      <c r="L171" s="19"/>
      <c r="M171" s="19"/>
      <c r="N171" s="19"/>
      <c r="P171" s="18"/>
      <c r="Q171" s="18"/>
      <c r="R171" s="18"/>
      <c r="S171" s="18"/>
      <c r="T171" s="18"/>
      <c r="U171" s="17"/>
      <c r="V171" s="17"/>
      <c r="W171" s="17"/>
      <c r="X171" s="17"/>
      <c r="Y171" s="17"/>
      <c r="Z171" s="16"/>
      <c r="AA171" s="15"/>
      <c r="AB171" s="14"/>
      <c r="AC171" s="12"/>
      <c r="AD171" s="12"/>
      <c r="AE171" s="13"/>
      <c r="AF171" s="12"/>
      <c r="AG171" s="12"/>
      <c r="AH171" s="11"/>
      <c r="AI171" s="10"/>
      <c r="AJ171" s="9"/>
    </row>
    <row r="172" spans="1:36" ht="13.95" customHeight="1" x14ac:dyDescent="0.3">
      <c r="B172" s="6"/>
      <c r="H172" s="4"/>
      <c r="K172" s="19"/>
      <c r="L172" s="19"/>
      <c r="M172" s="19"/>
      <c r="N172" s="19"/>
      <c r="P172" s="18"/>
      <c r="Q172" s="18"/>
      <c r="R172" s="18"/>
      <c r="S172" s="18"/>
      <c r="T172" s="18"/>
      <c r="U172" s="17"/>
      <c r="V172" s="17"/>
      <c r="W172" s="17"/>
      <c r="X172" s="17"/>
      <c r="Y172" s="17"/>
      <c r="Z172" s="16"/>
      <c r="AA172" s="15"/>
      <c r="AB172" s="14"/>
      <c r="AC172" s="12"/>
      <c r="AD172" s="12"/>
      <c r="AE172" s="13"/>
      <c r="AF172" s="12"/>
      <c r="AG172" s="12"/>
      <c r="AH172" s="11"/>
      <c r="AI172" s="10"/>
      <c r="AJ172" s="9"/>
    </row>
    <row r="173" spans="1:36" ht="15.6" customHeight="1" x14ac:dyDescent="0.3">
      <c r="H173" s="4"/>
      <c r="J173" s="2"/>
      <c r="T173" s="1"/>
      <c r="AA173" s="2"/>
      <c r="AE173" s="1"/>
    </row>
    <row r="174" spans="1:36" x14ac:dyDescent="0.3">
      <c r="C174" s="8"/>
      <c r="D174" s="1"/>
      <c r="E174" s="1"/>
      <c r="F174" s="1"/>
      <c r="H174" s="4"/>
      <c r="J174" s="2"/>
      <c r="Q174" s="1"/>
      <c r="R174" s="1"/>
      <c r="S174" s="1"/>
      <c r="T174" s="1"/>
      <c r="X174" s="7"/>
      <c r="Y174" s="7"/>
      <c r="Z174" s="2"/>
      <c r="AC174" s="1"/>
      <c r="AD174" s="1"/>
      <c r="AE174" s="1"/>
    </row>
    <row r="175" spans="1:36" x14ac:dyDescent="0.3">
      <c r="D175" s="1"/>
      <c r="E175" s="1"/>
      <c r="F175" s="1"/>
      <c r="H175" s="4"/>
      <c r="J175" s="2"/>
      <c r="Q175" s="1"/>
      <c r="R175" s="1"/>
      <c r="S175" s="1"/>
      <c r="T175" s="1"/>
      <c r="X175" s="7"/>
      <c r="Y175" s="7"/>
      <c r="Z175" s="2"/>
      <c r="AC175" s="1"/>
      <c r="AD175" s="1"/>
      <c r="AE175" s="1"/>
    </row>
    <row r="176" spans="1:36" x14ac:dyDescent="0.3">
      <c r="H176" s="4"/>
      <c r="J176" s="2"/>
      <c r="Q176" s="1"/>
      <c r="R176" s="1"/>
      <c r="S176" s="1"/>
      <c r="T176" s="1"/>
      <c r="X176" s="7"/>
      <c r="Y176" s="7"/>
      <c r="Z176" s="2"/>
      <c r="AC176" s="1"/>
      <c r="AD176" s="1"/>
      <c r="AE176" s="1"/>
    </row>
    <row r="177" spans="8:31" x14ac:dyDescent="0.3">
      <c r="H177" s="4"/>
      <c r="J177" s="2"/>
      <c r="Q177" s="1"/>
      <c r="R177" s="1"/>
      <c r="S177" s="1"/>
      <c r="T177" s="1"/>
      <c r="X177" s="7"/>
      <c r="Y177" s="7"/>
      <c r="Z177" s="2"/>
      <c r="AC177" s="1"/>
      <c r="AD177" s="1"/>
      <c r="AE177" s="1"/>
    </row>
    <row r="178" spans="8:31" x14ac:dyDescent="0.3">
      <c r="H178" s="4"/>
      <c r="J178" s="2"/>
      <c r="Q178" s="1"/>
      <c r="R178" s="1"/>
      <c r="S178" s="1"/>
      <c r="T178" s="1"/>
      <c r="X178" s="7"/>
      <c r="Y178" s="7"/>
      <c r="Z178" s="2"/>
      <c r="AC178" s="1"/>
      <c r="AD178" s="1"/>
      <c r="AE178" s="1"/>
    </row>
  </sheetData>
  <autoFilter ref="B2:AI2" xr:uid="{00000000-0001-0000-0000-000000000000}"/>
  <mergeCells count="17">
    <mergeCell ref="B163:B169"/>
    <mergeCell ref="B143:B153"/>
    <mergeCell ref="B154:B162"/>
    <mergeCell ref="B133:B142"/>
    <mergeCell ref="B31:B39"/>
    <mergeCell ref="B113:B122"/>
    <mergeCell ref="B123:B132"/>
    <mergeCell ref="B73:B83"/>
    <mergeCell ref="B94:B102"/>
    <mergeCell ref="B103:B112"/>
    <mergeCell ref="B84:B93"/>
    <mergeCell ref="B53:B62"/>
    <mergeCell ref="B63:B72"/>
    <mergeCell ref="B19:B30"/>
    <mergeCell ref="B3:B8"/>
    <mergeCell ref="B9:B18"/>
    <mergeCell ref="B40:B52"/>
  </mergeCells>
  <pageMargins left="0.25" right="0.25" top="0.75" bottom="0.75" header="0.3" footer="0.3"/>
  <pageSetup paperSize="8" scale="43" fitToHeight="0" orientation="landscape" horizont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Report Plaza Indonesia</vt:lpstr>
      <vt:lpstr>'Report Plaza Indonesia'!Print_Area</vt:lpstr>
      <vt:lpstr>'Report Plaza Indonesia'!Print_Titles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Dede Yusuf Iskandar (DASI)</dc:creator>
  <cp:lastModifiedBy>Dede Yusuf Iskandar (DASI)</cp:lastModifiedBy>
  <dcterms:created xsi:type="dcterms:W3CDTF">2026-06-19T03:37:14Z</dcterms:created>
  <dcterms:modified xsi:type="dcterms:W3CDTF">2026-06-19T03:38:32Z</dcterms:modified>
</cp:coreProperties>
</file>